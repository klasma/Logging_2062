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45642</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45642</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45642</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45642</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45642</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45642</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45642</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45642</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45642</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45642</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45642</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45642</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45642</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45642</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45642</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45642</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45642</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45642</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45642</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45642</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45642</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45642</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45642</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55418-2024</t>
        </is>
      </c>
      <c r="B25" s="1" t="n">
        <v>45622</v>
      </c>
      <c r="C25" s="1" t="n">
        <v>45642</v>
      </c>
      <c r="D25" t="inlineStr">
        <is>
          <t>DALARNAS LÄN</t>
        </is>
      </c>
      <c r="E25" t="inlineStr">
        <is>
          <t>MORA</t>
        </is>
      </c>
      <c r="G25" t="n">
        <v>1</v>
      </c>
      <c r="H25" t="n">
        <v>0</v>
      </c>
      <c r="I25" t="n">
        <v>2</v>
      </c>
      <c r="J25" t="n">
        <v>1</v>
      </c>
      <c r="K25" t="n">
        <v>1</v>
      </c>
      <c r="L25" t="n">
        <v>0</v>
      </c>
      <c r="M25" t="n">
        <v>0</v>
      </c>
      <c r="N25" t="n">
        <v>0</v>
      </c>
      <c r="O25" t="n">
        <v>2</v>
      </c>
      <c r="P25" t="n">
        <v>1</v>
      </c>
      <c r="Q25" t="n">
        <v>4</v>
      </c>
      <c r="R25" s="2" t="inlineStr">
        <is>
          <t>Rotfingersvamp
Druvfingersvamp
Dropptaggsvamp
Tallfingersvamp</t>
        </is>
      </c>
      <c r="S25">
        <f>HYPERLINK("https://klasma.github.io/Logging_2062/artfynd/A 55418-2024 artfynd.xlsx", "A 55418-2024")</f>
        <v/>
      </c>
      <c r="T25">
        <f>HYPERLINK("https://klasma.github.io/Logging_2062/kartor/A 55418-2024 karta.png", "A 55418-2024")</f>
        <v/>
      </c>
      <c r="V25">
        <f>HYPERLINK("https://klasma.github.io/Logging_2062/klagomål/A 55418-2024 FSC-klagomål.docx", "A 55418-2024")</f>
        <v/>
      </c>
      <c r="W25">
        <f>HYPERLINK("https://klasma.github.io/Logging_2062/klagomålsmail/A 55418-2024 FSC-klagomål mail.docx", "A 55418-2024")</f>
        <v/>
      </c>
      <c r="X25">
        <f>HYPERLINK("https://klasma.github.io/Logging_2062/tillsyn/A 55418-2024 tillsynsbegäran.docx", "A 55418-2024")</f>
        <v/>
      </c>
      <c r="Y25">
        <f>HYPERLINK("https://klasma.github.io/Logging_2062/tillsynsmail/A 55418-2024 tillsynsbegäran mail.docx", "A 55418-2024")</f>
        <v/>
      </c>
    </row>
    <row r="26" ht="15" customHeight="1">
      <c r="A26" t="inlineStr">
        <is>
          <t>A 55467-2024</t>
        </is>
      </c>
      <c r="B26" s="1" t="n">
        <v>45622</v>
      </c>
      <c r="C26" s="1" t="n">
        <v>45642</v>
      </c>
      <c r="D26" t="inlineStr">
        <is>
          <t>DALARNAS LÄN</t>
        </is>
      </c>
      <c r="E26" t="inlineStr">
        <is>
          <t>MORA</t>
        </is>
      </c>
      <c r="G26" t="n">
        <v>1.8</v>
      </c>
      <c r="H26" t="n">
        <v>0</v>
      </c>
      <c r="I26" t="n">
        <v>2</v>
      </c>
      <c r="J26" t="n">
        <v>1</v>
      </c>
      <c r="K26" t="n">
        <v>1</v>
      </c>
      <c r="L26" t="n">
        <v>0</v>
      </c>
      <c r="M26" t="n">
        <v>0</v>
      </c>
      <c r="N26" t="n">
        <v>0</v>
      </c>
      <c r="O26" t="n">
        <v>2</v>
      </c>
      <c r="P26" t="n">
        <v>1</v>
      </c>
      <c r="Q26" t="n">
        <v>4</v>
      </c>
      <c r="R26" s="2" t="inlineStr">
        <is>
          <t>Rotfingersvamp
Skrovlig taggsvamp
Dropptaggsvamp
Tallfingersvamp</t>
        </is>
      </c>
      <c r="S26">
        <f>HYPERLINK("https://klasma.github.io/Logging_2062/artfynd/A 55467-2024 artfynd.xlsx", "A 55467-2024")</f>
        <v/>
      </c>
      <c r="T26">
        <f>HYPERLINK("https://klasma.github.io/Logging_2062/kartor/A 55467-2024 karta.png", "A 55467-2024")</f>
        <v/>
      </c>
      <c r="V26">
        <f>HYPERLINK("https://klasma.github.io/Logging_2062/klagomål/A 55467-2024 FSC-klagomål.docx", "A 55467-2024")</f>
        <v/>
      </c>
      <c r="W26">
        <f>HYPERLINK("https://klasma.github.io/Logging_2062/klagomålsmail/A 55467-2024 FSC-klagomål mail.docx", "A 55467-2024")</f>
        <v/>
      </c>
      <c r="X26">
        <f>HYPERLINK("https://klasma.github.io/Logging_2062/tillsyn/A 55467-2024 tillsynsbegäran.docx", "A 55467-2024")</f>
        <v/>
      </c>
      <c r="Y26">
        <f>HYPERLINK("https://klasma.github.io/Logging_2062/tillsynsmail/A 55467-2024 tillsynsbegäran mail.docx", "A 55467-2024")</f>
        <v/>
      </c>
    </row>
    <row r="27" ht="15" customHeight="1">
      <c r="A27" t="inlineStr">
        <is>
          <t>A 5484-2023</t>
        </is>
      </c>
      <c r="B27" s="1" t="n">
        <v>44957</v>
      </c>
      <c r="C27" s="1" t="n">
        <v>45642</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45642</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45642</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45642</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45642</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45642</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45642</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45642</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45642</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45642</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45642</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45642</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45642</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45642</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45642</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45642</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45642</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45642</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45642</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45642</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45642</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45642</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45642</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45642</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45642</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45642</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45642</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45642</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45642</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45642</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45642</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45642</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45642</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45642</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45642</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45642</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45642</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45642</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45642</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45642</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45642</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45642</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45642</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45642</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45642</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45642</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45642</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45642</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45642</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45642</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45642</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45642</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45642</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45642</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45642</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45642</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45642</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45642</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45642</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45642</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45642</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45642</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45642</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45642</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45642</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45642</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45642</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45642</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45642</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45642</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45642</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45642</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45642</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45642</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45642</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45642</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45642</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45642</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45642</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45642</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45642</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45642</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45642</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45642</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45642</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45642</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45642</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45642</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45642</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45642</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45642</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45642</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45642</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45642</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45642</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45642</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45642</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45642</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45642</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45642</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45642</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45642</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45642</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45642</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45642</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45642</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45642</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45642</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45642</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45642</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45642</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45642</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45642</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45642</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45642</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45642</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45642</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45642</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45642</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45642</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45642</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45642</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45642</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45642</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45642</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45642</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45642</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45642</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45642</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45642</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45642</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45642</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45642</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45642</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45642</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45642</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45642</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45642</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45642</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45642</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45642</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45642</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45642</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45642</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45642</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45642</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45642</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45642</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45642</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45642</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45642</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45642</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45642</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45642</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45642</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45642</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45642</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45642</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45642</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45642</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45642</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45642</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45642</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45642</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45642</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45642</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45642</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45642</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45642</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45642</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45642</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45642</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45642</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45642</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45642</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45642</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45642</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45642</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45642</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45642</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45642</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45642</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45642</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45642</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45642</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45642</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45642</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45642</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45642</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45642</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45642</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45642</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45642</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45642</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45642</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45642</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45642</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45642</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45642</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45642</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45642</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45642</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45642</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45642</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45642</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45642</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45642</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45642</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45642</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45642</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45642</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45642</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45642</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45642</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45642</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45642</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45642</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45642</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45642</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45642</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45642</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45642</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45642</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45642</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45642</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45642</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45642</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45642</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45642</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45642</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45642</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45642</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45642</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45642</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45642</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45642</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45642</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45642</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45642</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45642</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45642</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45642</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45642</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45642</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45642</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45642</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45642</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45642</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45642</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45642</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45642</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45642</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45642</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45642</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45642</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45642</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45642</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45642</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45642</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45642</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45642</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45642</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45642</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45642</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45642</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45642</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45642</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45642</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45642</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45642</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45642</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45642</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45642</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45642</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45642</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45642</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45642</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45642</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45642</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45642</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45642</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45642</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45642</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45642</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45642</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45642</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45642</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45642</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45642</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45642</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45642</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45642</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45642</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45642</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45642</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45642</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45642</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45642</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45642</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45642</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45642</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45642</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45642</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45642</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45642</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45642</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45642</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45642</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45642</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45642</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45642</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45642</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45642</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45642</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45642</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45642</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45642</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45642</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45642</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45642</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45642</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45642</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45642</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45642</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45642</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45642</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45642</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45642</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45642</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45642</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45642</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45642</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45642</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45642</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45642</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45642</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45642</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45642</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45642</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45642</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45642</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45642</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45642</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45642</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45642</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45642</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45642</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45642</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45642</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45642</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45642</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45642</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45642</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45642</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45642</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45642</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45642</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45642</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45642</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45642</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45642</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45642</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45642</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45642</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45642</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45642</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45642</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45642</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45642</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45642</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45642</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45642</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45642</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45642</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45642</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45642</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45642</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45642</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45642</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45642</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45642</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45642</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45642</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45642</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45642</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45642</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45642</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45642</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45642</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45642</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45642</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45642</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45642</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45642</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45642</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45642</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45642</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45642</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45642</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45642</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45642</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45642</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45642</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45642</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45642</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45642</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45642</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45642</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45642</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45642</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45642</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45642</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45642</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45642</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45642</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45642</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45642</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45642</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45642</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45642</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45642</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45642</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45642</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45642</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45642</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45642</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45642</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45642</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45642</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45642</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45642</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45642</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45642</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45642</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45642</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45642</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45642</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45642</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45642</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45642</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45642</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45642</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45642</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45642</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45642</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45642</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45642</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45642</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45642</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45642</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45642</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45642</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45642</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45642</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45642</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45642</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45642</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45642</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45642</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45642</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45642</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45642</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45642</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45642</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45642</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45642</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45642</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45642</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45642</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45642</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45642</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45642</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45642</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45642</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45642</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45642</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45642</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45642</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45642</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45642</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45642</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45642</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45642</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45642</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45642</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45642</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45642</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45642</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45642</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45642</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45642</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45642</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45642</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45642</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45642</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45642</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45642</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45642</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45642</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45642</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45642</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45642</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45642</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45642</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45642</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45642</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45642</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45642</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45642</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45642</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45642</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45642</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45642</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45642</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45642</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45642</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45642</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45642</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45642</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45642</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45642</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45642</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45642</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45642</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45642</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45642</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45642</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45642</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45642</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45642</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45642</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45642</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45642</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45642</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45642</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45642</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45642</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45642</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45642</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45642</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45642</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45642</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45642</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45642</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45642</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45642</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45642</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45642</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45642</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45642</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45642</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45642</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45642</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45642</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45642</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45642</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45642</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45642</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45642</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45642</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45642</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45642</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45642</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45642</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45642</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45642</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45642</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45642</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45642</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45642</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45642</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45642</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45642</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45642</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45642</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45642</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45642</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45642</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45642</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45642</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45642</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45642</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45642</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45642</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45642</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45642</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45642</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45642</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45642</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45642</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45642</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45642</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45642</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45642</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45642</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45642</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45642</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45642</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45642</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45642</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45642</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45642</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45642</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45642</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45642</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45642</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45642</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45642</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45642</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45642</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45642</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45642</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45642</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45642</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45642</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45642</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45642</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45642</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45642</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45642</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45642</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45642</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45642</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45642</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45642</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45642</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45642</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45642</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45642</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45642</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45642</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45642</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45642</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45642</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45642</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45642</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45642</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45642</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45642</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45642</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45642</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45642</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45642</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45642</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45642</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45642</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45642</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45642</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45642</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45642</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45642</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45642</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45642</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45642</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45642</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45642</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45642</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45642</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45642</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45642</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45642</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45642</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45642</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45642</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45642</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45642</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45642</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45642</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45642</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45642</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45642</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45642</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45642</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45642</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45642</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45642</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45642</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45642</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45642</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45642</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45642</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45642</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45642</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45642</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45642</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45642</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45642</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45642</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45642</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45642</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45642</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45642</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45642</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45642</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45642</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45642</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45642</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45642</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45642</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45642</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45642</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45642</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45642</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45642</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45642</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45642</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45642</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45642</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45642</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45642</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45642</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45642</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45642</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45642</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45642</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45642</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45642</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45642</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45642</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45642</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45642</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45642</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45642</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45642</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45642</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45642</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45642</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45642</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45642</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45642</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45642</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45642</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45642</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45642</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45642</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45642</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45642</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45642</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45642</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45642</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45642</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45642</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45642</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45642</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45642</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45642</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45642</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45642</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45642</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45642</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45642</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45642</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45642</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45642</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45642</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45642</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45642</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45642</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45642</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45642</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45642</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45642</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45642</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45642</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45642</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45642</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45642</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45642</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45642</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45642</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45642</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45642</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45642</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45642</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45642</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45642</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45642</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45642</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45642</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45642</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45642</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45642</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45642</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45642</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45642</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45642</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45642</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45642</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45642</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45642</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45642</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45642</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45642</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45642</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45642</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45642</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45642</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45642</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45642</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45642</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45642</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45642</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45642</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45642</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45642</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45642</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45642</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45642</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45642</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45642</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45642</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45642</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45642</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45642</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45642</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45642</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45642</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45642</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45642</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45642</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45642</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45642</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45642</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45642</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45642</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45642</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45642</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45642</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45642</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45642</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45642</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45642</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45642</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45642</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45642</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45642</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45642</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45642</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45642</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45642</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45642</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45642</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45642</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45642</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45642</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45642</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45642</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45642</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45642</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45642</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45642</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45642</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45642</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45642</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45642</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45642</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45642</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45642</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45642</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45642</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45642</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45642</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45642</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45642</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45642</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45642</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45642</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45642</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45642</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45642</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45642</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45642</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45642</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45642</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45642</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45642</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45642</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45642</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45642</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45642</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45642</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45642</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45642</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45642</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45642</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45642</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45642</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45642</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45642</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45642</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45642</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45642</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45642</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45642</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45642</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45642</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45642</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45642</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45642</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45642</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45642</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45642</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45642</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45642</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45642</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45642</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45642</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45642</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45642</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45642</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45642</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45642</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45642</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45642</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45642</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45642</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45642</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45642</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45642</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45642</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45642</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45642</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45642</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45642</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45642</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45642</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45642</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45642</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45642</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45642</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45642</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45642</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45642</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45642</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45642</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45642</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45642</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45642</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45642</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45642</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45642</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45642</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45642</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45642</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45642</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45642</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45642</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45642</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45642</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45642</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45642</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45642</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45642</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45642</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45642</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45642</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45642</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45642</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45642</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45642</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45642</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45642</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45642</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45642</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45642</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45642</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45642</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45642</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45642</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45642</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45642</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45642</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45642</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45642</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45642</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45642</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45642</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45642</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45642</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45642</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45642</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45642</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45642</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45642</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45642</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45642</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45642</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45642</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45642</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45642</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45642</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45642</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45642</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45642</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45642</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45642</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45642</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45642</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45642</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45642</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45642</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45642</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45642</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45642</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45642</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45642</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45642</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45642</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45642</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45642</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45642</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45642</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45642</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45642</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45642</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45642</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45642</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45642</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45642</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45642</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45642</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45642</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45642</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45642</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45642</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45642</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45642</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45642</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45642</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45642</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45642</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45642</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45642</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45642</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45642</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45642</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45642</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45642</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45642</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45642</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45642</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45642</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45642</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45642</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45642</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45642</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45642</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45642</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45642</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45642</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45642</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45642</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45642</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45642</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45642</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45642</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45642</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45642</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45642</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45642</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45642</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45642</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45642</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53159-2024</t>
        </is>
      </c>
      <c r="B1090" s="1" t="n">
        <v>45611</v>
      </c>
      <c r="C1090" s="1" t="n">
        <v>45642</v>
      </c>
      <c r="D1090" t="inlineStr">
        <is>
          <t>DALARNAS LÄN</t>
        </is>
      </c>
      <c r="E1090" t="inlineStr">
        <is>
          <t>MORA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45642</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53150-2024</t>
        </is>
      </c>
      <c r="B1092" s="1" t="n">
        <v>45611</v>
      </c>
      <c r="C1092" s="1" t="n">
        <v>45642</v>
      </c>
      <c r="D1092" t="inlineStr">
        <is>
          <t>DALARNAS LÄN</t>
        </is>
      </c>
      <c r="E1092" t="inlineStr">
        <is>
          <t>MORA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53157-2024</t>
        </is>
      </c>
      <c r="B1093" s="1" t="n">
        <v>45611</v>
      </c>
      <c r="C1093" s="1" t="n">
        <v>45642</v>
      </c>
      <c r="D1093" t="inlineStr">
        <is>
          <t>DALARNAS LÄN</t>
        </is>
      </c>
      <c r="E1093" t="inlineStr">
        <is>
          <t>MORA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45642</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45642</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45642</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53743-2024</t>
        </is>
      </c>
      <c r="B1097" s="1" t="n">
        <v>45615</v>
      </c>
      <c r="C1097" s="1" t="n">
        <v>45642</v>
      </c>
      <c r="D1097" t="inlineStr">
        <is>
          <t>DALARNAS LÄN</t>
        </is>
      </c>
      <c r="E1097" t="inlineStr">
        <is>
          <t>MORA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53750-2024</t>
        </is>
      </c>
      <c r="B1098" s="1" t="n">
        <v>45615</v>
      </c>
      <c r="C1098" s="1" t="n">
        <v>45642</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53978-2024</t>
        </is>
      </c>
      <c r="B1099" s="1" t="n">
        <v>45616</v>
      </c>
      <c r="C1099" s="1" t="n">
        <v>45642</v>
      </c>
      <c r="D1099" t="inlineStr">
        <is>
          <t>DALARNAS LÄN</t>
        </is>
      </c>
      <c r="E1099" t="inlineStr">
        <is>
          <t>MORA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53980-2024</t>
        </is>
      </c>
      <c r="B1100" s="1" t="n">
        <v>45616</v>
      </c>
      <c r="C1100" s="1" t="n">
        <v>45642</v>
      </c>
      <c r="D1100" t="inlineStr">
        <is>
          <t>DALARNAS LÄN</t>
        </is>
      </c>
      <c r="E1100" t="inlineStr">
        <is>
          <t>MORA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54042-2024</t>
        </is>
      </c>
      <c r="B1101" s="1" t="n">
        <v>45616</v>
      </c>
      <c r="C1101" s="1" t="n">
        <v>45642</v>
      </c>
      <c r="D1101" t="inlineStr">
        <is>
          <t>DALARNAS LÄN</t>
        </is>
      </c>
      <c r="E1101" t="inlineStr">
        <is>
          <t>MORA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54129-2024</t>
        </is>
      </c>
      <c r="B1102" s="1" t="n">
        <v>45616</v>
      </c>
      <c r="C1102" s="1" t="n">
        <v>45642</v>
      </c>
      <c r="D1102" t="inlineStr">
        <is>
          <t>DALARNAS LÄN</t>
        </is>
      </c>
      <c r="E1102" t="inlineStr">
        <is>
          <t>MORA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45642</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45642</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54699-2024</t>
        </is>
      </c>
      <c r="B1105" s="1" t="n">
        <v>45618</v>
      </c>
      <c r="C1105" s="1" t="n">
        <v>45642</v>
      </c>
      <c r="D1105" t="inlineStr">
        <is>
          <t>DALARNAS LÄN</t>
        </is>
      </c>
      <c r="E1105" t="inlineStr">
        <is>
          <t>MORA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54749-2024</t>
        </is>
      </c>
      <c r="B1106" s="1" t="n">
        <v>45618</v>
      </c>
      <c r="C1106" s="1" t="n">
        <v>45642</v>
      </c>
      <c r="D1106" t="inlineStr">
        <is>
          <t>DALARNAS LÄN</t>
        </is>
      </c>
      <c r="E1106" t="inlineStr">
        <is>
          <t>MORA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54762-2024</t>
        </is>
      </c>
      <c r="B1107" s="1" t="n">
        <v>45618</v>
      </c>
      <c r="C1107" s="1" t="n">
        <v>45642</v>
      </c>
      <c r="D1107" t="inlineStr">
        <is>
          <t>DALARNAS LÄN</t>
        </is>
      </c>
      <c r="E1107" t="inlineStr">
        <is>
          <t>MORA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55105-2024</t>
        </is>
      </c>
      <c r="B1108" s="1" t="n">
        <v>45621</v>
      </c>
      <c r="C1108" s="1" t="n">
        <v>45642</v>
      </c>
      <c r="D1108" t="inlineStr">
        <is>
          <t>DALARNAS LÄN</t>
        </is>
      </c>
      <c r="E1108" t="inlineStr">
        <is>
          <t>MORA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55114-2024</t>
        </is>
      </c>
      <c r="B1109" s="1" t="n">
        <v>45621</v>
      </c>
      <c r="C1109" s="1" t="n">
        <v>45642</v>
      </c>
      <c r="D1109" t="inlineStr">
        <is>
          <t>DALARNAS LÄN</t>
        </is>
      </c>
      <c r="E1109" t="inlineStr">
        <is>
          <t>MORA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55120-2024</t>
        </is>
      </c>
      <c r="B1110" s="1" t="n">
        <v>45621</v>
      </c>
      <c r="C1110" s="1" t="n">
        <v>45642</v>
      </c>
      <c r="D1110" t="inlineStr">
        <is>
          <t>DALARNAS LÄN</t>
        </is>
      </c>
      <c r="E1110" t="inlineStr">
        <is>
          <t>MORA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45642</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45642</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45642</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55625-2024</t>
        </is>
      </c>
      <c r="B1114" s="1" t="n">
        <v>45622</v>
      </c>
      <c r="C1114" s="1" t="n">
        <v>45642</v>
      </c>
      <c r="D1114" t="inlineStr">
        <is>
          <t>DALARNAS LÄN</t>
        </is>
      </c>
      <c r="E1114" t="inlineStr">
        <is>
          <t>MORA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55456-2024</t>
        </is>
      </c>
      <c r="B1115" s="1" t="n">
        <v>45622</v>
      </c>
      <c r="C1115" s="1" t="n">
        <v>45642</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55671-2024</t>
        </is>
      </c>
      <c r="B1116" s="1" t="n">
        <v>45622</v>
      </c>
      <c r="C1116" s="1" t="n">
        <v>45642</v>
      </c>
      <c r="D1116" t="inlineStr">
        <is>
          <t>DALARNAS LÄN</t>
        </is>
      </c>
      <c r="E1116" t="inlineStr">
        <is>
          <t>MORA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55809-2024</t>
        </is>
      </c>
      <c r="B1117" s="1" t="n">
        <v>45623</v>
      </c>
      <c r="C1117" s="1" t="n">
        <v>45642</v>
      </c>
      <c r="D1117" t="inlineStr">
        <is>
          <t>DALARNAS LÄN</t>
        </is>
      </c>
      <c r="E1117" t="inlineStr">
        <is>
          <t>MORA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56078-2024</t>
        </is>
      </c>
      <c r="B1118" s="1" t="n">
        <v>45624</v>
      </c>
      <c r="C1118" s="1" t="n">
        <v>45642</v>
      </c>
      <c r="D1118" t="inlineStr">
        <is>
          <t>DALARNAS LÄN</t>
        </is>
      </c>
      <c r="E1118" t="inlineStr">
        <is>
          <t>MORA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56268-2024</t>
        </is>
      </c>
      <c r="B1119" s="1" t="n">
        <v>45624</v>
      </c>
      <c r="C1119" s="1" t="n">
        <v>45642</v>
      </c>
      <c r="D1119" t="inlineStr">
        <is>
          <t>DALARNAS LÄN</t>
        </is>
      </c>
      <c r="E1119" t="inlineStr">
        <is>
          <t>MORA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56425-2024</t>
        </is>
      </c>
      <c r="B1120" s="1" t="n">
        <v>45625</v>
      </c>
      <c r="C1120" s="1" t="n">
        <v>45642</v>
      </c>
      <c r="D1120" t="inlineStr">
        <is>
          <t>DALARNAS LÄN</t>
        </is>
      </c>
      <c r="E1120" t="inlineStr">
        <is>
          <t>MORA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56438-2024</t>
        </is>
      </c>
      <c r="B1121" s="1" t="n">
        <v>45625</v>
      </c>
      <c r="C1121" s="1" t="n">
        <v>45642</v>
      </c>
      <c r="D1121" t="inlineStr">
        <is>
          <t>DALARNAS LÄN</t>
        </is>
      </c>
      <c r="E1121" t="inlineStr">
        <is>
          <t>MORA</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56528-2024</t>
        </is>
      </c>
      <c r="B1122" s="1" t="n">
        <v>45625</v>
      </c>
      <c r="C1122" s="1" t="n">
        <v>45642</v>
      </c>
      <c r="D1122" t="inlineStr">
        <is>
          <t>DALARNAS LÄN</t>
        </is>
      </c>
      <c r="E1122" t="inlineStr">
        <is>
          <t>MORA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56532-2024</t>
        </is>
      </c>
      <c r="B1123" s="1" t="n">
        <v>45625</v>
      </c>
      <c r="C1123" s="1" t="n">
        <v>45642</v>
      </c>
      <c r="D1123" t="inlineStr">
        <is>
          <t>DALARNAS LÄN</t>
        </is>
      </c>
      <c r="E1123" t="inlineStr">
        <is>
          <t>MORA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56935-2024</t>
        </is>
      </c>
      <c r="B1124" s="1" t="n">
        <v>45625</v>
      </c>
      <c r="C1124" s="1" t="n">
        <v>45642</v>
      </c>
      <c r="D1124" t="inlineStr">
        <is>
          <t>DALARNAS LÄN</t>
        </is>
      </c>
      <c r="E1124" t="inlineStr">
        <is>
          <t>MORA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56927-2024</t>
        </is>
      </c>
      <c r="B1125" s="1" t="n">
        <v>45625</v>
      </c>
      <c r="C1125" s="1" t="n">
        <v>45642</v>
      </c>
      <c r="D1125" t="inlineStr">
        <is>
          <t>DALARNAS LÄN</t>
        </is>
      </c>
      <c r="E1125" t="inlineStr">
        <is>
          <t>MORA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56937-2024</t>
        </is>
      </c>
      <c r="B1126" s="1" t="n">
        <v>45625</v>
      </c>
      <c r="C1126" s="1" t="n">
        <v>45642</v>
      </c>
      <c r="D1126" t="inlineStr">
        <is>
          <t>DALARNAS LÄN</t>
        </is>
      </c>
      <c r="E1126" t="inlineStr">
        <is>
          <t>MORA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45642</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56900-2024</t>
        </is>
      </c>
      <c r="B1128" s="1" t="n">
        <v>45625</v>
      </c>
      <c r="C1128" s="1" t="n">
        <v>45642</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56767-2024</t>
        </is>
      </c>
      <c r="B1129" s="1" t="n">
        <v>45628</v>
      </c>
      <c r="C1129" s="1" t="n">
        <v>45642</v>
      </c>
      <c r="D1129" t="inlineStr">
        <is>
          <t>DALARNAS LÄN</t>
        </is>
      </c>
      <c r="E1129" t="inlineStr">
        <is>
          <t>MORA</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56770-2024</t>
        </is>
      </c>
      <c r="B1130" s="1" t="n">
        <v>45628</v>
      </c>
      <c r="C1130" s="1" t="n">
        <v>45642</v>
      </c>
      <c r="D1130" t="inlineStr">
        <is>
          <t>DALARNAS LÄN</t>
        </is>
      </c>
      <c r="E1130" t="inlineStr">
        <is>
          <t>MORA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56834-2024</t>
        </is>
      </c>
      <c r="B1131" s="1" t="n">
        <v>45628</v>
      </c>
      <c r="C1131" s="1" t="n">
        <v>45642</v>
      </c>
      <c r="D1131" t="inlineStr">
        <is>
          <t>DALARNAS LÄN</t>
        </is>
      </c>
      <c r="E1131" t="inlineStr">
        <is>
          <t>MORA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56828-2024</t>
        </is>
      </c>
      <c r="B1132" s="1" t="n">
        <v>45628</v>
      </c>
      <c r="C1132" s="1" t="n">
        <v>45642</v>
      </c>
      <c r="D1132" t="inlineStr">
        <is>
          <t>DALARNAS LÄN</t>
        </is>
      </c>
      <c r="E1132" t="inlineStr">
        <is>
          <t>MORA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57395-2024</t>
        </is>
      </c>
      <c r="B1133" s="1" t="n">
        <v>45629</v>
      </c>
      <c r="C1133" s="1" t="n">
        <v>45642</v>
      </c>
      <c r="D1133" t="inlineStr">
        <is>
          <t>DALARNAS LÄN</t>
        </is>
      </c>
      <c r="E1133" t="inlineStr">
        <is>
          <t>MORA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57957-2024</t>
        </is>
      </c>
      <c r="B1134" s="1" t="n">
        <v>45631</v>
      </c>
      <c r="C1134" s="1" t="n">
        <v>45642</v>
      </c>
      <c r="D1134" t="inlineStr">
        <is>
          <t>DALARNAS LÄN</t>
        </is>
      </c>
      <c r="E1134" t="inlineStr">
        <is>
          <t>MORA</t>
        </is>
      </c>
      <c r="F1134" t="inlineStr">
        <is>
          <t>Kommuner</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57994-2024</t>
        </is>
      </c>
      <c r="B1135" s="1" t="n">
        <v>45631</v>
      </c>
      <c r="C1135" s="1" t="n">
        <v>45642</v>
      </c>
      <c r="D1135" t="inlineStr">
        <is>
          <t>DALARNAS LÄN</t>
        </is>
      </c>
      <c r="E1135" t="inlineStr">
        <is>
          <t>MORA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58036-2024</t>
        </is>
      </c>
      <c r="B1136" s="1" t="n">
        <v>45631</v>
      </c>
      <c r="C1136" s="1" t="n">
        <v>45642</v>
      </c>
      <c r="D1136" t="inlineStr">
        <is>
          <t>DALARNAS LÄN</t>
        </is>
      </c>
      <c r="E1136" t="inlineStr">
        <is>
          <t>MORA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58089-2024</t>
        </is>
      </c>
      <c r="B1137" s="1" t="n">
        <v>45632</v>
      </c>
      <c r="C1137" s="1" t="n">
        <v>45642</v>
      </c>
      <c r="D1137" t="inlineStr">
        <is>
          <t>DALARNAS LÄN</t>
        </is>
      </c>
      <c r="E1137" t="inlineStr">
        <is>
          <t>MORA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58131-2024</t>
        </is>
      </c>
      <c r="B1138" s="1" t="n">
        <v>45632</v>
      </c>
      <c r="C1138" s="1" t="n">
        <v>45642</v>
      </c>
      <c r="D1138" t="inlineStr">
        <is>
          <t>DALARNAS LÄN</t>
        </is>
      </c>
      <c r="E1138" t="inlineStr">
        <is>
          <t>MORA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58177-2024</t>
        </is>
      </c>
      <c r="B1139" s="1" t="n">
        <v>45632</v>
      </c>
      <c r="C1139" s="1" t="n">
        <v>45642</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58171-2024</t>
        </is>
      </c>
      <c r="B1140" s="1" t="n">
        <v>45632</v>
      </c>
      <c r="C1140" s="1" t="n">
        <v>45642</v>
      </c>
      <c r="D1140" t="inlineStr">
        <is>
          <t>DALARNAS LÄN</t>
        </is>
      </c>
      <c r="E1140" t="inlineStr">
        <is>
          <t>MORA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59002-2024</t>
        </is>
      </c>
      <c r="B1141" s="1" t="n">
        <v>45636</v>
      </c>
      <c r="C1141" s="1" t="n">
        <v>45642</v>
      </c>
      <c r="D1141" t="inlineStr">
        <is>
          <t>DALARNAS LÄN</t>
        </is>
      </c>
      <c r="E1141" t="inlineStr">
        <is>
          <t>MORA</t>
        </is>
      </c>
      <c r="F1141" t="inlineStr">
        <is>
          <t>Bergvik skog väst AB</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59101-2024</t>
        </is>
      </c>
      <c r="B1142" s="1" t="n">
        <v>45637</v>
      </c>
      <c r="C1142" s="1" t="n">
        <v>45642</v>
      </c>
      <c r="D1142" t="inlineStr">
        <is>
          <t>DALARNAS LÄN</t>
        </is>
      </c>
      <c r="E1142" t="inlineStr">
        <is>
          <t>MORA</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59404-2024</t>
        </is>
      </c>
      <c r="B1143" s="1" t="n">
        <v>45638</v>
      </c>
      <c r="C1143" s="1" t="n">
        <v>45642</v>
      </c>
      <c r="D1143" t="inlineStr">
        <is>
          <t>DALARNAS LÄN</t>
        </is>
      </c>
      <c r="E1143" t="inlineStr">
        <is>
          <t>MORA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59401-2024</t>
        </is>
      </c>
      <c r="B1144" s="1" t="n">
        <v>45638</v>
      </c>
      <c r="C1144" s="1" t="n">
        <v>45642</v>
      </c>
      <c r="D1144" t="inlineStr">
        <is>
          <t>DALARNAS LÄN</t>
        </is>
      </c>
      <c r="E1144" t="inlineStr">
        <is>
          <t>MORA</t>
        </is>
      </c>
      <c r="G1144" t="n">
        <v>2.6</v>
      </c>
      <c r="H1144" t="n">
        <v>0</v>
      </c>
      <c r="I1144" t="n">
        <v>0</v>
      </c>
      <c r="J1144" t="n">
        <v>0</v>
      </c>
      <c r="K1144" t="n">
        <v>0</v>
      </c>
      <c r="L1144" t="n">
        <v>0</v>
      </c>
      <c r="M1144" t="n">
        <v>0</v>
      </c>
      <c r="N1144" t="n">
        <v>0</v>
      </c>
      <c r="O1144" t="n">
        <v>0</v>
      </c>
      <c r="P1144" t="n">
        <v>0</v>
      </c>
      <c r="Q1144" t="n">
        <v>0</v>
      </c>
      <c r="R1144" s="2" t="inlineStr"/>
    </row>
    <row r="1145">
      <c r="A1145" t="inlineStr">
        <is>
          <t>A 59839-2024</t>
        </is>
      </c>
      <c r="B1145" s="1" t="n">
        <v>45639</v>
      </c>
      <c r="C1145" s="1" t="n">
        <v>45642</v>
      </c>
      <c r="D1145" t="inlineStr">
        <is>
          <t>DALARNAS LÄN</t>
        </is>
      </c>
      <c r="E1145" t="inlineStr">
        <is>
          <t>MORA</t>
        </is>
      </c>
      <c r="F1145" t="inlineStr">
        <is>
          <t>Bergvik skog öst AB</t>
        </is>
      </c>
      <c r="G1145" t="n">
        <v>1.8</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2024-12-16T15:13:16Z</dcterms:created>
  <dcterms:modified xmlns:dcterms="http://purl.org/dc/terms/" xmlns:xsi="http://www.w3.org/2001/XMLSchema-instance" xsi:type="dcterms:W3CDTF">2024-12-16T15:13:17Z</dcterms:modified>
</cp:coreProperties>
</file>