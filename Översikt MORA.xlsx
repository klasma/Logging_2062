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45886</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45886</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45886</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35482-2025</t>
        </is>
      </c>
      <c r="B7" s="1" t="n">
        <v>45855.72728009259</v>
      </c>
      <c r="C7" s="1" t="n">
        <v>45886</v>
      </c>
      <c r="D7" t="inlineStr">
        <is>
          <t>DALARNAS LÄN</t>
        </is>
      </c>
      <c r="E7" t="inlineStr">
        <is>
          <t>MORA</t>
        </is>
      </c>
      <c r="F7" t="inlineStr">
        <is>
          <t>Allmännings- och besparingsskogar</t>
        </is>
      </c>
      <c r="G7" t="n">
        <v>23.6</v>
      </c>
      <c r="H7" t="n">
        <v>5</v>
      </c>
      <c r="I7" t="n">
        <v>5</v>
      </c>
      <c r="J7" t="n">
        <v>11</v>
      </c>
      <c r="K7" t="n">
        <v>0</v>
      </c>
      <c r="L7" t="n">
        <v>0</v>
      </c>
      <c r="M7" t="n">
        <v>0</v>
      </c>
      <c r="N7" t="n">
        <v>0</v>
      </c>
      <c r="O7" t="n">
        <v>11</v>
      </c>
      <c r="P7" t="n">
        <v>0</v>
      </c>
      <c r="Q7" t="n">
        <v>18</v>
      </c>
      <c r="R7" s="2" t="inlineStr">
        <is>
          <t>Blå taggsvamp
Blågrå svartspik
Garnlav
Kolflarnlav
Mörk kolflarnlav
Spillkråka
Tallticka
Talltita
Tretåig hackspett
Vedflamlav
Vedskivlav
Bronshjon
Dropptaggsvamp
Jättesvampmal
Mindre märgborre
Thomsons trägnagare
Kungsfågel
Tjäder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34018-2021</t>
        </is>
      </c>
      <c r="B8" s="1" t="n">
        <v>44379.34289351852</v>
      </c>
      <c r="C8" s="1" t="n">
        <v>45886</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20531-2025</t>
        </is>
      </c>
      <c r="B9" s="1" t="n">
        <v>45775.6125462963</v>
      </c>
      <c r="C9" s="1" t="n">
        <v>45886</v>
      </c>
      <c r="D9" t="inlineStr">
        <is>
          <t>DALARNAS LÄN</t>
        </is>
      </c>
      <c r="E9" t="inlineStr">
        <is>
          <t>MORA</t>
        </is>
      </c>
      <c r="G9" t="n">
        <v>3</v>
      </c>
      <c r="H9" t="n">
        <v>5</v>
      </c>
      <c r="I9" t="n">
        <v>5</v>
      </c>
      <c r="J9" t="n">
        <v>8</v>
      </c>
      <c r="K9" t="n">
        <v>0</v>
      </c>
      <c r="L9" t="n">
        <v>1</v>
      </c>
      <c r="M9" t="n">
        <v>0</v>
      </c>
      <c r="N9" t="n">
        <v>0</v>
      </c>
      <c r="O9" t="n">
        <v>9</v>
      </c>
      <c r="P9" t="n">
        <v>1</v>
      </c>
      <c r="Q9" t="n">
        <v>16</v>
      </c>
      <c r="R9" s="2" t="inlineStr">
        <is>
          <t>Tornseglare
Garnlav
Kolflarnlav
Mörk kolflarnlav
Spillkråka
Vedflamlav
Vedskivlav
Violettgrå tagellav
Vitgrynig nållav
Luddlav
Mindre märgborre
Nästlav
Plattlummer
Tibast
Fläcknycklar
Revlummer</t>
        </is>
      </c>
      <c r="S9">
        <f>HYPERLINK("https://klasma.github.io/Logging_2062/artfynd/A 20531-2025 artfynd.xlsx", "A 20531-2025")</f>
        <v/>
      </c>
      <c r="T9">
        <f>HYPERLINK("https://klasma.github.io/Logging_2062/kartor/A 20531-2025 karta.png", "A 20531-2025")</f>
        <v/>
      </c>
      <c r="V9">
        <f>HYPERLINK("https://klasma.github.io/Logging_2062/klagomål/A 20531-2025 FSC-klagomål.docx", "A 20531-2025")</f>
        <v/>
      </c>
      <c r="W9">
        <f>HYPERLINK("https://klasma.github.io/Logging_2062/klagomålsmail/A 20531-2025 FSC-klagomål mail.docx", "A 20531-2025")</f>
        <v/>
      </c>
      <c r="X9">
        <f>HYPERLINK("https://klasma.github.io/Logging_2062/tillsyn/A 20531-2025 tillsynsbegäran.docx", "A 20531-2025")</f>
        <v/>
      </c>
      <c r="Y9">
        <f>HYPERLINK("https://klasma.github.io/Logging_2062/tillsynsmail/A 20531-2025 tillsynsbegäran mail.docx", "A 20531-2025")</f>
        <v/>
      </c>
      <c r="Z9">
        <f>HYPERLINK("https://klasma.github.io/Logging_2062/fåglar/A 20531-2025 prioriterade fågelarter.docx", "A 20531-2025")</f>
        <v/>
      </c>
    </row>
    <row r="10" ht="15" customHeight="1">
      <c r="A10" t="inlineStr">
        <is>
          <t>A 15853-2025</t>
        </is>
      </c>
      <c r="B10" s="1" t="n">
        <v>45749</v>
      </c>
      <c r="C10" s="1" t="n">
        <v>45886</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56438-2024</t>
        </is>
      </c>
      <c r="B11" s="1" t="n">
        <v>45625</v>
      </c>
      <c r="C11" s="1" t="n">
        <v>45886</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48348-2024</t>
        </is>
      </c>
      <c r="B12" s="1" t="n">
        <v>45590</v>
      </c>
      <c r="C12" s="1" t="n">
        <v>45886</v>
      </c>
      <c r="D12" t="inlineStr">
        <is>
          <t>DALARNAS LÄN</t>
        </is>
      </c>
      <c r="E12" t="inlineStr">
        <is>
          <t>MORA</t>
        </is>
      </c>
      <c r="G12" t="n">
        <v>31.7</v>
      </c>
      <c r="H12" t="n">
        <v>2</v>
      </c>
      <c r="I12" t="n">
        <v>3</v>
      </c>
      <c r="J12" t="n">
        <v>11</v>
      </c>
      <c r="K12" t="n">
        <v>0</v>
      </c>
      <c r="L12" t="n">
        <v>0</v>
      </c>
      <c r="M12" t="n">
        <v>0</v>
      </c>
      <c r="N12" t="n">
        <v>0</v>
      </c>
      <c r="O12" t="n">
        <v>11</v>
      </c>
      <c r="P12" t="n">
        <v>0</v>
      </c>
      <c r="Q12" t="n">
        <v>14</v>
      </c>
      <c r="R12" s="2" t="inlineStr">
        <is>
          <t>Dvärgbägarlav
Garnlav
Kolflarnlav
Mörk kolflarnlav
Spillkråka
Tallriska
Tallticka
Talltita
Vedflamlav
Vedskivlav
Vitgrynig nållav
Bronshjon
Skarp dropptaggsvamp
Vedticka</t>
        </is>
      </c>
      <c r="S12">
        <f>HYPERLINK("https://klasma.github.io/Logging_2062/artfynd/A 48348-2024 artfynd.xlsx", "A 48348-2024")</f>
        <v/>
      </c>
      <c r="T12">
        <f>HYPERLINK("https://klasma.github.io/Logging_2062/kartor/A 48348-2024 karta.png", "A 48348-2024")</f>
        <v/>
      </c>
      <c r="V12">
        <f>HYPERLINK("https://klasma.github.io/Logging_2062/klagomål/A 48348-2024 FSC-klagomål.docx", "A 48348-2024")</f>
        <v/>
      </c>
      <c r="W12">
        <f>HYPERLINK("https://klasma.github.io/Logging_2062/klagomålsmail/A 48348-2024 FSC-klagomål mail.docx", "A 48348-2024")</f>
        <v/>
      </c>
      <c r="X12">
        <f>HYPERLINK("https://klasma.github.io/Logging_2062/tillsyn/A 48348-2024 tillsynsbegäran.docx", "A 48348-2024")</f>
        <v/>
      </c>
      <c r="Y12">
        <f>HYPERLINK("https://klasma.github.io/Logging_2062/tillsynsmail/A 48348-2024 tillsynsbegäran mail.docx", "A 48348-2024")</f>
        <v/>
      </c>
      <c r="Z12">
        <f>HYPERLINK("https://klasma.github.io/Logging_2062/fåglar/A 48348-2024 prioriterade fågelarter.docx", "A 48348-2024")</f>
        <v/>
      </c>
    </row>
    <row r="13" ht="15" customHeight="1">
      <c r="A13" t="inlineStr">
        <is>
          <t>A 23535-2025</t>
        </is>
      </c>
      <c r="B13" s="1" t="n">
        <v>45792</v>
      </c>
      <c r="C13" s="1" t="n">
        <v>45886</v>
      </c>
      <c r="D13" t="inlineStr">
        <is>
          <t>DALARNAS LÄN</t>
        </is>
      </c>
      <c r="E13" t="inlineStr">
        <is>
          <t>MORA</t>
        </is>
      </c>
      <c r="G13" t="n">
        <v>8.6</v>
      </c>
      <c r="H13" t="n">
        <v>3</v>
      </c>
      <c r="I13" t="n">
        <v>1</v>
      </c>
      <c r="J13" t="n">
        <v>10</v>
      </c>
      <c r="K13" t="n">
        <v>0</v>
      </c>
      <c r="L13" t="n">
        <v>1</v>
      </c>
      <c r="M13" t="n">
        <v>0</v>
      </c>
      <c r="N13" t="n">
        <v>0</v>
      </c>
      <c r="O13" t="n">
        <v>11</v>
      </c>
      <c r="P13" t="n">
        <v>1</v>
      </c>
      <c r="Q13" t="n">
        <v>13</v>
      </c>
      <c r="R13" s="2" t="inlineStr">
        <is>
          <t>Urskogsporing
Blanksvart spiklav
Blågrå svartspik
Dvärgbägarlav
Garnlav
Kolflarnlav
Mörk kolflarnlav
Tretåig hackspett
Varglav
Vedflamlav
Vedskivlav
Dropptaggsvamp
Tjäder</t>
        </is>
      </c>
      <c r="S13">
        <f>HYPERLINK("https://klasma.github.io/Logging_2062/artfynd/A 23535-2025 artfynd.xlsx", "A 23535-2025")</f>
        <v/>
      </c>
      <c r="T13">
        <f>HYPERLINK("https://klasma.github.io/Logging_2062/kartor/A 23535-2025 karta.png", "A 23535-2025")</f>
        <v/>
      </c>
      <c r="V13">
        <f>HYPERLINK("https://klasma.github.io/Logging_2062/klagomål/A 23535-2025 FSC-klagomål.docx", "A 23535-2025")</f>
        <v/>
      </c>
      <c r="W13">
        <f>HYPERLINK("https://klasma.github.io/Logging_2062/klagomålsmail/A 23535-2025 FSC-klagomål mail.docx", "A 23535-2025")</f>
        <v/>
      </c>
      <c r="X13">
        <f>HYPERLINK("https://klasma.github.io/Logging_2062/tillsyn/A 23535-2025 tillsynsbegäran.docx", "A 23535-2025")</f>
        <v/>
      </c>
      <c r="Y13">
        <f>HYPERLINK("https://klasma.github.io/Logging_2062/tillsynsmail/A 23535-2025 tillsynsbegäran mail.docx", "A 23535-2025")</f>
        <v/>
      </c>
      <c r="Z13">
        <f>HYPERLINK("https://klasma.github.io/Logging_2062/fåglar/A 23535-2025 prioriterade fågelarter.docx", "A 23535-2025")</f>
        <v/>
      </c>
    </row>
    <row r="14" ht="15" customHeight="1">
      <c r="A14" t="inlineStr">
        <is>
          <t>A 24131-2025</t>
        </is>
      </c>
      <c r="B14" s="1" t="n">
        <v>45796.63532407407</v>
      </c>
      <c r="C14" s="1" t="n">
        <v>45886</v>
      </c>
      <c r="D14" t="inlineStr">
        <is>
          <t>DALARNAS LÄN</t>
        </is>
      </c>
      <c r="E14" t="inlineStr">
        <is>
          <t>MORA</t>
        </is>
      </c>
      <c r="F14" t="inlineStr">
        <is>
          <t>Bergvik skog öst AB</t>
        </is>
      </c>
      <c r="G14" t="n">
        <v>8.6</v>
      </c>
      <c r="H14" t="n">
        <v>4</v>
      </c>
      <c r="I14" t="n">
        <v>4</v>
      </c>
      <c r="J14" t="n">
        <v>6</v>
      </c>
      <c r="K14" t="n">
        <v>1</v>
      </c>
      <c r="L14" t="n">
        <v>0</v>
      </c>
      <c r="M14" t="n">
        <v>0</v>
      </c>
      <c r="N14" t="n">
        <v>0</v>
      </c>
      <c r="O14" t="n">
        <v>7</v>
      </c>
      <c r="P14" t="n">
        <v>1</v>
      </c>
      <c r="Q14" t="n">
        <v>13</v>
      </c>
      <c r="R14" s="2" t="inlineStr">
        <is>
          <t>Knärot
Garnlav
Kolflarnlav
Mörk kolflarnlav
Talltita
Ullticka
Vedskivlav
Korallblylav
Mindre märgborre
Skinnlav
Stuplav
Tjäder
Nattviol</t>
        </is>
      </c>
      <c r="S14">
        <f>HYPERLINK("https://klasma.github.io/Logging_2062/artfynd/A 24131-2025 artfynd.xlsx", "A 24131-2025")</f>
        <v/>
      </c>
      <c r="T14">
        <f>HYPERLINK("https://klasma.github.io/Logging_2062/kartor/A 24131-2025 karta.png", "A 24131-2025")</f>
        <v/>
      </c>
      <c r="U14">
        <f>HYPERLINK("https://klasma.github.io/Logging_2062/knärot/A 24131-2025 karta knärot.png", "A 24131-2025")</f>
        <v/>
      </c>
      <c r="V14">
        <f>HYPERLINK("https://klasma.github.io/Logging_2062/klagomål/A 24131-2025 FSC-klagomål.docx", "A 24131-2025")</f>
        <v/>
      </c>
      <c r="W14">
        <f>HYPERLINK("https://klasma.github.io/Logging_2062/klagomålsmail/A 24131-2025 FSC-klagomål mail.docx", "A 24131-2025")</f>
        <v/>
      </c>
      <c r="X14">
        <f>HYPERLINK("https://klasma.github.io/Logging_2062/tillsyn/A 24131-2025 tillsynsbegäran.docx", "A 24131-2025")</f>
        <v/>
      </c>
      <c r="Y14">
        <f>HYPERLINK("https://klasma.github.io/Logging_2062/tillsynsmail/A 24131-2025 tillsynsbegäran mail.docx", "A 24131-2025")</f>
        <v/>
      </c>
      <c r="Z14">
        <f>HYPERLINK("https://klasma.github.io/Logging_2062/fåglar/A 24131-2025 prioriterade fågelarter.docx", "A 24131-2025")</f>
        <v/>
      </c>
    </row>
    <row r="15" ht="15" customHeight="1">
      <c r="A15" t="inlineStr">
        <is>
          <t>A 31562-2025</t>
        </is>
      </c>
      <c r="B15" s="1" t="n">
        <v>45833</v>
      </c>
      <c r="C15" s="1" t="n">
        <v>45886</v>
      </c>
      <c r="D15" t="inlineStr">
        <is>
          <t>DALARNAS LÄN</t>
        </is>
      </c>
      <c r="E15" t="inlineStr">
        <is>
          <t>MORA</t>
        </is>
      </c>
      <c r="G15" t="n">
        <v>12.4</v>
      </c>
      <c r="H15" t="n">
        <v>4</v>
      </c>
      <c r="I15" t="n">
        <v>4</v>
      </c>
      <c r="J15" t="n">
        <v>5</v>
      </c>
      <c r="K15" t="n">
        <v>1</v>
      </c>
      <c r="L15" t="n">
        <v>0</v>
      </c>
      <c r="M15" t="n">
        <v>0</v>
      </c>
      <c r="N15" t="n">
        <v>0</v>
      </c>
      <c r="O15" t="n">
        <v>6</v>
      </c>
      <c r="P15" t="n">
        <v>1</v>
      </c>
      <c r="Q15" t="n">
        <v>11</v>
      </c>
      <c r="R15" s="2" t="inlineStr">
        <is>
          <t>Knärot
Garnlav
Tallticka
Talltita
Tretåig hackspett
Vitgrynig nållav
Kattfotslav
Mindre märgborre
Nästlav
Thomsons trägnagare
Fläcknycklar</t>
        </is>
      </c>
      <c r="S15">
        <f>HYPERLINK("https://klasma.github.io/Logging_2062/artfynd/A 31562-2025 artfynd.xlsx", "A 31562-2025")</f>
        <v/>
      </c>
      <c r="T15">
        <f>HYPERLINK("https://klasma.github.io/Logging_2062/kartor/A 31562-2025 karta.png", "A 31562-2025")</f>
        <v/>
      </c>
      <c r="U15">
        <f>HYPERLINK("https://klasma.github.io/Logging_2062/knärot/A 31562-2025 karta knärot.png", "A 31562-2025")</f>
        <v/>
      </c>
      <c r="V15">
        <f>HYPERLINK("https://klasma.github.io/Logging_2062/klagomål/A 31562-2025 FSC-klagomål.docx", "A 31562-2025")</f>
        <v/>
      </c>
      <c r="W15">
        <f>HYPERLINK("https://klasma.github.io/Logging_2062/klagomålsmail/A 31562-2025 FSC-klagomål mail.docx", "A 31562-2025")</f>
        <v/>
      </c>
      <c r="X15">
        <f>HYPERLINK("https://klasma.github.io/Logging_2062/tillsyn/A 31562-2025 tillsynsbegäran.docx", "A 31562-2025")</f>
        <v/>
      </c>
      <c r="Y15">
        <f>HYPERLINK("https://klasma.github.io/Logging_2062/tillsynsmail/A 31562-2025 tillsynsbegäran mail.docx", "A 31562-2025")</f>
        <v/>
      </c>
      <c r="Z15">
        <f>HYPERLINK("https://klasma.github.io/Logging_2062/fåglar/A 31562-2025 prioriterade fågelarter.docx", "A 31562-2025")</f>
        <v/>
      </c>
    </row>
    <row r="16" ht="15" customHeight="1">
      <c r="A16" t="inlineStr">
        <is>
          <t>A 34714-2025</t>
        </is>
      </c>
      <c r="B16" s="1" t="n">
        <v>45848.52030092593</v>
      </c>
      <c r="C16" s="1" t="n">
        <v>45886</v>
      </c>
      <c r="D16" t="inlineStr">
        <is>
          <t>DALARNAS LÄN</t>
        </is>
      </c>
      <c r="E16" t="inlineStr">
        <is>
          <t>MORA</t>
        </is>
      </c>
      <c r="G16" t="n">
        <v>8.199999999999999</v>
      </c>
      <c r="H16" t="n">
        <v>5</v>
      </c>
      <c r="I16" t="n">
        <v>3</v>
      </c>
      <c r="J16" t="n">
        <v>5</v>
      </c>
      <c r="K16" t="n">
        <v>1</v>
      </c>
      <c r="L16" t="n">
        <v>0</v>
      </c>
      <c r="M16" t="n">
        <v>0</v>
      </c>
      <c r="N16" t="n">
        <v>0</v>
      </c>
      <c r="O16" t="n">
        <v>6</v>
      </c>
      <c r="P16" t="n">
        <v>1</v>
      </c>
      <c r="Q16" t="n">
        <v>10</v>
      </c>
      <c r="R16" s="2" t="inlineStr">
        <is>
          <t>Knärot
Dvärgbägarlav
Garnlav
Kolflarnlav
Mörk kolflarnlav
Tretåig hackspett
Korallrot
Mindre märgborre
Spindelblomster
Tjäder</t>
        </is>
      </c>
      <c r="S16">
        <f>HYPERLINK("https://klasma.github.io/Logging_2062/artfynd/A 34714-2025 artfynd.xlsx", "A 34714-2025")</f>
        <v/>
      </c>
      <c r="T16">
        <f>HYPERLINK("https://klasma.github.io/Logging_2062/kartor/A 34714-2025 karta.png", "A 34714-2025")</f>
        <v/>
      </c>
      <c r="U16">
        <f>HYPERLINK("https://klasma.github.io/Logging_2062/knärot/A 34714-2025 karta knärot.png", "A 34714-2025")</f>
        <v/>
      </c>
      <c r="V16">
        <f>HYPERLINK("https://klasma.github.io/Logging_2062/klagomål/A 34714-2025 FSC-klagomål.docx", "A 34714-2025")</f>
        <v/>
      </c>
      <c r="W16">
        <f>HYPERLINK("https://klasma.github.io/Logging_2062/klagomålsmail/A 34714-2025 FSC-klagomål mail.docx", "A 34714-2025")</f>
        <v/>
      </c>
      <c r="X16">
        <f>HYPERLINK("https://klasma.github.io/Logging_2062/tillsyn/A 34714-2025 tillsynsbegäran.docx", "A 34714-2025")</f>
        <v/>
      </c>
      <c r="Y16">
        <f>HYPERLINK("https://klasma.github.io/Logging_2062/tillsynsmail/A 34714-2025 tillsynsbegäran mail.docx", "A 34714-2025")</f>
        <v/>
      </c>
      <c r="Z16">
        <f>HYPERLINK("https://klasma.github.io/Logging_2062/fåglar/A 34714-2025 prioriterade fågelarter.docx", "A 34714-2025")</f>
        <v/>
      </c>
    </row>
    <row r="17" ht="15" customHeight="1">
      <c r="A17" t="inlineStr">
        <is>
          <t>A 35944-2024</t>
        </is>
      </c>
      <c r="B17" s="1" t="n">
        <v>45533.45853009259</v>
      </c>
      <c r="C17" s="1" t="n">
        <v>45886</v>
      </c>
      <c r="D17" t="inlineStr">
        <is>
          <t>DALARNAS LÄN</t>
        </is>
      </c>
      <c r="E17" t="inlineStr">
        <is>
          <t>MORA</t>
        </is>
      </c>
      <c r="G17" t="n">
        <v>1.7</v>
      </c>
      <c r="H17" t="n">
        <v>2</v>
      </c>
      <c r="I17" t="n">
        <v>4</v>
      </c>
      <c r="J17" t="n">
        <v>6</v>
      </c>
      <c r="K17" t="n">
        <v>0</v>
      </c>
      <c r="L17" t="n">
        <v>0</v>
      </c>
      <c r="M17" t="n">
        <v>0</v>
      </c>
      <c r="N17" t="n">
        <v>0</v>
      </c>
      <c r="O17" t="n">
        <v>6</v>
      </c>
      <c r="P17" t="n">
        <v>0</v>
      </c>
      <c r="Q17" t="n">
        <v>10</v>
      </c>
      <c r="R17" s="2" t="inlineStr">
        <is>
          <t>Garnlav
Kortskaftad ärgspik
Spillkråka
Talltita
Ullticka
Vedtrappmossa
Bronshjon
Mindre märgborre
Thomsons trägnagare
Vedticka</t>
        </is>
      </c>
      <c r="S17">
        <f>HYPERLINK("https://klasma.github.io/Logging_2062/artfynd/A 35944-2024 artfynd.xlsx", "A 35944-2024")</f>
        <v/>
      </c>
      <c r="T17">
        <f>HYPERLINK("https://klasma.github.io/Logging_2062/kartor/A 35944-2024 karta.png", "A 35944-2024")</f>
        <v/>
      </c>
      <c r="V17">
        <f>HYPERLINK("https://klasma.github.io/Logging_2062/klagomål/A 35944-2024 FSC-klagomål.docx", "A 35944-2024")</f>
        <v/>
      </c>
      <c r="W17">
        <f>HYPERLINK("https://klasma.github.io/Logging_2062/klagomålsmail/A 35944-2024 FSC-klagomål mail.docx", "A 35944-2024")</f>
        <v/>
      </c>
      <c r="X17">
        <f>HYPERLINK("https://klasma.github.io/Logging_2062/tillsyn/A 35944-2024 tillsynsbegäran.docx", "A 35944-2024")</f>
        <v/>
      </c>
      <c r="Y17">
        <f>HYPERLINK("https://klasma.github.io/Logging_2062/tillsynsmail/A 35944-2024 tillsynsbegäran mail.docx", "A 35944-2024")</f>
        <v/>
      </c>
      <c r="Z17">
        <f>HYPERLINK("https://klasma.github.io/Logging_2062/fåglar/A 35944-2024 prioriterade fågelarter.docx", "A 35944-2024")</f>
        <v/>
      </c>
    </row>
    <row r="18" ht="15" customHeight="1">
      <c r="A18" t="inlineStr">
        <is>
          <t>A 35200-2025</t>
        </is>
      </c>
      <c r="B18" s="1" t="n">
        <v>45853.38729166667</v>
      </c>
      <c r="C18" s="1" t="n">
        <v>45886</v>
      </c>
      <c r="D18" t="inlineStr">
        <is>
          <t>DALARNAS LÄN</t>
        </is>
      </c>
      <c r="E18" t="inlineStr">
        <is>
          <t>MORA</t>
        </is>
      </c>
      <c r="G18" t="n">
        <v>9.9</v>
      </c>
      <c r="H18" t="n">
        <v>2</v>
      </c>
      <c r="I18" t="n">
        <v>1</v>
      </c>
      <c r="J18" t="n">
        <v>8</v>
      </c>
      <c r="K18" t="n">
        <v>0</v>
      </c>
      <c r="L18" t="n">
        <v>0</v>
      </c>
      <c r="M18" t="n">
        <v>0</v>
      </c>
      <c r="N18" t="n">
        <v>0</v>
      </c>
      <c r="O18" t="n">
        <v>8</v>
      </c>
      <c r="P18" t="n">
        <v>0</v>
      </c>
      <c r="Q18" t="n">
        <v>10</v>
      </c>
      <c r="R18" s="2" t="inlineStr">
        <is>
          <t>Garnlav
Kolflarnlav
Spillkråka
Tallticka
Vedflamlav
Vedskivlav
Violettgrå tagellav
Vitgrynig nållav
Mindre märgborre
Kungsfågel</t>
        </is>
      </c>
      <c r="S18">
        <f>HYPERLINK("https://klasma.github.io/Logging_2062/artfynd/A 35200-2025 artfynd.xlsx", "A 35200-2025")</f>
        <v/>
      </c>
      <c r="T18">
        <f>HYPERLINK("https://klasma.github.io/Logging_2062/kartor/A 35200-2025 karta.png", "A 35200-2025")</f>
        <v/>
      </c>
      <c r="V18">
        <f>HYPERLINK("https://klasma.github.io/Logging_2062/klagomål/A 35200-2025 FSC-klagomål.docx", "A 35200-2025")</f>
        <v/>
      </c>
      <c r="W18">
        <f>HYPERLINK("https://klasma.github.io/Logging_2062/klagomålsmail/A 35200-2025 FSC-klagomål mail.docx", "A 35200-2025")</f>
        <v/>
      </c>
      <c r="X18">
        <f>HYPERLINK("https://klasma.github.io/Logging_2062/tillsyn/A 35200-2025 tillsynsbegäran.docx", "A 35200-2025")</f>
        <v/>
      </c>
      <c r="Y18">
        <f>HYPERLINK("https://klasma.github.io/Logging_2062/tillsynsmail/A 35200-2025 tillsynsbegäran mail.docx", "A 35200-2025")</f>
        <v/>
      </c>
      <c r="Z18">
        <f>HYPERLINK("https://klasma.github.io/Logging_2062/fåglar/A 35200-2025 prioriterade fågelarter.docx", "A 35200-2025")</f>
        <v/>
      </c>
    </row>
    <row r="19" ht="15" customHeight="1">
      <c r="A19" t="inlineStr">
        <is>
          <t>A 29934-2025</t>
        </is>
      </c>
      <c r="B19" s="1" t="n">
        <v>45826.44267361111</v>
      </c>
      <c r="C19" s="1" t="n">
        <v>45886</v>
      </c>
      <c r="D19" t="inlineStr">
        <is>
          <t>DALARNAS LÄN</t>
        </is>
      </c>
      <c r="E19" t="inlineStr">
        <is>
          <t>MORA</t>
        </is>
      </c>
      <c r="G19" t="n">
        <v>5.6</v>
      </c>
      <c r="H19" t="n">
        <v>2</v>
      </c>
      <c r="I19" t="n">
        <v>2</v>
      </c>
      <c r="J19" t="n">
        <v>8</v>
      </c>
      <c r="K19" t="n">
        <v>0</v>
      </c>
      <c r="L19" t="n">
        <v>0</v>
      </c>
      <c r="M19" t="n">
        <v>0</v>
      </c>
      <c r="N19" t="n">
        <v>0</v>
      </c>
      <c r="O19" t="n">
        <v>8</v>
      </c>
      <c r="P19" t="n">
        <v>0</v>
      </c>
      <c r="Q19" t="n">
        <v>10</v>
      </c>
      <c r="R19" s="2" t="inlineStr">
        <is>
          <t>Garnlav
Kolflarnlav
Mörk kolflarnlav
Spillkråka
Vedflamlav
Vedskivlav
Violettgrå tagellav
Vitgrynig nållav
Mindre märgborre
Plattlummer</t>
        </is>
      </c>
      <c r="S19">
        <f>HYPERLINK("https://klasma.github.io/Logging_2062/artfynd/A 29934-2025 artfynd.xlsx", "A 29934-2025")</f>
        <v/>
      </c>
      <c r="T19">
        <f>HYPERLINK("https://klasma.github.io/Logging_2062/kartor/A 29934-2025 karta.png", "A 29934-2025")</f>
        <v/>
      </c>
      <c r="V19">
        <f>HYPERLINK("https://klasma.github.io/Logging_2062/klagomål/A 29934-2025 FSC-klagomål.docx", "A 29934-2025")</f>
        <v/>
      </c>
      <c r="W19">
        <f>HYPERLINK("https://klasma.github.io/Logging_2062/klagomålsmail/A 29934-2025 FSC-klagomål mail.docx", "A 29934-2025")</f>
        <v/>
      </c>
      <c r="X19">
        <f>HYPERLINK("https://klasma.github.io/Logging_2062/tillsyn/A 29934-2025 tillsynsbegäran.docx", "A 29934-2025")</f>
        <v/>
      </c>
      <c r="Y19">
        <f>HYPERLINK("https://klasma.github.io/Logging_2062/tillsynsmail/A 29934-2025 tillsynsbegäran mail.docx", "A 29934-2025")</f>
        <v/>
      </c>
      <c r="Z19">
        <f>HYPERLINK("https://klasma.github.io/Logging_2062/fåglar/A 29934-2025 prioriterade fågelarter.docx", "A 29934-2025")</f>
        <v/>
      </c>
    </row>
    <row r="20" ht="15" customHeight="1">
      <c r="A20" t="inlineStr">
        <is>
          <t>A 5064-2023</t>
        </is>
      </c>
      <c r="B20" s="1" t="n">
        <v>44958.60337962963</v>
      </c>
      <c r="C20" s="1" t="n">
        <v>45886</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21041-2023</t>
        </is>
      </c>
      <c r="B21" s="1" t="n">
        <v>45061.58952546296</v>
      </c>
      <c r="C21" s="1" t="n">
        <v>45886</v>
      </c>
      <c r="D21" t="inlineStr">
        <is>
          <t>DALARNAS LÄN</t>
        </is>
      </c>
      <c r="E21" t="inlineStr">
        <is>
          <t>MORA</t>
        </is>
      </c>
      <c r="F21" t="inlineStr">
        <is>
          <t>Bergvik skog öst AB</t>
        </is>
      </c>
      <c r="G21" t="n">
        <v>9.9</v>
      </c>
      <c r="H21" t="n">
        <v>0</v>
      </c>
      <c r="I21" t="n">
        <v>1</v>
      </c>
      <c r="J21" t="n">
        <v>8</v>
      </c>
      <c r="K21" t="n">
        <v>0</v>
      </c>
      <c r="L21" t="n">
        <v>0</v>
      </c>
      <c r="M21" t="n">
        <v>0</v>
      </c>
      <c r="N21" t="n">
        <v>0</v>
      </c>
      <c r="O21" t="n">
        <v>8</v>
      </c>
      <c r="P21" t="n">
        <v>0</v>
      </c>
      <c r="Q21" t="n">
        <v>9</v>
      </c>
      <c r="R21" s="2" t="inlineStr">
        <is>
          <t>Dvärgbägarlav
Garnlav
Kolflarnlav
Kortskaftad ärgspik
Mörk kolflarnlav
Vedflamlav
Vedskivlav
Violettgrå tagellav
Mindre märgborre</t>
        </is>
      </c>
      <c r="S21">
        <f>HYPERLINK("https://klasma.github.io/Logging_2062/artfynd/A 21041-2023 artfynd.xlsx", "A 21041-2023")</f>
        <v/>
      </c>
      <c r="T21">
        <f>HYPERLINK("https://klasma.github.io/Logging_2062/kartor/A 21041-2023 karta.png", "A 21041-2023")</f>
        <v/>
      </c>
      <c r="V21">
        <f>HYPERLINK("https://klasma.github.io/Logging_2062/klagomål/A 21041-2023 FSC-klagomål.docx", "A 21041-2023")</f>
        <v/>
      </c>
      <c r="W21">
        <f>HYPERLINK("https://klasma.github.io/Logging_2062/klagomålsmail/A 21041-2023 FSC-klagomål mail.docx", "A 21041-2023")</f>
        <v/>
      </c>
      <c r="X21">
        <f>HYPERLINK("https://klasma.github.io/Logging_2062/tillsyn/A 21041-2023 tillsynsbegäran.docx", "A 21041-2023")</f>
        <v/>
      </c>
      <c r="Y21">
        <f>HYPERLINK("https://klasma.github.io/Logging_2062/tillsynsmail/A 21041-2023 tillsynsbegäran mail.docx", "A 21041-2023")</f>
        <v/>
      </c>
    </row>
    <row r="22" ht="15" customHeight="1">
      <c r="A22" t="inlineStr">
        <is>
          <t>A 61943-2024</t>
        </is>
      </c>
      <c r="B22" s="1" t="n">
        <v>45653.49774305556</v>
      </c>
      <c r="C22" s="1" t="n">
        <v>45886</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30904-2025</t>
        </is>
      </c>
      <c r="B23" s="1" t="n">
        <v>45832.36327546297</v>
      </c>
      <c r="C23" s="1" t="n">
        <v>45886</v>
      </c>
      <c r="D23" t="inlineStr">
        <is>
          <t>DALARNAS LÄN</t>
        </is>
      </c>
      <c r="E23" t="inlineStr">
        <is>
          <t>MORA</t>
        </is>
      </c>
      <c r="G23" t="n">
        <v>6.6</v>
      </c>
      <c r="H23" t="n">
        <v>3</v>
      </c>
      <c r="I23" t="n">
        <v>1</v>
      </c>
      <c r="J23" t="n">
        <v>6</v>
      </c>
      <c r="K23" t="n">
        <v>0</v>
      </c>
      <c r="L23" t="n">
        <v>0</v>
      </c>
      <c r="M23" t="n">
        <v>0</v>
      </c>
      <c r="N23" t="n">
        <v>0</v>
      </c>
      <c r="O23" t="n">
        <v>6</v>
      </c>
      <c r="P23" t="n">
        <v>0</v>
      </c>
      <c r="Q23" t="n">
        <v>8</v>
      </c>
      <c r="R23" s="2" t="inlineStr">
        <is>
          <t>Garnlav
Spillkråka
Tallticka
Talltita
Vedflamlav
Vedskivlav
Mindre märgborre
Kungsfågel</t>
        </is>
      </c>
      <c r="S23">
        <f>HYPERLINK("https://klasma.github.io/Logging_2062/artfynd/A 30904-2025 artfynd.xlsx", "A 30904-2025")</f>
        <v/>
      </c>
      <c r="T23">
        <f>HYPERLINK("https://klasma.github.io/Logging_2062/kartor/A 30904-2025 karta.png", "A 30904-2025")</f>
        <v/>
      </c>
      <c r="V23">
        <f>HYPERLINK("https://klasma.github.io/Logging_2062/klagomål/A 30904-2025 FSC-klagomål.docx", "A 30904-2025")</f>
        <v/>
      </c>
      <c r="W23">
        <f>HYPERLINK("https://klasma.github.io/Logging_2062/klagomålsmail/A 30904-2025 FSC-klagomål mail.docx", "A 30904-2025")</f>
        <v/>
      </c>
      <c r="X23">
        <f>HYPERLINK("https://klasma.github.io/Logging_2062/tillsyn/A 30904-2025 tillsynsbegäran.docx", "A 30904-2025")</f>
        <v/>
      </c>
      <c r="Y23">
        <f>HYPERLINK("https://klasma.github.io/Logging_2062/tillsynsmail/A 30904-2025 tillsynsbegäran mail.docx", "A 30904-2025")</f>
        <v/>
      </c>
      <c r="Z23">
        <f>HYPERLINK("https://klasma.github.io/Logging_2062/fåglar/A 30904-2025 prioriterade fågelarter.docx", "A 30904-2025")</f>
        <v/>
      </c>
    </row>
    <row r="24" ht="15" customHeight="1">
      <c r="A24" t="inlineStr">
        <is>
          <t>A 59983-2024</t>
        </is>
      </c>
      <c r="B24" s="1" t="n">
        <v>45642</v>
      </c>
      <c r="C24" s="1" t="n">
        <v>45886</v>
      </c>
      <c r="D24" t="inlineStr">
        <is>
          <t>DALARNAS LÄN</t>
        </is>
      </c>
      <c r="E24" t="inlineStr">
        <is>
          <t>MORA</t>
        </is>
      </c>
      <c r="G24" t="n">
        <v>0.8</v>
      </c>
      <c r="H24" t="n">
        <v>6</v>
      </c>
      <c r="I24" t="n">
        <v>1</v>
      </c>
      <c r="J24" t="n">
        <v>5</v>
      </c>
      <c r="K24" t="n">
        <v>1</v>
      </c>
      <c r="L24" t="n">
        <v>0</v>
      </c>
      <c r="M24" t="n">
        <v>0</v>
      </c>
      <c r="N24" t="n">
        <v>0</v>
      </c>
      <c r="O24" t="n">
        <v>6</v>
      </c>
      <c r="P24" t="n">
        <v>1</v>
      </c>
      <c r="Q24" t="n">
        <v>8</v>
      </c>
      <c r="R24" s="2" t="inlineStr">
        <is>
          <t>Knärot
Gul taggsvamp
Järpe
Spillkråka
Talltita
Tretåig hackspett
Vågbandad barkbock
Tjäder</t>
        </is>
      </c>
      <c r="S24">
        <f>HYPERLINK("https://klasma.github.io/Logging_2062/artfynd/A 59983-2024 artfynd.xlsx", "A 59983-2024")</f>
        <v/>
      </c>
      <c r="T24">
        <f>HYPERLINK("https://klasma.github.io/Logging_2062/kartor/A 59983-2024 karta.png", "A 59983-2024")</f>
        <v/>
      </c>
      <c r="U24">
        <f>HYPERLINK("https://klasma.github.io/Logging_2062/knärot/A 59983-2024 karta knärot.png", "A 59983-2024")</f>
        <v/>
      </c>
      <c r="V24">
        <f>HYPERLINK("https://klasma.github.io/Logging_2062/klagomål/A 59983-2024 FSC-klagomål.docx", "A 59983-2024")</f>
        <v/>
      </c>
      <c r="W24">
        <f>HYPERLINK("https://klasma.github.io/Logging_2062/klagomålsmail/A 59983-2024 FSC-klagomål mail.docx", "A 59983-2024")</f>
        <v/>
      </c>
      <c r="X24">
        <f>HYPERLINK("https://klasma.github.io/Logging_2062/tillsyn/A 59983-2024 tillsynsbegäran.docx", "A 59983-2024")</f>
        <v/>
      </c>
      <c r="Y24">
        <f>HYPERLINK("https://klasma.github.io/Logging_2062/tillsynsmail/A 59983-2024 tillsynsbegäran mail.docx", "A 59983-2024")</f>
        <v/>
      </c>
      <c r="Z24">
        <f>HYPERLINK("https://klasma.github.io/Logging_2062/fåglar/A 59983-2024 prioriterade fågelarter.docx", "A 59983-2024")</f>
        <v/>
      </c>
    </row>
    <row r="25" ht="15" customHeight="1">
      <c r="A25" t="inlineStr">
        <is>
          <t>A 54028-2020</t>
        </is>
      </c>
      <c r="B25" s="1" t="n">
        <v>44125</v>
      </c>
      <c r="C25" s="1" t="n">
        <v>45886</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29380-2025</t>
        </is>
      </c>
      <c r="B26" s="1" t="n">
        <v>45824.59025462963</v>
      </c>
      <c r="C26" s="1" t="n">
        <v>45886</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45886</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61259-2023</t>
        </is>
      </c>
      <c r="B28" s="1" t="n">
        <v>45264</v>
      </c>
      <c r="C28" s="1" t="n">
        <v>45886</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34447-2024</t>
        </is>
      </c>
      <c r="B29" s="1" t="n">
        <v>45525</v>
      </c>
      <c r="C29" s="1" t="n">
        <v>45886</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34719-2025</t>
        </is>
      </c>
      <c r="B30" s="1" t="n">
        <v>45848.53040509259</v>
      </c>
      <c r="C30" s="1" t="n">
        <v>45886</v>
      </c>
      <c r="D30" t="inlineStr">
        <is>
          <t>DALARNAS LÄN</t>
        </is>
      </c>
      <c r="E30" t="inlineStr">
        <is>
          <t>MORA</t>
        </is>
      </c>
      <c r="G30" t="n">
        <v>1.9</v>
      </c>
      <c r="H30" t="n">
        <v>2</v>
      </c>
      <c r="I30" t="n">
        <v>1</v>
      </c>
      <c r="J30" t="n">
        <v>5</v>
      </c>
      <c r="K30" t="n">
        <v>0</v>
      </c>
      <c r="L30" t="n">
        <v>0</v>
      </c>
      <c r="M30" t="n">
        <v>0</v>
      </c>
      <c r="N30" t="n">
        <v>0</v>
      </c>
      <c r="O30" t="n">
        <v>5</v>
      </c>
      <c r="P30" t="n">
        <v>0</v>
      </c>
      <c r="Q30" t="n">
        <v>6</v>
      </c>
      <c r="R30" s="2" t="inlineStr">
        <is>
          <t>Dvärgbägarlav
Garnlav
Spillkråka
Tallticka
Tretåig hackspett
Mindre märgborre</t>
        </is>
      </c>
      <c r="S30">
        <f>HYPERLINK("https://klasma.github.io/Logging_2062/artfynd/A 34719-2025 artfynd.xlsx", "A 34719-2025")</f>
        <v/>
      </c>
      <c r="T30">
        <f>HYPERLINK("https://klasma.github.io/Logging_2062/kartor/A 34719-2025 karta.png", "A 34719-2025")</f>
        <v/>
      </c>
      <c r="V30">
        <f>HYPERLINK("https://klasma.github.io/Logging_2062/klagomål/A 34719-2025 FSC-klagomål.docx", "A 34719-2025")</f>
        <v/>
      </c>
      <c r="W30">
        <f>HYPERLINK("https://klasma.github.io/Logging_2062/klagomålsmail/A 34719-2025 FSC-klagomål mail.docx", "A 34719-2025")</f>
        <v/>
      </c>
      <c r="X30">
        <f>HYPERLINK("https://klasma.github.io/Logging_2062/tillsyn/A 34719-2025 tillsynsbegäran.docx", "A 34719-2025")</f>
        <v/>
      </c>
      <c r="Y30">
        <f>HYPERLINK("https://klasma.github.io/Logging_2062/tillsynsmail/A 34719-2025 tillsynsbegäran mail.docx", "A 34719-2025")</f>
        <v/>
      </c>
      <c r="Z30">
        <f>HYPERLINK("https://klasma.github.io/Logging_2062/fåglar/A 34719-2025 prioriterade fågelarter.docx", "A 34719-2025")</f>
        <v/>
      </c>
    </row>
    <row r="31" ht="15" customHeight="1">
      <c r="A31" t="inlineStr">
        <is>
          <t>A 25750-2021</t>
        </is>
      </c>
      <c r="B31" s="1" t="n">
        <v>44343</v>
      </c>
      <c r="C31" s="1" t="n">
        <v>45886</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45886</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8760-2025</t>
        </is>
      </c>
      <c r="B33" s="1" t="n">
        <v>45712.57467592593</v>
      </c>
      <c r="C33" s="1" t="n">
        <v>45886</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14293-2024</t>
        </is>
      </c>
      <c r="B34" s="1" t="n">
        <v>45393.63902777778</v>
      </c>
      <c r="C34" s="1" t="n">
        <v>45886</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45418.39261574074</v>
      </c>
      <c r="C35" s="1" t="n">
        <v>45886</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35484-2025</t>
        </is>
      </c>
      <c r="B36" s="1" t="n">
        <v>45855.73820601852</v>
      </c>
      <c r="C36" s="1" t="n">
        <v>45886</v>
      </c>
      <c r="D36" t="inlineStr">
        <is>
          <t>DALARNAS LÄN</t>
        </is>
      </c>
      <c r="E36" t="inlineStr">
        <is>
          <t>MORA</t>
        </is>
      </c>
      <c r="F36" t="inlineStr">
        <is>
          <t>Allmännings- och besparingsskogar</t>
        </is>
      </c>
      <c r="G36" t="n">
        <v>3.9</v>
      </c>
      <c r="H36" t="n">
        <v>1</v>
      </c>
      <c r="I36" t="n">
        <v>1</v>
      </c>
      <c r="J36" t="n">
        <v>2</v>
      </c>
      <c r="K36" t="n">
        <v>0</v>
      </c>
      <c r="L36" t="n">
        <v>0</v>
      </c>
      <c r="M36" t="n">
        <v>0</v>
      </c>
      <c r="N36" t="n">
        <v>0</v>
      </c>
      <c r="O36" t="n">
        <v>2</v>
      </c>
      <c r="P36" t="n">
        <v>0</v>
      </c>
      <c r="Q36" t="n">
        <v>4</v>
      </c>
      <c r="R36" s="2" t="inlineStr">
        <is>
          <t>Garnlav
Kolflarnlav
Mindre märgborre
Skogsödla</t>
        </is>
      </c>
      <c r="S36">
        <f>HYPERLINK("https://klasma.github.io/Logging_2062/artfynd/A 35484-2025 artfynd.xlsx", "A 35484-2025")</f>
        <v/>
      </c>
      <c r="T36">
        <f>HYPERLINK("https://klasma.github.io/Logging_2062/kartor/A 35484-2025 karta.png", "A 35484-2025")</f>
        <v/>
      </c>
      <c r="V36">
        <f>HYPERLINK("https://klasma.github.io/Logging_2062/klagomål/A 35484-2025 FSC-klagomål.docx", "A 35484-2025")</f>
        <v/>
      </c>
      <c r="W36">
        <f>HYPERLINK("https://klasma.github.io/Logging_2062/klagomålsmail/A 35484-2025 FSC-klagomål mail.docx", "A 35484-2025")</f>
        <v/>
      </c>
      <c r="X36">
        <f>HYPERLINK("https://klasma.github.io/Logging_2062/tillsyn/A 35484-2025 tillsynsbegäran.docx", "A 35484-2025")</f>
        <v/>
      </c>
      <c r="Y36">
        <f>HYPERLINK("https://klasma.github.io/Logging_2062/tillsynsmail/A 35484-2025 tillsynsbegäran mail.docx", "A 35484-2025")</f>
        <v/>
      </c>
    </row>
    <row r="37" ht="15" customHeight="1">
      <c r="A37" t="inlineStr">
        <is>
          <t>A 14829-2025</t>
        </is>
      </c>
      <c r="B37" s="1" t="n">
        <v>45743.36951388889</v>
      </c>
      <c r="C37" s="1" t="n">
        <v>45886</v>
      </c>
      <c r="D37" t="inlineStr">
        <is>
          <t>DALARNAS LÄN</t>
        </is>
      </c>
      <c r="E37" t="inlineStr">
        <is>
          <t>MORA</t>
        </is>
      </c>
      <c r="G37" t="n">
        <v>6.4</v>
      </c>
      <c r="H37" t="n">
        <v>1</v>
      </c>
      <c r="I37" t="n">
        <v>1</v>
      </c>
      <c r="J37" t="n">
        <v>3</v>
      </c>
      <c r="K37" t="n">
        <v>0</v>
      </c>
      <c r="L37" t="n">
        <v>0</v>
      </c>
      <c r="M37" t="n">
        <v>0</v>
      </c>
      <c r="N37" t="n">
        <v>0</v>
      </c>
      <c r="O37" t="n">
        <v>3</v>
      </c>
      <c r="P37" t="n">
        <v>0</v>
      </c>
      <c r="Q37" t="n">
        <v>4</v>
      </c>
      <c r="R37" s="2" t="inlineStr">
        <is>
          <t>Garnlav
Motaggsvamp
Spillkråka
Dropptaggsvamp</t>
        </is>
      </c>
      <c r="S37">
        <f>HYPERLINK("https://klasma.github.io/Logging_2062/artfynd/A 14829-2025 artfynd.xlsx", "A 14829-2025")</f>
        <v/>
      </c>
      <c r="T37">
        <f>HYPERLINK("https://klasma.github.io/Logging_2062/kartor/A 14829-2025 karta.png", "A 14829-2025")</f>
        <v/>
      </c>
      <c r="V37">
        <f>HYPERLINK("https://klasma.github.io/Logging_2062/klagomål/A 14829-2025 FSC-klagomål.docx", "A 14829-2025")</f>
        <v/>
      </c>
      <c r="W37">
        <f>HYPERLINK("https://klasma.github.io/Logging_2062/klagomålsmail/A 14829-2025 FSC-klagomål mail.docx", "A 14829-2025")</f>
        <v/>
      </c>
      <c r="X37">
        <f>HYPERLINK("https://klasma.github.io/Logging_2062/tillsyn/A 14829-2025 tillsynsbegäran.docx", "A 14829-2025")</f>
        <v/>
      </c>
      <c r="Y37">
        <f>HYPERLINK("https://klasma.github.io/Logging_2062/tillsynsmail/A 14829-2025 tillsynsbegäran mail.docx", "A 14829-2025")</f>
        <v/>
      </c>
      <c r="Z37">
        <f>HYPERLINK("https://klasma.github.io/Logging_2062/fåglar/A 14829-2025 prioriterade fågelarter.docx", "A 14829-2025")</f>
        <v/>
      </c>
    </row>
    <row r="38" ht="15" customHeight="1">
      <c r="A38" t="inlineStr">
        <is>
          <t>A 32222-2025</t>
        </is>
      </c>
      <c r="B38" s="1" t="n">
        <v>45835.59140046296</v>
      </c>
      <c r="C38" s="1" t="n">
        <v>45886</v>
      </c>
      <c r="D38" t="inlineStr">
        <is>
          <t>DALARNAS LÄN</t>
        </is>
      </c>
      <c r="E38" t="inlineStr">
        <is>
          <t>MORA</t>
        </is>
      </c>
      <c r="G38" t="n">
        <v>11.5</v>
      </c>
      <c r="H38" t="n">
        <v>1</v>
      </c>
      <c r="I38" t="n">
        <v>0</v>
      </c>
      <c r="J38" t="n">
        <v>4</v>
      </c>
      <c r="K38" t="n">
        <v>0</v>
      </c>
      <c r="L38" t="n">
        <v>0</v>
      </c>
      <c r="M38" t="n">
        <v>0</v>
      </c>
      <c r="N38" t="n">
        <v>0</v>
      </c>
      <c r="O38" t="n">
        <v>4</v>
      </c>
      <c r="P38" t="n">
        <v>0</v>
      </c>
      <c r="Q38" t="n">
        <v>4</v>
      </c>
      <c r="R38" s="2" t="inlineStr">
        <is>
          <t>Garnlav
Reliktbock
Tallticka
Tretåig hackspett</t>
        </is>
      </c>
      <c r="S38">
        <f>HYPERLINK("https://klasma.github.io/Logging_2062/artfynd/A 32222-2025 artfynd.xlsx", "A 32222-2025")</f>
        <v/>
      </c>
      <c r="T38">
        <f>HYPERLINK("https://klasma.github.io/Logging_2062/kartor/A 32222-2025 karta.png", "A 32222-2025")</f>
        <v/>
      </c>
      <c r="V38">
        <f>HYPERLINK("https://klasma.github.io/Logging_2062/klagomål/A 32222-2025 FSC-klagomål.docx", "A 32222-2025")</f>
        <v/>
      </c>
      <c r="W38">
        <f>HYPERLINK("https://klasma.github.io/Logging_2062/klagomålsmail/A 32222-2025 FSC-klagomål mail.docx", "A 32222-2025")</f>
        <v/>
      </c>
      <c r="X38">
        <f>HYPERLINK("https://klasma.github.io/Logging_2062/tillsyn/A 32222-2025 tillsynsbegäran.docx", "A 32222-2025")</f>
        <v/>
      </c>
      <c r="Y38">
        <f>HYPERLINK("https://klasma.github.io/Logging_2062/tillsynsmail/A 32222-2025 tillsynsbegäran mail.docx", "A 32222-2025")</f>
        <v/>
      </c>
      <c r="Z38">
        <f>HYPERLINK("https://klasma.github.io/Logging_2062/fåglar/A 32222-2025 prioriterade fågelarter.docx", "A 32222-2025")</f>
        <v/>
      </c>
    </row>
    <row r="39" ht="15" customHeight="1">
      <c r="A39" t="inlineStr">
        <is>
          <t>A 24220-2025</t>
        </is>
      </c>
      <c r="B39" s="1" t="n">
        <v>45797.3635300926</v>
      </c>
      <c r="C39" s="1" t="n">
        <v>45886</v>
      </c>
      <c r="D39" t="inlineStr">
        <is>
          <t>DALARNAS LÄN</t>
        </is>
      </c>
      <c r="E39" t="inlineStr">
        <is>
          <t>MORA</t>
        </is>
      </c>
      <c r="F39" t="inlineStr">
        <is>
          <t>Bergvik skog öst AB</t>
        </is>
      </c>
      <c r="G39" t="n">
        <v>1.2</v>
      </c>
      <c r="H39" t="n">
        <v>1</v>
      </c>
      <c r="I39" t="n">
        <v>1</v>
      </c>
      <c r="J39" t="n">
        <v>1</v>
      </c>
      <c r="K39" t="n">
        <v>1</v>
      </c>
      <c r="L39" t="n">
        <v>0</v>
      </c>
      <c r="M39" t="n">
        <v>0</v>
      </c>
      <c r="N39" t="n">
        <v>0</v>
      </c>
      <c r="O39" t="n">
        <v>2</v>
      </c>
      <c r="P39" t="n">
        <v>1</v>
      </c>
      <c r="Q39" t="n">
        <v>3</v>
      </c>
      <c r="R39" s="2" t="inlineStr">
        <is>
          <t>Knärot
Garnlav
Stuplav</t>
        </is>
      </c>
      <c r="S39">
        <f>HYPERLINK("https://klasma.github.io/Logging_2062/artfynd/A 24220-2025 artfynd.xlsx", "A 24220-2025")</f>
        <v/>
      </c>
      <c r="T39">
        <f>HYPERLINK("https://klasma.github.io/Logging_2062/kartor/A 24220-2025 karta.png", "A 24220-2025")</f>
        <v/>
      </c>
      <c r="U39">
        <f>HYPERLINK("https://klasma.github.io/Logging_2062/knärot/A 24220-2025 karta knärot.png", "A 24220-2025")</f>
        <v/>
      </c>
      <c r="V39">
        <f>HYPERLINK("https://klasma.github.io/Logging_2062/klagomål/A 24220-2025 FSC-klagomål.docx", "A 24220-2025")</f>
        <v/>
      </c>
      <c r="W39">
        <f>HYPERLINK("https://klasma.github.io/Logging_2062/klagomålsmail/A 24220-2025 FSC-klagomål mail.docx", "A 24220-2025")</f>
        <v/>
      </c>
      <c r="X39">
        <f>HYPERLINK("https://klasma.github.io/Logging_2062/tillsyn/A 24220-2025 tillsynsbegäran.docx", "A 24220-2025")</f>
        <v/>
      </c>
      <c r="Y39">
        <f>HYPERLINK("https://klasma.github.io/Logging_2062/tillsynsmail/A 24220-2025 tillsynsbegäran mail.docx", "A 24220-2025")</f>
        <v/>
      </c>
    </row>
    <row r="40" ht="15" customHeight="1">
      <c r="A40" t="inlineStr">
        <is>
          <t>A 29392-2025</t>
        </is>
      </c>
      <c r="B40" s="1" t="n">
        <v>45824.60537037037</v>
      </c>
      <c r="C40" s="1" t="n">
        <v>45886</v>
      </c>
      <c r="D40" t="inlineStr">
        <is>
          <t>DALARNAS LÄN</t>
        </is>
      </c>
      <c r="E40" t="inlineStr">
        <is>
          <t>MORA</t>
        </is>
      </c>
      <c r="G40" t="n">
        <v>1</v>
      </c>
      <c r="H40" t="n">
        <v>1</v>
      </c>
      <c r="I40" t="n">
        <v>2</v>
      </c>
      <c r="J40" t="n">
        <v>1</v>
      </c>
      <c r="K40" t="n">
        <v>0</v>
      </c>
      <c r="L40" t="n">
        <v>0</v>
      </c>
      <c r="M40" t="n">
        <v>0</v>
      </c>
      <c r="N40" t="n">
        <v>0</v>
      </c>
      <c r="O40" t="n">
        <v>1</v>
      </c>
      <c r="P40" t="n">
        <v>0</v>
      </c>
      <c r="Q40" t="n">
        <v>3</v>
      </c>
      <c r="R40" s="2" t="inlineStr">
        <is>
          <t>Garnlav
Mindre märgborre
Plattlummer</t>
        </is>
      </c>
      <c r="S40">
        <f>HYPERLINK("https://klasma.github.io/Logging_2062/artfynd/A 29392-2025 artfynd.xlsx", "A 29392-2025")</f>
        <v/>
      </c>
      <c r="T40">
        <f>HYPERLINK("https://klasma.github.io/Logging_2062/kartor/A 29392-2025 karta.png", "A 29392-2025")</f>
        <v/>
      </c>
      <c r="V40">
        <f>HYPERLINK("https://klasma.github.io/Logging_2062/klagomål/A 29392-2025 FSC-klagomål.docx", "A 29392-2025")</f>
        <v/>
      </c>
      <c r="W40">
        <f>HYPERLINK("https://klasma.github.io/Logging_2062/klagomålsmail/A 29392-2025 FSC-klagomål mail.docx", "A 29392-2025")</f>
        <v/>
      </c>
      <c r="X40">
        <f>HYPERLINK("https://klasma.github.io/Logging_2062/tillsyn/A 29392-2025 tillsynsbegäran.docx", "A 29392-2025")</f>
        <v/>
      </c>
      <c r="Y40">
        <f>HYPERLINK("https://klasma.github.io/Logging_2062/tillsynsmail/A 29392-2025 tillsynsbegäran mail.docx", "A 29392-2025")</f>
        <v/>
      </c>
    </row>
    <row r="41" ht="15" customHeight="1">
      <c r="A41" t="inlineStr">
        <is>
          <t>A 20067-2025</t>
        </is>
      </c>
      <c r="B41" s="1" t="n">
        <v>45772.43609953704</v>
      </c>
      <c r="C41" s="1" t="n">
        <v>45886</v>
      </c>
      <c r="D41" t="inlineStr">
        <is>
          <t>DALARNAS LÄN</t>
        </is>
      </c>
      <c r="E41" t="inlineStr">
        <is>
          <t>MORA</t>
        </is>
      </c>
      <c r="G41" t="n">
        <v>4.3</v>
      </c>
      <c r="H41" t="n">
        <v>0</v>
      </c>
      <c r="I41" t="n">
        <v>0</v>
      </c>
      <c r="J41" t="n">
        <v>3</v>
      </c>
      <c r="K41" t="n">
        <v>0</v>
      </c>
      <c r="L41" t="n">
        <v>0</v>
      </c>
      <c r="M41" t="n">
        <v>0</v>
      </c>
      <c r="N41" t="n">
        <v>0</v>
      </c>
      <c r="O41" t="n">
        <v>3</v>
      </c>
      <c r="P41" t="n">
        <v>0</v>
      </c>
      <c r="Q41" t="n">
        <v>3</v>
      </c>
      <c r="R41" s="2" t="inlineStr">
        <is>
          <t>Dvärgbägarlav
Garnlav
Vedskivlav</t>
        </is>
      </c>
      <c r="S41">
        <f>HYPERLINK("https://klasma.github.io/Logging_2062/artfynd/A 20067-2025 artfynd.xlsx", "A 20067-2025")</f>
        <v/>
      </c>
      <c r="T41">
        <f>HYPERLINK("https://klasma.github.io/Logging_2062/kartor/A 20067-2025 karta.png", "A 20067-2025")</f>
        <v/>
      </c>
      <c r="V41">
        <f>HYPERLINK("https://klasma.github.io/Logging_2062/klagomål/A 20067-2025 FSC-klagomål.docx", "A 20067-2025")</f>
        <v/>
      </c>
      <c r="W41">
        <f>HYPERLINK("https://klasma.github.io/Logging_2062/klagomålsmail/A 20067-2025 FSC-klagomål mail.docx", "A 20067-2025")</f>
        <v/>
      </c>
      <c r="X41">
        <f>HYPERLINK("https://klasma.github.io/Logging_2062/tillsyn/A 20067-2025 tillsynsbegäran.docx", "A 20067-2025")</f>
        <v/>
      </c>
      <c r="Y41">
        <f>HYPERLINK("https://klasma.github.io/Logging_2062/tillsynsmail/A 20067-2025 tillsynsbegäran mail.docx", "A 20067-2025")</f>
        <v/>
      </c>
    </row>
    <row r="42" ht="15" customHeight="1">
      <c r="A42" t="inlineStr">
        <is>
          <t>A 59626-2020</t>
        </is>
      </c>
      <c r="B42" s="1" t="n">
        <v>44150</v>
      </c>
      <c r="C42" s="1" t="n">
        <v>45886</v>
      </c>
      <c r="D42" t="inlineStr">
        <is>
          <t>DALARNAS LÄN</t>
        </is>
      </c>
      <c r="E42" t="inlineStr">
        <is>
          <t>MORA</t>
        </is>
      </c>
      <c r="F42" t="inlineStr">
        <is>
          <t>Bergvik skog öst AB</t>
        </is>
      </c>
      <c r="G42" t="n">
        <v>3.8</v>
      </c>
      <c r="H42" t="n">
        <v>0</v>
      </c>
      <c r="I42" t="n">
        <v>1</v>
      </c>
      <c r="J42" t="n">
        <v>1</v>
      </c>
      <c r="K42" t="n">
        <v>0</v>
      </c>
      <c r="L42" t="n">
        <v>0</v>
      </c>
      <c r="M42" t="n">
        <v>0</v>
      </c>
      <c r="N42" t="n">
        <v>0</v>
      </c>
      <c r="O42" t="n">
        <v>1</v>
      </c>
      <c r="P42" t="n">
        <v>0</v>
      </c>
      <c r="Q42" t="n">
        <v>2</v>
      </c>
      <c r="R42" s="2" t="inlineStr">
        <is>
          <t>Motaggsvamp
Dropptaggsvamp</t>
        </is>
      </c>
      <c r="S42">
        <f>HYPERLINK("https://klasma.github.io/Logging_2062/artfynd/A 59626-2020 artfynd.xlsx", "A 59626-2020")</f>
        <v/>
      </c>
      <c r="T42">
        <f>HYPERLINK("https://klasma.github.io/Logging_2062/kartor/A 59626-2020 karta.png", "A 59626-2020")</f>
        <v/>
      </c>
      <c r="V42">
        <f>HYPERLINK("https://klasma.github.io/Logging_2062/klagomål/A 59626-2020 FSC-klagomål.docx", "A 59626-2020")</f>
        <v/>
      </c>
      <c r="W42">
        <f>HYPERLINK("https://klasma.github.io/Logging_2062/klagomålsmail/A 59626-2020 FSC-klagomål mail.docx", "A 59626-2020")</f>
        <v/>
      </c>
      <c r="X42">
        <f>HYPERLINK("https://klasma.github.io/Logging_2062/tillsyn/A 59626-2020 tillsynsbegäran.docx", "A 59626-2020")</f>
        <v/>
      </c>
      <c r="Y42">
        <f>HYPERLINK("https://klasma.github.io/Logging_2062/tillsynsmail/A 59626-2020 tillsynsbegäran mail.docx", "A 59626-2020")</f>
        <v/>
      </c>
    </row>
    <row r="43" ht="15" customHeight="1">
      <c r="A43" t="inlineStr">
        <is>
          <t>A 62286-2020</t>
        </is>
      </c>
      <c r="B43" s="1" t="n">
        <v>44160</v>
      </c>
      <c r="C43" s="1" t="n">
        <v>45886</v>
      </c>
      <c r="D43" t="inlineStr">
        <is>
          <t>DALARNAS LÄN</t>
        </is>
      </c>
      <c r="E43" t="inlineStr">
        <is>
          <t>MORA</t>
        </is>
      </c>
      <c r="G43" t="n">
        <v>0.6</v>
      </c>
      <c r="H43" t="n">
        <v>1</v>
      </c>
      <c r="I43" t="n">
        <v>1</v>
      </c>
      <c r="J43" t="n">
        <v>1</v>
      </c>
      <c r="K43" t="n">
        <v>0</v>
      </c>
      <c r="L43" t="n">
        <v>0</v>
      </c>
      <c r="M43" t="n">
        <v>0</v>
      </c>
      <c r="N43" t="n">
        <v>0</v>
      </c>
      <c r="O43" t="n">
        <v>1</v>
      </c>
      <c r="P43" t="n">
        <v>0</v>
      </c>
      <c r="Q43" t="n">
        <v>2</v>
      </c>
      <c r="R43" s="2" t="inlineStr">
        <is>
          <t>Brun gräsfjäril
Traslav</t>
        </is>
      </c>
      <c r="S43">
        <f>HYPERLINK("https://klasma.github.io/Logging_2062/artfynd/A 62286-2020 artfynd.xlsx", "A 62286-2020")</f>
        <v/>
      </c>
      <c r="T43">
        <f>HYPERLINK("https://klasma.github.io/Logging_2062/kartor/A 62286-2020 karta.png", "A 62286-2020")</f>
        <v/>
      </c>
      <c r="V43">
        <f>HYPERLINK("https://klasma.github.io/Logging_2062/klagomål/A 62286-2020 FSC-klagomål.docx", "A 62286-2020")</f>
        <v/>
      </c>
      <c r="W43">
        <f>HYPERLINK("https://klasma.github.io/Logging_2062/klagomålsmail/A 62286-2020 FSC-klagomål mail.docx", "A 62286-2020")</f>
        <v/>
      </c>
      <c r="X43">
        <f>HYPERLINK("https://klasma.github.io/Logging_2062/tillsyn/A 62286-2020 tillsynsbegäran.docx", "A 62286-2020")</f>
        <v/>
      </c>
      <c r="Y43">
        <f>HYPERLINK("https://klasma.github.io/Logging_2062/tillsynsmail/A 62286-2020 tillsynsbegäran mail.docx", "A 62286-2020")</f>
        <v/>
      </c>
    </row>
    <row r="44" ht="15" customHeight="1">
      <c r="A44" t="inlineStr">
        <is>
          <t>A 23163-2025</t>
        </is>
      </c>
      <c r="B44" s="1" t="n">
        <v>45791.41832175926</v>
      </c>
      <c r="C44" s="1" t="n">
        <v>45886</v>
      </c>
      <c r="D44" t="inlineStr">
        <is>
          <t>DALARNAS LÄN</t>
        </is>
      </c>
      <c r="E44" t="inlineStr">
        <is>
          <t>MORA</t>
        </is>
      </c>
      <c r="G44" t="n">
        <v>4.2</v>
      </c>
      <c r="H44" t="n">
        <v>2</v>
      </c>
      <c r="I44" t="n">
        <v>0</v>
      </c>
      <c r="J44" t="n">
        <v>2</v>
      </c>
      <c r="K44" t="n">
        <v>0</v>
      </c>
      <c r="L44" t="n">
        <v>0</v>
      </c>
      <c r="M44" t="n">
        <v>0</v>
      </c>
      <c r="N44" t="n">
        <v>0</v>
      </c>
      <c r="O44" t="n">
        <v>2</v>
      </c>
      <c r="P44" t="n">
        <v>0</v>
      </c>
      <c r="Q44" t="n">
        <v>2</v>
      </c>
      <c r="R44" s="2" t="inlineStr">
        <is>
          <t>Spillkråka
Talltita</t>
        </is>
      </c>
      <c r="S44">
        <f>HYPERLINK("https://klasma.github.io/Logging_2062/artfynd/A 23163-2025 artfynd.xlsx", "A 23163-2025")</f>
        <v/>
      </c>
      <c r="T44">
        <f>HYPERLINK("https://klasma.github.io/Logging_2062/kartor/A 23163-2025 karta.png", "A 23163-2025")</f>
        <v/>
      </c>
      <c r="V44">
        <f>HYPERLINK("https://klasma.github.io/Logging_2062/klagomål/A 23163-2025 FSC-klagomål.docx", "A 23163-2025")</f>
        <v/>
      </c>
      <c r="W44">
        <f>HYPERLINK("https://klasma.github.io/Logging_2062/klagomålsmail/A 23163-2025 FSC-klagomål mail.docx", "A 23163-2025")</f>
        <v/>
      </c>
      <c r="X44">
        <f>HYPERLINK("https://klasma.github.io/Logging_2062/tillsyn/A 23163-2025 tillsynsbegäran.docx", "A 23163-2025")</f>
        <v/>
      </c>
      <c r="Y44">
        <f>HYPERLINK("https://klasma.github.io/Logging_2062/tillsynsmail/A 23163-2025 tillsynsbegäran mail.docx", "A 23163-2025")</f>
        <v/>
      </c>
      <c r="Z44">
        <f>HYPERLINK("https://klasma.github.io/Logging_2062/fåglar/A 23163-2025 prioriterade fågelarter.docx", "A 23163-2025")</f>
        <v/>
      </c>
    </row>
    <row r="45" ht="15" customHeight="1">
      <c r="A45" t="inlineStr">
        <is>
          <t>A 42028-2023</t>
        </is>
      </c>
      <c r="B45" s="1" t="n">
        <v>45177.49715277777</v>
      </c>
      <c r="C45" s="1" t="n">
        <v>45886</v>
      </c>
      <c r="D45" t="inlineStr">
        <is>
          <t>DALARNAS LÄN</t>
        </is>
      </c>
      <c r="E45" t="inlineStr">
        <is>
          <t>MORA</t>
        </is>
      </c>
      <c r="F45" t="inlineStr">
        <is>
          <t>Allmännings- och besparingsskogar</t>
        </is>
      </c>
      <c r="G45" t="n">
        <v>6.5</v>
      </c>
      <c r="H45" t="n">
        <v>0</v>
      </c>
      <c r="I45" t="n">
        <v>0</v>
      </c>
      <c r="J45" t="n">
        <v>2</v>
      </c>
      <c r="K45" t="n">
        <v>0</v>
      </c>
      <c r="L45" t="n">
        <v>0</v>
      </c>
      <c r="M45" t="n">
        <v>0</v>
      </c>
      <c r="N45" t="n">
        <v>0</v>
      </c>
      <c r="O45" t="n">
        <v>2</v>
      </c>
      <c r="P45" t="n">
        <v>0</v>
      </c>
      <c r="Q45" t="n">
        <v>2</v>
      </c>
      <c r="R45" s="2" t="inlineStr">
        <is>
          <t>Dvärgbägarlav
Vedskivlav</t>
        </is>
      </c>
      <c r="S45">
        <f>HYPERLINK("https://klasma.github.io/Logging_2062/artfynd/A 42028-2023 artfynd.xlsx", "A 42028-2023")</f>
        <v/>
      </c>
      <c r="T45">
        <f>HYPERLINK("https://klasma.github.io/Logging_2062/kartor/A 42028-2023 karta.png", "A 42028-2023")</f>
        <v/>
      </c>
      <c r="V45">
        <f>HYPERLINK("https://klasma.github.io/Logging_2062/klagomål/A 42028-2023 FSC-klagomål.docx", "A 42028-2023")</f>
        <v/>
      </c>
      <c r="W45">
        <f>HYPERLINK("https://klasma.github.io/Logging_2062/klagomålsmail/A 42028-2023 FSC-klagomål mail.docx", "A 42028-2023")</f>
        <v/>
      </c>
      <c r="X45">
        <f>HYPERLINK("https://klasma.github.io/Logging_2062/tillsyn/A 42028-2023 tillsynsbegäran.docx", "A 42028-2023")</f>
        <v/>
      </c>
      <c r="Y45">
        <f>HYPERLINK("https://klasma.github.io/Logging_2062/tillsynsmail/A 42028-2023 tillsynsbegäran mail.docx", "A 42028-2023")</f>
        <v/>
      </c>
    </row>
    <row r="46" ht="15" customHeight="1">
      <c r="A46" t="inlineStr">
        <is>
          <t>A 35485-2025</t>
        </is>
      </c>
      <c r="B46" s="1" t="n">
        <v>45855.74484953703</v>
      </c>
      <c r="C46" s="1" t="n">
        <v>45886</v>
      </c>
      <c r="D46" t="inlineStr">
        <is>
          <t>DALARNAS LÄN</t>
        </is>
      </c>
      <c r="E46" t="inlineStr">
        <is>
          <t>MORA</t>
        </is>
      </c>
      <c r="F46" t="inlineStr">
        <is>
          <t>Allmännings- och besparingsskogar</t>
        </is>
      </c>
      <c r="G46" t="n">
        <v>2.9</v>
      </c>
      <c r="H46" t="n">
        <v>0</v>
      </c>
      <c r="I46" t="n">
        <v>2</v>
      </c>
      <c r="J46" t="n">
        <v>0</v>
      </c>
      <c r="K46" t="n">
        <v>0</v>
      </c>
      <c r="L46" t="n">
        <v>0</v>
      </c>
      <c r="M46" t="n">
        <v>0</v>
      </c>
      <c r="N46" t="n">
        <v>0</v>
      </c>
      <c r="O46" t="n">
        <v>0</v>
      </c>
      <c r="P46" t="n">
        <v>0</v>
      </c>
      <c r="Q46" t="n">
        <v>2</v>
      </c>
      <c r="R46" s="2" t="inlineStr">
        <is>
          <t>Mindre märgborre
Skarp dropptaggsvamp</t>
        </is>
      </c>
      <c r="S46">
        <f>HYPERLINK("https://klasma.github.io/Logging_2062/artfynd/A 35485-2025 artfynd.xlsx", "A 35485-2025")</f>
        <v/>
      </c>
      <c r="T46">
        <f>HYPERLINK("https://klasma.github.io/Logging_2062/kartor/A 35485-2025 karta.png", "A 35485-2025")</f>
        <v/>
      </c>
      <c r="V46">
        <f>HYPERLINK("https://klasma.github.io/Logging_2062/klagomål/A 35485-2025 FSC-klagomål.docx", "A 35485-2025")</f>
        <v/>
      </c>
      <c r="W46">
        <f>HYPERLINK("https://klasma.github.io/Logging_2062/klagomålsmail/A 35485-2025 FSC-klagomål mail.docx", "A 35485-2025")</f>
        <v/>
      </c>
      <c r="X46">
        <f>HYPERLINK("https://klasma.github.io/Logging_2062/tillsyn/A 35485-2025 tillsynsbegäran.docx", "A 35485-2025")</f>
        <v/>
      </c>
      <c r="Y46">
        <f>HYPERLINK("https://klasma.github.io/Logging_2062/tillsynsmail/A 35485-2025 tillsynsbegäran mail.docx", "A 35485-2025")</f>
        <v/>
      </c>
    </row>
    <row r="47" ht="15" customHeight="1">
      <c r="A47" t="inlineStr">
        <is>
          <t>A 24126-2025</t>
        </is>
      </c>
      <c r="B47" s="1" t="n">
        <v>45796.63011574074</v>
      </c>
      <c r="C47" s="1" t="n">
        <v>45886</v>
      </c>
      <c r="D47" t="inlineStr">
        <is>
          <t>DALARNAS LÄN</t>
        </is>
      </c>
      <c r="E47" t="inlineStr">
        <is>
          <t>MORA</t>
        </is>
      </c>
      <c r="F47" t="inlineStr">
        <is>
          <t>Bergvik skog öst AB</t>
        </is>
      </c>
      <c r="G47" t="n">
        <v>0.9</v>
      </c>
      <c r="H47" t="n">
        <v>0</v>
      </c>
      <c r="I47" t="n">
        <v>1</v>
      </c>
      <c r="J47" t="n">
        <v>1</v>
      </c>
      <c r="K47" t="n">
        <v>0</v>
      </c>
      <c r="L47" t="n">
        <v>0</v>
      </c>
      <c r="M47" t="n">
        <v>0</v>
      </c>
      <c r="N47" t="n">
        <v>0</v>
      </c>
      <c r="O47" t="n">
        <v>1</v>
      </c>
      <c r="P47" t="n">
        <v>0</v>
      </c>
      <c r="Q47" t="n">
        <v>2</v>
      </c>
      <c r="R47" s="2" t="inlineStr">
        <is>
          <t>Garnlav
Bollvitmossa</t>
        </is>
      </c>
      <c r="S47">
        <f>HYPERLINK("https://klasma.github.io/Logging_2062/artfynd/A 24126-2025 artfynd.xlsx", "A 24126-2025")</f>
        <v/>
      </c>
      <c r="T47">
        <f>HYPERLINK("https://klasma.github.io/Logging_2062/kartor/A 24126-2025 karta.png", "A 24126-2025")</f>
        <v/>
      </c>
      <c r="V47">
        <f>HYPERLINK("https://klasma.github.io/Logging_2062/klagomål/A 24126-2025 FSC-klagomål.docx", "A 24126-2025")</f>
        <v/>
      </c>
      <c r="W47">
        <f>HYPERLINK("https://klasma.github.io/Logging_2062/klagomålsmail/A 24126-2025 FSC-klagomål mail.docx", "A 24126-2025")</f>
        <v/>
      </c>
      <c r="X47">
        <f>HYPERLINK("https://klasma.github.io/Logging_2062/tillsyn/A 24126-2025 tillsynsbegäran.docx", "A 24126-2025")</f>
        <v/>
      </c>
      <c r="Y47">
        <f>HYPERLINK("https://klasma.github.io/Logging_2062/tillsynsmail/A 24126-2025 tillsynsbegäran mail.docx", "A 24126-2025")</f>
        <v/>
      </c>
    </row>
    <row r="48" ht="15" customHeight="1">
      <c r="A48" t="inlineStr">
        <is>
          <t>A 30328-2021</t>
        </is>
      </c>
      <c r="B48" s="1" t="n">
        <v>44364</v>
      </c>
      <c r="C48" s="1" t="n">
        <v>45886</v>
      </c>
      <c r="D48" t="inlineStr">
        <is>
          <t>DALARNAS LÄN</t>
        </is>
      </c>
      <c r="E48" t="inlineStr">
        <is>
          <t>MORA</t>
        </is>
      </c>
      <c r="F48" t="inlineStr">
        <is>
          <t>Bergvik skog öst AB</t>
        </is>
      </c>
      <c r="G48" t="n">
        <v>1.1</v>
      </c>
      <c r="H48" t="n">
        <v>1</v>
      </c>
      <c r="I48" t="n">
        <v>0</v>
      </c>
      <c r="J48" t="n">
        <v>1</v>
      </c>
      <c r="K48" t="n">
        <v>0</v>
      </c>
      <c r="L48" t="n">
        <v>0</v>
      </c>
      <c r="M48" t="n">
        <v>0</v>
      </c>
      <c r="N48" t="n">
        <v>0</v>
      </c>
      <c r="O48" t="n">
        <v>1</v>
      </c>
      <c r="P48" t="n">
        <v>0</v>
      </c>
      <c r="Q48" t="n">
        <v>1</v>
      </c>
      <c r="R48" s="2" t="inlineStr">
        <is>
          <t>Fjällvråk</t>
        </is>
      </c>
      <c r="S48">
        <f>HYPERLINK("https://klasma.github.io/Logging_2062/artfynd/A 30328-2021 artfynd.xlsx", "A 30328-2021")</f>
        <v/>
      </c>
      <c r="T48">
        <f>HYPERLINK("https://klasma.github.io/Logging_2062/kartor/A 30328-2021 karta.png", "A 30328-2021")</f>
        <v/>
      </c>
      <c r="V48">
        <f>HYPERLINK("https://klasma.github.io/Logging_2062/klagomål/A 30328-2021 FSC-klagomål.docx", "A 30328-2021")</f>
        <v/>
      </c>
      <c r="W48">
        <f>HYPERLINK("https://klasma.github.io/Logging_2062/klagomålsmail/A 30328-2021 FSC-klagomål mail.docx", "A 30328-2021")</f>
        <v/>
      </c>
      <c r="X48">
        <f>HYPERLINK("https://klasma.github.io/Logging_2062/tillsyn/A 30328-2021 tillsynsbegäran.docx", "A 30328-2021")</f>
        <v/>
      </c>
      <c r="Y48">
        <f>HYPERLINK("https://klasma.github.io/Logging_2062/tillsynsmail/A 30328-2021 tillsynsbegäran mail.docx", "A 30328-2021")</f>
        <v/>
      </c>
      <c r="Z48">
        <f>HYPERLINK("https://klasma.github.io/Logging_2062/fåglar/A 30328-2021 prioriterade fågelarter.docx", "A 30328-2021")</f>
        <v/>
      </c>
    </row>
    <row r="49" ht="15" customHeight="1">
      <c r="A49" t="inlineStr">
        <is>
          <t>A 5304-2023</t>
        </is>
      </c>
      <c r="B49" s="1" t="n">
        <v>44959.55116898148</v>
      </c>
      <c r="C49" s="1" t="n">
        <v>45886</v>
      </c>
      <c r="D49" t="inlineStr">
        <is>
          <t>DALARNAS LÄN</t>
        </is>
      </c>
      <c r="E49" t="inlineStr">
        <is>
          <t>MORA</t>
        </is>
      </c>
      <c r="F49" t="inlineStr">
        <is>
          <t>Bergvik skog väst AB</t>
        </is>
      </c>
      <c r="G49" t="n">
        <v>7.3</v>
      </c>
      <c r="H49" t="n">
        <v>0</v>
      </c>
      <c r="I49" t="n">
        <v>0</v>
      </c>
      <c r="J49" t="n">
        <v>1</v>
      </c>
      <c r="K49" t="n">
        <v>0</v>
      </c>
      <c r="L49" t="n">
        <v>0</v>
      </c>
      <c r="M49" t="n">
        <v>0</v>
      </c>
      <c r="N49" t="n">
        <v>0</v>
      </c>
      <c r="O49" t="n">
        <v>1</v>
      </c>
      <c r="P49" t="n">
        <v>0</v>
      </c>
      <c r="Q49" t="n">
        <v>1</v>
      </c>
      <c r="R49" s="2" t="inlineStr">
        <is>
          <t>Backruta</t>
        </is>
      </c>
      <c r="S49">
        <f>HYPERLINK("https://klasma.github.io/Logging_2062/artfynd/A 5304-2023 artfynd.xlsx", "A 5304-2023")</f>
        <v/>
      </c>
      <c r="T49">
        <f>HYPERLINK("https://klasma.github.io/Logging_2062/kartor/A 5304-2023 karta.png", "A 5304-2023")</f>
        <v/>
      </c>
      <c r="V49">
        <f>HYPERLINK("https://klasma.github.io/Logging_2062/klagomål/A 5304-2023 FSC-klagomål.docx", "A 5304-2023")</f>
        <v/>
      </c>
      <c r="W49">
        <f>HYPERLINK("https://klasma.github.io/Logging_2062/klagomålsmail/A 5304-2023 FSC-klagomål mail.docx", "A 5304-2023")</f>
        <v/>
      </c>
      <c r="X49">
        <f>HYPERLINK("https://klasma.github.io/Logging_2062/tillsyn/A 5304-2023 tillsynsbegäran.docx", "A 5304-2023")</f>
        <v/>
      </c>
      <c r="Y49">
        <f>HYPERLINK("https://klasma.github.io/Logging_2062/tillsynsmail/A 5304-2023 tillsynsbegäran mail.docx", "A 5304-2023")</f>
        <v/>
      </c>
    </row>
    <row r="50" ht="15" customHeight="1">
      <c r="A50" t="inlineStr">
        <is>
          <t>A 27113-2024</t>
        </is>
      </c>
      <c r="B50" s="1" t="n">
        <v>45471</v>
      </c>
      <c r="C50" s="1" t="n">
        <v>45886</v>
      </c>
      <c r="D50" t="inlineStr">
        <is>
          <t>DALARNAS LÄN</t>
        </is>
      </c>
      <c r="E50" t="inlineStr">
        <is>
          <t>MORA</t>
        </is>
      </c>
      <c r="G50" t="n">
        <v>10.3</v>
      </c>
      <c r="H50" t="n">
        <v>0</v>
      </c>
      <c r="I50" t="n">
        <v>1</v>
      </c>
      <c r="J50" t="n">
        <v>0</v>
      </c>
      <c r="K50" t="n">
        <v>0</v>
      </c>
      <c r="L50" t="n">
        <v>0</v>
      </c>
      <c r="M50" t="n">
        <v>0</v>
      </c>
      <c r="N50" t="n">
        <v>0</v>
      </c>
      <c r="O50" t="n">
        <v>0</v>
      </c>
      <c r="P50" t="n">
        <v>0</v>
      </c>
      <c r="Q50" t="n">
        <v>1</v>
      </c>
      <c r="R50" s="2" t="inlineStr">
        <is>
          <t>Stor aspticka</t>
        </is>
      </c>
      <c r="S50">
        <f>HYPERLINK("https://klasma.github.io/Logging_2062/artfynd/A 27113-2024 artfynd.xlsx", "A 27113-2024")</f>
        <v/>
      </c>
      <c r="T50">
        <f>HYPERLINK("https://klasma.github.io/Logging_2062/kartor/A 27113-2024 karta.png", "A 27113-2024")</f>
        <v/>
      </c>
      <c r="V50">
        <f>HYPERLINK("https://klasma.github.io/Logging_2062/klagomål/A 27113-2024 FSC-klagomål.docx", "A 27113-2024")</f>
        <v/>
      </c>
      <c r="W50">
        <f>HYPERLINK("https://klasma.github.io/Logging_2062/klagomålsmail/A 27113-2024 FSC-klagomål mail.docx", "A 27113-2024")</f>
        <v/>
      </c>
      <c r="X50">
        <f>HYPERLINK("https://klasma.github.io/Logging_2062/tillsyn/A 27113-2024 tillsynsbegäran.docx", "A 27113-2024")</f>
        <v/>
      </c>
      <c r="Y50">
        <f>HYPERLINK("https://klasma.github.io/Logging_2062/tillsynsmail/A 27113-2024 tillsynsbegäran mail.docx", "A 27113-2024")</f>
        <v/>
      </c>
    </row>
    <row r="51" ht="15" customHeight="1">
      <c r="A51" t="inlineStr">
        <is>
          <t>A 831-2025</t>
        </is>
      </c>
      <c r="B51" s="1" t="n">
        <v>45665.58001157407</v>
      </c>
      <c r="C51" s="1" t="n">
        <v>45886</v>
      </c>
      <c r="D51" t="inlineStr">
        <is>
          <t>DALARNAS LÄN</t>
        </is>
      </c>
      <c r="E51" t="inlineStr">
        <is>
          <t>MORA</t>
        </is>
      </c>
      <c r="G51" t="n">
        <v>2.5</v>
      </c>
      <c r="H51" t="n">
        <v>0</v>
      </c>
      <c r="I51" t="n">
        <v>1</v>
      </c>
      <c r="J51" t="n">
        <v>0</v>
      </c>
      <c r="K51" t="n">
        <v>0</v>
      </c>
      <c r="L51" t="n">
        <v>0</v>
      </c>
      <c r="M51" t="n">
        <v>0</v>
      </c>
      <c r="N51" t="n">
        <v>0</v>
      </c>
      <c r="O51" t="n">
        <v>0</v>
      </c>
      <c r="P51" t="n">
        <v>0</v>
      </c>
      <c r="Q51" t="n">
        <v>1</v>
      </c>
      <c r="R51" s="2" t="inlineStr">
        <is>
          <t>Stekelbock</t>
        </is>
      </c>
      <c r="S51">
        <f>HYPERLINK("https://klasma.github.io/Logging_2062/artfynd/A 831-2025 artfynd.xlsx", "A 831-2025")</f>
        <v/>
      </c>
      <c r="T51">
        <f>HYPERLINK("https://klasma.github.io/Logging_2062/kartor/A 831-2025 karta.png", "A 831-2025")</f>
        <v/>
      </c>
      <c r="V51">
        <f>HYPERLINK("https://klasma.github.io/Logging_2062/klagomål/A 831-2025 FSC-klagomål.docx", "A 831-2025")</f>
        <v/>
      </c>
      <c r="W51">
        <f>HYPERLINK("https://klasma.github.io/Logging_2062/klagomålsmail/A 831-2025 FSC-klagomål mail.docx", "A 831-2025")</f>
        <v/>
      </c>
      <c r="X51">
        <f>HYPERLINK("https://klasma.github.io/Logging_2062/tillsyn/A 831-2025 tillsynsbegäran.docx", "A 831-2025")</f>
        <v/>
      </c>
      <c r="Y51">
        <f>HYPERLINK("https://klasma.github.io/Logging_2062/tillsynsmail/A 831-2025 tillsynsbegäran mail.docx", "A 831-2025")</f>
        <v/>
      </c>
    </row>
    <row r="52" ht="15" customHeight="1">
      <c r="A52" t="inlineStr">
        <is>
          <t>A 16094-2024</t>
        </is>
      </c>
      <c r="B52" s="1" t="n">
        <v>45406.41648148148</v>
      </c>
      <c r="C52" s="1" t="n">
        <v>45886</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57669-2022</t>
        </is>
      </c>
      <c r="B53" s="1" t="n">
        <v>44897</v>
      </c>
      <c r="C53" s="1" t="n">
        <v>45886</v>
      </c>
      <c r="D53" t="inlineStr">
        <is>
          <t>DALARNAS LÄN</t>
        </is>
      </c>
      <c r="E53" t="inlineStr">
        <is>
          <t>MORA</t>
        </is>
      </c>
      <c r="G53" t="n">
        <v>4.1</v>
      </c>
      <c r="H53" t="n">
        <v>0</v>
      </c>
      <c r="I53" t="n">
        <v>0</v>
      </c>
      <c r="J53" t="n">
        <v>1</v>
      </c>
      <c r="K53" t="n">
        <v>0</v>
      </c>
      <c r="L53" t="n">
        <v>0</v>
      </c>
      <c r="M53" t="n">
        <v>0</v>
      </c>
      <c r="N53" t="n">
        <v>0</v>
      </c>
      <c r="O53" t="n">
        <v>1</v>
      </c>
      <c r="P53" t="n">
        <v>0</v>
      </c>
      <c r="Q53" t="n">
        <v>1</v>
      </c>
      <c r="R53" s="2" t="inlineStr">
        <is>
          <t>Igelkott</t>
        </is>
      </c>
      <c r="S53">
        <f>HYPERLINK("https://klasma.github.io/Logging_2062/artfynd/A 57669-2022 artfynd.xlsx", "A 57669-2022")</f>
        <v/>
      </c>
      <c r="T53">
        <f>HYPERLINK("https://klasma.github.io/Logging_2062/kartor/A 57669-2022 karta.png", "A 57669-2022")</f>
        <v/>
      </c>
      <c r="V53">
        <f>HYPERLINK("https://klasma.github.io/Logging_2062/klagomål/A 57669-2022 FSC-klagomål.docx", "A 57669-2022")</f>
        <v/>
      </c>
      <c r="W53">
        <f>HYPERLINK("https://klasma.github.io/Logging_2062/klagomålsmail/A 57669-2022 FSC-klagomål mail.docx", "A 57669-2022")</f>
        <v/>
      </c>
      <c r="X53">
        <f>HYPERLINK("https://klasma.github.io/Logging_2062/tillsyn/A 57669-2022 tillsynsbegäran.docx", "A 57669-2022")</f>
        <v/>
      </c>
      <c r="Y53">
        <f>HYPERLINK("https://klasma.github.io/Logging_2062/tillsynsmail/A 57669-2022 tillsynsbegäran mail.docx", "A 57669-2022")</f>
        <v/>
      </c>
    </row>
    <row r="54" ht="15" customHeight="1">
      <c r="A54" t="inlineStr">
        <is>
          <t>A 45344-2024</t>
        </is>
      </c>
      <c r="B54" s="1" t="n">
        <v>45576</v>
      </c>
      <c r="C54" s="1" t="n">
        <v>45886</v>
      </c>
      <c r="D54" t="inlineStr">
        <is>
          <t>DALARNAS LÄN</t>
        </is>
      </c>
      <c r="E54" t="inlineStr">
        <is>
          <t>MORA</t>
        </is>
      </c>
      <c r="G54" t="n">
        <v>0.9</v>
      </c>
      <c r="H54" t="n">
        <v>0</v>
      </c>
      <c r="I54" t="n">
        <v>0</v>
      </c>
      <c r="J54" t="n">
        <v>1</v>
      </c>
      <c r="K54" t="n">
        <v>0</v>
      </c>
      <c r="L54" t="n">
        <v>0</v>
      </c>
      <c r="M54" t="n">
        <v>0</v>
      </c>
      <c r="N54" t="n">
        <v>0</v>
      </c>
      <c r="O54" t="n">
        <v>1</v>
      </c>
      <c r="P54" t="n">
        <v>0</v>
      </c>
      <c r="Q54" t="n">
        <v>1</v>
      </c>
      <c r="R54" s="2" t="inlineStr">
        <is>
          <t>Garnlav</t>
        </is>
      </c>
      <c r="S54">
        <f>HYPERLINK("https://klasma.github.io/Logging_2062/artfynd/A 45344-2024 artfynd.xlsx", "A 45344-2024")</f>
        <v/>
      </c>
      <c r="T54">
        <f>HYPERLINK("https://klasma.github.io/Logging_2062/kartor/A 45344-2024 karta.png", "A 45344-2024")</f>
        <v/>
      </c>
      <c r="V54">
        <f>HYPERLINK("https://klasma.github.io/Logging_2062/klagomål/A 45344-2024 FSC-klagomål.docx", "A 45344-2024")</f>
        <v/>
      </c>
      <c r="W54">
        <f>HYPERLINK("https://klasma.github.io/Logging_2062/klagomålsmail/A 45344-2024 FSC-klagomål mail.docx", "A 45344-2024")</f>
        <v/>
      </c>
      <c r="X54">
        <f>HYPERLINK("https://klasma.github.io/Logging_2062/tillsyn/A 45344-2024 tillsynsbegäran.docx", "A 45344-2024")</f>
        <v/>
      </c>
      <c r="Y54">
        <f>HYPERLINK("https://klasma.github.io/Logging_2062/tillsynsmail/A 45344-2024 tillsynsbegäran mail.docx", "A 45344-2024")</f>
        <v/>
      </c>
    </row>
    <row r="55" ht="15" customHeight="1">
      <c r="A55" t="inlineStr">
        <is>
          <t>A 23736-2023</t>
        </is>
      </c>
      <c r="B55" s="1" t="n">
        <v>45077</v>
      </c>
      <c r="C55" s="1" t="n">
        <v>45886</v>
      </c>
      <c r="D55" t="inlineStr">
        <is>
          <t>DALARNAS LÄN</t>
        </is>
      </c>
      <c r="E55" t="inlineStr">
        <is>
          <t>MORA</t>
        </is>
      </c>
      <c r="G55" t="n">
        <v>7.2</v>
      </c>
      <c r="H55" t="n">
        <v>0</v>
      </c>
      <c r="I55" t="n">
        <v>0</v>
      </c>
      <c r="J55" t="n">
        <v>1</v>
      </c>
      <c r="K55" t="n">
        <v>0</v>
      </c>
      <c r="L55" t="n">
        <v>0</v>
      </c>
      <c r="M55" t="n">
        <v>0</v>
      </c>
      <c r="N55" t="n">
        <v>0</v>
      </c>
      <c r="O55" t="n">
        <v>1</v>
      </c>
      <c r="P55" t="n">
        <v>0</v>
      </c>
      <c r="Q55" t="n">
        <v>1</v>
      </c>
      <c r="R55" s="2" t="inlineStr">
        <is>
          <t>Reliktbock</t>
        </is>
      </c>
      <c r="S55">
        <f>HYPERLINK("https://klasma.github.io/Logging_2062/artfynd/A 23736-2023 artfynd.xlsx", "A 23736-2023")</f>
        <v/>
      </c>
      <c r="T55">
        <f>HYPERLINK("https://klasma.github.io/Logging_2062/kartor/A 23736-2023 karta.png", "A 23736-2023")</f>
        <v/>
      </c>
      <c r="V55">
        <f>HYPERLINK("https://klasma.github.io/Logging_2062/klagomål/A 23736-2023 FSC-klagomål.docx", "A 23736-2023")</f>
        <v/>
      </c>
      <c r="W55">
        <f>HYPERLINK("https://klasma.github.io/Logging_2062/klagomålsmail/A 23736-2023 FSC-klagomål mail.docx", "A 23736-2023")</f>
        <v/>
      </c>
      <c r="X55">
        <f>HYPERLINK("https://klasma.github.io/Logging_2062/tillsyn/A 23736-2023 tillsynsbegäran.docx", "A 23736-2023")</f>
        <v/>
      </c>
      <c r="Y55">
        <f>HYPERLINK("https://klasma.github.io/Logging_2062/tillsynsmail/A 23736-2023 tillsynsbegäran mail.docx", "A 23736-2023")</f>
        <v/>
      </c>
    </row>
    <row r="56" ht="15" customHeight="1">
      <c r="A56" t="inlineStr">
        <is>
          <t>A 13717-2023</t>
        </is>
      </c>
      <c r="B56" s="1" t="n">
        <v>45007</v>
      </c>
      <c r="C56" s="1" t="n">
        <v>45886</v>
      </c>
      <c r="D56" t="inlineStr">
        <is>
          <t>DALARNAS LÄN</t>
        </is>
      </c>
      <c r="E56" t="inlineStr">
        <is>
          <t>MORA</t>
        </is>
      </c>
      <c r="G56" t="n">
        <v>5.6</v>
      </c>
      <c r="H56" t="n">
        <v>0</v>
      </c>
      <c r="I56" t="n">
        <v>0</v>
      </c>
      <c r="J56" t="n">
        <v>1</v>
      </c>
      <c r="K56" t="n">
        <v>0</v>
      </c>
      <c r="L56" t="n">
        <v>0</v>
      </c>
      <c r="M56" t="n">
        <v>0</v>
      </c>
      <c r="N56" t="n">
        <v>0</v>
      </c>
      <c r="O56" t="n">
        <v>1</v>
      </c>
      <c r="P56" t="n">
        <v>0</v>
      </c>
      <c r="Q56" t="n">
        <v>1</v>
      </c>
      <c r="R56" s="2" t="inlineStr">
        <is>
          <t>Slåtterfibbla</t>
        </is>
      </c>
      <c r="S56">
        <f>HYPERLINK("https://klasma.github.io/Logging_2062/artfynd/A 13717-2023 artfynd.xlsx", "A 13717-2023")</f>
        <v/>
      </c>
      <c r="T56">
        <f>HYPERLINK("https://klasma.github.io/Logging_2062/kartor/A 13717-2023 karta.png", "A 13717-2023")</f>
        <v/>
      </c>
      <c r="U56">
        <f>HYPERLINK("https://klasma.github.io/Logging_2062/knärot/A 13717-2023 karta knärot.png", "A 13717-2023")</f>
        <v/>
      </c>
      <c r="V56">
        <f>HYPERLINK("https://klasma.github.io/Logging_2062/klagomål/A 13717-2023 FSC-klagomål.docx", "A 13717-2023")</f>
        <v/>
      </c>
      <c r="W56">
        <f>HYPERLINK("https://klasma.github.io/Logging_2062/klagomålsmail/A 13717-2023 FSC-klagomål mail.docx", "A 13717-2023")</f>
        <v/>
      </c>
      <c r="X56">
        <f>HYPERLINK("https://klasma.github.io/Logging_2062/tillsyn/A 13717-2023 tillsynsbegäran.docx", "A 13717-2023")</f>
        <v/>
      </c>
      <c r="Y56">
        <f>HYPERLINK("https://klasma.github.io/Logging_2062/tillsynsmail/A 13717-2023 tillsynsbegäran mail.docx", "A 13717-2023")</f>
        <v/>
      </c>
    </row>
    <row r="57" ht="15" customHeight="1">
      <c r="A57" t="inlineStr">
        <is>
          <t>A 66990-2020</t>
        </is>
      </c>
      <c r="B57" s="1" t="n">
        <v>44180</v>
      </c>
      <c r="C57" s="1" t="n">
        <v>45886</v>
      </c>
      <c r="D57" t="inlineStr">
        <is>
          <t>DALARNAS LÄN</t>
        </is>
      </c>
      <c r="E57" t="inlineStr">
        <is>
          <t>MORA</t>
        </is>
      </c>
      <c r="G57" t="n">
        <v>1</v>
      </c>
      <c r="H57" t="n">
        <v>0</v>
      </c>
      <c r="I57" t="n">
        <v>0</v>
      </c>
      <c r="J57" t="n">
        <v>0</v>
      </c>
      <c r="K57" t="n">
        <v>0</v>
      </c>
      <c r="L57" t="n">
        <v>0</v>
      </c>
      <c r="M57" t="n">
        <v>0</v>
      </c>
      <c r="N57" t="n">
        <v>0</v>
      </c>
      <c r="O57" t="n">
        <v>0</v>
      </c>
      <c r="P57" t="n">
        <v>0</v>
      </c>
      <c r="Q57" t="n">
        <v>0</v>
      </c>
      <c r="R57" s="2" t="inlineStr"/>
    </row>
    <row r="58" ht="15" customHeight="1">
      <c r="A58" t="inlineStr">
        <is>
          <t>A 38769-2021</t>
        </is>
      </c>
      <c r="B58" s="1" t="n">
        <v>44410</v>
      </c>
      <c r="C58" s="1" t="n">
        <v>45886</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73930-2021</t>
        </is>
      </c>
      <c r="B59" s="1" t="n">
        <v>44553</v>
      </c>
      <c r="C59" s="1" t="n">
        <v>45886</v>
      </c>
      <c r="D59" t="inlineStr">
        <is>
          <t>DALARNAS LÄN</t>
        </is>
      </c>
      <c r="E59" t="inlineStr">
        <is>
          <t>MORA</t>
        </is>
      </c>
      <c r="G59" t="n">
        <v>0.7</v>
      </c>
      <c r="H59" t="n">
        <v>0</v>
      </c>
      <c r="I59" t="n">
        <v>0</v>
      </c>
      <c r="J59" t="n">
        <v>0</v>
      </c>
      <c r="K59" t="n">
        <v>0</v>
      </c>
      <c r="L59" t="n">
        <v>0</v>
      </c>
      <c r="M59" t="n">
        <v>0</v>
      </c>
      <c r="N59" t="n">
        <v>0</v>
      </c>
      <c r="O59" t="n">
        <v>0</v>
      </c>
      <c r="P59" t="n">
        <v>0</v>
      </c>
      <c r="Q59" t="n">
        <v>0</v>
      </c>
      <c r="R59" s="2" t="inlineStr"/>
    </row>
    <row r="60" ht="15" customHeight="1">
      <c r="A60" t="inlineStr">
        <is>
          <t>A 657-2021</t>
        </is>
      </c>
      <c r="B60" s="1" t="n">
        <v>44203</v>
      </c>
      <c r="C60" s="1" t="n">
        <v>45886</v>
      </c>
      <c r="D60" t="inlineStr">
        <is>
          <t>DALARNAS LÄN</t>
        </is>
      </c>
      <c r="E60" t="inlineStr">
        <is>
          <t>MORA</t>
        </is>
      </c>
      <c r="G60" t="n">
        <v>1.8</v>
      </c>
      <c r="H60" t="n">
        <v>0</v>
      </c>
      <c r="I60" t="n">
        <v>0</v>
      </c>
      <c r="J60" t="n">
        <v>0</v>
      </c>
      <c r="K60" t="n">
        <v>0</v>
      </c>
      <c r="L60" t="n">
        <v>0</v>
      </c>
      <c r="M60" t="n">
        <v>0</v>
      </c>
      <c r="N60" t="n">
        <v>0</v>
      </c>
      <c r="O60" t="n">
        <v>0</v>
      </c>
      <c r="P60" t="n">
        <v>0</v>
      </c>
      <c r="Q60" t="n">
        <v>0</v>
      </c>
      <c r="R60" s="2" t="inlineStr"/>
    </row>
    <row r="61" ht="15" customHeight="1">
      <c r="A61" t="inlineStr">
        <is>
          <t>A 52732-2020</t>
        </is>
      </c>
      <c r="B61" s="1" t="n">
        <v>44118</v>
      </c>
      <c r="C61" s="1" t="n">
        <v>45886</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837-2021</t>
        </is>
      </c>
      <c r="B62" s="1" t="n">
        <v>44204</v>
      </c>
      <c r="C62" s="1" t="n">
        <v>45886</v>
      </c>
      <c r="D62" t="inlineStr">
        <is>
          <t>DALARNAS LÄN</t>
        </is>
      </c>
      <c r="E62" t="inlineStr">
        <is>
          <t>MORA</t>
        </is>
      </c>
      <c r="G62" t="n">
        <v>10.4</v>
      </c>
      <c r="H62" t="n">
        <v>0</v>
      </c>
      <c r="I62" t="n">
        <v>0</v>
      </c>
      <c r="J62" t="n">
        <v>0</v>
      </c>
      <c r="K62" t="n">
        <v>0</v>
      </c>
      <c r="L62" t="n">
        <v>0</v>
      </c>
      <c r="M62" t="n">
        <v>0</v>
      </c>
      <c r="N62" t="n">
        <v>0</v>
      </c>
      <c r="O62" t="n">
        <v>0</v>
      </c>
      <c r="P62" t="n">
        <v>0</v>
      </c>
      <c r="Q62" t="n">
        <v>0</v>
      </c>
      <c r="R62" s="2" t="inlineStr"/>
    </row>
    <row r="63" ht="15" customHeight="1">
      <c r="A63" t="inlineStr">
        <is>
          <t>A 66158-2021</t>
        </is>
      </c>
      <c r="B63" s="1" t="n">
        <v>44517.934375</v>
      </c>
      <c r="C63" s="1" t="n">
        <v>45886</v>
      </c>
      <c r="D63" t="inlineStr">
        <is>
          <t>DALARNAS LÄN</t>
        </is>
      </c>
      <c r="E63" t="inlineStr">
        <is>
          <t>MORA</t>
        </is>
      </c>
      <c r="G63" t="n">
        <v>3.3</v>
      </c>
      <c r="H63" t="n">
        <v>0</v>
      </c>
      <c r="I63" t="n">
        <v>0</v>
      </c>
      <c r="J63" t="n">
        <v>0</v>
      </c>
      <c r="K63" t="n">
        <v>0</v>
      </c>
      <c r="L63" t="n">
        <v>0</v>
      </c>
      <c r="M63" t="n">
        <v>0</v>
      </c>
      <c r="N63" t="n">
        <v>0</v>
      </c>
      <c r="O63" t="n">
        <v>0</v>
      </c>
      <c r="P63" t="n">
        <v>0</v>
      </c>
      <c r="Q63" t="n">
        <v>0</v>
      </c>
      <c r="R63" s="2" t="inlineStr"/>
    </row>
    <row r="64" ht="15" customHeight="1">
      <c r="A64" t="inlineStr">
        <is>
          <t>A 42505-2021</t>
        </is>
      </c>
      <c r="B64" s="1" t="n">
        <v>44427</v>
      </c>
      <c r="C64" s="1" t="n">
        <v>45886</v>
      </c>
      <c r="D64" t="inlineStr">
        <is>
          <t>DALARNAS LÄN</t>
        </is>
      </c>
      <c r="E64" t="inlineStr">
        <is>
          <t>MORA</t>
        </is>
      </c>
      <c r="G64" t="n">
        <v>0.9</v>
      </c>
      <c r="H64" t="n">
        <v>0</v>
      </c>
      <c r="I64" t="n">
        <v>0</v>
      </c>
      <c r="J64" t="n">
        <v>0</v>
      </c>
      <c r="K64" t="n">
        <v>0</v>
      </c>
      <c r="L64" t="n">
        <v>0</v>
      </c>
      <c r="M64" t="n">
        <v>0</v>
      </c>
      <c r="N64" t="n">
        <v>0</v>
      </c>
      <c r="O64" t="n">
        <v>0</v>
      </c>
      <c r="P64" t="n">
        <v>0</v>
      </c>
      <c r="Q64" t="n">
        <v>0</v>
      </c>
      <c r="R64" s="2" t="inlineStr"/>
    </row>
    <row r="65" ht="15" customHeight="1">
      <c r="A65" t="inlineStr">
        <is>
          <t>A 72648-2021</t>
        </is>
      </c>
      <c r="B65" s="1" t="n">
        <v>44546.5862037037</v>
      </c>
      <c r="C65" s="1" t="n">
        <v>45886</v>
      </c>
      <c r="D65" t="inlineStr">
        <is>
          <t>DALARNAS LÄN</t>
        </is>
      </c>
      <c r="E65" t="inlineStr">
        <is>
          <t>MORA</t>
        </is>
      </c>
      <c r="G65" t="n">
        <v>0.2</v>
      </c>
      <c r="H65" t="n">
        <v>0</v>
      </c>
      <c r="I65" t="n">
        <v>0</v>
      </c>
      <c r="J65" t="n">
        <v>0</v>
      </c>
      <c r="K65" t="n">
        <v>0</v>
      </c>
      <c r="L65" t="n">
        <v>0</v>
      </c>
      <c r="M65" t="n">
        <v>0</v>
      </c>
      <c r="N65" t="n">
        <v>0</v>
      </c>
      <c r="O65" t="n">
        <v>0</v>
      </c>
      <c r="P65" t="n">
        <v>0</v>
      </c>
      <c r="Q65" t="n">
        <v>0</v>
      </c>
      <c r="R65" s="2" t="inlineStr"/>
    </row>
    <row r="66" ht="15" customHeight="1">
      <c r="A66" t="inlineStr">
        <is>
          <t>A 34897-2022</t>
        </is>
      </c>
      <c r="B66" s="1" t="n">
        <v>44796</v>
      </c>
      <c r="C66" s="1" t="n">
        <v>45886</v>
      </c>
      <c r="D66" t="inlineStr">
        <is>
          <t>DALARNAS LÄN</t>
        </is>
      </c>
      <c r="E66" t="inlineStr">
        <is>
          <t>MORA</t>
        </is>
      </c>
      <c r="F66" t="inlineStr">
        <is>
          <t>Bergvik skog väst AB</t>
        </is>
      </c>
      <c r="G66" t="n">
        <v>8</v>
      </c>
      <c r="H66" t="n">
        <v>0</v>
      </c>
      <c r="I66" t="n">
        <v>0</v>
      </c>
      <c r="J66" t="n">
        <v>0</v>
      </c>
      <c r="K66" t="n">
        <v>0</v>
      </c>
      <c r="L66" t="n">
        <v>0</v>
      </c>
      <c r="M66" t="n">
        <v>0</v>
      </c>
      <c r="N66" t="n">
        <v>0</v>
      </c>
      <c r="O66" t="n">
        <v>0</v>
      </c>
      <c r="P66" t="n">
        <v>0</v>
      </c>
      <c r="Q66" t="n">
        <v>0</v>
      </c>
      <c r="R66" s="2" t="inlineStr"/>
    </row>
    <row r="67" ht="15" customHeight="1">
      <c r="A67" t="inlineStr">
        <is>
          <t>A 38651-2022</t>
        </is>
      </c>
      <c r="B67" s="1" t="n">
        <v>44813</v>
      </c>
      <c r="C67" s="1" t="n">
        <v>45886</v>
      </c>
      <c r="D67" t="inlineStr">
        <is>
          <t>DALARNAS LÄN</t>
        </is>
      </c>
      <c r="E67" t="inlineStr">
        <is>
          <t>MORA</t>
        </is>
      </c>
      <c r="G67" t="n">
        <v>4.4</v>
      </c>
      <c r="H67" t="n">
        <v>0</v>
      </c>
      <c r="I67" t="n">
        <v>0</v>
      </c>
      <c r="J67" t="n">
        <v>0</v>
      </c>
      <c r="K67" t="n">
        <v>0</v>
      </c>
      <c r="L67" t="n">
        <v>0</v>
      </c>
      <c r="M67" t="n">
        <v>0</v>
      </c>
      <c r="N67" t="n">
        <v>0</v>
      </c>
      <c r="O67" t="n">
        <v>0</v>
      </c>
      <c r="P67" t="n">
        <v>0</v>
      </c>
      <c r="Q67" t="n">
        <v>0</v>
      </c>
      <c r="R67" s="2" t="inlineStr"/>
    </row>
    <row r="68" ht="15" customHeight="1">
      <c r="A68" t="inlineStr">
        <is>
          <t>A 61338-2020</t>
        </is>
      </c>
      <c r="B68" s="1" t="n">
        <v>44155</v>
      </c>
      <c r="C68" s="1" t="n">
        <v>45886</v>
      </c>
      <c r="D68" t="inlineStr">
        <is>
          <t>DALARNAS LÄN</t>
        </is>
      </c>
      <c r="E68" t="inlineStr">
        <is>
          <t>MORA</t>
        </is>
      </c>
      <c r="F68" t="inlineStr">
        <is>
          <t>Bergvik skog väst AB</t>
        </is>
      </c>
      <c r="G68" t="n">
        <v>2</v>
      </c>
      <c r="H68" t="n">
        <v>0</v>
      </c>
      <c r="I68" t="n">
        <v>0</v>
      </c>
      <c r="J68" t="n">
        <v>0</v>
      </c>
      <c r="K68" t="n">
        <v>0</v>
      </c>
      <c r="L68" t="n">
        <v>0</v>
      </c>
      <c r="M68" t="n">
        <v>0</v>
      </c>
      <c r="N68" t="n">
        <v>0</v>
      </c>
      <c r="O68" t="n">
        <v>0</v>
      </c>
      <c r="P68" t="n">
        <v>0</v>
      </c>
      <c r="Q68" t="n">
        <v>0</v>
      </c>
      <c r="R68" s="2" t="inlineStr"/>
    </row>
    <row r="69" ht="15" customHeight="1">
      <c r="A69" t="inlineStr">
        <is>
          <t>A 69517-2020</t>
        </is>
      </c>
      <c r="B69" s="1" t="n">
        <v>44194</v>
      </c>
      <c r="C69" s="1" t="n">
        <v>45886</v>
      </c>
      <c r="D69" t="inlineStr">
        <is>
          <t>DALARNAS LÄN</t>
        </is>
      </c>
      <c r="E69" t="inlineStr">
        <is>
          <t>MORA</t>
        </is>
      </c>
      <c r="G69" t="n">
        <v>2</v>
      </c>
      <c r="H69" t="n">
        <v>0</v>
      </c>
      <c r="I69" t="n">
        <v>0</v>
      </c>
      <c r="J69" t="n">
        <v>0</v>
      </c>
      <c r="K69" t="n">
        <v>0</v>
      </c>
      <c r="L69" t="n">
        <v>0</v>
      </c>
      <c r="M69" t="n">
        <v>0</v>
      </c>
      <c r="N69" t="n">
        <v>0</v>
      </c>
      <c r="O69" t="n">
        <v>0</v>
      </c>
      <c r="P69" t="n">
        <v>0</v>
      </c>
      <c r="Q69" t="n">
        <v>0</v>
      </c>
      <c r="R69" s="2" t="inlineStr"/>
    </row>
    <row r="70" ht="15" customHeight="1">
      <c r="A70" t="inlineStr">
        <is>
          <t>A 51608-2020</t>
        </is>
      </c>
      <c r="B70" s="1" t="n">
        <v>44109</v>
      </c>
      <c r="C70" s="1" t="n">
        <v>45886</v>
      </c>
      <c r="D70" t="inlineStr">
        <is>
          <t>DALARNAS LÄN</t>
        </is>
      </c>
      <c r="E70" t="inlineStr">
        <is>
          <t>MORA</t>
        </is>
      </c>
      <c r="G70" t="n">
        <v>4.6</v>
      </c>
      <c r="H70" t="n">
        <v>0</v>
      </c>
      <c r="I70" t="n">
        <v>0</v>
      </c>
      <c r="J70" t="n">
        <v>0</v>
      </c>
      <c r="K70" t="n">
        <v>0</v>
      </c>
      <c r="L70" t="n">
        <v>0</v>
      </c>
      <c r="M70" t="n">
        <v>0</v>
      </c>
      <c r="N70" t="n">
        <v>0</v>
      </c>
      <c r="O70" t="n">
        <v>0</v>
      </c>
      <c r="P70" t="n">
        <v>0</v>
      </c>
      <c r="Q70" t="n">
        <v>0</v>
      </c>
      <c r="R70" s="2" t="inlineStr"/>
    </row>
    <row r="71" ht="15" customHeight="1">
      <c r="A71" t="inlineStr">
        <is>
          <t>A 65253-2021</t>
        </is>
      </c>
      <c r="B71" s="1" t="n">
        <v>44515</v>
      </c>
      <c r="C71" s="1" t="n">
        <v>45886</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1951-2021</t>
        </is>
      </c>
      <c r="B72" s="1" t="n">
        <v>44210</v>
      </c>
      <c r="C72" s="1" t="n">
        <v>45886</v>
      </c>
      <c r="D72" t="inlineStr">
        <is>
          <t>DALARNAS LÄN</t>
        </is>
      </c>
      <c r="E72" t="inlineStr">
        <is>
          <t>MORA</t>
        </is>
      </c>
      <c r="G72" t="n">
        <v>1.6</v>
      </c>
      <c r="H72" t="n">
        <v>0</v>
      </c>
      <c r="I72" t="n">
        <v>0</v>
      </c>
      <c r="J72" t="n">
        <v>0</v>
      </c>
      <c r="K72" t="n">
        <v>0</v>
      </c>
      <c r="L72" t="n">
        <v>0</v>
      </c>
      <c r="M72" t="n">
        <v>0</v>
      </c>
      <c r="N72" t="n">
        <v>0</v>
      </c>
      <c r="O72" t="n">
        <v>0</v>
      </c>
      <c r="P72" t="n">
        <v>0</v>
      </c>
      <c r="Q72" t="n">
        <v>0</v>
      </c>
      <c r="R72" s="2" t="inlineStr"/>
    </row>
    <row r="73" ht="15" customHeight="1">
      <c r="A73" t="inlineStr">
        <is>
          <t>A 42668-2022</t>
        </is>
      </c>
      <c r="B73" s="1" t="n">
        <v>44832.31839120371</v>
      </c>
      <c r="C73" s="1" t="n">
        <v>45886</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29697-2021</t>
        </is>
      </c>
      <c r="B74" s="1" t="n">
        <v>44362.38358796296</v>
      </c>
      <c r="C74" s="1" t="n">
        <v>45886</v>
      </c>
      <c r="D74" t="inlineStr">
        <is>
          <t>DALARNAS LÄN</t>
        </is>
      </c>
      <c r="E74" t="inlineStr">
        <is>
          <t>MORA</t>
        </is>
      </c>
      <c r="G74" t="n">
        <v>0.7</v>
      </c>
      <c r="H74" t="n">
        <v>0</v>
      </c>
      <c r="I74" t="n">
        <v>0</v>
      </c>
      <c r="J74" t="n">
        <v>0</v>
      </c>
      <c r="K74" t="n">
        <v>0</v>
      </c>
      <c r="L74" t="n">
        <v>0</v>
      </c>
      <c r="M74" t="n">
        <v>0</v>
      </c>
      <c r="N74" t="n">
        <v>0</v>
      </c>
      <c r="O74" t="n">
        <v>0</v>
      </c>
      <c r="P74" t="n">
        <v>0</v>
      </c>
      <c r="Q74" t="n">
        <v>0</v>
      </c>
      <c r="R74" s="2" t="inlineStr"/>
    </row>
    <row r="75" ht="15" customHeight="1">
      <c r="A75" t="inlineStr">
        <is>
          <t>A 43944-2022</t>
        </is>
      </c>
      <c r="B75" s="1" t="n">
        <v>44838</v>
      </c>
      <c r="C75" s="1" t="n">
        <v>45886</v>
      </c>
      <c r="D75" t="inlineStr">
        <is>
          <t>DALARNAS LÄN</t>
        </is>
      </c>
      <c r="E75" t="inlineStr">
        <is>
          <t>MORA</t>
        </is>
      </c>
      <c r="F75" t="inlineStr">
        <is>
          <t>Bergvik skog öst AB</t>
        </is>
      </c>
      <c r="G75" t="n">
        <v>1.1</v>
      </c>
      <c r="H75" t="n">
        <v>0</v>
      </c>
      <c r="I75" t="n">
        <v>0</v>
      </c>
      <c r="J75" t="n">
        <v>0</v>
      </c>
      <c r="K75" t="n">
        <v>0</v>
      </c>
      <c r="L75" t="n">
        <v>0</v>
      </c>
      <c r="M75" t="n">
        <v>0</v>
      </c>
      <c r="N75" t="n">
        <v>0</v>
      </c>
      <c r="O75" t="n">
        <v>0</v>
      </c>
      <c r="P75" t="n">
        <v>0</v>
      </c>
      <c r="Q75" t="n">
        <v>0</v>
      </c>
      <c r="R75" s="2" t="inlineStr"/>
    </row>
    <row r="76" ht="15" customHeight="1">
      <c r="A76" t="inlineStr">
        <is>
          <t>A 54239-2021</t>
        </is>
      </c>
      <c r="B76" s="1" t="n">
        <v>44470.63695601852</v>
      </c>
      <c r="C76" s="1" t="n">
        <v>45886</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50620-2021</t>
        </is>
      </c>
      <c r="B77" s="1" t="n">
        <v>44459.68884259259</v>
      </c>
      <c r="C77" s="1" t="n">
        <v>45886</v>
      </c>
      <c r="D77" t="inlineStr">
        <is>
          <t>DALARNAS LÄN</t>
        </is>
      </c>
      <c r="E77" t="inlineStr">
        <is>
          <t>MORA</t>
        </is>
      </c>
      <c r="G77" t="n">
        <v>4.4</v>
      </c>
      <c r="H77" t="n">
        <v>0</v>
      </c>
      <c r="I77" t="n">
        <v>0</v>
      </c>
      <c r="J77" t="n">
        <v>0</v>
      </c>
      <c r="K77" t="n">
        <v>0</v>
      </c>
      <c r="L77" t="n">
        <v>0</v>
      </c>
      <c r="M77" t="n">
        <v>0</v>
      </c>
      <c r="N77" t="n">
        <v>0</v>
      </c>
      <c r="O77" t="n">
        <v>0</v>
      </c>
      <c r="P77" t="n">
        <v>0</v>
      </c>
      <c r="Q77" t="n">
        <v>0</v>
      </c>
      <c r="R77" s="2" t="inlineStr"/>
    </row>
    <row r="78" ht="15" customHeight="1">
      <c r="A78" t="inlineStr">
        <is>
          <t>A 6574-2022</t>
        </is>
      </c>
      <c r="B78" s="1" t="n">
        <v>44601</v>
      </c>
      <c r="C78" s="1" t="n">
        <v>45886</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21273-2022</t>
        </is>
      </c>
      <c r="B79" s="1" t="n">
        <v>44705</v>
      </c>
      <c r="C79" s="1" t="n">
        <v>45886</v>
      </c>
      <c r="D79" t="inlineStr">
        <is>
          <t>DALARNAS LÄN</t>
        </is>
      </c>
      <c r="E79" t="inlineStr">
        <is>
          <t>MORA</t>
        </is>
      </c>
      <c r="G79" t="n">
        <v>1</v>
      </c>
      <c r="H79" t="n">
        <v>0</v>
      </c>
      <c r="I79" t="n">
        <v>0</v>
      </c>
      <c r="J79" t="n">
        <v>0</v>
      </c>
      <c r="K79" t="n">
        <v>0</v>
      </c>
      <c r="L79" t="n">
        <v>0</v>
      </c>
      <c r="M79" t="n">
        <v>0</v>
      </c>
      <c r="N79" t="n">
        <v>0</v>
      </c>
      <c r="O79" t="n">
        <v>0</v>
      </c>
      <c r="P79" t="n">
        <v>0</v>
      </c>
      <c r="Q79" t="n">
        <v>0</v>
      </c>
      <c r="R79" s="2" t="inlineStr"/>
    </row>
    <row r="80" ht="15" customHeight="1">
      <c r="A80" t="inlineStr">
        <is>
          <t>A 72780-2021</t>
        </is>
      </c>
      <c r="B80" s="1" t="n">
        <v>44545</v>
      </c>
      <c r="C80" s="1" t="n">
        <v>45886</v>
      </c>
      <c r="D80" t="inlineStr">
        <is>
          <t>DALARNAS LÄN</t>
        </is>
      </c>
      <c r="E80" t="inlineStr">
        <is>
          <t>MORA</t>
        </is>
      </c>
      <c r="F80" t="inlineStr">
        <is>
          <t>Allmännings- och besparingsskogar</t>
        </is>
      </c>
      <c r="G80" t="n">
        <v>1</v>
      </c>
      <c r="H80" t="n">
        <v>0</v>
      </c>
      <c r="I80" t="n">
        <v>0</v>
      </c>
      <c r="J80" t="n">
        <v>0</v>
      </c>
      <c r="K80" t="n">
        <v>0</v>
      </c>
      <c r="L80" t="n">
        <v>0</v>
      </c>
      <c r="M80" t="n">
        <v>0</v>
      </c>
      <c r="N80" t="n">
        <v>0</v>
      </c>
      <c r="O80" t="n">
        <v>0</v>
      </c>
      <c r="P80" t="n">
        <v>0</v>
      </c>
      <c r="Q80" t="n">
        <v>0</v>
      </c>
      <c r="R80" s="2" t="inlineStr"/>
    </row>
    <row r="81" ht="15" customHeight="1">
      <c r="A81" t="inlineStr">
        <is>
          <t>A 41022-2021</t>
        </is>
      </c>
      <c r="B81" s="1" t="n">
        <v>44421</v>
      </c>
      <c r="C81" s="1" t="n">
        <v>45886</v>
      </c>
      <c r="D81" t="inlineStr">
        <is>
          <t>DALARNAS LÄN</t>
        </is>
      </c>
      <c r="E81" t="inlineStr">
        <is>
          <t>MORA</t>
        </is>
      </c>
      <c r="G81" t="n">
        <v>11.9</v>
      </c>
      <c r="H81" t="n">
        <v>0</v>
      </c>
      <c r="I81" t="n">
        <v>0</v>
      </c>
      <c r="J81" t="n">
        <v>0</v>
      </c>
      <c r="K81" t="n">
        <v>0</v>
      </c>
      <c r="L81" t="n">
        <v>0</v>
      </c>
      <c r="M81" t="n">
        <v>0</v>
      </c>
      <c r="N81" t="n">
        <v>0</v>
      </c>
      <c r="O81" t="n">
        <v>0</v>
      </c>
      <c r="P81" t="n">
        <v>0</v>
      </c>
      <c r="Q81" t="n">
        <v>0</v>
      </c>
      <c r="R81" s="2" t="inlineStr"/>
    </row>
    <row r="82" ht="15" customHeight="1">
      <c r="A82" t="inlineStr">
        <is>
          <t>A 49583-2021</t>
        </is>
      </c>
      <c r="B82" s="1" t="n">
        <v>44455</v>
      </c>
      <c r="C82" s="1" t="n">
        <v>45886</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16840-2021</t>
        </is>
      </c>
      <c r="B83" s="1" t="n">
        <v>44295</v>
      </c>
      <c r="C83" s="1" t="n">
        <v>45886</v>
      </c>
      <c r="D83" t="inlineStr">
        <is>
          <t>DALARNAS LÄN</t>
        </is>
      </c>
      <c r="E83" t="inlineStr">
        <is>
          <t>MORA</t>
        </is>
      </c>
      <c r="G83" t="n">
        <v>11.5</v>
      </c>
      <c r="H83" t="n">
        <v>0</v>
      </c>
      <c r="I83" t="n">
        <v>0</v>
      </c>
      <c r="J83" t="n">
        <v>0</v>
      </c>
      <c r="K83" t="n">
        <v>0</v>
      </c>
      <c r="L83" t="n">
        <v>0</v>
      </c>
      <c r="M83" t="n">
        <v>0</v>
      </c>
      <c r="N83" t="n">
        <v>0</v>
      </c>
      <c r="O83" t="n">
        <v>0</v>
      </c>
      <c r="P83" t="n">
        <v>0</v>
      </c>
      <c r="Q83" t="n">
        <v>0</v>
      </c>
      <c r="R83" s="2" t="inlineStr"/>
    </row>
    <row r="84" ht="15" customHeight="1">
      <c r="A84" t="inlineStr">
        <is>
          <t>A 41032-2021</t>
        </is>
      </c>
      <c r="B84" s="1" t="n">
        <v>44421</v>
      </c>
      <c r="C84" s="1" t="n">
        <v>45886</v>
      </c>
      <c r="D84" t="inlineStr">
        <is>
          <t>DALARNAS LÄN</t>
        </is>
      </c>
      <c r="E84" t="inlineStr">
        <is>
          <t>MORA</t>
        </is>
      </c>
      <c r="G84" t="n">
        <v>4.1</v>
      </c>
      <c r="H84" t="n">
        <v>0</v>
      </c>
      <c r="I84" t="n">
        <v>0</v>
      </c>
      <c r="J84" t="n">
        <v>0</v>
      </c>
      <c r="K84" t="n">
        <v>0</v>
      </c>
      <c r="L84" t="n">
        <v>0</v>
      </c>
      <c r="M84" t="n">
        <v>0</v>
      </c>
      <c r="N84" t="n">
        <v>0</v>
      </c>
      <c r="O84" t="n">
        <v>0</v>
      </c>
      <c r="P84" t="n">
        <v>0</v>
      </c>
      <c r="Q84" t="n">
        <v>0</v>
      </c>
      <c r="R84" s="2" t="inlineStr"/>
    </row>
    <row r="85" ht="15" customHeight="1">
      <c r="A85" t="inlineStr">
        <is>
          <t>A 65527-2021</t>
        </is>
      </c>
      <c r="B85" s="1" t="n">
        <v>44516.42728009259</v>
      </c>
      <c r="C85" s="1" t="n">
        <v>45886</v>
      </c>
      <c r="D85" t="inlineStr">
        <is>
          <t>DALARNAS LÄN</t>
        </is>
      </c>
      <c r="E85" t="inlineStr">
        <is>
          <t>MORA</t>
        </is>
      </c>
      <c r="G85" t="n">
        <v>0.5</v>
      </c>
      <c r="H85" t="n">
        <v>0</v>
      </c>
      <c r="I85" t="n">
        <v>0</v>
      </c>
      <c r="J85" t="n">
        <v>0</v>
      </c>
      <c r="K85" t="n">
        <v>0</v>
      </c>
      <c r="L85" t="n">
        <v>0</v>
      </c>
      <c r="M85" t="n">
        <v>0</v>
      </c>
      <c r="N85" t="n">
        <v>0</v>
      </c>
      <c r="O85" t="n">
        <v>0</v>
      </c>
      <c r="P85" t="n">
        <v>0</v>
      </c>
      <c r="Q85" t="n">
        <v>0</v>
      </c>
      <c r="R85" s="2" t="inlineStr"/>
    </row>
    <row r="86" ht="15" customHeight="1">
      <c r="A86" t="inlineStr">
        <is>
          <t>A 39672-2021</t>
        </is>
      </c>
      <c r="B86" s="1" t="n">
        <v>44417.43135416666</v>
      </c>
      <c r="C86" s="1" t="n">
        <v>45886</v>
      </c>
      <c r="D86" t="inlineStr">
        <is>
          <t>DALARNAS LÄN</t>
        </is>
      </c>
      <c r="E86" t="inlineStr">
        <is>
          <t>MORA</t>
        </is>
      </c>
      <c r="G86" t="n">
        <v>0.5</v>
      </c>
      <c r="H86" t="n">
        <v>0</v>
      </c>
      <c r="I86" t="n">
        <v>0</v>
      </c>
      <c r="J86" t="n">
        <v>0</v>
      </c>
      <c r="K86" t="n">
        <v>0</v>
      </c>
      <c r="L86" t="n">
        <v>0</v>
      </c>
      <c r="M86" t="n">
        <v>0</v>
      </c>
      <c r="N86" t="n">
        <v>0</v>
      </c>
      <c r="O86" t="n">
        <v>0</v>
      </c>
      <c r="P86" t="n">
        <v>0</v>
      </c>
      <c r="Q86" t="n">
        <v>0</v>
      </c>
      <c r="R86" s="2" t="inlineStr"/>
    </row>
    <row r="87" ht="15" customHeight="1">
      <c r="A87" t="inlineStr">
        <is>
          <t>A 43458-2021</t>
        </is>
      </c>
      <c r="B87" s="1" t="n">
        <v>44432</v>
      </c>
      <c r="C87" s="1" t="n">
        <v>45886</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28344-2022</t>
        </is>
      </c>
      <c r="B88" s="1" t="n">
        <v>44747</v>
      </c>
      <c r="C88" s="1" t="n">
        <v>45886</v>
      </c>
      <c r="D88" t="inlineStr">
        <is>
          <t>DALARNAS LÄN</t>
        </is>
      </c>
      <c r="E88" t="inlineStr">
        <is>
          <t>MORA</t>
        </is>
      </c>
      <c r="F88" t="inlineStr">
        <is>
          <t>Kyrkan</t>
        </is>
      </c>
      <c r="G88" t="n">
        <v>6.4</v>
      </c>
      <c r="H88" t="n">
        <v>0</v>
      </c>
      <c r="I88" t="n">
        <v>0</v>
      </c>
      <c r="J88" t="n">
        <v>0</v>
      </c>
      <c r="K88" t="n">
        <v>0</v>
      </c>
      <c r="L88" t="n">
        <v>0</v>
      </c>
      <c r="M88" t="n">
        <v>0</v>
      </c>
      <c r="N88" t="n">
        <v>0</v>
      </c>
      <c r="O88" t="n">
        <v>0</v>
      </c>
      <c r="P88" t="n">
        <v>0</v>
      </c>
      <c r="Q88" t="n">
        <v>0</v>
      </c>
      <c r="R88" s="2" t="inlineStr"/>
    </row>
    <row r="89" ht="15" customHeight="1">
      <c r="A89" t="inlineStr">
        <is>
          <t>A 30895-2021</t>
        </is>
      </c>
      <c r="B89" s="1" t="n">
        <v>44365.59125</v>
      </c>
      <c r="C89" s="1" t="n">
        <v>45886</v>
      </c>
      <c r="D89" t="inlineStr">
        <is>
          <t>DALARNAS LÄN</t>
        </is>
      </c>
      <c r="E89" t="inlineStr">
        <is>
          <t>MORA</t>
        </is>
      </c>
      <c r="G89" t="n">
        <v>2.8</v>
      </c>
      <c r="H89" t="n">
        <v>0</v>
      </c>
      <c r="I89" t="n">
        <v>0</v>
      </c>
      <c r="J89" t="n">
        <v>0</v>
      </c>
      <c r="K89" t="n">
        <v>0</v>
      </c>
      <c r="L89" t="n">
        <v>0</v>
      </c>
      <c r="M89" t="n">
        <v>0</v>
      </c>
      <c r="N89" t="n">
        <v>0</v>
      </c>
      <c r="O89" t="n">
        <v>0</v>
      </c>
      <c r="P89" t="n">
        <v>0</v>
      </c>
      <c r="Q89" t="n">
        <v>0</v>
      </c>
      <c r="R89" s="2" t="inlineStr"/>
    </row>
    <row r="90" ht="15" customHeight="1">
      <c r="A90" t="inlineStr">
        <is>
          <t>A 17915-2021</t>
        </is>
      </c>
      <c r="B90" s="1" t="n">
        <v>44301</v>
      </c>
      <c r="C90" s="1" t="n">
        <v>45886</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30888-2021</t>
        </is>
      </c>
      <c r="B91" s="1" t="n">
        <v>44365.58731481482</v>
      </c>
      <c r="C91" s="1" t="n">
        <v>45886</v>
      </c>
      <c r="D91" t="inlineStr">
        <is>
          <t>DALARNAS LÄN</t>
        </is>
      </c>
      <c r="E91" t="inlineStr">
        <is>
          <t>MORA</t>
        </is>
      </c>
      <c r="G91" t="n">
        <v>0.4</v>
      </c>
      <c r="H91" t="n">
        <v>0</v>
      </c>
      <c r="I91" t="n">
        <v>0</v>
      </c>
      <c r="J91" t="n">
        <v>0</v>
      </c>
      <c r="K91" t="n">
        <v>0</v>
      </c>
      <c r="L91" t="n">
        <v>0</v>
      </c>
      <c r="M91" t="n">
        <v>0</v>
      </c>
      <c r="N91" t="n">
        <v>0</v>
      </c>
      <c r="O91" t="n">
        <v>0</v>
      </c>
      <c r="P91" t="n">
        <v>0</v>
      </c>
      <c r="Q91" t="n">
        <v>0</v>
      </c>
      <c r="R91" s="2" t="inlineStr"/>
    </row>
    <row r="92" ht="15" customHeight="1">
      <c r="A92" t="inlineStr">
        <is>
          <t>A 30905-2021</t>
        </is>
      </c>
      <c r="B92" s="1" t="n">
        <v>44365</v>
      </c>
      <c r="C92" s="1" t="n">
        <v>45886</v>
      </c>
      <c r="D92" t="inlineStr">
        <is>
          <t>DALARNAS LÄN</t>
        </is>
      </c>
      <c r="E92" t="inlineStr">
        <is>
          <t>MORA</t>
        </is>
      </c>
      <c r="G92" t="n">
        <v>2.6</v>
      </c>
      <c r="H92" t="n">
        <v>0</v>
      </c>
      <c r="I92" t="n">
        <v>0</v>
      </c>
      <c r="J92" t="n">
        <v>0</v>
      </c>
      <c r="K92" t="n">
        <v>0</v>
      </c>
      <c r="L92" t="n">
        <v>0</v>
      </c>
      <c r="M92" t="n">
        <v>0</v>
      </c>
      <c r="N92" t="n">
        <v>0</v>
      </c>
      <c r="O92" t="n">
        <v>0</v>
      </c>
      <c r="P92" t="n">
        <v>0</v>
      </c>
      <c r="Q92" t="n">
        <v>0</v>
      </c>
      <c r="R92" s="2" t="inlineStr"/>
    </row>
    <row r="93" ht="15" customHeight="1">
      <c r="A93" t="inlineStr">
        <is>
          <t>A 67028-2020</t>
        </is>
      </c>
      <c r="B93" s="1" t="n">
        <v>44180</v>
      </c>
      <c r="C93" s="1" t="n">
        <v>45886</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46402-2022</t>
        </is>
      </c>
      <c r="B94" s="1" t="n">
        <v>44848</v>
      </c>
      <c r="C94" s="1" t="n">
        <v>45886</v>
      </c>
      <c r="D94" t="inlineStr">
        <is>
          <t>DALARNAS LÄN</t>
        </is>
      </c>
      <c r="E94" t="inlineStr">
        <is>
          <t>MORA</t>
        </is>
      </c>
      <c r="G94" t="n">
        <v>0.9</v>
      </c>
      <c r="H94" t="n">
        <v>0</v>
      </c>
      <c r="I94" t="n">
        <v>0</v>
      </c>
      <c r="J94" t="n">
        <v>0</v>
      </c>
      <c r="K94" t="n">
        <v>0</v>
      </c>
      <c r="L94" t="n">
        <v>0</v>
      </c>
      <c r="M94" t="n">
        <v>0</v>
      </c>
      <c r="N94" t="n">
        <v>0</v>
      </c>
      <c r="O94" t="n">
        <v>0</v>
      </c>
      <c r="P94" t="n">
        <v>0</v>
      </c>
      <c r="Q94" t="n">
        <v>0</v>
      </c>
      <c r="R94" s="2" t="inlineStr"/>
    </row>
    <row r="95" ht="15" customHeight="1">
      <c r="A95" t="inlineStr">
        <is>
          <t>A 45238-2022</t>
        </is>
      </c>
      <c r="B95" s="1" t="n">
        <v>44844.47778935185</v>
      </c>
      <c r="C95" s="1" t="n">
        <v>45886</v>
      </c>
      <c r="D95" t="inlineStr">
        <is>
          <t>DALARNAS LÄN</t>
        </is>
      </c>
      <c r="E95" t="inlineStr">
        <is>
          <t>MORA</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65301-2020</t>
        </is>
      </c>
      <c r="B96" s="1" t="n">
        <v>44169</v>
      </c>
      <c r="C96" s="1" t="n">
        <v>45886</v>
      </c>
      <c r="D96" t="inlineStr">
        <is>
          <t>DALARNAS LÄN</t>
        </is>
      </c>
      <c r="E96" t="inlineStr">
        <is>
          <t>MORA</t>
        </is>
      </c>
      <c r="G96" t="n">
        <v>2.9</v>
      </c>
      <c r="H96" t="n">
        <v>0</v>
      </c>
      <c r="I96" t="n">
        <v>0</v>
      </c>
      <c r="J96" t="n">
        <v>0</v>
      </c>
      <c r="K96" t="n">
        <v>0</v>
      </c>
      <c r="L96" t="n">
        <v>0</v>
      </c>
      <c r="M96" t="n">
        <v>0</v>
      </c>
      <c r="N96" t="n">
        <v>0</v>
      </c>
      <c r="O96" t="n">
        <v>0</v>
      </c>
      <c r="P96" t="n">
        <v>0</v>
      </c>
      <c r="Q96" t="n">
        <v>0</v>
      </c>
      <c r="R96" s="2" t="inlineStr"/>
    </row>
    <row r="97" ht="15" customHeight="1">
      <c r="A97" t="inlineStr">
        <is>
          <t>A 31705-2021</t>
        </is>
      </c>
      <c r="B97" s="1" t="n">
        <v>44369.7362037037</v>
      </c>
      <c r="C97" s="1" t="n">
        <v>45886</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8064-2021</t>
        </is>
      </c>
      <c r="B98" s="1" t="n">
        <v>44243</v>
      </c>
      <c r="C98" s="1" t="n">
        <v>45886</v>
      </c>
      <c r="D98" t="inlineStr">
        <is>
          <t>DALARNAS LÄN</t>
        </is>
      </c>
      <c r="E98" t="inlineStr">
        <is>
          <t>MORA</t>
        </is>
      </c>
      <c r="G98" t="n">
        <v>4</v>
      </c>
      <c r="H98" t="n">
        <v>0</v>
      </c>
      <c r="I98" t="n">
        <v>0</v>
      </c>
      <c r="J98" t="n">
        <v>0</v>
      </c>
      <c r="K98" t="n">
        <v>0</v>
      </c>
      <c r="L98" t="n">
        <v>0</v>
      </c>
      <c r="M98" t="n">
        <v>0</v>
      </c>
      <c r="N98" t="n">
        <v>0</v>
      </c>
      <c r="O98" t="n">
        <v>0</v>
      </c>
      <c r="P98" t="n">
        <v>0</v>
      </c>
      <c r="Q98" t="n">
        <v>0</v>
      </c>
      <c r="R98" s="2" t="inlineStr"/>
    </row>
    <row r="99" ht="15" customHeight="1">
      <c r="A99" t="inlineStr">
        <is>
          <t>A 16706-2022</t>
        </is>
      </c>
      <c r="B99" s="1" t="n">
        <v>44673</v>
      </c>
      <c r="C99" s="1" t="n">
        <v>45886</v>
      </c>
      <c r="D99" t="inlineStr">
        <is>
          <t>DALARNAS LÄN</t>
        </is>
      </c>
      <c r="E99" t="inlineStr">
        <is>
          <t>MORA</t>
        </is>
      </c>
      <c r="G99" t="n">
        <v>9.1</v>
      </c>
      <c r="H99" t="n">
        <v>0</v>
      </c>
      <c r="I99" t="n">
        <v>0</v>
      </c>
      <c r="J99" t="n">
        <v>0</v>
      </c>
      <c r="K99" t="n">
        <v>0</v>
      </c>
      <c r="L99" t="n">
        <v>0</v>
      </c>
      <c r="M99" t="n">
        <v>0</v>
      </c>
      <c r="N99" t="n">
        <v>0</v>
      </c>
      <c r="O99" t="n">
        <v>0</v>
      </c>
      <c r="P99" t="n">
        <v>0</v>
      </c>
      <c r="Q99" t="n">
        <v>0</v>
      </c>
      <c r="R99" s="2" t="inlineStr"/>
    </row>
    <row r="100" ht="15" customHeight="1">
      <c r="A100" t="inlineStr">
        <is>
          <t>A 41763-2021</t>
        </is>
      </c>
      <c r="B100" s="1" t="n">
        <v>44425</v>
      </c>
      <c r="C100" s="1" t="n">
        <v>45886</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49572-2021</t>
        </is>
      </c>
      <c r="B101" s="1" t="n">
        <v>44455</v>
      </c>
      <c r="C101" s="1" t="n">
        <v>45886</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33269-2022</t>
        </is>
      </c>
      <c r="B102" s="1" t="n">
        <v>44788.32601851852</v>
      </c>
      <c r="C102" s="1" t="n">
        <v>45886</v>
      </c>
      <c r="D102" t="inlineStr">
        <is>
          <t>DALARNAS LÄN</t>
        </is>
      </c>
      <c r="E102" t="inlineStr">
        <is>
          <t>MORA</t>
        </is>
      </c>
      <c r="G102" t="n">
        <v>3.1</v>
      </c>
      <c r="H102" t="n">
        <v>0</v>
      </c>
      <c r="I102" t="n">
        <v>0</v>
      </c>
      <c r="J102" t="n">
        <v>0</v>
      </c>
      <c r="K102" t="n">
        <v>0</v>
      </c>
      <c r="L102" t="n">
        <v>0</v>
      </c>
      <c r="M102" t="n">
        <v>0</v>
      </c>
      <c r="N102" t="n">
        <v>0</v>
      </c>
      <c r="O102" t="n">
        <v>0</v>
      </c>
      <c r="P102" t="n">
        <v>0</v>
      </c>
      <c r="Q102" t="n">
        <v>0</v>
      </c>
      <c r="R102" s="2" t="inlineStr"/>
    </row>
    <row r="103" ht="15" customHeight="1">
      <c r="A103" t="inlineStr">
        <is>
          <t>A 45462-2022</t>
        </is>
      </c>
      <c r="B103" s="1" t="n">
        <v>44845.35591435185</v>
      </c>
      <c r="C103" s="1" t="n">
        <v>45886</v>
      </c>
      <c r="D103" t="inlineStr">
        <is>
          <t>DALARNAS LÄN</t>
        </is>
      </c>
      <c r="E103" t="inlineStr">
        <is>
          <t>MORA</t>
        </is>
      </c>
      <c r="G103" t="n">
        <v>6.9</v>
      </c>
      <c r="H103" t="n">
        <v>0</v>
      </c>
      <c r="I103" t="n">
        <v>0</v>
      </c>
      <c r="J103" t="n">
        <v>0</v>
      </c>
      <c r="K103" t="n">
        <v>0</v>
      </c>
      <c r="L103" t="n">
        <v>0</v>
      </c>
      <c r="M103" t="n">
        <v>0</v>
      </c>
      <c r="N103" t="n">
        <v>0</v>
      </c>
      <c r="O103" t="n">
        <v>0</v>
      </c>
      <c r="P103" t="n">
        <v>0</v>
      </c>
      <c r="Q103" t="n">
        <v>0</v>
      </c>
      <c r="R103" s="2" t="inlineStr"/>
    </row>
    <row r="104" ht="15" customHeight="1">
      <c r="A104" t="inlineStr">
        <is>
          <t>A 58690-2021</t>
        </is>
      </c>
      <c r="B104" s="1" t="n">
        <v>44489</v>
      </c>
      <c r="C104" s="1" t="n">
        <v>45886</v>
      </c>
      <c r="D104" t="inlineStr">
        <is>
          <t>DALARNAS LÄN</t>
        </is>
      </c>
      <c r="E104" t="inlineStr">
        <is>
          <t>MORA</t>
        </is>
      </c>
      <c r="F104" t="inlineStr">
        <is>
          <t>Bergvik skog öst AB</t>
        </is>
      </c>
      <c r="G104" t="n">
        <v>2.6</v>
      </c>
      <c r="H104" t="n">
        <v>0</v>
      </c>
      <c r="I104" t="n">
        <v>0</v>
      </c>
      <c r="J104" t="n">
        <v>0</v>
      </c>
      <c r="K104" t="n">
        <v>0</v>
      </c>
      <c r="L104" t="n">
        <v>0</v>
      </c>
      <c r="M104" t="n">
        <v>0</v>
      </c>
      <c r="N104" t="n">
        <v>0</v>
      </c>
      <c r="O104" t="n">
        <v>0</v>
      </c>
      <c r="P104" t="n">
        <v>0</v>
      </c>
      <c r="Q104" t="n">
        <v>0</v>
      </c>
      <c r="R104" s="2" t="inlineStr"/>
    </row>
    <row r="105" ht="15" customHeight="1">
      <c r="A105" t="inlineStr">
        <is>
          <t>A 67125-2021</t>
        </is>
      </c>
      <c r="B105" s="1" t="n">
        <v>44523.35982638889</v>
      </c>
      <c r="C105" s="1" t="n">
        <v>45886</v>
      </c>
      <c r="D105" t="inlineStr">
        <is>
          <t>DALARNAS LÄN</t>
        </is>
      </c>
      <c r="E105" t="inlineStr">
        <is>
          <t>MORA</t>
        </is>
      </c>
      <c r="G105" t="n">
        <v>2.9</v>
      </c>
      <c r="H105" t="n">
        <v>0</v>
      </c>
      <c r="I105" t="n">
        <v>0</v>
      </c>
      <c r="J105" t="n">
        <v>0</v>
      </c>
      <c r="K105" t="n">
        <v>0</v>
      </c>
      <c r="L105" t="n">
        <v>0</v>
      </c>
      <c r="M105" t="n">
        <v>0</v>
      </c>
      <c r="N105" t="n">
        <v>0</v>
      </c>
      <c r="O105" t="n">
        <v>0</v>
      </c>
      <c r="P105" t="n">
        <v>0</v>
      </c>
      <c r="Q105" t="n">
        <v>0</v>
      </c>
      <c r="R105" s="2" t="inlineStr"/>
    </row>
    <row r="106" ht="15" customHeight="1">
      <c r="A106" t="inlineStr">
        <is>
          <t>A 41121-2021</t>
        </is>
      </c>
      <c r="B106" s="1" t="n">
        <v>44423.65152777778</v>
      </c>
      <c r="C106" s="1" t="n">
        <v>45886</v>
      </c>
      <c r="D106" t="inlineStr">
        <is>
          <t>DALARNAS LÄN</t>
        </is>
      </c>
      <c r="E106" t="inlineStr">
        <is>
          <t>MORA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8145-2022</t>
        </is>
      </c>
      <c r="B107" s="1" t="n">
        <v>44609.62314814814</v>
      </c>
      <c r="C107" s="1" t="n">
        <v>45886</v>
      </c>
      <c r="D107" t="inlineStr">
        <is>
          <t>DALARNAS LÄN</t>
        </is>
      </c>
      <c r="E107" t="inlineStr">
        <is>
          <t>MORA</t>
        </is>
      </c>
      <c r="G107" t="n">
        <v>7.3</v>
      </c>
      <c r="H107" t="n">
        <v>0</v>
      </c>
      <c r="I107" t="n">
        <v>0</v>
      </c>
      <c r="J107" t="n">
        <v>0</v>
      </c>
      <c r="K107" t="n">
        <v>0</v>
      </c>
      <c r="L107" t="n">
        <v>0</v>
      </c>
      <c r="M107" t="n">
        <v>0</v>
      </c>
      <c r="N107" t="n">
        <v>0</v>
      </c>
      <c r="O107" t="n">
        <v>0</v>
      </c>
      <c r="P107" t="n">
        <v>0</v>
      </c>
      <c r="Q107" t="n">
        <v>0</v>
      </c>
      <c r="R107" s="2" t="inlineStr"/>
    </row>
    <row r="108" ht="15" customHeight="1">
      <c r="A108" t="inlineStr">
        <is>
          <t>A 41028-2021</t>
        </is>
      </c>
      <c r="B108" s="1" t="n">
        <v>44421</v>
      </c>
      <c r="C108" s="1" t="n">
        <v>45886</v>
      </c>
      <c r="D108" t="inlineStr">
        <is>
          <t>DALARNAS LÄN</t>
        </is>
      </c>
      <c r="E108" t="inlineStr">
        <is>
          <t>MORA</t>
        </is>
      </c>
      <c r="G108" t="n">
        <v>7.2</v>
      </c>
      <c r="H108" t="n">
        <v>0</v>
      </c>
      <c r="I108" t="n">
        <v>0</v>
      </c>
      <c r="J108" t="n">
        <v>0</v>
      </c>
      <c r="K108" t="n">
        <v>0</v>
      </c>
      <c r="L108" t="n">
        <v>0</v>
      </c>
      <c r="M108" t="n">
        <v>0</v>
      </c>
      <c r="N108" t="n">
        <v>0</v>
      </c>
      <c r="O108" t="n">
        <v>0</v>
      </c>
      <c r="P108" t="n">
        <v>0</v>
      </c>
      <c r="Q108" t="n">
        <v>0</v>
      </c>
      <c r="R108" s="2" t="inlineStr"/>
    </row>
    <row r="109" ht="15" customHeight="1">
      <c r="A109" t="inlineStr">
        <is>
          <t>A 59899-2021</t>
        </is>
      </c>
      <c r="B109" s="1" t="n">
        <v>44494.63381944445</v>
      </c>
      <c r="C109" s="1" t="n">
        <v>45886</v>
      </c>
      <c r="D109" t="inlineStr">
        <is>
          <t>DALARNAS LÄN</t>
        </is>
      </c>
      <c r="E109" t="inlineStr">
        <is>
          <t>MORA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2277-2022</t>
        </is>
      </c>
      <c r="B110" s="1" t="n">
        <v>44578.66320601852</v>
      </c>
      <c r="C110" s="1" t="n">
        <v>45886</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58413-2021</t>
        </is>
      </c>
      <c r="B111" s="1" t="n">
        <v>44488</v>
      </c>
      <c r="C111" s="1" t="n">
        <v>45886</v>
      </c>
      <c r="D111" t="inlineStr">
        <is>
          <t>DALARNAS LÄN</t>
        </is>
      </c>
      <c r="E111" t="inlineStr">
        <is>
          <t>MORA</t>
        </is>
      </c>
      <c r="F111" t="inlineStr">
        <is>
          <t>Bergvik skog öst AB</t>
        </is>
      </c>
      <c r="G111" t="n">
        <v>5.3</v>
      </c>
      <c r="H111" t="n">
        <v>0</v>
      </c>
      <c r="I111" t="n">
        <v>0</v>
      </c>
      <c r="J111" t="n">
        <v>0</v>
      </c>
      <c r="K111" t="n">
        <v>0</v>
      </c>
      <c r="L111" t="n">
        <v>0</v>
      </c>
      <c r="M111" t="n">
        <v>0</v>
      </c>
      <c r="N111" t="n">
        <v>0</v>
      </c>
      <c r="O111" t="n">
        <v>0</v>
      </c>
      <c r="P111" t="n">
        <v>0</v>
      </c>
      <c r="Q111" t="n">
        <v>0</v>
      </c>
      <c r="R111" s="2" t="inlineStr"/>
    </row>
    <row r="112" ht="15" customHeight="1">
      <c r="A112" t="inlineStr">
        <is>
          <t>A 36168-2021</t>
        </is>
      </c>
      <c r="B112" s="1" t="n">
        <v>44389.62159722222</v>
      </c>
      <c r="C112" s="1" t="n">
        <v>45886</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32474-2022</t>
        </is>
      </c>
      <c r="B113" s="1" t="n">
        <v>44782</v>
      </c>
      <c r="C113" s="1" t="n">
        <v>45886</v>
      </c>
      <c r="D113" t="inlineStr">
        <is>
          <t>DALARNAS LÄN</t>
        </is>
      </c>
      <c r="E113" t="inlineStr">
        <is>
          <t>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42377-2020</t>
        </is>
      </c>
      <c r="B114" s="1" t="n">
        <v>44076</v>
      </c>
      <c r="C114" s="1" t="n">
        <v>45886</v>
      </c>
      <c r="D114" t="inlineStr">
        <is>
          <t>DALARNAS LÄN</t>
        </is>
      </c>
      <c r="E114" t="inlineStr">
        <is>
          <t>MORA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34927-2022</t>
        </is>
      </c>
      <c r="B115" s="1" t="n">
        <v>44796.60181712963</v>
      </c>
      <c r="C115" s="1" t="n">
        <v>45886</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48456-2022</t>
        </is>
      </c>
      <c r="B116" s="1" t="n">
        <v>44858.66387731482</v>
      </c>
      <c r="C116" s="1" t="n">
        <v>45886</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37771-2022</t>
        </is>
      </c>
      <c r="B117" s="1" t="n">
        <v>44810.63806712963</v>
      </c>
      <c r="C117" s="1" t="n">
        <v>45886</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45886</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45886</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67045-2021</t>
        </is>
      </c>
      <c r="B120" s="1" t="n">
        <v>44522</v>
      </c>
      <c r="C120" s="1" t="n">
        <v>45886</v>
      </c>
      <c r="D120" t="inlineStr">
        <is>
          <t>DALARNAS LÄN</t>
        </is>
      </c>
      <c r="E120" t="inlineStr">
        <is>
          <t>MORA</t>
        </is>
      </c>
      <c r="G120" t="n">
        <v>0.2</v>
      </c>
      <c r="H120" t="n">
        <v>0</v>
      </c>
      <c r="I120" t="n">
        <v>0</v>
      </c>
      <c r="J120" t="n">
        <v>0</v>
      </c>
      <c r="K120" t="n">
        <v>0</v>
      </c>
      <c r="L120" t="n">
        <v>0</v>
      </c>
      <c r="M120" t="n">
        <v>0</v>
      </c>
      <c r="N120" t="n">
        <v>0</v>
      </c>
      <c r="O120" t="n">
        <v>0</v>
      </c>
      <c r="P120" t="n">
        <v>0</v>
      </c>
      <c r="Q120" t="n">
        <v>0</v>
      </c>
      <c r="R120" s="2" t="inlineStr"/>
    </row>
    <row r="121" ht="15" customHeight="1">
      <c r="A121" t="inlineStr">
        <is>
          <t>A 68966-2021</t>
        </is>
      </c>
      <c r="B121" s="1" t="n">
        <v>44530</v>
      </c>
      <c r="C121" s="1" t="n">
        <v>45886</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45886</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42362-2020</t>
        </is>
      </c>
      <c r="B123" s="1" t="n">
        <v>44074</v>
      </c>
      <c r="C123" s="1" t="n">
        <v>45886</v>
      </c>
      <c r="D123" t="inlineStr">
        <is>
          <t>DALARNAS LÄN</t>
        </is>
      </c>
      <c r="E123" t="inlineStr">
        <is>
          <t>MORA</t>
        </is>
      </c>
      <c r="G123" t="n">
        <v>4.5</v>
      </c>
      <c r="H123" t="n">
        <v>0</v>
      </c>
      <c r="I123" t="n">
        <v>0</v>
      </c>
      <c r="J123" t="n">
        <v>0</v>
      </c>
      <c r="K123" t="n">
        <v>0</v>
      </c>
      <c r="L123" t="n">
        <v>0</v>
      </c>
      <c r="M123" t="n">
        <v>0</v>
      </c>
      <c r="N123" t="n">
        <v>0</v>
      </c>
      <c r="O123" t="n">
        <v>0</v>
      </c>
      <c r="P123" t="n">
        <v>0</v>
      </c>
      <c r="Q123" t="n">
        <v>0</v>
      </c>
      <c r="R123" s="2" t="inlineStr"/>
    </row>
    <row r="124" ht="15" customHeight="1">
      <c r="A124" t="inlineStr">
        <is>
          <t>A 55249-2020</t>
        </is>
      </c>
      <c r="B124" s="1" t="n">
        <v>44130</v>
      </c>
      <c r="C124" s="1" t="n">
        <v>45886</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45886</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45886</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56501-2021</t>
        </is>
      </c>
      <c r="B127" s="1" t="n">
        <v>44480.57549768518</v>
      </c>
      <c r="C127" s="1" t="n">
        <v>45886</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60250-2020</t>
        </is>
      </c>
      <c r="B128" s="1" t="n">
        <v>44152</v>
      </c>
      <c r="C128" s="1" t="n">
        <v>45886</v>
      </c>
      <c r="D128" t="inlineStr">
        <is>
          <t>DALARNAS LÄN</t>
        </is>
      </c>
      <c r="E128" t="inlineStr">
        <is>
          <t>MORA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62301-2020</t>
        </is>
      </c>
      <c r="B129" s="1" t="n">
        <v>44160</v>
      </c>
      <c r="C129" s="1" t="n">
        <v>45886</v>
      </c>
      <c r="D129" t="inlineStr">
        <is>
          <t>DALARNAS LÄN</t>
        </is>
      </c>
      <c r="E129" t="inlineStr">
        <is>
          <t>MORA</t>
        </is>
      </c>
      <c r="G129" t="n">
        <v>2.1</v>
      </c>
      <c r="H129" t="n">
        <v>0</v>
      </c>
      <c r="I129" t="n">
        <v>0</v>
      </c>
      <c r="J129" t="n">
        <v>0</v>
      </c>
      <c r="K129" t="n">
        <v>0</v>
      </c>
      <c r="L129" t="n">
        <v>0</v>
      </c>
      <c r="M129" t="n">
        <v>0</v>
      </c>
      <c r="N129" t="n">
        <v>0</v>
      </c>
      <c r="O129" t="n">
        <v>0</v>
      </c>
      <c r="P129" t="n">
        <v>0</v>
      </c>
      <c r="Q129" t="n">
        <v>0</v>
      </c>
      <c r="R129" s="2" t="inlineStr"/>
    </row>
    <row r="130" ht="15" customHeight="1">
      <c r="A130" t="inlineStr">
        <is>
          <t>A 4488-2022</t>
        </is>
      </c>
      <c r="B130" s="1" t="n">
        <v>44589.65528935185</v>
      </c>
      <c r="C130" s="1" t="n">
        <v>45886</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45886</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22931-2021</t>
        </is>
      </c>
      <c r="B132" s="1" t="n">
        <v>44326</v>
      </c>
      <c r="C132" s="1" t="n">
        <v>45886</v>
      </c>
      <c r="D132" t="inlineStr">
        <is>
          <t>DALARNAS LÄN</t>
        </is>
      </c>
      <c r="E132" t="inlineStr">
        <is>
          <t>MORA</t>
        </is>
      </c>
      <c r="G132" t="n">
        <v>4.4</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45886</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45886</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41768-2020</t>
        </is>
      </c>
      <c r="B135" s="1" t="n">
        <v>44074</v>
      </c>
      <c r="C135" s="1" t="n">
        <v>45886</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45886</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57848-2020</t>
        </is>
      </c>
      <c r="B137" s="1" t="n">
        <v>44141</v>
      </c>
      <c r="C137" s="1" t="n">
        <v>45886</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45886</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43284-2020</t>
        </is>
      </c>
      <c r="B139" s="1" t="n">
        <v>44081</v>
      </c>
      <c r="C139" s="1" t="n">
        <v>45886</v>
      </c>
      <c r="D139" t="inlineStr">
        <is>
          <t>DALARNAS LÄN</t>
        </is>
      </c>
      <c r="E139" t="inlineStr">
        <is>
          <t>MORA</t>
        </is>
      </c>
      <c r="G139" t="n">
        <v>2</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45886</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45886</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45886</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66157-2021</t>
        </is>
      </c>
      <c r="B143" s="1" t="n">
        <v>44517.92888888889</v>
      </c>
      <c r="C143" s="1" t="n">
        <v>45886</v>
      </c>
      <c r="D143" t="inlineStr">
        <is>
          <t>DALARNAS LÄN</t>
        </is>
      </c>
      <c r="E143" t="inlineStr">
        <is>
          <t>MORA</t>
        </is>
      </c>
      <c r="G143" t="n">
        <v>2.9</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45886</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45886</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57475-2022</t>
        </is>
      </c>
      <c r="B146" s="1" t="n">
        <v>44896</v>
      </c>
      <c r="C146" s="1" t="n">
        <v>45886</v>
      </c>
      <c r="D146" t="inlineStr">
        <is>
          <t>DALARNAS LÄN</t>
        </is>
      </c>
      <c r="E146" t="inlineStr">
        <is>
          <t>MORA</t>
        </is>
      </c>
      <c r="G146" t="n">
        <v>5.7</v>
      </c>
      <c r="H146" t="n">
        <v>0</v>
      </c>
      <c r="I146" t="n">
        <v>0</v>
      </c>
      <c r="J146" t="n">
        <v>0</v>
      </c>
      <c r="K146" t="n">
        <v>0</v>
      </c>
      <c r="L146" t="n">
        <v>0</v>
      </c>
      <c r="M146" t="n">
        <v>0</v>
      </c>
      <c r="N146" t="n">
        <v>0</v>
      </c>
      <c r="O146" t="n">
        <v>0</v>
      </c>
      <c r="P146" t="n">
        <v>0</v>
      </c>
      <c r="Q146" t="n">
        <v>0</v>
      </c>
      <c r="R146" s="2" t="inlineStr"/>
    </row>
    <row r="147" ht="15" customHeight="1">
      <c r="A147" t="inlineStr">
        <is>
          <t>A 43498-2023</t>
        </is>
      </c>
      <c r="B147" s="1" t="n">
        <v>45184</v>
      </c>
      <c r="C147" s="1" t="n">
        <v>45886</v>
      </c>
      <c r="D147" t="inlineStr">
        <is>
          <t>DALARNAS LÄN</t>
        </is>
      </c>
      <c r="E147" t="inlineStr">
        <is>
          <t>MORA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46414-2024</t>
        </is>
      </c>
      <c r="B148" s="1" t="n">
        <v>45582.45226851852</v>
      </c>
      <c r="C148" s="1" t="n">
        <v>45886</v>
      </c>
      <c r="D148" t="inlineStr">
        <is>
          <t>DALARNAS LÄN</t>
        </is>
      </c>
      <c r="E148" t="inlineStr">
        <is>
          <t>MORA</t>
        </is>
      </c>
      <c r="G148" t="n">
        <v>0.6</v>
      </c>
      <c r="H148" t="n">
        <v>0</v>
      </c>
      <c r="I148" t="n">
        <v>0</v>
      </c>
      <c r="J148" t="n">
        <v>0</v>
      </c>
      <c r="K148" t="n">
        <v>0</v>
      </c>
      <c r="L148" t="n">
        <v>0</v>
      </c>
      <c r="M148" t="n">
        <v>0</v>
      </c>
      <c r="N148" t="n">
        <v>0</v>
      </c>
      <c r="O148" t="n">
        <v>0</v>
      </c>
      <c r="P148" t="n">
        <v>0</v>
      </c>
      <c r="Q148" t="n">
        <v>0</v>
      </c>
      <c r="R148" s="2" t="inlineStr"/>
    </row>
    <row r="149" ht="15" customHeight="1">
      <c r="A149" t="inlineStr">
        <is>
          <t>A 46417-2024</t>
        </is>
      </c>
      <c r="B149" s="1" t="n">
        <v>45582.45449074074</v>
      </c>
      <c r="C149" s="1" t="n">
        <v>45886</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17145-2024</t>
        </is>
      </c>
      <c r="B150" s="1" t="n">
        <v>45412</v>
      </c>
      <c r="C150" s="1" t="n">
        <v>45886</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51780-2023</t>
        </is>
      </c>
      <c r="B151" s="1" t="n">
        <v>45222</v>
      </c>
      <c r="C151" s="1" t="n">
        <v>45886</v>
      </c>
      <c r="D151" t="inlineStr">
        <is>
          <t>DALARNAS LÄN</t>
        </is>
      </c>
      <c r="E151" t="inlineStr">
        <is>
          <t>MORA</t>
        </is>
      </c>
      <c r="G151" t="n">
        <v>9.9</v>
      </c>
      <c r="H151" t="n">
        <v>0</v>
      </c>
      <c r="I151" t="n">
        <v>0</v>
      </c>
      <c r="J151" t="n">
        <v>0</v>
      </c>
      <c r="K151" t="n">
        <v>0</v>
      </c>
      <c r="L151" t="n">
        <v>0</v>
      </c>
      <c r="M151" t="n">
        <v>0</v>
      </c>
      <c r="N151" t="n">
        <v>0</v>
      </c>
      <c r="O151" t="n">
        <v>0</v>
      </c>
      <c r="P151" t="n">
        <v>0</v>
      </c>
      <c r="Q151" t="n">
        <v>0</v>
      </c>
      <c r="R151" s="2" t="inlineStr"/>
    </row>
    <row r="152" ht="15" customHeight="1">
      <c r="A152" t="inlineStr">
        <is>
          <t>A 15993-2025</t>
        </is>
      </c>
      <c r="B152" s="1" t="n">
        <v>45749.58428240741</v>
      </c>
      <c r="C152" s="1" t="n">
        <v>45886</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17280-2025</t>
        </is>
      </c>
      <c r="B153" s="1" t="n">
        <v>45756</v>
      </c>
      <c r="C153" s="1" t="n">
        <v>45886</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14832-2025</t>
        </is>
      </c>
      <c r="B154" s="1" t="n">
        <v>45743</v>
      </c>
      <c r="C154" s="1" t="n">
        <v>45886</v>
      </c>
      <c r="D154" t="inlineStr">
        <is>
          <t>DALARNAS LÄN</t>
        </is>
      </c>
      <c r="E154" t="inlineStr">
        <is>
          <t>MORA</t>
        </is>
      </c>
      <c r="G154" t="n">
        <v>9.1</v>
      </c>
      <c r="H154" t="n">
        <v>0</v>
      </c>
      <c r="I154" t="n">
        <v>0</v>
      </c>
      <c r="J154" t="n">
        <v>0</v>
      </c>
      <c r="K154" t="n">
        <v>0</v>
      </c>
      <c r="L154" t="n">
        <v>0</v>
      </c>
      <c r="M154" t="n">
        <v>0</v>
      </c>
      <c r="N154" t="n">
        <v>0</v>
      </c>
      <c r="O154" t="n">
        <v>0</v>
      </c>
      <c r="P154" t="n">
        <v>0</v>
      </c>
      <c r="Q154" t="n">
        <v>0</v>
      </c>
      <c r="R154" s="2" t="inlineStr"/>
    </row>
    <row r="155" ht="15" customHeight="1">
      <c r="A155" t="inlineStr">
        <is>
          <t>A 15443-2025</t>
        </is>
      </c>
      <c r="B155" s="1" t="n">
        <v>45747.48371527778</v>
      </c>
      <c r="C155" s="1" t="n">
        <v>45886</v>
      </c>
      <c r="D155" t="inlineStr">
        <is>
          <t>DALARNAS LÄN</t>
        </is>
      </c>
      <c r="E155" t="inlineStr">
        <is>
          <t>MORA</t>
        </is>
      </c>
      <c r="G155" t="n">
        <v>1.8</v>
      </c>
      <c r="H155" t="n">
        <v>0</v>
      </c>
      <c r="I155" t="n">
        <v>0</v>
      </c>
      <c r="J155" t="n">
        <v>0</v>
      </c>
      <c r="K155" t="n">
        <v>0</v>
      </c>
      <c r="L155" t="n">
        <v>0</v>
      </c>
      <c r="M155" t="n">
        <v>0</v>
      </c>
      <c r="N155" t="n">
        <v>0</v>
      </c>
      <c r="O155" t="n">
        <v>0</v>
      </c>
      <c r="P155" t="n">
        <v>0</v>
      </c>
      <c r="Q155" t="n">
        <v>0</v>
      </c>
      <c r="R155" s="2" t="inlineStr"/>
    </row>
    <row r="156" ht="15" customHeight="1">
      <c r="A156" t="inlineStr">
        <is>
          <t>A 61270-2024</t>
        </is>
      </c>
      <c r="B156" s="1" t="n">
        <v>45645.74694444444</v>
      </c>
      <c r="C156" s="1" t="n">
        <v>45886</v>
      </c>
      <c r="D156" t="inlineStr">
        <is>
          <t>DALARNAS LÄN</t>
        </is>
      </c>
      <c r="E156" t="inlineStr">
        <is>
          <t>MORA</t>
        </is>
      </c>
      <c r="G156" t="n">
        <v>5.1</v>
      </c>
      <c r="H156" t="n">
        <v>0</v>
      </c>
      <c r="I156" t="n">
        <v>0</v>
      </c>
      <c r="J156" t="n">
        <v>0</v>
      </c>
      <c r="K156" t="n">
        <v>0</v>
      </c>
      <c r="L156" t="n">
        <v>0</v>
      </c>
      <c r="M156" t="n">
        <v>0</v>
      </c>
      <c r="N156" t="n">
        <v>0</v>
      </c>
      <c r="O156" t="n">
        <v>0</v>
      </c>
      <c r="P156" t="n">
        <v>0</v>
      </c>
      <c r="Q156" t="n">
        <v>0</v>
      </c>
      <c r="R156" s="2" t="inlineStr"/>
    </row>
    <row r="157" ht="15" customHeight="1">
      <c r="A157" t="inlineStr">
        <is>
          <t>A 46188-2022</t>
        </is>
      </c>
      <c r="B157" s="1" t="n">
        <v>44847.518125</v>
      </c>
      <c r="C157" s="1" t="n">
        <v>45886</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45574-2023</t>
        </is>
      </c>
      <c r="B158" s="1" t="n">
        <v>45194</v>
      </c>
      <c r="C158" s="1" t="n">
        <v>45886</v>
      </c>
      <c r="D158" t="inlineStr">
        <is>
          <t>DALARNAS LÄN</t>
        </is>
      </c>
      <c r="E158" t="inlineStr">
        <is>
          <t>MORA</t>
        </is>
      </c>
      <c r="G158" t="n">
        <v>6.3</v>
      </c>
      <c r="H158" t="n">
        <v>0</v>
      </c>
      <c r="I158" t="n">
        <v>0</v>
      </c>
      <c r="J158" t="n">
        <v>0</v>
      </c>
      <c r="K158" t="n">
        <v>0</v>
      </c>
      <c r="L158" t="n">
        <v>0</v>
      </c>
      <c r="M158" t="n">
        <v>0</v>
      </c>
      <c r="N158" t="n">
        <v>0</v>
      </c>
      <c r="O158" t="n">
        <v>0</v>
      </c>
      <c r="P158" t="n">
        <v>0</v>
      </c>
      <c r="Q158" t="n">
        <v>0</v>
      </c>
      <c r="R158" s="2" t="inlineStr"/>
    </row>
    <row r="159" ht="15" customHeight="1">
      <c r="A159" t="inlineStr">
        <is>
          <t>A 5922-2025</t>
        </is>
      </c>
      <c r="B159" s="1" t="n">
        <v>45695.42762731481</v>
      </c>
      <c r="C159" s="1" t="n">
        <v>45886</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19910-2024</t>
        </is>
      </c>
      <c r="B160" s="1" t="n">
        <v>45433.5741087963</v>
      </c>
      <c r="C160" s="1" t="n">
        <v>45886</v>
      </c>
      <c r="D160" t="inlineStr">
        <is>
          <t>DALARNAS LÄN</t>
        </is>
      </c>
      <c r="E160" t="inlineStr">
        <is>
          <t>MORA</t>
        </is>
      </c>
      <c r="G160" t="n">
        <v>0.9</v>
      </c>
      <c r="H160" t="n">
        <v>0</v>
      </c>
      <c r="I160" t="n">
        <v>0</v>
      </c>
      <c r="J160" t="n">
        <v>0</v>
      </c>
      <c r="K160" t="n">
        <v>0</v>
      </c>
      <c r="L160" t="n">
        <v>0</v>
      </c>
      <c r="M160" t="n">
        <v>0</v>
      </c>
      <c r="N160" t="n">
        <v>0</v>
      </c>
      <c r="O160" t="n">
        <v>0</v>
      </c>
      <c r="P160" t="n">
        <v>0</v>
      </c>
      <c r="Q160" t="n">
        <v>0</v>
      </c>
      <c r="R160" s="2" t="inlineStr"/>
    </row>
    <row r="161" ht="15" customHeight="1">
      <c r="A161" t="inlineStr">
        <is>
          <t>A 17516-2024</t>
        </is>
      </c>
      <c r="B161" s="1" t="n">
        <v>45415.58502314815</v>
      </c>
      <c r="C161" s="1" t="n">
        <v>45886</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9277-2024</t>
        </is>
      </c>
      <c r="B162" s="1" t="n">
        <v>45358.63265046296</v>
      </c>
      <c r="C162" s="1" t="n">
        <v>45886</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5527-2024</t>
        </is>
      </c>
      <c r="B163" s="1" t="n">
        <v>45334.38981481481</v>
      </c>
      <c r="C163" s="1" t="n">
        <v>45886</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20126-2025</t>
        </is>
      </c>
      <c r="B164" s="1" t="n">
        <v>45772.49640046297</v>
      </c>
      <c r="C164" s="1" t="n">
        <v>45886</v>
      </c>
      <c r="D164" t="inlineStr">
        <is>
          <t>DALARNAS LÄN</t>
        </is>
      </c>
      <c r="E164" t="inlineStr">
        <is>
          <t>MORA</t>
        </is>
      </c>
      <c r="G164" t="n">
        <v>12.1</v>
      </c>
      <c r="H164" t="n">
        <v>0</v>
      </c>
      <c r="I164" t="n">
        <v>0</v>
      </c>
      <c r="J164" t="n">
        <v>0</v>
      </c>
      <c r="K164" t="n">
        <v>0</v>
      </c>
      <c r="L164" t="n">
        <v>0</v>
      </c>
      <c r="M164" t="n">
        <v>0</v>
      </c>
      <c r="N164" t="n">
        <v>0</v>
      </c>
      <c r="O164" t="n">
        <v>0</v>
      </c>
      <c r="P164" t="n">
        <v>0</v>
      </c>
      <c r="Q164" t="n">
        <v>0</v>
      </c>
      <c r="R164" s="2" t="inlineStr"/>
    </row>
    <row r="165" ht="15" customHeight="1">
      <c r="A165" t="inlineStr">
        <is>
          <t>A 15643-2025</t>
        </is>
      </c>
      <c r="B165" s="1" t="n">
        <v>45748.39222222222</v>
      </c>
      <c r="C165" s="1" t="n">
        <v>45886</v>
      </c>
      <c r="D165" t="inlineStr">
        <is>
          <t>DALARNAS LÄN</t>
        </is>
      </c>
      <c r="E165" t="inlineStr">
        <is>
          <t>MORA</t>
        </is>
      </c>
      <c r="G165" t="n">
        <v>7.6</v>
      </c>
      <c r="H165" t="n">
        <v>0</v>
      </c>
      <c r="I165" t="n">
        <v>0</v>
      </c>
      <c r="J165" t="n">
        <v>0</v>
      </c>
      <c r="K165" t="n">
        <v>0</v>
      </c>
      <c r="L165" t="n">
        <v>0</v>
      </c>
      <c r="M165" t="n">
        <v>0</v>
      </c>
      <c r="N165" t="n">
        <v>0</v>
      </c>
      <c r="O165" t="n">
        <v>0</v>
      </c>
      <c r="P165" t="n">
        <v>0</v>
      </c>
      <c r="Q165" t="n">
        <v>0</v>
      </c>
      <c r="R165" s="2" t="inlineStr"/>
    </row>
    <row r="166" ht="15" customHeight="1">
      <c r="A166" t="inlineStr">
        <is>
          <t>A 7116-2024</t>
        </is>
      </c>
      <c r="B166" s="1" t="n">
        <v>45343.95445601852</v>
      </c>
      <c r="C166" s="1" t="n">
        <v>45886</v>
      </c>
      <c r="D166" t="inlineStr">
        <is>
          <t>DALARNAS LÄN</t>
        </is>
      </c>
      <c r="E166" t="inlineStr">
        <is>
          <t>MORA</t>
        </is>
      </c>
      <c r="G166" t="n">
        <v>0.3</v>
      </c>
      <c r="H166" t="n">
        <v>0</v>
      </c>
      <c r="I166" t="n">
        <v>0</v>
      </c>
      <c r="J166" t="n">
        <v>0</v>
      </c>
      <c r="K166" t="n">
        <v>0</v>
      </c>
      <c r="L166" t="n">
        <v>0</v>
      </c>
      <c r="M166" t="n">
        <v>0</v>
      </c>
      <c r="N166" t="n">
        <v>0</v>
      </c>
      <c r="O166" t="n">
        <v>0</v>
      </c>
      <c r="P166" t="n">
        <v>0</v>
      </c>
      <c r="Q166" t="n">
        <v>0</v>
      </c>
      <c r="R166" s="2" t="inlineStr"/>
    </row>
    <row r="167" ht="15" customHeight="1">
      <c r="A167" t="inlineStr">
        <is>
          <t>A 59995-2023</t>
        </is>
      </c>
      <c r="B167" s="1" t="n">
        <v>45254</v>
      </c>
      <c r="C167" s="1" t="n">
        <v>45886</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45886</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13479-2024</t>
        </is>
      </c>
      <c r="B169" s="1" t="n">
        <v>45387.5900925926</v>
      </c>
      <c r="C169" s="1" t="n">
        <v>45886</v>
      </c>
      <c r="D169" t="inlineStr">
        <is>
          <t>DALARNAS LÄN</t>
        </is>
      </c>
      <c r="E169" t="inlineStr">
        <is>
          <t>MORA</t>
        </is>
      </c>
      <c r="G169" t="n">
        <v>1.4</v>
      </c>
      <c r="H169" t="n">
        <v>0</v>
      </c>
      <c r="I169" t="n">
        <v>0</v>
      </c>
      <c r="J169" t="n">
        <v>0</v>
      </c>
      <c r="K169" t="n">
        <v>0</v>
      </c>
      <c r="L169" t="n">
        <v>0</v>
      </c>
      <c r="M169" t="n">
        <v>0</v>
      </c>
      <c r="N169" t="n">
        <v>0</v>
      </c>
      <c r="O169" t="n">
        <v>0</v>
      </c>
      <c r="P169" t="n">
        <v>0</v>
      </c>
      <c r="Q169" t="n">
        <v>0</v>
      </c>
      <c r="R169" s="2" t="inlineStr"/>
    </row>
    <row r="170" ht="15" customHeight="1">
      <c r="A170" t="inlineStr">
        <is>
          <t>A 53026-2023</t>
        </is>
      </c>
      <c r="B170" s="1" t="n">
        <v>45226.6987037037</v>
      </c>
      <c r="C170" s="1" t="n">
        <v>45886</v>
      </c>
      <c r="D170" t="inlineStr">
        <is>
          <t>DALARNAS LÄN</t>
        </is>
      </c>
      <c r="E170" t="inlineStr">
        <is>
          <t>MORA</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41812-2024</t>
        </is>
      </c>
      <c r="B171" s="1" t="n">
        <v>45561.3771412037</v>
      </c>
      <c r="C171" s="1" t="n">
        <v>45886</v>
      </c>
      <c r="D171" t="inlineStr">
        <is>
          <t>DALARNAS LÄN</t>
        </is>
      </c>
      <c r="E171" t="inlineStr">
        <is>
          <t>MORA</t>
        </is>
      </c>
      <c r="G171" t="n">
        <v>2.2</v>
      </c>
      <c r="H171" t="n">
        <v>0</v>
      </c>
      <c r="I171" t="n">
        <v>0</v>
      </c>
      <c r="J171" t="n">
        <v>0</v>
      </c>
      <c r="K171" t="n">
        <v>0</v>
      </c>
      <c r="L171" t="n">
        <v>0</v>
      </c>
      <c r="M171" t="n">
        <v>0</v>
      </c>
      <c r="N171" t="n">
        <v>0</v>
      </c>
      <c r="O171" t="n">
        <v>0</v>
      </c>
      <c r="P171" t="n">
        <v>0</v>
      </c>
      <c r="Q171" t="n">
        <v>0</v>
      </c>
      <c r="R171" s="2" t="inlineStr"/>
    </row>
    <row r="172" ht="15" customHeight="1">
      <c r="A172" t="inlineStr">
        <is>
          <t>A 42085-2024</t>
        </is>
      </c>
      <c r="B172" s="1" t="n">
        <v>45562.33179398148</v>
      </c>
      <c r="C172" s="1" t="n">
        <v>45886</v>
      </c>
      <c r="D172" t="inlineStr">
        <is>
          <t>DALARNAS LÄN</t>
        </is>
      </c>
      <c r="E172" t="inlineStr">
        <is>
          <t>MORA</t>
        </is>
      </c>
      <c r="G172" t="n">
        <v>4.9</v>
      </c>
      <c r="H172" t="n">
        <v>0</v>
      </c>
      <c r="I172" t="n">
        <v>0</v>
      </c>
      <c r="J172" t="n">
        <v>0</v>
      </c>
      <c r="K172" t="n">
        <v>0</v>
      </c>
      <c r="L172" t="n">
        <v>0</v>
      </c>
      <c r="M172" t="n">
        <v>0</v>
      </c>
      <c r="N172" t="n">
        <v>0</v>
      </c>
      <c r="O172" t="n">
        <v>0</v>
      </c>
      <c r="P172" t="n">
        <v>0</v>
      </c>
      <c r="Q172" t="n">
        <v>0</v>
      </c>
      <c r="R172" s="2" t="inlineStr"/>
    </row>
    <row r="173" ht="15" customHeight="1">
      <c r="A173" t="inlineStr">
        <is>
          <t>A 24772-2024</t>
        </is>
      </c>
      <c r="B173" s="1" t="n">
        <v>45460.70204861111</v>
      </c>
      <c r="C173" s="1" t="n">
        <v>45886</v>
      </c>
      <c r="D173" t="inlineStr">
        <is>
          <t>DALARNAS LÄN</t>
        </is>
      </c>
      <c r="E173" t="inlineStr">
        <is>
          <t>MORA</t>
        </is>
      </c>
      <c r="G173" t="n">
        <v>0.9</v>
      </c>
      <c r="H173" t="n">
        <v>0</v>
      </c>
      <c r="I173" t="n">
        <v>0</v>
      </c>
      <c r="J173" t="n">
        <v>0</v>
      </c>
      <c r="K173" t="n">
        <v>0</v>
      </c>
      <c r="L173" t="n">
        <v>0</v>
      </c>
      <c r="M173" t="n">
        <v>0</v>
      </c>
      <c r="N173" t="n">
        <v>0</v>
      </c>
      <c r="O173" t="n">
        <v>0</v>
      </c>
      <c r="P173" t="n">
        <v>0</v>
      </c>
      <c r="Q173" t="n">
        <v>0</v>
      </c>
      <c r="R173" s="2" t="inlineStr"/>
    </row>
    <row r="174" ht="15" customHeight="1">
      <c r="A174" t="inlineStr">
        <is>
          <t>A 20299-2023</t>
        </is>
      </c>
      <c r="B174" s="1" t="n">
        <v>45056</v>
      </c>
      <c r="C174" s="1" t="n">
        <v>45886</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14833-2024</t>
        </is>
      </c>
      <c r="B175" s="1" t="n">
        <v>45397</v>
      </c>
      <c r="C175" s="1" t="n">
        <v>45886</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60465-2023</t>
        </is>
      </c>
      <c r="B176" s="1" t="n">
        <v>45259.57872685185</v>
      </c>
      <c r="C176" s="1" t="n">
        <v>45886</v>
      </c>
      <c r="D176" t="inlineStr">
        <is>
          <t>DALARNAS LÄN</t>
        </is>
      </c>
      <c r="E176" t="inlineStr">
        <is>
          <t>MORA</t>
        </is>
      </c>
      <c r="G176" t="n">
        <v>1.3</v>
      </c>
      <c r="H176" t="n">
        <v>0</v>
      </c>
      <c r="I176" t="n">
        <v>0</v>
      </c>
      <c r="J176" t="n">
        <v>0</v>
      </c>
      <c r="K176" t="n">
        <v>0</v>
      </c>
      <c r="L176" t="n">
        <v>0</v>
      </c>
      <c r="M176" t="n">
        <v>0</v>
      </c>
      <c r="N176" t="n">
        <v>0</v>
      </c>
      <c r="O176" t="n">
        <v>0</v>
      </c>
      <c r="P176" t="n">
        <v>0</v>
      </c>
      <c r="Q176" t="n">
        <v>0</v>
      </c>
      <c r="R176" s="2" t="inlineStr"/>
    </row>
    <row r="177" ht="15" customHeight="1">
      <c r="A177" t="inlineStr">
        <is>
          <t>A 17692-2024</t>
        </is>
      </c>
      <c r="B177" s="1" t="n">
        <v>45418.44195601852</v>
      </c>
      <c r="C177" s="1" t="n">
        <v>45886</v>
      </c>
      <c r="D177" t="inlineStr">
        <is>
          <t>DALARNAS LÄN</t>
        </is>
      </c>
      <c r="E177" t="inlineStr">
        <is>
          <t>MORA</t>
        </is>
      </c>
      <c r="F177" t="inlineStr">
        <is>
          <t>Bergvik skog öst AB</t>
        </is>
      </c>
      <c r="G177" t="n">
        <v>7.9</v>
      </c>
      <c r="H177" t="n">
        <v>0</v>
      </c>
      <c r="I177" t="n">
        <v>0</v>
      </c>
      <c r="J177" t="n">
        <v>0</v>
      </c>
      <c r="K177" t="n">
        <v>0</v>
      </c>
      <c r="L177" t="n">
        <v>0</v>
      </c>
      <c r="M177" t="n">
        <v>0</v>
      </c>
      <c r="N177" t="n">
        <v>0</v>
      </c>
      <c r="O177" t="n">
        <v>0</v>
      </c>
      <c r="P177" t="n">
        <v>0</v>
      </c>
      <c r="Q177" t="n">
        <v>0</v>
      </c>
      <c r="R177" s="2" t="inlineStr"/>
    </row>
    <row r="178" ht="15" customHeight="1">
      <c r="A178" t="inlineStr">
        <is>
          <t>A 33676-2023</t>
        </is>
      </c>
      <c r="B178" s="1" t="n">
        <v>45132.6291550926</v>
      </c>
      <c r="C178" s="1" t="n">
        <v>45886</v>
      </c>
      <c r="D178" t="inlineStr">
        <is>
          <t>DALARNAS LÄN</t>
        </is>
      </c>
      <c r="E178" t="inlineStr">
        <is>
          <t>MORA</t>
        </is>
      </c>
      <c r="F178" t="inlineStr">
        <is>
          <t>Bergvik skog öst AB</t>
        </is>
      </c>
      <c r="G178" t="n">
        <v>2.7</v>
      </c>
      <c r="H178" t="n">
        <v>0</v>
      </c>
      <c r="I178" t="n">
        <v>0</v>
      </c>
      <c r="J178" t="n">
        <v>0</v>
      </c>
      <c r="K178" t="n">
        <v>0</v>
      </c>
      <c r="L178" t="n">
        <v>0</v>
      </c>
      <c r="M178" t="n">
        <v>0</v>
      </c>
      <c r="N178" t="n">
        <v>0</v>
      </c>
      <c r="O178" t="n">
        <v>0</v>
      </c>
      <c r="P178" t="n">
        <v>0</v>
      </c>
      <c r="Q178" t="n">
        <v>0</v>
      </c>
      <c r="R178" s="2" t="inlineStr"/>
    </row>
    <row r="179" ht="15" customHeight="1">
      <c r="A179" t="inlineStr">
        <is>
          <t>A 34923-2022</t>
        </is>
      </c>
      <c r="B179" s="1" t="n">
        <v>44796</v>
      </c>
      <c r="C179" s="1" t="n">
        <v>45886</v>
      </c>
      <c r="D179" t="inlineStr">
        <is>
          <t>DALARNAS LÄN</t>
        </is>
      </c>
      <c r="E179" t="inlineStr">
        <is>
          <t>MORA</t>
        </is>
      </c>
      <c r="G179" t="n">
        <v>5</v>
      </c>
      <c r="H179" t="n">
        <v>0</v>
      </c>
      <c r="I179" t="n">
        <v>0</v>
      </c>
      <c r="J179" t="n">
        <v>0</v>
      </c>
      <c r="K179" t="n">
        <v>0</v>
      </c>
      <c r="L179" t="n">
        <v>0</v>
      </c>
      <c r="M179" t="n">
        <v>0</v>
      </c>
      <c r="N179" t="n">
        <v>0</v>
      </c>
      <c r="O179" t="n">
        <v>0</v>
      </c>
      <c r="P179" t="n">
        <v>0</v>
      </c>
      <c r="Q179" t="n">
        <v>0</v>
      </c>
      <c r="R179" s="2" t="inlineStr"/>
    </row>
    <row r="180" ht="15" customHeight="1">
      <c r="A180" t="inlineStr">
        <is>
          <t>A 59174-2023</t>
        </is>
      </c>
      <c r="B180" s="1" t="n">
        <v>45253.43202546296</v>
      </c>
      <c r="C180" s="1" t="n">
        <v>45886</v>
      </c>
      <c r="D180" t="inlineStr">
        <is>
          <t>DALARNAS LÄN</t>
        </is>
      </c>
      <c r="E180" t="inlineStr">
        <is>
          <t>MORA</t>
        </is>
      </c>
      <c r="G180" t="n">
        <v>2.5</v>
      </c>
      <c r="H180" t="n">
        <v>0</v>
      </c>
      <c r="I180" t="n">
        <v>0</v>
      </c>
      <c r="J180" t="n">
        <v>0</v>
      </c>
      <c r="K180" t="n">
        <v>0</v>
      </c>
      <c r="L180" t="n">
        <v>0</v>
      </c>
      <c r="M180" t="n">
        <v>0</v>
      </c>
      <c r="N180" t="n">
        <v>0</v>
      </c>
      <c r="O180" t="n">
        <v>0</v>
      </c>
      <c r="P180" t="n">
        <v>0</v>
      </c>
      <c r="Q180" t="n">
        <v>0</v>
      </c>
      <c r="R180" s="2" t="inlineStr"/>
    </row>
    <row r="181" ht="15" customHeight="1">
      <c r="A181" t="inlineStr">
        <is>
          <t>A 36184-2021</t>
        </is>
      </c>
      <c r="B181" s="1" t="n">
        <v>44389</v>
      </c>
      <c r="C181" s="1" t="n">
        <v>45886</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29193-2023</t>
        </is>
      </c>
      <c r="B182" s="1" t="n">
        <v>45105.54791666667</v>
      </c>
      <c r="C182" s="1" t="n">
        <v>45886</v>
      </c>
      <c r="D182" t="inlineStr">
        <is>
          <t>DALARNAS LÄN</t>
        </is>
      </c>
      <c r="E182" t="inlineStr">
        <is>
          <t>MORA</t>
        </is>
      </c>
      <c r="G182" t="n">
        <v>0.4</v>
      </c>
      <c r="H182" t="n">
        <v>0</v>
      </c>
      <c r="I182" t="n">
        <v>0</v>
      </c>
      <c r="J182" t="n">
        <v>0</v>
      </c>
      <c r="K182" t="n">
        <v>0</v>
      </c>
      <c r="L182" t="n">
        <v>0</v>
      </c>
      <c r="M182" t="n">
        <v>0</v>
      </c>
      <c r="N182" t="n">
        <v>0</v>
      </c>
      <c r="O182" t="n">
        <v>0</v>
      </c>
      <c r="P182" t="n">
        <v>0</v>
      </c>
      <c r="Q182" t="n">
        <v>0</v>
      </c>
      <c r="R182" s="2" t="inlineStr"/>
    </row>
    <row r="183" ht="15" customHeight="1">
      <c r="A183" t="inlineStr">
        <is>
          <t>A 35325-2024</t>
        </is>
      </c>
      <c r="B183" s="1" t="n">
        <v>45530.71158564815</v>
      </c>
      <c r="C183" s="1" t="n">
        <v>45886</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6371-2022</t>
        </is>
      </c>
      <c r="B184" s="1" t="n">
        <v>44600</v>
      </c>
      <c r="C184" s="1" t="n">
        <v>45886</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2276-2024</t>
        </is>
      </c>
      <c r="B185" s="1" t="n">
        <v>45310.37988425926</v>
      </c>
      <c r="C185" s="1" t="n">
        <v>45886</v>
      </c>
      <c r="D185" t="inlineStr">
        <is>
          <t>DALARNAS LÄN</t>
        </is>
      </c>
      <c r="E185" t="inlineStr">
        <is>
          <t>MORA</t>
        </is>
      </c>
      <c r="G185" t="n">
        <v>3.7</v>
      </c>
      <c r="H185" t="n">
        <v>0</v>
      </c>
      <c r="I185" t="n">
        <v>0</v>
      </c>
      <c r="J185" t="n">
        <v>0</v>
      </c>
      <c r="K185" t="n">
        <v>0</v>
      </c>
      <c r="L185" t="n">
        <v>0</v>
      </c>
      <c r="M185" t="n">
        <v>0</v>
      </c>
      <c r="N185" t="n">
        <v>0</v>
      </c>
      <c r="O185" t="n">
        <v>0</v>
      </c>
      <c r="P185" t="n">
        <v>0</v>
      </c>
      <c r="Q185" t="n">
        <v>0</v>
      </c>
      <c r="R185" s="2" t="inlineStr"/>
    </row>
    <row r="186" ht="15" customHeight="1">
      <c r="A186" t="inlineStr">
        <is>
          <t>A 69519-2020</t>
        </is>
      </c>
      <c r="B186" s="1" t="n">
        <v>44194</v>
      </c>
      <c r="C186" s="1" t="n">
        <v>45886</v>
      </c>
      <c r="D186" t="inlineStr">
        <is>
          <t>DALARNAS LÄN</t>
        </is>
      </c>
      <c r="E186" t="inlineStr">
        <is>
          <t>MORA</t>
        </is>
      </c>
      <c r="G186" t="n">
        <v>0.4</v>
      </c>
      <c r="H186" t="n">
        <v>0</v>
      </c>
      <c r="I186" t="n">
        <v>0</v>
      </c>
      <c r="J186" t="n">
        <v>0</v>
      </c>
      <c r="K186" t="n">
        <v>0</v>
      </c>
      <c r="L186" t="n">
        <v>0</v>
      </c>
      <c r="M186" t="n">
        <v>0</v>
      </c>
      <c r="N186" t="n">
        <v>0</v>
      </c>
      <c r="O186" t="n">
        <v>0</v>
      </c>
      <c r="P186" t="n">
        <v>0</v>
      </c>
      <c r="Q186" t="n">
        <v>0</v>
      </c>
      <c r="R186" s="2" t="inlineStr"/>
    </row>
    <row r="187" ht="15" customHeight="1">
      <c r="A187" t="inlineStr">
        <is>
          <t>A 64093-2023</t>
        </is>
      </c>
      <c r="B187" s="1" t="n">
        <v>45279</v>
      </c>
      <c r="C187" s="1" t="n">
        <v>45886</v>
      </c>
      <c r="D187" t="inlineStr">
        <is>
          <t>DALARNAS LÄN</t>
        </is>
      </c>
      <c r="E187" t="inlineStr">
        <is>
          <t>MORA</t>
        </is>
      </c>
      <c r="G187" t="n">
        <v>0.9</v>
      </c>
      <c r="H187" t="n">
        <v>0</v>
      </c>
      <c r="I187" t="n">
        <v>0</v>
      </c>
      <c r="J187" t="n">
        <v>0</v>
      </c>
      <c r="K187" t="n">
        <v>0</v>
      </c>
      <c r="L187" t="n">
        <v>0</v>
      </c>
      <c r="M187" t="n">
        <v>0</v>
      </c>
      <c r="N187" t="n">
        <v>0</v>
      </c>
      <c r="O187" t="n">
        <v>0</v>
      </c>
      <c r="P187" t="n">
        <v>0</v>
      </c>
      <c r="Q187" t="n">
        <v>0</v>
      </c>
      <c r="R187" s="2" t="inlineStr"/>
    </row>
    <row r="188" ht="15" customHeight="1">
      <c r="A188" t="inlineStr">
        <is>
          <t>A 28832-2023</t>
        </is>
      </c>
      <c r="B188" s="1" t="n">
        <v>45104.40493055555</v>
      </c>
      <c r="C188" s="1" t="n">
        <v>45886</v>
      </c>
      <c r="D188" t="inlineStr">
        <is>
          <t>DALARNAS LÄN</t>
        </is>
      </c>
      <c r="E188" t="inlineStr">
        <is>
          <t>MORA</t>
        </is>
      </c>
      <c r="F188" t="inlineStr">
        <is>
          <t>Bergvik skog öst AB</t>
        </is>
      </c>
      <c r="G188" t="n">
        <v>2</v>
      </c>
      <c r="H188" t="n">
        <v>0</v>
      </c>
      <c r="I188" t="n">
        <v>0</v>
      </c>
      <c r="J188" t="n">
        <v>0</v>
      </c>
      <c r="K188" t="n">
        <v>0</v>
      </c>
      <c r="L188" t="n">
        <v>0</v>
      </c>
      <c r="M188" t="n">
        <v>0</v>
      </c>
      <c r="N188" t="n">
        <v>0</v>
      </c>
      <c r="O188" t="n">
        <v>0</v>
      </c>
      <c r="P188" t="n">
        <v>0</v>
      </c>
      <c r="Q188" t="n">
        <v>0</v>
      </c>
      <c r="R188" s="2" t="inlineStr"/>
    </row>
    <row r="189" ht="15" customHeight="1">
      <c r="A189" t="inlineStr">
        <is>
          <t>A 37710-2023</t>
        </is>
      </c>
      <c r="B189" s="1" t="n">
        <v>45159.59186342593</v>
      </c>
      <c r="C189" s="1" t="n">
        <v>45886</v>
      </c>
      <c r="D189" t="inlineStr">
        <is>
          <t>DALARNAS LÄN</t>
        </is>
      </c>
      <c r="E189" t="inlineStr">
        <is>
          <t>MORA</t>
        </is>
      </c>
      <c r="G189" t="n">
        <v>1.9</v>
      </c>
      <c r="H189" t="n">
        <v>0</v>
      </c>
      <c r="I189" t="n">
        <v>0</v>
      </c>
      <c r="J189" t="n">
        <v>0</v>
      </c>
      <c r="K189" t="n">
        <v>0</v>
      </c>
      <c r="L189" t="n">
        <v>0</v>
      </c>
      <c r="M189" t="n">
        <v>0</v>
      </c>
      <c r="N189" t="n">
        <v>0</v>
      </c>
      <c r="O189" t="n">
        <v>0</v>
      </c>
      <c r="P189" t="n">
        <v>0</v>
      </c>
      <c r="Q189" t="n">
        <v>0</v>
      </c>
      <c r="R189" s="2" t="inlineStr"/>
    </row>
    <row r="190" ht="15" customHeight="1">
      <c r="A190" t="inlineStr">
        <is>
          <t>A 27188-2023</t>
        </is>
      </c>
      <c r="B190" s="1" t="n">
        <v>45096</v>
      </c>
      <c r="C190" s="1" t="n">
        <v>45886</v>
      </c>
      <c r="D190" t="inlineStr">
        <is>
          <t>DALARNAS LÄN</t>
        </is>
      </c>
      <c r="E190" t="inlineStr">
        <is>
          <t>MORA</t>
        </is>
      </c>
      <c r="G190" t="n">
        <v>4.8</v>
      </c>
      <c r="H190" t="n">
        <v>0</v>
      </c>
      <c r="I190" t="n">
        <v>0</v>
      </c>
      <c r="J190" t="n">
        <v>0</v>
      </c>
      <c r="K190" t="n">
        <v>0</v>
      </c>
      <c r="L190" t="n">
        <v>0</v>
      </c>
      <c r="M190" t="n">
        <v>0</v>
      </c>
      <c r="N190" t="n">
        <v>0</v>
      </c>
      <c r="O190" t="n">
        <v>0</v>
      </c>
      <c r="P190" t="n">
        <v>0</v>
      </c>
      <c r="Q190" t="n">
        <v>0</v>
      </c>
      <c r="R190" s="2" t="inlineStr"/>
    </row>
    <row r="191" ht="15" customHeight="1">
      <c r="A191" t="inlineStr">
        <is>
          <t>A 31395-2024</t>
        </is>
      </c>
      <c r="B191" s="1" t="n">
        <v>45505.47716435185</v>
      </c>
      <c r="C191" s="1" t="n">
        <v>45886</v>
      </c>
      <c r="D191" t="inlineStr">
        <is>
          <t>DALARNAS LÄN</t>
        </is>
      </c>
      <c r="E191" t="inlineStr">
        <is>
          <t>MORA</t>
        </is>
      </c>
      <c r="F191" t="inlineStr">
        <is>
          <t>Bergvik skog öst AB</t>
        </is>
      </c>
      <c r="G191" t="n">
        <v>1.1</v>
      </c>
      <c r="H191" t="n">
        <v>0</v>
      </c>
      <c r="I191" t="n">
        <v>0</v>
      </c>
      <c r="J191" t="n">
        <v>0</v>
      </c>
      <c r="K191" t="n">
        <v>0</v>
      </c>
      <c r="L191" t="n">
        <v>0</v>
      </c>
      <c r="M191" t="n">
        <v>0</v>
      </c>
      <c r="N191" t="n">
        <v>0</v>
      </c>
      <c r="O191" t="n">
        <v>0</v>
      </c>
      <c r="P191" t="n">
        <v>0</v>
      </c>
      <c r="Q191" t="n">
        <v>0</v>
      </c>
      <c r="R191" s="2" t="inlineStr"/>
    </row>
    <row r="192" ht="15" customHeight="1">
      <c r="A192" t="inlineStr">
        <is>
          <t>A 21890-2025</t>
        </is>
      </c>
      <c r="B192" s="1" t="n">
        <v>45784.44481481481</v>
      </c>
      <c r="C192" s="1" t="n">
        <v>45886</v>
      </c>
      <c r="D192" t="inlineStr">
        <is>
          <t>DALARNAS LÄN</t>
        </is>
      </c>
      <c r="E192" t="inlineStr">
        <is>
          <t>MORA</t>
        </is>
      </c>
      <c r="G192" t="n">
        <v>3.8</v>
      </c>
      <c r="H192" t="n">
        <v>0</v>
      </c>
      <c r="I192" t="n">
        <v>0</v>
      </c>
      <c r="J192" t="n">
        <v>0</v>
      </c>
      <c r="K192" t="n">
        <v>0</v>
      </c>
      <c r="L192" t="n">
        <v>0</v>
      </c>
      <c r="M192" t="n">
        <v>0</v>
      </c>
      <c r="N192" t="n">
        <v>0</v>
      </c>
      <c r="O192" t="n">
        <v>0</v>
      </c>
      <c r="P192" t="n">
        <v>0</v>
      </c>
      <c r="Q192" t="n">
        <v>0</v>
      </c>
      <c r="R192" s="2" t="inlineStr"/>
    </row>
    <row r="193" ht="15" customHeight="1">
      <c r="A193" t="inlineStr">
        <is>
          <t>A 21895-2025</t>
        </is>
      </c>
      <c r="B193" s="1" t="n">
        <v>45784.45273148148</v>
      </c>
      <c r="C193" s="1" t="n">
        <v>45886</v>
      </c>
      <c r="D193" t="inlineStr">
        <is>
          <t>DALARNAS LÄN</t>
        </is>
      </c>
      <c r="E193" t="inlineStr">
        <is>
          <t>MORA</t>
        </is>
      </c>
      <c r="G193" t="n">
        <v>0.4</v>
      </c>
      <c r="H193" t="n">
        <v>0</v>
      </c>
      <c r="I193" t="n">
        <v>0</v>
      </c>
      <c r="J193" t="n">
        <v>0</v>
      </c>
      <c r="K193" t="n">
        <v>0</v>
      </c>
      <c r="L193" t="n">
        <v>0</v>
      </c>
      <c r="M193" t="n">
        <v>0</v>
      </c>
      <c r="N193" t="n">
        <v>0</v>
      </c>
      <c r="O193" t="n">
        <v>0</v>
      </c>
      <c r="P193" t="n">
        <v>0</v>
      </c>
      <c r="Q193" t="n">
        <v>0</v>
      </c>
      <c r="R193" s="2" t="inlineStr"/>
    </row>
    <row r="194" ht="15" customHeight="1">
      <c r="A194" t="inlineStr">
        <is>
          <t>A 21894-2025</t>
        </is>
      </c>
      <c r="B194" s="1" t="n">
        <v>45784.45060185185</v>
      </c>
      <c r="C194" s="1" t="n">
        <v>45886</v>
      </c>
      <c r="D194" t="inlineStr">
        <is>
          <t>DALARNAS LÄN</t>
        </is>
      </c>
      <c r="E194" t="inlineStr">
        <is>
          <t>MORA</t>
        </is>
      </c>
      <c r="G194" t="n">
        <v>0.7</v>
      </c>
      <c r="H194" t="n">
        <v>0</v>
      </c>
      <c r="I194" t="n">
        <v>0</v>
      </c>
      <c r="J194" t="n">
        <v>0</v>
      </c>
      <c r="K194" t="n">
        <v>0</v>
      </c>
      <c r="L194" t="n">
        <v>0</v>
      </c>
      <c r="M194" t="n">
        <v>0</v>
      </c>
      <c r="N194" t="n">
        <v>0</v>
      </c>
      <c r="O194" t="n">
        <v>0</v>
      </c>
      <c r="P194" t="n">
        <v>0</v>
      </c>
      <c r="Q194" t="n">
        <v>0</v>
      </c>
      <c r="R194" s="2" t="inlineStr"/>
    </row>
    <row r="195" ht="15" customHeight="1">
      <c r="A195" t="inlineStr">
        <is>
          <t>A 38055-2024</t>
        </is>
      </c>
      <c r="B195" s="1" t="n">
        <v>45544</v>
      </c>
      <c r="C195" s="1" t="n">
        <v>45886</v>
      </c>
      <c r="D195" t="inlineStr">
        <is>
          <t>DALARNAS LÄN</t>
        </is>
      </c>
      <c r="E195" t="inlineStr">
        <is>
          <t>MORA</t>
        </is>
      </c>
      <c r="G195" t="n">
        <v>0.7</v>
      </c>
      <c r="H195" t="n">
        <v>0</v>
      </c>
      <c r="I195" t="n">
        <v>0</v>
      </c>
      <c r="J195" t="n">
        <v>0</v>
      </c>
      <c r="K195" t="n">
        <v>0</v>
      </c>
      <c r="L195" t="n">
        <v>0</v>
      </c>
      <c r="M195" t="n">
        <v>0</v>
      </c>
      <c r="N195" t="n">
        <v>0</v>
      </c>
      <c r="O195" t="n">
        <v>0</v>
      </c>
      <c r="P195" t="n">
        <v>0</v>
      </c>
      <c r="Q195" t="n">
        <v>0</v>
      </c>
      <c r="R195" s="2" t="inlineStr"/>
    </row>
    <row r="196" ht="15" customHeight="1">
      <c r="A196" t="inlineStr">
        <is>
          <t>A 35327-2024</t>
        </is>
      </c>
      <c r="B196" s="1" t="n">
        <v>45530.71334490741</v>
      </c>
      <c r="C196" s="1" t="n">
        <v>45886</v>
      </c>
      <c r="D196" t="inlineStr">
        <is>
          <t>DALARNAS LÄN</t>
        </is>
      </c>
      <c r="E196" t="inlineStr">
        <is>
          <t>MORA</t>
        </is>
      </c>
      <c r="G196" t="n">
        <v>5</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45886</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5486-2023</t>
        </is>
      </c>
      <c r="B198" s="1" t="n">
        <v>44957</v>
      </c>
      <c r="C198" s="1" t="n">
        <v>45886</v>
      </c>
      <c r="D198" t="inlineStr">
        <is>
          <t>DALARNAS LÄN</t>
        </is>
      </c>
      <c r="E198" t="inlineStr">
        <is>
          <t>MORA</t>
        </is>
      </c>
      <c r="G198" t="n">
        <v>3.2</v>
      </c>
      <c r="H198" t="n">
        <v>0</v>
      </c>
      <c r="I198" t="n">
        <v>0</v>
      </c>
      <c r="J198" t="n">
        <v>0</v>
      </c>
      <c r="K198" t="n">
        <v>0</v>
      </c>
      <c r="L198" t="n">
        <v>0</v>
      </c>
      <c r="M198" t="n">
        <v>0</v>
      </c>
      <c r="N198" t="n">
        <v>0</v>
      </c>
      <c r="O198" t="n">
        <v>0</v>
      </c>
      <c r="P198" t="n">
        <v>0</v>
      </c>
      <c r="Q198" t="n">
        <v>0</v>
      </c>
      <c r="R198" s="2" t="inlineStr"/>
    </row>
    <row r="199" ht="15" customHeight="1">
      <c r="A199" t="inlineStr">
        <is>
          <t>A 18202-2024</t>
        </is>
      </c>
      <c r="B199" s="1" t="n">
        <v>45420.68172453704</v>
      </c>
      <c r="C199" s="1" t="n">
        <v>45886</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46129-2024</t>
        </is>
      </c>
      <c r="B200" s="1" t="n">
        <v>45581.43337962963</v>
      </c>
      <c r="C200" s="1" t="n">
        <v>45886</v>
      </c>
      <c r="D200" t="inlineStr">
        <is>
          <t>DALARNAS LÄN</t>
        </is>
      </c>
      <c r="E200" t="inlineStr">
        <is>
          <t>MORA</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28934-2023</t>
        </is>
      </c>
      <c r="B201" s="1" t="n">
        <v>45104</v>
      </c>
      <c r="C201" s="1" t="n">
        <v>45886</v>
      </c>
      <c r="D201" t="inlineStr">
        <is>
          <t>DALARNAS LÄN</t>
        </is>
      </c>
      <c r="E201" t="inlineStr">
        <is>
          <t>MORA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31929-2024</t>
        </is>
      </c>
      <c r="B202" s="1" t="n">
        <v>45510.40587962963</v>
      </c>
      <c r="C202" s="1" t="n">
        <v>45886</v>
      </c>
      <c r="D202" t="inlineStr">
        <is>
          <t>DALARNAS LÄN</t>
        </is>
      </c>
      <c r="E202" t="inlineStr">
        <is>
          <t>MORA</t>
        </is>
      </c>
      <c r="G202" t="n">
        <v>10.8</v>
      </c>
      <c r="H202" t="n">
        <v>0</v>
      </c>
      <c r="I202" t="n">
        <v>0</v>
      </c>
      <c r="J202" t="n">
        <v>0</v>
      </c>
      <c r="K202" t="n">
        <v>0</v>
      </c>
      <c r="L202" t="n">
        <v>0</v>
      </c>
      <c r="M202" t="n">
        <v>0</v>
      </c>
      <c r="N202" t="n">
        <v>0</v>
      </c>
      <c r="O202" t="n">
        <v>0</v>
      </c>
      <c r="P202" t="n">
        <v>0</v>
      </c>
      <c r="Q202" t="n">
        <v>0</v>
      </c>
      <c r="R202" s="2" t="inlineStr"/>
    </row>
    <row r="203" ht="15" customHeight="1">
      <c r="A203" t="inlineStr">
        <is>
          <t>A 16573-2024</t>
        </is>
      </c>
      <c r="B203" s="1" t="n">
        <v>45408.46980324074</v>
      </c>
      <c r="C203" s="1" t="n">
        <v>45886</v>
      </c>
      <c r="D203" t="inlineStr">
        <is>
          <t>DALARNAS LÄN</t>
        </is>
      </c>
      <c r="E203" t="inlineStr">
        <is>
          <t>MORA</t>
        </is>
      </c>
      <c r="G203" t="n">
        <v>4.5</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45886</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36600-2023</t>
        </is>
      </c>
      <c r="B205" s="1" t="n">
        <v>45153</v>
      </c>
      <c r="C205" s="1" t="n">
        <v>45886</v>
      </c>
      <c r="D205" t="inlineStr">
        <is>
          <t>DALARNAS LÄN</t>
        </is>
      </c>
      <c r="E205" t="inlineStr">
        <is>
          <t>MORA</t>
        </is>
      </c>
      <c r="G205" t="n">
        <v>7.3</v>
      </c>
      <c r="H205" t="n">
        <v>0</v>
      </c>
      <c r="I205" t="n">
        <v>0</v>
      </c>
      <c r="J205" t="n">
        <v>0</v>
      </c>
      <c r="K205" t="n">
        <v>0</v>
      </c>
      <c r="L205" t="n">
        <v>0</v>
      </c>
      <c r="M205" t="n">
        <v>0</v>
      </c>
      <c r="N205" t="n">
        <v>0</v>
      </c>
      <c r="O205" t="n">
        <v>0</v>
      </c>
      <c r="P205" t="n">
        <v>0</v>
      </c>
      <c r="Q205" t="n">
        <v>0</v>
      </c>
      <c r="R205" s="2" t="inlineStr"/>
    </row>
    <row r="206" ht="15" customHeight="1">
      <c r="A206" t="inlineStr">
        <is>
          <t>A 42943-2024</t>
        </is>
      </c>
      <c r="B206" s="1" t="n">
        <v>45567.35359953704</v>
      </c>
      <c r="C206" s="1" t="n">
        <v>45886</v>
      </c>
      <c r="D206" t="inlineStr">
        <is>
          <t>DALARNAS LÄN</t>
        </is>
      </c>
      <c r="E206" t="inlineStr">
        <is>
          <t>MORA</t>
        </is>
      </c>
      <c r="G206" t="n">
        <v>0.5</v>
      </c>
      <c r="H206" t="n">
        <v>0</v>
      </c>
      <c r="I206" t="n">
        <v>0</v>
      </c>
      <c r="J206" t="n">
        <v>0</v>
      </c>
      <c r="K206" t="n">
        <v>0</v>
      </c>
      <c r="L206" t="n">
        <v>0</v>
      </c>
      <c r="M206" t="n">
        <v>0</v>
      </c>
      <c r="N206" t="n">
        <v>0</v>
      </c>
      <c r="O206" t="n">
        <v>0</v>
      </c>
      <c r="P206" t="n">
        <v>0</v>
      </c>
      <c r="Q206" t="n">
        <v>0</v>
      </c>
      <c r="R206" s="2" t="inlineStr"/>
    </row>
    <row r="207" ht="15" customHeight="1">
      <c r="A207" t="inlineStr">
        <is>
          <t>A 37552-2023</t>
        </is>
      </c>
      <c r="B207" s="1" t="n">
        <v>45159.32799768518</v>
      </c>
      <c r="C207" s="1" t="n">
        <v>45886</v>
      </c>
      <c r="D207" t="inlineStr">
        <is>
          <t>DALARNAS LÄN</t>
        </is>
      </c>
      <c r="E207" t="inlineStr">
        <is>
          <t>MORA</t>
        </is>
      </c>
      <c r="G207" t="n">
        <v>4</v>
      </c>
      <c r="H207" t="n">
        <v>0</v>
      </c>
      <c r="I207" t="n">
        <v>0</v>
      </c>
      <c r="J207" t="n">
        <v>0</v>
      </c>
      <c r="K207" t="n">
        <v>0</v>
      </c>
      <c r="L207" t="n">
        <v>0</v>
      </c>
      <c r="M207" t="n">
        <v>0</v>
      </c>
      <c r="N207" t="n">
        <v>0</v>
      </c>
      <c r="O207" t="n">
        <v>0</v>
      </c>
      <c r="P207" t="n">
        <v>0</v>
      </c>
      <c r="Q207" t="n">
        <v>0</v>
      </c>
      <c r="R207" s="2" t="inlineStr"/>
    </row>
    <row r="208" ht="15" customHeight="1">
      <c r="A208" t="inlineStr">
        <is>
          <t>A 4489-2022</t>
        </is>
      </c>
      <c r="B208" s="1" t="n">
        <v>44589</v>
      </c>
      <c r="C208" s="1" t="n">
        <v>45886</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5418-2025</t>
        </is>
      </c>
      <c r="B209" s="1" t="n">
        <v>45692.68561342593</v>
      </c>
      <c r="C209" s="1" t="n">
        <v>45886</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19842-2025</t>
        </is>
      </c>
      <c r="B210" s="1" t="n">
        <v>45771.47938657407</v>
      </c>
      <c r="C210" s="1" t="n">
        <v>45886</v>
      </c>
      <c r="D210" t="inlineStr">
        <is>
          <t>DALARNAS LÄN</t>
        </is>
      </c>
      <c r="E210" t="inlineStr">
        <is>
          <t>MORA</t>
        </is>
      </c>
      <c r="G210" t="n">
        <v>1.9</v>
      </c>
      <c r="H210" t="n">
        <v>0</v>
      </c>
      <c r="I210" t="n">
        <v>0</v>
      </c>
      <c r="J210" t="n">
        <v>0</v>
      </c>
      <c r="K210" t="n">
        <v>0</v>
      </c>
      <c r="L210" t="n">
        <v>0</v>
      </c>
      <c r="M210" t="n">
        <v>0</v>
      </c>
      <c r="N210" t="n">
        <v>0</v>
      </c>
      <c r="O210" t="n">
        <v>0</v>
      </c>
      <c r="P210" t="n">
        <v>0</v>
      </c>
      <c r="Q210" t="n">
        <v>0</v>
      </c>
      <c r="R210" s="2" t="inlineStr"/>
    </row>
    <row r="211" ht="15" customHeight="1">
      <c r="A211" t="inlineStr">
        <is>
          <t>A 18134-2025</t>
        </is>
      </c>
      <c r="B211" s="1" t="n">
        <v>45761.60189814815</v>
      </c>
      <c r="C211" s="1" t="n">
        <v>45886</v>
      </c>
      <c r="D211" t="inlineStr">
        <is>
          <t>DALARNAS LÄN</t>
        </is>
      </c>
      <c r="E211" t="inlineStr">
        <is>
          <t>MORA</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23057-2024</t>
        </is>
      </c>
      <c r="B212" s="1" t="n">
        <v>45450</v>
      </c>
      <c r="C212" s="1" t="n">
        <v>45886</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61249-2023</t>
        </is>
      </c>
      <c r="B213" s="1" t="n">
        <v>45264</v>
      </c>
      <c r="C213" s="1" t="n">
        <v>45886</v>
      </c>
      <c r="D213" t="inlineStr">
        <is>
          <t>DALARNAS LÄN</t>
        </is>
      </c>
      <c r="E213" t="inlineStr">
        <is>
          <t>MORA</t>
        </is>
      </c>
      <c r="F213" t="inlineStr">
        <is>
          <t>Allmännings- och besparingsskogar</t>
        </is>
      </c>
      <c r="G213" t="n">
        <v>1.7</v>
      </c>
      <c r="H213" t="n">
        <v>0</v>
      </c>
      <c r="I213" t="n">
        <v>0</v>
      </c>
      <c r="J213" t="n">
        <v>0</v>
      </c>
      <c r="K213" t="n">
        <v>0</v>
      </c>
      <c r="L213" t="n">
        <v>0</v>
      </c>
      <c r="M213" t="n">
        <v>0</v>
      </c>
      <c r="N213" t="n">
        <v>0</v>
      </c>
      <c r="O213" t="n">
        <v>0</v>
      </c>
      <c r="P213" t="n">
        <v>0</v>
      </c>
      <c r="Q213" t="n">
        <v>0</v>
      </c>
      <c r="R213" s="2" t="inlineStr"/>
    </row>
    <row r="214" ht="15" customHeight="1">
      <c r="A214" t="inlineStr">
        <is>
          <t>A 11193-2025</t>
        </is>
      </c>
      <c r="B214" s="1" t="n">
        <v>45725</v>
      </c>
      <c r="C214" s="1" t="n">
        <v>45886</v>
      </c>
      <c r="D214" t="inlineStr">
        <is>
          <t>DALARNAS LÄN</t>
        </is>
      </c>
      <c r="E214" t="inlineStr">
        <is>
          <t>MORA</t>
        </is>
      </c>
      <c r="G214" t="n">
        <v>4.1</v>
      </c>
      <c r="H214" t="n">
        <v>0</v>
      </c>
      <c r="I214" t="n">
        <v>0</v>
      </c>
      <c r="J214" t="n">
        <v>0</v>
      </c>
      <c r="K214" t="n">
        <v>0</v>
      </c>
      <c r="L214" t="n">
        <v>0</v>
      </c>
      <c r="M214" t="n">
        <v>0</v>
      </c>
      <c r="N214" t="n">
        <v>0</v>
      </c>
      <c r="O214" t="n">
        <v>0</v>
      </c>
      <c r="P214" t="n">
        <v>0</v>
      </c>
      <c r="Q214" t="n">
        <v>0</v>
      </c>
      <c r="R214" s="2" t="inlineStr"/>
    </row>
    <row r="215" ht="15" customHeight="1">
      <c r="A215" t="inlineStr">
        <is>
          <t>A 22354-2025</t>
        </is>
      </c>
      <c r="B215" s="1" t="n">
        <v>45786.45721064815</v>
      </c>
      <c r="C215" s="1" t="n">
        <v>45886</v>
      </c>
      <c r="D215" t="inlineStr">
        <is>
          <t>DALARNAS LÄN</t>
        </is>
      </c>
      <c r="E215" t="inlineStr">
        <is>
          <t>MORA</t>
        </is>
      </c>
      <c r="F215" t="inlineStr">
        <is>
          <t>Bergvik skog öst AB</t>
        </is>
      </c>
      <c r="G215" t="n">
        <v>2</v>
      </c>
      <c r="H215" t="n">
        <v>0</v>
      </c>
      <c r="I215" t="n">
        <v>0</v>
      </c>
      <c r="J215" t="n">
        <v>0</v>
      </c>
      <c r="K215" t="n">
        <v>0</v>
      </c>
      <c r="L215" t="n">
        <v>0</v>
      </c>
      <c r="M215" t="n">
        <v>0</v>
      </c>
      <c r="N215" t="n">
        <v>0</v>
      </c>
      <c r="O215" t="n">
        <v>0</v>
      </c>
      <c r="P215" t="n">
        <v>0</v>
      </c>
      <c r="Q215" t="n">
        <v>0</v>
      </c>
      <c r="R215" s="2" t="inlineStr"/>
    </row>
    <row r="216" ht="15" customHeight="1">
      <c r="A216" t="inlineStr">
        <is>
          <t>A 48522-2024</t>
        </is>
      </c>
      <c r="B216" s="1" t="n">
        <v>45593.32924768519</v>
      </c>
      <c r="C216" s="1" t="n">
        <v>45886</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16733-2024</t>
        </is>
      </c>
      <c r="B217" s="1" t="n">
        <v>45410.78502314815</v>
      </c>
      <c r="C217" s="1" t="n">
        <v>45886</v>
      </c>
      <c r="D217" t="inlineStr">
        <is>
          <t>DALARNAS LÄN</t>
        </is>
      </c>
      <c r="E217" t="inlineStr">
        <is>
          <t>MORA</t>
        </is>
      </c>
      <c r="G217" t="n">
        <v>6.3</v>
      </c>
      <c r="H217" t="n">
        <v>0</v>
      </c>
      <c r="I217" t="n">
        <v>0</v>
      </c>
      <c r="J217" t="n">
        <v>0</v>
      </c>
      <c r="K217" t="n">
        <v>0</v>
      </c>
      <c r="L217" t="n">
        <v>0</v>
      </c>
      <c r="M217" t="n">
        <v>0</v>
      </c>
      <c r="N217" t="n">
        <v>0</v>
      </c>
      <c r="O217" t="n">
        <v>0</v>
      </c>
      <c r="P217" t="n">
        <v>0</v>
      </c>
      <c r="Q217" t="n">
        <v>0</v>
      </c>
      <c r="R217" s="2" t="inlineStr"/>
    </row>
    <row r="218" ht="15" customHeight="1">
      <c r="A218" t="inlineStr">
        <is>
          <t>A 53159-2024</t>
        </is>
      </c>
      <c r="B218" s="1" t="n">
        <v>45611.63849537037</v>
      </c>
      <c r="C218" s="1" t="n">
        <v>45886</v>
      </c>
      <c r="D218" t="inlineStr">
        <is>
          <t>DALARNAS LÄN</t>
        </is>
      </c>
      <c r="E218" t="inlineStr">
        <is>
          <t>MORA</t>
        </is>
      </c>
      <c r="G218" t="n">
        <v>3.3</v>
      </c>
      <c r="H218" t="n">
        <v>0</v>
      </c>
      <c r="I218" t="n">
        <v>0</v>
      </c>
      <c r="J218" t="n">
        <v>0</v>
      </c>
      <c r="K218" t="n">
        <v>0</v>
      </c>
      <c r="L218" t="n">
        <v>0</v>
      </c>
      <c r="M218" t="n">
        <v>0</v>
      </c>
      <c r="N218" t="n">
        <v>0</v>
      </c>
      <c r="O218" t="n">
        <v>0</v>
      </c>
      <c r="P218" t="n">
        <v>0</v>
      </c>
      <c r="Q218" t="n">
        <v>0</v>
      </c>
      <c r="R218" s="2" t="inlineStr"/>
    </row>
    <row r="219" ht="15" customHeight="1">
      <c r="A219" t="inlineStr">
        <is>
          <t>A 68415-2021</t>
        </is>
      </c>
      <c r="B219" s="1" t="n">
        <v>44529</v>
      </c>
      <c r="C219" s="1" t="n">
        <v>45886</v>
      </c>
      <c r="D219" t="inlineStr">
        <is>
          <t>DALARNAS LÄN</t>
        </is>
      </c>
      <c r="E219" t="inlineStr">
        <is>
          <t>MORA</t>
        </is>
      </c>
      <c r="G219" t="n">
        <v>1.2</v>
      </c>
      <c r="H219" t="n">
        <v>0</v>
      </c>
      <c r="I219" t="n">
        <v>0</v>
      </c>
      <c r="J219" t="n">
        <v>0</v>
      </c>
      <c r="K219" t="n">
        <v>0</v>
      </c>
      <c r="L219" t="n">
        <v>0</v>
      </c>
      <c r="M219" t="n">
        <v>0</v>
      </c>
      <c r="N219" t="n">
        <v>0</v>
      </c>
      <c r="O219" t="n">
        <v>0</v>
      </c>
      <c r="P219" t="n">
        <v>0</v>
      </c>
      <c r="Q219" t="n">
        <v>0</v>
      </c>
      <c r="R219" s="2" t="inlineStr"/>
    </row>
    <row r="220" ht="15" customHeight="1">
      <c r="A220" t="inlineStr">
        <is>
          <t>A 60187-2024</t>
        </is>
      </c>
      <c r="B220" s="1" t="n">
        <v>45642.64803240741</v>
      </c>
      <c r="C220" s="1" t="n">
        <v>45886</v>
      </c>
      <c r="D220" t="inlineStr">
        <is>
          <t>DALARNAS LÄN</t>
        </is>
      </c>
      <c r="E220" t="inlineStr">
        <is>
          <t>MORA</t>
        </is>
      </c>
      <c r="F220" t="inlineStr">
        <is>
          <t>Allmännings- och besparingsskogar</t>
        </is>
      </c>
      <c r="G220" t="n">
        <v>24.6</v>
      </c>
      <c r="H220" t="n">
        <v>0</v>
      </c>
      <c r="I220" t="n">
        <v>0</v>
      </c>
      <c r="J220" t="n">
        <v>0</v>
      </c>
      <c r="K220" t="n">
        <v>0</v>
      </c>
      <c r="L220" t="n">
        <v>0</v>
      </c>
      <c r="M220" t="n">
        <v>0</v>
      </c>
      <c r="N220" t="n">
        <v>0</v>
      </c>
      <c r="O220" t="n">
        <v>0</v>
      </c>
      <c r="P220" t="n">
        <v>0</v>
      </c>
      <c r="Q220" t="n">
        <v>0</v>
      </c>
      <c r="R220" s="2" t="inlineStr"/>
    </row>
    <row r="221" ht="15" customHeight="1">
      <c r="A221" t="inlineStr">
        <is>
          <t>A 15435-2024</t>
        </is>
      </c>
      <c r="B221" s="1" t="n">
        <v>45401.40806712963</v>
      </c>
      <c r="C221" s="1" t="n">
        <v>45886</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51965-2024</t>
        </is>
      </c>
      <c r="B222" s="1" t="n">
        <v>45607.65123842593</v>
      </c>
      <c r="C222" s="1" t="n">
        <v>45886</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56900-2024</t>
        </is>
      </c>
      <c r="B223" s="1" t="n">
        <v>45625</v>
      </c>
      <c r="C223" s="1" t="n">
        <v>45886</v>
      </c>
      <c r="D223" t="inlineStr">
        <is>
          <t>DALARNAS LÄN</t>
        </is>
      </c>
      <c r="E223" t="inlineStr">
        <is>
          <t>MORA</t>
        </is>
      </c>
      <c r="G223" t="n">
        <v>2.7</v>
      </c>
      <c r="H223" t="n">
        <v>0</v>
      </c>
      <c r="I223" t="n">
        <v>0</v>
      </c>
      <c r="J223" t="n">
        <v>0</v>
      </c>
      <c r="K223" t="n">
        <v>0</v>
      </c>
      <c r="L223" t="n">
        <v>0</v>
      </c>
      <c r="M223" t="n">
        <v>0</v>
      </c>
      <c r="N223" t="n">
        <v>0</v>
      </c>
      <c r="O223" t="n">
        <v>0</v>
      </c>
      <c r="P223" t="n">
        <v>0</v>
      </c>
      <c r="Q223" t="n">
        <v>0</v>
      </c>
      <c r="R223" s="2" t="inlineStr"/>
    </row>
    <row r="224" ht="15" customHeight="1">
      <c r="A224" t="inlineStr">
        <is>
          <t>A 56927-2024</t>
        </is>
      </c>
      <c r="B224" s="1" t="n">
        <v>45625</v>
      </c>
      <c r="C224" s="1" t="n">
        <v>45886</v>
      </c>
      <c r="D224" t="inlineStr">
        <is>
          <t>DALARNAS LÄN</t>
        </is>
      </c>
      <c r="E224" t="inlineStr">
        <is>
          <t>MORA</t>
        </is>
      </c>
      <c r="G224" t="n">
        <v>2.8</v>
      </c>
      <c r="H224" t="n">
        <v>0</v>
      </c>
      <c r="I224" t="n">
        <v>0</v>
      </c>
      <c r="J224" t="n">
        <v>0</v>
      </c>
      <c r="K224" t="n">
        <v>0</v>
      </c>
      <c r="L224" t="n">
        <v>0</v>
      </c>
      <c r="M224" t="n">
        <v>0</v>
      </c>
      <c r="N224" t="n">
        <v>0</v>
      </c>
      <c r="O224" t="n">
        <v>0</v>
      </c>
      <c r="P224" t="n">
        <v>0</v>
      </c>
      <c r="Q224" t="n">
        <v>0</v>
      </c>
      <c r="R224" s="2" t="inlineStr"/>
    </row>
    <row r="225" ht="15" customHeight="1">
      <c r="A225" t="inlineStr">
        <is>
          <t>A 42391-2023</t>
        </is>
      </c>
      <c r="B225" s="1" t="n">
        <v>45180</v>
      </c>
      <c r="C225" s="1" t="n">
        <v>45886</v>
      </c>
      <c r="D225" t="inlineStr">
        <is>
          <t>DALARNAS LÄN</t>
        </is>
      </c>
      <c r="E225" t="inlineStr">
        <is>
          <t>MORA</t>
        </is>
      </c>
      <c r="F225" t="inlineStr">
        <is>
          <t>Kommuner</t>
        </is>
      </c>
      <c r="G225" t="n">
        <v>0.3</v>
      </c>
      <c r="H225" t="n">
        <v>0</v>
      </c>
      <c r="I225" t="n">
        <v>0</v>
      </c>
      <c r="J225" t="n">
        <v>0</v>
      </c>
      <c r="K225" t="n">
        <v>0</v>
      </c>
      <c r="L225" t="n">
        <v>0</v>
      </c>
      <c r="M225" t="n">
        <v>0</v>
      </c>
      <c r="N225" t="n">
        <v>0</v>
      </c>
      <c r="O225" t="n">
        <v>0</v>
      </c>
      <c r="P225" t="n">
        <v>0</v>
      </c>
      <c r="Q225" t="n">
        <v>0</v>
      </c>
      <c r="R225" s="2" t="inlineStr"/>
    </row>
    <row r="226" ht="15" customHeight="1">
      <c r="A226" t="inlineStr">
        <is>
          <t>A 25494-2024</t>
        </is>
      </c>
      <c r="B226" s="1" t="n">
        <v>45463</v>
      </c>
      <c r="C226" s="1" t="n">
        <v>45886</v>
      </c>
      <c r="D226" t="inlineStr">
        <is>
          <t>DALARNAS LÄN</t>
        </is>
      </c>
      <c r="E226" t="inlineStr">
        <is>
          <t>MORA</t>
        </is>
      </c>
      <c r="G226" t="n">
        <v>4.9</v>
      </c>
      <c r="H226" t="n">
        <v>0</v>
      </c>
      <c r="I226" t="n">
        <v>0</v>
      </c>
      <c r="J226" t="n">
        <v>0</v>
      </c>
      <c r="K226" t="n">
        <v>0</v>
      </c>
      <c r="L226" t="n">
        <v>0</v>
      </c>
      <c r="M226" t="n">
        <v>0</v>
      </c>
      <c r="N226" t="n">
        <v>0</v>
      </c>
      <c r="O226" t="n">
        <v>0</v>
      </c>
      <c r="P226" t="n">
        <v>0</v>
      </c>
      <c r="Q226" t="n">
        <v>0</v>
      </c>
      <c r="R226" s="2" t="inlineStr"/>
    </row>
    <row r="227" ht="15" customHeight="1">
      <c r="A227" t="inlineStr">
        <is>
          <t>A 55691-2023</t>
        </is>
      </c>
      <c r="B227" s="1" t="n">
        <v>45239.36509259259</v>
      </c>
      <c r="C227" s="1" t="n">
        <v>45886</v>
      </c>
      <c r="D227" t="inlineStr">
        <is>
          <t>DALARNAS LÄN</t>
        </is>
      </c>
      <c r="E227" t="inlineStr">
        <is>
          <t>MORA</t>
        </is>
      </c>
      <c r="G227" t="n">
        <v>2.2</v>
      </c>
      <c r="H227" t="n">
        <v>0</v>
      </c>
      <c r="I227" t="n">
        <v>0</v>
      </c>
      <c r="J227" t="n">
        <v>0</v>
      </c>
      <c r="K227" t="n">
        <v>0</v>
      </c>
      <c r="L227" t="n">
        <v>0</v>
      </c>
      <c r="M227" t="n">
        <v>0</v>
      </c>
      <c r="N227" t="n">
        <v>0</v>
      </c>
      <c r="O227" t="n">
        <v>0</v>
      </c>
      <c r="P227" t="n">
        <v>0</v>
      </c>
      <c r="Q227" t="n">
        <v>0</v>
      </c>
      <c r="R227" s="2" t="inlineStr"/>
    </row>
    <row r="228" ht="15" customHeight="1">
      <c r="A228" t="inlineStr">
        <is>
          <t>A 54192-2023</t>
        </is>
      </c>
      <c r="B228" s="1" t="n">
        <v>45232.53052083333</v>
      </c>
      <c r="C228" s="1" t="n">
        <v>45886</v>
      </c>
      <c r="D228" t="inlineStr">
        <is>
          <t>DALARNAS LÄN</t>
        </is>
      </c>
      <c r="E228" t="inlineStr">
        <is>
          <t>MORA</t>
        </is>
      </c>
      <c r="G228" t="n">
        <v>3.4</v>
      </c>
      <c r="H228" t="n">
        <v>0</v>
      </c>
      <c r="I228" t="n">
        <v>0</v>
      </c>
      <c r="J228" t="n">
        <v>0</v>
      </c>
      <c r="K228" t="n">
        <v>0</v>
      </c>
      <c r="L228" t="n">
        <v>0</v>
      </c>
      <c r="M228" t="n">
        <v>0</v>
      </c>
      <c r="N228" t="n">
        <v>0</v>
      </c>
      <c r="O228" t="n">
        <v>0</v>
      </c>
      <c r="P228" t="n">
        <v>0</v>
      </c>
      <c r="Q228" t="n">
        <v>0</v>
      </c>
      <c r="R228" s="2" t="inlineStr"/>
    </row>
    <row r="229" ht="15" customHeight="1">
      <c r="A229" t="inlineStr">
        <is>
          <t>A 2865-2022</t>
        </is>
      </c>
      <c r="B229" s="1" t="n">
        <v>44581</v>
      </c>
      <c r="C229" s="1" t="n">
        <v>45886</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59404-2024</t>
        </is>
      </c>
      <c r="B230" s="1" t="n">
        <v>45638</v>
      </c>
      <c r="C230" s="1" t="n">
        <v>45886</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22185-2025</t>
        </is>
      </c>
      <c r="B231" s="1" t="n">
        <v>45785</v>
      </c>
      <c r="C231" s="1" t="n">
        <v>45886</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18580-2025</t>
        </is>
      </c>
      <c r="B232" s="1" t="n">
        <v>45763.46721064814</v>
      </c>
      <c r="C232" s="1" t="n">
        <v>45886</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23368-2025</t>
        </is>
      </c>
      <c r="B233" s="1" t="n">
        <v>45791.70299768518</v>
      </c>
      <c r="C233" s="1" t="n">
        <v>45886</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56935-2024</t>
        </is>
      </c>
      <c r="B234" s="1" t="n">
        <v>45625</v>
      </c>
      <c r="C234" s="1" t="n">
        <v>45886</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49159-2023</t>
        </is>
      </c>
      <c r="B235" s="1" t="n">
        <v>45210</v>
      </c>
      <c r="C235" s="1" t="n">
        <v>45886</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23354-2022</t>
        </is>
      </c>
      <c r="B236" s="1" t="n">
        <v>44720</v>
      </c>
      <c r="C236" s="1" t="n">
        <v>45886</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34928-2022</t>
        </is>
      </c>
      <c r="B237" s="1" t="n">
        <v>44796.60479166666</v>
      </c>
      <c r="C237" s="1" t="n">
        <v>45886</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9461-2025</t>
        </is>
      </c>
      <c r="B238" s="1" t="n">
        <v>45715.45341435185</v>
      </c>
      <c r="C238" s="1" t="n">
        <v>45886</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45349-2024</t>
        </is>
      </c>
      <c r="B239" s="1" t="n">
        <v>45576</v>
      </c>
      <c r="C239" s="1" t="n">
        <v>45886</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24127-2025</t>
        </is>
      </c>
      <c r="B240" s="1" t="n">
        <v>45796.63137731481</v>
      </c>
      <c r="C240" s="1" t="n">
        <v>45886</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57408-2024</t>
        </is>
      </c>
      <c r="B241" s="1" t="n">
        <v>45629</v>
      </c>
      <c r="C241" s="1" t="n">
        <v>45886</v>
      </c>
      <c r="D241" t="inlineStr">
        <is>
          <t>DALARNAS LÄN</t>
        </is>
      </c>
      <c r="E241" t="inlineStr">
        <is>
          <t>MORA</t>
        </is>
      </c>
      <c r="F241" t="inlineStr">
        <is>
          <t>Allmännings- och besparingsskogar</t>
        </is>
      </c>
      <c r="G241" t="n">
        <v>2.5</v>
      </c>
      <c r="H241" t="n">
        <v>0</v>
      </c>
      <c r="I241" t="n">
        <v>0</v>
      </c>
      <c r="J241" t="n">
        <v>0</v>
      </c>
      <c r="K241" t="n">
        <v>0</v>
      </c>
      <c r="L241" t="n">
        <v>0</v>
      </c>
      <c r="M241" t="n">
        <v>0</v>
      </c>
      <c r="N241" t="n">
        <v>0</v>
      </c>
      <c r="O241" t="n">
        <v>0</v>
      </c>
      <c r="P241" t="n">
        <v>0</v>
      </c>
      <c r="Q241" t="n">
        <v>0</v>
      </c>
      <c r="R241" s="2" t="inlineStr"/>
    </row>
    <row r="242" ht="15" customHeight="1">
      <c r="A242" t="inlineStr">
        <is>
          <t>A 46412-2024</t>
        </is>
      </c>
      <c r="B242" s="1" t="n">
        <v>45582.44894675926</v>
      </c>
      <c r="C242" s="1" t="n">
        <v>45886</v>
      </c>
      <c r="D242" t="inlineStr">
        <is>
          <t>DALARNAS LÄN</t>
        </is>
      </c>
      <c r="E242" t="inlineStr">
        <is>
          <t>MORA</t>
        </is>
      </c>
      <c r="G242" t="n">
        <v>4.1</v>
      </c>
      <c r="H242" t="n">
        <v>0</v>
      </c>
      <c r="I242" t="n">
        <v>0</v>
      </c>
      <c r="J242" t="n">
        <v>0</v>
      </c>
      <c r="K242" t="n">
        <v>0</v>
      </c>
      <c r="L242" t="n">
        <v>0</v>
      </c>
      <c r="M242" t="n">
        <v>0</v>
      </c>
      <c r="N242" t="n">
        <v>0</v>
      </c>
      <c r="O242" t="n">
        <v>0</v>
      </c>
      <c r="P242" t="n">
        <v>0</v>
      </c>
      <c r="Q242" t="n">
        <v>0</v>
      </c>
      <c r="R242" s="2" t="inlineStr"/>
    </row>
    <row r="243" ht="15" customHeight="1">
      <c r="A243" t="inlineStr">
        <is>
          <t>A 50685-2023</t>
        </is>
      </c>
      <c r="B243" s="1" t="n">
        <v>45210</v>
      </c>
      <c r="C243" s="1" t="n">
        <v>45886</v>
      </c>
      <c r="D243" t="inlineStr">
        <is>
          <t>DALARNAS LÄN</t>
        </is>
      </c>
      <c r="E243" t="inlineStr">
        <is>
          <t>MORA</t>
        </is>
      </c>
      <c r="G243" t="n">
        <v>1.7</v>
      </c>
      <c r="H243" t="n">
        <v>0</v>
      </c>
      <c r="I243" t="n">
        <v>0</v>
      </c>
      <c r="J243" t="n">
        <v>0</v>
      </c>
      <c r="K243" t="n">
        <v>0</v>
      </c>
      <c r="L243" t="n">
        <v>0</v>
      </c>
      <c r="M243" t="n">
        <v>0</v>
      </c>
      <c r="N243" t="n">
        <v>0</v>
      </c>
      <c r="O243" t="n">
        <v>0</v>
      </c>
      <c r="P243" t="n">
        <v>0</v>
      </c>
      <c r="Q243" t="n">
        <v>0</v>
      </c>
      <c r="R243" s="2" t="inlineStr"/>
    </row>
    <row r="244" ht="15" customHeight="1">
      <c r="A244" t="inlineStr">
        <is>
          <t>A 62854-2023</t>
        </is>
      </c>
      <c r="B244" s="1" t="n">
        <v>45272</v>
      </c>
      <c r="C244" s="1" t="n">
        <v>45886</v>
      </c>
      <c r="D244" t="inlineStr">
        <is>
          <t>DALARNAS LÄN</t>
        </is>
      </c>
      <c r="E244" t="inlineStr">
        <is>
          <t>MORA</t>
        </is>
      </c>
      <c r="G244" t="n">
        <v>11.3</v>
      </c>
      <c r="H244" t="n">
        <v>0</v>
      </c>
      <c r="I244" t="n">
        <v>0</v>
      </c>
      <c r="J244" t="n">
        <v>0</v>
      </c>
      <c r="K244" t="n">
        <v>0</v>
      </c>
      <c r="L244" t="n">
        <v>0</v>
      </c>
      <c r="M244" t="n">
        <v>0</v>
      </c>
      <c r="N244" t="n">
        <v>0</v>
      </c>
      <c r="O244" t="n">
        <v>0</v>
      </c>
      <c r="P244" t="n">
        <v>0</v>
      </c>
      <c r="Q244" t="n">
        <v>0</v>
      </c>
      <c r="R244" s="2" t="inlineStr"/>
    </row>
    <row r="245" ht="15" customHeight="1">
      <c r="A245" t="inlineStr">
        <is>
          <t>A 50759-2023</t>
        </is>
      </c>
      <c r="B245" s="1" t="n">
        <v>45217.60914351852</v>
      </c>
      <c r="C245" s="1" t="n">
        <v>45886</v>
      </c>
      <c r="D245" t="inlineStr">
        <is>
          <t>DALARNAS LÄN</t>
        </is>
      </c>
      <c r="E245" t="inlineStr">
        <is>
          <t>MORA</t>
        </is>
      </c>
      <c r="G245" t="n">
        <v>5.3</v>
      </c>
      <c r="H245" t="n">
        <v>0</v>
      </c>
      <c r="I245" t="n">
        <v>0</v>
      </c>
      <c r="J245" t="n">
        <v>0</v>
      </c>
      <c r="K245" t="n">
        <v>0</v>
      </c>
      <c r="L245" t="n">
        <v>0</v>
      </c>
      <c r="M245" t="n">
        <v>0</v>
      </c>
      <c r="N245" t="n">
        <v>0</v>
      </c>
      <c r="O245" t="n">
        <v>0</v>
      </c>
      <c r="P245" t="n">
        <v>0</v>
      </c>
      <c r="Q245" t="n">
        <v>0</v>
      </c>
      <c r="R245" s="2" t="inlineStr"/>
    </row>
    <row r="246" ht="15" customHeight="1">
      <c r="A246" t="inlineStr">
        <is>
          <t>A 43964-2024</t>
        </is>
      </c>
      <c r="B246" s="1" t="n">
        <v>45572.48407407408</v>
      </c>
      <c r="C246" s="1" t="n">
        <v>45886</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19286-2023</t>
        </is>
      </c>
      <c r="B247" s="1" t="n">
        <v>45049</v>
      </c>
      <c r="C247" s="1" t="n">
        <v>45886</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23229-2025</t>
        </is>
      </c>
      <c r="B248" s="1" t="n">
        <v>45791</v>
      </c>
      <c r="C248" s="1" t="n">
        <v>45886</v>
      </c>
      <c r="D248" t="inlineStr">
        <is>
          <t>DALARNAS LÄN</t>
        </is>
      </c>
      <c r="E248" t="inlineStr">
        <is>
          <t>MORA</t>
        </is>
      </c>
      <c r="G248" t="n">
        <v>2.2</v>
      </c>
      <c r="H248" t="n">
        <v>0</v>
      </c>
      <c r="I248" t="n">
        <v>0</v>
      </c>
      <c r="J248" t="n">
        <v>0</v>
      </c>
      <c r="K248" t="n">
        <v>0</v>
      </c>
      <c r="L248" t="n">
        <v>0</v>
      </c>
      <c r="M248" t="n">
        <v>0</v>
      </c>
      <c r="N248" t="n">
        <v>0</v>
      </c>
      <c r="O248" t="n">
        <v>0</v>
      </c>
      <c r="P248" t="n">
        <v>0</v>
      </c>
      <c r="Q248" t="n">
        <v>0</v>
      </c>
      <c r="R248" s="2" t="inlineStr"/>
    </row>
    <row r="249" ht="15" customHeight="1">
      <c r="A249" t="inlineStr">
        <is>
          <t>A 24277-2025</t>
        </is>
      </c>
      <c r="B249" s="1" t="n">
        <v>45797.4530787037</v>
      </c>
      <c r="C249" s="1" t="n">
        <v>45886</v>
      </c>
      <c r="D249" t="inlineStr">
        <is>
          <t>DALARNAS LÄN</t>
        </is>
      </c>
      <c r="E249" t="inlineStr">
        <is>
          <t>MORA</t>
        </is>
      </c>
      <c r="G249" t="n">
        <v>1.9</v>
      </c>
      <c r="H249" t="n">
        <v>0</v>
      </c>
      <c r="I249" t="n">
        <v>0</v>
      </c>
      <c r="J249" t="n">
        <v>0</v>
      </c>
      <c r="K249" t="n">
        <v>0</v>
      </c>
      <c r="L249" t="n">
        <v>0</v>
      </c>
      <c r="M249" t="n">
        <v>0</v>
      </c>
      <c r="N249" t="n">
        <v>0</v>
      </c>
      <c r="O249" t="n">
        <v>0</v>
      </c>
      <c r="P249" t="n">
        <v>0</v>
      </c>
      <c r="Q249" t="n">
        <v>0</v>
      </c>
      <c r="R249" s="2" t="inlineStr"/>
    </row>
    <row r="250" ht="15" customHeight="1">
      <c r="A250" t="inlineStr">
        <is>
          <t>A 24280-2025</t>
        </is>
      </c>
      <c r="B250" s="1" t="n">
        <v>45797.45581018519</v>
      </c>
      <c r="C250" s="1" t="n">
        <v>45886</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24630-2025</t>
        </is>
      </c>
      <c r="B251" s="1" t="n">
        <v>45798.6003587963</v>
      </c>
      <c r="C251" s="1" t="n">
        <v>45886</v>
      </c>
      <c r="D251" t="inlineStr">
        <is>
          <t>DALARNAS LÄN</t>
        </is>
      </c>
      <c r="E251" t="inlineStr">
        <is>
          <t>MORA</t>
        </is>
      </c>
      <c r="F251" t="inlineStr">
        <is>
          <t>Bergvik skog väst AB</t>
        </is>
      </c>
      <c r="G251" t="n">
        <v>10.4</v>
      </c>
      <c r="H251" t="n">
        <v>0</v>
      </c>
      <c r="I251" t="n">
        <v>0</v>
      </c>
      <c r="J251" t="n">
        <v>0</v>
      </c>
      <c r="K251" t="n">
        <v>0</v>
      </c>
      <c r="L251" t="n">
        <v>0</v>
      </c>
      <c r="M251" t="n">
        <v>0</v>
      </c>
      <c r="N251" t="n">
        <v>0</v>
      </c>
      <c r="O251" t="n">
        <v>0</v>
      </c>
      <c r="P251" t="n">
        <v>0</v>
      </c>
      <c r="Q251" t="n">
        <v>0</v>
      </c>
      <c r="R251" s="2" t="inlineStr"/>
    </row>
    <row r="252" ht="15" customHeight="1">
      <c r="A252" t="inlineStr">
        <is>
          <t>A 19183-2025</t>
        </is>
      </c>
      <c r="B252" s="1" t="n">
        <v>45769</v>
      </c>
      <c r="C252" s="1" t="n">
        <v>45886</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24642-2025</t>
        </is>
      </c>
      <c r="B253" s="1" t="n">
        <v>45798.62894675926</v>
      </c>
      <c r="C253" s="1" t="n">
        <v>45886</v>
      </c>
      <c r="D253" t="inlineStr">
        <is>
          <t>DALARNAS LÄN</t>
        </is>
      </c>
      <c r="E253" t="inlineStr">
        <is>
          <t>MORA</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24222-2025</t>
        </is>
      </c>
      <c r="B254" s="1" t="n">
        <v>45797.36658564815</v>
      </c>
      <c r="C254" s="1" t="n">
        <v>45886</v>
      </c>
      <c r="D254" t="inlineStr">
        <is>
          <t>DALARNAS LÄN</t>
        </is>
      </c>
      <c r="E254" t="inlineStr">
        <is>
          <t>MORA</t>
        </is>
      </c>
      <c r="G254" t="n">
        <v>3.9</v>
      </c>
      <c r="H254" t="n">
        <v>0</v>
      </c>
      <c r="I254" t="n">
        <v>0</v>
      </c>
      <c r="J254" t="n">
        <v>0</v>
      </c>
      <c r="K254" t="n">
        <v>0</v>
      </c>
      <c r="L254" t="n">
        <v>0</v>
      </c>
      <c r="M254" t="n">
        <v>0</v>
      </c>
      <c r="N254" t="n">
        <v>0</v>
      </c>
      <c r="O254" t="n">
        <v>0</v>
      </c>
      <c r="P254" t="n">
        <v>0</v>
      </c>
      <c r="Q254" t="n">
        <v>0</v>
      </c>
      <c r="R254" s="2" t="inlineStr"/>
    </row>
    <row r="255" ht="15" customHeight="1">
      <c r="A255" t="inlineStr">
        <is>
          <t>A 24653-2025</t>
        </is>
      </c>
      <c r="B255" s="1" t="n">
        <v>45798.63875</v>
      </c>
      <c r="C255" s="1" t="n">
        <v>45886</v>
      </c>
      <c r="D255" t="inlineStr">
        <is>
          <t>DALARNAS LÄN</t>
        </is>
      </c>
      <c r="E255" t="inlineStr">
        <is>
          <t>MORA</t>
        </is>
      </c>
      <c r="F255" t="inlineStr">
        <is>
          <t>Bergvik skog väst AB</t>
        </is>
      </c>
      <c r="G255" t="n">
        <v>4.9</v>
      </c>
      <c r="H255" t="n">
        <v>0</v>
      </c>
      <c r="I255" t="n">
        <v>0</v>
      </c>
      <c r="J255" t="n">
        <v>0</v>
      </c>
      <c r="K255" t="n">
        <v>0</v>
      </c>
      <c r="L255" t="n">
        <v>0</v>
      </c>
      <c r="M255" t="n">
        <v>0</v>
      </c>
      <c r="N255" t="n">
        <v>0</v>
      </c>
      <c r="O255" t="n">
        <v>0</v>
      </c>
      <c r="P255" t="n">
        <v>0</v>
      </c>
      <c r="Q255" t="n">
        <v>0</v>
      </c>
      <c r="R255" s="2" t="inlineStr"/>
    </row>
    <row r="256" ht="15" customHeight="1">
      <c r="A256" t="inlineStr">
        <is>
          <t>A 39511-2024</t>
        </is>
      </c>
      <c r="B256" s="1" t="n">
        <v>45551.68347222222</v>
      </c>
      <c r="C256" s="1" t="n">
        <v>45886</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37695-2024</t>
        </is>
      </c>
      <c r="B257" s="1" t="n">
        <v>45541.61094907407</v>
      </c>
      <c r="C257" s="1" t="n">
        <v>45886</v>
      </c>
      <c r="D257" t="inlineStr">
        <is>
          <t>DALARNAS LÄN</t>
        </is>
      </c>
      <c r="E257" t="inlineStr">
        <is>
          <t>MORA</t>
        </is>
      </c>
      <c r="G257" t="n">
        <v>19.7</v>
      </c>
      <c r="H257" t="n">
        <v>0</v>
      </c>
      <c r="I257" t="n">
        <v>0</v>
      </c>
      <c r="J257" t="n">
        <v>0</v>
      </c>
      <c r="K257" t="n">
        <v>0</v>
      </c>
      <c r="L257" t="n">
        <v>0</v>
      </c>
      <c r="M257" t="n">
        <v>0</v>
      </c>
      <c r="N257" t="n">
        <v>0</v>
      </c>
      <c r="O257" t="n">
        <v>0</v>
      </c>
      <c r="P257" t="n">
        <v>0</v>
      </c>
      <c r="Q257" t="n">
        <v>0</v>
      </c>
      <c r="R257" s="2" t="inlineStr"/>
    </row>
    <row r="258" ht="15" customHeight="1">
      <c r="A258" t="inlineStr">
        <is>
          <t>A 24249-2025</t>
        </is>
      </c>
      <c r="B258" s="1" t="n">
        <v>45797.40260416667</v>
      </c>
      <c r="C258" s="1" t="n">
        <v>45886</v>
      </c>
      <c r="D258" t="inlineStr">
        <is>
          <t>DALARNAS LÄN</t>
        </is>
      </c>
      <c r="E258" t="inlineStr">
        <is>
          <t>MORA</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56834-2024</t>
        </is>
      </c>
      <c r="B259" s="1" t="n">
        <v>45628.49931712963</v>
      </c>
      <c r="C259" s="1" t="n">
        <v>45886</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24640-2025</t>
        </is>
      </c>
      <c r="B260" s="1" t="n">
        <v>45798.62243055556</v>
      </c>
      <c r="C260" s="1" t="n">
        <v>45886</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24230-2025</t>
        </is>
      </c>
      <c r="B261" s="1" t="n">
        <v>45797.37607638889</v>
      </c>
      <c r="C261" s="1" t="n">
        <v>45886</v>
      </c>
      <c r="D261" t="inlineStr">
        <is>
          <t>DALARNAS LÄN</t>
        </is>
      </c>
      <c r="E261" t="inlineStr">
        <is>
          <t>MORA</t>
        </is>
      </c>
      <c r="G261" t="n">
        <v>6.8</v>
      </c>
      <c r="H261" t="n">
        <v>0</v>
      </c>
      <c r="I261" t="n">
        <v>0</v>
      </c>
      <c r="J261" t="n">
        <v>0</v>
      </c>
      <c r="K261" t="n">
        <v>0</v>
      </c>
      <c r="L261" t="n">
        <v>0</v>
      </c>
      <c r="M261" t="n">
        <v>0</v>
      </c>
      <c r="N261" t="n">
        <v>0</v>
      </c>
      <c r="O261" t="n">
        <v>0</v>
      </c>
      <c r="P261" t="n">
        <v>0</v>
      </c>
      <c r="Q261" t="n">
        <v>0</v>
      </c>
      <c r="R261" s="2" t="inlineStr"/>
    </row>
    <row r="262" ht="15" customHeight="1">
      <c r="A262" t="inlineStr">
        <is>
          <t>A 54398-2021</t>
        </is>
      </c>
      <c r="B262" s="1" t="n">
        <v>44473.39252314815</v>
      </c>
      <c r="C262" s="1" t="n">
        <v>45886</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24620-2025</t>
        </is>
      </c>
      <c r="B263" s="1" t="n">
        <v>45798.59290509259</v>
      </c>
      <c r="C263" s="1" t="n">
        <v>45886</v>
      </c>
      <c r="D263" t="inlineStr">
        <is>
          <t>DALARNAS LÄN</t>
        </is>
      </c>
      <c r="E263" t="inlineStr">
        <is>
          <t>MORA</t>
        </is>
      </c>
      <c r="F263" t="inlineStr">
        <is>
          <t>Bergvik skog väst AB</t>
        </is>
      </c>
      <c r="G263" t="n">
        <v>4.9</v>
      </c>
      <c r="H263" t="n">
        <v>0</v>
      </c>
      <c r="I263" t="n">
        <v>0</v>
      </c>
      <c r="J263" t="n">
        <v>0</v>
      </c>
      <c r="K263" t="n">
        <v>0</v>
      </c>
      <c r="L263" t="n">
        <v>0</v>
      </c>
      <c r="M263" t="n">
        <v>0</v>
      </c>
      <c r="N263" t="n">
        <v>0</v>
      </c>
      <c r="O263" t="n">
        <v>0</v>
      </c>
      <c r="P263" t="n">
        <v>0</v>
      </c>
      <c r="Q263" t="n">
        <v>0</v>
      </c>
      <c r="R263" s="2" t="inlineStr"/>
    </row>
    <row r="264" ht="15" customHeight="1">
      <c r="A264" t="inlineStr">
        <is>
          <t>A 8068-2024</t>
        </is>
      </c>
      <c r="B264" s="1" t="n">
        <v>45351.41524305556</v>
      </c>
      <c r="C264" s="1" t="n">
        <v>45886</v>
      </c>
      <c r="D264" t="inlineStr">
        <is>
          <t>DALARNAS LÄN</t>
        </is>
      </c>
      <c r="E264" t="inlineStr">
        <is>
          <t>MORA</t>
        </is>
      </c>
      <c r="G264" t="n">
        <v>6.4</v>
      </c>
      <c r="H264" t="n">
        <v>0</v>
      </c>
      <c r="I264" t="n">
        <v>0</v>
      </c>
      <c r="J264" t="n">
        <v>0</v>
      </c>
      <c r="K264" t="n">
        <v>0</v>
      </c>
      <c r="L264" t="n">
        <v>0</v>
      </c>
      <c r="M264" t="n">
        <v>0</v>
      </c>
      <c r="N264" t="n">
        <v>0</v>
      </c>
      <c r="O264" t="n">
        <v>0</v>
      </c>
      <c r="P264" t="n">
        <v>0</v>
      </c>
      <c r="Q264" t="n">
        <v>0</v>
      </c>
      <c r="R264" s="2" t="inlineStr"/>
    </row>
    <row r="265" ht="15" customHeight="1">
      <c r="A265" t="inlineStr">
        <is>
          <t>A 24960-2025</t>
        </is>
      </c>
      <c r="B265" s="1" t="n">
        <v>45799.57666666667</v>
      </c>
      <c r="C265" s="1" t="n">
        <v>45886</v>
      </c>
      <c r="D265" t="inlineStr">
        <is>
          <t>DALARNAS LÄN</t>
        </is>
      </c>
      <c r="E265" t="inlineStr">
        <is>
          <t>MORA</t>
        </is>
      </c>
      <c r="G265" t="n">
        <v>3.2</v>
      </c>
      <c r="H265" t="n">
        <v>0</v>
      </c>
      <c r="I265" t="n">
        <v>0</v>
      </c>
      <c r="J265" t="n">
        <v>0</v>
      </c>
      <c r="K265" t="n">
        <v>0</v>
      </c>
      <c r="L265" t="n">
        <v>0</v>
      </c>
      <c r="M265" t="n">
        <v>0</v>
      </c>
      <c r="N265" t="n">
        <v>0</v>
      </c>
      <c r="O265" t="n">
        <v>0</v>
      </c>
      <c r="P265" t="n">
        <v>0</v>
      </c>
      <c r="Q265" t="n">
        <v>0</v>
      </c>
      <c r="R265" s="2" t="inlineStr"/>
    </row>
    <row r="266" ht="15" customHeight="1">
      <c r="A266" t="inlineStr">
        <is>
          <t>A 43863-2023</t>
        </is>
      </c>
      <c r="B266" s="1" t="n">
        <v>45187.62532407408</v>
      </c>
      <c r="C266" s="1" t="n">
        <v>45886</v>
      </c>
      <c r="D266" t="inlineStr">
        <is>
          <t>DALARNAS LÄN</t>
        </is>
      </c>
      <c r="E266" t="inlineStr">
        <is>
          <t>MORA</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24947-2025</t>
        </is>
      </c>
      <c r="B267" s="1" t="n">
        <v>45799.56524305556</v>
      </c>
      <c r="C267" s="1" t="n">
        <v>45886</v>
      </c>
      <c r="D267" t="inlineStr">
        <is>
          <t>DALARNAS LÄN</t>
        </is>
      </c>
      <c r="E267" t="inlineStr">
        <is>
          <t>MORA</t>
        </is>
      </c>
      <c r="G267" t="n">
        <v>2</v>
      </c>
      <c r="H267" t="n">
        <v>0</v>
      </c>
      <c r="I267" t="n">
        <v>0</v>
      </c>
      <c r="J267" t="n">
        <v>0</v>
      </c>
      <c r="K267" t="n">
        <v>0</v>
      </c>
      <c r="L267" t="n">
        <v>0</v>
      </c>
      <c r="M267" t="n">
        <v>0</v>
      </c>
      <c r="N267" t="n">
        <v>0</v>
      </c>
      <c r="O267" t="n">
        <v>0</v>
      </c>
      <c r="P267" t="n">
        <v>0</v>
      </c>
      <c r="Q267" t="n">
        <v>0</v>
      </c>
      <c r="R267" s="2" t="inlineStr"/>
    </row>
    <row r="268" ht="15" customHeight="1">
      <c r="A268" t="inlineStr">
        <is>
          <t>A 35521-2023</t>
        </is>
      </c>
      <c r="B268" s="1" t="n">
        <v>45147.33251157407</v>
      </c>
      <c r="C268" s="1" t="n">
        <v>45886</v>
      </c>
      <c r="D268" t="inlineStr">
        <is>
          <t>DALARNAS LÄN</t>
        </is>
      </c>
      <c r="E268" t="inlineStr">
        <is>
          <t>MORA</t>
        </is>
      </c>
      <c r="G268" t="n">
        <v>3.7</v>
      </c>
      <c r="H268" t="n">
        <v>0</v>
      </c>
      <c r="I268" t="n">
        <v>0</v>
      </c>
      <c r="J268" t="n">
        <v>0</v>
      </c>
      <c r="K268" t="n">
        <v>0</v>
      </c>
      <c r="L268" t="n">
        <v>0</v>
      </c>
      <c r="M268" t="n">
        <v>0</v>
      </c>
      <c r="N268" t="n">
        <v>0</v>
      </c>
      <c r="O268" t="n">
        <v>0</v>
      </c>
      <c r="P268" t="n">
        <v>0</v>
      </c>
      <c r="Q268" t="n">
        <v>0</v>
      </c>
      <c r="R268" s="2" t="inlineStr"/>
    </row>
    <row r="269" ht="15" customHeight="1">
      <c r="A269" t="inlineStr">
        <is>
          <t>A 31112-2024</t>
        </is>
      </c>
      <c r="B269" s="1" t="n">
        <v>45502.55185185185</v>
      </c>
      <c r="C269" s="1" t="n">
        <v>45886</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34182-2025</t>
        </is>
      </c>
      <c r="B270" s="1" t="n">
        <v>45845.60520833333</v>
      </c>
      <c r="C270" s="1" t="n">
        <v>45886</v>
      </c>
      <c r="D270" t="inlineStr">
        <is>
          <t>DALARNAS LÄN</t>
        </is>
      </c>
      <c r="E270" t="inlineStr">
        <is>
          <t>MORA</t>
        </is>
      </c>
      <c r="G270" t="n">
        <v>3.4</v>
      </c>
      <c r="H270" t="n">
        <v>0</v>
      </c>
      <c r="I270" t="n">
        <v>0</v>
      </c>
      <c r="J270" t="n">
        <v>0</v>
      </c>
      <c r="K270" t="n">
        <v>0</v>
      </c>
      <c r="L270" t="n">
        <v>0</v>
      </c>
      <c r="M270" t="n">
        <v>0</v>
      </c>
      <c r="N270" t="n">
        <v>0</v>
      </c>
      <c r="O270" t="n">
        <v>0</v>
      </c>
      <c r="P270" t="n">
        <v>0</v>
      </c>
      <c r="Q270" t="n">
        <v>0</v>
      </c>
      <c r="R270" s="2" t="inlineStr"/>
    </row>
    <row r="271" ht="15" customHeight="1">
      <c r="A271" t="inlineStr">
        <is>
          <t>A 44205-2023</t>
        </is>
      </c>
      <c r="B271" s="1" t="n">
        <v>45188</v>
      </c>
      <c r="C271" s="1" t="n">
        <v>45886</v>
      </c>
      <c r="D271" t="inlineStr">
        <is>
          <t>DALARNAS LÄN</t>
        </is>
      </c>
      <c r="E271" t="inlineStr">
        <is>
          <t>MORA</t>
        </is>
      </c>
      <c r="G271" t="n">
        <v>0.7</v>
      </c>
      <c r="H271" t="n">
        <v>0</v>
      </c>
      <c r="I271" t="n">
        <v>0</v>
      </c>
      <c r="J271" t="n">
        <v>0</v>
      </c>
      <c r="K271" t="n">
        <v>0</v>
      </c>
      <c r="L271" t="n">
        <v>0</v>
      </c>
      <c r="M271" t="n">
        <v>0</v>
      </c>
      <c r="N271" t="n">
        <v>0</v>
      </c>
      <c r="O271" t="n">
        <v>0</v>
      </c>
      <c r="P271" t="n">
        <v>0</v>
      </c>
      <c r="Q271" t="n">
        <v>0</v>
      </c>
      <c r="R271" s="2" t="inlineStr"/>
    </row>
    <row r="272" ht="15" customHeight="1">
      <c r="A272" t="inlineStr">
        <is>
          <t>A 18444-2024</t>
        </is>
      </c>
      <c r="B272" s="1" t="n">
        <v>45425.45568287037</v>
      </c>
      <c r="C272" s="1" t="n">
        <v>45886</v>
      </c>
      <c r="D272" t="inlineStr">
        <is>
          <t>DALARNAS LÄN</t>
        </is>
      </c>
      <c r="E272" t="inlineStr">
        <is>
          <t>MORA</t>
        </is>
      </c>
      <c r="G272" t="n">
        <v>5</v>
      </c>
      <c r="H272" t="n">
        <v>0</v>
      </c>
      <c r="I272" t="n">
        <v>0</v>
      </c>
      <c r="J272" t="n">
        <v>0</v>
      </c>
      <c r="K272" t="n">
        <v>0</v>
      </c>
      <c r="L272" t="n">
        <v>0</v>
      </c>
      <c r="M272" t="n">
        <v>0</v>
      </c>
      <c r="N272" t="n">
        <v>0</v>
      </c>
      <c r="O272" t="n">
        <v>0</v>
      </c>
      <c r="P272" t="n">
        <v>0</v>
      </c>
      <c r="Q272" t="n">
        <v>0</v>
      </c>
      <c r="R272" s="2" t="inlineStr"/>
    </row>
    <row r="273" ht="15" customHeight="1">
      <c r="A273" t="inlineStr">
        <is>
          <t>A 51168-2024</t>
        </is>
      </c>
      <c r="B273" s="1" t="n">
        <v>45603.58619212963</v>
      </c>
      <c r="C273" s="1" t="n">
        <v>45886</v>
      </c>
      <c r="D273" t="inlineStr">
        <is>
          <t>DALARNAS LÄN</t>
        </is>
      </c>
      <c r="E273" t="inlineStr">
        <is>
          <t>MORA</t>
        </is>
      </c>
      <c r="G273" t="n">
        <v>3</v>
      </c>
      <c r="H273" t="n">
        <v>0</v>
      </c>
      <c r="I273" t="n">
        <v>0</v>
      </c>
      <c r="J273" t="n">
        <v>0</v>
      </c>
      <c r="K273" t="n">
        <v>0</v>
      </c>
      <c r="L273" t="n">
        <v>0</v>
      </c>
      <c r="M273" t="n">
        <v>0</v>
      </c>
      <c r="N273" t="n">
        <v>0</v>
      </c>
      <c r="O273" t="n">
        <v>0</v>
      </c>
      <c r="P273" t="n">
        <v>0</v>
      </c>
      <c r="Q273" t="n">
        <v>0</v>
      </c>
      <c r="R273" s="2" t="inlineStr"/>
    </row>
    <row r="274" ht="15" customHeight="1">
      <c r="A274" t="inlineStr">
        <is>
          <t>A 18214-2024</t>
        </is>
      </c>
      <c r="B274" s="1" t="n">
        <v>45420</v>
      </c>
      <c r="C274" s="1" t="n">
        <v>45886</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16522-2024</t>
        </is>
      </c>
      <c r="B275" s="1" t="n">
        <v>45408.41166666667</v>
      </c>
      <c r="C275" s="1" t="n">
        <v>45886</v>
      </c>
      <c r="D275" t="inlineStr">
        <is>
          <t>DALARNAS LÄN</t>
        </is>
      </c>
      <c r="E275" t="inlineStr">
        <is>
          <t>MORA</t>
        </is>
      </c>
      <c r="G275" t="n">
        <v>11.2</v>
      </c>
      <c r="H275" t="n">
        <v>0</v>
      </c>
      <c r="I275" t="n">
        <v>0</v>
      </c>
      <c r="J275" t="n">
        <v>0</v>
      </c>
      <c r="K275" t="n">
        <v>0</v>
      </c>
      <c r="L275" t="n">
        <v>0</v>
      </c>
      <c r="M275" t="n">
        <v>0</v>
      </c>
      <c r="N275" t="n">
        <v>0</v>
      </c>
      <c r="O275" t="n">
        <v>0</v>
      </c>
      <c r="P275" t="n">
        <v>0</v>
      </c>
      <c r="Q275" t="n">
        <v>0</v>
      </c>
      <c r="R275" s="2" t="inlineStr"/>
    </row>
    <row r="276" ht="15" customHeight="1">
      <c r="A276" t="inlineStr">
        <is>
          <t>A 55120-2024</t>
        </is>
      </c>
      <c r="B276" s="1" t="n">
        <v>45621.45765046297</v>
      </c>
      <c r="C276" s="1" t="n">
        <v>45886</v>
      </c>
      <c r="D276" t="inlineStr">
        <is>
          <t>DALARNAS LÄN</t>
        </is>
      </c>
      <c r="E276" t="inlineStr">
        <is>
          <t>MORA</t>
        </is>
      </c>
      <c r="G276" t="n">
        <v>1.9</v>
      </c>
      <c r="H276" t="n">
        <v>0</v>
      </c>
      <c r="I276" t="n">
        <v>0</v>
      </c>
      <c r="J276" t="n">
        <v>0</v>
      </c>
      <c r="K276" t="n">
        <v>0</v>
      </c>
      <c r="L276" t="n">
        <v>0</v>
      </c>
      <c r="M276" t="n">
        <v>0</v>
      </c>
      <c r="N276" t="n">
        <v>0</v>
      </c>
      <c r="O276" t="n">
        <v>0</v>
      </c>
      <c r="P276" t="n">
        <v>0</v>
      </c>
      <c r="Q276" t="n">
        <v>0</v>
      </c>
      <c r="R276" s="2" t="inlineStr"/>
    </row>
    <row r="277" ht="15" customHeight="1">
      <c r="A277" t="inlineStr">
        <is>
          <t>A 25737-2025</t>
        </is>
      </c>
      <c r="B277" s="1" t="n">
        <v>45800</v>
      </c>
      <c r="C277" s="1" t="n">
        <v>45886</v>
      </c>
      <c r="D277" t="inlineStr">
        <is>
          <t>DALARNAS LÄN</t>
        </is>
      </c>
      <c r="E277" t="inlineStr">
        <is>
          <t>MORA</t>
        </is>
      </c>
      <c r="G277" t="n">
        <v>9.6</v>
      </c>
      <c r="H277" t="n">
        <v>0</v>
      </c>
      <c r="I277" t="n">
        <v>0</v>
      </c>
      <c r="J277" t="n">
        <v>0</v>
      </c>
      <c r="K277" t="n">
        <v>0</v>
      </c>
      <c r="L277" t="n">
        <v>0</v>
      </c>
      <c r="M277" t="n">
        <v>0</v>
      </c>
      <c r="N277" t="n">
        <v>0</v>
      </c>
      <c r="O277" t="n">
        <v>0</v>
      </c>
      <c r="P277" t="n">
        <v>0</v>
      </c>
      <c r="Q277" t="n">
        <v>0</v>
      </c>
      <c r="R277" s="2" t="inlineStr"/>
    </row>
    <row r="278" ht="15" customHeight="1">
      <c r="A278" t="inlineStr">
        <is>
          <t>A 34005-2025</t>
        </is>
      </c>
      <c r="B278" s="1" t="n">
        <v>45844.58890046296</v>
      </c>
      <c r="C278" s="1" t="n">
        <v>45886</v>
      </c>
      <c r="D278" t="inlineStr">
        <is>
          <t>DALARNAS LÄN</t>
        </is>
      </c>
      <c r="E278" t="inlineStr">
        <is>
          <t>MORA</t>
        </is>
      </c>
      <c r="G278" t="n">
        <v>7.2</v>
      </c>
      <c r="H278" t="n">
        <v>0</v>
      </c>
      <c r="I278" t="n">
        <v>0</v>
      </c>
      <c r="J278" t="n">
        <v>0</v>
      </c>
      <c r="K278" t="n">
        <v>0</v>
      </c>
      <c r="L278" t="n">
        <v>0</v>
      </c>
      <c r="M278" t="n">
        <v>0</v>
      </c>
      <c r="N278" t="n">
        <v>0</v>
      </c>
      <c r="O278" t="n">
        <v>0</v>
      </c>
      <c r="P278" t="n">
        <v>0</v>
      </c>
      <c r="Q278" t="n">
        <v>0</v>
      </c>
      <c r="R278" s="2" t="inlineStr"/>
    </row>
    <row r="279" ht="15" customHeight="1">
      <c r="A279" t="inlineStr">
        <is>
          <t>A 43873-2024</t>
        </is>
      </c>
      <c r="B279" s="1" t="n">
        <v>45572.38429398148</v>
      </c>
      <c r="C279" s="1" t="n">
        <v>45886</v>
      </c>
      <c r="D279" t="inlineStr">
        <is>
          <t>DALARNAS LÄN</t>
        </is>
      </c>
      <c r="E279" t="inlineStr">
        <is>
          <t>MORA</t>
        </is>
      </c>
      <c r="G279" t="n">
        <v>4.1</v>
      </c>
      <c r="H279" t="n">
        <v>0</v>
      </c>
      <c r="I279" t="n">
        <v>0</v>
      </c>
      <c r="J279" t="n">
        <v>0</v>
      </c>
      <c r="K279" t="n">
        <v>0</v>
      </c>
      <c r="L279" t="n">
        <v>0</v>
      </c>
      <c r="M279" t="n">
        <v>0</v>
      </c>
      <c r="N279" t="n">
        <v>0</v>
      </c>
      <c r="O279" t="n">
        <v>0</v>
      </c>
      <c r="P279" t="n">
        <v>0</v>
      </c>
      <c r="Q279" t="n">
        <v>0</v>
      </c>
      <c r="R279" s="2" t="inlineStr"/>
    </row>
    <row r="280" ht="15" customHeight="1">
      <c r="A280" t="inlineStr">
        <is>
          <t>A 18992-2024</t>
        </is>
      </c>
      <c r="B280" s="1" t="n">
        <v>45427.61516203704</v>
      </c>
      <c r="C280" s="1" t="n">
        <v>45886</v>
      </c>
      <c r="D280" t="inlineStr">
        <is>
          <t>DALARNAS LÄN</t>
        </is>
      </c>
      <c r="E280" t="inlineStr">
        <is>
          <t>MORA</t>
        </is>
      </c>
      <c r="G280" t="n">
        <v>9.9</v>
      </c>
      <c r="H280" t="n">
        <v>0</v>
      </c>
      <c r="I280" t="n">
        <v>0</v>
      </c>
      <c r="J280" t="n">
        <v>0</v>
      </c>
      <c r="K280" t="n">
        <v>0</v>
      </c>
      <c r="L280" t="n">
        <v>0</v>
      </c>
      <c r="M280" t="n">
        <v>0</v>
      </c>
      <c r="N280" t="n">
        <v>0</v>
      </c>
      <c r="O280" t="n">
        <v>0</v>
      </c>
      <c r="P280" t="n">
        <v>0</v>
      </c>
      <c r="Q280" t="n">
        <v>0</v>
      </c>
      <c r="R280" s="2" t="inlineStr"/>
    </row>
    <row r="281" ht="15" customHeight="1">
      <c r="A281" t="inlineStr">
        <is>
          <t>A 34382-2025</t>
        </is>
      </c>
      <c r="B281" s="1" t="n">
        <v>45846</v>
      </c>
      <c r="C281" s="1" t="n">
        <v>45886</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60673-2023</t>
        </is>
      </c>
      <c r="B282" s="1" t="n">
        <v>45260.46438657407</v>
      </c>
      <c r="C282" s="1" t="n">
        <v>45886</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46152-2023</t>
        </is>
      </c>
      <c r="B283" s="1" t="n">
        <v>45196.58278935185</v>
      </c>
      <c r="C283" s="1" t="n">
        <v>45886</v>
      </c>
      <c r="D283" t="inlineStr">
        <is>
          <t>DALARNAS LÄN</t>
        </is>
      </c>
      <c r="E283" t="inlineStr">
        <is>
          <t>MORA</t>
        </is>
      </c>
      <c r="G283" t="n">
        <v>2</v>
      </c>
      <c r="H283" t="n">
        <v>0</v>
      </c>
      <c r="I283" t="n">
        <v>0</v>
      </c>
      <c r="J283" t="n">
        <v>0</v>
      </c>
      <c r="K283" t="n">
        <v>0</v>
      </c>
      <c r="L283" t="n">
        <v>0</v>
      </c>
      <c r="M283" t="n">
        <v>0</v>
      </c>
      <c r="N283" t="n">
        <v>0</v>
      </c>
      <c r="O283" t="n">
        <v>0</v>
      </c>
      <c r="P283" t="n">
        <v>0</v>
      </c>
      <c r="Q283" t="n">
        <v>0</v>
      </c>
      <c r="R283" s="2" t="inlineStr"/>
    </row>
    <row r="284" ht="15" customHeight="1">
      <c r="A284" t="inlineStr">
        <is>
          <t>A 34482-2025</t>
        </is>
      </c>
      <c r="B284" s="1" t="n">
        <v>45847.38469907407</v>
      </c>
      <c r="C284" s="1" t="n">
        <v>45886</v>
      </c>
      <c r="D284" t="inlineStr">
        <is>
          <t>DALARNAS LÄN</t>
        </is>
      </c>
      <c r="E284" t="inlineStr">
        <is>
          <t>MORA</t>
        </is>
      </c>
      <c r="G284" t="n">
        <v>1.5</v>
      </c>
      <c r="H284" t="n">
        <v>0</v>
      </c>
      <c r="I284" t="n">
        <v>0</v>
      </c>
      <c r="J284" t="n">
        <v>0</v>
      </c>
      <c r="K284" t="n">
        <v>0</v>
      </c>
      <c r="L284" t="n">
        <v>0</v>
      </c>
      <c r="M284" t="n">
        <v>0</v>
      </c>
      <c r="N284" t="n">
        <v>0</v>
      </c>
      <c r="O284" t="n">
        <v>0</v>
      </c>
      <c r="P284" t="n">
        <v>0</v>
      </c>
      <c r="Q284" t="n">
        <v>0</v>
      </c>
      <c r="R284" s="2" t="inlineStr"/>
    </row>
    <row r="285" ht="15" customHeight="1">
      <c r="A285" t="inlineStr">
        <is>
          <t>A 34715-2025</t>
        </is>
      </c>
      <c r="B285" s="1" t="n">
        <v>45848.52225694444</v>
      </c>
      <c r="C285" s="1" t="n">
        <v>45886</v>
      </c>
      <c r="D285" t="inlineStr">
        <is>
          <t>DALARNAS LÄN</t>
        </is>
      </c>
      <c r="E285" t="inlineStr">
        <is>
          <t>MORA</t>
        </is>
      </c>
      <c r="G285" t="n">
        <v>8.5</v>
      </c>
      <c r="H285" t="n">
        <v>0</v>
      </c>
      <c r="I285" t="n">
        <v>0</v>
      </c>
      <c r="J285" t="n">
        <v>0</v>
      </c>
      <c r="K285" t="n">
        <v>0</v>
      </c>
      <c r="L285" t="n">
        <v>0</v>
      </c>
      <c r="M285" t="n">
        <v>0</v>
      </c>
      <c r="N285" t="n">
        <v>0</v>
      </c>
      <c r="O285" t="n">
        <v>0</v>
      </c>
      <c r="P285" t="n">
        <v>0</v>
      </c>
      <c r="Q285" t="n">
        <v>0</v>
      </c>
      <c r="R285" s="2" t="inlineStr"/>
    </row>
    <row r="286" ht="15" customHeight="1">
      <c r="A286" t="inlineStr">
        <is>
          <t>A 60847-2021</t>
        </is>
      </c>
      <c r="B286" s="1" t="n">
        <v>44497</v>
      </c>
      <c r="C286" s="1" t="n">
        <v>45886</v>
      </c>
      <c r="D286" t="inlineStr">
        <is>
          <t>DALARNAS LÄN</t>
        </is>
      </c>
      <c r="E286" t="inlineStr">
        <is>
          <t>MORA</t>
        </is>
      </c>
      <c r="G286" t="n">
        <v>1</v>
      </c>
      <c r="H286" t="n">
        <v>0</v>
      </c>
      <c r="I286" t="n">
        <v>0</v>
      </c>
      <c r="J286" t="n">
        <v>0</v>
      </c>
      <c r="K286" t="n">
        <v>0</v>
      </c>
      <c r="L286" t="n">
        <v>0</v>
      </c>
      <c r="M286" t="n">
        <v>0</v>
      </c>
      <c r="N286" t="n">
        <v>0</v>
      </c>
      <c r="O286" t="n">
        <v>0</v>
      </c>
      <c r="P286" t="n">
        <v>0</v>
      </c>
      <c r="Q286" t="n">
        <v>0</v>
      </c>
      <c r="R286" s="2" t="inlineStr"/>
    </row>
    <row r="287" ht="15" customHeight="1">
      <c r="A287" t="inlineStr">
        <is>
          <t>A 42035-2022</t>
        </is>
      </c>
      <c r="B287" s="1" t="n">
        <v>44830</v>
      </c>
      <c r="C287" s="1" t="n">
        <v>45886</v>
      </c>
      <c r="D287" t="inlineStr">
        <is>
          <t>DALARNAS LÄN</t>
        </is>
      </c>
      <c r="E287" t="inlineStr">
        <is>
          <t>MORA</t>
        </is>
      </c>
      <c r="G287" t="n">
        <v>2.7</v>
      </c>
      <c r="H287" t="n">
        <v>0</v>
      </c>
      <c r="I287" t="n">
        <v>0</v>
      </c>
      <c r="J287" t="n">
        <v>0</v>
      </c>
      <c r="K287" t="n">
        <v>0</v>
      </c>
      <c r="L287" t="n">
        <v>0</v>
      </c>
      <c r="M287" t="n">
        <v>0</v>
      </c>
      <c r="N287" t="n">
        <v>0</v>
      </c>
      <c r="O287" t="n">
        <v>0</v>
      </c>
      <c r="P287" t="n">
        <v>0</v>
      </c>
      <c r="Q287" t="n">
        <v>0</v>
      </c>
      <c r="R287" s="2" t="inlineStr"/>
    </row>
    <row r="288" ht="15" customHeight="1">
      <c r="A288" t="inlineStr">
        <is>
          <t>A 32410-2024</t>
        </is>
      </c>
      <c r="B288" s="1" t="n">
        <v>45512.70077546296</v>
      </c>
      <c r="C288" s="1" t="n">
        <v>45886</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26647-2025</t>
        </is>
      </c>
      <c r="B289" s="1" t="n">
        <v>45810.38439814815</v>
      </c>
      <c r="C289" s="1" t="n">
        <v>45886</v>
      </c>
      <c r="D289" t="inlineStr">
        <is>
          <t>DALARNAS LÄN</t>
        </is>
      </c>
      <c r="E289" t="inlineStr">
        <is>
          <t>MORA</t>
        </is>
      </c>
      <c r="G289" t="n">
        <v>7.9</v>
      </c>
      <c r="H289" t="n">
        <v>0</v>
      </c>
      <c r="I289" t="n">
        <v>0</v>
      </c>
      <c r="J289" t="n">
        <v>0</v>
      </c>
      <c r="K289" t="n">
        <v>0</v>
      </c>
      <c r="L289" t="n">
        <v>0</v>
      </c>
      <c r="M289" t="n">
        <v>0</v>
      </c>
      <c r="N289" t="n">
        <v>0</v>
      </c>
      <c r="O289" t="n">
        <v>0</v>
      </c>
      <c r="P289" t="n">
        <v>0</v>
      </c>
      <c r="Q289" t="n">
        <v>0</v>
      </c>
      <c r="R289" s="2" t="inlineStr"/>
    </row>
    <row r="290" ht="15" customHeight="1">
      <c r="A290" t="inlineStr">
        <is>
          <t>A 32721-2024</t>
        </is>
      </c>
      <c r="B290" s="1" t="n">
        <v>45516.40261574074</v>
      </c>
      <c r="C290" s="1" t="n">
        <v>45886</v>
      </c>
      <c r="D290" t="inlineStr">
        <is>
          <t>DALARNAS LÄN</t>
        </is>
      </c>
      <c r="E290" t="inlineStr">
        <is>
          <t>MORA</t>
        </is>
      </c>
      <c r="G290" t="n">
        <v>4.2</v>
      </c>
      <c r="H290" t="n">
        <v>0</v>
      </c>
      <c r="I290" t="n">
        <v>0</v>
      </c>
      <c r="J290" t="n">
        <v>0</v>
      </c>
      <c r="K290" t="n">
        <v>0</v>
      </c>
      <c r="L290" t="n">
        <v>0</v>
      </c>
      <c r="M290" t="n">
        <v>0</v>
      </c>
      <c r="N290" t="n">
        <v>0</v>
      </c>
      <c r="O290" t="n">
        <v>0</v>
      </c>
      <c r="P290" t="n">
        <v>0</v>
      </c>
      <c r="Q290" t="n">
        <v>0</v>
      </c>
      <c r="R290" s="2" t="inlineStr"/>
    </row>
    <row r="291" ht="15" customHeight="1">
      <c r="A291" t="inlineStr">
        <is>
          <t>A 56425-2024</t>
        </is>
      </c>
      <c r="B291" s="1" t="n">
        <v>45625.38677083333</v>
      </c>
      <c r="C291" s="1" t="n">
        <v>45886</v>
      </c>
      <c r="D291" t="inlineStr">
        <is>
          <t>DALARNAS LÄN</t>
        </is>
      </c>
      <c r="E291" t="inlineStr">
        <is>
          <t>MORA</t>
        </is>
      </c>
      <c r="G291" t="n">
        <v>2.1</v>
      </c>
      <c r="H291" t="n">
        <v>0</v>
      </c>
      <c r="I291" t="n">
        <v>0</v>
      </c>
      <c r="J291" t="n">
        <v>0</v>
      </c>
      <c r="K291" t="n">
        <v>0</v>
      </c>
      <c r="L291" t="n">
        <v>0</v>
      </c>
      <c r="M291" t="n">
        <v>0</v>
      </c>
      <c r="N291" t="n">
        <v>0</v>
      </c>
      <c r="O291" t="n">
        <v>0</v>
      </c>
      <c r="P291" t="n">
        <v>0</v>
      </c>
      <c r="Q291" t="n">
        <v>0</v>
      </c>
      <c r="R291" s="2" t="inlineStr"/>
    </row>
    <row r="292" ht="15" customHeight="1">
      <c r="A292" t="inlineStr">
        <is>
          <t>A 36038-2024</t>
        </is>
      </c>
      <c r="B292" s="1" t="n">
        <v>45533</v>
      </c>
      <c r="C292" s="1" t="n">
        <v>45886</v>
      </c>
      <c r="D292" t="inlineStr">
        <is>
          <t>DALARNAS LÄN</t>
        </is>
      </c>
      <c r="E292" t="inlineStr">
        <is>
          <t>MORA</t>
        </is>
      </c>
      <c r="G292" t="n">
        <v>5.1</v>
      </c>
      <c r="H292" t="n">
        <v>0</v>
      </c>
      <c r="I292" t="n">
        <v>0</v>
      </c>
      <c r="J292" t="n">
        <v>0</v>
      </c>
      <c r="K292" t="n">
        <v>0</v>
      </c>
      <c r="L292" t="n">
        <v>0</v>
      </c>
      <c r="M292" t="n">
        <v>0</v>
      </c>
      <c r="N292" t="n">
        <v>0</v>
      </c>
      <c r="O292" t="n">
        <v>0</v>
      </c>
      <c r="P292" t="n">
        <v>0</v>
      </c>
      <c r="Q292" t="n">
        <v>0</v>
      </c>
      <c r="R292" s="2" t="inlineStr"/>
    </row>
    <row r="293" ht="15" customHeight="1">
      <c r="A293" t="inlineStr">
        <is>
          <t>A 30819-2024</t>
        </is>
      </c>
      <c r="B293" s="1" t="n">
        <v>45497</v>
      </c>
      <c r="C293" s="1" t="n">
        <v>45886</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5980-2025</t>
        </is>
      </c>
      <c r="B294" s="1" t="n">
        <v>45695.54651620371</v>
      </c>
      <c r="C294" s="1" t="n">
        <v>45886</v>
      </c>
      <c r="D294" t="inlineStr">
        <is>
          <t>DALARNAS LÄN</t>
        </is>
      </c>
      <c r="E294" t="inlineStr">
        <is>
          <t>MORA</t>
        </is>
      </c>
      <c r="G294" t="n">
        <v>2.7</v>
      </c>
      <c r="H294" t="n">
        <v>0</v>
      </c>
      <c r="I294" t="n">
        <v>0</v>
      </c>
      <c r="J294" t="n">
        <v>0</v>
      </c>
      <c r="K294" t="n">
        <v>0</v>
      </c>
      <c r="L294" t="n">
        <v>0</v>
      </c>
      <c r="M294" t="n">
        <v>0</v>
      </c>
      <c r="N294" t="n">
        <v>0</v>
      </c>
      <c r="O294" t="n">
        <v>0</v>
      </c>
      <c r="P294" t="n">
        <v>0</v>
      </c>
      <c r="Q294" t="n">
        <v>0</v>
      </c>
      <c r="R294" s="2" t="inlineStr"/>
    </row>
    <row r="295" ht="15" customHeight="1">
      <c r="A295" t="inlineStr">
        <is>
          <t>A 9599-2022</t>
        </is>
      </c>
      <c r="B295" s="1" t="n">
        <v>44617.48909722222</v>
      </c>
      <c r="C295" s="1" t="n">
        <v>45886</v>
      </c>
      <c r="D295" t="inlineStr">
        <is>
          <t>DALARNAS LÄN</t>
        </is>
      </c>
      <c r="E295" t="inlineStr">
        <is>
          <t>MORA</t>
        </is>
      </c>
      <c r="G295" t="n">
        <v>2.1</v>
      </c>
      <c r="H295" t="n">
        <v>0</v>
      </c>
      <c r="I295" t="n">
        <v>0</v>
      </c>
      <c r="J295" t="n">
        <v>0</v>
      </c>
      <c r="K295" t="n">
        <v>0</v>
      </c>
      <c r="L295" t="n">
        <v>0</v>
      </c>
      <c r="M295" t="n">
        <v>0</v>
      </c>
      <c r="N295" t="n">
        <v>0</v>
      </c>
      <c r="O295" t="n">
        <v>0</v>
      </c>
      <c r="P295" t="n">
        <v>0</v>
      </c>
      <c r="Q295" t="n">
        <v>0</v>
      </c>
      <c r="R295" s="2" t="inlineStr"/>
    </row>
    <row r="296" ht="15" customHeight="1">
      <c r="A296" t="inlineStr">
        <is>
          <t>A 51883-2024</t>
        </is>
      </c>
      <c r="B296" s="1" t="n">
        <v>45607</v>
      </c>
      <c r="C296" s="1" t="n">
        <v>45886</v>
      </c>
      <c r="D296" t="inlineStr">
        <is>
          <t>DALARNAS LÄN</t>
        </is>
      </c>
      <c r="E296" t="inlineStr">
        <is>
          <t>MORA</t>
        </is>
      </c>
      <c r="G296" t="n">
        <v>0.2</v>
      </c>
      <c r="H296" t="n">
        <v>0</v>
      </c>
      <c r="I296" t="n">
        <v>0</v>
      </c>
      <c r="J296" t="n">
        <v>0</v>
      </c>
      <c r="K296" t="n">
        <v>0</v>
      </c>
      <c r="L296" t="n">
        <v>0</v>
      </c>
      <c r="M296" t="n">
        <v>0</v>
      </c>
      <c r="N296" t="n">
        <v>0</v>
      </c>
      <c r="O296" t="n">
        <v>0</v>
      </c>
      <c r="P296" t="n">
        <v>0</v>
      </c>
      <c r="Q296" t="n">
        <v>0</v>
      </c>
      <c r="R296" s="2" t="inlineStr"/>
    </row>
    <row r="297" ht="15" customHeight="1">
      <c r="A297" t="inlineStr">
        <is>
          <t>A 51888-2024</t>
        </is>
      </c>
      <c r="B297" s="1" t="n">
        <v>45607.57142361111</v>
      </c>
      <c r="C297" s="1" t="n">
        <v>45886</v>
      </c>
      <c r="D297" t="inlineStr">
        <is>
          <t>DALARNAS LÄN</t>
        </is>
      </c>
      <c r="E297" t="inlineStr">
        <is>
          <t>MORA</t>
        </is>
      </c>
      <c r="G297" t="n">
        <v>0.9</v>
      </c>
      <c r="H297" t="n">
        <v>0</v>
      </c>
      <c r="I297" t="n">
        <v>0</v>
      </c>
      <c r="J297" t="n">
        <v>0</v>
      </c>
      <c r="K297" t="n">
        <v>0</v>
      </c>
      <c r="L297" t="n">
        <v>0</v>
      </c>
      <c r="M297" t="n">
        <v>0</v>
      </c>
      <c r="N297" t="n">
        <v>0</v>
      </c>
      <c r="O297" t="n">
        <v>0</v>
      </c>
      <c r="P297" t="n">
        <v>0</v>
      </c>
      <c r="Q297" t="n">
        <v>0</v>
      </c>
      <c r="R297" s="2" t="inlineStr"/>
    </row>
    <row r="298" ht="15" customHeight="1">
      <c r="A298" t="inlineStr">
        <is>
          <t>A 30194-2024</t>
        </is>
      </c>
      <c r="B298" s="1" t="n">
        <v>45490.33387731481</v>
      </c>
      <c r="C298" s="1" t="n">
        <v>45886</v>
      </c>
      <c r="D298" t="inlineStr">
        <is>
          <t>DALARNAS LÄN</t>
        </is>
      </c>
      <c r="E298" t="inlineStr">
        <is>
          <t>MORA</t>
        </is>
      </c>
      <c r="G298" t="n">
        <v>3.1</v>
      </c>
      <c r="H298" t="n">
        <v>0</v>
      </c>
      <c r="I298" t="n">
        <v>0</v>
      </c>
      <c r="J298" t="n">
        <v>0</v>
      </c>
      <c r="K298" t="n">
        <v>0</v>
      </c>
      <c r="L298" t="n">
        <v>0</v>
      </c>
      <c r="M298" t="n">
        <v>0</v>
      </c>
      <c r="N298" t="n">
        <v>0</v>
      </c>
      <c r="O298" t="n">
        <v>0</v>
      </c>
      <c r="P298" t="n">
        <v>0</v>
      </c>
      <c r="Q298" t="n">
        <v>0</v>
      </c>
      <c r="R298" s="2" t="inlineStr"/>
    </row>
    <row r="299" ht="15" customHeight="1">
      <c r="A299" t="inlineStr">
        <is>
          <t>A 26546-2025</t>
        </is>
      </c>
      <c r="B299" s="1" t="n">
        <v>45807</v>
      </c>
      <c r="C299" s="1" t="n">
        <v>45886</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26573-2025</t>
        </is>
      </c>
      <c r="B300" s="1" t="n">
        <v>45807</v>
      </c>
      <c r="C300" s="1" t="n">
        <v>45886</v>
      </c>
      <c r="D300" t="inlineStr">
        <is>
          <t>DALARNAS LÄN</t>
        </is>
      </c>
      <c r="E300" t="inlineStr">
        <is>
          <t>MORA</t>
        </is>
      </c>
      <c r="G300" t="n">
        <v>4.3</v>
      </c>
      <c r="H300" t="n">
        <v>0</v>
      </c>
      <c r="I300" t="n">
        <v>0</v>
      </c>
      <c r="J300" t="n">
        <v>0</v>
      </c>
      <c r="K300" t="n">
        <v>0</v>
      </c>
      <c r="L300" t="n">
        <v>0</v>
      </c>
      <c r="M300" t="n">
        <v>0</v>
      </c>
      <c r="N300" t="n">
        <v>0</v>
      </c>
      <c r="O300" t="n">
        <v>0</v>
      </c>
      <c r="P300" t="n">
        <v>0</v>
      </c>
      <c r="Q300" t="n">
        <v>0</v>
      </c>
      <c r="R300" s="2" t="inlineStr"/>
    </row>
    <row r="301" ht="15" customHeight="1">
      <c r="A301" t="inlineStr">
        <is>
          <t>A 26532-2025</t>
        </is>
      </c>
      <c r="B301" s="1" t="n">
        <v>45807</v>
      </c>
      <c r="C301" s="1" t="n">
        <v>45886</v>
      </c>
      <c r="D301" t="inlineStr">
        <is>
          <t>DALARNAS LÄN</t>
        </is>
      </c>
      <c r="E301" t="inlineStr">
        <is>
          <t>MORA</t>
        </is>
      </c>
      <c r="G301" t="n">
        <v>4.4</v>
      </c>
      <c r="H301" t="n">
        <v>0</v>
      </c>
      <c r="I301" t="n">
        <v>0</v>
      </c>
      <c r="J301" t="n">
        <v>0</v>
      </c>
      <c r="K301" t="n">
        <v>0</v>
      </c>
      <c r="L301" t="n">
        <v>0</v>
      </c>
      <c r="M301" t="n">
        <v>0</v>
      </c>
      <c r="N301" t="n">
        <v>0</v>
      </c>
      <c r="O301" t="n">
        <v>0</v>
      </c>
      <c r="P301" t="n">
        <v>0</v>
      </c>
      <c r="Q301" t="n">
        <v>0</v>
      </c>
      <c r="R301" s="2" t="inlineStr"/>
    </row>
    <row r="302" ht="15" customHeight="1">
      <c r="A302" t="inlineStr">
        <is>
          <t>A 26545-2025</t>
        </is>
      </c>
      <c r="B302" s="1" t="n">
        <v>45807</v>
      </c>
      <c r="C302" s="1" t="n">
        <v>45886</v>
      </c>
      <c r="D302" t="inlineStr">
        <is>
          <t>DALARNAS LÄN</t>
        </is>
      </c>
      <c r="E302" t="inlineStr">
        <is>
          <t>MORA</t>
        </is>
      </c>
      <c r="G302" t="n">
        <v>1.3</v>
      </c>
      <c r="H302" t="n">
        <v>0</v>
      </c>
      <c r="I302" t="n">
        <v>0</v>
      </c>
      <c r="J302" t="n">
        <v>0</v>
      </c>
      <c r="K302" t="n">
        <v>0</v>
      </c>
      <c r="L302" t="n">
        <v>0</v>
      </c>
      <c r="M302" t="n">
        <v>0</v>
      </c>
      <c r="N302" t="n">
        <v>0</v>
      </c>
      <c r="O302" t="n">
        <v>0</v>
      </c>
      <c r="P302" t="n">
        <v>0</v>
      </c>
      <c r="Q302" t="n">
        <v>0</v>
      </c>
      <c r="R302" s="2" t="inlineStr"/>
    </row>
    <row r="303" ht="15" customHeight="1">
      <c r="A303" t="inlineStr">
        <is>
          <t>A 20885-2024</t>
        </is>
      </c>
      <c r="B303" s="1" t="n">
        <v>45439.45527777778</v>
      </c>
      <c r="C303" s="1" t="n">
        <v>45886</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47143-2022</t>
        </is>
      </c>
      <c r="B304" s="1" t="n">
        <v>44852</v>
      </c>
      <c r="C304" s="1" t="n">
        <v>45886</v>
      </c>
      <c r="D304" t="inlineStr">
        <is>
          <t>DALARNAS LÄN</t>
        </is>
      </c>
      <c r="E304" t="inlineStr">
        <is>
          <t>MORA</t>
        </is>
      </c>
      <c r="G304" t="n">
        <v>3.9</v>
      </c>
      <c r="H304" t="n">
        <v>0</v>
      </c>
      <c r="I304" t="n">
        <v>0</v>
      </c>
      <c r="J304" t="n">
        <v>0</v>
      </c>
      <c r="K304" t="n">
        <v>0</v>
      </c>
      <c r="L304" t="n">
        <v>0</v>
      </c>
      <c r="M304" t="n">
        <v>0</v>
      </c>
      <c r="N304" t="n">
        <v>0</v>
      </c>
      <c r="O304" t="n">
        <v>0</v>
      </c>
      <c r="P304" t="n">
        <v>0</v>
      </c>
      <c r="Q304" t="n">
        <v>0</v>
      </c>
      <c r="R304" s="2" t="inlineStr"/>
    </row>
    <row r="305" ht="15" customHeight="1">
      <c r="A305" t="inlineStr">
        <is>
          <t>A 3430-2023</t>
        </is>
      </c>
      <c r="B305" s="1" t="n">
        <v>44949.57856481482</v>
      </c>
      <c r="C305" s="1" t="n">
        <v>45886</v>
      </c>
      <c r="D305" t="inlineStr">
        <is>
          <t>DALARNAS LÄN</t>
        </is>
      </c>
      <c r="E305" t="inlineStr">
        <is>
          <t>MORA</t>
        </is>
      </c>
      <c r="G305" t="n">
        <v>2.6</v>
      </c>
      <c r="H305" t="n">
        <v>0</v>
      </c>
      <c r="I305" t="n">
        <v>0</v>
      </c>
      <c r="J305" t="n">
        <v>0</v>
      </c>
      <c r="K305" t="n">
        <v>0</v>
      </c>
      <c r="L305" t="n">
        <v>0</v>
      </c>
      <c r="M305" t="n">
        <v>0</v>
      </c>
      <c r="N305" t="n">
        <v>0</v>
      </c>
      <c r="O305" t="n">
        <v>0</v>
      </c>
      <c r="P305" t="n">
        <v>0</v>
      </c>
      <c r="Q305" t="n">
        <v>0</v>
      </c>
      <c r="R305" s="2" t="inlineStr"/>
    </row>
    <row r="306" ht="15" customHeight="1">
      <c r="A306" t="inlineStr">
        <is>
          <t>A 38627-2023</t>
        </is>
      </c>
      <c r="B306" s="1" t="n">
        <v>45162.68787037037</v>
      </c>
      <c r="C306" s="1" t="n">
        <v>45886</v>
      </c>
      <c r="D306" t="inlineStr">
        <is>
          <t>DALARNAS LÄN</t>
        </is>
      </c>
      <c r="E306" t="inlineStr">
        <is>
          <t>MORA</t>
        </is>
      </c>
      <c r="G306" t="n">
        <v>6.5</v>
      </c>
      <c r="H306" t="n">
        <v>0</v>
      </c>
      <c r="I306" t="n">
        <v>0</v>
      </c>
      <c r="J306" t="n">
        <v>0</v>
      </c>
      <c r="K306" t="n">
        <v>0</v>
      </c>
      <c r="L306" t="n">
        <v>0</v>
      </c>
      <c r="M306" t="n">
        <v>0</v>
      </c>
      <c r="N306" t="n">
        <v>0</v>
      </c>
      <c r="O306" t="n">
        <v>0</v>
      </c>
      <c r="P306" t="n">
        <v>0</v>
      </c>
      <c r="Q306" t="n">
        <v>0</v>
      </c>
      <c r="R306" s="2" t="inlineStr"/>
    </row>
    <row r="307" ht="15" customHeight="1">
      <c r="A307" t="inlineStr">
        <is>
          <t>A 16637-2025</t>
        </is>
      </c>
      <c r="B307" s="1" t="n">
        <v>45754.36738425926</v>
      </c>
      <c r="C307" s="1" t="n">
        <v>45886</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48570-2022</t>
        </is>
      </c>
      <c r="B308" s="1" t="n">
        <v>44859</v>
      </c>
      <c r="C308" s="1" t="n">
        <v>45886</v>
      </c>
      <c r="D308" t="inlineStr">
        <is>
          <t>DALARNAS LÄN</t>
        </is>
      </c>
      <c r="E308" t="inlineStr">
        <is>
          <t>MORA</t>
        </is>
      </c>
      <c r="G308" t="n">
        <v>6.2</v>
      </c>
      <c r="H308" t="n">
        <v>0</v>
      </c>
      <c r="I308" t="n">
        <v>0</v>
      </c>
      <c r="J308" t="n">
        <v>0</v>
      </c>
      <c r="K308" t="n">
        <v>0</v>
      </c>
      <c r="L308" t="n">
        <v>0</v>
      </c>
      <c r="M308" t="n">
        <v>0</v>
      </c>
      <c r="N308" t="n">
        <v>0</v>
      </c>
      <c r="O308" t="n">
        <v>0</v>
      </c>
      <c r="P308" t="n">
        <v>0</v>
      </c>
      <c r="Q308" t="n">
        <v>0</v>
      </c>
      <c r="R308" s="2" t="inlineStr"/>
    </row>
    <row r="309" ht="15" customHeight="1">
      <c r="A309" t="inlineStr">
        <is>
          <t>A 49991-2023</t>
        </is>
      </c>
      <c r="B309" s="1" t="n">
        <v>45215.43879629629</v>
      </c>
      <c r="C309" s="1" t="n">
        <v>45886</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62268-2020</t>
        </is>
      </c>
      <c r="B310" s="1" t="n">
        <v>44160</v>
      </c>
      <c r="C310" s="1" t="n">
        <v>45886</v>
      </c>
      <c r="D310" t="inlineStr">
        <is>
          <t>DALARNAS LÄN</t>
        </is>
      </c>
      <c r="E310" t="inlineStr">
        <is>
          <t>MORA</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34282-2024</t>
        </is>
      </c>
      <c r="B311" s="1" t="n">
        <v>45524.62600694445</v>
      </c>
      <c r="C311" s="1" t="n">
        <v>45886</v>
      </c>
      <c r="D311" t="inlineStr">
        <is>
          <t>DALARNAS LÄN</t>
        </is>
      </c>
      <c r="E311" t="inlineStr">
        <is>
          <t>MORA</t>
        </is>
      </c>
      <c r="G311" t="n">
        <v>0.5</v>
      </c>
      <c r="H311" t="n">
        <v>0</v>
      </c>
      <c r="I311" t="n">
        <v>0</v>
      </c>
      <c r="J311" t="n">
        <v>0</v>
      </c>
      <c r="K311" t="n">
        <v>0</v>
      </c>
      <c r="L311" t="n">
        <v>0</v>
      </c>
      <c r="M311" t="n">
        <v>0</v>
      </c>
      <c r="N311" t="n">
        <v>0</v>
      </c>
      <c r="O311" t="n">
        <v>0</v>
      </c>
      <c r="P311" t="n">
        <v>0</v>
      </c>
      <c r="Q311" t="n">
        <v>0</v>
      </c>
      <c r="R311" s="2" t="inlineStr"/>
    </row>
    <row r="312" ht="15" customHeight="1">
      <c r="A312" t="inlineStr">
        <is>
          <t>A 20401-2022</t>
        </is>
      </c>
      <c r="B312" s="1" t="n">
        <v>44699</v>
      </c>
      <c r="C312" s="1" t="n">
        <v>45886</v>
      </c>
      <c r="D312" t="inlineStr">
        <is>
          <t>DALARNAS LÄN</t>
        </is>
      </c>
      <c r="E312" t="inlineStr">
        <is>
          <t>MORA</t>
        </is>
      </c>
      <c r="G312" t="n">
        <v>3.2</v>
      </c>
      <c r="H312" t="n">
        <v>0</v>
      </c>
      <c r="I312" t="n">
        <v>0</v>
      </c>
      <c r="J312" t="n">
        <v>0</v>
      </c>
      <c r="K312" t="n">
        <v>0</v>
      </c>
      <c r="L312" t="n">
        <v>0</v>
      </c>
      <c r="M312" t="n">
        <v>0</v>
      </c>
      <c r="N312" t="n">
        <v>0</v>
      </c>
      <c r="O312" t="n">
        <v>0</v>
      </c>
      <c r="P312" t="n">
        <v>0</v>
      </c>
      <c r="Q312" t="n">
        <v>0</v>
      </c>
      <c r="R312" s="2" t="inlineStr"/>
    </row>
    <row r="313" ht="15" customHeight="1">
      <c r="A313" t="inlineStr">
        <is>
          <t>A 18120-2025</t>
        </is>
      </c>
      <c r="B313" s="1" t="n">
        <v>45761</v>
      </c>
      <c r="C313" s="1" t="n">
        <v>45886</v>
      </c>
      <c r="D313" t="inlineStr">
        <is>
          <t>DALARNAS LÄN</t>
        </is>
      </c>
      <c r="E313" t="inlineStr">
        <is>
          <t>MORA</t>
        </is>
      </c>
      <c r="F313" t="inlineStr">
        <is>
          <t>Bergvik skog väst AB</t>
        </is>
      </c>
      <c r="G313" t="n">
        <v>6.4</v>
      </c>
      <c r="H313" t="n">
        <v>0</v>
      </c>
      <c r="I313" t="n">
        <v>0</v>
      </c>
      <c r="J313" t="n">
        <v>0</v>
      </c>
      <c r="K313" t="n">
        <v>0</v>
      </c>
      <c r="L313" t="n">
        <v>0</v>
      </c>
      <c r="M313" t="n">
        <v>0</v>
      </c>
      <c r="N313" t="n">
        <v>0</v>
      </c>
      <c r="O313" t="n">
        <v>0</v>
      </c>
      <c r="P313" t="n">
        <v>0</v>
      </c>
      <c r="Q313" t="n">
        <v>0</v>
      </c>
      <c r="R313" s="2" t="inlineStr"/>
    </row>
    <row r="314" ht="15" customHeight="1">
      <c r="A314" t="inlineStr">
        <is>
          <t>A 18127-2025</t>
        </is>
      </c>
      <c r="B314" s="1" t="n">
        <v>45761.59523148148</v>
      </c>
      <c r="C314" s="1" t="n">
        <v>45886</v>
      </c>
      <c r="D314" t="inlineStr">
        <is>
          <t>DALARNAS LÄN</t>
        </is>
      </c>
      <c r="E314" t="inlineStr">
        <is>
          <t>MORA</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26630-2025</t>
        </is>
      </c>
      <c r="B315" s="1" t="n">
        <v>45809</v>
      </c>
      <c r="C315" s="1" t="n">
        <v>45886</v>
      </c>
      <c r="D315" t="inlineStr">
        <is>
          <t>DALARNAS LÄN</t>
        </is>
      </c>
      <c r="E315" t="inlineStr">
        <is>
          <t>MORA</t>
        </is>
      </c>
      <c r="G315" t="n">
        <v>32.1</v>
      </c>
      <c r="H315" t="n">
        <v>0</v>
      </c>
      <c r="I315" t="n">
        <v>0</v>
      </c>
      <c r="J315" t="n">
        <v>0</v>
      </c>
      <c r="K315" t="n">
        <v>0</v>
      </c>
      <c r="L315" t="n">
        <v>0</v>
      </c>
      <c r="M315" t="n">
        <v>0</v>
      </c>
      <c r="N315" t="n">
        <v>0</v>
      </c>
      <c r="O315" t="n">
        <v>0</v>
      </c>
      <c r="P315" t="n">
        <v>0</v>
      </c>
      <c r="Q315" t="n">
        <v>0</v>
      </c>
      <c r="R315" s="2" t="inlineStr"/>
    </row>
    <row r="316" ht="15" customHeight="1">
      <c r="A316" t="inlineStr">
        <is>
          <t>A 25887-2023</t>
        </is>
      </c>
      <c r="B316" s="1" t="n">
        <v>45090.62493055555</v>
      </c>
      <c r="C316" s="1" t="n">
        <v>45886</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35121-2025</t>
        </is>
      </c>
      <c r="B317" s="1" t="n">
        <v>45852.60936342592</v>
      </c>
      <c r="C317" s="1" t="n">
        <v>45886</v>
      </c>
      <c r="D317" t="inlineStr">
        <is>
          <t>DALARNAS LÄN</t>
        </is>
      </c>
      <c r="E317" t="inlineStr">
        <is>
          <t>MORA</t>
        </is>
      </c>
      <c r="F317" t="inlineStr">
        <is>
          <t>Bergvik skog öst AB</t>
        </is>
      </c>
      <c r="G317" t="n">
        <v>15.9</v>
      </c>
      <c r="H317" t="n">
        <v>0</v>
      </c>
      <c r="I317" t="n">
        <v>0</v>
      </c>
      <c r="J317" t="n">
        <v>0</v>
      </c>
      <c r="K317" t="n">
        <v>0</v>
      </c>
      <c r="L317" t="n">
        <v>0</v>
      </c>
      <c r="M317" t="n">
        <v>0</v>
      </c>
      <c r="N317" t="n">
        <v>0</v>
      </c>
      <c r="O317" t="n">
        <v>0</v>
      </c>
      <c r="P317" t="n">
        <v>0</v>
      </c>
      <c r="Q317" t="n">
        <v>0</v>
      </c>
      <c r="R317" s="2" t="inlineStr"/>
    </row>
    <row r="318" ht="15" customHeight="1">
      <c r="A318" t="inlineStr">
        <is>
          <t>A 34933-2025</t>
        </is>
      </c>
      <c r="B318" s="1" t="n">
        <v>45849.57297453703</v>
      </c>
      <c r="C318" s="1" t="n">
        <v>45886</v>
      </c>
      <c r="D318" t="inlineStr">
        <is>
          <t>DALARNAS LÄN</t>
        </is>
      </c>
      <c r="E318" t="inlineStr">
        <is>
          <t>MORA</t>
        </is>
      </c>
      <c r="F318" t="inlineStr">
        <is>
          <t>Bergvik skog väst AB</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20544-2025</t>
        </is>
      </c>
      <c r="B319" s="1" t="n">
        <v>45775.63119212963</v>
      </c>
      <c r="C319" s="1" t="n">
        <v>45886</v>
      </c>
      <c r="D319" t="inlineStr">
        <is>
          <t>DALARNAS LÄN</t>
        </is>
      </c>
      <c r="E319" t="inlineStr">
        <is>
          <t>MORA</t>
        </is>
      </c>
      <c r="G319" t="n">
        <v>3.6</v>
      </c>
      <c r="H319" t="n">
        <v>0</v>
      </c>
      <c r="I319" t="n">
        <v>0</v>
      </c>
      <c r="J319" t="n">
        <v>0</v>
      </c>
      <c r="K319" t="n">
        <v>0</v>
      </c>
      <c r="L319" t="n">
        <v>0</v>
      </c>
      <c r="M319" t="n">
        <v>0</v>
      </c>
      <c r="N319" t="n">
        <v>0</v>
      </c>
      <c r="O319" t="n">
        <v>0</v>
      </c>
      <c r="P319" t="n">
        <v>0</v>
      </c>
      <c r="Q319" t="n">
        <v>0</v>
      </c>
      <c r="R319" s="2" t="inlineStr"/>
    </row>
    <row r="320" ht="15" customHeight="1">
      <c r="A320" t="inlineStr">
        <is>
          <t>A 26577-2025</t>
        </is>
      </c>
      <c r="B320" s="1" t="n">
        <v>45807</v>
      </c>
      <c r="C320" s="1" t="n">
        <v>45886</v>
      </c>
      <c r="D320" t="inlineStr">
        <is>
          <t>DALARNAS LÄN</t>
        </is>
      </c>
      <c r="E320" t="inlineStr">
        <is>
          <t>MORA</t>
        </is>
      </c>
      <c r="G320" t="n">
        <v>2.8</v>
      </c>
      <c r="H320" t="n">
        <v>0</v>
      </c>
      <c r="I320" t="n">
        <v>0</v>
      </c>
      <c r="J320" t="n">
        <v>0</v>
      </c>
      <c r="K320" t="n">
        <v>0</v>
      </c>
      <c r="L320" t="n">
        <v>0</v>
      </c>
      <c r="M320" t="n">
        <v>0</v>
      </c>
      <c r="N320" t="n">
        <v>0</v>
      </c>
      <c r="O320" t="n">
        <v>0</v>
      </c>
      <c r="P320" t="n">
        <v>0</v>
      </c>
      <c r="Q320" t="n">
        <v>0</v>
      </c>
      <c r="R320" s="2" t="inlineStr"/>
    </row>
    <row r="321" ht="15" customHeight="1">
      <c r="A321" t="inlineStr">
        <is>
          <t>A 26854-2025</t>
        </is>
      </c>
      <c r="B321" s="1" t="n">
        <v>45810.67462962963</v>
      </c>
      <c r="C321" s="1" t="n">
        <v>45886</v>
      </c>
      <c r="D321" t="inlineStr">
        <is>
          <t>DALARNAS LÄN</t>
        </is>
      </c>
      <c r="E321" t="inlineStr">
        <is>
          <t>MORA</t>
        </is>
      </c>
      <c r="G321" t="n">
        <v>4.4</v>
      </c>
      <c r="H321" t="n">
        <v>0</v>
      </c>
      <c r="I321" t="n">
        <v>0</v>
      </c>
      <c r="J321" t="n">
        <v>0</v>
      </c>
      <c r="K321" t="n">
        <v>0</v>
      </c>
      <c r="L321" t="n">
        <v>0</v>
      </c>
      <c r="M321" t="n">
        <v>0</v>
      </c>
      <c r="N321" t="n">
        <v>0</v>
      </c>
      <c r="O321" t="n">
        <v>0</v>
      </c>
      <c r="P321" t="n">
        <v>0</v>
      </c>
      <c r="Q321" t="n">
        <v>0</v>
      </c>
      <c r="R321" s="2" t="inlineStr"/>
    </row>
    <row r="322" ht="15" customHeight="1">
      <c r="A322" t="inlineStr">
        <is>
          <t>A 36740-2023</t>
        </is>
      </c>
      <c r="B322" s="1" t="n">
        <v>45153</v>
      </c>
      <c r="C322" s="1" t="n">
        <v>45886</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16961-2025</t>
        </is>
      </c>
      <c r="B323" s="1" t="n">
        <v>45755.45269675926</v>
      </c>
      <c r="C323" s="1" t="n">
        <v>45886</v>
      </c>
      <c r="D323" t="inlineStr">
        <is>
          <t>DALARNAS LÄN</t>
        </is>
      </c>
      <c r="E323" t="inlineStr">
        <is>
          <t>MORA</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52525-2022</t>
        </is>
      </c>
      <c r="B324" s="1" t="n">
        <v>44874</v>
      </c>
      <c r="C324" s="1" t="n">
        <v>45886</v>
      </c>
      <c r="D324" t="inlineStr">
        <is>
          <t>DALARNAS LÄN</t>
        </is>
      </c>
      <c r="E324" t="inlineStr">
        <is>
          <t>MORA</t>
        </is>
      </c>
      <c r="F324" t="inlineStr">
        <is>
          <t>Bergvik skog öst AB</t>
        </is>
      </c>
      <c r="G324" t="n">
        <v>0.9</v>
      </c>
      <c r="H324" t="n">
        <v>0</v>
      </c>
      <c r="I324" t="n">
        <v>0</v>
      </c>
      <c r="J324" t="n">
        <v>0</v>
      </c>
      <c r="K324" t="n">
        <v>0</v>
      </c>
      <c r="L324" t="n">
        <v>0</v>
      </c>
      <c r="M324" t="n">
        <v>0</v>
      </c>
      <c r="N324" t="n">
        <v>0</v>
      </c>
      <c r="O324" t="n">
        <v>0</v>
      </c>
      <c r="P324" t="n">
        <v>0</v>
      </c>
      <c r="Q324" t="n">
        <v>0</v>
      </c>
      <c r="R324" s="2" t="inlineStr"/>
    </row>
    <row r="325" ht="15" customHeight="1">
      <c r="A325" t="inlineStr">
        <is>
          <t>A 48342-2023</t>
        </is>
      </c>
      <c r="B325" s="1" t="n">
        <v>45205</v>
      </c>
      <c r="C325" s="1" t="n">
        <v>45886</v>
      </c>
      <c r="D325" t="inlineStr">
        <is>
          <t>DALARNAS LÄN</t>
        </is>
      </c>
      <c r="E325" t="inlineStr">
        <is>
          <t>MORA</t>
        </is>
      </c>
      <c r="G325" t="n">
        <v>1</v>
      </c>
      <c r="H325" t="n">
        <v>0</v>
      </c>
      <c r="I325" t="n">
        <v>0</v>
      </c>
      <c r="J325" t="n">
        <v>0</v>
      </c>
      <c r="K325" t="n">
        <v>0</v>
      </c>
      <c r="L325" t="n">
        <v>0</v>
      </c>
      <c r="M325" t="n">
        <v>0</v>
      </c>
      <c r="N325" t="n">
        <v>0</v>
      </c>
      <c r="O325" t="n">
        <v>0</v>
      </c>
      <c r="P325" t="n">
        <v>0</v>
      </c>
      <c r="Q325" t="n">
        <v>0</v>
      </c>
      <c r="R325" s="2" t="inlineStr"/>
    </row>
    <row r="326" ht="15" customHeight="1">
      <c r="A326" t="inlineStr">
        <is>
          <t>A 26731-2025</t>
        </is>
      </c>
      <c r="B326" s="1" t="n">
        <v>45810.50702546296</v>
      </c>
      <c r="C326" s="1" t="n">
        <v>45886</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53527-2024</t>
        </is>
      </c>
      <c r="B327" s="1" t="n">
        <v>45614.61569444444</v>
      </c>
      <c r="C327" s="1" t="n">
        <v>45886</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41169-2023</t>
        </is>
      </c>
      <c r="B328" s="1" t="n">
        <v>45174.34662037037</v>
      </c>
      <c r="C328" s="1" t="n">
        <v>45886</v>
      </c>
      <c r="D328" t="inlineStr">
        <is>
          <t>DALARNAS LÄN</t>
        </is>
      </c>
      <c r="E328" t="inlineStr">
        <is>
          <t>MORA</t>
        </is>
      </c>
      <c r="G328" t="n">
        <v>3</v>
      </c>
      <c r="H328" t="n">
        <v>0</v>
      </c>
      <c r="I328" t="n">
        <v>0</v>
      </c>
      <c r="J328" t="n">
        <v>0</v>
      </c>
      <c r="K328" t="n">
        <v>0</v>
      </c>
      <c r="L328" t="n">
        <v>0</v>
      </c>
      <c r="M328" t="n">
        <v>0</v>
      </c>
      <c r="N328" t="n">
        <v>0</v>
      </c>
      <c r="O328" t="n">
        <v>0</v>
      </c>
      <c r="P328" t="n">
        <v>0</v>
      </c>
      <c r="Q328" t="n">
        <v>0</v>
      </c>
      <c r="R328" s="2" t="inlineStr"/>
    </row>
    <row r="329" ht="15" customHeight="1">
      <c r="A329" t="inlineStr">
        <is>
          <t>A 17393-2025</t>
        </is>
      </c>
      <c r="B329" s="1" t="n">
        <v>45757.34350694445</v>
      </c>
      <c r="C329" s="1" t="n">
        <v>45886</v>
      </c>
      <c r="D329" t="inlineStr">
        <is>
          <t>DALARNAS LÄN</t>
        </is>
      </c>
      <c r="E329" t="inlineStr">
        <is>
          <t>MORA</t>
        </is>
      </c>
      <c r="G329" t="n">
        <v>10.1</v>
      </c>
      <c r="H329" t="n">
        <v>0</v>
      </c>
      <c r="I329" t="n">
        <v>0</v>
      </c>
      <c r="J329" t="n">
        <v>0</v>
      </c>
      <c r="K329" t="n">
        <v>0</v>
      </c>
      <c r="L329" t="n">
        <v>0</v>
      </c>
      <c r="M329" t="n">
        <v>0</v>
      </c>
      <c r="N329" t="n">
        <v>0</v>
      </c>
      <c r="O329" t="n">
        <v>0</v>
      </c>
      <c r="P329" t="n">
        <v>0</v>
      </c>
      <c r="Q329" t="n">
        <v>0</v>
      </c>
      <c r="R329" s="2" t="inlineStr"/>
    </row>
    <row r="330" ht="15" customHeight="1">
      <c r="A330" t="inlineStr">
        <is>
          <t>A 35068-2025</t>
        </is>
      </c>
      <c r="B330" s="1" t="n">
        <v>45852.45686342593</v>
      </c>
      <c r="C330" s="1" t="n">
        <v>45886</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26711-2025</t>
        </is>
      </c>
      <c r="B331" s="1" t="n">
        <v>45810.46144675926</v>
      </c>
      <c r="C331" s="1" t="n">
        <v>45886</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16174-2025</t>
        </is>
      </c>
      <c r="B332" s="1" t="n">
        <v>45750</v>
      </c>
      <c r="C332" s="1" t="n">
        <v>45886</v>
      </c>
      <c r="D332" t="inlineStr">
        <is>
          <t>DALARNAS LÄN</t>
        </is>
      </c>
      <c r="E332" t="inlineStr">
        <is>
          <t>MORA</t>
        </is>
      </c>
      <c r="G332" t="n">
        <v>0.9</v>
      </c>
      <c r="H332" t="n">
        <v>0</v>
      </c>
      <c r="I332" t="n">
        <v>0</v>
      </c>
      <c r="J332" t="n">
        <v>0</v>
      </c>
      <c r="K332" t="n">
        <v>0</v>
      </c>
      <c r="L332" t="n">
        <v>0</v>
      </c>
      <c r="M332" t="n">
        <v>0</v>
      </c>
      <c r="N332" t="n">
        <v>0</v>
      </c>
      <c r="O332" t="n">
        <v>0</v>
      </c>
      <c r="P332" t="n">
        <v>0</v>
      </c>
      <c r="Q332" t="n">
        <v>0</v>
      </c>
      <c r="R332" s="2" t="inlineStr"/>
    </row>
    <row r="333" ht="15" customHeight="1">
      <c r="A333" t="inlineStr">
        <is>
          <t>A 69483-2021</t>
        </is>
      </c>
      <c r="B333" s="1" t="n">
        <v>44531</v>
      </c>
      <c r="C333" s="1" t="n">
        <v>45886</v>
      </c>
      <c r="D333" t="inlineStr">
        <is>
          <t>DALARNAS LÄN</t>
        </is>
      </c>
      <c r="E333" t="inlineStr">
        <is>
          <t>MORA</t>
        </is>
      </c>
      <c r="G333" t="n">
        <v>1.5</v>
      </c>
      <c r="H333" t="n">
        <v>0</v>
      </c>
      <c r="I333" t="n">
        <v>0</v>
      </c>
      <c r="J333" t="n">
        <v>0</v>
      </c>
      <c r="K333" t="n">
        <v>0</v>
      </c>
      <c r="L333" t="n">
        <v>0</v>
      </c>
      <c r="M333" t="n">
        <v>0</v>
      </c>
      <c r="N333" t="n">
        <v>0</v>
      </c>
      <c r="O333" t="n">
        <v>0</v>
      </c>
      <c r="P333" t="n">
        <v>0</v>
      </c>
      <c r="Q333" t="n">
        <v>0</v>
      </c>
      <c r="R333" s="2" t="inlineStr"/>
    </row>
    <row r="334" ht="15" customHeight="1">
      <c r="A334" t="inlineStr">
        <is>
          <t>A 56460-2022</t>
        </is>
      </c>
      <c r="B334" s="1" t="n">
        <v>44893</v>
      </c>
      <c r="C334" s="1" t="n">
        <v>45886</v>
      </c>
      <c r="D334" t="inlineStr">
        <is>
          <t>DALARNAS LÄN</t>
        </is>
      </c>
      <c r="E334" t="inlineStr">
        <is>
          <t>MORA</t>
        </is>
      </c>
      <c r="G334" t="n">
        <v>2.2</v>
      </c>
      <c r="H334" t="n">
        <v>0</v>
      </c>
      <c r="I334" t="n">
        <v>0</v>
      </c>
      <c r="J334" t="n">
        <v>0</v>
      </c>
      <c r="K334" t="n">
        <v>0</v>
      </c>
      <c r="L334" t="n">
        <v>0</v>
      </c>
      <c r="M334" t="n">
        <v>0</v>
      </c>
      <c r="N334" t="n">
        <v>0</v>
      </c>
      <c r="O334" t="n">
        <v>0</v>
      </c>
      <c r="P334" t="n">
        <v>0</v>
      </c>
      <c r="Q334" t="n">
        <v>0</v>
      </c>
      <c r="R334" s="2" t="inlineStr"/>
    </row>
    <row r="335" ht="15" customHeight="1">
      <c r="A335" t="inlineStr">
        <is>
          <t>A 57110-2021</t>
        </is>
      </c>
      <c r="B335" s="1" t="n">
        <v>44482</v>
      </c>
      <c r="C335" s="1" t="n">
        <v>45886</v>
      </c>
      <c r="D335" t="inlineStr">
        <is>
          <t>DALARNAS LÄN</t>
        </is>
      </c>
      <c r="E335" t="inlineStr">
        <is>
          <t>MORA</t>
        </is>
      </c>
      <c r="G335" t="n">
        <v>5.4</v>
      </c>
      <c r="H335" t="n">
        <v>0</v>
      </c>
      <c r="I335" t="n">
        <v>0</v>
      </c>
      <c r="J335" t="n">
        <v>0</v>
      </c>
      <c r="K335" t="n">
        <v>0</v>
      </c>
      <c r="L335" t="n">
        <v>0</v>
      </c>
      <c r="M335" t="n">
        <v>0</v>
      </c>
      <c r="N335" t="n">
        <v>0</v>
      </c>
      <c r="O335" t="n">
        <v>0</v>
      </c>
      <c r="P335" t="n">
        <v>0</v>
      </c>
      <c r="Q335" t="n">
        <v>0</v>
      </c>
      <c r="R335" s="2" t="inlineStr"/>
    </row>
    <row r="336" ht="15" customHeight="1">
      <c r="A336" t="inlineStr">
        <is>
          <t>A 14936-2025</t>
        </is>
      </c>
      <c r="B336" s="1" t="n">
        <v>45743.55756944444</v>
      </c>
      <c r="C336" s="1" t="n">
        <v>45886</v>
      </c>
      <c r="D336" t="inlineStr">
        <is>
          <t>DALARNAS LÄN</t>
        </is>
      </c>
      <c r="E336" t="inlineStr">
        <is>
          <t>MORA</t>
        </is>
      </c>
      <c r="G336" t="n">
        <v>2.4</v>
      </c>
      <c r="H336" t="n">
        <v>0</v>
      </c>
      <c r="I336" t="n">
        <v>0</v>
      </c>
      <c r="J336" t="n">
        <v>0</v>
      </c>
      <c r="K336" t="n">
        <v>0</v>
      </c>
      <c r="L336" t="n">
        <v>0</v>
      </c>
      <c r="M336" t="n">
        <v>0</v>
      </c>
      <c r="N336" t="n">
        <v>0</v>
      </c>
      <c r="O336" t="n">
        <v>0</v>
      </c>
      <c r="P336" t="n">
        <v>0</v>
      </c>
      <c r="Q336" t="n">
        <v>0</v>
      </c>
      <c r="R336" s="2" t="inlineStr"/>
    </row>
    <row r="337" ht="15" customHeight="1">
      <c r="A337" t="inlineStr">
        <is>
          <t>A 9276-2024</t>
        </is>
      </c>
      <c r="B337" s="1" t="n">
        <v>45358.63113425926</v>
      </c>
      <c r="C337" s="1" t="n">
        <v>45886</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35381-2024</t>
        </is>
      </c>
      <c r="B338" s="1" t="n">
        <v>45531.38372685185</v>
      </c>
      <c r="C338" s="1" t="n">
        <v>45886</v>
      </c>
      <c r="D338" t="inlineStr">
        <is>
          <t>DALARNAS LÄN</t>
        </is>
      </c>
      <c r="E338" t="inlineStr">
        <is>
          <t>MORA</t>
        </is>
      </c>
      <c r="G338" t="n">
        <v>3.7</v>
      </c>
      <c r="H338" t="n">
        <v>0</v>
      </c>
      <c r="I338" t="n">
        <v>0</v>
      </c>
      <c r="J338" t="n">
        <v>0</v>
      </c>
      <c r="K338" t="n">
        <v>0</v>
      </c>
      <c r="L338" t="n">
        <v>0</v>
      </c>
      <c r="M338" t="n">
        <v>0</v>
      </c>
      <c r="N338" t="n">
        <v>0</v>
      </c>
      <c r="O338" t="n">
        <v>0</v>
      </c>
      <c r="P338" t="n">
        <v>0</v>
      </c>
      <c r="Q338" t="n">
        <v>0</v>
      </c>
      <c r="R338" s="2" t="inlineStr"/>
    </row>
    <row r="339" ht="15" customHeight="1">
      <c r="A339" t="inlineStr">
        <is>
          <t>A 27177-2025</t>
        </is>
      </c>
      <c r="B339" s="1" t="n">
        <v>45812.3533912037</v>
      </c>
      <c r="C339" s="1" t="n">
        <v>45886</v>
      </c>
      <c r="D339" t="inlineStr">
        <is>
          <t>DALARNAS LÄN</t>
        </is>
      </c>
      <c r="E339" t="inlineStr">
        <is>
          <t>MORA</t>
        </is>
      </c>
      <c r="F339" t="inlineStr">
        <is>
          <t>Bergvik skog öst AB</t>
        </is>
      </c>
      <c r="G339" t="n">
        <v>2.5</v>
      </c>
      <c r="H339" t="n">
        <v>0</v>
      </c>
      <c r="I339" t="n">
        <v>0</v>
      </c>
      <c r="J339" t="n">
        <v>0</v>
      </c>
      <c r="K339" t="n">
        <v>0</v>
      </c>
      <c r="L339" t="n">
        <v>0</v>
      </c>
      <c r="M339" t="n">
        <v>0</v>
      </c>
      <c r="N339" t="n">
        <v>0</v>
      </c>
      <c r="O339" t="n">
        <v>0</v>
      </c>
      <c r="P339" t="n">
        <v>0</v>
      </c>
      <c r="Q339" t="n">
        <v>0</v>
      </c>
      <c r="R339" s="2" t="inlineStr"/>
    </row>
    <row r="340" ht="15" customHeight="1">
      <c r="A340" t="inlineStr">
        <is>
          <t>A 27194-2025</t>
        </is>
      </c>
      <c r="B340" s="1" t="n">
        <v>45812.37965277778</v>
      </c>
      <c r="C340" s="1" t="n">
        <v>45886</v>
      </c>
      <c r="D340" t="inlineStr">
        <is>
          <t>DALARNAS LÄN</t>
        </is>
      </c>
      <c r="E340" t="inlineStr">
        <is>
          <t>MORA</t>
        </is>
      </c>
      <c r="G340" t="n">
        <v>2.4</v>
      </c>
      <c r="H340" t="n">
        <v>0</v>
      </c>
      <c r="I340" t="n">
        <v>0</v>
      </c>
      <c r="J340" t="n">
        <v>0</v>
      </c>
      <c r="K340" t="n">
        <v>0</v>
      </c>
      <c r="L340" t="n">
        <v>0</v>
      </c>
      <c r="M340" t="n">
        <v>0</v>
      </c>
      <c r="N340" t="n">
        <v>0</v>
      </c>
      <c r="O340" t="n">
        <v>0</v>
      </c>
      <c r="P340" t="n">
        <v>0</v>
      </c>
      <c r="Q340" t="n">
        <v>0</v>
      </c>
      <c r="R340" s="2" t="inlineStr"/>
    </row>
    <row r="341" ht="15" customHeight="1">
      <c r="A341" t="inlineStr">
        <is>
          <t>A 14611-2025</t>
        </is>
      </c>
      <c r="B341" s="1" t="n">
        <v>45742.38511574074</v>
      </c>
      <c r="C341" s="1" t="n">
        <v>45886</v>
      </c>
      <c r="D341" t="inlineStr">
        <is>
          <t>DALARNAS LÄN</t>
        </is>
      </c>
      <c r="E341" t="inlineStr">
        <is>
          <t>MORA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27175-2025</t>
        </is>
      </c>
      <c r="B342" s="1" t="n">
        <v>45812.35072916667</v>
      </c>
      <c r="C342" s="1" t="n">
        <v>45886</v>
      </c>
      <c r="D342" t="inlineStr">
        <is>
          <t>DALARNAS LÄN</t>
        </is>
      </c>
      <c r="E342" t="inlineStr">
        <is>
          <t>MORA</t>
        </is>
      </c>
      <c r="F342" t="inlineStr">
        <is>
          <t>Bergvik skog öst AB</t>
        </is>
      </c>
      <c r="G342" t="n">
        <v>4</v>
      </c>
      <c r="H342" t="n">
        <v>0</v>
      </c>
      <c r="I342" t="n">
        <v>0</v>
      </c>
      <c r="J342" t="n">
        <v>0</v>
      </c>
      <c r="K342" t="n">
        <v>0</v>
      </c>
      <c r="L342" t="n">
        <v>0</v>
      </c>
      <c r="M342" t="n">
        <v>0</v>
      </c>
      <c r="N342" t="n">
        <v>0</v>
      </c>
      <c r="O342" t="n">
        <v>0</v>
      </c>
      <c r="P342" t="n">
        <v>0</v>
      </c>
      <c r="Q342" t="n">
        <v>0</v>
      </c>
      <c r="R342" s="2" t="inlineStr"/>
    </row>
    <row r="343" ht="15" customHeight="1">
      <c r="A343" t="inlineStr">
        <is>
          <t>A 39882-2024</t>
        </is>
      </c>
      <c r="B343" s="1" t="n">
        <v>45553</v>
      </c>
      <c r="C343" s="1" t="n">
        <v>45886</v>
      </c>
      <c r="D343" t="inlineStr">
        <is>
          <t>DALARNAS LÄN</t>
        </is>
      </c>
      <c r="E343" t="inlineStr">
        <is>
          <t>MORA</t>
        </is>
      </c>
      <c r="G343" t="n">
        <v>14.6</v>
      </c>
      <c r="H343" t="n">
        <v>0</v>
      </c>
      <c r="I343" t="n">
        <v>0</v>
      </c>
      <c r="J343" t="n">
        <v>0</v>
      </c>
      <c r="K343" t="n">
        <v>0</v>
      </c>
      <c r="L343" t="n">
        <v>0</v>
      </c>
      <c r="M343" t="n">
        <v>0</v>
      </c>
      <c r="N343" t="n">
        <v>0</v>
      </c>
      <c r="O343" t="n">
        <v>0</v>
      </c>
      <c r="P343" t="n">
        <v>0</v>
      </c>
      <c r="Q343" t="n">
        <v>0</v>
      </c>
      <c r="R343" s="2" t="inlineStr"/>
    </row>
    <row r="344" ht="15" customHeight="1">
      <c r="A344" t="inlineStr">
        <is>
          <t>A 15817-2024</t>
        </is>
      </c>
      <c r="B344" s="1" t="n">
        <v>45404.67387731482</v>
      </c>
      <c r="C344" s="1" t="n">
        <v>45886</v>
      </c>
      <c r="D344" t="inlineStr">
        <is>
          <t>DALARNAS LÄN</t>
        </is>
      </c>
      <c r="E344" t="inlineStr">
        <is>
          <t>MORA</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46755-2023</t>
        </is>
      </c>
      <c r="B345" s="1" t="n">
        <v>45198.61314814815</v>
      </c>
      <c r="C345" s="1" t="n">
        <v>45886</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14372-2025</t>
        </is>
      </c>
      <c r="B346" s="1" t="n">
        <v>45741.4050462963</v>
      </c>
      <c r="C346" s="1" t="n">
        <v>45886</v>
      </c>
      <c r="D346" t="inlineStr">
        <is>
          <t>DALARNAS LÄN</t>
        </is>
      </c>
      <c r="E346" t="inlineStr">
        <is>
          <t>MORA</t>
        </is>
      </c>
      <c r="G346" t="n">
        <v>5.1</v>
      </c>
      <c r="H346" t="n">
        <v>0</v>
      </c>
      <c r="I346" t="n">
        <v>0</v>
      </c>
      <c r="J346" t="n">
        <v>0</v>
      </c>
      <c r="K346" t="n">
        <v>0</v>
      </c>
      <c r="L346" t="n">
        <v>0</v>
      </c>
      <c r="M346" t="n">
        <v>0</v>
      </c>
      <c r="N346" t="n">
        <v>0</v>
      </c>
      <c r="O346" t="n">
        <v>0</v>
      </c>
      <c r="P346" t="n">
        <v>0</v>
      </c>
      <c r="Q346" t="n">
        <v>0</v>
      </c>
      <c r="R346" s="2" t="inlineStr"/>
    </row>
    <row r="347" ht="15" customHeight="1">
      <c r="A347" t="inlineStr">
        <is>
          <t>A 14378-2025</t>
        </is>
      </c>
      <c r="B347" s="1" t="n">
        <v>45741</v>
      </c>
      <c r="C347" s="1" t="n">
        <v>45886</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7565-2025</t>
        </is>
      </c>
      <c r="B348" s="1" t="n">
        <v>45705.59269675926</v>
      </c>
      <c r="C348" s="1" t="n">
        <v>45886</v>
      </c>
      <c r="D348" t="inlineStr">
        <is>
          <t>DALARNAS LÄN</t>
        </is>
      </c>
      <c r="E348" t="inlineStr">
        <is>
          <t>MORA</t>
        </is>
      </c>
      <c r="G348" t="n">
        <v>3</v>
      </c>
      <c r="H348" t="n">
        <v>0</v>
      </c>
      <c r="I348" t="n">
        <v>0</v>
      </c>
      <c r="J348" t="n">
        <v>0</v>
      </c>
      <c r="K348" t="n">
        <v>0</v>
      </c>
      <c r="L348" t="n">
        <v>0</v>
      </c>
      <c r="M348" t="n">
        <v>0</v>
      </c>
      <c r="N348" t="n">
        <v>0</v>
      </c>
      <c r="O348" t="n">
        <v>0</v>
      </c>
      <c r="P348" t="n">
        <v>0</v>
      </c>
      <c r="Q348" t="n">
        <v>0</v>
      </c>
      <c r="R348" s="2" t="inlineStr"/>
    </row>
    <row r="349" ht="15" customHeight="1">
      <c r="A349" t="inlineStr">
        <is>
          <t>A 27184-2025</t>
        </is>
      </c>
      <c r="B349" s="1" t="n">
        <v>45812.36133101852</v>
      </c>
      <c r="C349" s="1" t="n">
        <v>45886</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17268-2025</t>
        </is>
      </c>
      <c r="B350" s="1" t="n">
        <v>45756</v>
      </c>
      <c r="C350" s="1" t="n">
        <v>45886</v>
      </c>
      <c r="D350" t="inlineStr">
        <is>
          <t>DALARNAS LÄN</t>
        </is>
      </c>
      <c r="E350" t="inlineStr">
        <is>
          <t>MORA</t>
        </is>
      </c>
      <c r="G350" t="n">
        <v>6.8</v>
      </c>
      <c r="H350" t="n">
        <v>0</v>
      </c>
      <c r="I350" t="n">
        <v>0</v>
      </c>
      <c r="J350" t="n">
        <v>0</v>
      </c>
      <c r="K350" t="n">
        <v>0</v>
      </c>
      <c r="L350" t="n">
        <v>0</v>
      </c>
      <c r="M350" t="n">
        <v>0</v>
      </c>
      <c r="N350" t="n">
        <v>0</v>
      </c>
      <c r="O350" t="n">
        <v>0</v>
      </c>
      <c r="P350" t="n">
        <v>0</v>
      </c>
      <c r="Q350" t="n">
        <v>0</v>
      </c>
      <c r="R350" s="2" t="inlineStr"/>
    </row>
    <row r="351" ht="15" customHeight="1">
      <c r="A351" t="inlineStr">
        <is>
          <t>A 35486-2025</t>
        </is>
      </c>
      <c r="B351" s="1" t="n">
        <v>45855.74986111111</v>
      </c>
      <c r="C351" s="1" t="n">
        <v>45886</v>
      </c>
      <c r="D351" t="inlineStr">
        <is>
          <t>DALARNAS LÄN</t>
        </is>
      </c>
      <c r="E351" t="inlineStr">
        <is>
          <t>MORA</t>
        </is>
      </c>
      <c r="F351" t="inlineStr">
        <is>
          <t>Allmännings- och besparingsskogar</t>
        </is>
      </c>
      <c r="G351" t="n">
        <v>3.9</v>
      </c>
      <c r="H351" t="n">
        <v>0</v>
      </c>
      <c r="I351" t="n">
        <v>0</v>
      </c>
      <c r="J351" t="n">
        <v>0</v>
      </c>
      <c r="K351" t="n">
        <v>0</v>
      </c>
      <c r="L351" t="n">
        <v>0</v>
      </c>
      <c r="M351" t="n">
        <v>0</v>
      </c>
      <c r="N351" t="n">
        <v>0</v>
      </c>
      <c r="O351" t="n">
        <v>0</v>
      </c>
      <c r="P351" t="n">
        <v>0</v>
      </c>
      <c r="Q351" t="n">
        <v>0</v>
      </c>
      <c r="R351" s="2" t="inlineStr"/>
    </row>
    <row r="352" ht="15" customHeight="1">
      <c r="A352" t="inlineStr">
        <is>
          <t>A 39897-2022</t>
        </is>
      </c>
      <c r="B352" s="1" t="n">
        <v>44819.66083333334</v>
      </c>
      <c r="C352" s="1" t="n">
        <v>45886</v>
      </c>
      <c r="D352" t="inlineStr">
        <is>
          <t>DALARNAS LÄN</t>
        </is>
      </c>
      <c r="E352" t="inlineStr">
        <is>
          <t>MORA</t>
        </is>
      </c>
      <c r="G352" t="n">
        <v>15.8</v>
      </c>
      <c r="H352" t="n">
        <v>0</v>
      </c>
      <c r="I352" t="n">
        <v>0</v>
      </c>
      <c r="J352" t="n">
        <v>0</v>
      </c>
      <c r="K352" t="n">
        <v>0</v>
      </c>
      <c r="L352" t="n">
        <v>0</v>
      </c>
      <c r="M352" t="n">
        <v>0</v>
      </c>
      <c r="N352" t="n">
        <v>0</v>
      </c>
      <c r="O352" t="n">
        <v>0</v>
      </c>
      <c r="P352" t="n">
        <v>0</v>
      </c>
      <c r="Q352" t="n">
        <v>0</v>
      </c>
      <c r="R352" s="2" t="inlineStr"/>
    </row>
    <row r="353" ht="15" customHeight="1">
      <c r="A353" t="inlineStr">
        <is>
          <t>A 35487-2025</t>
        </is>
      </c>
      <c r="B353" s="1" t="n">
        <v>45855.75481481481</v>
      </c>
      <c r="C353" s="1" t="n">
        <v>45886</v>
      </c>
      <c r="D353" t="inlineStr">
        <is>
          <t>DALARNAS LÄN</t>
        </is>
      </c>
      <c r="E353" t="inlineStr">
        <is>
          <t>MORA</t>
        </is>
      </c>
      <c r="F353" t="inlineStr">
        <is>
          <t>Allmännings- och besparingsskogar</t>
        </is>
      </c>
      <c r="G353" t="n">
        <v>0.7</v>
      </c>
      <c r="H353" t="n">
        <v>0</v>
      </c>
      <c r="I353" t="n">
        <v>0</v>
      </c>
      <c r="J353" t="n">
        <v>0</v>
      </c>
      <c r="K353" t="n">
        <v>0</v>
      </c>
      <c r="L353" t="n">
        <v>0</v>
      </c>
      <c r="M353" t="n">
        <v>0</v>
      </c>
      <c r="N353" t="n">
        <v>0</v>
      </c>
      <c r="O353" t="n">
        <v>0</v>
      </c>
      <c r="P353" t="n">
        <v>0</v>
      </c>
      <c r="Q353" t="n">
        <v>0</v>
      </c>
      <c r="R353" s="2" t="inlineStr"/>
    </row>
    <row r="354" ht="15" customHeight="1">
      <c r="A354" t="inlineStr">
        <is>
          <t>A 35407-2025</t>
        </is>
      </c>
      <c r="B354" s="1" t="n">
        <v>45855.35989583333</v>
      </c>
      <c r="C354" s="1" t="n">
        <v>45886</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27642-2025</t>
        </is>
      </c>
      <c r="B355" s="1" t="n">
        <v>45813.59405092592</v>
      </c>
      <c r="C355" s="1" t="n">
        <v>45886</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44177-2023</t>
        </is>
      </c>
      <c r="B356" s="1" t="n">
        <v>45188.51439814815</v>
      </c>
      <c r="C356" s="1" t="n">
        <v>45886</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44201-2023</t>
        </is>
      </c>
      <c r="B357" s="1" t="n">
        <v>45188</v>
      </c>
      <c r="C357" s="1" t="n">
        <v>45886</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35624-2025</t>
        </is>
      </c>
      <c r="B358" s="1" t="n">
        <v>45859.42928240741</v>
      </c>
      <c r="C358" s="1" t="n">
        <v>45886</v>
      </c>
      <c r="D358" t="inlineStr">
        <is>
          <t>DALARNAS LÄN</t>
        </is>
      </c>
      <c r="E358" t="inlineStr">
        <is>
          <t>MORA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55222-2023</t>
        </is>
      </c>
      <c r="B359" s="1" t="n">
        <v>45237.60775462963</v>
      </c>
      <c r="C359" s="1" t="n">
        <v>45886</v>
      </c>
      <c r="D359" t="inlineStr">
        <is>
          <t>DALARNAS LÄN</t>
        </is>
      </c>
      <c r="E359" t="inlineStr">
        <is>
          <t>MORA</t>
        </is>
      </c>
      <c r="F359" t="inlineStr">
        <is>
          <t>Allmännings- och besparingsskogar</t>
        </is>
      </c>
      <c r="G359" t="n">
        <v>19.8</v>
      </c>
      <c r="H359" t="n">
        <v>0</v>
      </c>
      <c r="I359" t="n">
        <v>0</v>
      </c>
      <c r="J359" t="n">
        <v>0</v>
      </c>
      <c r="K359" t="n">
        <v>0</v>
      </c>
      <c r="L359" t="n">
        <v>0</v>
      </c>
      <c r="M359" t="n">
        <v>0</v>
      </c>
      <c r="N359" t="n">
        <v>0</v>
      </c>
      <c r="O359" t="n">
        <v>0</v>
      </c>
      <c r="P359" t="n">
        <v>0</v>
      </c>
      <c r="Q359" t="n">
        <v>0</v>
      </c>
      <c r="R359" s="2" t="inlineStr"/>
    </row>
    <row r="360" ht="15" customHeight="1">
      <c r="A360" t="inlineStr">
        <is>
          <t>A 23302-2024</t>
        </is>
      </c>
      <c r="B360" s="1" t="n">
        <v>45453.44091435185</v>
      </c>
      <c r="C360" s="1" t="n">
        <v>45886</v>
      </c>
      <c r="D360" t="inlineStr">
        <is>
          <t>DALARNAS LÄN</t>
        </is>
      </c>
      <c r="E360" t="inlineStr">
        <is>
          <t>MORA</t>
        </is>
      </c>
      <c r="G360" t="n">
        <v>1.3</v>
      </c>
      <c r="H360" t="n">
        <v>0</v>
      </c>
      <c r="I360" t="n">
        <v>0</v>
      </c>
      <c r="J360" t="n">
        <v>0</v>
      </c>
      <c r="K360" t="n">
        <v>0</v>
      </c>
      <c r="L360" t="n">
        <v>0</v>
      </c>
      <c r="M360" t="n">
        <v>0</v>
      </c>
      <c r="N360" t="n">
        <v>0</v>
      </c>
      <c r="O360" t="n">
        <v>0</v>
      </c>
      <c r="P360" t="n">
        <v>0</v>
      </c>
      <c r="Q360" t="n">
        <v>0</v>
      </c>
      <c r="R360" s="2" t="inlineStr"/>
    </row>
    <row r="361" ht="15" customHeight="1">
      <c r="A361" t="inlineStr">
        <is>
          <t>A 30985-2024</t>
        </is>
      </c>
      <c r="B361" s="1" t="n">
        <v>45499.51721064815</v>
      </c>
      <c r="C361" s="1" t="n">
        <v>45886</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57859-2022</t>
        </is>
      </c>
      <c r="B362" s="1" t="n">
        <v>44898</v>
      </c>
      <c r="C362" s="1" t="n">
        <v>45886</v>
      </c>
      <c r="D362" t="inlineStr">
        <is>
          <t>DALARNAS LÄN</t>
        </is>
      </c>
      <c r="E362" t="inlineStr">
        <is>
          <t>MORA</t>
        </is>
      </c>
      <c r="G362" t="n">
        <v>1.4</v>
      </c>
      <c r="H362" t="n">
        <v>0</v>
      </c>
      <c r="I362" t="n">
        <v>0</v>
      </c>
      <c r="J362" t="n">
        <v>0</v>
      </c>
      <c r="K362" t="n">
        <v>0</v>
      </c>
      <c r="L362" t="n">
        <v>0</v>
      </c>
      <c r="M362" t="n">
        <v>0</v>
      </c>
      <c r="N362" t="n">
        <v>0</v>
      </c>
      <c r="O362" t="n">
        <v>0</v>
      </c>
      <c r="P362" t="n">
        <v>0</v>
      </c>
      <c r="Q362" t="n">
        <v>0</v>
      </c>
      <c r="R362" s="2" t="inlineStr"/>
    </row>
    <row r="363" ht="15" customHeight="1">
      <c r="A363" t="inlineStr">
        <is>
          <t>A 60647-2022</t>
        </is>
      </c>
      <c r="B363" s="1" t="n">
        <v>44911</v>
      </c>
      <c r="C363" s="1" t="n">
        <v>45886</v>
      </c>
      <c r="D363" t="inlineStr">
        <is>
          <t>DALARNAS LÄN</t>
        </is>
      </c>
      <c r="E363" t="inlineStr">
        <is>
          <t>MORA</t>
        </is>
      </c>
      <c r="G363" t="n">
        <v>4.8</v>
      </c>
      <c r="H363" t="n">
        <v>0</v>
      </c>
      <c r="I363" t="n">
        <v>0</v>
      </c>
      <c r="J363" t="n">
        <v>0</v>
      </c>
      <c r="K363" t="n">
        <v>0</v>
      </c>
      <c r="L363" t="n">
        <v>0</v>
      </c>
      <c r="M363" t="n">
        <v>0</v>
      </c>
      <c r="N363" t="n">
        <v>0</v>
      </c>
      <c r="O363" t="n">
        <v>0</v>
      </c>
      <c r="P363" t="n">
        <v>0</v>
      </c>
      <c r="Q363" t="n">
        <v>0</v>
      </c>
      <c r="R363" s="2" t="inlineStr"/>
    </row>
    <row r="364" ht="15" customHeight="1">
      <c r="A364" t="inlineStr">
        <is>
          <t>A 31177-2021</t>
        </is>
      </c>
      <c r="B364" s="1" t="n">
        <v>44368</v>
      </c>
      <c r="C364" s="1" t="n">
        <v>45886</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28033-2025</t>
        </is>
      </c>
      <c r="B365" s="1" t="n">
        <v>45817.6325462963</v>
      </c>
      <c r="C365" s="1" t="n">
        <v>45886</v>
      </c>
      <c r="D365" t="inlineStr">
        <is>
          <t>DALARNAS LÄN</t>
        </is>
      </c>
      <c r="E365" t="inlineStr">
        <is>
          <t>MORA</t>
        </is>
      </c>
      <c r="F365" t="inlineStr">
        <is>
          <t>Bergvik skog öst AB</t>
        </is>
      </c>
      <c r="G365" t="n">
        <v>12.8</v>
      </c>
      <c r="H365" t="n">
        <v>0</v>
      </c>
      <c r="I365" t="n">
        <v>0</v>
      </c>
      <c r="J365" t="n">
        <v>0</v>
      </c>
      <c r="K365" t="n">
        <v>0</v>
      </c>
      <c r="L365" t="n">
        <v>0</v>
      </c>
      <c r="M365" t="n">
        <v>0</v>
      </c>
      <c r="N365" t="n">
        <v>0</v>
      </c>
      <c r="O365" t="n">
        <v>0</v>
      </c>
      <c r="P365" t="n">
        <v>0</v>
      </c>
      <c r="Q365" t="n">
        <v>0</v>
      </c>
      <c r="R365" s="2" t="inlineStr"/>
    </row>
    <row r="366" ht="15" customHeight="1">
      <c r="A366" t="inlineStr">
        <is>
          <t>A 35734-2025</t>
        </is>
      </c>
      <c r="B366" s="1" t="n">
        <v>45860.471875</v>
      </c>
      <c r="C366" s="1" t="n">
        <v>45886</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51570-2023</t>
        </is>
      </c>
      <c r="B367" s="1" t="n">
        <v>45222</v>
      </c>
      <c r="C367" s="1" t="n">
        <v>45886</v>
      </c>
      <c r="D367" t="inlineStr">
        <is>
          <t>DALARNAS LÄN</t>
        </is>
      </c>
      <c r="E367" t="inlineStr">
        <is>
          <t>MORA</t>
        </is>
      </c>
      <c r="G367" t="n">
        <v>10.1</v>
      </c>
      <c r="H367" t="n">
        <v>0</v>
      </c>
      <c r="I367" t="n">
        <v>0</v>
      </c>
      <c r="J367" t="n">
        <v>0</v>
      </c>
      <c r="K367" t="n">
        <v>0</v>
      </c>
      <c r="L367" t="n">
        <v>0</v>
      </c>
      <c r="M367" t="n">
        <v>0</v>
      </c>
      <c r="N367" t="n">
        <v>0</v>
      </c>
      <c r="O367" t="n">
        <v>0</v>
      </c>
      <c r="P367" t="n">
        <v>0</v>
      </c>
      <c r="Q367" t="n">
        <v>0</v>
      </c>
      <c r="R367" s="2" t="inlineStr"/>
    </row>
    <row r="368" ht="15" customHeight="1">
      <c r="A368" t="inlineStr">
        <is>
          <t>A 24590-2024</t>
        </is>
      </c>
      <c r="B368" s="1" t="n">
        <v>45460</v>
      </c>
      <c r="C368" s="1" t="n">
        <v>45886</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32261-2022</t>
        </is>
      </c>
      <c r="B369" s="1" t="n">
        <v>44781.5350925926</v>
      </c>
      <c r="C369" s="1" t="n">
        <v>45886</v>
      </c>
      <c r="D369" t="inlineStr">
        <is>
          <t>DALARNAS LÄN</t>
        </is>
      </c>
      <c r="E369" t="inlineStr">
        <is>
          <t>MORA</t>
        </is>
      </c>
      <c r="G369" t="n">
        <v>2.7</v>
      </c>
      <c r="H369" t="n">
        <v>0</v>
      </c>
      <c r="I369" t="n">
        <v>0</v>
      </c>
      <c r="J369" t="n">
        <v>0</v>
      </c>
      <c r="K369" t="n">
        <v>0</v>
      </c>
      <c r="L369" t="n">
        <v>0</v>
      </c>
      <c r="M369" t="n">
        <v>0</v>
      </c>
      <c r="N369" t="n">
        <v>0</v>
      </c>
      <c r="O369" t="n">
        <v>0</v>
      </c>
      <c r="P369" t="n">
        <v>0</v>
      </c>
      <c r="Q369" t="n">
        <v>0</v>
      </c>
      <c r="R369" s="2" t="inlineStr"/>
    </row>
    <row r="370" ht="15" customHeight="1">
      <c r="A370" t="inlineStr">
        <is>
          <t>A 35611-2025</t>
        </is>
      </c>
      <c r="B370" s="1" t="n">
        <v>45859.35384259259</v>
      </c>
      <c r="C370" s="1" t="n">
        <v>45886</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42934-2024</t>
        </is>
      </c>
      <c r="B371" s="1" t="n">
        <v>45567.33655092592</v>
      </c>
      <c r="C371" s="1" t="n">
        <v>45886</v>
      </c>
      <c r="D371" t="inlineStr">
        <is>
          <t>DALARNAS LÄN</t>
        </is>
      </c>
      <c r="E371" t="inlineStr">
        <is>
          <t>MORA</t>
        </is>
      </c>
      <c r="G371" t="n">
        <v>0.7</v>
      </c>
      <c r="H371" t="n">
        <v>0</v>
      </c>
      <c r="I371" t="n">
        <v>0</v>
      </c>
      <c r="J371" t="n">
        <v>0</v>
      </c>
      <c r="K371" t="n">
        <v>0</v>
      </c>
      <c r="L371" t="n">
        <v>0</v>
      </c>
      <c r="M371" t="n">
        <v>0</v>
      </c>
      <c r="N371" t="n">
        <v>0</v>
      </c>
      <c r="O371" t="n">
        <v>0</v>
      </c>
      <c r="P371" t="n">
        <v>0</v>
      </c>
      <c r="Q371" t="n">
        <v>0</v>
      </c>
      <c r="R371" s="2" t="inlineStr"/>
    </row>
    <row r="372" ht="15" customHeight="1">
      <c r="A372" t="inlineStr">
        <is>
          <t>A 35623-2025</t>
        </is>
      </c>
      <c r="B372" s="1" t="n">
        <v>45859.42809027778</v>
      </c>
      <c r="C372" s="1" t="n">
        <v>45886</v>
      </c>
      <c r="D372" t="inlineStr">
        <is>
          <t>DALARNAS LÄN</t>
        </is>
      </c>
      <c r="E372" t="inlineStr">
        <is>
          <t>MORA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35622-2025</t>
        </is>
      </c>
      <c r="B373" s="1" t="n">
        <v>45859.42550925926</v>
      </c>
      <c r="C373" s="1" t="n">
        <v>45886</v>
      </c>
      <c r="D373" t="inlineStr">
        <is>
          <t>DALARNAS LÄN</t>
        </is>
      </c>
      <c r="E373" t="inlineStr">
        <is>
          <t>MORA</t>
        </is>
      </c>
      <c r="F373" t="inlineStr">
        <is>
          <t>Bergvik skog öst AB</t>
        </is>
      </c>
      <c r="G373" t="n">
        <v>5.8</v>
      </c>
      <c r="H373" t="n">
        <v>0</v>
      </c>
      <c r="I373" t="n">
        <v>0</v>
      </c>
      <c r="J373" t="n">
        <v>0</v>
      </c>
      <c r="K373" t="n">
        <v>0</v>
      </c>
      <c r="L373" t="n">
        <v>0</v>
      </c>
      <c r="M373" t="n">
        <v>0</v>
      </c>
      <c r="N373" t="n">
        <v>0</v>
      </c>
      <c r="O373" t="n">
        <v>0</v>
      </c>
      <c r="P373" t="n">
        <v>0</v>
      </c>
      <c r="Q373" t="n">
        <v>0</v>
      </c>
      <c r="R373" s="2" t="inlineStr"/>
    </row>
    <row r="374" ht="15" customHeight="1">
      <c r="A374" t="inlineStr">
        <is>
          <t>A 2879-2022</t>
        </is>
      </c>
      <c r="B374" s="1" t="n">
        <v>44581</v>
      </c>
      <c r="C374" s="1" t="n">
        <v>45886</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61654-2024</t>
        </is>
      </c>
      <c r="B375" s="1" t="n">
        <v>45646.74988425926</v>
      </c>
      <c r="C375" s="1" t="n">
        <v>45886</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48825-2023</t>
        </is>
      </c>
      <c r="B376" s="1" t="n">
        <v>45203</v>
      </c>
      <c r="C376" s="1" t="n">
        <v>45886</v>
      </c>
      <c r="D376" t="inlineStr">
        <is>
          <t>DALARNAS LÄN</t>
        </is>
      </c>
      <c r="E376" t="inlineStr">
        <is>
          <t>MORA</t>
        </is>
      </c>
      <c r="G376" t="n">
        <v>7.9</v>
      </c>
      <c r="H376" t="n">
        <v>0</v>
      </c>
      <c r="I376" t="n">
        <v>0</v>
      </c>
      <c r="J376" t="n">
        <v>0</v>
      </c>
      <c r="K376" t="n">
        <v>0</v>
      </c>
      <c r="L376" t="n">
        <v>0</v>
      </c>
      <c r="M376" t="n">
        <v>0</v>
      </c>
      <c r="N376" t="n">
        <v>0</v>
      </c>
      <c r="O376" t="n">
        <v>0</v>
      </c>
      <c r="P376" t="n">
        <v>0</v>
      </c>
      <c r="Q376" t="n">
        <v>0</v>
      </c>
      <c r="R376" s="2" t="inlineStr"/>
    </row>
    <row r="377" ht="15" customHeight="1">
      <c r="A377" t="inlineStr">
        <is>
          <t>A 28751-2025</t>
        </is>
      </c>
      <c r="B377" s="1" t="n">
        <v>45820.40034722222</v>
      </c>
      <c r="C377" s="1" t="n">
        <v>45886</v>
      </c>
      <c r="D377" t="inlineStr">
        <is>
          <t>DALARNAS LÄN</t>
        </is>
      </c>
      <c r="E377" t="inlineStr">
        <is>
          <t>MORA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18806-2025</t>
        </is>
      </c>
      <c r="B378" s="1" t="n">
        <v>45764.35269675926</v>
      </c>
      <c r="C378" s="1" t="n">
        <v>45886</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28925-2025</t>
        </is>
      </c>
      <c r="B379" s="1" t="n">
        <v>45820.67107638889</v>
      </c>
      <c r="C379" s="1" t="n">
        <v>45886</v>
      </c>
      <c r="D379" t="inlineStr">
        <is>
          <t>DALARNAS LÄN</t>
        </is>
      </c>
      <c r="E379" t="inlineStr">
        <is>
          <t>MORA</t>
        </is>
      </c>
      <c r="G379" t="n">
        <v>3.7</v>
      </c>
      <c r="H379" t="n">
        <v>0</v>
      </c>
      <c r="I379" t="n">
        <v>0</v>
      </c>
      <c r="J379" t="n">
        <v>0</v>
      </c>
      <c r="K379" t="n">
        <v>0</v>
      </c>
      <c r="L379" t="n">
        <v>0</v>
      </c>
      <c r="M379" t="n">
        <v>0</v>
      </c>
      <c r="N379" t="n">
        <v>0</v>
      </c>
      <c r="O379" t="n">
        <v>0</v>
      </c>
      <c r="P379" t="n">
        <v>0</v>
      </c>
      <c r="Q379" t="n">
        <v>0</v>
      </c>
      <c r="R379" s="2" t="inlineStr"/>
    </row>
    <row r="380" ht="15" customHeight="1">
      <c r="A380" t="inlineStr">
        <is>
          <t>A 28927-2025</t>
        </is>
      </c>
      <c r="B380" s="1" t="n">
        <v>45820.67221064815</v>
      </c>
      <c r="C380" s="1" t="n">
        <v>45886</v>
      </c>
      <c r="D380" t="inlineStr">
        <is>
          <t>DALARNAS LÄN</t>
        </is>
      </c>
      <c r="E380" t="inlineStr">
        <is>
          <t>MORA</t>
        </is>
      </c>
      <c r="G380" t="n">
        <v>0.4</v>
      </c>
      <c r="H380" t="n">
        <v>0</v>
      </c>
      <c r="I380" t="n">
        <v>0</v>
      </c>
      <c r="J380" t="n">
        <v>0</v>
      </c>
      <c r="K380" t="n">
        <v>0</v>
      </c>
      <c r="L380" t="n">
        <v>0</v>
      </c>
      <c r="M380" t="n">
        <v>0</v>
      </c>
      <c r="N380" t="n">
        <v>0</v>
      </c>
      <c r="O380" t="n">
        <v>0</v>
      </c>
      <c r="P380" t="n">
        <v>0</v>
      </c>
      <c r="Q380" t="n">
        <v>0</v>
      </c>
      <c r="R380" s="2" t="inlineStr"/>
    </row>
    <row r="381" ht="15" customHeight="1">
      <c r="A381" t="inlineStr">
        <is>
          <t>A 17163-2025</t>
        </is>
      </c>
      <c r="B381" s="1" t="n">
        <v>45756.35998842592</v>
      </c>
      <c r="C381" s="1" t="n">
        <v>45886</v>
      </c>
      <c r="D381" t="inlineStr">
        <is>
          <t>DALARNAS LÄN</t>
        </is>
      </c>
      <c r="E381" t="inlineStr">
        <is>
          <t>MORA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28924-2025</t>
        </is>
      </c>
      <c r="B382" s="1" t="n">
        <v>45820.66846064815</v>
      </c>
      <c r="C382" s="1" t="n">
        <v>45886</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10777-2025</t>
        </is>
      </c>
      <c r="B383" s="1" t="n">
        <v>45722.47743055555</v>
      </c>
      <c r="C383" s="1" t="n">
        <v>45886</v>
      </c>
      <c r="D383" t="inlineStr">
        <is>
          <t>DALARNAS LÄN</t>
        </is>
      </c>
      <c r="E383" t="inlineStr">
        <is>
          <t>MORA</t>
        </is>
      </c>
      <c r="G383" t="n">
        <v>9.9</v>
      </c>
      <c r="H383" t="n">
        <v>0</v>
      </c>
      <c r="I383" t="n">
        <v>0</v>
      </c>
      <c r="J383" t="n">
        <v>0</v>
      </c>
      <c r="K383" t="n">
        <v>0</v>
      </c>
      <c r="L383" t="n">
        <v>0</v>
      </c>
      <c r="M383" t="n">
        <v>0</v>
      </c>
      <c r="N383" t="n">
        <v>0</v>
      </c>
      <c r="O383" t="n">
        <v>0</v>
      </c>
      <c r="P383" t="n">
        <v>0</v>
      </c>
      <c r="Q383" t="n">
        <v>0</v>
      </c>
      <c r="R383" s="2" t="inlineStr"/>
    </row>
    <row r="384" ht="15" customHeight="1">
      <c r="A384" t="inlineStr">
        <is>
          <t>A 25345-2025</t>
        </is>
      </c>
      <c r="B384" s="1" t="n">
        <v>45799</v>
      </c>
      <c r="C384" s="1" t="n">
        <v>45886</v>
      </c>
      <c r="D384" t="inlineStr">
        <is>
          <t>DALARNAS LÄN</t>
        </is>
      </c>
      <c r="E384" t="inlineStr">
        <is>
          <t>MORA</t>
        </is>
      </c>
      <c r="G384" t="n">
        <v>3.1</v>
      </c>
      <c r="H384" t="n">
        <v>0</v>
      </c>
      <c r="I384" t="n">
        <v>0</v>
      </c>
      <c r="J384" t="n">
        <v>0</v>
      </c>
      <c r="K384" t="n">
        <v>0</v>
      </c>
      <c r="L384" t="n">
        <v>0</v>
      </c>
      <c r="M384" t="n">
        <v>0</v>
      </c>
      <c r="N384" t="n">
        <v>0</v>
      </c>
      <c r="O384" t="n">
        <v>0</v>
      </c>
      <c r="P384" t="n">
        <v>0</v>
      </c>
      <c r="Q384" t="n">
        <v>0</v>
      </c>
      <c r="R384" s="2" t="inlineStr"/>
    </row>
    <row r="385" ht="15" customHeight="1">
      <c r="A385" t="inlineStr">
        <is>
          <t>A 54253-2023</t>
        </is>
      </c>
      <c r="B385" s="1" t="n">
        <v>45232.63217592592</v>
      </c>
      <c r="C385" s="1" t="n">
        <v>45886</v>
      </c>
      <c r="D385" t="inlineStr">
        <is>
          <t>DALARNAS LÄN</t>
        </is>
      </c>
      <c r="E385" t="inlineStr">
        <is>
          <t>MORA</t>
        </is>
      </c>
      <c r="G385" t="n">
        <v>4.5</v>
      </c>
      <c r="H385" t="n">
        <v>0</v>
      </c>
      <c r="I385" t="n">
        <v>0</v>
      </c>
      <c r="J385" t="n">
        <v>0</v>
      </c>
      <c r="K385" t="n">
        <v>0</v>
      </c>
      <c r="L385" t="n">
        <v>0</v>
      </c>
      <c r="M385" t="n">
        <v>0</v>
      </c>
      <c r="N385" t="n">
        <v>0</v>
      </c>
      <c r="O385" t="n">
        <v>0</v>
      </c>
      <c r="P385" t="n">
        <v>0</v>
      </c>
      <c r="Q385" t="n">
        <v>0</v>
      </c>
      <c r="R385" s="2" t="inlineStr"/>
    </row>
    <row r="386" ht="15" customHeight="1">
      <c r="A386" t="inlineStr">
        <is>
          <t>A 29425-2025</t>
        </is>
      </c>
      <c r="B386" s="1" t="n">
        <v>45824.64524305556</v>
      </c>
      <c r="C386" s="1" t="n">
        <v>45886</v>
      </c>
      <c r="D386" t="inlineStr">
        <is>
          <t>DALARNAS LÄN</t>
        </is>
      </c>
      <c r="E386" t="inlineStr">
        <is>
          <t>MORA</t>
        </is>
      </c>
      <c r="G386" t="n">
        <v>4.4</v>
      </c>
      <c r="H386" t="n">
        <v>0</v>
      </c>
      <c r="I386" t="n">
        <v>0</v>
      </c>
      <c r="J386" t="n">
        <v>0</v>
      </c>
      <c r="K386" t="n">
        <v>0</v>
      </c>
      <c r="L386" t="n">
        <v>0</v>
      </c>
      <c r="M386" t="n">
        <v>0</v>
      </c>
      <c r="N386" t="n">
        <v>0</v>
      </c>
      <c r="O386" t="n">
        <v>0</v>
      </c>
      <c r="P386" t="n">
        <v>0</v>
      </c>
      <c r="Q386" t="n">
        <v>0</v>
      </c>
      <c r="R386" s="2" t="inlineStr"/>
    </row>
    <row r="387" ht="15" customHeight="1">
      <c r="A387" t="inlineStr">
        <is>
          <t>A 28976-2025</t>
        </is>
      </c>
      <c r="B387" s="1" t="n">
        <v>45821.34855324074</v>
      </c>
      <c r="C387" s="1" t="n">
        <v>45886</v>
      </c>
      <c r="D387" t="inlineStr">
        <is>
          <t>DALARNAS LÄN</t>
        </is>
      </c>
      <c r="E387" t="inlineStr">
        <is>
          <t>MORA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29440-2025</t>
        </is>
      </c>
      <c r="B388" s="1" t="n">
        <v>45824.65862268519</v>
      </c>
      <c r="C388" s="1" t="n">
        <v>45886</v>
      </c>
      <c r="D388" t="inlineStr">
        <is>
          <t>DALARNAS LÄN</t>
        </is>
      </c>
      <c r="E388" t="inlineStr">
        <is>
          <t>MORA</t>
        </is>
      </c>
      <c r="G388" t="n">
        <v>1.7</v>
      </c>
      <c r="H388" t="n">
        <v>0</v>
      </c>
      <c r="I388" t="n">
        <v>0</v>
      </c>
      <c r="J388" t="n">
        <v>0</v>
      </c>
      <c r="K388" t="n">
        <v>0</v>
      </c>
      <c r="L388" t="n">
        <v>0</v>
      </c>
      <c r="M388" t="n">
        <v>0</v>
      </c>
      <c r="N388" t="n">
        <v>0</v>
      </c>
      <c r="O388" t="n">
        <v>0</v>
      </c>
      <c r="P388" t="n">
        <v>0</v>
      </c>
      <c r="Q388" t="n">
        <v>0</v>
      </c>
      <c r="R388" s="2" t="inlineStr"/>
    </row>
    <row r="389" ht="15" customHeight="1">
      <c r="A389" t="inlineStr">
        <is>
          <t>A 29068-2025</t>
        </is>
      </c>
      <c r="B389" s="1" t="n">
        <v>45821.50900462963</v>
      </c>
      <c r="C389" s="1" t="n">
        <v>45886</v>
      </c>
      <c r="D389" t="inlineStr">
        <is>
          <t>DALARNAS LÄN</t>
        </is>
      </c>
      <c r="E389" t="inlineStr">
        <is>
          <t>MORA</t>
        </is>
      </c>
      <c r="G389" t="n">
        <v>1.2</v>
      </c>
      <c r="H389" t="n">
        <v>0</v>
      </c>
      <c r="I389" t="n">
        <v>0</v>
      </c>
      <c r="J389" t="n">
        <v>0</v>
      </c>
      <c r="K389" t="n">
        <v>0</v>
      </c>
      <c r="L389" t="n">
        <v>0</v>
      </c>
      <c r="M389" t="n">
        <v>0</v>
      </c>
      <c r="N389" t="n">
        <v>0</v>
      </c>
      <c r="O389" t="n">
        <v>0</v>
      </c>
      <c r="P389" t="n">
        <v>0</v>
      </c>
      <c r="Q389" t="n">
        <v>0</v>
      </c>
      <c r="R389" s="2" t="inlineStr"/>
    </row>
    <row r="390" ht="15" customHeight="1">
      <c r="A390" t="inlineStr">
        <is>
          <t>A 36041-2025</t>
        </is>
      </c>
      <c r="B390" s="1" t="n">
        <v>45866.34385416667</v>
      </c>
      <c r="C390" s="1" t="n">
        <v>45886</v>
      </c>
      <c r="D390" t="inlineStr">
        <is>
          <t>DALARNAS LÄN</t>
        </is>
      </c>
      <c r="E390" t="inlineStr">
        <is>
          <t>MORA</t>
        </is>
      </c>
      <c r="G390" t="n">
        <v>0.6</v>
      </c>
      <c r="H390" t="n">
        <v>0</v>
      </c>
      <c r="I390" t="n">
        <v>0</v>
      </c>
      <c r="J390" t="n">
        <v>0</v>
      </c>
      <c r="K390" t="n">
        <v>0</v>
      </c>
      <c r="L390" t="n">
        <v>0</v>
      </c>
      <c r="M390" t="n">
        <v>0</v>
      </c>
      <c r="N390" t="n">
        <v>0</v>
      </c>
      <c r="O390" t="n">
        <v>0</v>
      </c>
      <c r="P390" t="n">
        <v>0</v>
      </c>
      <c r="Q390" t="n">
        <v>0</v>
      </c>
      <c r="R390" s="2" t="inlineStr"/>
    </row>
    <row r="391" ht="15" customHeight="1">
      <c r="A391" t="inlineStr">
        <is>
          <t>A 44817-2023</t>
        </is>
      </c>
      <c r="B391" s="1" t="n">
        <v>45190.51887731482</v>
      </c>
      <c r="C391" s="1" t="n">
        <v>45886</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29870-2025</t>
        </is>
      </c>
      <c r="B392" s="1" t="n">
        <v>45826.35716435185</v>
      </c>
      <c r="C392" s="1" t="n">
        <v>45886</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29873-2025</t>
        </is>
      </c>
      <c r="B393" s="1" t="n">
        <v>45826</v>
      </c>
      <c r="C393" s="1" t="n">
        <v>45886</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36179-2025</t>
        </is>
      </c>
      <c r="B394" s="1" t="n">
        <v>45867</v>
      </c>
      <c r="C394" s="1" t="n">
        <v>45886</v>
      </c>
      <c r="D394" t="inlineStr">
        <is>
          <t>DALARNAS LÄN</t>
        </is>
      </c>
      <c r="E394" t="inlineStr">
        <is>
          <t>MORA</t>
        </is>
      </c>
      <c r="G394" t="n">
        <v>2.5</v>
      </c>
      <c r="H394" t="n">
        <v>0</v>
      </c>
      <c r="I394" t="n">
        <v>0</v>
      </c>
      <c r="J394" t="n">
        <v>0</v>
      </c>
      <c r="K394" t="n">
        <v>0</v>
      </c>
      <c r="L394" t="n">
        <v>0</v>
      </c>
      <c r="M394" t="n">
        <v>0</v>
      </c>
      <c r="N394" t="n">
        <v>0</v>
      </c>
      <c r="O394" t="n">
        <v>0</v>
      </c>
      <c r="P394" t="n">
        <v>0</v>
      </c>
      <c r="Q394" t="n">
        <v>0</v>
      </c>
      <c r="R394" s="2" t="inlineStr"/>
    </row>
    <row r="395" ht="15" customHeight="1">
      <c r="A395" t="inlineStr">
        <is>
          <t>A 29528-2025</t>
        </is>
      </c>
      <c r="B395" s="1" t="n">
        <v>45825.34322916667</v>
      </c>
      <c r="C395" s="1" t="n">
        <v>45886</v>
      </c>
      <c r="D395" t="inlineStr">
        <is>
          <t>DALARNAS LÄN</t>
        </is>
      </c>
      <c r="E395" t="inlineStr">
        <is>
          <t>MORA</t>
        </is>
      </c>
      <c r="G395" t="n">
        <v>2.2</v>
      </c>
      <c r="H395" t="n">
        <v>0</v>
      </c>
      <c r="I395" t="n">
        <v>0</v>
      </c>
      <c r="J395" t="n">
        <v>0</v>
      </c>
      <c r="K395" t="n">
        <v>0</v>
      </c>
      <c r="L395" t="n">
        <v>0</v>
      </c>
      <c r="M395" t="n">
        <v>0</v>
      </c>
      <c r="N395" t="n">
        <v>0</v>
      </c>
      <c r="O395" t="n">
        <v>0</v>
      </c>
      <c r="P395" t="n">
        <v>0</v>
      </c>
      <c r="Q395" t="n">
        <v>0</v>
      </c>
      <c r="R395" s="2" t="inlineStr"/>
    </row>
    <row r="396" ht="15" customHeight="1">
      <c r="A396" t="inlineStr">
        <is>
          <t>A 17865-2025</t>
        </is>
      </c>
      <c r="B396" s="1" t="n">
        <v>45758.62951388889</v>
      </c>
      <c r="C396" s="1" t="n">
        <v>45886</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54628-2024</t>
        </is>
      </c>
      <c r="B397" s="1" t="n">
        <v>45617.83969907407</v>
      </c>
      <c r="C397" s="1" t="n">
        <v>45886</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1252-2025</t>
        </is>
      </c>
      <c r="B398" s="1" t="n">
        <v>45667.46648148148</v>
      </c>
      <c r="C398" s="1" t="n">
        <v>45886</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17167-2025</t>
        </is>
      </c>
      <c r="B399" s="1" t="n">
        <v>45756.36844907407</v>
      </c>
      <c r="C399" s="1" t="n">
        <v>45886</v>
      </c>
      <c r="D399" t="inlineStr">
        <is>
          <t>DALARNAS LÄN</t>
        </is>
      </c>
      <c r="E399" t="inlineStr">
        <is>
          <t>MORA</t>
        </is>
      </c>
      <c r="F399" t="inlineStr">
        <is>
          <t>Bergvik skog öst AB</t>
        </is>
      </c>
      <c r="G399" t="n">
        <v>1.7</v>
      </c>
      <c r="H399" t="n">
        <v>0</v>
      </c>
      <c r="I399" t="n">
        <v>0</v>
      </c>
      <c r="J399" t="n">
        <v>0</v>
      </c>
      <c r="K399" t="n">
        <v>0</v>
      </c>
      <c r="L399" t="n">
        <v>0</v>
      </c>
      <c r="M399" t="n">
        <v>0</v>
      </c>
      <c r="N399" t="n">
        <v>0</v>
      </c>
      <c r="O399" t="n">
        <v>0</v>
      </c>
      <c r="P399" t="n">
        <v>0</v>
      </c>
      <c r="Q399" t="n">
        <v>0</v>
      </c>
      <c r="R399" s="2" t="inlineStr"/>
    </row>
    <row r="400" ht="15" customHeight="1">
      <c r="A400" t="inlineStr">
        <is>
          <t>A 17176-2025</t>
        </is>
      </c>
      <c r="B400" s="1" t="n">
        <v>45756.37520833333</v>
      </c>
      <c r="C400" s="1" t="n">
        <v>45886</v>
      </c>
      <c r="D400" t="inlineStr">
        <is>
          <t>DALARNAS LÄN</t>
        </is>
      </c>
      <c r="E400" t="inlineStr">
        <is>
          <t>MORA</t>
        </is>
      </c>
      <c r="F400" t="inlineStr">
        <is>
          <t>Bergvik skog öst AB</t>
        </is>
      </c>
      <c r="G400" t="n">
        <v>1.7</v>
      </c>
      <c r="H400" t="n">
        <v>0</v>
      </c>
      <c r="I400" t="n">
        <v>0</v>
      </c>
      <c r="J400" t="n">
        <v>0</v>
      </c>
      <c r="K400" t="n">
        <v>0</v>
      </c>
      <c r="L400" t="n">
        <v>0</v>
      </c>
      <c r="M400" t="n">
        <v>0</v>
      </c>
      <c r="N400" t="n">
        <v>0</v>
      </c>
      <c r="O400" t="n">
        <v>0</v>
      </c>
      <c r="P400" t="n">
        <v>0</v>
      </c>
      <c r="Q400" t="n">
        <v>0</v>
      </c>
      <c r="R400" s="2" t="inlineStr"/>
    </row>
    <row r="401" ht="15" customHeight="1">
      <c r="A401" t="inlineStr">
        <is>
          <t>A 39348-2024</t>
        </is>
      </c>
      <c r="B401" s="1" t="n">
        <v>45551.45322916667</v>
      </c>
      <c r="C401" s="1" t="n">
        <v>45886</v>
      </c>
      <c r="D401" t="inlineStr">
        <is>
          <t>DALARNAS LÄN</t>
        </is>
      </c>
      <c r="E401" t="inlineStr">
        <is>
          <t>MORA</t>
        </is>
      </c>
      <c r="G401" t="n">
        <v>0.5</v>
      </c>
      <c r="H401" t="n">
        <v>0</v>
      </c>
      <c r="I401" t="n">
        <v>0</v>
      </c>
      <c r="J401" t="n">
        <v>0</v>
      </c>
      <c r="K401" t="n">
        <v>0</v>
      </c>
      <c r="L401" t="n">
        <v>0</v>
      </c>
      <c r="M401" t="n">
        <v>0</v>
      </c>
      <c r="N401" t="n">
        <v>0</v>
      </c>
      <c r="O401" t="n">
        <v>0</v>
      </c>
      <c r="P401" t="n">
        <v>0</v>
      </c>
      <c r="Q401" t="n">
        <v>0</v>
      </c>
      <c r="R401" s="2" t="inlineStr"/>
    </row>
    <row r="402" ht="15" customHeight="1">
      <c r="A402" t="inlineStr">
        <is>
          <t>A 57999-2023</t>
        </is>
      </c>
      <c r="B402" s="1" t="n">
        <v>45247</v>
      </c>
      <c r="C402" s="1" t="n">
        <v>45886</v>
      </c>
      <c r="D402" t="inlineStr">
        <is>
          <t>DALARNAS LÄN</t>
        </is>
      </c>
      <c r="E402" t="inlineStr">
        <is>
          <t>MORA</t>
        </is>
      </c>
      <c r="G402" t="n">
        <v>0.4</v>
      </c>
      <c r="H402" t="n">
        <v>0</v>
      </c>
      <c r="I402" t="n">
        <v>0</v>
      </c>
      <c r="J402" t="n">
        <v>0</v>
      </c>
      <c r="K402" t="n">
        <v>0</v>
      </c>
      <c r="L402" t="n">
        <v>0</v>
      </c>
      <c r="M402" t="n">
        <v>0</v>
      </c>
      <c r="N402" t="n">
        <v>0</v>
      </c>
      <c r="O402" t="n">
        <v>0</v>
      </c>
      <c r="P402" t="n">
        <v>0</v>
      </c>
      <c r="Q402" t="n">
        <v>0</v>
      </c>
      <c r="R402" s="2" t="inlineStr"/>
    </row>
    <row r="403" ht="15" customHeight="1">
      <c r="A403" t="inlineStr">
        <is>
          <t>A 2830-2023</t>
        </is>
      </c>
      <c r="B403" s="1" t="n">
        <v>44945.32997685186</v>
      </c>
      <c r="C403" s="1" t="n">
        <v>45886</v>
      </c>
      <c r="D403" t="inlineStr">
        <is>
          <t>DALARNAS LÄN</t>
        </is>
      </c>
      <c r="E403" t="inlineStr">
        <is>
          <t>MORA</t>
        </is>
      </c>
      <c r="G403" t="n">
        <v>0.5</v>
      </c>
      <c r="H403" t="n">
        <v>0</v>
      </c>
      <c r="I403" t="n">
        <v>0</v>
      </c>
      <c r="J403" t="n">
        <v>0</v>
      </c>
      <c r="K403" t="n">
        <v>0</v>
      </c>
      <c r="L403" t="n">
        <v>0</v>
      </c>
      <c r="M403" t="n">
        <v>0</v>
      </c>
      <c r="N403" t="n">
        <v>0</v>
      </c>
      <c r="O403" t="n">
        <v>0</v>
      </c>
      <c r="P403" t="n">
        <v>0</v>
      </c>
      <c r="Q403" t="n">
        <v>0</v>
      </c>
      <c r="R403" s="2" t="inlineStr"/>
    </row>
    <row r="404" ht="15" customHeight="1">
      <c r="A404" t="inlineStr">
        <is>
          <t>A 57319-2023</t>
        </is>
      </c>
      <c r="B404" s="1" t="n">
        <v>45245.64877314815</v>
      </c>
      <c r="C404" s="1" t="n">
        <v>45886</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30087-2025</t>
        </is>
      </c>
      <c r="B405" s="1" t="n">
        <v>45826.6575</v>
      </c>
      <c r="C405" s="1" t="n">
        <v>45886</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62853-2023</t>
        </is>
      </c>
      <c r="B406" s="1" t="n">
        <v>45272</v>
      </c>
      <c r="C406" s="1" t="n">
        <v>45886</v>
      </c>
      <c r="D406" t="inlineStr">
        <is>
          <t>DALARNAS LÄN</t>
        </is>
      </c>
      <c r="E406" t="inlineStr">
        <is>
          <t>MORA</t>
        </is>
      </c>
      <c r="G406" t="n">
        <v>13.6</v>
      </c>
      <c r="H406" t="n">
        <v>0</v>
      </c>
      <c r="I406" t="n">
        <v>0</v>
      </c>
      <c r="J406" t="n">
        <v>0</v>
      </c>
      <c r="K406" t="n">
        <v>0</v>
      </c>
      <c r="L406" t="n">
        <v>0</v>
      </c>
      <c r="M406" t="n">
        <v>0</v>
      </c>
      <c r="N406" t="n">
        <v>0</v>
      </c>
      <c r="O406" t="n">
        <v>0</v>
      </c>
      <c r="P406" t="n">
        <v>0</v>
      </c>
      <c r="Q406" t="n">
        <v>0</v>
      </c>
      <c r="R406" s="2" t="inlineStr"/>
    </row>
    <row r="407" ht="15" customHeight="1">
      <c r="A407" t="inlineStr">
        <is>
          <t>A 43826-2022</t>
        </is>
      </c>
      <c r="B407" s="1" t="n">
        <v>44838</v>
      </c>
      <c r="C407" s="1" t="n">
        <v>45886</v>
      </c>
      <c r="D407" t="inlineStr">
        <is>
          <t>DALARNAS LÄN</t>
        </is>
      </c>
      <c r="E407" t="inlineStr">
        <is>
          <t>MORA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44755.59188657408</v>
      </c>
      <c r="C408" s="1" t="n">
        <v>45886</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30166-2025</t>
        </is>
      </c>
      <c r="B409" s="1" t="n">
        <v>45827.33116898148</v>
      </c>
      <c r="C409" s="1" t="n">
        <v>45886</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36586-2025</t>
        </is>
      </c>
      <c r="B410" s="1" t="n">
        <v>45869</v>
      </c>
      <c r="C410" s="1" t="n">
        <v>45886</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44804.61636574074</v>
      </c>
      <c r="C411" s="1" t="n">
        <v>45886</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3531-2024</t>
        </is>
      </c>
      <c r="B412" s="1" t="n">
        <v>45320</v>
      </c>
      <c r="C412" s="1" t="n">
        <v>45886</v>
      </c>
      <c r="D412" t="inlineStr">
        <is>
          <t>DALARNAS LÄN</t>
        </is>
      </c>
      <c r="E412" t="inlineStr">
        <is>
          <t>MORA</t>
        </is>
      </c>
      <c r="G412" t="n">
        <v>1.4</v>
      </c>
      <c r="H412" t="n">
        <v>0</v>
      </c>
      <c r="I412" t="n">
        <v>0</v>
      </c>
      <c r="J412" t="n">
        <v>0</v>
      </c>
      <c r="K412" t="n">
        <v>0</v>
      </c>
      <c r="L412" t="n">
        <v>0</v>
      </c>
      <c r="M412" t="n">
        <v>0</v>
      </c>
      <c r="N412" t="n">
        <v>0</v>
      </c>
      <c r="O412" t="n">
        <v>0</v>
      </c>
      <c r="P412" t="n">
        <v>0</v>
      </c>
      <c r="Q412" t="n">
        <v>0</v>
      </c>
      <c r="R412" s="2" t="inlineStr"/>
      <c r="U412">
        <f>HYPERLINK("https://klasma.github.io/Logging_2062/knärot/A 3531-2024 karta knärot.png", "A 3531-2024")</f>
        <v/>
      </c>
      <c r="V412">
        <f>HYPERLINK("https://klasma.github.io/Logging_2062/klagomål/A 3531-2024 FSC-klagomål.docx", "A 3531-2024")</f>
        <v/>
      </c>
      <c r="W412">
        <f>HYPERLINK("https://klasma.github.io/Logging_2062/klagomålsmail/A 3531-2024 FSC-klagomål mail.docx", "A 3531-2024")</f>
        <v/>
      </c>
      <c r="X412">
        <f>HYPERLINK("https://klasma.github.io/Logging_2062/tillsyn/A 3531-2024 tillsynsbegäran.docx", "A 3531-2024")</f>
        <v/>
      </c>
      <c r="Y412">
        <f>HYPERLINK("https://klasma.github.io/Logging_2062/tillsynsmail/A 3531-2024 tillsynsbegäran mail.docx", "A 3531-2024")</f>
        <v/>
      </c>
    </row>
    <row r="413" ht="15" customHeight="1">
      <c r="A413" t="inlineStr">
        <is>
          <t>A 36760-2025</t>
        </is>
      </c>
      <c r="B413" s="1" t="n">
        <v>45873.57319444444</v>
      </c>
      <c r="C413" s="1" t="n">
        <v>45886</v>
      </c>
      <c r="D413" t="inlineStr">
        <is>
          <t>DALARNAS LÄN</t>
        </is>
      </c>
      <c r="E413" t="inlineStr">
        <is>
          <t>MORA</t>
        </is>
      </c>
      <c r="G413" t="n">
        <v>4.6</v>
      </c>
      <c r="H413" t="n">
        <v>0</v>
      </c>
      <c r="I413" t="n">
        <v>0</v>
      </c>
      <c r="J413" t="n">
        <v>0</v>
      </c>
      <c r="K413" t="n">
        <v>0</v>
      </c>
      <c r="L413" t="n">
        <v>0</v>
      </c>
      <c r="M413" t="n">
        <v>0</v>
      </c>
      <c r="N413" t="n">
        <v>0</v>
      </c>
      <c r="O413" t="n">
        <v>0</v>
      </c>
      <c r="P413" t="n">
        <v>0</v>
      </c>
      <c r="Q413" t="n">
        <v>0</v>
      </c>
      <c r="R413" s="2" t="inlineStr"/>
    </row>
    <row r="414" ht="15" customHeight="1">
      <c r="A414" t="inlineStr">
        <is>
          <t>A 30507-2025</t>
        </is>
      </c>
      <c r="B414" s="1" t="n">
        <v>45831.24760416667</v>
      </c>
      <c r="C414" s="1" t="n">
        <v>45886</v>
      </c>
      <c r="D414" t="inlineStr">
        <is>
          <t>DALARNAS LÄN</t>
        </is>
      </c>
      <c r="E414" t="inlineStr">
        <is>
          <t>MORA</t>
        </is>
      </c>
      <c r="G414" t="n">
        <v>1.6</v>
      </c>
      <c r="H414" t="n">
        <v>0</v>
      </c>
      <c r="I414" t="n">
        <v>0</v>
      </c>
      <c r="J414" t="n">
        <v>0</v>
      </c>
      <c r="K414" t="n">
        <v>0</v>
      </c>
      <c r="L414" t="n">
        <v>0</v>
      </c>
      <c r="M414" t="n">
        <v>0</v>
      </c>
      <c r="N414" t="n">
        <v>0</v>
      </c>
      <c r="O414" t="n">
        <v>0</v>
      </c>
      <c r="P414" t="n">
        <v>0</v>
      </c>
      <c r="Q414" t="n">
        <v>0</v>
      </c>
      <c r="R414" s="2" t="inlineStr"/>
    </row>
    <row r="415" ht="15" customHeight="1">
      <c r="A415" t="inlineStr">
        <is>
          <t>A 39009-2023</t>
        </is>
      </c>
      <c r="B415" s="1" t="n">
        <v>45162</v>
      </c>
      <c r="C415" s="1" t="n">
        <v>45886</v>
      </c>
      <c r="D415" t="inlineStr">
        <is>
          <t>DALARNAS LÄN</t>
        </is>
      </c>
      <c r="E415" t="inlineStr">
        <is>
          <t>MORA</t>
        </is>
      </c>
      <c r="G415" t="n">
        <v>1.9</v>
      </c>
      <c r="H415" t="n">
        <v>0</v>
      </c>
      <c r="I415" t="n">
        <v>0</v>
      </c>
      <c r="J415" t="n">
        <v>0</v>
      </c>
      <c r="K415" t="n">
        <v>0</v>
      </c>
      <c r="L415" t="n">
        <v>0</v>
      </c>
      <c r="M415" t="n">
        <v>0</v>
      </c>
      <c r="N415" t="n">
        <v>0</v>
      </c>
      <c r="O415" t="n">
        <v>0</v>
      </c>
      <c r="P415" t="n">
        <v>0</v>
      </c>
      <c r="Q415" t="n">
        <v>0</v>
      </c>
      <c r="R415" s="2" t="inlineStr"/>
    </row>
    <row r="416" ht="15" customHeight="1">
      <c r="A416" t="inlineStr">
        <is>
          <t>A 34660-2021</t>
        </is>
      </c>
      <c r="B416" s="1" t="n">
        <v>44382.57981481482</v>
      </c>
      <c r="C416" s="1" t="n">
        <v>45886</v>
      </c>
      <c r="D416" t="inlineStr">
        <is>
          <t>DALARNAS LÄN</t>
        </is>
      </c>
      <c r="E416" t="inlineStr">
        <is>
          <t>MORA</t>
        </is>
      </c>
      <c r="G416" t="n">
        <v>7.5</v>
      </c>
      <c r="H416" t="n">
        <v>0</v>
      </c>
      <c r="I416" t="n">
        <v>0</v>
      </c>
      <c r="J416" t="n">
        <v>0</v>
      </c>
      <c r="K416" t="n">
        <v>0</v>
      </c>
      <c r="L416" t="n">
        <v>0</v>
      </c>
      <c r="M416" t="n">
        <v>0</v>
      </c>
      <c r="N416" t="n">
        <v>0</v>
      </c>
      <c r="O416" t="n">
        <v>0</v>
      </c>
      <c r="P416" t="n">
        <v>0</v>
      </c>
      <c r="Q416" t="n">
        <v>0</v>
      </c>
      <c r="R416" s="2" t="inlineStr"/>
    </row>
    <row r="417" ht="15" customHeight="1">
      <c r="A417" t="inlineStr">
        <is>
          <t>A 2308-2023</t>
        </is>
      </c>
      <c r="B417" s="1" t="n">
        <v>44942.57987268519</v>
      </c>
      <c r="C417" s="1" t="n">
        <v>45886</v>
      </c>
      <c r="D417" t="inlineStr">
        <is>
          <t>DALARNAS LÄN</t>
        </is>
      </c>
      <c r="E417" t="inlineStr">
        <is>
          <t>MORA</t>
        </is>
      </c>
      <c r="G417" t="n">
        <v>2.2</v>
      </c>
      <c r="H417" t="n">
        <v>0</v>
      </c>
      <c r="I417" t="n">
        <v>0</v>
      </c>
      <c r="J417" t="n">
        <v>0</v>
      </c>
      <c r="K417" t="n">
        <v>0</v>
      </c>
      <c r="L417" t="n">
        <v>0</v>
      </c>
      <c r="M417" t="n">
        <v>0</v>
      </c>
      <c r="N417" t="n">
        <v>0</v>
      </c>
      <c r="O417" t="n">
        <v>0</v>
      </c>
      <c r="P417" t="n">
        <v>0</v>
      </c>
      <c r="Q417" t="n">
        <v>0</v>
      </c>
      <c r="R417" s="2" t="inlineStr"/>
    </row>
    <row r="418" ht="15" customHeight="1">
      <c r="A418" t="inlineStr">
        <is>
          <t>A 30858-2025</t>
        </is>
      </c>
      <c r="B418" s="1" t="n">
        <v>45831.92416666666</v>
      </c>
      <c r="C418" s="1" t="n">
        <v>45886</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30859-2025</t>
        </is>
      </c>
      <c r="B419" s="1" t="n">
        <v>45831.93105324074</v>
      </c>
      <c r="C419" s="1" t="n">
        <v>45886</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56012-2023</t>
        </is>
      </c>
      <c r="B420" s="1" t="n">
        <v>45240</v>
      </c>
      <c r="C420" s="1" t="n">
        <v>45886</v>
      </c>
      <c r="D420" t="inlineStr">
        <is>
          <t>DALARNAS LÄN</t>
        </is>
      </c>
      <c r="E420" t="inlineStr">
        <is>
          <t>MORA</t>
        </is>
      </c>
      <c r="G420" t="n">
        <v>0.3</v>
      </c>
      <c r="H420" t="n">
        <v>0</v>
      </c>
      <c r="I420" t="n">
        <v>0</v>
      </c>
      <c r="J420" t="n">
        <v>0</v>
      </c>
      <c r="K420" t="n">
        <v>0</v>
      </c>
      <c r="L420" t="n">
        <v>0</v>
      </c>
      <c r="M420" t="n">
        <v>0</v>
      </c>
      <c r="N420" t="n">
        <v>0</v>
      </c>
      <c r="O420" t="n">
        <v>0</v>
      </c>
      <c r="P420" t="n">
        <v>0</v>
      </c>
      <c r="Q420" t="n">
        <v>0</v>
      </c>
      <c r="R420" s="2" t="inlineStr"/>
    </row>
    <row r="421" ht="15" customHeight="1">
      <c r="A421" t="inlineStr">
        <is>
          <t>A 30989-2025</t>
        </is>
      </c>
      <c r="B421" s="1" t="n">
        <v>45832.48185185185</v>
      </c>
      <c r="C421" s="1" t="n">
        <v>45886</v>
      </c>
      <c r="D421" t="inlineStr">
        <is>
          <t>DALARNAS LÄN</t>
        </is>
      </c>
      <c r="E421" t="inlineStr">
        <is>
          <t>MORA</t>
        </is>
      </c>
      <c r="F421" t="inlineStr">
        <is>
          <t>Bergvik skog öst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36846-2025</t>
        </is>
      </c>
      <c r="B422" s="1" t="n">
        <v>45874.38655092593</v>
      </c>
      <c r="C422" s="1" t="n">
        <v>45886</v>
      </c>
      <c r="D422" t="inlineStr">
        <is>
          <t>DALARNAS LÄN</t>
        </is>
      </c>
      <c r="E422" t="inlineStr">
        <is>
          <t>MORA</t>
        </is>
      </c>
      <c r="G422" t="n">
        <v>10.7</v>
      </c>
      <c r="H422" t="n">
        <v>0</v>
      </c>
      <c r="I422" t="n">
        <v>0</v>
      </c>
      <c r="J422" t="n">
        <v>0</v>
      </c>
      <c r="K422" t="n">
        <v>0</v>
      </c>
      <c r="L422" t="n">
        <v>0</v>
      </c>
      <c r="M422" t="n">
        <v>0</v>
      </c>
      <c r="N422" t="n">
        <v>0</v>
      </c>
      <c r="O422" t="n">
        <v>0</v>
      </c>
      <c r="P422" t="n">
        <v>0</v>
      </c>
      <c r="Q422" t="n">
        <v>0</v>
      </c>
      <c r="R422" s="2" t="inlineStr"/>
    </row>
    <row r="423" ht="15" customHeight="1">
      <c r="A423" t="inlineStr">
        <is>
          <t>A 44769-2021</t>
        </is>
      </c>
      <c r="B423" s="1" t="n">
        <v>44438</v>
      </c>
      <c r="C423" s="1" t="n">
        <v>45886</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30509-2025</t>
        </is>
      </c>
      <c r="B424" s="1" t="n">
        <v>45831.25519675926</v>
      </c>
      <c r="C424" s="1" t="n">
        <v>45886</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31074-2025</t>
        </is>
      </c>
      <c r="B425" s="1" t="n">
        <v>45832.58114583333</v>
      </c>
      <c r="C425" s="1" t="n">
        <v>45886</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28487-2024</t>
        </is>
      </c>
      <c r="B426" s="1" t="n">
        <v>45477.75744212963</v>
      </c>
      <c r="C426" s="1" t="n">
        <v>45886</v>
      </c>
      <c r="D426" t="inlineStr">
        <is>
          <t>DALARNAS LÄN</t>
        </is>
      </c>
      <c r="E426" t="inlineStr">
        <is>
          <t>MORA</t>
        </is>
      </c>
      <c r="G426" t="n">
        <v>3.1</v>
      </c>
      <c r="H426" t="n">
        <v>0</v>
      </c>
      <c r="I426" t="n">
        <v>0</v>
      </c>
      <c r="J426" t="n">
        <v>0</v>
      </c>
      <c r="K426" t="n">
        <v>0</v>
      </c>
      <c r="L426" t="n">
        <v>0</v>
      </c>
      <c r="M426" t="n">
        <v>0</v>
      </c>
      <c r="N426" t="n">
        <v>0</v>
      </c>
      <c r="O426" t="n">
        <v>0</v>
      </c>
      <c r="P426" t="n">
        <v>0</v>
      </c>
      <c r="Q426" t="n">
        <v>0</v>
      </c>
      <c r="R426" s="2" t="inlineStr"/>
    </row>
    <row r="427" ht="15" customHeight="1">
      <c r="A427" t="inlineStr">
        <is>
          <t>A 31849-2025</t>
        </is>
      </c>
      <c r="B427" s="1" t="n">
        <v>45834.60525462963</v>
      </c>
      <c r="C427" s="1" t="n">
        <v>45886</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44859.52145833334</v>
      </c>
      <c r="C428" s="1" t="n">
        <v>45886</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37070-2025</t>
        </is>
      </c>
      <c r="B429" s="1" t="n">
        <v>45875.39822916667</v>
      </c>
      <c r="C429" s="1" t="n">
        <v>45886</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61222-2023</t>
        </is>
      </c>
      <c r="B430" s="1" t="n">
        <v>45264</v>
      </c>
      <c r="C430" s="1" t="n">
        <v>45886</v>
      </c>
      <c r="D430" t="inlineStr">
        <is>
          <t>DALARNAS LÄN</t>
        </is>
      </c>
      <c r="E430" t="inlineStr">
        <is>
          <t>MORA</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row>
    <row r="431" ht="15" customHeight="1">
      <c r="A431" t="inlineStr">
        <is>
          <t>A 31846-2025</t>
        </is>
      </c>
      <c r="B431" s="1" t="n">
        <v>45834.60209490741</v>
      </c>
      <c r="C431" s="1" t="n">
        <v>45886</v>
      </c>
      <c r="D431" t="inlineStr">
        <is>
          <t>DALARNAS LÄN</t>
        </is>
      </c>
      <c r="E431" t="inlineStr">
        <is>
          <t>MORA</t>
        </is>
      </c>
      <c r="G431" t="n">
        <v>3.6</v>
      </c>
      <c r="H431" t="n">
        <v>0</v>
      </c>
      <c r="I431" t="n">
        <v>0</v>
      </c>
      <c r="J431" t="n">
        <v>0</v>
      </c>
      <c r="K431" t="n">
        <v>0</v>
      </c>
      <c r="L431" t="n">
        <v>0</v>
      </c>
      <c r="M431" t="n">
        <v>0</v>
      </c>
      <c r="N431" t="n">
        <v>0</v>
      </c>
      <c r="O431" t="n">
        <v>0</v>
      </c>
      <c r="P431" t="n">
        <v>0</v>
      </c>
      <c r="Q431" t="n">
        <v>0</v>
      </c>
      <c r="R431" s="2" t="inlineStr"/>
    </row>
    <row r="432" ht="15" customHeight="1">
      <c r="A432" t="inlineStr">
        <is>
          <t>A 16967-2025</t>
        </is>
      </c>
      <c r="B432" s="1" t="n">
        <v>45755.46106481482</v>
      </c>
      <c r="C432" s="1" t="n">
        <v>45886</v>
      </c>
      <c r="D432" t="inlineStr">
        <is>
          <t>DALARNAS LÄN</t>
        </is>
      </c>
      <c r="E432" t="inlineStr">
        <is>
          <t>MORA</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37268-2025</t>
        </is>
      </c>
      <c r="B433" s="1" t="n">
        <v>45876.46681712963</v>
      </c>
      <c r="C433" s="1" t="n">
        <v>45886</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31842-2025</t>
        </is>
      </c>
      <c r="B434" s="1" t="n">
        <v>45834.59822916667</v>
      </c>
      <c r="C434" s="1" t="n">
        <v>45886</v>
      </c>
      <c r="D434" t="inlineStr">
        <is>
          <t>DALARNAS LÄN</t>
        </is>
      </c>
      <c r="E434" t="inlineStr">
        <is>
          <t>MORA</t>
        </is>
      </c>
      <c r="G434" t="n">
        <v>1.1</v>
      </c>
      <c r="H434" t="n">
        <v>0</v>
      </c>
      <c r="I434" t="n">
        <v>0</v>
      </c>
      <c r="J434" t="n">
        <v>0</v>
      </c>
      <c r="K434" t="n">
        <v>0</v>
      </c>
      <c r="L434" t="n">
        <v>0</v>
      </c>
      <c r="M434" t="n">
        <v>0</v>
      </c>
      <c r="N434" t="n">
        <v>0</v>
      </c>
      <c r="O434" t="n">
        <v>0</v>
      </c>
      <c r="P434" t="n">
        <v>0</v>
      </c>
      <c r="Q434" t="n">
        <v>0</v>
      </c>
      <c r="R434" s="2" t="inlineStr"/>
    </row>
    <row r="435" ht="15" customHeight="1">
      <c r="A435" t="inlineStr">
        <is>
          <t>A 60526-2023</t>
        </is>
      </c>
      <c r="B435" s="1" t="n">
        <v>45259</v>
      </c>
      <c r="C435" s="1" t="n">
        <v>45886</v>
      </c>
      <c r="D435" t="inlineStr">
        <is>
          <t>DALARNAS LÄN</t>
        </is>
      </c>
      <c r="E435" t="inlineStr">
        <is>
          <t>MORA</t>
        </is>
      </c>
      <c r="G435" t="n">
        <v>6.7</v>
      </c>
      <c r="H435" t="n">
        <v>0</v>
      </c>
      <c r="I435" t="n">
        <v>0</v>
      </c>
      <c r="J435" t="n">
        <v>0</v>
      </c>
      <c r="K435" t="n">
        <v>0</v>
      </c>
      <c r="L435" t="n">
        <v>0</v>
      </c>
      <c r="M435" t="n">
        <v>0</v>
      </c>
      <c r="N435" t="n">
        <v>0</v>
      </c>
      <c r="O435" t="n">
        <v>0</v>
      </c>
      <c r="P435" t="n">
        <v>0</v>
      </c>
      <c r="Q435" t="n">
        <v>0</v>
      </c>
      <c r="R435" s="2" t="inlineStr"/>
    </row>
    <row r="436" ht="15" customHeight="1">
      <c r="A436" t="inlineStr">
        <is>
          <t>A 40325-2024</t>
        </is>
      </c>
      <c r="B436" s="1" t="n">
        <v>45554.88538194444</v>
      </c>
      <c r="C436" s="1" t="n">
        <v>45886</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63958-2023</t>
        </is>
      </c>
      <c r="B437" s="1" t="n">
        <v>45278</v>
      </c>
      <c r="C437" s="1" t="n">
        <v>45886</v>
      </c>
      <c r="D437" t="inlineStr">
        <is>
          <t>DALARNAS LÄN</t>
        </is>
      </c>
      <c r="E437" t="inlineStr">
        <is>
          <t>MORA</t>
        </is>
      </c>
      <c r="G437" t="n">
        <v>1.9</v>
      </c>
      <c r="H437" t="n">
        <v>0</v>
      </c>
      <c r="I437" t="n">
        <v>0</v>
      </c>
      <c r="J437" t="n">
        <v>0</v>
      </c>
      <c r="K437" t="n">
        <v>0</v>
      </c>
      <c r="L437" t="n">
        <v>0</v>
      </c>
      <c r="M437" t="n">
        <v>0</v>
      </c>
      <c r="N437" t="n">
        <v>0</v>
      </c>
      <c r="O437" t="n">
        <v>0</v>
      </c>
      <c r="P437" t="n">
        <v>0</v>
      </c>
      <c r="Q437" t="n">
        <v>0</v>
      </c>
      <c r="R437" s="2" t="inlineStr"/>
    </row>
    <row r="438" ht="15" customHeight="1">
      <c r="A438" t="inlineStr">
        <is>
          <t>A 52908-2023</t>
        </is>
      </c>
      <c r="B438" s="1" t="n">
        <v>45226.49950231481</v>
      </c>
      <c r="C438" s="1" t="n">
        <v>45886</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19896-2021</t>
        </is>
      </c>
      <c r="B439" s="1" t="n">
        <v>44313.54942129629</v>
      </c>
      <c r="C439" s="1" t="n">
        <v>45886</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51253-2023</t>
        </is>
      </c>
      <c r="B440" s="1" t="n">
        <v>45219</v>
      </c>
      <c r="C440" s="1" t="n">
        <v>45886</v>
      </c>
      <c r="D440" t="inlineStr">
        <is>
          <t>DALARNAS LÄN</t>
        </is>
      </c>
      <c r="E440" t="inlineStr">
        <is>
          <t>MORA</t>
        </is>
      </c>
      <c r="G440" t="n">
        <v>5</v>
      </c>
      <c r="H440" t="n">
        <v>0</v>
      </c>
      <c r="I440" t="n">
        <v>0</v>
      </c>
      <c r="J440" t="n">
        <v>0</v>
      </c>
      <c r="K440" t="n">
        <v>0</v>
      </c>
      <c r="L440" t="n">
        <v>0</v>
      </c>
      <c r="M440" t="n">
        <v>0</v>
      </c>
      <c r="N440" t="n">
        <v>0</v>
      </c>
      <c r="O440" t="n">
        <v>0</v>
      </c>
      <c r="P440" t="n">
        <v>0</v>
      </c>
      <c r="Q440" t="n">
        <v>0</v>
      </c>
      <c r="R440" s="2" t="inlineStr"/>
    </row>
    <row r="441" ht="15" customHeight="1">
      <c r="A441" t="inlineStr">
        <is>
          <t>A 58116-2022</t>
        </is>
      </c>
      <c r="B441" s="1" t="n">
        <v>44900.65716435185</v>
      </c>
      <c r="C441" s="1" t="n">
        <v>45886</v>
      </c>
      <c r="D441" t="inlineStr">
        <is>
          <t>DALARNAS LÄN</t>
        </is>
      </c>
      <c r="E441" t="inlineStr">
        <is>
          <t>MORA</t>
        </is>
      </c>
      <c r="G441" t="n">
        <v>2.9</v>
      </c>
      <c r="H441" t="n">
        <v>0</v>
      </c>
      <c r="I441" t="n">
        <v>0</v>
      </c>
      <c r="J441" t="n">
        <v>0</v>
      </c>
      <c r="K441" t="n">
        <v>0</v>
      </c>
      <c r="L441" t="n">
        <v>0</v>
      </c>
      <c r="M441" t="n">
        <v>0</v>
      </c>
      <c r="N441" t="n">
        <v>0</v>
      </c>
      <c r="O441" t="n">
        <v>0</v>
      </c>
      <c r="P441" t="n">
        <v>0</v>
      </c>
      <c r="Q441" t="n">
        <v>0</v>
      </c>
      <c r="R441" s="2" t="inlineStr"/>
    </row>
    <row r="442" ht="15" customHeight="1">
      <c r="A442" t="inlineStr">
        <is>
          <t>A 24335-2022</t>
        </is>
      </c>
      <c r="B442" s="1" t="n">
        <v>44725</v>
      </c>
      <c r="C442" s="1" t="n">
        <v>45886</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15440-2024</t>
        </is>
      </c>
      <c r="B443" s="1" t="n">
        <v>45401.4194212963</v>
      </c>
      <c r="C443" s="1" t="n">
        <v>45886</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11857-2023</t>
        </is>
      </c>
      <c r="B444" s="1" t="n">
        <v>44995</v>
      </c>
      <c r="C444" s="1" t="n">
        <v>45886</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37879-2025</t>
        </is>
      </c>
      <c r="B445" s="1" t="n">
        <v>45881.48791666667</v>
      </c>
      <c r="C445" s="1" t="n">
        <v>45886</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20889-2024</t>
        </is>
      </c>
      <c r="B446" s="1" t="n">
        <v>45439.46340277778</v>
      </c>
      <c r="C446" s="1" t="n">
        <v>45886</v>
      </c>
      <c r="D446" t="inlineStr">
        <is>
          <t>DALARNAS LÄN</t>
        </is>
      </c>
      <c r="E446" t="inlineStr">
        <is>
          <t>MORA</t>
        </is>
      </c>
      <c r="G446" t="n">
        <v>3.8</v>
      </c>
      <c r="H446" t="n">
        <v>0</v>
      </c>
      <c r="I446" t="n">
        <v>0</v>
      </c>
      <c r="J446" t="n">
        <v>0</v>
      </c>
      <c r="K446" t="n">
        <v>0</v>
      </c>
      <c r="L446" t="n">
        <v>0</v>
      </c>
      <c r="M446" t="n">
        <v>0</v>
      </c>
      <c r="N446" t="n">
        <v>0</v>
      </c>
      <c r="O446" t="n">
        <v>0</v>
      </c>
      <c r="P446" t="n">
        <v>0</v>
      </c>
      <c r="Q446" t="n">
        <v>0</v>
      </c>
      <c r="R446" s="2" t="inlineStr"/>
    </row>
    <row r="447" ht="15" customHeight="1">
      <c r="A447" t="inlineStr">
        <is>
          <t>A 15818-2024</t>
        </is>
      </c>
      <c r="B447" s="1" t="n">
        <v>45404.67442129629</v>
      </c>
      <c r="C447" s="1" t="n">
        <v>45886</v>
      </c>
      <c r="D447" t="inlineStr">
        <is>
          <t>DALARNAS LÄN</t>
        </is>
      </c>
      <c r="E447" t="inlineStr">
        <is>
          <t>MORA</t>
        </is>
      </c>
      <c r="G447" t="n">
        <v>7</v>
      </c>
      <c r="H447" t="n">
        <v>0</v>
      </c>
      <c r="I447" t="n">
        <v>0</v>
      </c>
      <c r="J447" t="n">
        <v>0</v>
      </c>
      <c r="K447" t="n">
        <v>0</v>
      </c>
      <c r="L447" t="n">
        <v>0</v>
      </c>
      <c r="M447" t="n">
        <v>0</v>
      </c>
      <c r="N447" t="n">
        <v>0</v>
      </c>
      <c r="O447" t="n">
        <v>0</v>
      </c>
      <c r="P447" t="n">
        <v>0</v>
      </c>
      <c r="Q447" t="n">
        <v>0</v>
      </c>
      <c r="R447" s="2" t="inlineStr"/>
    </row>
    <row r="448" ht="15" customHeight="1">
      <c r="A448" t="inlineStr">
        <is>
          <t>A 38086-2025</t>
        </is>
      </c>
      <c r="B448" s="1" t="n">
        <v>45882.47625</v>
      </c>
      <c r="C448" s="1" t="n">
        <v>45886</v>
      </c>
      <c r="D448" t="inlineStr">
        <is>
          <t>DALARNAS LÄN</t>
        </is>
      </c>
      <c r="E448" t="inlineStr">
        <is>
          <t>MORA</t>
        </is>
      </c>
      <c r="G448" t="n">
        <v>2.4</v>
      </c>
      <c r="H448" t="n">
        <v>0</v>
      </c>
      <c r="I448" t="n">
        <v>0</v>
      </c>
      <c r="J448" t="n">
        <v>0</v>
      </c>
      <c r="K448" t="n">
        <v>0</v>
      </c>
      <c r="L448" t="n">
        <v>0</v>
      </c>
      <c r="M448" t="n">
        <v>0</v>
      </c>
      <c r="N448" t="n">
        <v>0</v>
      </c>
      <c r="O448" t="n">
        <v>0</v>
      </c>
      <c r="P448" t="n">
        <v>0</v>
      </c>
      <c r="Q448" t="n">
        <v>0</v>
      </c>
      <c r="R448" s="2" t="inlineStr"/>
    </row>
    <row r="449" ht="15" customHeight="1">
      <c r="A449" t="inlineStr">
        <is>
          <t>A 32852-2025</t>
        </is>
      </c>
      <c r="B449" s="1" t="n">
        <v>45839.57559027777</v>
      </c>
      <c r="C449" s="1" t="n">
        <v>45886</v>
      </c>
      <c r="D449" t="inlineStr">
        <is>
          <t>DALARNAS LÄN</t>
        </is>
      </c>
      <c r="E449" t="inlineStr">
        <is>
          <t>MORA</t>
        </is>
      </c>
      <c r="G449" t="n">
        <v>1.7</v>
      </c>
      <c r="H449" t="n">
        <v>0</v>
      </c>
      <c r="I449" t="n">
        <v>0</v>
      </c>
      <c r="J449" t="n">
        <v>0</v>
      </c>
      <c r="K449" t="n">
        <v>0</v>
      </c>
      <c r="L449" t="n">
        <v>0</v>
      </c>
      <c r="M449" t="n">
        <v>0</v>
      </c>
      <c r="N449" t="n">
        <v>0</v>
      </c>
      <c r="O449" t="n">
        <v>0</v>
      </c>
      <c r="P449" t="n">
        <v>0</v>
      </c>
      <c r="Q449" t="n">
        <v>0</v>
      </c>
      <c r="R449" s="2" t="inlineStr"/>
    </row>
    <row r="450" ht="15" customHeight="1">
      <c r="A450" t="inlineStr">
        <is>
          <t>A 33666-2024</t>
        </is>
      </c>
      <c r="B450" s="1" t="n">
        <v>45520.48304398148</v>
      </c>
      <c r="C450" s="1" t="n">
        <v>45886</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45674-2024</t>
        </is>
      </c>
      <c r="B451" s="1" t="n">
        <v>45573</v>
      </c>
      <c r="C451" s="1" t="n">
        <v>45886</v>
      </c>
      <c r="D451" t="inlineStr">
        <is>
          <t>DALARNAS LÄN</t>
        </is>
      </c>
      <c r="E451" t="inlineStr">
        <is>
          <t>MORA</t>
        </is>
      </c>
      <c r="G451" t="n">
        <v>3.2</v>
      </c>
      <c r="H451" t="n">
        <v>0</v>
      </c>
      <c r="I451" t="n">
        <v>0</v>
      </c>
      <c r="J451" t="n">
        <v>0</v>
      </c>
      <c r="K451" t="n">
        <v>0</v>
      </c>
      <c r="L451" t="n">
        <v>0</v>
      </c>
      <c r="M451" t="n">
        <v>0</v>
      </c>
      <c r="N451" t="n">
        <v>0</v>
      </c>
      <c r="O451" t="n">
        <v>0</v>
      </c>
      <c r="P451" t="n">
        <v>0</v>
      </c>
      <c r="Q451" t="n">
        <v>0</v>
      </c>
      <c r="R451" s="2" t="inlineStr"/>
    </row>
    <row r="452" ht="15" customHeight="1">
      <c r="A452" t="inlineStr">
        <is>
          <t>A 45390-2024</t>
        </is>
      </c>
      <c r="B452" s="1" t="n">
        <v>45576.54820601852</v>
      </c>
      <c r="C452" s="1" t="n">
        <v>45886</v>
      </c>
      <c r="D452" t="inlineStr">
        <is>
          <t>DALARNAS LÄN</t>
        </is>
      </c>
      <c r="E452" t="inlineStr">
        <is>
          <t>MORA</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42941-2024</t>
        </is>
      </c>
      <c r="B453" s="1" t="n">
        <v>45567.3515162037</v>
      </c>
      <c r="C453" s="1" t="n">
        <v>45886</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33443-2025</t>
        </is>
      </c>
      <c r="B454" s="1" t="n">
        <v>45841</v>
      </c>
      <c r="C454" s="1" t="n">
        <v>45886</v>
      </c>
      <c r="D454" t="inlineStr">
        <is>
          <t>DALARNAS LÄN</t>
        </is>
      </c>
      <c r="E454" t="inlineStr">
        <is>
          <t>MORA</t>
        </is>
      </c>
      <c r="G454" t="n">
        <v>2.7</v>
      </c>
      <c r="H454" t="n">
        <v>0</v>
      </c>
      <c r="I454" t="n">
        <v>0</v>
      </c>
      <c r="J454" t="n">
        <v>0</v>
      </c>
      <c r="K454" t="n">
        <v>0</v>
      </c>
      <c r="L454" t="n">
        <v>0</v>
      </c>
      <c r="M454" t="n">
        <v>0</v>
      </c>
      <c r="N454" t="n">
        <v>0</v>
      </c>
      <c r="O454" t="n">
        <v>0</v>
      </c>
      <c r="P454" t="n">
        <v>0</v>
      </c>
      <c r="Q454" t="n">
        <v>0</v>
      </c>
      <c r="R454" s="2" t="inlineStr"/>
    </row>
    <row r="455" ht="15" customHeight="1">
      <c r="A455" t="inlineStr">
        <is>
          <t>A 19756-2022</t>
        </is>
      </c>
      <c r="B455" s="1" t="n">
        <v>44694.62913194444</v>
      </c>
      <c r="C455" s="1" t="n">
        <v>45886</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5216-2025</t>
        </is>
      </c>
      <c r="B456" s="1" t="n">
        <v>45691.69671296296</v>
      </c>
      <c r="C456" s="1" t="n">
        <v>45886</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39674-2023</t>
        </is>
      </c>
      <c r="B457" s="1" t="n">
        <v>45167</v>
      </c>
      <c r="C457" s="1" t="n">
        <v>45886</v>
      </c>
      <c r="D457" t="inlineStr">
        <is>
          <t>DALARNAS LÄN</t>
        </is>
      </c>
      <c r="E457" t="inlineStr">
        <is>
          <t>MORA</t>
        </is>
      </c>
      <c r="G457" t="n">
        <v>2.4</v>
      </c>
      <c r="H457" t="n">
        <v>0</v>
      </c>
      <c r="I457" t="n">
        <v>0</v>
      </c>
      <c r="J457" t="n">
        <v>0</v>
      </c>
      <c r="K457" t="n">
        <v>0</v>
      </c>
      <c r="L457" t="n">
        <v>0</v>
      </c>
      <c r="M457" t="n">
        <v>0</v>
      </c>
      <c r="N457" t="n">
        <v>0</v>
      </c>
      <c r="O457" t="n">
        <v>0</v>
      </c>
      <c r="P457" t="n">
        <v>0</v>
      </c>
      <c r="Q457" t="n">
        <v>0</v>
      </c>
      <c r="R457" s="2" t="inlineStr"/>
    </row>
    <row r="458" ht="15" customHeight="1">
      <c r="A458" t="inlineStr">
        <is>
          <t>A 53344-2023</t>
        </is>
      </c>
      <c r="B458" s="1" t="n">
        <v>45229</v>
      </c>
      <c r="C458" s="1" t="n">
        <v>45886</v>
      </c>
      <c r="D458" t="inlineStr">
        <is>
          <t>DALARNAS LÄN</t>
        </is>
      </c>
      <c r="E458" t="inlineStr">
        <is>
          <t>MORA</t>
        </is>
      </c>
      <c r="G458" t="n">
        <v>2.4</v>
      </c>
      <c r="H458" t="n">
        <v>0</v>
      </c>
      <c r="I458" t="n">
        <v>0</v>
      </c>
      <c r="J458" t="n">
        <v>0</v>
      </c>
      <c r="K458" t="n">
        <v>0</v>
      </c>
      <c r="L458" t="n">
        <v>0</v>
      </c>
      <c r="M458" t="n">
        <v>0</v>
      </c>
      <c r="N458" t="n">
        <v>0</v>
      </c>
      <c r="O458" t="n">
        <v>0</v>
      </c>
      <c r="P458" t="n">
        <v>0</v>
      </c>
      <c r="Q458" t="n">
        <v>0</v>
      </c>
      <c r="R458" s="2" t="inlineStr"/>
    </row>
    <row r="459" ht="15" customHeight="1">
      <c r="A459" t="inlineStr">
        <is>
          <t>A 38073-2025</t>
        </is>
      </c>
      <c r="B459" s="1" t="n">
        <v>45882</v>
      </c>
      <c r="C459" s="1" t="n">
        <v>45886</v>
      </c>
      <c r="D459" t="inlineStr">
        <is>
          <t>DALARNAS LÄN</t>
        </is>
      </c>
      <c r="E459" t="inlineStr">
        <is>
          <t>MORA</t>
        </is>
      </c>
      <c r="G459" t="n">
        <v>2.5</v>
      </c>
      <c r="H459" t="n">
        <v>0</v>
      </c>
      <c r="I459" t="n">
        <v>0</v>
      </c>
      <c r="J459" t="n">
        <v>0</v>
      </c>
      <c r="K459" t="n">
        <v>0</v>
      </c>
      <c r="L459" t="n">
        <v>0</v>
      </c>
      <c r="M459" t="n">
        <v>0</v>
      </c>
      <c r="N459" t="n">
        <v>0</v>
      </c>
      <c r="O459" t="n">
        <v>0</v>
      </c>
      <c r="P459" t="n">
        <v>0</v>
      </c>
      <c r="Q459" t="n">
        <v>0</v>
      </c>
      <c r="R459" s="2" t="inlineStr"/>
    </row>
    <row r="460" ht="15" customHeight="1">
      <c r="A460" t="inlineStr">
        <is>
          <t>A 59448-2022</t>
        </is>
      </c>
      <c r="B460" s="1" t="n">
        <v>44907</v>
      </c>
      <c r="C460" s="1" t="n">
        <v>45886</v>
      </c>
      <c r="D460" t="inlineStr">
        <is>
          <t>DALARNAS LÄN</t>
        </is>
      </c>
      <c r="E460" t="inlineStr">
        <is>
          <t>MORA</t>
        </is>
      </c>
      <c r="G460" t="n">
        <v>35.7</v>
      </c>
      <c r="H460" t="n">
        <v>0</v>
      </c>
      <c r="I460" t="n">
        <v>0</v>
      </c>
      <c r="J460" t="n">
        <v>0</v>
      </c>
      <c r="K460" t="n">
        <v>0</v>
      </c>
      <c r="L460" t="n">
        <v>0</v>
      </c>
      <c r="M460" t="n">
        <v>0</v>
      </c>
      <c r="N460" t="n">
        <v>0</v>
      </c>
      <c r="O460" t="n">
        <v>0</v>
      </c>
      <c r="P460" t="n">
        <v>0</v>
      </c>
      <c r="Q460" t="n">
        <v>0</v>
      </c>
      <c r="R460" s="2" t="inlineStr"/>
    </row>
    <row r="461" ht="15" customHeight="1">
      <c r="A461" t="inlineStr">
        <is>
          <t>A 53341-2023</t>
        </is>
      </c>
      <c r="B461" s="1" t="n">
        <v>45229</v>
      </c>
      <c r="C461" s="1" t="n">
        <v>45886</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33380-2025</t>
        </is>
      </c>
      <c r="B462" s="1" t="n">
        <v>45841.40309027778</v>
      </c>
      <c r="C462" s="1" t="n">
        <v>45886</v>
      </c>
      <c r="D462" t="inlineStr">
        <is>
          <t>DALARNAS LÄN</t>
        </is>
      </c>
      <c r="E462" t="inlineStr">
        <is>
          <t>MORA</t>
        </is>
      </c>
      <c r="G462" t="n">
        <v>6.6</v>
      </c>
      <c r="H462" t="n">
        <v>0</v>
      </c>
      <c r="I462" t="n">
        <v>0</v>
      </c>
      <c r="J462" t="n">
        <v>0</v>
      </c>
      <c r="K462" t="n">
        <v>0</v>
      </c>
      <c r="L462" t="n">
        <v>0</v>
      </c>
      <c r="M462" t="n">
        <v>0</v>
      </c>
      <c r="N462" t="n">
        <v>0</v>
      </c>
      <c r="O462" t="n">
        <v>0</v>
      </c>
      <c r="P462" t="n">
        <v>0</v>
      </c>
      <c r="Q462" t="n">
        <v>0</v>
      </c>
      <c r="R462" s="2" t="inlineStr"/>
    </row>
    <row r="463" ht="15" customHeight="1">
      <c r="A463" t="inlineStr">
        <is>
          <t>A 57797-2022</t>
        </is>
      </c>
      <c r="B463" s="1" t="n">
        <v>44897</v>
      </c>
      <c r="C463" s="1" t="n">
        <v>45886</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40286-2024</t>
        </is>
      </c>
      <c r="B464" s="1" t="n">
        <v>45554.6687037037</v>
      </c>
      <c r="C464" s="1" t="n">
        <v>45886</v>
      </c>
      <c r="D464" t="inlineStr">
        <is>
          <t>DALARNAS LÄN</t>
        </is>
      </c>
      <c r="E464" t="inlineStr">
        <is>
          <t>MORA</t>
        </is>
      </c>
      <c r="G464" t="n">
        <v>0.4</v>
      </c>
      <c r="H464" t="n">
        <v>0</v>
      </c>
      <c r="I464" t="n">
        <v>0</v>
      </c>
      <c r="J464" t="n">
        <v>0</v>
      </c>
      <c r="K464" t="n">
        <v>0</v>
      </c>
      <c r="L464" t="n">
        <v>0</v>
      </c>
      <c r="M464" t="n">
        <v>0</v>
      </c>
      <c r="N464" t="n">
        <v>0</v>
      </c>
      <c r="O464" t="n">
        <v>0</v>
      </c>
      <c r="P464" t="n">
        <v>0</v>
      </c>
      <c r="Q464" t="n">
        <v>0</v>
      </c>
      <c r="R464" s="2" t="inlineStr"/>
    </row>
    <row r="465" ht="15" customHeight="1">
      <c r="A465" t="inlineStr">
        <is>
          <t>A 48824-2023</t>
        </is>
      </c>
      <c r="B465" s="1" t="n">
        <v>45203</v>
      </c>
      <c r="C465" s="1" t="n">
        <v>45886</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5001-2025</t>
        </is>
      </c>
      <c r="B466" s="1" t="n">
        <v>45691.36403935185</v>
      </c>
      <c r="C466" s="1" t="n">
        <v>45886</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45355-2024</t>
        </is>
      </c>
      <c r="B467" s="1" t="n">
        <v>45576</v>
      </c>
      <c r="C467" s="1" t="n">
        <v>45886</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20504-2023</t>
        </is>
      </c>
      <c r="B468" s="1" t="n">
        <v>45057</v>
      </c>
      <c r="C468" s="1" t="n">
        <v>45886</v>
      </c>
      <c r="D468" t="inlineStr">
        <is>
          <t>DALARNAS LÄN</t>
        </is>
      </c>
      <c r="E468" t="inlineStr">
        <is>
          <t>MORA</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44595-2024</t>
        </is>
      </c>
      <c r="B469" s="1" t="n">
        <v>45574.51053240741</v>
      </c>
      <c r="C469" s="1" t="n">
        <v>45886</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54903-2024</t>
        </is>
      </c>
      <c r="B470" s="1" t="n">
        <v>45618</v>
      </c>
      <c r="C470" s="1" t="n">
        <v>45886</v>
      </c>
      <c r="D470" t="inlineStr">
        <is>
          <t>DALARNAS LÄN</t>
        </is>
      </c>
      <c r="E470" t="inlineStr">
        <is>
          <t>MORA</t>
        </is>
      </c>
      <c r="G470" t="n">
        <v>28.2</v>
      </c>
      <c r="H470" t="n">
        <v>0</v>
      </c>
      <c r="I470" t="n">
        <v>0</v>
      </c>
      <c r="J470" t="n">
        <v>0</v>
      </c>
      <c r="K470" t="n">
        <v>0</v>
      </c>
      <c r="L470" t="n">
        <v>0</v>
      </c>
      <c r="M470" t="n">
        <v>0</v>
      </c>
      <c r="N470" t="n">
        <v>0</v>
      </c>
      <c r="O470" t="n">
        <v>0</v>
      </c>
      <c r="P470" t="n">
        <v>0</v>
      </c>
      <c r="Q470" t="n">
        <v>0</v>
      </c>
      <c r="R470" s="2" t="inlineStr"/>
    </row>
    <row r="471" ht="15" customHeight="1">
      <c r="A471" t="inlineStr">
        <is>
          <t>A 43566-2023</t>
        </is>
      </c>
      <c r="B471" s="1" t="n">
        <v>45184.58199074074</v>
      </c>
      <c r="C471" s="1" t="n">
        <v>45886</v>
      </c>
      <c r="D471" t="inlineStr">
        <is>
          <t>DALARNAS LÄN</t>
        </is>
      </c>
      <c r="E471" t="inlineStr">
        <is>
          <t>MORA</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8153-2021</t>
        </is>
      </c>
      <c r="B472" s="1" t="n">
        <v>44244</v>
      </c>
      <c r="C472" s="1" t="n">
        <v>45886</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53743-2024</t>
        </is>
      </c>
      <c r="B473" s="1" t="n">
        <v>45615.47137731482</v>
      </c>
      <c r="C473" s="1" t="n">
        <v>45886</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48170-2024</t>
        </is>
      </c>
      <c r="B474" s="1" t="n">
        <v>45589.76975694444</v>
      </c>
      <c r="C474" s="1" t="n">
        <v>45886</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20594-2025</t>
        </is>
      </c>
      <c r="B475" s="1" t="n">
        <v>45775.74009259259</v>
      </c>
      <c r="C475" s="1" t="n">
        <v>45886</v>
      </c>
      <c r="D475" t="inlineStr">
        <is>
          <t>DALARNAS LÄN</t>
        </is>
      </c>
      <c r="E475" t="inlineStr">
        <is>
          <t>MORA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14040-2023</t>
        </is>
      </c>
      <c r="B476" s="1" t="n">
        <v>45008.64575231481</v>
      </c>
      <c r="C476" s="1" t="n">
        <v>45886</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55331-2022</t>
        </is>
      </c>
      <c r="B477" s="1" t="n">
        <v>44887.43714120371</v>
      </c>
      <c r="C477" s="1" t="n">
        <v>45886</v>
      </c>
      <c r="D477" t="inlineStr">
        <is>
          <t>DALARNAS LÄN</t>
        </is>
      </c>
      <c r="E477" t="inlineStr">
        <is>
          <t>MORA</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45475-2023</t>
        </is>
      </c>
      <c r="B478" s="1" t="n">
        <v>45188</v>
      </c>
      <c r="C478" s="1" t="n">
        <v>45886</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11919-2024</t>
        </is>
      </c>
      <c r="B479" s="1" t="n">
        <v>45376.61019675926</v>
      </c>
      <c r="C479" s="1" t="n">
        <v>45886</v>
      </c>
      <c r="D479" t="inlineStr">
        <is>
          <t>DALARNAS LÄN</t>
        </is>
      </c>
      <c r="E479" t="inlineStr">
        <is>
          <t>MORA</t>
        </is>
      </c>
      <c r="G479" t="n">
        <v>3.5</v>
      </c>
      <c r="H479" t="n">
        <v>0</v>
      </c>
      <c r="I479" t="n">
        <v>0</v>
      </c>
      <c r="J479" t="n">
        <v>0</v>
      </c>
      <c r="K479" t="n">
        <v>0</v>
      </c>
      <c r="L479" t="n">
        <v>0</v>
      </c>
      <c r="M479" t="n">
        <v>0</v>
      </c>
      <c r="N479" t="n">
        <v>0</v>
      </c>
      <c r="O479" t="n">
        <v>0</v>
      </c>
      <c r="P479" t="n">
        <v>0</v>
      </c>
      <c r="Q479" t="n">
        <v>0</v>
      </c>
      <c r="R479" s="2" t="inlineStr"/>
    </row>
    <row r="480" ht="15" customHeight="1">
      <c r="A480" t="inlineStr">
        <is>
          <t>A 64088-2023</t>
        </is>
      </c>
      <c r="B480" s="1" t="n">
        <v>45279.43570601852</v>
      </c>
      <c r="C480" s="1" t="n">
        <v>45886</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45315-2024</t>
        </is>
      </c>
      <c r="B481" s="1" t="n">
        <v>45576.43782407408</v>
      </c>
      <c r="C481" s="1" t="n">
        <v>45886</v>
      </c>
      <c r="D481" t="inlineStr">
        <is>
          <t>DALARNAS LÄN</t>
        </is>
      </c>
      <c r="E481" t="inlineStr">
        <is>
          <t>MORA</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60718-2023</t>
        </is>
      </c>
      <c r="B482" s="1" t="n">
        <v>45260.5284375</v>
      </c>
      <c r="C482" s="1" t="n">
        <v>45886</v>
      </c>
      <c r="D482" t="inlineStr">
        <is>
          <t>DALARNAS LÄN</t>
        </is>
      </c>
      <c r="E482" t="inlineStr">
        <is>
          <t>MORA</t>
        </is>
      </c>
      <c r="G482" t="n">
        <v>2.6</v>
      </c>
      <c r="H482" t="n">
        <v>0</v>
      </c>
      <c r="I482" t="n">
        <v>0</v>
      </c>
      <c r="J482" t="n">
        <v>0</v>
      </c>
      <c r="K482" t="n">
        <v>0</v>
      </c>
      <c r="L482" t="n">
        <v>0</v>
      </c>
      <c r="M482" t="n">
        <v>0</v>
      </c>
      <c r="N482" t="n">
        <v>0</v>
      </c>
      <c r="O482" t="n">
        <v>0</v>
      </c>
      <c r="P482" t="n">
        <v>0</v>
      </c>
      <c r="Q482" t="n">
        <v>0</v>
      </c>
      <c r="R482" s="2" t="inlineStr"/>
    </row>
    <row r="483" ht="15" customHeight="1">
      <c r="A483" t="inlineStr">
        <is>
          <t>A 14641-2023</t>
        </is>
      </c>
      <c r="B483" s="1" t="n">
        <v>45013</v>
      </c>
      <c r="C483" s="1" t="n">
        <v>45886</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5309-2023</t>
        </is>
      </c>
      <c r="B484" s="1" t="n">
        <v>44956</v>
      </c>
      <c r="C484" s="1" t="n">
        <v>45886</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17529-2023</t>
        </is>
      </c>
      <c r="B485" s="1" t="n">
        <v>45036.46804398148</v>
      </c>
      <c r="C485" s="1" t="n">
        <v>45886</v>
      </c>
      <c r="D485" t="inlineStr">
        <is>
          <t>DALARNAS LÄN</t>
        </is>
      </c>
      <c r="E485" t="inlineStr">
        <is>
          <t>MORA</t>
        </is>
      </c>
      <c r="G485" t="n">
        <v>6</v>
      </c>
      <c r="H485" t="n">
        <v>0</v>
      </c>
      <c r="I485" t="n">
        <v>0</v>
      </c>
      <c r="J485" t="n">
        <v>0</v>
      </c>
      <c r="K485" t="n">
        <v>0</v>
      </c>
      <c r="L485" t="n">
        <v>0</v>
      </c>
      <c r="M485" t="n">
        <v>0</v>
      </c>
      <c r="N485" t="n">
        <v>0</v>
      </c>
      <c r="O485" t="n">
        <v>0</v>
      </c>
      <c r="P485" t="n">
        <v>0</v>
      </c>
      <c r="Q485" t="n">
        <v>0</v>
      </c>
      <c r="R485" s="2" t="inlineStr"/>
    </row>
    <row r="486" ht="15" customHeight="1">
      <c r="A486" t="inlineStr">
        <is>
          <t>A 12151-2021</t>
        </is>
      </c>
      <c r="B486" s="1" t="n">
        <v>44266</v>
      </c>
      <c r="C486" s="1" t="n">
        <v>45886</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45886</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42611-2022</t>
        </is>
      </c>
      <c r="B488" s="1" t="n">
        <v>44831.81482638889</v>
      </c>
      <c r="C488" s="1" t="n">
        <v>45886</v>
      </c>
      <c r="D488" t="inlineStr">
        <is>
          <t>DALARNAS LÄN</t>
        </is>
      </c>
      <c r="E488" t="inlineStr">
        <is>
          <t>MORA</t>
        </is>
      </c>
      <c r="G488" t="n">
        <v>2.1</v>
      </c>
      <c r="H488" t="n">
        <v>0</v>
      </c>
      <c r="I488" t="n">
        <v>0</v>
      </c>
      <c r="J488" t="n">
        <v>0</v>
      </c>
      <c r="K488" t="n">
        <v>0</v>
      </c>
      <c r="L488" t="n">
        <v>0</v>
      </c>
      <c r="M488" t="n">
        <v>0</v>
      </c>
      <c r="N488" t="n">
        <v>0</v>
      </c>
      <c r="O488" t="n">
        <v>0</v>
      </c>
      <c r="P488" t="n">
        <v>0</v>
      </c>
      <c r="Q488" t="n">
        <v>0</v>
      </c>
      <c r="R488" s="2" t="inlineStr"/>
    </row>
    <row r="489" ht="15" customHeight="1">
      <c r="A489" t="inlineStr">
        <is>
          <t>A 8146-2021</t>
        </is>
      </c>
      <c r="B489" s="1" t="n">
        <v>44244</v>
      </c>
      <c r="C489" s="1" t="n">
        <v>45886</v>
      </c>
      <c r="D489" t="inlineStr">
        <is>
          <t>DALARNAS LÄN</t>
        </is>
      </c>
      <c r="E489" t="inlineStr">
        <is>
          <t>MORA</t>
        </is>
      </c>
      <c r="G489" t="n">
        <v>2.1</v>
      </c>
      <c r="H489" t="n">
        <v>0</v>
      </c>
      <c r="I489" t="n">
        <v>0</v>
      </c>
      <c r="J489" t="n">
        <v>0</v>
      </c>
      <c r="K489" t="n">
        <v>0</v>
      </c>
      <c r="L489" t="n">
        <v>0</v>
      </c>
      <c r="M489" t="n">
        <v>0</v>
      </c>
      <c r="N489" t="n">
        <v>0</v>
      </c>
      <c r="O489" t="n">
        <v>0</v>
      </c>
      <c r="P489" t="n">
        <v>0</v>
      </c>
      <c r="Q489" t="n">
        <v>0</v>
      </c>
      <c r="R489" s="2" t="inlineStr"/>
    </row>
    <row r="490" ht="15" customHeight="1">
      <c r="A490" t="inlineStr">
        <is>
          <t>A 15416-2023</t>
        </is>
      </c>
      <c r="B490" s="1" t="n">
        <v>45019.71342592593</v>
      </c>
      <c r="C490" s="1" t="n">
        <v>45886</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52288-2024</t>
        </is>
      </c>
      <c r="B491" s="1" t="n">
        <v>45608.69395833334</v>
      </c>
      <c r="C491" s="1" t="n">
        <v>45886</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25935-2023</t>
        </is>
      </c>
      <c r="B492" s="1" t="n">
        <v>45090.68675925926</v>
      </c>
      <c r="C492" s="1" t="n">
        <v>45886</v>
      </c>
      <c r="D492" t="inlineStr">
        <is>
          <t>DALARNAS LÄN</t>
        </is>
      </c>
      <c r="E492" t="inlineStr">
        <is>
          <t>MORA</t>
        </is>
      </c>
      <c r="G492" t="n">
        <v>1.4</v>
      </c>
      <c r="H492" t="n">
        <v>0</v>
      </c>
      <c r="I492" t="n">
        <v>0</v>
      </c>
      <c r="J492" t="n">
        <v>0</v>
      </c>
      <c r="K492" t="n">
        <v>0</v>
      </c>
      <c r="L492" t="n">
        <v>0</v>
      </c>
      <c r="M492" t="n">
        <v>0</v>
      </c>
      <c r="N492" t="n">
        <v>0</v>
      </c>
      <c r="O492" t="n">
        <v>0</v>
      </c>
      <c r="P492" t="n">
        <v>0</v>
      </c>
      <c r="Q492" t="n">
        <v>0</v>
      </c>
      <c r="R492" s="2" t="inlineStr"/>
    </row>
    <row r="493" ht="15" customHeight="1">
      <c r="A493" t="inlineStr">
        <is>
          <t>A 39344-2024</t>
        </is>
      </c>
      <c r="B493" s="1" t="n">
        <v>45551.44503472222</v>
      </c>
      <c r="C493" s="1" t="n">
        <v>45886</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26314-2021</t>
        </is>
      </c>
      <c r="B494" s="1" t="n">
        <v>44347</v>
      </c>
      <c r="C494" s="1" t="n">
        <v>45886</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24768-2024</t>
        </is>
      </c>
      <c r="B495" s="1" t="n">
        <v>45460.69545138889</v>
      </c>
      <c r="C495" s="1" t="n">
        <v>45886</v>
      </c>
      <c r="D495" t="inlineStr">
        <is>
          <t>DALARNAS LÄN</t>
        </is>
      </c>
      <c r="E495" t="inlineStr">
        <is>
          <t>MORA</t>
        </is>
      </c>
      <c r="G495" t="n">
        <v>2.4</v>
      </c>
      <c r="H495" t="n">
        <v>0</v>
      </c>
      <c r="I495" t="n">
        <v>0</v>
      </c>
      <c r="J495" t="n">
        <v>0</v>
      </c>
      <c r="K495" t="n">
        <v>0</v>
      </c>
      <c r="L495" t="n">
        <v>0</v>
      </c>
      <c r="M495" t="n">
        <v>0</v>
      </c>
      <c r="N495" t="n">
        <v>0</v>
      </c>
      <c r="O495" t="n">
        <v>0</v>
      </c>
      <c r="P495" t="n">
        <v>0</v>
      </c>
      <c r="Q495" t="n">
        <v>0</v>
      </c>
      <c r="R495" s="2" t="inlineStr"/>
    </row>
    <row r="496" ht="15" customHeight="1">
      <c r="A496" t="inlineStr">
        <is>
          <t>A 50911-2024</t>
        </is>
      </c>
      <c r="B496" s="1" t="n">
        <v>45602.7022337963</v>
      </c>
      <c r="C496" s="1" t="n">
        <v>45886</v>
      </c>
      <c r="D496" t="inlineStr">
        <is>
          <t>DALARNAS LÄN</t>
        </is>
      </c>
      <c r="E496" t="inlineStr">
        <is>
          <t>MORA</t>
        </is>
      </c>
      <c r="G496" t="n">
        <v>1.7</v>
      </c>
      <c r="H496" t="n">
        <v>0</v>
      </c>
      <c r="I496" t="n">
        <v>0</v>
      </c>
      <c r="J496" t="n">
        <v>0</v>
      </c>
      <c r="K496" t="n">
        <v>0</v>
      </c>
      <c r="L496" t="n">
        <v>0</v>
      </c>
      <c r="M496" t="n">
        <v>0</v>
      </c>
      <c r="N496" t="n">
        <v>0</v>
      </c>
      <c r="O496" t="n">
        <v>0</v>
      </c>
      <c r="P496" t="n">
        <v>0</v>
      </c>
      <c r="Q496" t="n">
        <v>0</v>
      </c>
      <c r="R496" s="2" t="inlineStr"/>
    </row>
    <row r="497" ht="15" customHeight="1">
      <c r="A497" t="inlineStr">
        <is>
          <t>A 35040-2023</t>
        </is>
      </c>
      <c r="B497" s="1" t="n">
        <v>45145.36853009259</v>
      </c>
      <c r="C497" s="1" t="n">
        <v>45886</v>
      </c>
      <c r="D497" t="inlineStr">
        <is>
          <t>DALARNAS LÄN</t>
        </is>
      </c>
      <c r="E497" t="inlineStr">
        <is>
          <t>MORA</t>
        </is>
      </c>
      <c r="G497" t="n">
        <v>2.1</v>
      </c>
      <c r="H497" t="n">
        <v>0</v>
      </c>
      <c r="I497" t="n">
        <v>0</v>
      </c>
      <c r="J497" t="n">
        <v>0</v>
      </c>
      <c r="K497" t="n">
        <v>0</v>
      </c>
      <c r="L497" t="n">
        <v>0</v>
      </c>
      <c r="M497" t="n">
        <v>0</v>
      </c>
      <c r="N497" t="n">
        <v>0</v>
      </c>
      <c r="O497" t="n">
        <v>0</v>
      </c>
      <c r="P497" t="n">
        <v>0</v>
      </c>
      <c r="Q497" t="n">
        <v>0</v>
      </c>
      <c r="R497" s="2" t="inlineStr"/>
    </row>
    <row r="498" ht="15" customHeight="1">
      <c r="A498" t="inlineStr">
        <is>
          <t>A 58036-2024</t>
        </is>
      </c>
      <c r="B498" s="1" t="n">
        <v>45631.71893518518</v>
      </c>
      <c r="C498" s="1" t="n">
        <v>45886</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18559-2024</t>
        </is>
      </c>
      <c r="B499" s="1" t="n">
        <v>45425.66265046296</v>
      </c>
      <c r="C499" s="1" t="n">
        <v>45886</v>
      </c>
      <c r="D499" t="inlineStr">
        <is>
          <t>DALARNAS LÄN</t>
        </is>
      </c>
      <c r="E499" t="inlineStr">
        <is>
          <t>MORA</t>
        </is>
      </c>
      <c r="G499" t="n">
        <v>3.6</v>
      </c>
      <c r="H499" t="n">
        <v>0</v>
      </c>
      <c r="I499" t="n">
        <v>0</v>
      </c>
      <c r="J499" t="n">
        <v>0</v>
      </c>
      <c r="K499" t="n">
        <v>0</v>
      </c>
      <c r="L499" t="n">
        <v>0</v>
      </c>
      <c r="M499" t="n">
        <v>0</v>
      </c>
      <c r="N499" t="n">
        <v>0</v>
      </c>
      <c r="O499" t="n">
        <v>0</v>
      </c>
      <c r="P499" t="n">
        <v>0</v>
      </c>
      <c r="Q499" t="n">
        <v>0</v>
      </c>
      <c r="R499" s="2" t="inlineStr"/>
    </row>
    <row r="500" ht="15" customHeight="1">
      <c r="A500" t="inlineStr">
        <is>
          <t>A 28964-2024</t>
        </is>
      </c>
      <c r="B500" s="1" t="n">
        <v>45481.42923611111</v>
      </c>
      <c r="C500" s="1" t="n">
        <v>45886</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27420-2024</t>
        </is>
      </c>
      <c r="B501" s="1" t="n">
        <v>45474.37850694444</v>
      </c>
      <c r="C501" s="1" t="n">
        <v>45886</v>
      </c>
      <c r="D501" t="inlineStr">
        <is>
          <t>DALARNAS LÄN</t>
        </is>
      </c>
      <c r="E501" t="inlineStr">
        <is>
          <t>MORA</t>
        </is>
      </c>
      <c r="G501" t="n">
        <v>7.3</v>
      </c>
      <c r="H501" t="n">
        <v>0</v>
      </c>
      <c r="I501" t="n">
        <v>0</v>
      </c>
      <c r="J501" t="n">
        <v>0</v>
      </c>
      <c r="K501" t="n">
        <v>0</v>
      </c>
      <c r="L501" t="n">
        <v>0</v>
      </c>
      <c r="M501" t="n">
        <v>0</v>
      </c>
      <c r="N501" t="n">
        <v>0</v>
      </c>
      <c r="O501" t="n">
        <v>0</v>
      </c>
      <c r="P501" t="n">
        <v>0</v>
      </c>
      <c r="Q501" t="n">
        <v>0</v>
      </c>
      <c r="R501" s="2" t="inlineStr"/>
    </row>
    <row r="502" ht="15" customHeight="1">
      <c r="A502" t="inlineStr">
        <is>
          <t>A 60051-2022</t>
        </is>
      </c>
      <c r="B502" s="1" t="n">
        <v>44909.52385416667</v>
      </c>
      <c r="C502" s="1" t="n">
        <v>45886</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48390-2024</t>
        </is>
      </c>
      <c r="B503" s="1" t="n">
        <v>45590.60216435185</v>
      </c>
      <c r="C503" s="1" t="n">
        <v>45886</v>
      </c>
      <c r="D503" t="inlineStr">
        <is>
          <t>DALARNAS LÄN</t>
        </is>
      </c>
      <c r="E503" t="inlineStr">
        <is>
          <t>MORA</t>
        </is>
      </c>
      <c r="G503" t="n">
        <v>5</v>
      </c>
      <c r="H503" t="n">
        <v>0</v>
      </c>
      <c r="I503" t="n">
        <v>0</v>
      </c>
      <c r="J503" t="n">
        <v>0</v>
      </c>
      <c r="K503" t="n">
        <v>0</v>
      </c>
      <c r="L503" t="n">
        <v>0</v>
      </c>
      <c r="M503" t="n">
        <v>0</v>
      </c>
      <c r="N503" t="n">
        <v>0</v>
      </c>
      <c r="O503" t="n">
        <v>0</v>
      </c>
      <c r="P503" t="n">
        <v>0</v>
      </c>
      <c r="Q503" t="n">
        <v>0</v>
      </c>
      <c r="R503" s="2" t="inlineStr"/>
    </row>
    <row r="504" ht="15" customHeight="1">
      <c r="A504" t="inlineStr">
        <is>
          <t>A 55671-2024</t>
        </is>
      </c>
      <c r="B504" s="1" t="n">
        <v>45622.65269675926</v>
      </c>
      <c r="C504" s="1" t="n">
        <v>45886</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12920-2022</t>
        </is>
      </c>
      <c r="B505" s="1" t="n">
        <v>44642.65418981481</v>
      </c>
      <c r="C505" s="1" t="n">
        <v>45886</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61188-2024</t>
        </is>
      </c>
      <c r="B506" s="1" t="n">
        <v>45645.62282407407</v>
      </c>
      <c r="C506" s="1" t="n">
        <v>45886</v>
      </c>
      <c r="D506" t="inlineStr">
        <is>
          <t>DALARNAS LÄN</t>
        </is>
      </c>
      <c r="E506" t="inlineStr">
        <is>
          <t>MORA</t>
        </is>
      </c>
      <c r="G506" t="n">
        <v>1.6</v>
      </c>
      <c r="H506" t="n">
        <v>0</v>
      </c>
      <c r="I506" t="n">
        <v>0</v>
      </c>
      <c r="J506" t="n">
        <v>0</v>
      </c>
      <c r="K506" t="n">
        <v>0</v>
      </c>
      <c r="L506" t="n">
        <v>0</v>
      </c>
      <c r="M506" t="n">
        <v>0</v>
      </c>
      <c r="N506" t="n">
        <v>0</v>
      </c>
      <c r="O506" t="n">
        <v>0</v>
      </c>
      <c r="P506" t="n">
        <v>0</v>
      </c>
      <c r="Q506" t="n">
        <v>0</v>
      </c>
      <c r="R506" s="2" t="inlineStr"/>
    </row>
    <row r="507" ht="15" customHeight="1">
      <c r="A507" t="inlineStr">
        <is>
          <t>A 58089-2024</t>
        </is>
      </c>
      <c r="B507" s="1" t="n">
        <v>45632.34984953704</v>
      </c>
      <c r="C507" s="1" t="n">
        <v>45886</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61350-2024</t>
        </is>
      </c>
      <c r="B508" s="1" t="n">
        <v>45646.37872685185</v>
      </c>
      <c r="C508" s="1" t="n">
        <v>45886</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53546-2024</t>
        </is>
      </c>
      <c r="B509" s="1" t="n">
        <v>45614.63725694444</v>
      </c>
      <c r="C509" s="1" t="n">
        <v>45886</v>
      </c>
      <c r="D509" t="inlineStr">
        <is>
          <t>DALARNAS LÄN</t>
        </is>
      </c>
      <c r="E509" t="inlineStr">
        <is>
          <t>MORA</t>
        </is>
      </c>
      <c r="G509" t="n">
        <v>2.6</v>
      </c>
      <c r="H509" t="n">
        <v>0</v>
      </c>
      <c r="I509" t="n">
        <v>0</v>
      </c>
      <c r="J509" t="n">
        <v>0</v>
      </c>
      <c r="K509" t="n">
        <v>0</v>
      </c>
      <c r="L509" t="n">
        <v>0</v>
      </c>
      <c r="M509" t="n">
        <v>0</v>
      </c>
      <c r="N509" t="n">
        <v>0</v>
      </c>
      <c r="O509" t="n">
        <v>0</v>
      </c>
      <c r="P509" t="n">
        <v>0</v>
      </c>
      <c r="Q509" t="n">
        <v>0</v>
      </c>
      <c r="R509" s="2" t="inlineStr"/>
    </row>
    <row r="510" ht="15" customHeight="1">
      <c r="A510" t="inlineStr">
        <is>
          <t>A 4208-2023</t>
        </is>
      </c>
      <c r="B510" s="1" t="n">
        <v>44953</v>
      </c>
      <c r="C510" s="1" t="n">
        <v>45886</v>
      </c>
      <c r="D510" t="inlineStr">
        <is>
          <t>DALARNAS LÄN</t>
        </is>
      </c>
      <c r="E510" t="inlineStr">
        <is>
          <t>MORA</t>
        </is>
      </c>
      <c r="G510" t="n">
        <v>2.4</v>
      </c>
      <c r="H510" t="n">
        <v>0</v>
      </c>
      <c r="I510" t="n">
        <v>0</v>
      </c>
      <c r="J510" t="n">
        <v>0</v>
      </c>
      <c r="K510" t="n">
        <v>0</v>
      </c>
      <c r="L510" t="n">
        <v>0</v>
      </c>
      <c r="M510" t="n">
        <v>0</v>
      </c>
      <c r="N510" t="n">
        <v>0</v>
      </c>
      <c r="O510" t="n">
        <v>0</v>
      </c>
      <c r="P510" t="n">
        <v>0</v>
      </c>
      <c r="Q510" t="n">
        <v>0</v>
      </c>
      <c r="R510" s="2" t="inlineStr"/>
    </row>
    <row r="511" ht="15" customHeight="1">
      <c r="A511" t="inlineStr">
        <is>
          <t>A 4210-2023</t>
        </is>
      </c>
      <c r="B511" s="1" t="n">
        <v>44953.44965277778</v>
      </c>
      <c r="C511" s="1" t="n">
        <v>45886</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45886</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5493-2023</t>
        </is>
      </c>
      <c r="B513" s="1" t="n">
        <v>44957</v>
      </c>
      <c r="C513" s="1" t="n">
        <v>45886</v>
      </c>
      <c r="D513" t="inlineStr">
        <is>
          <t>DALARNAS LÄN</t>
        </is>
      </c>
      <c r="E513" t="inlineStr">
        <is>
          <t>MORA</t>
        </is>
      </c>
      <c r="F513" t="inlineStr">
        <is>
          <t>Allmännings- och besparingsskogar</t>
        </is>
      </c>
      <c r="G513" t="n">
        <v>14.9</v>
      </c>
      <c r="H513" t="n">
        <v>0</v>
      </c>
      <c r="I513" t="n">
        <v>0</v>
      </c>
      <c r="J513" t="n">
        <v>0</v>
      </c>
      <c r="K513" t="n">
        <v>0</v>
      </c>
      <c r="L513" t="n">
        <v>0</v>
      </c>
      <c r="M513" t="n">
        <v>0</v>
      </c>
      <c r="N513" t="n">
        <v>0</v>
      </c>
      <c r="O513" t="n">
        <v>0</v>
      </c>
      <c r="P513" t="n">
        <v>0</v>
      </c>
      <c r="Q513" t="n">
        <v>0</v>
      </c>
      <c r="R513" s="2" t="inlineStr"/>
    </row>
    <row r="514" ht="15" customHeight="1">
      <c r="A514" t="inlineStr">
        <is>
          <t>A 62266-2020</t>
        </is>
      </c>
      <c r="B514" s="1" t="n">
        <v>44160.35008101852</v>
      </c>
      <c r="C514" s="1" t="n">
        <v>45886</v>
      </c>
      <c r="D514" t="inlineStr">
        <is>
          <t>DALARNAS LÄN</t>
        </is>
      </c>
      <c r="E514" t="inlineStr">
        <is>
          <t>MORA</t>
        </is>
      </c>
      <c r="F514" t="inlineStr">
        <is>
          <t>Bergvik skog väst AB</t>
        </is>
      </c>
      <c r="G514" t="n">
        <v>5.9</v>
      </c>
      <c r="H514" t="n">
        <v>0</v>
      </c>
      <c r="I514" t="n">
        <v>0</v>
      </c>
      <c r="J514" t="n">
        <v>0</v>
      </c>
      <c r="K514" t="n">
        <v>0</v>
      </c>
      <c r="L514" t="n">
        <v>0</v>
      </c>
      <c r="M514" t="n">
        <v>0</v>
      </c>
      <c r="N514" t="n">
        <v>0</v>
      </c>
      <c r="O514" t="n">
        <v>0</v>
      </c>
      <c r="P514" t="n">
        <v>0</v>
      </c>
      <c r="Q514" t="n">
        <v>0</v>
      </c>
      <c r="R514" s="2" t="inlineStr"/>
    </row>
    <row r="515" ht="15" customHeight="1">
      <c r="A515" t="inlineStr">
        <is>
          <t>A 9554-2025</t>
        </is>
      </c>
      <c r="B515" s="1" t="n">
        <v>45715.59936342593</v>
      </c>
      <c r="C515" s="1" t="n">
        <v>45886</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11463-2024</t>
        </is>
      </c>
      <c r="B516" s="1" t="n">
        <v>45372.58969907407</v>
      </c>
      <c r="C516" s="1" t="n">
        <v>45886</v>
      </c>
      <c r="D516" t="inlineStr">
        <is>
          <t>DALARNAS LÄN</t>
        </is>
      </c>
      <c r="E516" t="inlineStr">
        <is>
          <t>MORA</t>
        </is>
      </c>
      <c r="F516" t="inlineStr">
        <is>
          <t>Bergvik skog väst AB</t>
        </is>
      </c>
      <c r="G516" t="n">
        <v>1.8</v>
      </c>
      <c r="H516" t="n">
        <v>0</v>
      </c>
      <c r="I516" t="n">
        <v>0</v>
      </c>
      <c r="J516" t="n">
        <v>0</v>
      </c>
      <c r="K516" t="n">
        <v>0</v>
      </c>
      <c r="L516" t="n">
        <v>0</v>
      </c>
      <c r="M516" t="n">
        <v>0</v>
      </c>
      <c r="N516" t="n">
        <v>0</v>
      </c>
      <c r="O516" t="n">
        <v>0</v>
      </c>
      <c r="P516" t="n">
        <v>0</v>
      </c>
      <c r="Q516" t="n">
        <v>0</v>
      </c>
      <c r="R516" s="2" t="inlineStr"/>
    </row>
    <row r="517" ht="15" customHeight="1">
      <c r="A517" t="inlineStr">
        <is>
          <t>A 43533-2023</t>
        </is>
      </c>
      <c r="B517" s="1" t="n">
        <v>45184.53412037037</v>
      </c>
      <c r="C517" s="1" t="n">
        <v>45886</v>
      </c>
      <c r="D517" t="inlineStr">
        <is>
          <t>DALARNAS LÄN</t>
        </is>
      </c>
      <c r="E517" t="inlineStr">
        <is>
          <t>MORA</t>
        </is>
      </c>
      <c r="F517" t="inlineStr">
        <is>
          <t>Bergvik skog väst AB</t>
        </is>
      </c>
      <c r="G517" t="n">
        <v>10.3</v>
      </c>
      <c r="H517" t="n">
        <v>0</v>
      </c>
      <c r="I517" t="n">
        <v>0</v>
      </c>
      <c r="J517" t="n">
        <v>0</v>
      </c>
      <c r="K517" t="n">
        <v>0</v>
      </c>
      <c r="L517" t="n">
        <v>0</v>
      </c>
      <c r="M517" t="n">
        <v>0</v>
      </c>
      <c r="N517" t="n">
        <v>0</v>
      </c>
      <c r="O517" t="n">
        <v>0</v>
      </c>
      <c r="P517" t="n">
        <v>0</v>
      </c>
      <c r="Q517" t="n">
        <v>0</v>
      </c>
      <c r="R517" s="2" t="inlineStr"/>
    </row>
    <row r="518" ht="15" customHeight="1">
      <c r="A518" t="inlineStr">
        <is>
          <t>A 30998-2022</t>
        </is>
      </c>
      <c r="B518" s="1" t="n">
        <v>44768</v>
      </c>
      <c r="C518" s="1" t="n">
        <v>45886</v>
      </c>
      <c r="D518" t="inlineStr">
        <is>
          <t>DALARNAS LÄN</t>
        </is>
      </c>
      <c r="E518" t="inlineStr">
        <is>
          <t>MORA</t>
        </is>
      </c>
      <c r="G518" t="n">
        <v>1.7</v>
      </c>
      <c r="H518" t="n">
        <v>0</v>
      </c>
      <c r="I518" t="n">
        <v>0</v>
      </c>
      <c r="J518" t="n">
        <v>0</v>
      </c>
      <c r="K518" t="n">
        <v>0</v>
      </c>
      <c r="L518" t="n">
        <v>0</v>
      </c>
      <c r="M518" t="n">
        <v>0</v>
      </c>
      <c r="N518" t="n">
        <v>0</v>
      </c>
      <c r="O518" t="n">
        <v>0</v>
      </c>
      <c r="P518" t="n">
        <v>0</v>
      </c>
      <c r="Q518" t="n">
        <v>0</v>
      </c>
      <c r="R518" s="2" t="inlineStr"/>
    </row>
    <row r="519" ht="15" customHeight="1">
      <c r="A519" t="inlineStr">
        <is>
          <t>A 27975-2023</t>
        </is>
      </c>
      <c r="B519" s="1" t="n">
        <v>45098</v>
      </c>
      <c r="C519" s="1" t="n">
        <v>45886</v>
      </c>
      <c r="D519" t="inlineStr">
        <is>
          <t>DALARNAS LÄN</t>
        </is>
      </c>
      <c r="E519" t="inlineStr">
        <is>
          <t>MORA</t>
        </is>
      </c>
      <c r="G519" t="n">
        <v>1.1</v>
      </c>
      <c r="H519" t="n">
        <v>0</v>
      </c>
      <c r="I519" t="n">
        <v>0</v>
      </c>
      <c r="J519" t="n">
        <v>0</v>
      </c>
      <c r="K519" t="n">
        <v>0</v>
      </c>
      <c r="L519" t="n">
        <v>0</v>
      </c>
      <c r="M519" t="n">
        <v>0</v>
      </c>
      <c r="N519" t="n">
        <v>0</v>
      </c>
      <c r="O519" t="n">
        <v>0</v>
      </c>
      <c r="P519" t="n">
        <v>0</v>
      </c>
      <c r="Q519" t="n">
        <v>0</v>
      </c>
      <c r="R519" s="2" t="inlineStr"/>
    </row>
    <row r="520" ht="15" customHeight="1">
      <c r="A520" t="inlineStr">
        <is>
          <t>A 5769-2025</t>
        </is>
      </c>
      <c r="B520" s="1" t="n">
        <v>45694.59288194445</v>
      </c>
      <c r="C520" s="1" t="n">
        <v>45886</v>
      </c>
      <c r="D520" t="inlineStr">
        <is>
          <t>DALARNAS LÄN</t>
        </is>
      </c>
      <c r="E520" t="inlineStr">
        <is>
          <t>MORA</t>
        </is>
      </c>
      <c r="G520" t="n">
        <v>15.7</v>
      </c>
      <c r="H520" t="n">
        <v>0</v>
      </c>
      <c r="I520" t="n">
        <v>0</v>
      </c>
      <c r="J520" t="n">
        <v>0</v>
      </c>
      <c r="K520" t="n">
        <v>0</v>
      </c>
      <c r="L520" t="n">
        <v>0</v>
      </c>
      <c r="M520" t="n">
        <v>0</v>
      </c>
      <c r="N520" t="n">
        <v>0</v>
      </c>
      <c r="O520" t="n">
        <v>0</v>
      </c>
      <c r="P520" t="n">
        <v>0</v>
      </c>
      <c r="Q520" t="n">
        <v>0</v>
      </c>
      <c r="R520" s="2" t="inlineStr"/>
    </row>
    <row r="521" ht="15" customHeight="1">
      <c r="A521" t="inlineStr">
        <is>
          <t>A 59101-2024</t>
        </is>
      </c>
      <c r="B521" s="1" t="n">
        <v>45637.34074074074</v>
      </c>
      <c r="C521" s="1" t="n">
        <v>45886</v>
      </c>
      <c r="D521" t="inlineStr">
        <is>
          <t>DALARNAS LÄN</t>
        </is>
      </c>
      <c r="E521" t="inlineStr">
        <is>
          <t>MORA</t>
        </is>
      </c>
      <c r="F521" t="inlineStr">
        <is>
          <t>Allmännings- och besparingsskogar</t>
        </is>
      </c>
      <c r="G521" t="n">
        <v>1.2</v>
      </c>
      <c r="H521" t="n">
        <v>0</v>
      </c>
      <c r="I521" t="n">
        <v>0</v>
      </c>
      <c r="J521" t="n">
        <v>0</v>
      </c>
      <c r="K521" t="n">
        <v>0</v>
      </c>
      <c r="L521" t="n">
        <v>0</v>
      </c>
      <c r="M521" t="n">
        <v>0</v>
      </c>
      <c r="N521" t="n">
        <v>0</v>
      </c>
      <c r="O521" t="n">
        <v>0</v>
      </c>
      <c r="P521" t="n">
        <v>0</v>
      </c>
      <c r="Q521" t="n">
        <v>0</v>
      </c>
      <c r="R521" s="2" t="inlineStr"/>
    </row>
    <row r="522" ht="15" customHeight="1">
      <c r="A522" t="inlineStr">
        <is>
          <t>A 8343-2025</t>
        </is>
      </c>
      <c r="B522" s="1" t="n">
        <v>45708.67253472222</v>
      </c>
      <c r="C522" s="1" t="n">
        <v>45886</v>
      </c>
      <c r="D522" t="inlineStr">
        <is>
          <t>DALARNAS LÄN</t>
        </is>
      </c>
      <c r="E522" t="inlineStr">
        <is>
          <t>MORA</t>
        </is>
      </c>
      <c r="G522" t="n">
        <v>3.4</v>
      </c>
      <c r="H522" t="n">
        <v>0</v>
      </c>
      <c r="I522" t="n">
        <v>0</v>
      </c>
      <c r="J522" t="n">
        <v>0</v>
      </c>
      <c r="K522" t="n">
        <v>0</v>
      </c>
      <c r="L522" t="n">
        <v>0</v>
      </c>
      <c r="M522" t="n">
        <v>0</v>
      </c>
      <c r="N522" t="n">
        <v>0</v>
      </c>
      <c r="O522" t="n">
        <v>0</v>
      </c>
      <c r="P522" t="n">
        <v>0</v>
      </c>
      <c r="Q522" t="n">
        <v>0</v>
      </c>
      <c r="R522" s="2" t="inlineStr"/>
    </row>
    <row r="523" ht="15" customHeight="1">
      <c r="A523" t="inlineStr">
        <is>
          <t>A 43874-2024</t>
        </is>
      </c>
      <c r="B523" s="1" t="n">
        <v>45572.38476851852</v>
      </c>
      <c r="C523" s="1" t="n">
        <v>45886</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57903-2022</t>
        </is>
      </c>
      <c r="B524" s="1" t="n">
        <v>44900.3521412037</v>
      </c>
      <c r="C524" s="1" t="n">
        <v>45886</v>
      </c>
      <c r="D524" t="inlineStr">
        <is>
          <t>DALARNAS LÄN</t>
        </is>
      </c>
      <c r="E524" t="inlineStr">
        <is>
          <t>MORA</t>
        </is>
      </c>
      <c r="G524" t="n">
        <v>4.3</v>
      </c>
      <c r="H524" t="n">
        <v>0</v>
      </c>
      <c r="I524" t="n">
        <v>0</v>
      </c>
      <c r="J524" t="n">
        <v>0</v>
      </c>
      <c r="K524" t="n">
        <v>0</v>
      </c>
      <c r="L524" t="n">
        <v>0</v>
      </c>
      <c r="M524" t="n">
        <v>0</v>
      </c>
      <c r="N524" t="n">
        <v>0</v>
      </c>
      <c r="O524" t="n">
        <v>0</v>
      </c>
      <c r="P524" t="n">
        <v>0</v>
      </c>
      <c r="Q524" t="n">
        <v>0</v>
      </c>
      <c r="R524" s="2" t="inlineStr"/>
    </row>
    <row r="525" ht="15" customHeight="1">
      <c r="A525" t="inlineStr">
        <is>
          <t>A 24169-2022</t>
        </is>
      </c>
      <c r="B525" s="1" t="n">
        <v>44725.50280092593</v>
      </c>
      <c r="C525" s="1" t="n">
        <v>45886</v>
      </c>
      <c r="D525" t="inlineStr">
        <is>
          <t>DALARNAS LÄN</t>
        </is>
      </c>
      <c r="E525" t="inlineStr">
        <is>
          <t>MORA</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65186-2021</t>
        </is>
      </c>
      <c r="B526" s="1" t="n">
        <v>44515</v>
      </c>
      <c r="C526" s="1" t="n">
        <v>45886</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row>
    <row r="527" ht="15" customHeight="1">
      <c r="A527" t="inlineStr">
        <is>
          <t>A 17164-2025</t>
        </is>
      </c>
      <c r="B527" s="1" t="n">
        <v>45756.36403935185</v>
      </c>
      <c r="C527" s="1" t="n">
        <v>45886</v>
      </c>
      <c r="D527" t="inlineStr">
        <is>
          <t>DALARNAS LÄN</t>
        </is>
      </c>
      <c r="E527" t="inlineStr">
        <is>
          <t>MORA</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58892-2023</t>
        </is>
      </c>
      <c r="B528" s="1" t="n">
        <v>45252.48592592592</v>
      </c>
      <c r="C528" s="1" t="n">
        <v>45886</v>
      </c>
      <c r="D528" t="inlineStr">
        <is>
          <t>DALARNAS LÄN</t>
        </is>
      </c>
      <c r="E528" t="inlineStr">
        <is>
          <t>MORA</t>
        </is>
      </c>
      <c r="G528" t="n">
        <v>2.2</v>
      </c>
      <c r="H528" t="n">
        <v>0</v>
      </c>
      <c r="I528" t="n">
        <v>0</v>
      </c>
      <c r="J528" t="n">
        <v>0</v>
      </c>
      <c r="K528" t="n">
        <v>0</v>
      </c>
      <c r="L528" t="n">
        <v>0</v>
      </c>
      <c r="M528" t="n">
        <v>0</v>
      </c>
      <c r="N528" t="n">
        <v>0</v>
      </c>
      <c r="O528" t="n">
        <v>0</v>
      </c>
      <c r="P528" t="n">
        <v>0</v>
      </c>
      <c r="Q528" t="n">
        <v>0</v>
      </c>
      <c r="R528" s="2" t="inlineStr"/>
    </row>
    <row r="529" ht="15" customHeight="1">
      <c r="A529" t="inlineStr">
        <is>
          <t>A 11442-2022</t>
        </is>
      </c>
      <c r="B529" s="1" t="n">
        <v>44630.62788194444</v>
      </c>
      <c r="C529" s="1" t="n">
        <v>45886</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6183-2024</t>
        </is>
      </c>
      <c r="B530" s="1" t="n">
        <v>45337.54135416666</v>
      </c>
      <c r="C530" s="1" t="n">
        <v>45886</v>
      </c>
      <c r="D530" t="inlineStr">
        <is>
          <t>DALARNAS LÄN</t>
        </is>
      </c>
      <c r="E530" t="inlineStr">
        <is>
          <t>MORA</t>
        </is>
      </c>
      <c r="G530" t="n">
        <v>7.9</v>
      </c>
      <c r="H530" t="n">
        <v>0</v>
      </c>
      <c r="I530" t="n">
        <v>0</v>
      </c>
      <c r="J530" t="n">
        <v>0</v>
      </c>
      <c r="K530" t="n">
        <v>0</v>
      </c>
      <c r="L530" t="n">
        <v>0</v>
      </c>
      <c r="M530" t="n">
        <v>0</v>
      </c>
      <c r="N530" t="n">
        <v>0</v>
      </c>
      <c r="O530" t="n">
        <v>0</v>
      </c>
      <c r="P530" t="n">
        <v>0</v>
      </c>
      <c r="Q530" t="n">
        <v>0</v>
      </c>
      <c r="R530" s="2" t="inlineStr"/>
    </row>
    <row r="531" ht="15" customHeight="1">
      <c r="A531" t="inlineStr">
        <is>
          <t>A 37774-2022</t>
        </is>
      </c>
      <c r="B531" s="1" t="n">
        <v>44810.64164351852</v>
      </c>
      <c r="C531" s="1" t="n">
        <v>45886</v>
      </c>
      <c r="D531" t="inlineStr">
        <is>
          <t>DALARNAS LÄN</t>
        </is>
      </c>
      <c r="E531" t="inlineStr">
        <is>
          <t>MORA</t>
        </is>
      </c>
      <c r="F531" t="inlineStr">
        <is>
          <t>Bergvik skog väst AB</t>
        </is>
      </c>
      <c r="G531" t="n">
        <v>8.5</v>
      </c>
      <c r="H531" t="n">
        <v>0</v>
      </c>
      <c r="I531" t="n">
        <v>0</v>
      </c>
      <c r="J531" t="n">
        <v>0</v>
      </c>
      <c r="K531" t="n">
        <v>0</v>
      </c>
      <c r="L531" t="n">
        <v>0</v>
      </c>
      <c r="M531" t="n">
        <v>0</v>
      </c>
      <c r="N531" t="n">
        <v>0</v>
      </c>
      <c r="O531" t="n">
        <v>0</v>
      </c>
      <c r="P531" t="n">
        <v>0</v>
      </c>
      <c r="Q531" t="n">
        <v>0</v>
      </c>
      <c r="R531" s="2" t="inlineStr"/>
    </row>
    <row r="532" ht="15" customHeight="1">
      <c r="A532" t="inlineStr">
        <is>
          <t>A 45562-2023</t>
        </is>
      </c>
      <c r="B532" s="1" t="n">
        <v>45194.59378472222</v>
      </c>
      <c r="C532" s="1" t="n">
        <v>45886</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35551-2023</t>
        </is>
      </c>
      <c r="B533" s="1" t="n">
        <v>45147.3934837963</v>
      </c>
      <c r="C533" s="1" t="n">
        <v>45886</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22854-2023</t>
        </is>
      </c>
      <c r="B534" s="1" t="n">
        <v>45072</v>
      </c>
      <c r="C534" s="1" t="n">
        <v>45886</v>
      </c>
      <c r="D534" t="inlineStr">
        <is>
          <t>DALARNAS LÄN</t>
        </is>
      </c>
      <c r="E534" t="inlineStr">
        <is>
          <t>MORA</t>
        </is>
      </c>
      <c r="G534" t="n">
        <v>3.3</v>
      </c>
      <c r="H534" t="n">
        <v>0</v>
      </c>
      <c r="I534" t="n">
        <v>0</v>
      </c>
      <c r="J534" t="n">
        <v>0</v>
      </c>
      <c r="K534" t="n">
        <v>0</v>
      </c>
      <c r="L534" t="n">
        <v>0</v>
      </c>
      <c r="M534" t="n">
        <v>0</v>
      </c>
      <c r="N534" t="n">
        <v>0</v>
      </c>
      <c r="O534" t="n">
        <v>0</v>
      </c>
      <c r="P534" t="n">
        <v>0</v>
      </c>
      <c r="Q534" t="n">
        <v>0</v>
      </c>
      <c r="R534" s="2" t="inlineStr"/>
    </row>
    <row r="535" ht="15" customHeight="1">
      <c r="A535" t="inlineStr">
        <is>
          <t>A 23300-2024</t>
        </is>
      </c>
      <c r="B535" s="1" t="n">
        <v>45453.43695601852</v>
      </c>
      <c r="C535" s="1" t="n">
        <v>45886</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56268-2024</t>
        </is>
      </c>
      <c r="B536" s="1" t="n">
        <v>45624.65785879629</v>
      </c>
      <c r="C536" s="1" t="n">
        <v>45886</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56532-2024</t>
        </is>
      </c>
      <c r="B537" s="1" t="n">
        <v>45625.55440972222</v>
      </c>
      <c r="C537" s="1" t="n">
        <v>45886</v>
      </c>
      <c r="D537" t="inlineStr">
        <is>
          <t>DALARNAS LÄN</t>
        </is>
      </c>
      <c r="E537" t="inlineStr">
        <is>
          <t>MORA</t>
        </is>
      </c>
      <c r="G537" t="n">
        <v>6.9</v>
      </c>
      <c r="H537" t="n">
        <v>0</v>
      </c>
      <c r="I537" t="n">
        <v>0</v>
      </c>
      <c r="J537" t="n">
        <v>0</v>
      </c>
      <c r="K537" t="n">
        <v>0</v>
      </c>
      <c r="L537" t="n">
        <v>0</v>
      </c>
      <c r="M537" t="n">
        <v>0</v>
      </c>
      <c r="N537" t="n">
        <v>0</v>
      </c>
      <c r="O537" t="n">
        <v>0</v>
      </c>
      <c r="P537" t="n">
        <v>0</v>
      </c>
      <c r="Q537" t="n">
        <v>0</v>
      </c>
      <c r="R537" s="2" t="inlineStr"/>
    </row>
    <row r="538" ht="15" customHeight="1">
      <c r="A538" t="inlineStr">
        <is>
          <t>A 24465-2021</t>
        </is>
      </c>
      <c r="B538" s="1" t="n">
        <v>44337</v>
      </c>
      <c r="C538" s="1" t="n">
        <v>45886</v>
      </c>
      <c r="D538" t="inlineStr">
        <is>
          <t>DALARNAS LÄN</t>
        </is>
      </c>
      <c r="E538" t="inlineStr">
        <is>
          <t>MORA</t>
        </is>
      </c>
      <c r="G538" t="n">
        <v>2.6</v>
      </c>
      <c r="H538" t="n">
        <v>0</v>
      </c>
      <c r="I538" t="n">
        <v>0</v>
      </c>
      <c r="J538" t="n">
        <v>0</v>
      </c>
      <c r="K538" t="n">
        <v>0</v>
      </c>
      <c r="L538" t="n">
        <v>0</v>
      </c>
      <c r="M538" t="n">
        <v>0</v>
      </c>
      <c r="N538" t="n">
        <v>0</v>
      </c>
      <c r="O538" t="n">
        <v>0</v>
      </c>
      <c r="P538" t="n">
        <v>0</v>
      </c>
      <c r="Q538" t="n">
        <v>0</v>
      </c>
      <c r="R538" s="2" t="inlineStr"/>
    </row>
    <row r="539" ht="15" customHeight="1">
      <c r="A539" t="inlineStr">
        <is>
          <t>A 571-2024</t>
        </is>
      </c>
      <c r="B539" s="1" t="n">
        <v>45299</v>
      </c>
      <c r="C539" s="1" t="n">
        <v>45886</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5298-2023</t>
        </is>
      </c>
      <c r="B540" s="1" t="n">
        <v>44959.54355324074</v>
      </c>
      <c r="C540" s="1" t="n">
        <v>45886</v>
      </c>
      <c r="D540" t="inlineStr">
        <is>
          <t>DALARNAS LÄN</t>
        </is>
      </c>
      <c r="E540" t="inlineStr">
        <is>
          <t>MORA</t>
        </is>
      </c>
      <c r="F540" t="inlineStr">
        <is>
          <t>Bergvik skog väst AB</t>
        </is>
      </c>
      <c r="G540" t="n">
        <v>6.2</v>
      </c>
      <c r="H540" t="n">
        <v>0</v>
      </c>
      <c r="I540" t="n">
        <v>0</v>
      </c>
      <c r="J540" t="n">
        <v>0</v>
      </c>
      <c r="K540" t="n">
        <v>0</v>
      </c>
      <c r="L540" t="n">
        <v>0</v>
      </c>
      <c r="M540" t="n">
        <v>0</v>
      </c>
      <c r="N540" t="n">
        <v>0</v>
      </c>
      <c r="O540" t="n">
        <v>0</v>
      </c>
      <c r="P540" t="n">
        <v>0</v>
      </c>
      <c r="Q540" t="n">
        <v>0</v>
      </c>
      <c r="R540" s="2" t="inlineStr"/>
    </row>
    <row r="541" ht="15" customHeight="1">
      <c r="A541" t="inlineStr">
        <is>
          <t>A 59002-2024</t>
        </is>
      </c>
      <c r="B541" s="1" t="n">
        <v>45636</v>
      </c>
      <c r="C541" s="1" t="n">
        <v>45886</v>
      </c>
      <c r="D541" t="inlineStr">
        <is>
          <t>DALARNAS LÄN</t>
        </is>
      </c>
      <c r="E541" t="inlineStr">
        <is>
          <t>MORA</t>
        </is>
      </c>
      <c r="F541" t="inlineStr">
        <is>
          <t>Bergvik skog väst AB</t>
        </is>
      </c>
      <c r="G541" t="n">
        <v>24.8</v>
      </c>
      <c r="H541" t="n">
        <v>0</v>
      </c>
      <c r="I541" t="n">
        <v>0</v>
      </c>
      <c r="J541" t="n">
        <v>0</v>
      </c>
      <c r="K541" t="n">
        <v>0</v>
      </c>
      <c r="L541" t="n">
        <v>0</v>
      </c>
      <c r="M541" t="n">
        <v>0</v>
      </c>
      <c r="N541" t="n">
        <v>0</v>
      </c>
      <c r="O541" t="n">
        <v>0</v>
      </c>
      <c r="P541" t="n">
        <v>0</v>
      </c>
      <c r="Q541" t="n">
        <v>0</v>
      </c>
      <c r="R541" s="2" t="inlineStr"/>
    </row>
    <row r="542" ht="15" customHeight="1">
      <c r="A542" t="inlineStr">
        <is>
          <t>A 50056-2022</t>
        </is>
      </c>
      <c r="B542" s="1" t="n">
        <v>44865</v>
      </c>
      <c r="C542" s="1" t="n">
        <v>45886</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44106-2023</t>
        </is>
      </c>
      <c r="B543" s="1" t="n">
        <v>45188</v>
      </c>
      <c r="C543" s="1" t="n">
        <v>45886</v>
      </c>
      <c r="D543" t="inlineStr">
        <is>
          <t>DALARNAS LÄN</t>
        </is>
      </c>
      <c r="E543" t="inlineStr">
        <is>
          <t>MORA</t>
        </is>
      </c>
      <c r="G543" t="n">
        <v>10.1</v>
      </c>
      <c r="H543" t="n">
        <v>0</v>
      </c>
      <c r="I543" t="n">
        <v>0</v>
      </c>
      <c r="J543" t="n">
        <v>0</v>
      </c>
      <c r="K543" t="n">
        <v>0</v>
      </c>
      <c r="L543" t="n">
        <v>0</v>
      </c>
      <c r="M543" t="n">
        <v>0</v>
      </c>
      <c r="N543" t="n">
        <v>0</v>
      </c>
      <c r="O543" t="n">
        <v>0</v>
      </c>
      <c r="P543" t="n">
        <v>0</v>
      </c>
      <c r="Q543" t="n">
        <v>0</v>
      </c>
      <c r="R543" s="2" t="inlineStr"/>
    </row>
    <row r="544" ht="15" customHeight="1">
      <c r="A544" t="inlineStr">
        <is>
          <t>A 57091-2021</t>
        </is>
      </c>
      <c r="B544" s="1" t="n">
        <v>44482</v>
      </c>
      <c r="C544" s="1" t="n">
        <v>45886</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4994-2025</t>
        </is>
      </c>
      <c r="B545" s="1" t="n">
        <v>45691.35427083333</v>
      </c>
      <c r="C545" s="1" t="n">
        <v>45886</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35287-2024</t>
        </is>
      </c>
      <c r="B546" s="1" t="n">
        <v>45530</v>
      </c>
      <c r="C546" s="1" t="n">
        <v>45886</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18702-2025</t>
        </is>
      </c>
      <c r="B547" s="1" t="n">
        <v>45763.63166666667</v>
      </c>
      <c r="C547" s="1" t="n">
        <v>45886</v>
      </c>
      <c r="D547" t="inlineStr">
        <is>
          <t>DALARNAS LÄN</t>
        </is>
      </c>
      <c r="E547" t="inlineStr">
        <is>
          <t>MORA</t>
        </is>
      </c>
      <c r="G547" t="n">
        <v>3.6</v>
      </c>
      <c r="H547" t="n">
        <v>0</v>
      </c>
      <c r="I547" t="n">
        <v>0</v>
      </c>
      <c r="J547" t="n">
        <v>0</v>
      </c>
      <c r="K547" t="n">
        <v>0</v>
      </c>
      <c r="L547" t="n">
        <v>0</v>
      </c>
      <c r="M547" t="n">
        <v>0</v>
      </c>
      <c r="N547" t="n">
        <v>0</v>
      </c>
      <c r="O547" t="n">
        <v>0</v>
      </c>
      <c r="P547" t="n">
        <v>0</v>
      </c>
      <c r="Q547" t="n">
        <v>0</v>
      </c>
      <c r="R547" s="2" t="inlineStr"/>
    </row>
    <row r="548" ht="15" customHeight="1">
      <c r="A548" t="inlineStr">
        <is>
          <t>A 7766-2025</t>
        </is>
      </c>
      <c r="B548" s="1" t="n">
        <v>45706.5562037037</v>
      </c>
      <c r="C548" s="1" t="n">
        <v>45886</v>
      </c>
      <c r="D548" t="inlineStr">
        <is>
          <t>DALARNAS LÄN</t>
        </is>
      </c>
      <c r="E548" t="inlineStr">
        <is>
          <t>MORA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15499-2024</t>
        </is>
      </c>
      <c r="B549" s="1" t="n">
        <v>45401.53798611111</v>
      </c>
      <c r="C549" s="1" t="n">
        <v>45886</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43879-2022</t>
        </is>
      </c>
      <c r="B550" s="1" t="n">
        <v>44838.46721064814</v>
      </c>
      <c r="C550" s="1" t="n">
        <v>45886</v>
      </c>
      <c r="D550" t="inlineStr">
        <is>
          <t>DALARNAS LÄN</t>
        </is>
      </c>
      <c r="E550" t="inlineStr">
        <is>
          <t>MORA</t>
        </is>
      </c>
      <c r="G550" t="n">
        <v>3.4</v>
      </c>
      <c r="H550" t="n">
        <v>0</v>
      </c>
      <c r="I550" t="n">
        <v>0</v>
      </c>
      <c r="J550" t="n">
        <v>0</v>
      </c>
      <c r="K550" t="n">
        <v>0</v>
      </c>
      <c r="L550" t="n">
        <v>0</v>
      </c>
      <c r="M550" t="n">
        <v>0</v>
      </c>
      <c r="N550" t="n">
        <v>0</v>
      </c>
      <c r="O550" t="n">
        <v>0</v>
      </c>
      <c r="P550" t="n">
        <v>0</v>
      </c>
      <c r="Q550" t="n">
        <v>0</v>
      </c>
      <c r="R550" s="2" t="inlineStr"/>
    </row>
    <row r="551" ht="15" customHeight="1">
      <c r="A551" t="inlineStr">
        <is>
          <t>A 39888-2024</t>
        </is>
      </c>
      <c r="B551" s="1" t="n">
        <v>45553.47538194444</v>
      </c>
      <c r="C551" s="1" t="n">
        <v>45886</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12478-2025</t>
        </is>
      </c>
      <c r="B552" s="1" t="n">
        <v>45730.57429398148</v>
      </c>
      <c r="C552" s="1" t="n">
        <v>45886</v>
      </c>
      <c r="D552" t="inlineStr">
        <is>
          <t>DALARNAS LÄN</t>
        </is>
      </c>
      <c r="E552" t="inlineStr">
        <is>
          <t>MORA</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12828-2023</t>
        </is>
      </c>
      <c r="B553" s="1" t="n">
        <v>45001</v>
      </c>
      <c r="C553" s="1" t="n">
        <v>45886</v>
      </c>
      <c r="D553" t="inlineStr">
        <is>
          <t>DALARNAS LÄN</t>
        </is>
      </c>
      <c r="E553" t="inlineStr">
        <is>
          <t>MORA</t>
        </is>
      </c>
      <c r="F553" t="inlineStr">
        <is>
          <t>Bergvik skog väst AB</t>
        </is>
      </c>
      <c r="G553" t="n">
        <v>5.4</v>
      </c>
      <c r="H553" t="n">
        <v>0</v>
      </c>
      <c r="I553" t="n">
        <v>0</v>
      </c>
      <c r="J553" t="n">
        <v>0</v>
      </c>
      <c r="K553" t="n">
        <v>0</v>
      </c>
      <c r="L553" t="n">
        <v>0</v>
      </c>
      <c r="M553" t="n">
        <v>0</v>
      </c>
      <c r="N553" t="n">
        <v>0</v>
      </c>
      <c r="O553" t="n">
        <v>0</v>
      </c>
      <c r="P553" t="n">
        <v>0</v>
      </c>
      <c r="Q553" t="n">
        <v>0</v>
      </c>
      <c r="R553" s="2" t="inlineStr"/>
    </row>
    <row r="554" ht="15" customHeight="1">
      <c r="A554" t="inlineStr">
        <is>
          <t>A 60099-2024</t>
        </is>
      </c>
      <c r="B554" s="1" t="n">
        <v>45642.55645833333</v>
      </c>
      <c r="C554" s="1" t="n">
        <v>45886</v>
      </c>
      <c r="D554" t="inlineStr">
        <is>
          <t>DALARNAS LÄN</t>
        </is>
      </c>
      <c r="E554" t="inlineStr">
        <is>
          <t>MORA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53750-2024</t>
        </is>
      </c>
      <c r="B555" s="1" t="n">
        <v>45615.48465277778</v>
      </c>
      <c r="C555" s="1" t="n">
        <v>45886</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30030-2021</t>
        </is>
      </c>
      <c r="B556" s="1" t="n">
        <v>44363</v>
      </c>
      <c r="C556" s="1" t="n">
        <v>45886</v>
      </c>
      <c r="D556" t="inlineStr">
        <is>
          <t>DALARNAS LÄN</t>
        </is>
      </c>
      <c r="E556" t="inlineStr">
        <is>
          <t>MORA</t>
        </is>
      </c>
      <c r="G556" t="n">
        <v>7.1</v>
      </c>
      <c r="H556" t="n">
        <v>0</v>
      </c>
      <c r="I556" t="n">
        <v>0</v>
      </c>
      <c r="J556" t="n">
        <v>0</v>
      </c>
      <c r="K556" t="n">
        <v>0</v>
      </c>
      <c r="L556" t="n">
        <v>0</v>
      </c>
      <c r="M556" t="n">
        <v>0</v>
      </c>
      <c r="N556" t="n">
        <v>0</v>
      </c>
      <c r="O556" t="n">
        <v>0</v>
      </c>
      <c r="P556" t="n">
        <v>0</v>
      </c>
      <c r="Q556" t="n">
        <v>0</v>
      </c>
      <c r="R556" s="2" t="inlineStr"/>
    </row>
    <row r="557" ht="15" customHeight="1">
      <c r="A557" t="inlineStr">
        <is>
          <t>A 37971-2024</t>
        </is>
      </c>
      <c r="B557" s="1" t="n">
        <v>45544</v>
      </c>
      <c r="C557" s="1" t="n">
        <v>45886</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31085-2024</t>
        </is>
      </c>
      <c r="B558" s="1" t="n">
        <v>45502.48047453703</v>
      </c>
      <c r="C558" s="1" t="n">
        <v>45886</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44071-2024</t>
        </is>
      </c>
      <c r="B559" s="1" t="n">
        <v>45572.60915509259</v>
      </c>
      <c r="C559" s="1" t="n">
        <v>45886</v>
      </c>
      <c r="D559" t="inlineStr">
        <is>
          <t>DALARNAS LÄN</t>
        </is>
      </c>
      <c r="E559" t="inlineStr">
        <is>
          <t>MORA</t>
        </is>
      </c>
      <c r="G559" t="n">
        <v>4.5</v>
      </c>
      <c r="H559" t="n">
        <v>0</v>
      </c>
      <c r="I559" t="n">
        <v>0</v>
      </c>
      <c r="J559" t="n">
        <v>0</v>
      </c>
      <c r="K559" t="n">
        <v>0</v>
      </c>
      <c r="L559" t="n">
        <v>0</v>
      </c>
      <c r="M559" t="n">
        <v>0</v>
      </c>
      <c r="N559" t="n">
        <v>0</v>
      </c>
      <c r="O559" t="n">
        <v>0</v>
      </c>
      <c r="P559" t="n">
        <v>0</v>
      </c>
      <c r="Q559" t="n">
        <v>0</v>
      </c>
      <c r="R559" s="2" t="inlineStr"/>
    </row>
    <row r="560" ht="15" customHeight="1">
      <c r="A560" t="inlineStr">
        <is>
          <t>A 12490-2025</t>
        </is>
      </c>
      <c r="B560" s="1" t="n">
        <v>45730.59239583334</v>
      </c>
      <c r="C560" s="1" t="n">
        <v>45886</v>
      </c>
      <c r="D560" t="inlineStr">
        <is>
          <t>DALARNAS LÄN</t>
        </is>
      </c>
      <c r="E560" t="inlineStr">
        <is>
          <t>MORA</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18122-2025</t>
        </is>
      </c>
      <c r="B561" s="1" t="n">
        <v>45761.59221064814</v>
      </c>
      <c r="C561" s="1" t="n">
        <v>45886</v>
      </c>
      <c r="D561" t="inlineStr">
        <is>
          <t>DALARNAS LÄN</t>
        </is>
      </c>
      <c r="E561" t="inlineStr">
        <is>
          <t>MORA</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46923-2024</t>
        </is>
      </c>
      <c r="B562" s="1" t="n">
        <v>45584.42887731481</v>
      </c>
      <c r="C562" s="1" t="n">
        <v>45886</v>
      </c>
      <c r="D562" t="inlineStr">
        <is>
          <t>DALARNAS LÄN</t>
        </is>
      </c>
      <c r="E562" t="inlineStr">
        <is>
          <t>MORA</t>
        </is>
      </c>
      <c r="G562" t="n">
        <v>3.4</v>
      </c>
      <c r="H562" t="n">
        <v>0</v>
      </c>
      <c r="I562" t="n">
        <v>0</v>
      </c>
      <c r="J562" t="n">
        <v>0</v>
      </c>
      <c r="K562" t="n">
        <v>0</v>
      </c>
      <c r="L562" t="n">
        <v>0</v>
      </c>
      <c r="M562" t="n">
        <v>0</v>
      </c>
      <c r="N562" t="n">
        <v>0</v>
      </c>
      <c r="O562" t="n">
        <v>0</v>
      </c>
      <c r="P562" t="n">
        <v>0</v>
      </c>
      <c r="Q562" t="n">
        <v>0</v>
      </c>
      <c r="R562" s="2" t="inlineStr"/>
    </row>
    <row r="563" ht="15" customHeight="1">
      <c r="A563" t="inlineStr">
        <is>
          <t>A 16965-2025</t>
        </is>
      </c>
      <c r="B563" s="1" t="n">
        <v>45755.45715277778</v>
      </c>
      <c r="C563" s="1" t="n">
        <v>45886</v>
      </c>
      <c r="D563" t="inlineStr">
        <is>
          <t>DALARNAS LÄN</t>
        </is>
      </c>
      <c r="E563" t="inlineStr">
        <is>
          <t>MORA</t>
        </is>
      </c>
      <c r="F563" t="inlineStr">
        <is>
          <t>Bergvik skog öst AB</t>
        </is>
      </c>
      <c r="G563" t="n">
        <v>0.8</v>
      </c>
      <c r="H563" t="n">
        <v>0</v>
      </c>
      <c r="I563" t="n">
        <v>0</v>
      </c>
      <c r="J563" t="n">
        <v>0</v>
      </c>
      <c r="K563" t="n">
        <v>0</v>
      </c>
      <c r="L563" t="n">
        <v>0</v>
      </c>
      <c r="M563" t="n">
        <v>0</v>
      </c>
      <c r="N563" t="n">
        <v>0</v>
      </c>
      <c r="O563" t="n">
        <v>0</v>
      </c>
      <c r="P563" t="n">
        <v>0</v>
      </c>
      <c r="Q563" t="n">
        <v>0</v>
      </c>
      <c r="R563" s="2" t="inlineStr"/>
    </row>
    <row r="564" ht="15" customHeight="1">
      <c r="A564" t="inlineStr">
        <is>
          <t>A 13262-2022</t>
        </is>
      </c>
      <c r="B564" s="1" t="n">
        <v>44644.70184027778</v>
      </c>
      <c r="C564" s="1" t="n">
        <v>45886</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14842-2024</t>
        </is>
      </c>
      <c r="B565" s="1" t="n">
        <v>45397</v>
      </c>
      <c r="C565" s="1" t="n">
        <v>45886</v>
      </c>
      <c r="D565" t="inlineStr">
        <is>
          <t>DALARNAS LÄN</t>
        </is>
      </c>
      <c r="E565" t="inlineStr">
        <is>
          <t>MORA</t>
        </is>
      </c>
      <c r="G565" t="n">
        <v>1.2</v>
      </c>
      <c r="H565" t="n">
        <v>0</v>
      </c>
      <c r="I565" t="n">
        <v>0</v>
      </c>
      <c r="J565" t="n">
        <v>0</v>
      </c>
      <c r="K565" t="n">
        <v>0</v>
      </c>
      <c r="L565" t="n">
        <v>0</v>
      </c>
      <c r="M565" t="n">
        <v>0</v>
      </c>
      <c r="N565" t="n">
        <v>0</v>
      </c>
      <c r="O565" t="n">
        <v>0</v>
      </c>
      <c r="P565" t="n">
        <v>0</v>
      </c>
      <c r="Q565" t="n">
        <v>0</v>
      </c>
      <c r="R565" s="2" t="inlineStr"/>
    </row>
    <row r="566" ht="15" customHeight="1">
      <c r="A566" t="inlineStr">
        <is>
          <t>A 47036-2023</t>
        </is>
      </c>
      <c r="B566" s="1" t="n">
        <v>45196</v>
      </c>
      <c r="C566" s="1" t="n">
        <v>45886</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1897-2023</t>
        </is>
      </c>
      <c r="B567" s="1" t="n">
        <v>44937</v>
      </c>
      <c r="C567" s="1" t="n">
        <v>45886</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20538-2025</t>
        </is>
      </c>
      <c r="B568" s="1" t="n">
        <v>45775.62283564815</v>
      </c>
      <c r="C568" s="1" t="n">
        <v>45886</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20549-2025</t>
        </is>
      </c>
      <c r="B569" s="1" t="n">
        <v>45775.63459490741</v>
      </c>
      <c r="C569" s="1" t="n">
        <v>45886</v>
      </c>
      <c r="D569" t="inlineStr">
        <is>
          <t>DALARNAS LÄN</t>
        </is>
      </c>
      <c r="E569" t="inlineStr">
        <is>
          <t>MORA</t>
        </is>
      </c>
      <c r="G569" t="n">
        <v>1.6</v>
      </c>
      <c r="H569" t="n">
        <v>0</v>
      </c>
      <c r="I569" t="n">
        <v>0</v>
      </c>
      <c r="J569" t="n">
        <v>0</v>
      </c>
      <c r="K569" t="n">
        <v>0</v>
      </c>
      <c r="L569" t="n">
        <v>0</v>
      </c>
      <c r="M569" t="n">
        <v>0</v>
      </c>
      <c r="N569" t="n">
        <v>0</v>
      </c>
      <c r="O569" t="n">
        <v>0</v>
      </c>
      <c r="P569" t="n">
        <v>0</v>
      </c>
      <c r="Q569" t="n">
        <v>0</v>
      </c>
      <c r="R569" s="2" t="inlineStr"/>
    </row>
    <row r="570" ht="15" customHeight="1">
      <c r="A570" t="inlineStr">
        <is>
          <t>A 19193-2025</t>
        </is>
      </c>
      <c r="B570" s="1" t="n">
        <v>45769.42203703704</v>
      </c>
      <c r="C570" s="1" t="n">
        <v>45886</v>
      </c>
      <c r="D570" t="inlineStr">
        <is>
          <t>DALARNAS LÄN</t>
        </is>
      </c>
      <c r="E570" t="inlineStr">
        <is>
          <t>MORA</t>
        </is>
      </c>
      <c r="F570" t="inlineStr">
        <is>
          <t>Bergvik skog öst AB</t>
        </is>
      </c>
      <c r="G570" t="n">
        <v>1</v>
      </c>
      <c r="H570" t="n">
        <v>0</v>
      </c>
      <c r="I570" t="n">
        <v>0</v>
      </c>
      <c r="J570" t="n">
        <v>0</v>
      </c>
      <c r="K570" t="n">
        <v>0</v>
      </c>
      <c r="L570" t="n">
        <v>0</v>
      </c>
      <c r="M570" t="n">
        <v>0</v>
      </c>
      <c r="N570" t="n">
        <v>0</v>
      </c>
      <c r="O570" t="n">
        <v>0</v>
      </c>
      <c r="P570" t="n">
        <v>0</v>
      </c>
      <c r="Q570" t="n">
        <v>0</v>
      </c>
      <c r="R570" s="2" t="inlineStr"/>
    </row>
    <row r="571" ht="15" customHeight="1">
      <c r="A571" t="inlineStr">
        <is>
          <t>A 21410-2023</t>
        </is>
      </c>
      <c r="B571" s="1" t="n">
        <v>45063</v>
      </c>
      <c r="C571" s="1" t="n">
        <v>45886</v>
      </c>
      <c r="D571" t="inlineStr">
        <is>
          <t>DALARNAS LÄN</t>
        </is>
      </c>
      <c r="E571" t="inlineStr">
        <is>
          <t>MORA</t>
        </is>
      </c>
      <c r="G571" t="n">
        <v>7</v>
      </c>
      <c r="H571" t="n">
        <v>0</v>
      </c>
      <c r="I571" t="n">
        <v>0</v>
      </c>
      <c r="J571" t="n">
        <v>0</v>
      </c>
      <c r="K571" t="n">
        <v>0</v>
      </c>
      <c r="L571" t="n">
        <v>0</v>
      </c>
      <c r="M571" t="n">
        <v>0</v>
      </c>
      <c r="N571" t="n">
        <v>0</v>
      </c>
      <c r="O571" t="n">
        <v>0</v>
      </c>
      <c r="P571" t="n">
        <v>0</v>
      </c>
      <c r="Q571" t="n">
        <v>0</v>
      </c>
      <c r="R571" s="2" t="inlineStr"/>
    </row>
    <row r="572" ht="15" customHeight="1">
      <c r="A572" t="inlineStr">
        <is>
          <t>A 46801-2022</t>
        </is>
      </c>
      <c r="B572" s="1" t="n">
        <v>44851</v>
      </c>
      <c r="C572" s="1" t="n">
        <v>45886</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70141-2021</t>
        </is>
      </c>
      <c r="B573" s="1" t="n">
        <v>44533</v>
      </c>
      <c r="C573" s="1" t="n">
        <v>45886</v>
      </c>
      <c r="D573" t="inlineStr">
        <is>
          <t>DALARNAS LÄN</t>
        </is>
      </c>
      <c r="E573" t="inlineStr">
        <is>
          <t>MORA</t>
        </is>
      </c>
      <c r="G573" t="n">
        <v>4.1</v>
      </c>
      <c r="H573" t="n">
        <v>0</v>
      </c>
      <c r="I573" t="n">
        <v>0</v>
      </c>
      <c r="J573" t="n">
        <v>0</v>
      </c>
      <c r="K573" t="n">
        <v>0</v>
      </c>
      <c r="L573" t="n">
        <v>0</v>
      </c>
      <c r="M573" t="n">
        <v>0</v>
      </c>
      <c r="N573" t="n">
        <v>0</v>
      </c>
      <c r="O573" t="n">
        <v>0</v>
      </c>
      <c r="P573" t="n">
        <v>0</v>
      </c>
      <c r="Q573" t="n">
        <v>0</v>
      </c>
      <c r="R573" s="2" t="inlineStr"/>
    </row>
    <row r="574" ht="15" customHeight="1">
      <c r="A574" t="inlineStr">
        <is>
          <t>A 56767-2023</t>
        </is>
      </c>
      <c r="B574" s="1" t="n">
        <v>45244</v>
      </c>
      <c r="C574" s="1" t="n">
        <v>45886</v>
      </c>
      <c r="D574" t="inlineStr">
        <is>
          <t>DALARNAS LÄN</t>
        </is>
      </c>
      <c r="E574" t="inlineStr">
        <is>
          <t>MORA</t>
        </is>
      </c>
      <c r="G574" t="n">
        <v>1.2</v>
      </c>
      <c r="H574" t="n">
        <v>0</v>
      </c>
      <c r="I574" t="n">
        <v>0</v>
      </c>
      <c r="J574" t="n">
        <v>0</v>
      </c>
      <c r="K574" t="n">
        <v>0</v>
      </c>
      <c r="L574" t="n">
        <v>0</v>
      </c>
      <c r="M574" t="n">
        <v>0</v>
      </c>
      <c r="N574" t="n">
        <v>0</v>
      </c>
      <c r="O574" t="n">
        <v>0</v>
      </c>
      <c r="P574" t="n">
        <v>0</v>
      </c>
      <c r="Q574" t="n">
        <v>0</v>
      </c>
      <c r="R574" s="2" t="inlineStr"/>
    </row>
    <row r="575" ht="15" customHeight="1">
      <c r="A575" t="inlineStr">
        <is>
          <t>A 40949-2023</t>
        </is>
      </c>
      <c r="B575" s="1" t="n">
        <v>45173</v>
      </c>
      <c r="C575" s="1" t="n">
        <v>45886</v>
      </c>
      <c r="D575" t="inlineStr">
        <is>
          <t>DALARNAS LÄN</t>
        </is>
      </c>
      <c r="E575" t="inlineStr">
        <is>
          <t>MORA</t>
        </is>
      </c>
      <c r="F575" t="inlineStr">
        <is>
          <t>Kyrkan</t>
        </is>
      </c>
      <c r="G575" t="n">
        <v>0.5</v>
      </c>
      <c r="H575" t="n">
        <v>0</v>
      </c>
      <c r="I575" t="n">
        <v>0</v>
      </c>
      <c r="J575" t="n">
        <v>0</v>
      </c>
      <c r="K575" t="n">
        <v>0</v>
      </c>
      <c r="L575" t="n">
        <v>0</v>
      </c>
      <c r="M575" t="n">
        <v>0</v>
      </c>
      <c r="N575" t="n">
        <v>0</v>
      </c>
      <c r="O575" t="n">
        <v>0</v>
      </c>
      <c r="P575" t="n">
        <v>0</v>
      </c>
      <c r="Q575" t="n">
        <v>0</v>
      </c>
      <c r="R575" s="2" t="inlineStr"/>
    </row>
    <row r="576" ht="15" customHeight="1">
      <c r="A576" t="inlineStr">
        <is>
          <t>A 66232-2021</t>
        </is>
      </c>
      <c r="B576" s="1" t="n">
        <v>44518.39234953704</v>
      </c>
      <c r="C576" s="1" t="n">
        <v>45886</v>
      </c>
      <c r="D576" t="inlineStr">
        <is>
          <t>DALARNAS LÄN</t>
        </is>
      </c>
      <c r="E576" t="inlineStr">
        <is>
          <t>MORA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19814-2025</t>
        </is>
      </c>
      <c r="B577" s="1" t="n">
        <v>45771.45686342593</v>
      </c>
      <c r="C577" s="1" t="n">
        <v>45886</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8100-2024</t>
        </is>
      </c>
      <c r="B578" s="1" t="n">
        <v>45351.46583333334</v>
      </c>
      <c r="C578" s="1" t="n">
        <v>45886</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44307-2021</t>
        </is>
      </c>
      <c r="B579" s="1" t="n">
        <v>44435</v>
      </c>
      <c r="C579" s="1" t="n">
        <v>45886</v>
      </c>
      <c r="D579" t="inlineStr">
        <is>
          <t>DALARNAS LÄN</t>
        </is>
      </c>
      <c r="E579" t="inlineStr">
        <is>
          <t>MORA</t>
        </is>
      </c>
      <c r="G579" t="n">
        <v>1.2</v>
      </c>
      <c r="H579" t="n">
        <v>0</v>
      </c>
      <c r="I579" t="n">
        <v>0</v>
      </c>
      <c r="J579" t="n">
        <v>0</v>
      </c>
      <c r="K579" t="n">
        <v>0</v>
      </c>
      <c r="L579" t="n">
        <v>0</v>
      </c>
      <c r="M579" t="n">
        <v>0</v>
      </c>
      <c r="N579" t="n">
        <v>0</v>
      </c>
      <c r="O579" t="n">
        <v>0</v>
      </c>
      <c r="P579" t="n">
        <v>0</v>
      </c>
      <c r="Q579" t="n">
        <v>0</v>
      </c>
      <c r="R579" s="2" t="inlineStr"/>
    </row>
    <row r="580" ht="15" customHeight="1">
      <c r="A580" t="inlineStr">
        <is>
          <t>A 9855-2024</t>
        </is>
      </c>
      <c r="B580" s="1" t="n">
        <v>45363.40368055556</v>
      </c>
      <c r="C580" s="1" t="n">
        <v>45886</v>
      </c>
      <c r="D580" t="inlineStr">
        <is>
          <t>DALARNAS LÄN</t>
        </is>
      </c>
      <c r="E580" t="inlineStr">
        <is>
          <t>MORA</t>
        </is>
      </c>
      <c r="G580" t="n">
        <v>8.6</v>
      </c>
      <c r="H580" t="n">
        <v>0</v>
      </c>
      <c r="I580" t="n">
        <v>0</v>
      </c>
      <c r="J580" t="n">
        <v>0</v>
      </c>
      <c r="K580" t="n">
        <v>0</v>
      </c>
      <c r="L580" t="n">
        <v>0</v>
      </c>
      <c r="M580" t="n">
        <v>0</v>
      </c>
      <c r="N580" t="n">
        <v>0</v>
      </c>
      <c r="O580" t="n">
        <v>0</v>
      </c>
      <c r="P580" t="n">
        <v>0</v>
      </c>
      <c r="Q580" t="n">
        <v>0</v>
      </c>
      <c r="R580" s="2" t="inlineStr"/>
    </row>
    <row r="581" ht="15" customHeight="1">
      <c r="A581" t="inlineStr">
        <is>
          <t>A 34272-2024</t>
        </is>
      </c>
      <c r="B581" s="1" t="n">
        <v>45524.61752314815</v>
      </c>
      <c r="C581" s="1" t="n">
        <v>45886</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22732-2024</t>
        </is>
      </c>
      <c r="B582" s="1" t="n">
        <v>45448.38677083333</v>
      </c>
      <c r="C582" s="1" t="n">
        <v>45886</v>
      </c>
      <c r="D582" t="inlineStr">
        <is>
          <t>DALARNAS LÄN</t>
        </is>
      </c>
      <c r="E582" t="inlineStr">
        <is>
          <t>MORA</t>
        </is>
      </c>
      <c r="G582" t="n">
        <v>3.6</v>
      </c>
      <c r="H582" t="n">
        <v>0</v>
      </c>
      <c r="I582" t="n">
        <v>0</v>
      </c>
      <c r="J582" t="n">
        <v>0</v>
      </c>
      <c r="K582" t="n">
        <v>0</v>
      </c>
      <c r="L582" t="n">
        <v>0</v>
      </c>
      <c r="M582" t="n">
        <v>0</v>
      </c>
      <c r="N582" t="n">
        <v>0</v>
      </c>
      <c r="O582" t="n">
        <v>0</v>
      </c>
      <c r="P582" t="n">
        <v>0</v>
      </c>
      <c r="Q582" t="n">
        <v>0</v>
      </c>
      <c r="R582" s="2" t="inlineStr"/>
    </row>
    <row r="583" ht="15" customHeight="1">
      <c r="A583" t="inlineStr">
        <is>
          <t>A 28131-2024</t>
        </is>
      </c>
      <c r="B583" s="1" t="n">
        <v>45476.68435185185</v>
      </c>
      <c r="C583" s="1" t="n">
        <v>45886</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28132-2024</t>
        </is>
      </c>
      <c r="B584" s="1" t="n">
        <v>45476.68616898148</v>
      </c>
      <c r="C584" s="1" t="n">
        <v>45886</v>
      </c>
      <c r="D584" t="inlineStr">
        <is>
          <t>DALARNAS LÄN</t>
        </is>
      </c>
      <c r="E584" t="inlineStr">
        <is>
          <t>MORA</t>
        </is>
      </c>
      <c r="G584" t="n">
        <v>0.2</v>
      </c>
      <c r="H584" t="n">
        <v>0</v>
      </c>
      <c r="I584" t="n">
        <v>0</v>
      </c>
      <c r="J584" t="n">
        <v>0</v>
      </c>
      <c r="K584" t="n">
        <v>0</v>
      </c>
      <c r="L584" t="n">
        <v>0</v>
      </c>
      <c r="M584" t="n">
        <v>0</v>
      </c>
      <c r="N584" t="n">
        <v>0</v>
      </c>
      <c r="O584" t="n">
        <v>0</v>
      </c>
      <c r="P584" t="n">
        <v>0</v>
      </c>
      <c r="Q584" t="n">
        <v>0</v>
      </c>
      <c r="R584" s="2" t="inlineStr"/>
    </row>
    <row r="585" ht="15" customHeight="1">
      <c r="A585" t="inlineStr">
        <is>
          <t>A 57608-2021</t>
        </is>
      </c>
      <c r="B585" s="1" t="n">
        <v>44484</v>
      </c>
      <c r="C585" s="1" t="n">
        <v>45886</v>
      </c>
      <c r="D585" t="inlineStr">
        <is>
          <t>DALARNAS LÄN</t>
        </is>
      </c>
      <c r="E585" t="inlineStr">
        <is>
          <t>MORA</t>
        </is>
      </c>
      <c r="G585" t="n">
        <v>6.3</v>
      </c>
      <c r="H585" t="n">
        <v>0</v>
      </c>
      <c r="I585" t="n">
        <v>0</v>
      </c>
      <c r="J585" t="n">
        <v>0</v>
      </c>
      <c r="K585" t="n">
        <v>0</v>
      </c>
      <c r="L585" t="n">
        <v>0</v>
      </c>
      <c r="M585" t="n">
        <v>0</v>
      </c>
      <c r="N585" t="n">
        <v>0</v>
      </c>
      <c r="O585" t="n">
        <v>0</v>
      </c>
      <c r="P585" t="n">
        <v>0</v>
      </c>
      <c r="Q585" t="n">
        <v>0</v>
      </c>
      <c r="R585" s="2" t="inlineStr"/>
    </row>
    <row r="586" ht="15" customHeight="1">
      <c r="A586" t="inlineStr">
        <is>
          <t>A 47784-2024</t>
        </is>
      </c>
      <c r="B586" s="1" t="n">
        <v>45588.59290509259</v>
      </c>
      <c r="C586" s="1" t="n">
        <v>45886</v>
      </c>
      <c r="D586" t="inlineStr">
        <is>
          <t>DALARNAS LÄN</t>
        </is>
      </c>
      <c r="E586" t="inlineStr">
        <is>
          <t>MORA</t>
        </is>
      </c>
      <c r="G586" t="n">
        <v>15.3</v>
      </c>
      <c r="H586" t="n">
        <v>0</v>
      </c>
      <c r="I586" t="n">
        <v>0</v>
      </c>
      <c r="J586" t="n">
        <v>0</v>
      </c>
      <c r="K586" t="n">
        <v>0</v>
      </c>
      <c r="L586" t="n">
        <v>0</v>
      </c>
      <c r="M586" t="n">
        <v>0</v>
      </c>
      <c r="N586" t="n">
        <v>0</v>
      </c>
      <c r="O586" t="n">
        <v>0</v>
      </c>
      <c r="P586" t="n">
        <v>0</v>
      </c>
      <c r="Q586" t="n">
        <v>0</v>
      </c>
      <c r="R586" s="2" t="inlineStr"/>
    </row>
    <row r="587" ht="15" customHeight="1">
      <c r="A587" t="inlineStr">
        <is>
          <t>A 23586-2023</t>
        </is>
      </c>
      <c r="B587" s="1" t="n">
        <v>45077</v>
      </c>
      <c r="C587" s="1" t="n">
        <v>45886</v>
      </c>
      <c r="D587" t="inlineStr">
        <is>
          <t>DALARNAS LÄN</t>
        </is>
      </c>
      <c r="E587" t="inlineStr">
        <is>
          <t>MORA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5644-2024</t>
        </is>
      </c>
      <c r="B588" s="1" t="n">
        <v>45334</v>
      </c>
      <c r="C588" s="1" t="n">
        <v>45886</v>
      </c>
      <c r="D588" t="inlineStr">
        <is>
          <t>DALARNAS LÄN</t>
        </is>
      </c>
      <c r="E588" t="inlineStr">
        <is>
          <t>MORA</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64099-2023</t>
        </is>
      </c>
      <c r="B589" s="1" t="n">
        <v>45279.46009259259</v>
      </c>
      <c r="C589" s="1" t="n">
        <v>45886</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21244-2024</t>
        </is>
      </c>
      <c r="B590" s="1" t="n">
        <v>45440.59936342593</v>
      </c>
      <c r="C590" s="1" t="n">
        <v>45886</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37471-2024</t>
        </is>
      </c>
      <c r="B591" s="1" t="n">
        <v>45540.85054398148</v>
      </c>
      <c r="C591" s="1" t="n">
        <v>45886</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54257-2023</t>
        </is>
      </c>
      <c r="B592" s="1" t="n">
        <v>45232.64195601852</v>
      </c>
      <c r="C592" s="1" t="n">
        <v>45886</v>
      </c>
      <c r="D592" t="inlineStr">
        <is>
          <t>DALARNAS LÄN</t>
        </is>
      </c>
      <c r="E592" t="inlineStr">
        <is>
          <t>MORA</t>
        </is>
      </c>
      <c r="G592" t="n">
        <v>4</v>
      </c>
      <c r="H592" t="n">
        <v>0</v>
      </c>
      <c r="I592" t="n">
        <v>0</v>
      </c>
      <c r="J592" t="n">
        <v>0</v>
      </c>
      <c r="K592" t="n">
        <v>0</v>
      </c>
      <c r="L592" t="n">
        <v>0</v>
      </c>
      <c r="M592" t="n">
        <v>0</v>
      </c>
      <c r="N592" t="n">
        <v>0</v>
      </c>
      <c r="O592" t="n">
        <v>0</v>
      </c>
      <c r="P592" t="n">
        <v>0</v>
      </c>
      <c r="Q592" t="n">
        <v>0</v>
      </c>
      <c r="R592" s="2" t="inlineStr"/>
    </row>
    <row r="593" ht="15" customHeight="1">
      <c r="A593" t="inlineStr">
        <is>
          <t>A 37385-2022</t>
        </is>
      </c>
      <c r="B593" s="1" t="n">
        <v>44806</v>
      </c>
      <c r="C593" s="1" t="n">
        <v>45886</v>
      </c>
      <c r="D593" t="inlineStr">
        <is>
          <t>DALARNAS LÄN</t>
        </is>
      </c>
      <c r="E593" t="inlineStr">
        <is>
          <t>MORA</t>
        </is>
      </c>
      <c r="G593" t="n">
        <v>2.2</v>
      </c>
      <c r="H593" t="n">
        <v>0</v>
      </c>
      <c r="I593" t="n">
        <v>0</v>
      </c>
      <c r="J593" t="n">
        <v>0</v>
      </c>
      <c r="K593" t="n">
        <v>0</v>
      </c>
      <c r="L593" t="n">
        <v>0</v>
      </c>
      <c r="M593" t="n">
        <v>0</v>
      </c>
      <c r="N593" t="n">
        <v>0</v>
      </c>
      <c r="O593" t="n">
        <v>0</v>
      </c>
      <c r="P593" t="n">
        <v>0</v>
      </c>
      <c r="Q593" t="n">
        <v>0</v>
      </c>
      <c r="R593" s="2" t="inlineStr"/>
    </row>
    <row r="594" ht="15" customHeight="1">
      <c r="A594" t="inlineStr">
        <is>
          <t>A 33531-2024</t>
        </is>
      </c>
      <c r="B594" s="1" t="n">
        <v>45519.67503472222</v>
      </c>
      <c r="C594" s="1" t="n">
        <v>45886</v>
      </c>
      <c r="D594" t="inlineStr">
        <is>
          <t>DALARNAS LÄN</t>
        </is>
      </c>
      <c r="E594" t="inlineStr">
        <is>
          <t>MORA</t>
        </is>
      </c>
      <c r="G594" t="n">
        <v>14.8</v>
      </c>
      <c r="H594" t="n">
        <v>0</v>
      </c>
      <c r="I594" t="n">
        <v>0</v>
      </c>
      <c r="J594" t="n">
        <v>0</v>
      </c>
      <c r="K594" t="n">
        <v>0</v>
      </c>
      <c r="L594" t="n">
        <v>0</v>
      </c>
      <c r="M594" t="n">
        <v>0</v>
      </c>
      <c r="N594" t="n">
        <v>0</v>
      </c>
      <c r="O594" t="n">
        <v>0</v>
      </c>
      <c r="P594" t="n">
        <v>0</v>
      </c>
      <c r="Q594" t="n">
        <v>0</v>
      </c>
      <c r="R594" s="2" t="inlineStr"/>
    </row>
    <row r="595" ht="15" customHeight="1">
      <c r="A595" t="inlineStr">
        <is>
          <t>A 61217-2023</t>
        </is>
      </c>
      <c r="B595" s="1" t="n">
        <v>45264.43802083333</v>
      </c>
      <c r="C595" s="1" t="n">
        <v>45886</v>
      </c>
      <c r="D595" t="inlineStr">
        <is>
          <t>DALARNAS LÄN</t>
        </is>
      </c>
      <c r="E595" t="inlineStr">
        <is>
          <t>MORA</t>
        </is>
      </c>
      <c r="F595" t="inlineStr">
        <is>
          <t>Allmännings- och besparingsskogar</t>
        </is>
      </c>
      <c r="G595" t="n">
        <v>2</v>
      </c>
      <c r="H595" t="n">
        <v>0</v>
      </c>
      <c r="I595" t="n">
        <v>0</v>
      </c>
      <c r="J595" t="n">
        <v>0</v>
      </c>
      <c r="K595" t="n">
        <v>0</v>
      </c>
      <c r="L595" t="n">
        <v>0</v>
      </c>
      <c r="M595" t="n">
        <v>0</v>
      </c>
      <c r="N595" t="n">
        <v>0</v>
      </c>
      <c r="O595" t="n">
        <v>0</v>
      </c>
      <c r="P595" t="n">
        <v>0</v>
      </c>
      <c r="Q595" t="n">
        <v>0</v>
      </c>
      <c r="R595" s="2" t="inlineStr"/>
    </row>
    <row r="596" ht="15" customHeight="1">
      <c r="A596" t="inlineStr">
        <is>
          <t>A 61218-2023</t>
        </is>
      </c>
      <c r="B596" s="1" t="n">
        <v>45264</v>
      </c>
      <c r="C596" s="1" t="n">
        <v>45886</v>
      </c>
      <c r="D596" t="inlineStr">
        <is>
          <t>DALARNAS LÄN</t>
        </is>
      </c>
      <c r="E596" t="inlineStr">
        <is>
          <t>MORA</t>
        </is>
      </c>
      <c r="F596" t="inlineStr">
        <is>
          <t>Allmännings- och besparingsskogar</t>
        </is>
      </c>
      <c r="G596" t="n">
        <v>2.6</v>
      </c>
      <c r="H596" t="n">
        <v>0</v>
      </c>
      <c r="I596" t="n">
        <v>0</v>
      </c>
      <c r="J596" t="n">
        <v>0</v>
      </c>
      <c r="K596" t="n">
        <v>0</v>
      </c>
      <c r="L596" t="n">
        <v>0</v>
      </c>
      <c r="M596" t="n">
        <v>0</v>
      </c>
      <c r="N596" t="n">
        <v>0</v>
      </c>
      <c r="O596" t="n">
        <v>0</v>
      </c>
      <c r="P596" t="n">
        <v>0</v>
      </c>
      <c r="Q596" t="n">
        <v>0</v>
      </c>
      <c r="R596" s="2" t="inlineStr"/>
    </row>
    <row r="597" ht="15" customHeight="1">
      <c r="A597" t="inlineStr">
        <is>
          <t>A 43641-2022</t>
        </is>
      </c>
      <c r="B597" s="1" t="n">
        <v>44837</v>
      </c>
      <c r="C597" s="1" t="n">
        <v>45886</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25749-2023</t>
        </is>
      </c>
      <c r="B598" s="1" t="n">
        <v>45090</v>
      </c>
      <c r="C598" s="1" t="n">
        <v>45886</v>
      </c>
      <c r="D598" t="inlineStr">
        <is>
          <t>DALARNAS LÄN</t>
        </is>
      </c>
      <c r="E598" t="inlineStr">
        <is>
          <t>MORA</t>
        </is>
      </c>
      <c r="G598" t="n">
        <v>2.4</v>
      </c>
      <c r="H598" t="n">
        <v>0</v>
      </c>
      <c r="I598" t="n">
        <v>0</v>
      </c>
      <c r="J598" t="n">
        <v>0</v>
      </c>
      <c r="K598" t="n">
        <v>0</v>
      </c>
      <c r="L598" t="n">
        <v>0</v>
      </c>
      <c r="M598" t="n">
        <v>0</v>
      </c>
      <c r="N598" t="n">
        <v>0</v>
      </c>
      <c r="O598" t="n">
        <v>0</v>
      </c>
      <c r="P598" t="n">
        <v>0</v>
      </c>
      <c r="Q598" t="n">
        <v>0</v>
      </c>
      <c r="R598" s="2" t="inlineStr"/>
    </row>
    <row r="599" ht="15" customHeight="1">
      <c r="A599" t="inlineStr">
        <is>
          <t>A 22785-2023</t>
        </is>
      </c>
      <c r="B599" s="1" t="n">
        <v>45072.34796296297</v>
      </c>
      <c r="C599" s="1" t="n">
        <v>45886</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35363-2024</t>
        </is>
      </c>
      <c r="B600" s="1" t="n">
        <v>45531.34050925926</v>
      </c>
      <c r="C600" s="1" t="n">
        <v>45886</v>
      </c>
      <c r="D600" t="inlineStr">
        <is>
          <t>DALARNAS LÄN</t>
        </is>
      </c>
      <c r="E600" t="inlineStr">
        <is>
          <t>MORA</t>
        </is>
      </c>
      <c r="G600" t="n">
        <v>2.5</v>
      </c>
      <c r="H600" t="n">
        <v>0</v>
      </c>
      <c r="I600" t="n">
        <v>0</v>
      </c>
      <c r="J600" t="n">
        <v>0</v>
      </c>
      <c r="K600" t="n">
        <v>0</v>
      </c>
      <c r="L600" t="n">
        <v>0</v>
      </c>
      <c r="M600" t="n">
        <v>0</v>
      </c>
      <c r="N600" t="n">
        <v>0</v>
      </c>
      <c r="O600" t="n">
        <v>0</v>
      </c>
      <c r="P600" t="n">
        <v>0</v>
      </c>
      <c r="Q600" t="n">
        <v>0</v>
      </c>
      <c r="R600" s="2" t="inlineStr"/>
    </row>
    <row r="601" ht="15" customHeight="1">
      <c r="A601" t="inlineStr">
        <is>
          <t>A 58972-2023</t>
        </is>
      </c>
      <c r="B601" s="1" t="n">
        <v>45252</v>
      </c>
      <c r="C601" s="1" t="n">
        <v>45886</v>
      </c>
      <c r="D601" t="inlineStr">
        <is>
          <t>DALARNAS LÄN</t>
        </is>
      </c>
      <c r="E601" t="inlineStr">
        <is>
          <t>MORA</t>
        </is>
      </c>
      <c r="G601" t="n">
        <v>0.5</v>
      </c>
      <c r="H601" t="n">
        <v>0</v>
      </c>
      <c r="I601" t="n">
        <v>0</v>
      </c>
      <c r="J601" t="n">
        <v>0</v>
      </c>
      <c r="K601" t="n">
        <v>0</v>
      </c>
      <c r="L601" t="n">
        <v>0</v>
      </c>
      <c r="M601" t="n">
        <v>0</v>
      </c>
      <c r="N601" t="n">
        <v>0</v>
      </c>
      <c r="O601" t="n">
        <v>0</v>
      </c>
      <c r="P601" t="n">
        <v>0</v>
      </c>
      <c r="Q601" t="n">
        <v>0</v>
      </c>
      <c r="R601" s="2" t="inlineStr"/>
    </row>
    <row r="602" ht="15" customHeight="1">
      <c r="A602" t="inlineStr">
        <is>
          <t>A 58171-2024</t>
        </is>
      </c>
      <c r="B602" s="1" t="n">
        <v>45632.46545138889</v>
      </c>
      <c r="C602" s="1" t="n">
        <v>45886</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33513-2024</t>
        </is>
      </c>
      <c r="B603" s="1" t="n">
        <v>45519.644375</v>
      </c>
      <c r="C603" s="1" t="n">
        <v>45886</v>
      </c>
      <c r="D603" t="inlineStr">
        <is>
          <t>DALARNAS LÄN</t>
        </is>
      </c>
      <c r="E603" t="inlineStr">
        <is>
          <t>MORA</t>
        </is>
      </c>
      <c r="G603" t="n">
        <v>5.9</v>
      </c>
      <c r="H603" t="n">
        <v>0</v>
      </c>
      <c r="I603" t="n">
        <v>0</v>
      </c>
      <c r="J603" t="n">
        <v>0</v>
      </c>
      <c r="K603" t="n">
        <v>0</v>
      </c>
      <c r="L603" t="n">
        <v>0</v>
      </c>
      <c r="M603" t="n">
        <v>0</v>
      </c>
      <c r="N603" t="n">
        <v>0</v>
      </c>
      <c r="O603" t="n">
        <v>0</v>
      </c>
      <c r="P603" t="n">
        <v>0</v>
      </c>
      <c r="Q603" t="n">
        <v>0</v>
      </c>
      <c r="R603" s="2" t="inlineStr"/>
    </row>
    <row r="604" ht="15" customHeight="1">
      <c r="A604" t="inlineStr">
        <is>
          <t>A 39856-2024</t>
        </is>
      </c>
      <c r="B604" s="1" t="n">
        <v>45553.44084490741</v>
      </c>
      <c r="C604" s="1" t="n">
        <v>45886</v>
      </c>
      <c r="D604" t="inlineStr">
        <is>
          <t>DALARNAS LÄN</t>
        </is>
      </c>
      <c r="E604" t="inlineStr">
        <is>
          <t>MORA</t>
        </is>
      </c>
      <c r="G604" t="n">
        <v>4.8</v>
      </c>
      <c r="H604" t="n">
        <v>0</v>
      </c>
      <c r="I604" t="n">
        <v>0</v>
      </c>
      <c r="J604" t="n">
        <v>0</v>
      </c>
      <c r="K604" t="n">
        <v>0</v>
      </c>
      <c r="L604" t="n">
        <v>0</v>
      </c>
      <c r="M604" t="n">
        <v>0</v>
      </c>
      <c r="N604" t="n">
        <v>0</v>
      </c>
      <c r="O604" t="n">
        <v>0</v>
      </c>
      <c r="P604" t="n">
        <v>0</v>
      </c>
      <c r="Q604" t="n">
        <v>0</v>
      </c>
      <c r="R604" s="2" t="inlineStr"/>
    </row>
    <row r="605" ht="15" customHeight="1">
      <c r="A605" t="inlineStr">
        <is>
          <t>A 53754-2024</t>
        </is>
      </c>
      <c r="B605" s="1" t="n">
        <v>45615.49371527778</v>
      </c>
      <c r="C605" s="1" t="n">
        <v>45886</v>
      </c>
      <c r="D605" t="inlineStr">
        <is>
          <t>DALARNAS LÄN</t>
        </is>
      </c>
      <c r="E605" t="inlineStr">
        <is>
          <t>MORA</t>
        </is>
      </c>
      <c r="G605" t="n">
        <v>4.8</v>
      </c>
      <c r="H605" t="n">
        <v>0</v>
      </c>
      <c r="I605" t="n">
        <v>0</v>
      </c>
      <c r="J605" t="n">
        <v>0</v>
      </c>
      <c r="K605" t="n">
        <v>0</v>
      </c>
      <c r="L605" t="n">
        <v>0</v>
      </c>
      <c r="M605" t="n">
        <v>0</v>
      </c>
      <c r="N605" t="n">
        <v>0</v>
      </c>
      <c r="O605" t="n">
        <v>0</v>
      </c>
      <c r="P605" t="n">
        <v>0</v>
      </c>
      <c r="Q605" t="n">
        <v>0</v>
      </c>
      <c r="R605" s="2" t="inlineStr"/>
    </row>
    <row r="606" ht="15" customHeight="1">
      <c r="A606" t="inlineStr">
        <is>
          <t>A 20989-2024</t>
        </is>
      </c>
      <c r="B606" s="1" t="n">
        <v>45439</v>
      </c>
      <c r="C606" s="1" t="n">
        <v>45886</v>
      </c>
      <c r="D606" t="inlineStr">
        <is>
          <t>DALARNAS LÄN</t>
        </is>
      </c>
      <c r="E606" t="inlineStr">
        <is>
          <t>MORA</t>
        </is>
      </c>
      <c r="F606" t="inlineStr">
        <is>
          <t>Bergvik skog öst AB</t>
        </is>
      </c>
      <c r="G606" t="n">
        <v>14.7</v>
      </c>
      <c r="H606" t="n">
        <v>0</v>
      </c>
      <c r="I606" t="n">
        <v>0</v>
      </c>
      <c r="J606" t="n">
        <v>0</v>
      </c>
      <c r="K606" t="n">
        <v>0</v>
      </c>
      <c r="L606" t="n">
        <v>0</v>
      </c>
      <c r="M606" t="n">
        <v>0</v>
      </c>
      <c r="N606" t="n">
        <v>0</v>
      </c>
      <c r="O606" t="n">
        <v>0</v>
      </c>
      <c r="P606" t="n">
        <v>0</v>
      </c>
      <c r="Q606" t="n">
        <v>0</v>
      </c>
      <c r="R606" s="2" t="inlineStr"/>
    </row>
    <row r="607" ht="15" customHeight="1">
      <c r="A607" t="inlineStr">
        <is>
          <t>A 20930-2024</t>
        </is>
      </c>
      <c r="B607" s="1" t="n">
        <v>45439.51907407407</v>
      </c>
      <c r="C607" s="1" t="n">
        <v>45886</v>
      </c>
      <c r="D607" t="inlineStr">
        <is>
          <t>DALARNAS LÄN</t>
        </is>
      </c>
      <c r="E607" t="inlineStr">
        <is>
          <t>MORA</t>
        </is>
      </c>
      <c r="F607" t="inlineStr">
        <is>
          <t>Bergvik skog väst AB</t>
        </is>
      </c>
      <c r="G607" t="n">
        <v>5.3</v>
      </c>
      <c r="H607" t="n">
        <v>0</v>
      </c>
      <c r="I607" t="n">
        <v>0</v>
      </c>
      <c r="J607" t="n">
        <v>0</v>
      </c>
      <c r="K607" t="n">
        <v>0</v>
      </c>
      <c r="L607" t="n">
        <v>0</v>
      </c>
      <c r="M607" t="n">
        <v>0</v>
      </c>
      <c r="N607" t="n">
        <v>0</v>
      </c>
      <c r="O607" t="n">
        <v>0</v>
      </c>
      <c r="P607" t="n">
        <v>0</v>
      </c>
      <c r="Q607" t="n">
        <v>0</v>
      </c>
      <c r="R607" s="2" t="inlineStr"/>
    </row>
    <row r="608" ht="15" customHeight="1">
      <c r="A608" t="inlineStr">
        <is>
          <t>A 59182-2023</t>
        </is>
      </c>
      <c r="B608" s="1" t="n">
        <v>45253</v>
      </c>
      <c r="C608" s="1" t="n">
        <v>45886</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501-2024</t>
        </is>
      </c>
      <c r="B609" s="1" t="n">
        <v>45299</v>
      </c>
      <c r="C609" s="1" t="n">
        <v>45886</v>
      </c>
      <c r="D609" t="inlineStr">
        <is>
          <t>DALARNAS LÄN</t>
        </is>
      </c>
      <c r="E609" t="inlineStr">
        <is>
          <t>MORA</t>
        </is>
      </c>
      <c r="G609" t="n">
        <v>2.5</v>
      </c>
      <c r="H609" t="n">
        <v>0</v>
      </c>
      <c r="I609" t="n">
        <v>0</v>
      </c>
      <c r="J609" t="n">
        <v>0</v>
      </c>
      <c r="K609" t="n">
        <v>0</v>
      </c>
      <c r="L609" t="n">
        <v>0</v>
      </c>
      <c r="M609" t="n">
        <v>0</v>
      </c>
      <c r="N609" t="n">
        <v>0</v>
      </c>
      <c r="O609" t="n">
        <v>0</v>
      </c>
      <c r="P609" t="n">
        <v>0</v>
      </c>
      <c r="Q609" t="n">
        <v>0</v>
      </c>
      <c r="R609" s="2" t="inlineStr"/>
    </row>
    <row r="610" ht="15" customHeight="1">
      <c r="A610" t="inlineStr">
        <is>
          <t>A 64327-2023</t>
        </is>
      </c>
      <c r="B610" s="1" t="n">
        <v>45280</v>
      </c>
      <c r="C610" s="1" t="n">
        <v>45886</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17494-2025</t>
        </is>
      </c>
      <c r="B611" s="1" t="n">
        <v>45757.52033564815</v>
      </c>
      <c r="C611" s="1" t="n">
        <v>45886</v>
      </c>
      <c r="D611" t="inlineStr">
        <is>
          <t>DALARNAS LÄN</t>
        </is>
      </c>
      <c r="E611" t="inlineStr">
        <is>
          <t>MORA</t>
        </is>
      </c>
      <c r="G611" t="n">
        <v>5.3</v>
      </c>
      <c r="H611" t="n">
        <v>0</v>
      </c>
      <c r="I611" t="n">
        <v>0</v>
      </c>
      <c r="J611" t="n">
        <v>0</v>
      </c>
      <c r="K611" t="n">
        <v>0</v>
      </c>
      <c r="L611" t="n">
        <v>0</v>
      </c>
      <c r="M611" t="n">
        <v>0</v>
      </c>
      <c r="N611" t="n">
        <v>0</v>
      </c>
      <c r="O611" t="n">
        <v>0</v>
      </c>
      <c r="P611" t="n">
        <v>0</v>
      </c>
      <c r="Q611" t="n">
        <v>0</v>
      </c>
      <c r="R611" s="2" t="inlineStr"/>
    </row>
    <row r="612" ht="15" customHeight="1">
      <c r="A612" t="inlineStr">
        <is>
          <t>A 7972-2024</t>
        </is>
      </c>
      <c r="B612" s="1" t="n">
        <v>45350</v>
      </c>
      <c r="C612" s="1" t="n">
        <v>45886</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43432-2024</t>
        </is>
      </c>
      <c r="B613" s="1" t="n">
        <v>45568.64337962963</v>
      </c>
      <c r="C613" s="1" t="n">
        <v>45886</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58958-2022</t>
        </is>
      </c>
      <c r="B614" s="1" t="n">
        <v>44903.6605324074</v>
      </c>
      <c r="C614" s="1" t="n">
        <v>45886</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12987-2024</t>
        </is>
      </c>
      <c r="B615" s="1" t="n">
        <v>45385.55375</v>
      </c>
      <c r="C615" s="1" t="n">
        <v>45886</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29188-2023</t>
        </is>
      </c>
      <c r="B616" s="1" t="n">
        <v>45105.54270833333</v>
      </c>
      <c r="C616" s="1" t="n">
        <v>45886</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442-2024</t>
        </is>
      </c>
      <c r="B617" s="1" t="n">
        <v>45296.60353009259</v>
      </c>
      <c r="C617" s="1" t="n">
        <v>45886</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15172-2025</t>
        </is>
      </c>
      <c r="B618" s="1" t="n">
        <v>45744.50722222222</v>
      </c>
      <c r="C618" s="1" t="n">
        <v>45886</v>
      </c>
      <c r="D618" t="inlineStr">
        <is>
          <t>DALARNAS LÄN</t>
        </is>
      </c>
      <c r="E618" t="inlineStr">
        <is>
          <t>MORA</t>
        </is>
      </c>
      <c r="G618" t="n">
        <v>3.2</v>
      </c>
      <c r="H618" t="n">
        <v>0</v>
      </c>
      <c r="I618" t="n">
        <v>0</v>
      </c>
      <c r="J618" t="n">
        <v>0</v>
      </c>
      <c r="K618" t="n">
        <v>0</v>
      </c>
      <c r="L618" t="n">
        <v>0</v>
      </c>
      <c r="M618" t="n">
        <v>0</v>
      </c>
      <c r="N618" t="n">
        <v>0</v>
      </c>
      <c r="O618" t="n">
        <v>0</v>
      </c>
      <c r="P618" t="n">
        <v>0</v>
      </c>
      <c r="Q618" t="n">
        <v>0</v>
      </c>
      <c r="R618" s="2" t="inlineStr"/>
    </row>
    <row r="619" ht="15" customHeight="1">
      <c r="A619" t="inlineStr">
        <is>
          <t>A 60428-2023</t>
        </is>
      </c>
      <c r="B619" s="1" t="n">
        <v>45259.50996527778</v>
      </c>
      <c r="C619" s="1" t="n">
        <v>45886</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437-2024</t>
        </is>
      </c>
      <c r="B620" s="1" t="n">
        <v>45296</v>
      </c>
      <c r="C620" s="1" t="n">
        <v>45886</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17278-2025</t>
        </is>
      </c>
      <c r="B621" s="1" t="n">
        <v>45756.56131944444</v>
      </c>
      <c r="C621" s="1" t="n">
        <v>45886</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60715-2023</t>
        </is>
      </c>
      <c r="B622" s="1" t="n">
        <v>45260.52684027778</v>
      </c>
      <c r="C622" s="1" t="n">
        <v>45886</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33627-2024</t>
        </is>
      </c>
      <c r="B623" s="1" t="n">
        <v>45520</v>
      </c>
      <c r="C623" s="1" t="n">
        <v>45886</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60674-2023</t>
        </is>
      </c>
      <c r="B624" s="1" t="n">
        <v>45260.46609953704</v>
      </c>
      <c r="C624" s="1" t="n">
        <v>45886</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61293-2022</t>
        </is>
      </c>
      <c r="B625" s="1" t="n">
        <v>44915.62751157407</v>
      </c>
      <c r="C625" s="1" t="n">
        <v>45886</v>
      </c>
      <c r="D625" t="inlineStr">
        <is>
          <t>DALARNAS LÄN</t>
        </is>
      </c>
      <c r="E625" t="inlineStr">
        <is>
          <t>MORA</t>
        </is>
      </c>
      <c r="G625" t="n">
        <v>0.3</v>
      </c>
      <c r="H625" t="n">
        <v>0</v>
      </c>
      <c r="I625" t="n">
        <v>0</v>
      </c>
      <c r="J625" t="n">
        <v>0</v>
      </c>
      <c r="K625" t="n">
        <v>0</v>
      </c>
      <c r="L625" t="n">
        <v>0</v>
      </c>
      <c r="M625" t="n">
        <v>0</v>
      </c>
      <c r="N625" t="n">
        <v>0</v>
      </c>
      <c r="O625" t="n">
        <v>0</v>
      </c>
      <c r="P625" t="n">
        <v>0</v>
      </c>
      <c r="Q625" t="n">
        <v>0</v>
      </c>
      <c r="R625" s="2" t="inlineStr"/>
    </row>
    <row r="626" ht="15" customHeight="1">
      <c r="A626" t="inlineStr">
        <is>
          <t>A 60360-2023</t>
        </is>
      </c>
      <c r="B626" s="1" t="n">
        <v>45259</v>
      </c>
      <c r="C626" s="1" t="n">
        <v>45886</v>
      </c>
      <c r="D626" t="inlineStr">
        <is>
          <t>DALARNAS LÄN</t>
        </is>
      </c>
      <c r="E626" t="inlineStr">
        <is>
          <t>MORA</t>
        </is>
      </c>
      <c r="G626" t="n">
        <v>2.9</v>
      </c>
      <c r="H626" t="n">
        <v>0</v>
      </c>
      <c r="I626" t="n">
        <v>0</v>
      </c>
      <c r="J626" t="n">
        <v>0</v>
      </c>
      <c r="K626" t="n">
        <v>0</v>
      </c>
      <c r="L626" t="n">
        <v>0</v>
      </c>
      <c r="M626" t="n">
        <v>0</v>
      </c>
      <c r="N626" t="n">
        <v>0</v>
      </c>
      <c r="O626" t="n">
        <v>0</v>
      </c>
      <c r="P626" t="n">
        <v>0</v>
      </c>
      <c r="Q626" t="n">
        <v>0</v>
      </c>
      <c r="R626" s="2" t="inlineStr"/>
    </row>
    <row r="627" ht="15" customHeight="1">
      <c r="A627" t="inlineStr">
        <is>
          <t>A 18139-2025</t>
        </is>
      </c>
      <c r="B627" s="1" t="n">
        <v>45761.60459490741</v>
      </c>
      <c r="C627" s="1" t="n">
        <v>45886</v>
      </c>
      <c r="D627" t="inlineStr">
        <is>
          <t>DALARNAS LÄN</t>
        </is>
      </c>
      <c r="E627" t="inlineStr">
        <is>
          <t>MORA</t>
        </is>
      </c>
      <c r="F627" t="inlineStr">
        <is>
          <t>Bergvik skog öst AB</t>
        </is>
      </c>
      <c r="G627" t="n">
        <v>3</v>
      </c>
      <c r="H627" t="n">
        <v>0</v>
      </c>
      <c r="I627" t="n">
        <v>0</v>
      </c>
      <c r="J627" t="n">
        <v>0</v>
      </c>
      <c r="K627" t="n">
        <v>0</v>
      </c>
      <c r="L627" t="n">
        <v>0</v>
      </c>
      <c r="M627" t="n">
        <v>0</v>
      </c>
      <c r="N627" t="n">
        <v>0</v>
      </c>
      <c r="O627" t="n">
        <v>0</v>
      </c>
      <c r="P627" t="n">
        <v>0</v>
      </c>
      <c r="Q627" t="n">
        <v>0</v>
      </c>
      <c r="R627" s="2" t="inlineStr"/>
    </row>
    <row r="628" ht="15" customHeight="1">
      <c r="A628" t="inlineStr">
        <is>
          <t>A 25499-2024</t>
        </is>
      </c>
      <c r="B628" s="1" t="n">
        <v>45463</v>
      </c>
      <c r="C628" s="1" t="n">
        <v>45886</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27125-2024</t>
        </is>
      </c>
      <c r="B629" s="1" t="n">
        <v>45471</v>
      </c>
      <c r="C629" s="1" t="n">
        <v>45886</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30822-2024</t>
        </is>
      </c>
      <c r="B630" s="1" t="n">
        <v>45497</v>
      </c>
      <c r="C630" s="1" t="n">
        <v>45886</v>
      </c>
      <c r="D630" t="inlineStr">
        <is>
          <t>DALARNAS LÄN</t>
        </is>
      </c>
      <c r="E630" t="inlineStr">
        <is>
          <t>MORA</t>
        </is>
      </c>
      <c r="G630" t="n">
        <v>1.8</v>
      </c>
      <c r="H630" t="n">
        <v>0</v>
      </c>
      <c r="I630" t="n">
        <v>0</v>
      </c>
      <c r="J630" t="n">
        <v>0</v>
      </c>
      <c r="K630" t="n">
        <v>0</v>
      </c>
      <c r="L630" t="n">
        <v>0</v>
      </c>
      <c r="M630" t="n">
        <v>0</v>
      </c>
      <c r="N630" t="n">
        <v>0</v>
      </c>
      <c r="O630" t="n">
        <v>0</v>
      </c>
      <c r="P630" t="n">
        <v>0</v>
      </c>
      <c r="Q630" t="n">
        <v>0</v>
      </c>
      <c r="R630" s="2" t="inlineStr"/>
    </row>
    <row r="631" ht="15" customHeight="1">
      <c r="A631" t="inlineStr">
        <is>
          <t>A 61405-2023</t>
        </is>
      </c>
      <c r="B631" s="1" t="n">
        <v>45264.65987268519</v>
      </c>
      <c r="C631" s="1" t="n">
        <v>45886</v>
      </c>
      <c r="D631" t="inlineStr">
        <is>
          <t>DALARNAS LÄN</t>
        </is>
      </c>
      <c r="E631" t="inlineStr">
        <is>
          <t>MORA</t>
        </is>
      </c>
      <c r="G631" t="n">
        <v>0.4</v>
      </c>
      <c r="H631" t="n">
        <v>0</v>
      </c>
      <c r="I631" t="n">
        <v>0</v>
      </c>
      <c r="J631" t="n">
        <v>0</v>
      </c>
      <c r="K631" t="n">
        <v>0</v>
      </c>
      <c r="L631" t="n">
        <v>0</v>
      </c>
      <c r="M631" t="n">
        <v>0</v>
      </c>
      <c r="N631" t="n">
        <v>0</v>
      </c>
      <c r="O631" t="n">
        <v>0</v>
      </c>
      <c r="P631" t="n">
        <v>0</v>
      </c>
      <c r="Q631" t="n">
        <v>0</v>
      </c>
      <c r="R631" s="2" t="inlineStr"/>
    </row>
    <row r="632" ht="15" customHeight="1">
      <c r="A632" t="inlineStr">
        <is>
          <t>A 61278-2024</t>
        </is>
      </c>
      <c r="B632" s="1" t="n">
        <v>45645.76561342592</v>
      </c>
      <c r="C632" s="1" t="n">
        <v>45886</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58177-2024</t>
        </is>
      </c>
      <c r="B633" s="1" t="n">
        <v>45632.46821759259</v>
      </c>
      <c r="C633" s="1" t="n">
        <v>45886</v>
      </c>
      <c r="D633" t="inlineStr">
        <is>
          <t>DALARNAS LÄN</t>
        </is>
      </c>
      <c r="E633" t="inlineStr">
        <is>
          <t>MORA</t>
        </is>
      </c>
      <c r="G633" t="n">
        <v>0.8</v>
      </c>
      <c r="H633" t="n">
        <v>0</v>
      </c>
      <c r="I633" t="n">
        <v>0</v>
      </c>
      <c r="J633" t="n">
        <v>0</v>
      </c>
      <c r="K633" t="n">
        <v>0</v>
      </c>
      <c r="L633" t="n">
        <v>0</v>
      </c>
      <c r="M633" t="n">
        <v>0</v>
      </c>
      <c r="N633" t="n">
        <v>0</v>
      </c>
      <c r="O633" t="n">
        <v>0</v>
      </c>
      <c r="P633" t="n">
        <v>0</v>
      </c>
      <c r="Q633" t="n">
        <v>0</v>
      </c>
      <c r="R633" s="2" t="inlineStr"/>
    </row>
    <row r="634">
      <c r="A634" t="inlineStr">
        <is>
          <t>A 17172-2025</t>
        </is>
      </c>
      <c r="B634" s="1" t="n">
        <v>45756.37201388889</v>
      </c>
      <c r="C634" s="1" t="n">
        <v>45886</v>
      </c>
      <c r="D634" t="inlineStr">
        <is>
          <t>DALARNAS LÄN</t>
        </is>
      </c>
      <c r="E634" t="inlineStr">
        <is>
          <t>MORA</t>
        </is>
      </c>
      <c r="F634" t="inlineStr">
        <is>
          <t>Bergvik skog öst AB</t>
        </is>
      </c>
      <c r="G634" t="n">
        <v>0.5</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2025-08-17T08:31:10Z</dcterms:created>
  <dcterms:modified xmlns:dcterms="http://purl.org/dc/terms/" xmlns:xsi="http://www.w3.org/2001/XMLSchema-instance" xsi:type="dcterms:W3CDTF">2025-08-17T08:31:10Z</dcterms:modified>
</cp:coreProperties>
</file>