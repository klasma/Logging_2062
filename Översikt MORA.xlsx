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46189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46189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18527-2025</t>
        </is>
      </c>
      <c r="B4" s="1" t="n">
        <v>45763</v>
      </c>
      <c r="C4" s="1" t="n">
        <v>46189</v>
      </c>
      <c r="D4" t="inlineStr">
        <is>
          <t>DALARNAS LÄN</t>
        </is>
      </c>
      <c r="E4" t="inlineStr">
        <is>
          <t>MORA</t>
        </is>
      </c>
      <c r="G4" t="n">
        <v>10.6</v>
      </c>
      <c r="H4" t="n">
        <v>8</v>
      </c>
      <c r="I4" t="n">
        <v>10</v>
      </c>
      <c r="J4" t="n">
        <v>19</v>
      </c>
      <c r="K4" t="n">
        <v>1</v>
      </c>
      <c r="L4" t="n">
        <v>0</v>
      </c>
      <c r="M4" t="n">
        <v>0</v>
      </c>
      <c r="N4" t="n">
        <v>0</v>
      </c>
      <c r="O4" t="n">
        <v>20</v>
      </c>
      <c r="P4" t="n">
        <v>1</v>
      </c>
      <c r="Q4" t="n">
        <v>34</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31756-2023</t>
        </is>
      </c>
      <c r="B5" s="1" t="n">
        <v>45118</v>
      </c>
      <c r="C5" s="1" t="n">
        <v>46189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2729-2026</t>
        </is>
      </c>
      <c r="B6" s="1" t="n">
        <v>46037.84224537037</v>
      </c>
      <c r="C6" s="1" t="n">
        <v>46189</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46189</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45932.43633101852</v>
      </c>
      <c r="C8" s="1" t="n">
        <v>46189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46189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46189</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46189</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46189</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46189</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46189</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46189</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35484-2025</t>
        </is>
      </c>
      <c r="B16" s="1" t="n">
        <v>45855</v>
      </c>
      <c r="C16" s="1" t="n">
        <v>46189</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9412-2026</t>
        </is>
      </c>
      <c r="B17" s="1" t="n">
        <v>46071</v>
      </c>
      <c r="C17" s="1" t="n">
        <v>46189</v>
      </c>
      <c r="D17" t="inlineStr">
        <is>
          <t>DALARNAS LÄN</t>
        </is>
      </c>
      <c r="E17" t="inlineStr">
        <is>
          <t>MORA</t>
        </is>
      </c>
      <c r="G17" t="n">
        <v>3.4</v>
      </c>
      <c r="H17" t="n">
        <v>6</v>
      </c>
      <c r="I17" t="n">
        <v>0</v>
      </c>
      <c r="J17" t="n">
        <v>11</v>
      </c>
      <c r="K17" t="n">
        <v>2</v>
      </c>
      <c r="L17" t="n">
        <v>0</v>
      </c>
      <c r="M17" t="n">
        <v>0</v>
      </c>
      <c r="N17" t="n">
        <v>0</v>
      </c>
      <c r="O17" t="n">
        <v>13</v>
      </c>
      <c r="P17" t="n">
        <v>2</v>
      </c>
      <c r="Q17" t="n">
        <v>15</v>
      </c>
      <c r="R17" s="2" t="inlineStr">
        <is>
          <t>Knärot
Rynkskinn
Garnlav
Kolflarnlav
Kortskaftad ärgspik
Mörk kolflarnlav
Skogshare
Spillkråka
Talltita
Tretåig hackspett
Vedflamlav
Vedskivlav
Vitgrynig nållav
Gråspett
Revlummer</t>
        </is>
      </c>
      <c r="S17">
        <f>HYPERLINK("https://klasma.github.io/Logging_2062/artfynd/A 9412-2026 artfynd.xlsx", "A 9412-2026")</f>
        <v/>
      </c>
      <c r="T17">
        <f>HYPERLINK("https://klasma.github.io/Logging_2062/kartor/A 9412-2026 karta.png", "A 9412-2026")</f>
        <v/>
      </c>
      <c r="U17">
        <f>HYPERLINK("https://klasma.github.io/Logging_2062/knärot/A 9412-2026 karta knärot.png", "A 9412-2026")</f>
        <v/>
      </c>
      <c r="V17">
        <f>HYPERLINK("https://klasma.github.io/Logging_2062/klagomål/A 9412-2026 FSC-klagomål.docx", "A 9412-2026")</f>
        <v/>
      </c>
      <c r="W17">
        <f>HYPERLINK("https://klasma.github.io/Logging_2062/klagomålsmail/A 9412-2026 FSC-klagomål mail.docx", "A 9412-2026")</f>
        <v/>
      </c>
      <c r="X17">
        <f>HYPERLINK("https://klasma.github.io/Logging_2062/tillsyn/A 9412-2026 tillsynsbegäran.docx", "A 9412-2026")</f>
        <v/>
      </c>
      <c r="Y17">
        <f>HYPERLINK("https://klasma.github.io/Logging_2062/tillsynsmail/A 9412-2026 tillsynsbegäran mail.docx", "A 9412-2026")</f>
        <v/>
      </c>
      <c r="Z17">
        <f>HYPERLINK("https://klasma.github.io/Logging_2062/fåglar/A 9412-2026 prioriterade fågelarter.docx", "A 9412-2026")</f>
        <v/>
      </c>
    </row>
    <row r="18" ht="15" customHeight="1">
      <c r="A18" t="inlineStr">
        <is>
          <t>A 48348-2024</t>
        </is>
      </c>
      <c r="B18" s="1" t="n">
        <v>45590</v>
      </c>
      <c r="C18" s="1" t="n">
        <v>46189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46189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46189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46189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50759-2023</t>
        </is>
      </c>
      <c r="B22" s="1" t="n">
        <v>45217.60914351852</v>
      </c>
      <c r="C22" s="1" t="n">
        <v>46189</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46189</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56940-2025</t>
        </is>
      </c>
      <c r="B24" s="1" t="n">
        <v>45978.62241898148</v>
      </c>
      <c r="C24" s="1" t="n">
        <v>46189</v>
      </c>
      <c r="D24" t="inlineStr">
        <is>
          <t>DALARNAS LÄN</t>
        </is>
      </c>
      <c r="E24" t="inlineStr">
        <is>
          <t>MORA</t>
        </is>
      </c>
      <c r="G24" t="n">
        <v>18.1</v>
      </c>
      <c r="H24" t="n">
        <v>0</v>
      </c>
      <c r="I24" t="n">
        <v>3</v>
      </c>
      <c r="J24" t="n">
        <v>7</v>
      </c>
      <c r="K24" t="n">
        <v>1</v>
      </c>
      <c r="L24" t="n">
        <v>0</v>
      </c>
      <c r="M24" t="n">
        <v>0</v>
      </c>
      <c r="N24" t="n">
        <v>0</v>
      </c>
      <c r="O24" t="n">
        <v>8</v>
      </c>
      <c r="P24" t="n">
        <v>1</v>
      </c>
      <c r="Q24" t="n">
        <v>11</v>
      </c>
      <c r="R24" s="2" t="inlineStr">
        <is>
          <t>Fläckporing
Blågrå svartspik
Garnlav
Kolflarnlav
Mörk kolflarnlav
Tallticka
Vaddporing
Vedflamlav
Bronshjon
Dropptaggsvamp
Mindre märgborre</t>
        </is>
      </c>
      <c r="S24">
        <f>HYPERLINK("https://klasma.github.io/Logging_2062/artfynd/A 56940-2025 artfynd.xlsx", "A 56940-2025")</f>
        <v/>
      </c>
      <c r="T24">
        <f>HYPERLINK("https://klasma.github.io/Logging_2062/kartor/A 56940-2025 karta.png", "A 56940-2025")</f>
        <v/>
      </c>
      <c r="V24">
        <f>HYPERLINK("https://klasma.github.io/Logging_2062/klagomål/A 56940-2025 FSC-klagomål.docx", "A 56940-2025")</f>
        <v/>
      </c>
      <c r="W24">
        <f>HYPERLINK("https://klasma.github.io/Logging_2062/klagomålsmail/A 56940-2025 FSC-klagomål mail.docx", "A 56940-2025")</f>
        <v/>
      </c>
      <c r="X24">
        <f>HYPERLINK("https://klasma.github.io/Logging_2062/tillsyn/A 56940-2025 tillsynsbegäran.docx", "A 56940-2025")</f>
        <v/>
      </c>
      <c r="Y24">
        <f>HYPERLINK("https://klasma.github.io/Logging_2062/tillsynsmail/A 56940-2025 tillsynsbegäran mail.docx", "A 56940-2025")</f>
        <v/>
      </c>
    </row>
    <row r="25" ht="15" customHeight="1">
      <c r="A25" t="inlineStr">
        <is>
          <t>A 21284-2026</t>
        </is>
      </c>
      <c r="B25" s="1" t="n">
        <v>46147</v>
      </c>
      <c r="C25" s="1" t="n">
        <v>46189</v>
      </c>
      <c r="D25" t="inlineStr">
        <is>
          <t>DALARNAS LÄN</t>
        </is>
      </c>
      <c r="E25" t="inlineStr">
        <is>
          <t>MORA</t>
        </is>
      </c>
      <c r="G25" t="n">
        <v>6.1</v>
      </c>
      <c r="H25" t="n">
        <v>4</v>
      </c>
      <c r="I25" t="n">
        <v>3</v>
      </c>
      <c r="J25" t="n">
        <v>7</v>
      </c>
      <c r="K25" t="n">
        <v>0</v>
      </c>
      <c r="L25" t="n">
        <v>0</v>
      </c>
      <c r="M25" t="n">
        <v>0</v>
      </c>
      <c r="N25" t="n">
        <v>0</v>
      </c>
      <c r="O25" t="n">
        <v>7</v>
      </c>
      <c r="P25" t="n">
        <v>0</v>
      </c>
      <c r="Q25" t="n">
        <v>11</v>
      </c>
      <c r="R25" s="2" t="inlineStr">
        <is>
          <t>Dvärgbägarlav
Garnlav
Kolflarnlav
Mörk kolflarnlav
Spillkråka
Tretåig hackspett
Vedflamlav
Mindre märgborre
Nästlav
Plattlummer
Tjäder</t>
        </is>
      </c>
      <c r="S25">
        <f>HYPERLINK("https://klasma.github.io/Logging_2062/artfynd/A 21284-2026 artfynd.xlsx", "A 21284-2026")</f>
        <v/>
      </c>
      <c r="T25">
        <f>HYPERLINK("https://klasma.github.io/Logging_2062/kartor/A 21284-2026 karta.png", "A 21284-2026")</f>
        <v/>
      </c>
      <c r="V25">
        <f>HYPERLINK("https://klasma.github.io/Logging_2062/klagomål/A 21284-2026 FSC-klagomål.docx", "A 21284-2026")</f>
        <v/>
      </c>
      <c r="W25">
        <f>HYPERLINK("https://klasma.github.io/Logging_2062/klagomålsmail/A 21284-2026 FSC-klagomål mail.docx", "A 21284-2026")</f>
        <v/>
      </c>
      <c r="X25">
        <f>HYPERLINK("https://klasma.github.io/Logging_2062/tillsyn/A 21284-2026 tillsynsbegäran.docx", "A 21284-2026")</f>
        <v/>
      </c>
      <c r="Y25">
        <f>HYPERLINK("https://klasma.github.io/Logging_2062/tillsynsmail/A 21284-2026 tillsynsbegäran mail.docx", "A 21284-2026")</f>
        <v/>
      </c>
      <c r="Z25">
        <f>HYPERLINK("https://klasma.github.io/Logging_2062/fåglar/A 21284-2026 prioriterade fågelarter.docx", "A 21284-2026")</f>
        <v/>
      </c>
    </row>
    <row r="26" ht="15" customHeight="1">
      <c r="A26" t="inlineStr">
        <is>
          <t>A 35944-2024</t>
        </is>
      </c>
      <c r="B26" s="1" t="n">
        <v>45533.45853009259</v>
      </c>
      <c r="C26" s="1" t="n">
        <v>46189</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46189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46189</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40313-2025</t>
        </is>
      </c>
      <c r="B29" s="1" t="n">
        <v>45895.42209490741</v>
      </c>
      <c r="C29" s="1" t="n">
        <v>46189</v>
      </c>
      <c r="D29" t="inlineStr">
        <is>
          <t>DALARNAS LÄN</t>
        </is>
      </c>
      <c r="E29" t="inlineStr">
        <is>
          <t>MORA</t>
        </is>
      </c>
      <c r="G29" t="n">
        <v>16</v>
      </c>
      <c r="H29" t="n">
        <v>3</v>
      </c>
      <c r="I29" t="n">
        <v>3</v>
      </c>
      <c r="J29" t="n">
        <v>5</v>
      </c>
      <c r="K29" t="n">
        <v>0</v>
      </c>
      <c r="L29" t="n">
        <v>0</v>
      </c>
      <c r="M29" t="n">
        <v>0</v>
      </c>
      <c r="N29" t="n">
        <v>0</v>
      </c>
      <c r="O29" t="n">
        <v>5</v>
      </c>
      <c r="P29" t="n">
        <v>0</v>
      </c>
      <c r="Q29" t="n">
        <v>9</v>
      </c>
      <c r="R29" s="2" t="inlineStr">
        <is>
          <t>Garnlav
Mörk kolflarnlav
Spillkråka
Tallticka
Tretåig hackspett
Bollvitmossa
Dropptaggsvamp
Mindre märgborre
Tjäder</t>
        </is>
      </c>
      <c r="S29">
        <f>HYPERLINK("https://klasma.github.io/Logging_2062/artfynd/A 40313-2025 artfynd.xlsx", "A 40313-2025")</f>
        <v/>
      </c>
      <c r="T29">
        <f>HYPERLINK("https://klasma.github.io/Logging_2062/kartor/A 40313-2025 karta.png", "A 40313-2025")</f>
        <v/>
      </c>
      <c r="V29">
        <f>HYPERLINK("https://klasma.github.io/Logging_2062/klagomål/A 40313-2025 FSC-klagomål.docx", "A 40313-2025")</f>
        <v/>
      </c>
      <c r="W29">
        <f>HYPERLINK("https://klasma.github.io/Logging_2062/klagomålsmail/A 40313-2025 FSC-klagomål mail.docx", "A 40313-2025")</f>
        <v/>
      </c>
      <c r="X29">
        <f>HYPERLINK("https://klasma.github.io/Logging_2062/tillsyn/A 40313-2025 tillsynsbegäran.docx", "A 40313-2025")</f>
        <v/>
      </c>
      <c r="Y29">
        <f>HYPERLINK("https://klasma.github.io/Logging_2062/tillsynsmail/A 40313-2025 tillsynsbegäran mail.docx", "A 40313-2025")</f>
        <v/>
      </c>
      <c r="Z29">
        <f>HYPERLINK("https://klasma.github.io/Logging_2062/fåglar/A 40313-2025 prioriterade fågelarter.docx", "A 40313-2025")</f>
        <v/>
      </c>
    </row>
    <row r="30" ht="15" customHeight="1">
      <c r="A30" t="inlineStr">
        <is>
          <t>A 57661-2025</t>
        </is>
      </c>
      <c r="B30" s="1" t="n">
        <v>45981.41530092592</v>
      </c>
      <c r="C30" s="1" t="n">
        <v>46189</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46189</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61943-2024</t>
        </is>
      </c>
      <c r="B32" s="1" t="n">
        <v>45653.49774305556</v>
      </c>
      <c r="C32" s="1" t="n">
        <v>46189</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v>
      </c>
      <c r="C33" s="1" t="n">
        <v>46189</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46450-2025</t>
        </is>
      </c>
      <c r="B34" s="1" t="n">
        <v>45925.6530324074</v>
      </c>
      <c r="C34" s="1" t="n">
        <v>46189</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30904-2025</t>
        </is>
      </c>
      <c r="B35" s="1" t="n">
        <v>45832</v>
      </c>
      <c r="C35" s="1" t="n">
        <v>46189</v>
      </c>
      <c r="D35" t="inlineStr">
        <is>
          <t>DALARNAS LÄN</t>
        </is>
      </c>
      <c r="E35" t="inlineStr">
        <is>
          <t>MORA</t>
        </is>
      </c>
      <c r="G35" t="n">
        <v>6.6</v>
      </c>
      <c r="H35" t="n">
        <v>3</v>
      </c>
      <c r="I35" t="n">
        <v>1</v>
      </c>
      <c r="J35" t="n">
        <v>6</v>
      </c>
      <c r="K35" t="n">
        <v>0</v>
      </c>
      <c r="L35" t="n">
        <v>0</v>
      </c>
      <c r="M35" t="n">
        <v>0</v>
      </c>
      <c r="N35" t="n">
        <v>0</v>
      </c>
      <c r="O35" t="n">
        <v>6</v>
      </c>
      <c r="P35" t="n">
        <v>0</v>
      </c>
      <c r="Q35" t="n">
        <v>8</v>
      </c>
      <c r="R35" s="2" t="inlineStr">
        <is>
          <t>Garnlav
Spillkråka
Tallticka
Talltita
Vedflamlav
Vedskivlav
Mindre märgborre
Kungsfågel</t>
        </is>
      </c>
      <c r="S35">
        <f>HYPERLINK("https://klasma.github.io/Logging_2062/artfynd/A 30904-2025 artfynd.xlsx", "A 30904-2025")</f>
        <v/>
      </c>
      <c r="T35">
        <f>HYPERLINK("https://klasma.github.io/Logging_2062/kartor/A 30904-2025 karta.png", "A 30904-2025")</f>
        <v/>
      </c>
      <c r="V35">
        <f>HYPERLINK("https://klasma.github.io/Logging_2062/klagomål/A 30904-2025 FSC-klagomål.docx", "A 30904-2025")</f>
        <v/>
      </c>
      <c r="W35">
        <f>HYPERLINK("https://klasma.github.io/Logging_2062/klagomålsmail/A 30904-2025 FSC-klagomål mail.docx", "A 30904-2025")</f>
        <v/>
      </c>
      <c r="X35">
        <f>HYPERLINK("https://klasma.github.io/Logging_2062/tillsyn/A 30904-2025 tillsynsbegäran.docx", "A 30904-2025")</f>
        <v/>
      </c>
      <c r="Y35">
        <f>HYPERLINK("https://klasma.github.io/Logging_2062/tillsynsmail/A 30904-2025 tillsynsbegäran mail.docx", "A 30904-2025")</f>
        <v/>
      </c>
      <c r="Z35">
        <f>HYPERLINK("https://klasma.github.io/Logging_2062/fåglar/A 30904-2025 prioriterade fågelarter.docx", "A 30904-2025")</f>
        <v/>
      </c>
    </row>
    <row r="36" ht="15" customHeight="1">
      <c r="A36" t="inlineStr">
        <is>
          <t>A 33380-2025</t>
        </is>
      </c>
      <c r="B36" s="1" t="n">
        <v>45841.40309027778</v>
      </c>
      <c r="C36" s="1" t="n">
        <v>46189</v>
      </c>
      <c r="D36" t="inlineStr">
        <is>
          <t>DALARNAS LÄN</t>
        </is>
      </c>
      <c r="E36" t="inlineStr">
        <is>
          <t>MORA</t>
        </is>
      </c>
      <c r="G36" t="n">
        <v>6.6</v>
      </c>
      <c r="H36" t="n">
        <v>5</v>
      </c>
      <c r="I36" t="n">
        <v>1</v>
      </c>
      <c r="J36" t="n">
        <v>6</v>
      </c>
      <c r="K36" t="n">
        <v>0</v>
      </c>
      <c r="L36" t="n">
        <v>0</v>
      </c>
      <c r="M36" t="n">
        <v>0</v>
      </c>
      <c r="N36" t="n">
        <v>0</v>
      </c>
      <c r="O36" t="n">
        <v>6</v>
      </c>
      <c r="P36" t="n">
        <v>0</v>
      </c>
      <c r="Q36" t="n">
        <v>8</v>
      </c>
      <c r="R36" s="2" t="inlineStr">
        <is>
          <t>Garnlav
Rödvingetrast
Spillkråka
Talltita
Tretåig hackspett
Ullticka
Mindre märgborre
Revlummer</t>
        </is>
      </c>
      <c r="S36">
        <f>HYPERLINK("https://klasma.github.io/Logging_2062/artfynd/A 33380-2025 artfynd.xlsx", "A 33380-2025")</f>
        <v/>
      </c>
      <c r="T36">
        <f>HYPERLINK("https://klasma.github.io/Logging_2062/kartor/A 33380-2025 karta.png", "A 33380-2025")</f>
        <v/>
      </c>
      <c r="V36">
        <f>HYPERLINK("https://klasma.github.io/Logging_2062/klagomål/A 33380-2025 FSC-klagomål.docx", "A 33380-2025")</f>
        <v/>
      </c>
      <c r="W36">
        <f>HYPERLINK("https://klasma.github.io/Logging_2062/klagomålsmail/A 33380-2025 FSC-klagomål mail.docx", "A 33380-2025")</f>
        <v/>
      </c>
      <c r="X36">
        <f>HYPERLINK("https://klasma.github.io/Logging_2062/tillsyn/A 33380-2025 tillsynsbegäran.docx", "A 33380-2025")</f>
        <v/>
      </c>
      <c r="Y36">
        <f>HYPERLINK("https://klasma.github.io/Logging_2062/tillsynsmail/A 33380-2025 tillsynsbegäran mail.docx", "A 33380-2025")</f>
        <v/>
      </c>
      <c r="Z36">
        <f>HYPERLINK("https://klasma.github.io/Logging_2062/fåglar/A 33380-2025 prioriterade fågelarter.docx", "A 33380-2025")</f>
        <v/>
      </c>
    </row>
    <row r="37" ht="15" customHeight="1">
      <c r="A37" t="inlineStr">
        <is>
          <t>A 2762-2026</t>
        </is>
      </c>
      <c r="B37" s="1" t="n">
        <v>46036</v>
      </c>
      <c r="C37" s="1" t="n">
        <v>46189</v>
      </c>
      <c r="D37" t="inlineStr">
        <is>
          <t>DALARNAS LÄN</t>
        </is>
      </c>
      <c r="E37" t="inlineStr">
        <is>
          <t>MORA</t>
        </is>
      </c>
      <c r="G37" t="n">
        <v>5.7</v>
      </c>
      <c r="H37" t="n">
        <v>2</v>
      </c>
      <c r="I37" t="n">
        <v>1</v>
      </c>
      <c r="J37" t="n">
        <v>7</v>
      </c>
      <c r="K37" t="n">
        <v>0</v>
      </c>
      <c r="L37" t="n">
        <v>0</v>
      </c>
      <c r="M37" t="n">
        <v>0</v>
      </c>
      <c r="N37" t="n">
        <v>0</v>
      </c>
      <c r="O37" t="n">
        <v>7</v>
      </c>
      <c r="P37" t="n">
        <v>0</v>
      </c>
      <c r="Q37" t="n">
        <v>8</v>
      </c>
      <c r="R37" s="2" t="inlineStr">
        <is>
          <t>Garnlav
Kolflarnlav
Mörk kolflarnlav
Spillkråka
Tretåig hackspett
Vedflamlav
Vedskivlav
Mindre märgborre</t>
        </is>
      </c>
      <c r="S37">
        <f>HYPERLINK("https://klasma.github.io/Logging_2062/artfynd/A 2762-2026 artfynd.xlsx", "A 2762-2026")</f>
        <v/>
      </c>
      <c r="T37">
        <f>HYPERLINK("https://klasma.github.io/Logging_2062/kartor/A 2762-2026 karta.png", "A 2762-2026")</f>
        <v/>
      </c>
      <c r="V37">
        <f>HYPERLINK("https://klasma.github.io/Logging_2062/klagomål/A 2762-2026 FSC-klagomål.docx", "A 2762-2026")</f>
        <v/>
      </c>
      <c r="W37">
        <f>HYPERLINK("https://klasma.github.io/Logging_2062/klagomålsmail/A 2762-2026 FSC-klagomål mail.docx", "A 2762-2026")</f>
        <v/>
      </c>
      <c r="X37">
        <f>HYPERLINK("https://klasma.github.io/Logging_2062/tillsyn/A 2762-2026 tillsynsbegäran.docx", "A 2762-2026")</f>
        <v/>
      </c>
      <c r="Y37">
        <f>HYPERLINK("https://klasma.github.io/Logging_2062/tillsynsmail/A 2762-2026 tillsynsbegäran mail.docx", "A 2762-2026")</f>
        <v/>
      </c>
      <c r="Z37">
        <f>HYPERLINK("https://klasma.github.io/Logging_2062/fåglar/A 2762-2026 prioriterade fågelarter.docx", "A 2762-2026")</f>
        <v/>
      </c>
    </row>
    <row r="38" ht="15" customHeight="1">
      <c r="A38" t="inlineStr">
        <is>
          <t>A 61259-2023</t>
        </is>
      </c>
      <c r="B38" s="1" t="n">
        <v>45264</v>
      </c>
      <c r="C38" s="1" t="n">
        <v>46189</v>
      </c>
      <c r="D38" t="inlineStr">
        <is>
          <t>DALARNAS LÄN</t>
        </is>
      </c>
      <c r="E38" t="inlineStr">
        <is>
          <t>MORA</t>
        </is>
      </c>
      <c r="F38" t="inlineStr">
        <is>
          <t>Allmännings- och besparingsskogar</t>
        </is>
      </c>
      <c r="G38" t="n">
        <v>1</v>
      </c>
      <c r="H38" t="n">
        <v>1</v>
      </c>
      <c r="I38" t="n">
        <v>3</v>
      </c>
      <c r="J38" t="n">
        <v>3</v>
      </c>
      <c r="K38" t="n">
        <v>1</v>
      </c>
      <c r="L38" t="n">
        <v>0</v>
      </c>
      <c r="M38" t="n">
        <v>0</v>
      </c>
      <c r="N38" t="n">
        <v>0</v>
      </c>
      <c r="O38" t="n">
        <v>4</v>
      </c>
      <c r="P38" t="n">
        <v>1</v>
      </c>
      <c r="Q38" t="n">
        <v>7</v>
      </c>
      <c r="R38" s="2" t="inlineStr">
        <is>
          <t>Knärot
Brunpudrad nållav
Garnlav
Vitgrynig nållav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58839-2025</t>
        </is>
      </c>
      <c r="B39" s="1" t="n">
        <v>45987.36070601852</v>
      </c>
      <c r="C39" s="1" t="n">
        <v>46189</v>
      </c>
      <c r="D39" t="inlineStr">
        <is>
          <t>DALARNAS LÄN</t>
        </is>
      </c>
      <c r="E39" t="inlineStr">
        <is>
          <t>MORA</t>
        </is>
      </c>
      <c r="F39" t="inlineStr">
        <is>
          <t>Bergvik skog öst AB</t>
        </is>
      </c>
      <c r="G39" t="n">
        <v>6.3</v>
      </c>
      <c r="H39" t="n">
        <v>0</v>
      </c>
      <c r="I39" t="n">
        <v>3</v>
      </c>
      <c r="J39" t="n">
        <v>4</v>
      </c>
      <c r="K39" t="n">
        <v>0</v>
      </c>
      <c r="L39" t="n">
        <v>0</v>
      </c>
      <c r="M39" t="n">
        <v>0</v>
      </c>
      <c r="N39" t="n">
        <v>0</v>
      </c>
      <c r="O39" t="n">
        <v>4</v>
      </c>
      <c r="P39" t="n">
        <v>0</v>
      </c>
      <c r="Q39" t="n">
        <v>7</v>
      </c>
      <c r="R39" s="2" t="inlineStr">
        <is>
          <t>Garnlav
Kolflarnlav
Mörk kolflarnlav
Vedskivlav
Bollvitmossa
Mindre märgborre
Skinnlav</t>
        </is>
      </c>
      <c r="S39">
        <f>HYPERLINK("https://klasma.github.io/Logging_2062/artfynd/A 58839-2025 artfynd.xlsx", "A 58839-2025")</f>
        <v/>
      </c>
      <c r="T39">
        <f>HYPERLINK("https://klasma.github.io/Logging_2062/kartor/A 58839-2025 karta.png", "A 58839-2025")</f>
        <v/>
      </c>
      <c r="U39">
        <f>HYPERLINK("https://klasma.github.io/Logging_2062/knärot/A 58839-2025 karta knärot.png", "A 58839-2025")</f>
        <v/>
      </c>
      <c r="V39">
        <f>HYPERLINK("https://klasma.github.io/Logging_2062/klagomål/A 58839-2025 FSC-klagomål.docx", "A 58839-2025")</f>
        <v/>
      </c>
      <c r="W39">
        <f>HYPERLINK("https://klasma.github.io/Logging_2062/klagomålsmail/A 58839-2025 FSC-klagomål mail.docx", "A 58839-2025")</f>
        <v/>
      </c>
      <c r="X39">
        <f>HYPERLINK("https://klasma.github.io/Logging_2062/tillsyn/A 58839-2025 tillsynsbegäran.docx", "A 58839-2025")</f>
        <v/>
      </c>
      <c r="Y39">
        <f>HYPERLINK("https://klasma.github.io/Logging_2062/tillsynsmail/A 58839-2025 tillsynsbegäran mail.docx", "A 58839-2025")</f>
        <v/>
      </c>
    </row>
    <row r="40" ht="15" customHeight="1">
      <c r="A40" t="inlineStr">
        <is>
          <t>A 34719-2025</t>
        </is>
      </c>
      <c r="B40" s="1" t="n">
        <v>45848</v>
      </c>
      <c r="C40" s="1" t="n">
        <v>46189</v>
      </c>
      <c r="D40" t="inlineStr">
        <is>
          <t>DALARNAS LÄN</t>
        </is>
      </c>
      <c r="E40" t="inlineStr">
        <is>
          <t>MORA</t>
        </is>
      </c>
      <c r="G40" t="n">
        <v>1.9</v>
      </c>
      <c r="H40" t="n">
        <v>2</v>
      </c>
      <c r="I40" t="n">
        <v>1</v>
      </c>
      <c r="J40" t="n">
        <v>5</v>
      </c>
      <c r="K40" t="n">
        <v>0</v>
      </c>
      <c r="L40" t="n">
        <v>0</v>
      </c>
      <c r="M40" t="n">
        <v>0</v>
      </c>
      <c r="N40" t="n">
        <v>0</v>
      </c>
      <c r="O40" t="n">
        <v>5</v>
      </c>
      <c r="P40" t="n">
        <v>0</v>
      </c>
      <c r="Q40" t="n">
        <v>6</v>
      </c>
      <c r="R40" s="2" t="inlineStr">
        <is>
          <t>Dvärgbägarlav
Garnlav
Spillkråka
Tallticka
Tretåig hackspett
Mindre märgborre</t>
        </is>
      </c>
      <c r="S40">
        <f>HYPERLINK("https://klasma.github.io/Logging_2062/artfynd/A 34719-2025 artfynd.xlsx", "A 34719-2025")</f>
        <v/>
      </c>
      <c r="T40">
        <f>HYPERLINK("https://klasma.github.io/Logging_2062/kartor/A 34719-2025 karta.png", "A 34719-2025")</f>
        <v/>
      </c>
      <c r="V40">
        <f>HYPERLINK("https://klasma.github.io/Logging_2062/klagomål/A 34719-2025 FSC-klagomål.docx", "A 34719-2025")</f>
        <v/>
      </c>
      <c r="W40">
        <f>HYPERLINK("https://klasma.github.io/Logging_2062/klagomålsmail/A 34719-2025 FSC-klagomål mail.docx", "A 34719-2025")</f>
        <v/>
      </c>
      <c r="X40">
        <f>HYPERLINK("https://klasma.github.io/Logging_2062/tillsyn/A 34719-2025 tillsynsbegäran.docx", "A 34719-2025")</f>
        <v/>
      </c>
      <c r="Y40">
        <f>HYPERLINK("https://klasma.github.io/Logging_2062/tillsynsmail/A 34719-2025 tillsynsbegäran mail.docx", "A 34719-2025")</f>
        <v/>
      </c>
      <c r="Z40">
        <f>HYPERLINK("https://klasma.github.io/Logging_2062/fåglar/A 34719-2025 prioriterade fågelarter.docx", "A 34719-2025")</f>
        <v/>
      </c>
    </row>
    <row r="41" ht="15" customHeight="1">
      <c r="A41" t="inlineStr">
        <is>
          <t>A 10693-2026</t>
        </is>
      </c>
      <c r="B41" s="1" t="n">
        <v>46078.43366898148</v>
      </c>
      <c r="C41" s="1" t="n">
        <v>46189</v>
      </c>
      <c r="D41" t="inlineStr">
        <is>
          <t>DALARNAS LÄN</t>
        </is>
      </c>
      <c r="E41" t="inlineStr">
        <is>
          <t>MORA</t>
        </is>
      </c>
      <c r="G41" t="n">
        <v>1.2</v>
      </c>
      <c r="H41" t="n">
        <v>2</v>
      </c>
      <c r="I41" t="n">
        <v>3</v>
      </c>
      <c r="J41" t="n">
        <v>2</v>
      </c>
      <c r="K41" t="n">
        <v>1</v>
      </c>
      <c r="L41" t="n">
        <v>0</v>
      </c>
      <c r="M41" t="n">
        <v>0</v>
      </c>
      <c r="N41" t="n">
        <v>0</v>
      </c>
      <c r="O41" t="n">
        <v>3</v>
      </c>
      <c r="P41" t="n">
        <v>1</v>
      </c>
      <c r="Q41" t="n">
        <v>6</v>
      </c>
      <c r="R41" s="2" t="inlineStr">
        <is>
          <t>Knärot
Garnlav
Tretåig hackspett
Bronshjon
Mindre märgborre
Nästlav</t>
        </is>
      </c>
      <c r="S41">
        <f>HYPERLINK("https://klasma.github.io/Logging_2062/artfynd/A 10693-2026 artfynd.xlsx", "A 10693-2026")</f>
        <v/>
      </c>
      <c r="T41">
        <f>HYPERLINK("https://klasma.github.io/Logging_2062/kartor/A 10693-2026 karta.png", "A 10693-2026")</f>
        <v/>
      </c>
      <c r="U41">
        <f>HYPERLINK("https://klasma.github.io/Logging_2062/knärot/A 10693-2026 karta knärot.png", "A 10693-2026")</f>
        <v/>
      </c>
      <c r="V41">
        <f>HYPERLINK("https://klasma.github.io/Logging_2062/klagomål/A 10693-2026 FSC-klagomål.docx", "A 10693-2026")</f>
        <v/>
      </c>
      <c r="W41">
        <f>HYPERLINK("https://klasma.github.io/Logging_2062/klagomålsmail/A 10693-2026 FSC-klagomål mail.docx", "A 10693-2026")</f>
        <v/>
      </c>
      <c r="X41">
        <f>HYPERLINK("https://klasma.github.io/Logging_2062/tillsyn/A 10693-2026 tillsynsbegäran.docx", "A 10693-2026")</f>
        <v/>
      </c>
      <c r="Y41">
        <f>HYPERLINK("https://klasma.github.io/Logging_2062/tillsynsmail/A 10693-2026 tillsynsbegäran mail.docx", "A 10693-2026")</f>
        <v/>
      </c>
      <c r="Z41">
        <f>HYPERLINK("https://klasma.github.io/Logging_2062/fåglar/A 10693-2026 prioriterade fågelarter.docx", "A 10693-2026")</f>
        <v/>
      </c>
    </row>
    <row r="42" ht="15" customHeight="1">
      <c r="A42" t="inlineStr">
        <is>
          <t>A 62154-2025</t>
        </is>
      </c>
      <c r="B42" s="1" t="n">
        <v>46006.48664351852</v>
      </c>
      <c r="C42" s="1" t="n">
        <v>46189</v>
      </c>
      <c r="D42" t="inlineStr">
        <is>
          <t>DALARNAS LÄN</t>
        </is>
      </c>
      <c r="E42" t="inlineStr">
        <is>
          <t>MORA</t>
        </is>
      </c>
      <c r="G42" t="n">
        <v>7.2</v>
      </c>
      <c r="H42" t="n">
        <v>2</v>
      </c>
      <c r="I42" t="n">
        <v>3</v>
      </c>
      <c r="J42" t="n">
        <v>3</v>
      </c>
      <c r="K42" t="n">
        <v>0</v>
      </c>
      <c r="L42" t="n">
        <v>0</v>
      </c>
      <c r="M42" t="n">
        <v>0</v>
      </c>
      <c r="N42" t="n">
        <v>0</v>
      </c>
      <c r="O42" t="n">
        <v>3</v>
      </c>
      <c r="P42" t="n">
        <v>0</v>
      </c>
      <c r="Q42" t="n">
        <v>6</v>
      </c>
      <c r="R42" s="2" t="inlineStr">
        <is>
          <t>Garnlav
Spillkråka
Tretåig hackspett
Bronshjon
Mindre märgborre
Vågbandad barkbock</t>
        </is>
      </c>
      <c r="S42">
        <f>HYPERLINK("https://klasma.github.io/Logging_2062/artfynd/A 62154-2025 artfynd.xlsx", "A 62154-2025")</f>
        <v/>
      </c>
      <c r="T42">
        <f>HYPERLINK("https://klasma.github.io/Logging_2062/kartor/A 62154-2025 karta.png", "A 62154-2025")</f>
        <v/>
      </c>
      <c r="V42">
        <f>HYPERLINK("https://klasma.github.io/Logging_2062/klagomål/A 62154-2025 FSC-klagomål.docx", "A 62154-2025")</f>
        <v/>
      </c>
      <c r="W42">
        <f>HYPERLINK("https://klasma.github.io/Logging_2062/klagomålsmail/A 62154-2025 FSC-klagomål mail.docx", "A 62154-2025")</f>
        <v/>
      </c>
      <c r="X42">
        <f>HYPERLINK("https://klasma.github.io/Logging_2062/tillsyn/A 62154-2025 tillsynsbegäran.docx", "A 62154-2025")</f>
        <v/>
      </c>
      <c r="Y42">
        <f>HYPERLINK("https://klasma.github.io/Logging_2062/tillsynsmail/A 62154-2025 tillsynsbegäran mail.docx", "A 62154-2025")</f>
        <v/>
      </c>
      <c r="Z42">
        <f>HYPERLINK("https://klasma.github.io/Logging_2062/fåglar/A 62154-2025 prioriterade fågelarter.docx", "A 62154-2025")</f>
        <v/>
      </c>
    </row>
    <row r="43" ht="15" customHeight="1">
      <c r="A43" t="inlineStr">
        <is>
          <t>A 58169-2025</t>
        </is>
      </c>
      <c r="B43" s="1" t="n">
        <v>45982.72690972222</v>
      </c>
      <c r="C43" s="1" t="n">
        <v>46189</v>
      </c>
      <c r="D43" t="inlineStr">
        <is>
          <t>DALARNAS LÄN</t>
        </is>
      </c>
      <c r="E43" t="inlineStr">
        <is>
          <t>MORA</t>
        </is>
      </c>
      <c r="F43" t="inlineStr">
        <is>
          <t>Bergvik skog väst AB</t>
        </is>
      </c>
      <c r="G43" t="n">
        <v>7.7</v>
      </c>
      <c r="H43" t="n">
        <v>2</v>
      </c>
      <c r="I43" t="n">
        <v>1</v>
      </c>
      <c r="J43" t="n">
        <v>5</v>
      </c>
      <c r="K43" t="n">
        <v>0</v>
      </c>
      <c r="L43" t="n">
        <v>0</v>
      </c>
      <c r="M43" t="n">
        <v>0</v>
      </c>
      <c r="N43" t="n">
        <v>0</v>
      </c>
      <c r="O43" t="n">
        <v>5</v>
      </c>
      <c r="P43" t="n">
        <v>0</v>
      </c>
      <c r="Q43" t="n">
        <v>6</v>
      </c>
      <c r="R43" s="2" t="inlineStr">
        <is>
          <t>Garnlav
Spillkråka
Tretåig hackspett
Vedflamlav
Vedskivlav
Mindre märgborre</t>
        </is>
      </c>
      <c r="S43">
        <f>HYPERLINK("https://klasma.github.io/Logging_2062/artfynd/A 58169-2025 artfynd.xlsx", "A 58169-2025")</f>
        <v/>
      </c>
      <c r="T43">
        <f>HYPERLINK("https://klasma.github.io/Logging_2062/kartor/A 58169-2025 karta.png", "A 58169-2025")</f>
        <v/>
      </c>
      <c r="V43">
        <f>HYPERLINK("https://klasma.github.io/Logging_2062/klagomål/A 58169-2025 FSC-klagomål.docx", "A 58169-2025")</f>
        <v/>
      </c>
      <c r="W43">
        <f>HYPERLINK("https://klasma.github.io/Logging_2062/klagomålsmail/A 58169-2025 FSC-klagomål mail.docx", "A 58169-2025")</f>
        <v/>
      </c>
      <c r="X43">
        <f>HYPERLINK("https://klasma.github.io/Logging_2062/tillsyn/A 58169-2025 tillsynsbegäran.docx", "A 58169-2025")</f>
        <v/>
      </c>
      <c r="Y43">
        <f>HYPERLINK("https://klasma.github.io/Logging_2062/tillsynsmail/A 58169-2025 tillsynsbegäran mail.docx", "A 58169-2025")</f>
        <v/>
      </c>
      <c r="Z43">
        <f>HYPERLINK("https://klasma.github.io/Logging_2062/fåglar/A 58169-2025 prioriterade fågelarter.docx", "A 58169-2025")</f>
        <v/>
      </c>
    </row>
    <row r="44" ht="15" customHeight="1">
      <c r="A44" t="inlineStr">
        <is>
          <t>A 34447-2024</t>
        </is>
      </c>
      <c r="B44" s="1" t="n">
        <v>45525</v>
      </c>
      <c r="C44" s="1" t="n">
        <v>46189</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53426-2025</t>
        </is>
      </c>
      <c r="B45" s="1" t="n">
        <v>45959.6131712963</v>
      </c>
      <c r="C45" s="1" t="n">
        <v>46189</v>
      </c>
      <c r="D45" t="inlineStr">
        <is>
          <t>DALARNAS LÄN</t>
        </is>
      </c>
      <c r="E45" t="inlineStr">
        <is>
          <t>MORA</t>
        </is>
      </c>
      <c r="G45" t="n">
        <v>4.2</v>
      </c>
      <c r="H45" t="n">
        <v>1</v>
      </c>
      <c r="I45" t="n">
        <v>1</v>
      </c>
      <c r="J45" t="n">
        <v>4</v>
      </c>
      <c r="K45" t="n">
        <v>0</v>
      </c>
      <c r="L45" t="n">
        <v>0</v>
      </c>
      <c r="M45" t="n">
        <v>0</v>
      </c>
      <c r="N45" t="n">
        <v>0</v>
      </c>
      <c r="O45" t="n">
        <v>4</v>
      </c>
      <c r="P45" t="n">
        <v>0</v>
      </c>
      <c r="Q45" t="n">
        <v>5</v>
      </c>
      <c r="R45" s="2" t="inlineStr">
        <is>
          <t>Garnlav
Rosenticka
Spillkråka
Tallticka
Mindre märgborre</t>
        </is>
      </c>
      <c r="S45">
        <f>HYPERLINK("https://klasma.github.io/Logging_2062/artfynd/A 53426-2025 artfynd.xlsx", "A 53426-2025")</f>
        <v/>
      </c>
      <c r="T45">
        <f>HYPERLINK("https://klasma.github.io/Logging_2062/kartor/A 53426-2025 karta.png", "A 53426-2025")</f>
        <v/>
      </c>
      <c r="V45">
        <f>HYPERLINK("https://klasma.github.io/Logging_2062/klagomål/A 53426-2025 FSC-klagomål.docx", "A 53426-2025")</f>
        <v/>
      </c>
      <c r="W45">
        <f>HYPERLINK("https://klasma.github.io/Logging_2062/klagomålsmail/A 53426-2025 FSC-klagomål mail.docx", "A 53426-2025")</f>
        <v/>
      </c>
      <c r="X45">
        <f>HYPERLINK("https://klasma.github.io/Logging_2062/tillsyn/A 53426-2025 tillsynsbegäran.docx", "A 53426-2025")</f>
        <v/>
      </c>
      <c r="Y45">
        <f>HYPERLINK("https://klasma.github.io/Logging_2062/tillsynsmail/A 53426-2025 tillsynsbegäran mail.docx", "A 53426-2025")</f>
        <v/>
      </c>
      <c r="Z45">
        <f>HYPERLINK("https://klasma.github.io/Logging_2062/fåglar/A 53426-2025 prioriterade fågelarter.docx", "A 53426-2025")</f>
        <v/>
      </c>
    </row>
    <row r="46" ht="15" customHeight="1">
      <c r="A46" t="inlineStr">
        <is>
          <t>A 35487-2025</t>
        </is>
      </c>
      <c r="B46" s="1" t="n">
        <v>45855</v>
      </c>
      <c r="C46" s="1" t="n">
        <v>46189</v>
      </c>
      <c r="D46" t="inlineStr">
        <is>
          <t>DALARNAS LÄN</t>
        </is>
      </c>
      <c r="E46" t="inlineStr">
        <is>
          <t>MORA</t>
        </is>
      </c>
      <c r="F46" t="inlineStr">
        <is>
          <t>Allmännings- och besparingsskogar</t>
        </is>
      </c>
      <c r="G46" t="n">
        <v>0.7</v>
      </c>
      <c r="H46" t="n">
        <v>2</v>
      </c>
      <c r="I46" t="n">
        <v>0</v>
      </c>
      <c r="J46" t="n">
        <v>3</v>
      </c>
      <c r="K46" t="n">
        <v>0</v>
      </c>
      <c r="L46" t="n">
        <v>0</v>
      </c>
      <c r="M46" t="n">
        <v>0</v>
      </c>
      <c r="N46" t="n">
        <v>0</v>
      </c>
      <c r="O46" t="n">
        <v>3</v>
      </c>
      <c r="P46" t="n">
        <v>0</v>
      </c>
      <c r="Q46" t="n">
        <v>5</v>
      </c>
      <c r="R46" s="2" t="inlineStr">
        <is>
          <t>Dvärgbägarlav
Garnlav
Vedskivlav
Tjäder
Revlummer</t>
        </is>
      </c>
      <c r="S46">
        <f>HYPERLINK("https://klasma.github.io/Logging_2062/artfynd/A 35487-2025 artfynd.xlsx", "A 35487-2025")</f>
        <v/>
      </c>
      <c r="T46">
        <f>HYPERLINK("https://klasma.github.io/Logging_2062/kartor/A 35487-2025 karta.png", "A 35487-2025")</f>
        <v/>
      </c>
      <c r="V46">
        <f>HYPERLINK("https://klasma.github.io/Logging_2062/klagomål/A 35487-2025 FSC-klagomål.docx", "A 35487-2025")</f>
        <v/>
      </c>
      <c r="W46">
        <f>HYPERLINK("https://klasma.github.io/Logging_2062/klagomålsmail/A 35487-2025 FSC-klagomål mail.docx", "A 35487-2025")</f>
        <v/>
      </c>
      <c r="X46">
        <f>HYPERLINK("https://klasma.github.io/Logging_2062/tillsyn/A 35487-2025 tillsynsbegäran.docx", "A 35487-2025")</f>
        <v/>
      </c>
      <c r="Y46">
        <f>HYPERLINK("https://klasma.github.io/Logging_2062/tillsynsmail/A 35487-2025 tillsynsbegäran mail.docx", "A 35487-2025")</f>
        <v/>
      </c>
      <c r="Z46">
        <f>HYPERLINK("https://klasma.github.io/Logging_2062/fåglar/A 35487-2025 prioriterade fågelarter.docx", "A 35487-2025")</f>
        <v/>
      </c>
    </row>
    <row r="47" ht="15" customHeight="1">
      <c r="A47" t="inlineStr">
        <is>
          <t>A 31539-2025</t>
        </is>
      </c>
      <c r="B47" s="1" t="n">
        <v>45833</v>
      </c>
      <c r="C47" s="1" t="n">
        <v>46189</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58478-2025</t>
        </is>
      </c>
      <c r="B48" s="1" t="n">
        <v>45985.64645833334</v>
      </c>
      <c r="C48" s="1" t="n">
        <v>46189</v>
      </c>
      <c r="D48" t="inlineStr">
        <is>
          <t>DALARNAS LÄN</t>
        </is>
      </c>
      <c r="E48" t="inlineStr">
        <is>
          <t>MORA</t>
        </is>
      </c>
      <c r="G48" t="n">
        <v>6</v>
      </c>
      <c r="H48" t="n">
        <v>2</v>
      </c>
      <c r="I48" t="n">
        <v>1</v>
      </c>
      <c r="J48" t="n">
        <v>4</v>
      </c>
      <c r="K48" t="n">
        <v>0</v>
      </c>
      <c r="L48" t="n">
        <v>0</v>
      </c>
      <c r="M48" t="n">
        <v>0</v>
      </c>
      <c r="N48" t="n">
        <v>0</v>
      </c>
      <c r="O48" t="n">
        <v>4</v>
      </c>
      <c r="P48" t="n">
        <v>0</v>
      </c>
      <c r="Q48" t="n">
        <v>5</v>
      </c>
      <c r="R48" s="2" t="inlineStr">
        <is>
          <t>Garnlav
Skogshare
Spillkråka
Tretåig hackspett
Mindre märgborre</t>
        </is>
      </c>
      <c r="S48">
        <f>HYPERLINK("https://klasma.github.io/Logging_2062/artfynd/A 58478-2025 artfynd.xlsx", "A 58478-2025")</f>
        <v/>
      </c>
      <c r="T48">
        <f>HYPERLINK("https://klasma.github.io/Logging_2062/kartor/A 58478-2025 karta.png", "A 58478-2025")</f>
        <v/>
      </c>
      <c r="V48">
        <f>HYPERLINK("https://klasma.github.io/Logging_2062/klagomål/A 58478-2025 FSC-klagomål.docx", "A 58478-2025")</f>
        <v/>
      </c>
      <c r="W48">
        <f>HYPERLINK("https://klasma.github.io/Logging_2062/klagomålsmail/A 58478-2025 FSC-klagomål mail.docx", "A 58478-2025")</f>
        <v/>
      </c>
      <c r="X48">
        <f>HYPERLINK("https://klasma.github.io/Logging_2062/tillsyn/A 58478-2025 tillsynsbegäran.docx", "A 58478-2025")</f>
        <v/>
      </c>
      <c r="Y48">
        <f>HYPERLINK("https://klasma.github.io/Logging_2062/tillsynsmail/A 58478-2025 tillsynsbegäran mail.docx", "A 58478-2025")</f>
        <v/>
      </c>
      <c r="Z48">
        <f>HYPERLINK("https://klasma.github.io/Logging_2062/fåglar/A 58478-2025 prioriterade fågelarter.docx", "A 58478-2025")</f>
        <v/>
      </c>
    </row>
    <row r="49" ht="15" customHeight="1">
      <c r="A49" t="inlineStr">
        <is>
          <t>A 17648-2024</t>
        </is>
      </c>
      <c r="B49" s="1" t="n">
        <v>45418.39261574074</v>
      </c>
      <c r="C49" s="1" t="n">
        <v>46189</v>
      </c>
      <c r="D49" t="inlineStr">
        <is>
          <t>DALARNAS LÄN</t>
        </is>
      </c>
      <c r="E49" t="inlineStr">
        <is>
          <t>MORA</t>
        </is>
      </c>
      <c r="G49" t="n">
        <v>1.7</v>
      </c>
      <c r="H49" t="n">
        <v>4</v>
      </c>
      <c r="I49" t="n">
        <v>0</v>
      </c>
      <c r="J49" t="n">
        <v>2</v>
      </c>
      <c r="K49" t="n">
        <v>0</v>
      </c>
      <c r="L49" t="n">
        <v>0</v>
      </c>
      <c r="M49" t="n">
        <v>0</v>
      </c>
      <c r="N49" t="n">
        <v>0</v>
      </c>
      <c r="O49" t="n">
        <v>2</v>
      </c>
      <c r="P49" t="n">
        <v>0</v>
      </c>
      <c r="Q49" t="n">
        <v>4</v>
      </c>
      <c r="R49" s="2" t="inlineStr">
        <is>
          <t>Brunlångöra
Nordfladdermus
Dvärgpipistrell
Vattenfladdermus</t>
        </is>
      </c>
      <c r="S49">
        <f>HYPERLINK("https://klasma.github.io/Logging_2062/artfynd/A 17648-2024 artfynd.xlsx", "A 17648-2024")</f>
        <v/>
      </c>
      <c r="T49">
        <f>HYPERLINK("https://klasma.github.io/Logging_2062/kartor/A 17648-2024 karta.png", "A 17648-2024")</f>
        <v/>
      </c>
      <c r="V49">
        <f>HYPERLINK("https://klasma.github.io/Logging_2062/klagomål/A 17648-2024 FSC-klagomål.docx", "A 17648-2024")</f>
        <v/>
      </c>
      <c r="W49">
        <f>HYPERLINK("https://klasma.github.io/Logging_2062/klagomålsmail/A 17648-2024 FSC-klagomål mail.docx", "A 17648-2024")</f>
        <v/>
      </c>
      <c r="X49">
        <f>HYPERLINK("https://klasma.github.io/Logging_2062/tillsyn/A 17648-2024 tillsynsbegäran.docx", "A 17648-2024")</f>
        <v/>
      </c>
      <c r="Y49">
        <f>HYPERLINK("https://klasma.github.io/Logging_2062/tillsynsmail/A 17648-2024 tillsynsbegäran mail.docx", "A 17648-2024")</f>
        <v/>
      </c>
    </row>
    <row r="50" ht="15" customHeight="1">
      <c r="A50" t="inlineStr">
        <is>
          <t>A 61770-2025</t>
        </is>
      </c>
      <c r="B50" s="1" t="n">
        <v>46002.64605324074</v>
      </c>
      <c r="C50" s="1" t="n">
        <v>46189</v>
      </c>
      <c r="D50" t="inlineStr">
        <is>
          <t>DALARNAS LÄN</t>
        </is>
      </c>
      <c r="E50" t="inlineStr">
        <is>
          <t>MORA</t>
        </is>
      </c>
      <c r="G50" t="n">
        <v>10.2</v>
      </c>
      <c r="H50" t="n">
        <v>2</v>
      </c>
      <c r="I50" t="n">
        <v>1</v>
      </c>
      <c r="J50" t="n">
        <v>3</v>
      </c>
      <c r="K50" t="n">
        <v>0</v>
      </c>
      <c r="L50" t="n">
        <v>0</v>
      </c>
      <c r="M50" t="n">
        <v>0</v>
      </c>
      <c r="N50" t="n">
        <v>0</v>
      </c>
      <c r="O50" t="n">
        <v>3</v>
      </c>
      <c r="P50" t="n">
        <v>0</v>
      </c>
      <c r="Q50" t="n">
        <v>4</v>
      </c>
      <c r="R50" s="2" t="inlineStr">
        <is>
          <t>Garnlav
Spillkråka
Tretåig hackspett
Mindre märgborre</t>
        </is>
      </c>
      <c r="S50">
        <f>HYPERLINK("https://klasma.github.io/Logging_2062/artfynd/A 61770-2025 artfynd.xlsx", "A 61770-2025")</f>
        <v/>
      </c>
      <c r="T50">
        <f>HYPERLINK("https://klasma.github.io/Logging_2062/kartor/A 61770-2025 karta.png", "A 61770-2025")</f>
        <v/>
      </c>
      <c r="V50">
        <f>HYPERLINK("https://klasma.github.io/Logging_2062/klagomål/A 61770-2025 FSC-klagomål.docx", "A 61770-2025")</f>
        <v/>
      </c>
      <c r="W50">
        <f>HYPERLINK("https://klasma.github.io/Logging_2062/klagomålsmail/A 61770-2025 FSC-klagomål mail.docx", "A 61770-2025")</f>
        <v/>
      </c>
      <c r="X50">
        <f>HYPERLINK("https://klasma.github.io/Logging_2062/tillsyn/A 61770-2025 tillsynsbegäran.docx", "A 61770-2025")</f>
        <v/>
      </c>
      <c r="Y50">
        <f>HYPERLINK("https://klasma.github.io/Logging_2062/tillsynsmail/A 61770-2025 tillsynsbegäran mail.docx", "A 61770-2025")</f>
        <v/>
      </c>
      <c r="Z50">
        <f>HYPERLINK("https://klasma.github.io/Logging_2062/fåglar/A 61770-2025 prioriterade fågelarter.docx", "A 61770-2025")</f>
        <v/>
      </c>
    </row>
    <row r="51" ht="15" customHeight="1">
      <c r="A51" t="inlineStr">
        <is>
          <t>A 11973-2026</t>
        </is>
      </c>
      <c r="B51" s="1" t="n">
        <v>46085.62635416666</v>
      </c>
      <c r="C51" s="1" t="n">
        <v>46189</v>
      </c>
      <c r="D51" t="inlineStr">
        <is>
          <t>DALARNAS LÄN</t>
        </is>
      </c>
      <c r="E51" t="inlineStr">
        <is>
          <t>MORA</t>
        </is>
      </c>
      <c r="G51" t="n">
        <v>5.4</v>
      </c>
      <c r="H51" t="n">
        <v>1</v>
      </c>
      <c r="I51" t="n">
        <v>1</v>
      </c>
      <c r="J51" t="n">
        <v>3</v>
      </c>
      <c r="K51" t="n">
        <v>0</v>
      </c>
      <c r="L51" t="n">
        <v>0</v>
      </c>
      <c r="M51" t="n">
        <v>0</v>
      </c>
      <c r="N51" t="n">
        <v>0</v>
      </c>
      <c r="O51" t="n">
        <v>3</v>
      </c>
      <c r="P51" t="n">
        <v>0</v>
      </c>
      <c r="Q51" t="n">
        <v>4</v>
      </c>
      <c r="R51" s="2" t="inlineStr">
        <is>
          <t>Garnlav
Mörk kolflarnlav
Spillkråka
Mindre märgborre</t>
        </is>
      </c>
      <c r="S51">
        <f>HYPERLINK("https://klasma.github.io/Logging_2062/artfynd/A 11973-2026 artfynd.xlsx", "A 11973-2026")</f>
        <v/>
      </c>
      <c r="T51">
        <f>HYPERLINK("https://klasma.github.io/Logging_2062/kartor/A 11973-2026 karta.png", "A 11973-2026")</f>
        <v/>
      </c>
      <c r="V51">
        <f>HYPERLINK("https://klasma.github.io/Logging_2062/klagomål/A 11973-2026 FSC-klagomål.docx", "A 11973-2026")</f>
        <v/>
      </c>
      <c r="W51">
        <f>HYPERLINK("https://klasma.github.io/Logging_2062/klagomålsmail/A 11973-2026 FSC-klagomål mail.docx", "A 11973-2026")</f>
        <v/>
      </c>
      <c r="X51">
        <f>HYPERLINK("https://klasma.github.io/Logging_2062/tillsyn/A 11973-2026 tillsynsbegäran.docx", "A 11973-2026")</f>
        <v/>
      </c>
      <c r="Y51">
        <f>HYPERLINK("https://klasma.github.io/Logging_2062/tillsynsmail/A 11973-2026 tillsynsbegäran mail.docx", "A 11973-2026")</f>
        <v/>
      </c>
      <c r="Z51">
        <f>HYPERLINK("https://klasma.github.io/Logging_2062/fåglar/A 11973-2026 prioriterade fågelarter.docx", "A 11973-2026")</f>
        <v/>
      </c>
    </row>
    <row r="52" ht="15" customHeight="1">
      <c r="A52" t="inlineStr">
        <is>
          <t>A 34715-2025</t>
        </is>
      </c>
      <c r="B52" s="1" t="n">
        <v>45848</v>
      </c>
      <c r="C52" s="1" t="n">
        <v>46189</v>
      </c>
      <c r="D52" t="inlineStr">
        <is>
          <t>DALARNAS LÄN</t>
        </is>
      </c>
      <c r="E52" t="inlineStr">
        <is>
          <t>MORA</t>
        </is>
      </c>
      <c r="G52" t="n">
        <v>8.5</v>
      </c>
      <c r="H52" t="n">
        <v>2</v>
      </c>
      <c r="I52" t="n">
        <v>0</v>
      </c>
      <c r="J52" t="n">
        <v>3</v>
      </c>
      <c r="K52" t="n">
        <v>1</v>
      </c>
      <c r="L52" t="n">
        <v>0</v>
      </c>
      <c r="M52" t="n">
        <v>0</v>
      </c>
      <c r="N52" t="n">
        <v>0</v>
      </c>
      <c r="O52" t="n">
        <v>4</v>
      </c>
      <c r="P52" t="n">
        <v>1</v>
      </c>
      <c r="Q52" t="n">
        <v>4</v>
      </c>
      <c r="R52" s="2" t="inlineStr">
        <is>
          <t>Knärot
Garnlav
Tallticka
Tretåig hackspett</t>
        </is>
      </c>
      <c r="S52">
        <f>HYPERLINK("https://klasma.github.io/Logging_2062/artfynd/A 34715-2025 artfynd.xlsx", "A 34715-2025")</f>
        <v/>
      </c>
      <c r="T52">
        <f>HYPERLINK("https://klasma.github.io/Logging_2062/kartor/A 34715-2025 karta.png", "A 34715-2025")</f>
        <v/>
      </c>
      <c r="U52">
        <f>HYPERLINK("https://klasma.github.io/Logging_2062/knärot/A 34715-2025 karta knärot.png", "A 34715-2025")</f>
        <v/>
      </c>
      <c r="V52">
        <f>HYPERLINK("https://klasma.github.io/Logging_2062/klagomål/A 34715-2025 FSC-klagomål.docx", "A 34715-2025")</f>
        <v/>
      </c>
      <c r="W52">
        <f>HYPERLINK("https://klasma.github.io/Logging_2062/klagomålsmail/A 34715-2025 FSC-klagomål mail.docx", "A 34715-2025")</f>
        <v/>
      </c>
      <c r="X52">
        <f>HYPERLINK("https://klasma.github.io/Logging_2062/tillsyn/A 34715-2025 tillsynsbegäran.docx", "A 34715-2025")</f>
        <v/>
      </c>
      <c r="Y52">
        <f>HYPERLINK("https://klasma.github.io/Logging_2062/tillsynsmail/A 34715-2025 tillsynsbegäran mail.docx", "A 34715-2025")</f>
        <v/>
      </c>
      <c r="Z52">
        <f>HYPERLINK("https://klasma.github.io/Logging_2062/fåglar/A 34715-2025 prioriterade fågelarter.docx", "A 34715-2025")</f>
        <v/>
      </c>
    </row>
    <row r="53" ht="15" customHeight="1">
      <c r="A53" t="inlineStr">
        <is>
          <t>A 32222-2025</t>
        </is>
      </c>
      <c r="B53" s="1" t="n">
        <v>45835.59140046296</v>
      </c>
      <c r="C53" s="1" t="n">
        <v>46189</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39481-2025</t>
        </is>
      </c>
      <c r="B54" s="1" t="n">
        <v>45890.35545138889</v>
      </c>
      <c r="C54" s="1" t="n">
        <v>46189</v>
      </c>
      <c r="D54" t="inlineStr">
        <is>
          <t>DALARNAS LÄN</t>
        </is>
      </c>
      <c r="E54" t="inlineStr">
        <is>
          <t>MORA</t>
        </is>
      </c>
      <c r="G54" t="n">
        <v>0.6</v>
      </c>
      <c r="H54" t="n">
        <v>1</v>
      </c>
      <c r="I54" t="n">
        <v>0</v>
      </c>
      <c r="J54" t="n">
        <v>3</v>
      </c>
      <c r="K54" t="n">
        <v>0</v>
      </c>
      <c r="L54" t="n">
        <v>0</v>
      </c>
      <c r="M54" t="n">
        <v>0</v>
      </c>
      <c r="N54" t="n">
        <v>0</v>
      </c>
      <c r="O54" t="n">
        <v>3</v>
      </c>
      <c r="P54" t="n">
        <v>0</v>
      </c>
      <c r="Q54" t="n">
        <v>3</v>
      </c>
      <c r="R54" s="2" t="inlineStr">
        <is>
          <t>Garnlav
Tretåig hackspett
Vedskivlav</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62620-2025</t>
        </is>
      </c>
      <c r="B55" s="1" t="n">
        <v>46008.34148148148</v>
      </c>
      <c r="C55" s="1" t="n">
        <v>46189</v>
      </c>
      <c r="D55" t="inlineStr">
        <is>
          <t>DALARNAS LÄN</t>
        </is>
      </c>
      <c r="E55" t="inlineStr">
        <is>
          <t>MORA</t>
        </is>
      </c>
      <c r="G55" t="n">
        <v>3.3</v>
      </c>
      <c r="H55" t="n">
        <v>1</v>
      </c>
      <c r="I55" t="n">
        <v>1</v>
      </c>
      <c r="J55" t="n">
        <v>2</v>
      </c>
      <c r="K55" t="n">
        <v>0</v>
      </c>
      <c r="L55" t="n">
        <v>0</v>
      </c>
      <c r="M55" t="n">
        <v>0</v>
      </c>
      <c r="N55" t="n">
        <v>0</v>
      </c>
      <c r="O55" t="n">
        <v>2</v>
      </c>
      <c r="P55" t="n">
        <v>0</v>
      </c>
      <c r="Q55" t="n">
        <v>3</v>
      </c>
      <c r="R55" s="2" t="inlineStr">
        <is>
          <t>Garnlav
Tretåig hackspett
Mindre märgborre</t>
        </is>
      </c>
      <c r="S55">
        <f>HYPERLINK("https://klasma.github.io/Logging_2062/artfynd/A 62620-2025 artfynd.xlsx", "A 62620-2025")</f>
        <v/>
      </c>
      <c r="T55">
        <f>HYPERLINK("https://klasma.github.io/Logging_2062/kartor/A 62620-2025 karta.png", "A 62620-2025")</f>
        <v/>
      </c>
      <c r="V55">
        <f>HYPERLINK("https://klasma.github.io/Logging_2062/klagomål/A 62620-2025 FSC-klagomål.docx", "A 62620-2025")</f>
        <v/>
      </c>
      <c r="W55">
        <f>HYPERLINK("https://klasma.github.io/Logging_2062/klagomålsmail/A 62620-2025 FSC-klagomål mail.docx", "A 62620-2025")</f>
        <v/>
      </c>
      <c r="X55">
        <f>HYPERLINK("https://klasma.github.io/Logging_2062/tillsyn/A 62620-2025 tillsynsbegäran.docx", "A 62620-2025")</f>
        <v/>
      </c>
      <c r="Y55">
        <f>HYPERLINK("https://klasma.github.io/Logging_2062/tillsynsmail/A 62620-2025 tillsynsbegäran mail.docx", "A 62620-2025")</f>
        <v/>
      </c>
      <c r="Z55">
        <f>HYPERLINK("https://klasma.github.io/Logging_2062/fåglar/A 62620-2025 prioriterade fågelarter.docx", "A 62620-2025")</f>
        <v/>
      </c>
    </row>
    <row r="56" ht="15" customHeight="1">
      <c r="A56" t="inlineStr">
        <is>
          <t>A 15203-2026</t>
        </is>
      </c>
      <c r="B56" s="1" t="n">
        <v>46105</v>
      </c>
      <c r="C56" s="1" t="n">
        <v>46189</v>
      </c>
      <c r="D56" t="inlineStr">
        <is>
          <t>DALARNAS LÄN</t>
        </is>
      </c>
      <c r="E56" t="inlineStr">
        <is>
          <t>MORA</t>
        </is>
      </c>
      <c r="G56" t="n">
        <v>2.5</v>
      </c>
      <c r="H56" t="n">
        <v>1</v>
      </c>
      <c r="I56" t="n">
        <v>1</v>
      </c>
      <c r="J56" t="n">
        <v>2</v>
      </c>
      <c r="K56" t="n">
        <v>0</v>
      </c>
      <c r="L56" t="n">
        <v>0</v>
      </c>
      <c r="M56" t="n">
        <v>0</v>
      </c>
      <c r="N56" t="n">
        <v>0</v>
      </c>
      <c r="O56" t="n">
        <v>2</v>
      </c>
      <c r="P56" t="n">
        <v>0</v>
      </c>
      <c r="Q56" t="n">
        <v>3</v>
      </c>
      <c r="R56" s="2" t="inlineStr">
        <is>
          <t>Garnlav
Spillkråka
Mindre märgborre</t>
        </is>
      </c>
      <c r="S56">
        <f>HYPERLINK("https://klasma.github.io/Logging_2062/artfynd/A 15203-2026 artfynd.xlsx", "A 15203-2026")</f>
        <v/>
      </c>
      <c r="T56">
        <f>HYPERLINK("https://klasma.github.io/Logging_2062/kartor/A 15203-2026 karta.png", "A 15203-2026")</f>
        <v/>
      </c>
      <c r="V56">
        <f>HYPERLINK("https://klasma.github.io/Logging_2062/klagomål/A 15203-2026 FSC-klagomål.docx", "A 15203-2026")</f>
        <v/>
      </c>
      <c r="W56">
        <f>HYPERLINK("https://klasma.github.io/Logging_2062/klagomålsmail/A 15203-2026 FSC-klagomål mail.docx", "A 15203-2026")</f>
        <v/>
      </c>
      <c r="X56">
        <f>HYPERLINK("https://klasma.github.io/Logging_2062/tillsyn/A 15203-2026 tillsynsbegäran.docx", "A 15203-2026")</f>
        <v/>
      </c>
      <c r="Y56">
        <f>HYPERLINK("https://klasma.github.io/Logging_2062/tillsynsmail/A 15203-2026 tillsynsbegäran mail.docx", "A 15203-2026")</f>
        <v/>
      </c>
      <c r="Z56">
        <f>HYPERLINK("https://klasma.github.io/Logging_2062/fåglar/A 15203-2026 prioriterade fågelarter.docx", "A 15203-2026")</f>
        <v/>
      </c>
    </row>
    <row r="57" ht="15" customHeight="1">
      <c r="A57" t="inlineStr">
        <is>
          <t>A 23163-2025</t>
        </is>
      </c>
      <c r="B57" s="1" t="n">
        <v>45791.41832175926</v>
      </c>
      <c r="C57" s="1" t="n">
        <v>46189</v>
      </c>
      <c r="D57" t="inlineStr">
        <is>
          <t>DALARNAS LÄN</t>
        </is>
      </c>
      <c r="E57" t="inlineStr">
        <is>
          <t>MORA</t>
        </is>
      </c>
      <c r="G57" t="n">
        <v>4.2</v>
      </c>
      <c r="H57" t="n">
        <v>2</v>
      </c>
      <c r="I57" t="n">
        <v>0</v>
      </c>
      <c r="J57" t="n">
        <v>3</v>
      </c>
      <c r="K57" t="n">
        <v>0</v>
      </c>
      <c r="L57" t="n">
        <v>0</v>
      </c>
      <c r="M57" t="n">
        <v>0</v>
      </c>
      <c r="N57" t="n">
        <v>0</v>
      </c>
      <c r="O57" t="n">
        <v>3</v>
      </c>
      <c r="P57" t="n">
        <v>0</v>
      </c>
      <c r="Q57" t="n">
        <v>3</v>
      </c>
      <c r="R57" s="2" t="inlineStr">
        <is>
          <t>Garnlav
Spillkråka
Talltita</t>
        </is>
      </c>
      <c r="S57">
        <f>HYPERLINK("https://klasma.github.io/Logging_2062/artfynd/A 23163-2025 artfynd.xlsx", "A 23163-2025")</f>
        <v/>
      </c>
      <c r="T57">
        <f>HYPERLINK("https://klasma.github.io/Logging_2062/kartor/A 23163-2025 karta.png", "A 23163-2025")</f>
        <v/>
      </c>
      <c r="U57">
        <f>HYPERLINK("https://klasma.github.io/Logging_2062/knärot/A 23163-2025 karta knärot.png",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37552-2023</t>
        </is>
      </c>
      <c r="B58" s="1" t="n">
        <v>45159.32799768518</v>
      </c>
      <c r="C58" s="1" t="n">
        <v>46189</v>
      </c>
      <c r="D58" t="inlineStr">
        <is>
          <t>DALARNAS LÄN</t>
        </is>
      </c>
      <c r="E58" t="inlineStr">
        <is>
          <t>MORA</t>
        </is>
      </c>
      <c r="G58" t="n">
        <v>4</v>
      </c>
      <c r="H58" t="n">
        <v>0</v>
      </c>
      <c r="I58" t="n">
        <v>0</v>
      </c>
      <c r="J58" t="n">
        <v>2</v>
      </c>
      <c r="K58" t="n">
        <v>0</v>
      </c>
      <c r="L58" t="n">
        <v>0</v>
      </c>
      <c r="M58" t="n">
        <v>0</v>
      </c>
      <c r="N58" t="n">
        <v>0</v>
      </c>
      <c r="O58" t="n">
        <v>2</v>
      </c>
      <c r="P58" t="n">
        <v>0</v>
      </c>
      <c r="Q58" t="n">
        <v>2</v>
      </c>
      <c r="R58" s="2" t="inlineStr">
        <is>
          <t>Garnlav
Tallticka</t>
        </is>
      </c>
      <c r="S58">
        <f>HYPERLINK("https://klasma.github.io/Logging_2062/artfynd/A 37552-2023 artfynd.xlsx", "A 37552-2023")</f>
        <v/>
      </c>
      <c r="T58">
        <f>HYPERLINK("https://klasma.github.io/Logging_2062/kartor/A 37552-2023 karta.png", "A 37552-2023")</f>
        <v/>
      </c>
      <c r="V58">
        <f>HYPERLINK("https://klasma.github.io/Logging_2062/klagomål/A 37552-2023 FSC-klagomål.docx", "A 37552-2023")</f>
        <v/>
      </c>
      <c r="W58">
        <f>HYPERLINK("https://klasma.github.io/Logging_2062/klagomålsmail/A 37552-2023 FSC-klagomål mail.docx", "A 37552-2023")</f>
        <v/>
      </c>
      <c r="X58">
        <f>HYPERLINK("https://klasma.github.io/Logging_2062/tillsyn/A 37552-2023 tillsynsbegäran.docx", "A 37552-2023")</f>
        <v/>
      </c>
      <c r="Y58">
        <f>HYPERLINK("https://klasma.github.io/Logging_2062/tillsynsmail/A 37552-2023 tillsynsbegäran mail.docx", "A 37552-2023")</f>
        <v/>
      </c>
    </row>
    <row r="59" ht="15" customHeight="1">
      <c r="A59" t="inlineStr">
        <is>
          <t>A 23261-2026</t>
        </is>
      </c>
      <c r="B59" s="1" t="n">
        <v>46162</v>
      </c>
      <c r="C59" s="1" t="n">
        <v>46189</v>
      </c>
      <c r="D59" t="inlineStr">
        <is>
          <t>DALARNAS LÄN</t>
        </is>
      </c>
      <c r="E59" t="inlineStr">
        <is>
          <t>MORA</t>
        </is>
      </c>
      <c r="G59" t="n">
        <v>4.1</v>
      </c>
      <c r="H59" t="n">
        <v>0</v>
      </c>
      <c r="I59" t="n">
        <v>0</v>
      </c>
      <c r="J59" t="n">
        <v>2</v>
      </c>
      <c r="K59" t="n">
        <v>0</v>
      </c>
      <c r="L59" t="n">
        <v>0</v>
      </c>
      <c r="M59" t="n">
        <v>0</v>
      </c>
      <c r="N59" t="n">
        <v>0</v>
      </c>
      <c r="O59" t="n">
        <v>2</v>
      </c>
      <c r="P59" t="n">
        <v>0</v>
      </c>
      <c r="Q59" t="n">
        <v>2</v>
      </c>
      <c r="R59" s="2" t="inlineStr">
        <is>
          <t>Garnlav
Tallticka</t>
        </is>
      </c>
      <c r="S59">
        <f>HYPERLINK("https://klasma.github.io/Logging_2062/artfynd/A 23261-2026 artfynd.xlsx", "A 23261-2026")</f>
        <v/>
      </c>
      <c r="T59">
        <f>HYPERLINK("https://klasma.github.io/Logging_2062/kartor/A 23261-2026 karta.png", "A 23261-2026")</f>
        <v/>
      </c>
      <c r="V59">
        <f>HYPERLINK("https://klasma.github.io/Logging_2062/klagomål/A 23261-2026 FSC-klagomål.docx", "A 23261-2026")</f>
        <v/>
      </c>
      <c r="W59">
        <f>HYPERLINK("https://klasma.github.io/Logging_2062/klagomålsmail/A 23261-2026 FSC-klagomål mail.docx", "A 23261-2026")</f>
        <v/>
      </c>
      <c r="X59">
        <f>HYPERLINK("https://klasma.github.io/Logging_2062/tillsyn/A 23261-2026 tillsynsbegäran.docx", "A 23261-2026")</f>
        <v/>
      </c>
      <c r="Y59">
        <f>HYPERLINK("https://klasma.github.io/Logging_2062/tillsynsmail/A 23261-2026 tillsynsbegäran mail.docx", "A 23261-2026")</f>
        <v/>
      </c>
    </row>
    <row r="60" ht="15" customHeight="1">
      <c r="A60" t="inlineStr">
        <is>
          <t>A 35068-2025</t>
        </is>
      </c>
      <c r="B60" s="1" t="n">
        <v>45852.45686342593</v>
      </c>
      <c r="C60" s="1" t="n">
        <v>46189</v>
      </c>
      <c r="D60" t="inlineStr">
        <is>
          <t>DALARNAS LÄN</t>
        </is>
      </c>
      <c r="E60" t="inlineStr">
        <is>
          <t>MORA</t>
        </is>
      </c>
      <c r="G60" t="n">
        <v>0.7</v>
      </c>
      <c r="H60" t="n">
        <v>0</v>
      </c>
      <c r="I60" t="n">
        <v>1</v>
      </c>
      <c r="J60" t="n">
        <v>1</v>
      </c>
      <c r="K60" t="n">
        <v>0</v>
      </c>
      <c r="L60" t="n">
        <v>0</v>
      </c>
      <c r="M60" t="n">
        <v>0</v>
      </c>
      <c r="N60" t="n">
        <v>0</v>
      </c>
      <c r="O60" t="n">
        <v>1</v>
      </c>
      <c r="P60" t="n">
        <v>0</v>
      </c>
      <c r="Q60" t="n">
        <v>2</v>
      </c>
      <c r="R60" s="2" t="inlineStr">
        <is>
          <t>Garnlav
Mindre märgborre</t>
        </is>
      </c>
      <c r="S60">
        <f>HYPERLINK("https://klasma.github.io/Logging_2062/artfynd/A 35068-2025 artfynd.xlsx", "A 35068-2025")</f>
        <v/>
      </c>
      <c r="T60">
        <f>HYPERLINK("https://klasma.github.io/Logging_2062/kartor/A 35068-2025 karta.png", "A 35068-2025")</f>
        <v/>
      </c>
      <c r="V60">
        <f>HYPERLINK("https://klasma.github.io/Logging_2062/klagomål/A 35068-2025 FSC-klagomål.docx", "A 35068-2025")</f>
        <v/>
      </c>
      <c r="W60">
        <f>HYPERLINK("https://klasma.github.io/Logging_2062/klagomålsmail/A 35068-2025 FSC-klagomål mail.docx", "A 35068-2025")</f>
        <v/>
      </c>
      <c r="X60">
        <f>HYPERLINK("https://klasma.github.io/Logging_2062/tillsyn/A 35068-2025 tillsynsbegäran.docx", "A 35068-2025")</f>
        <v/>
      </c>
      <c r="Y60">
        <f>HYPERLINK("https://klasma.github.io/Logging_2062/tillsynsmail/A 35068-2025 tillsynsbegäran mail.docx", "A 35068-2025")</f>
        <v/>
      </c>
    </row>
    <row r="61" ht="15" customHeight="1">
      <c r="A61" t="inlineStr">
        <is>
          <t>A 30328-2021</t>
        </is>
      </c>
      <c r="B61" s="1" t="n">
        <v>44364</v>
      </c>
      <c r="C61" s="1" t="n">
        <v>46189</v>
      </c>
      <c r="D61" t="inlineStr">
        <is>
          <t>DALARNAS LÄN</t>
        </is>
      </c>
      <c r="E61" t="inlineStr">
        <is>
          <t>MORA</t>
        </is>
      </c>
      <c r="F61" t="inlineStr">
        <is>
          <t>Bergvik skog öst AB</t>
        </is>
      </c>
      <c r="G61" t="n">
        <v>1.1</v>
      </c>
      <c r="H61" t="n">
        <v>1</v>
      </c>
      <c r="I61" t="n">
        <v>0</v>
      </c>
      <c r="J61" t="n">
        <v>1</v>
      </c>
      <c r="K61" t="n">
        <v>0</v>
      </c>
      <c r="L61" t="n">
        <v>0</v>
      </c>
      <c r="M61" t="n">
        <v>0</v>
      </c>
      <c r="N61" t="n">
        <v>0</v>
      </c>
      <c r="O61" t="n">
        <v>1</v>
      </c>
      <c r="P61" t="n">
        <v>0</v>
      </c>
      <c r="Q61" t="n">
        <v>1</v>
      </c>
      <c r="R61" s="2" t="inlineStr">
        <is>
          <t>Fjällvråk</t>
        </is>
      </c>
      <c r="S61">
        <f>HYPERLINK("https://klasma.github.io/Logging_2062/artfynd/A 30328-2021 artfynd.xlsx", "A 30328-2021")</f>
        <v/>
      </c>
      <c r="T61">
        <f>HYPERLINK("https://klasma.github.io/Logging_2062/kartor/A 30328-2021 karta.png", "A 30328-2021")</f>
        <v/>
      </c>
      <c r="V61">
        <f>HYPERLINK("https://klasma.github.io/Logging_2062/klagomål/A 30328-2021 FSC-klagomål.docx", "A 30328-2021")</f>
        <v/>
      </c>
      <c r="W61">
        <f>HYPERLINK("https://klasma.github.io/Logging_2062/klagomålsmail/A 30328-2021 FSC-klagomål mail.docx", "A 30328-2021")</f>
        <v/>
      </c>
      <c r="X61">
        <f>HYPERLINK("https://klasma.github.io/Logging_2062/tillsyn/A 30328-2021 tillsynsbegäran.docx", "A 30328-2021")</f>
        <v/>
      </c>
      <c r="Y61">
        <f>HYPERLINK("https://klasma.github.io/Logging_2062/tillsynsmail/A 30328-2021 tillsynsbegäran mail.docx", "A 30328-2021")</f>
        <v/>
      </c>
      <c r="Z61">
        <f>HYPERLINK("https://klasma.github.io/Logging_2062/fåglar/A 30328-2021 prioriterade fågelarter.docx", "A 30328-2021")</f>
        <v/>
      </c>
    </row>
    <row r="62" ht="15" customHeight="1">
      <c r="A62" t="inlineStr">
        <is>
          <t>A 57669-2022</t>
        </is>
      </c>
      <c r="B62" s="1" t="n">
        <v>44897</v>
      </c>
      <c r="C62" s="1" t="n">
        <v>46189</v>
      </c>
      <c r="D62" t="inlineStr">
        <is>
          <t>DALARNAS LÄN</t>
        </is>
      </c>
      <c r="E62" t="inlineStr">
        <is>
          <t>MORA</t>
        </is>
      </c>
      <c r="G62" t="n">
        <v>4.1</v>
      </c>
      <c r="H62" t="n">
        <v>0</v>
      </c>
      <c r="I62" t="n">
        <v>0</v>
      </c>
      <c r="J62" t="n">
        <v>1</v>
      </c>
      <c r="K62" t="n">
        <v>0</v>
      </c>
      <c r="L62" t="n">
        <v>0</v>
      </c>
      <c r="M62" t="n">
        <v>0</v>
      </c>
      <c r="N62" t="n">
        <v>0</v>
      </c>
      <c r="O62" t="n">
        <v>1</v>
      </c>
      <c r="P62" t="n">
        <v>0</v>
      </c>
      <c r="Q62" t="n">
        <v>1</v>
      </c>
      <c r="R62" s="2" t="inlineStr">
        <is>
          <t>Igelkott</t>
        </is>
      </c>
      <c r="S62">
        <f>HYPERLINK("https://klasma.github.io/Logging_2062/artfynd/A 57669-2022 artfynd.xlsx", "A 57669-2022")</f>
        <v/>
      </c>
      <c r="T62">
        <f>HYPERLINK("https://klasma.github.io/Logging_2062/kartor/A 57669-2022 karta.png", "A 57669-2022")</f>
        <v/>
      </c>
      <c r="V62">
        <f>HYPERLINK("https://klasma.github.io/Logging_2062/klagomål/A 57669-2022 FSC-klagomål.docx", "A 57669-2022")</f>
        <v/>
      </c>
      <c r="W62">
        <f>HYPERLINK("https://klasma.github.io/Logging_2062/klagomålsmail/A 57669-2022 FSC-klagomål mail.docx", "A 57669-2022")</f>
        <v/>
      </c>
      <c r="X62">
        <f>HYPERLINK("https://klasma.github.io/Logging_2062/tillsyn/A 57669-2022 tillsynsbegäran.docx", "A 57669-2022")</f>
        <v/>
      </c>
      <c r="Y62">
        <f>HYPERLINK("https://klasma.github.io/Logging_2062/tillsynsmail/A 57669-2022 tillsynsbegäran mail.docx", "A 57669-2022")</f>
        <v/>
      </c>
    </row>
    <row r="63" ht="15" customHeight="1">
      <c r="A63" t="inlineStr">
        <is>
          <t>A 20538-2025</t>
        </is>
      </c>
      <c r="B63" s="1" t="n">
        <v>45775.62283564815</v>
      </c>
      <c r="C63" s="1" t="n">
        <v>46189</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46189</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68415-2021</t>
        </is>
      </c>
      <c r="B65" s="1" t="n">
        <v>44529</v>
      </c>
      <c r="C65" s="1" t="n">
        <v>46189</v>
      </c>
      <c r="D65" t="inlineStr">
        <is>
          <t>DALARNAS LÄN</t>
        </is>
      </c>
      <c r="E65" t="inlineStr">
        <is>
          <t>MORA</t>
        </is>
      </c>
      <c r="G65" t="n">
        <v>1.2</v>
      </c>
      <c r="H65" t="n">
        <v>1</v>
      </c>
      <c r="I65" t="n">
        <v>0</v>
      </c>
      <c r="J65" t="n">
        <v>0</v>
      </c>
      <c r="K65" t="n">
        <v>0</v>
      </c>
      <c r="L65" t="n">
        <v>0</v>
      </c>
      <c r="M65" t="n">
        <v>0</v>
      </c>
      <c r="N65" t="n">
        <v>0</v>
      </c>
      <c r="O65" t="n">
        <v>0</v>
      </c>
      <c r="P65" t="n">
        <v>0</v>
      </c>
      <c r="Q65" t="n">
        <v>1</v>
      </c>
      <c r="R65" s="2" t="inlineStr">
        <is>
          <t>Sparvuggla</t>
        </is>
      </c>
      <c r="S65">
        <f>HYPERLINK("https://klasma.github.io/Logging_2062/artfynd/A 68415-2021 artfynd.xlsx", "A 68415-2021")</f>
        <v/>
      </c>
      <c r="T65">
        <f>HYPERLINK("https://klasma.github.io/Logging_2062/kartor/A 68415-2021 karta.png", "A 68415-2021")</f>
        <v/>
      </c>
      <c r="V65">
        <f>HYPERLINK("https://klasma.github.io/Logging_2062/klagomål/A 68415-2021 FSC-klagomål.docx", "A 68415-2021")</f>
        <v/>
      </c>
      <c r="W65">
        <f>HYPERLINK("https://klasma.github.io/Logging_2062/klagomålsmail/A 68415-2021 FSC-klagomål mail.docx", "A 68415-2021")</f>
        <v/>
      </c>
      <c r="X65">
        <f>HYPERLINK("https://klasma.github.io/Logging_2062/tillsyn/A 68415-2021 tillsynsbegäran.docx", "A 68415-2021")</f>
        <v/>
      </c>
      <c r="Y65">
        <f>HYPERLINK("https://klasma.github.io/Logging_2062/tillsynsmail/A 68415-2021 tillsynsbegäran mail.docx", "A 68415-2021")</f>
        <v/>
      </c>
      <c r="Z65">
        <f>HYPERLINK("https://klasma.github.io/Logging_2062/fåglar/A 68415-2021 prioriterade fågelarter.docx", "A 68415-2021")</f>
        <v/>
      </c>
    </row>
    <row r="66" ht="15" customHeight="1">
      <c r="A66" t="inlineStr">
        <is>
          <t>A 62096-2025</t>
        </is>
      </c>
      <c r="B66" s="1" t="n">
        <v>46006.38961805555</v>
      </c>
      <c r="C66" s="1" t="n">
        <v>46189</v>
      </c>
      <c r="D66" t="inlineStr">
        <is>
          <t>DALARNAS LÄN</t>
        </is>
      </c>
      <c r="E66" t="inlineStr">
        <is>
          <t>MORA</t>
        </is>
      </c>
      <c r="G66" t="n">
        <v>4.1</v>
      </c>
      <c r="H66" t="n">
        <v>0</v>
      </c>
      <c r="I66" t="n">
        <v>0</v>
      </c>
      <c r="J66" t="n">
        <v>1</v>
      </c>
      <c r="K66" t="n">
        <v>0</v>
      </c>
      <c r="L66" t="n">
        <v>0</v>
      </c>
      <c r="M66" t="n">
        <v>0</v>
      </c>
      <c r="N66" t="n">
        <v>0</v>
      </c>
      <c r="O66" t="n">
        <v>1</v>
      </c>
      <c r="P66" t="n">
        <v>0</v>
      </c>
      <c r="Q66" t="n">
        <v>1</v>
      </c>
      <c r="R66" s="2" t="inlineStr">
        <is>
          <t>Garnlav</t>
        </is>
      </c>
      <c r="S66">
        <f>HYPERLINK("https://klasma.github.io/Logging_2062/artfynd/A 62096-2025 artfynd.xlsx", "A 62096-2025")</f>
        <v/>
      </c>
      <c r="T66">
        <f>HYPERLINK("https://klasma.github.io/Logging_2062/kartor/A 62096-2025 karta.png", "A 62096-2025")</f>
        <v/>
      </c>
      <c r="V66">
        <f>HYPERLINK("https://klasma.github.io/Logging_2062/klagomål/A 62096-2025 FSC-klagomål.docx", "A 62096-2025")</f>
        <v/>
      </c>
      <c r="W66">
        <f>HYPERLINK("https://klasma.github.io/Logging_2062/klagomålsmail/A 62096-2025 FSC-klagomål mail.docx", "A 62096-2025")</f>
        <v/>
      </c>
      <c r="X66">
        <f>HYPERLINK("https://klasma.github.io/Logging_2062/tillsyn/A 62096-2025 tillsynsbegäran.docx", "A 62096-2025")</f>
        <v/>
      </c>
      <c r="Y66">
        <f>HYPERLINK("https://klasma.github.io/Logging_2062/tillsynsmail/A 62096-2025 tillsynsbegäran mail.docx", "A 62096-2025")</f>
        <v/>
      </c>
    </row>
    <row r="67" ht="15" customHeight="1">
      <c r="A67" t="inlineStr">
        <is>
          <t>A 45344-2024</t>
        </is>
      </c>
      <c r="B67" s="1" t="n">
        <v>45576</v>
      </c>
      <c r="C67" s="1" t="n">
        <v>46189</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45344-2024 artfynd.xlsx", "A 45344-2024")</f>
        <v/>
      </c>
      <c r="T67">
        <f>HYPERLINK("https://klasma.github.io/Logging_2062/kartor/A 45344-2024 karta.png", "A 45344-2024")</f>
        <v/>
      </c>
      <c r="V67">
        <f>HYPERLINK("https://klasma.github.io/Logging_2062/klagomål/A 45344-2024 FSC-klagomål.docx", "A 45344-2024")</f>
        <v/>
      </c>
      <c r="W67">
        <f>HYPERLINK("https://klasma.github.io/Logging_2062/klagomålsmail/A 45344-2024 FSC-klagomål mail.docx", "A 45344-2024")</f>
        <v/>
      </c>
      <c r="X67">
        <f>HYPERLINK("https://klasma.github.io/Logging_2062/tillsyn/A 45344-2024 tillsynsbegäran.docx", "A 45344-2024")</f>
        <v/>
      </c>
      <c r="Y67">
        <f>HYPERLINK("https://klasma.github.io/Logging_2062/tillsynsmail/A 45344-2024 tillsynsbegäran mail.docx", "A 45344-2024")</f>
        <v/>
      </c>
    </row>
    <row r="68" ht="15" customHeight="1">
      <c r="A68" t="inlineStr">
        <is>
          <t>A 23736-2023</t>
        </is>
      </c>
      <c r="B68" s="1" t="n">
        <v>45077</v>
      </c>
      <c r="C68" s="1" t="n">
        <v>46189</v>
      </c>
      <c r="D68" t="inlineStr">
        <is>
          <t>DALARNAS LÄN</t>
        </is>
      </c>
      <c r="E68" t="inlineStr">
        <is>
          <t>MORA</t>
        </is>
      </c>
      <c r="G68" t="n">
        <v>7.2</v>
      </c>
      <c r="H68" t="n">
        <v>0</v>
      </c>
      <c r="I68" t="n">
        <v>0</v>
      </c>
      <c r="J68" t="n">
        <v>1</v>
      </c>
      <c r="K68" t="n">
        <v>0</v>
      </c>
      <c r="L68" t="n">
        <v>0</v>
      </c>
      <c r="M68" t="n">
        <v>0</v>
      </c>
      <c r="N68" t="n">
        <v>0</v>
      </c>
      <c r="O68" t="n">
        <v>1</v>
      </c>
      <c r="P68" t="n">
        <v>0</v>
      </c>
      <c r="Q68" t="n">
        <v>1</v>
      </c>
      <c r="R68" s="2" t="inlineStr">
        <is>
          <t>Reliktbock</t>
        </is>
      </c>
      <c r="S68">
        <f>HYPERLINK("https://klasma.github.io/Logging_2062/artfynd/A 23736-2023 artfynd.xlsx", "A 23736-2023")</f>
        <v/>
      </c>
      <c r="T68">
        <f>HYPERLINK("https://klasma.github.io/Logging_2062/kartor/A 23736-2023 karta.png", "A 23736-2023")</f>
        <v/>
      </c>
      <c r="V68">
        <f>HYPERLINK("https://klasma.github.io/Logging_2062/klagomål/A 23736-2023 FSC-klagomål.docx", "A 23736-2023")</f>
        <v/>
      </c>
      <c r="W68">
        <f>HYPERLINK("https://klasma.github.io/Logging_2062/klagomålsmail/A 23736-2023 FSC-klagomål mail.docx", "A 23736-2023")</f>
        <v/>
      </c>
      <c r="X68">
        <f>HYPERLINK("https://klasma.github.io/Logging_2062/tillsyn/A 23736-2023 tillsynsbegäran.docx", "A 23736-2023")</f>
        <v/>
      </c>
      <c r="Y68">
        <f>HYPERLINK("https://klasma.github.io/Logging_2062/tillsynsmail/A 23736-2023 tillsynsbegäran mail.docx", "A 23736-2023")</f>
        <v/>
      </c>
    </row>
    <row r="69" ht="15" customHeight="1">
      <c r="A69" t="inlineStr">
        <is>
          <t>A 36058-2024</t>
        </is>
      </c>
      <c r="B69" s="1" t="n">
        <v>45533</v>
      </c>
      <c r="C69" s="1" t="n">
        <v>46189</v>
      </c>
      <c r="D69" t="inlineStr">
        <is>
          <t>DALARNAS LÄN</t>
        </is>
      </c>
      <c r="E69" t="inlineStr">
        <is>
          <t>MORA</t>
        </is>
      </c>
      <c r="G69" t="n">
        <v>1</v>
      </c>
      <c r="H69" t="n">
        <v>0</v>
      </c>
      <c r="I69" t="n">
        <v>0</v>
      </c>
      <c r="J69" t="n">
        <v>1</v>
      </c>
      <c r="K69" t="n">
        <v>0</v>
      </c>
      <c r="L69" t="n">
        <v>0</v>
      </c>
      <c r="M69" t="n">
        <v>0</v>
      </c>
      <c r="N69" t="n">
        <v>0</v>
      </c>
      <c r="O69" t="n">
        <v>1</v>
      </c>
      <c r="P69" t="n">
        <v>0</v>
      </c>
      <c r="Q69" t="n">
        <v>1</v>
      </c>
      <c r="R69" s="2" t="inlineStr">
        <is>
          <t>Garnlav</t>
        </is>
      </c>
      <c r="S69">
        <f>HYPERLINK("https://klasma.github.io/Logging_2062/artfynd/A 36058-2024 artfynd.xlsx", "A 36058-2024")</f>
        <v/>
      </c>
      <c r="T69">
        <f>HYPERLINK("https://klasma.github.io/Logging_2062/kartor/A 36058-2024 karta.png", "A 36058-2024")</f>
        <v/>
      </c>
      <c r="V69">
        <f>HYPERLINK("https://klasma.github.io/Logging_2062/klagomål/A 36058-2024 FSC-klagomål.docx", "A 36058-2024")</f>
        <v/>
      </c>
      <c r="W69">
        <f>HYPERLINK("https://klasma.github.io/Logging_2062/klagomålsmail/A 36058-2024 FSC-klagomål mail.docx", "A 36058-2024")</f>
        <v/>
      </c>
      <c r="X69">
        <f>HYPERLINK("https://klasma.github.io/Logging_2062/tillsyn/A 36058-2024 tillsynsbegäran.docx", "A 36058-2024")</f>
        <v/>
      </c>
      <c r="Y69">
        <f>HYPERLINK("https://klasma.github.io/Logging_2062/tillsynsmail/A 36058-2024 tillsynsbegäran mail.docx", "A 36058-2024")</f>
        <v/>
      </c>
    </row>
    <row r="70" ht="15" customHeight="1">
      <c r="A70" t="inlineStr">
        <is>
          <t>A 18984-2026</t>
        </is>
      </c>
      <c r="B70" s="1" t="n">
        <v>46129.63193287037</v>
      </c>
      <c r="C70" s="1" t="n">
        <v>46189</v>
      </c>
      <c r="D70" t="inlineStr">
        <is>
          <t>DALARNAS LÄN</t>
        </is>
      </c>
      <c r="E70" t="inlineStr">
        <is>
          <t>MORA</t>
        </is>
      </c>
      <c r="F70" t="inlineStr">
        <is>
          <t>Bergvik skog öst AB</t>
        </is>
      </c>
      <c r="G70" t="n">
        <v>9.5</v>
      </c>
      <c r="H70" t="n">
        <v>1</v>
      </c>
      <c r="I70" t="n">
        <v>0</v>
      </c>
      <c r="J70" t="n">
        <v>0</v>
      </c>
      <c r="K70" t="n">
        <v>0</v>
      </c>
      <c r="L70" t="n">
        <v>0</v>
      </c>
      <c r="M70" t="n">
        <v>0</v>
      </c>
      <c r="N70" t="n">
        <v>0</v>
      </c>
      <c r="O70" t="n">
        <v>0</v>
      </c>
      <c r="P70" t="n">
        <v>0</v>
      </c>
      <c r="Q70" t="n">
        <v>1</v>
      </c>
      <c r="R70" s="2" t="inlineStr">
        <is>
          <t>Tjäder</t>
        </is>
      </c>
      <c r="S70">
        <f>HYPERLINK("https://klasma.github.io/Logging_2062/artfynd/A 18984-2026 artfynd.xlsx", "A 18984-2026")</f>
        <v/>
      </c>
      <c r="T70">
        <f>HYPERLINK("https://klasma.github.io/Logging_2062/kartor/A 18984-2026 karta.png", "A 18984-2026")</f>
        <v/>
      </c>
      <c r="V70">
        <f>HYPERLINK("https://klasma.github.io/Logging_2062/klagomål/A 18984-2026 FSC-klagomål.docx", "A 18984-2026")</f>
        <v/>
      </c>
      <c r="W70">
        <f>HYPERLINK("https://klasma.github.io/Logging_2062/klagomålsmail/A 18984-2026 FSC-klagomål mail.docx", "A 18984-2026")</f>
        <v/>
      </c>
      <c r="X70">
        <f>HYPERLINK("https://klasma.github.io/Logging_2062/tillsyn/A 18984-2026 tillsynsbegäran.docx", "A 18984-2026")</f>
        <v/>
      </c>
      <c r="Y70">
        <f>HYPERLINK("https://klasma.github.io/Logging_2062/tillsynsmail/A 18984-2026 tillsynsbegäran mail.docx", "A 18984-2026")</f>
        <v/>
      </c>
      <c r="Z70">
        <f>HYPERLINK("https://klasma.github.io/Logging_2062/fåglar/A 18984-2026 prioriterade fågelarter.docx", "A 18984-2026")</f>
        <v/>
      </c>
    </row>
    <row r="71" ht="15" customHeight="1">
      <c r="A71" t="inlineStr">
        <is>
          <t>A 25724-2026</t>
        </is>
      </c>
      <c r="B71" s="1" t="n">
        <v>46178.39185185185</v>
      </c>
      <c r="C71" s="1" t="n">
        <v>46189</v>
      </c>
      <c r="D71" t="inlineStr">
        <is>
          <t>DALARNAS LÄN</t>
        </is>
      </c>
      <c r="E71" t="inlineStr">
        <is>
          <t>MORA</t>
        </is>
      </c>
      <c r="F71" t="inlineStr">
        <is>
          <t>Bergvik skog öst AB</t>
        </is>
      </c>
      <c r="G71" t="n">
        <v>1.7</v>
      </c>
      <c r="H71" t="n">
        <v>0</v>
      </c>
      <c r="I71" t="n">
        <v>0</v>
      </c>
      <c r="J71" t="n">
        <v>1</v>
      </c>
      <c r="K71" t="n">
        <v>0</v>
      </c>
      <c r="L71" t="n">
        <v>0</v>
      </c>
      <c r="M71" t="n">
        <v>0</v>
      </c>
      <c r="N71" t="n">
        <v>0</v>
      </c>
      <c r="O71" t="n">
        <v>1</v>
      </c>
      <c r="P71" t="n">
        <v>0</v>
      </c>
      <c r="Q71" t="n">
        <v>1</v>
      </c>
      <c r="R71" s="2" t="inlineStr">
        <is>
          <t>Kortskaftad ärgspik</t>
        </is>
      </c>
      <c r="S71">
        <f>HYPERLINK("https://klasma.github.io/Logging_2062/artfynd/A 25724-2026 artfynd.xlsx", "A 25724-2026")</f>
        <v/>
      </c>
      <c r="T71">
        <f>HYPERLINK("https://klasma.github.io/Logging_2062/kartor/A 25724-2026 karta.png", "A 25724-2026")</f>
        <v/>
      </c>
      <c r="V71">
        <f>HYPERLINK("https://klasma.github.io/Logging_2062/klagomål/A 25724-2026 FSC-klagomål.docx", "A 25724-2026")</f>
        <v/>
      </c>
      <c r="W71">
        <f>HYPERLINK("https://klasma.github.io/Logging_2062/klagomålsmail/A 25724-2026 FSC-klagomål mail.docx", "A 25724-2026")</f>
        <v/>
      </c>
      <c r="X71">
        <f>HYPERLINK("https://klasma.github.io/Logging_2062/tillsyn/A 25724-2026 tillsynsbegäran.docx", "A 25724-2026")</f>
        <v/>
      </c>
      <c r="Y71">
        <f>HYPERLINK("https://klasma.github.io/Logging_2062/tillsynsmail/A 25724-2026 tillsynsbegäran mail.docx", "A 25724-2026")</f>
        <v/>
      </c>
    </row>
    <row r="72" ht="15" customHeight="1">
      <c r="A72" t="inlineStr">
        <is>
          <t>A 5304-2023</t>
        </is>
      </c>
      <c r="B72" s="1" t="n">
        <v>44959.55116898148</v>
      </c>
      <c r="C72" s="1" t="n">
        <v>46189</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46189</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38769-2021</t>
        </is>
      </c>
      <c r="B74" s="1" t="n">
        <v>44410</v>
      </c>
      <c r="C74" s="1" t="n">
        <v>46189</v>
      </c>
      <c r="D74" t="inlineStr">
        <is>
          <t>DALARNAS LÄN</t>
        </is>
      </c>
      <c r="E74" t="inlineStr">
        <is>
          <t>MORA</t>
        </is>
      </c>
      <c r="G74" t="n">
        <v>0.8</v>
      </c>
      <c r="H74" t="n">
        <v>0</v>
      </c>
      <c r="I74" t="n">
        <v>0</v>
      </c>
      <c r="J74" t="n">
        <v>0</v>
      </c>
      <c r="K74" t="n">
        <v>0</v>
      </c>
      <c r="L74" t="n">
        <v>0</v>
      </c>
      <c r="M74" t="n">
        <v>0</v>
      </c>
      <c r="N74" t="n">
        <v>0</v>
      </c>
      <c r="O74" t="n">
        <v>0</v>
      </c>
      <c r="P74" t="n">
        <v>0</v>
      </c>
      <c r="Q74" t="n">
        <v>0</v>
      </c>
      <c r="R74" s="2" t="inlineStr"/>
    </row>
    <row r="75" ht="15" customHeight="1">
      <c r="A75" t="inlineStr">
        <is>
          <t>A 73930-2021</t>
        </is>
      </c>
      <c r="B75" s="1" t="n">
        <v>44553</v>
      </c>
      <c r="C75" s="1" t="n">
        <v>46189</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46189</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34897-2022</t>
        </is>
      </c>
      <c r="B77" s="1" t="n">
        <v>44796</v>
      </c>
      <c r="C77" s="1" t="n">
        <v>46189</v>
      </c>
      <c r="D77" t="inlineStr">
        <is>
          <t>DALARNAS LÄN</t>
        </is>
      </c>
      <c r="E77" t="inlineStr">
        <is>
          <t>MORA</t>
        </is>
      </c>
      <c r="F77" t="inlineStr">
        <is>
          <t>Bergvik skog väst AB</t>
        </is>
      </c>
      <c r="G77" t="n">
        <v>8</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46189</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46189</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46189</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46189</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43944-2022</t>
        </is>
      </c>
      <c r="B82" s="1" t="n">
        <v>44838</v>
      </c>
      <c r="C82" s="1" t="n">
        <v>46189</v>
      </c>
      <c r="D82" t="inlineStr">
        <is>
          <t>DALARNAS LÄN</t>
        </is>
      </c>
      <c r="E82" t="inlineStr">
        <is>
          <t>MORA</t>
        </is>
      </c>
      <c r="F82" t="inlineStr">
        <is>
          <t>Bergvik skog öst AB</t>
        </is>
      </c>
      <c r="G82" t="n">
        <v>1.1</v>
      </c>
      <c r="H82" t="n">
        <v>0</v>
      </c>
      <c r="I82" t="n">
        <v>0</v>
      </c>
      <c r="J82" t="n">
        <v>0</v>
      </c>
      <c r="K82" t="n">
        <v>0</v>
      </c>
      <c r="L82" t="n">
        <v>0</v>
      </c>
      <c r="M82" t="n">
        <v>0</v>
      </c>
      <c r="N82" t="n">
        <v>0</v>
      </c>
      <c r="O82" t="n">
        <v>0</v>
      </c>
      <c r="P82" t="n">
        <v>0</v>
      </c>
      <c r="Q82" t="n">
        <v>0</v>
      </c>
      <c r="R82" s="2" t="inlineStr"/>
    </row>
    <row r="83" ht="15" customHeight="1">
      <c r="A83" t="inlineStr">
        <is>
          <t>A 54239-2021</t>
        </is>
      </c>
      <c r="B83" s="1" t="n">
        <v>44470.63695601852</v>
      </c>
      <c r="C83" s="1" t="n">
        <v>46189</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50620-2021</t>
        </is>
      </c>
      <c r="B84" s="1" t="n">
        <v>44459.68884259259</v>
      </c>
      <c r="C84" s="1" t="n">
        <v>46189</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6574-2022</t>
        </is>
      </c>
      <c r="B85" s="1" t="n">
        <v>44601</v>
      </c>
      <c r="C85" s="1" t="n">
        <v>46189</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21273-2022</t>
        </is>
      </c>
      <c r="B86" s="1" t="n">
        <v>44705</v>
      </c>
      <c r="C86" s="1" t="n">
        <v>46189</v>
      </c>
      <c r="D86" t="inlineStr">
        <is>
          <t>DALARNAS LÄN</t>
        </is>
      </c>
      <c r="E86" t="inlineStr">
        <is>
          <t>MORA</t>
        </is>
      </c>
      <c r="G86" t="n">
        <v>1</v>
      </c>
      <c r="H86" t="n">
        <v>0</v>
      </c>
      <c r="I86" t="n">
        <v>0</v>
      </c>
      <c r="J86" t="n">
        <v>0</v>
      </c>
      <c r="K86" t="n">
        <v>0</v>
      </c>
      <c r="L86" t="n">
        <v>0</v>
      </c>
      <c r="M86" t="n">
        <v>0</v>
      </c>
      <c r="N86" t="n">
        <v>0</v>
      </c>
      <c r="O86" t="n">
        <v>0</v>
      </c>
      <c r="P86" t="n">
        <v>0</v>
      </c>
      <c r="Q86" t="n">
        <v>0</v>
      </c>
      <c r="R86" s="2" t="inlineStr"/>
    </row>
    <row r="87" ht="15" customHeight="1">
      <c r="A87" t="inlineStr">
        <is>
          <t>A 72780-2021</t>
        </is>
      </c>
      <c r="B87" s="1" t="n">
        <v>44545</v>
      </c>
      <c r="C87" s="1" t="n">
        <v>46189</v>
      </c>
      <c r="D87" t="inlineStr">
        <is>
          <t>DALARNAS LÄN</t>
        </is>
      </c>
      <c r="E87" t="inlineStr">
        <is>
          <t>MORA</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41022-2021</t>
        </is>
      </c>
      <c r="B88" s="1" t="n">
        <v>44421</v>
      </c>
      <c r="C88" s="1" t="n">
        <v>46189</v>
      </c>
      <c r="D88" t="inlineStr">
        <is>
          <t>DALARNAS LÄN</t>
        </is>
      </c>
      <c r="E88" t="inlineStr">
        <is>
          <t>MORA</t>
        </is>
      </c>
      <c r="G88" t="n">
        <v>11.9</v>
      </c>
      <c r="H88" t="n">
        <v>0</v>
      </c>
      <c r="I88" t="n">
        <v>0</v>
      </c>
      <c r="J88" t="n">
        <v>0</v>
      </c>
      <c r="K88" t="n">
        <v>0</v>
      </c>
      <c r="L88" t="n">
        <v>0</v>
      </c>
      <c r="M88" t="n">
        <v>0</v>
      </c>
      <c r="N88" t="n">
        <v>0</v>
      </c>
      <c r="O88" t="n">
        <v>0</v>
      </c>
      <c r="P88" t="n">
        <v>0</v>
      </c>
      <c r="Q88" t="n">
        <v>0</v>
      </c>
      <c r="R88" s="2" t="inlineStr"/>
    </row>
    <row r="89" ht="15" customHeight="1">
      <c r="A89" t="inlineStr">
        <is>
          <t>A 49583-2021</t>
        </is>
      </c>
      <c r="B89" s="1" t="n">
        <v>44455</v>
      </c>
      <c r="C89" s="1" t="n">
        <v>46189</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41032-2021</t>
        </is>
      </c>
      <c r="B90" s="1" t="n">
        <v>44421</v>
      </c>
      <c r="C90" s="1" t="n">
        <v>46189</v>
      </c>
      <c r="D90" t="inlineStr">
        <is>
          <t>DALARNAS LÄN</t>
        </is>
      </c>
      <c r="E90" t="inlineStr">
        <is>
          <t>MORA</t>
        </is>
      </c>
      <c r="G90" t="n">
        <v>4.1</v>
      </c>
      <c r="H90" t="n">
        <v>0</v>
      </c>
      <c r="I90" t="n">
        <v>0</v>
      </c>
      <c r="J90" t="n">
        <v>0</v>
      </c>
      <c r="K90" t="n">
        <v>0</v>
      </c>
      <c r="L90" t="n">
        <v>0</v>
      </c>
      <c r="M90" t="n">
        <v>0</v>
      </c>
      <c r="N90" t="n">
        <v>0</v>
      </c>
      <c r="O90" t="n">
        <v>0</v>
      </c>
      <c r="P90" t="n">
        <v>0</v>
      </c>
      <c r="Q90" t="n">
        <v>0</v>
      </c>
      <c r="R90" s="2" t="inlineStr"/>
    </row>
    <row r="91" ht="15" customHeight="1">
      <c r="A91" t="inlineStr">
        <is>
          <t>A 65527-2021</t>
        </is>
      </c>
      <c r="B91" s="1" t="n">
        <v>44516.42728009259</v>
      </c>
      <c r="C91" s="1" t="n">
        <v>46189</v>
      </c>
      <c r="D91" t="inlineStr">
        <is>
          <t>DALARNAS LÄN</t>
        </is>
      </c>
      <c r="E91" t="inlineStr">
        <is>
          <t>MORA</t>
        </is>
      </c>
      <c r="G91" t="n">
        <v>0.5</v>
      </c>
      <c r="H91" t="n">
        <v>0</v>
      </c>
      <c r="I91" t="n">
        <v>0</v>
      </c>
      <c r="J91" t="n">
        <v>0</v>
      </c>
      <c r="K91" t="n">
        <v>0</v>
      </c>
      <c r="L91" t="n">
        <v>0</v>
      </c>
      <c r="M91" t="n">
        <v>0</v>
      </c>
      <c r="N91" t="n">
        <v>0</v>
      </c>
      <c r="O91" t="n">
        <v>0</v>
      </c>
      <c r="P91" t="n">
        <v>0</v>
      </c>
      <c r="Q91" t="n">
        <v>0</v>
      </c>
      <c r="R91" s="2" t="inlineStr"/>
    </row>
    <row r="92" ht="15" customHeight="1">
      <c r="A92" t="inlineStr">
        <is>
          <t>A 39672-2021</t>
        </is>
      </c>
      <c r="B92" s="1" t="n">
        <v>44417.43135416666</v>
      </c>
      <c r="C92" s="1" t="n">
        <v>46189</v>
      </c>
      <c r="D92" t="inlineStr">
        <is>
          <t>DALARNAS LÄN</t>
        </is>
      </c>
      <c r="E92" t="inlineStr">
        <is>
          <t>MORA</t>
        </is>
      </c>
      <c r="G92" t="n">
        <v>0.5</v>
      </c>
      <c r="H92" t="n">
        <v>0</v>
      </c>
      <c r="I92" t="n">
        <v>0</v>
      </c>
      <c r="J92" t="n">
        <v>0</v>
      </c>
      <c r="K92" t="n">
        <v>0</v>
      </c>
      <c r="L92" t="n">
        <v>0</v>
      </c>
      <c r="M92" t="n">
        <v>0</v>
      </c>
      <c r="N92" t="n">
        <v>0</v>
      </c>
      <c r="O92" t="n">
        <v>0</v>
      </c>
      <c r="P92" t="n">
        <v>0</v>
      </c>
      <c r="Q92" t="n">
        <v>0</v>
      </c>
      <c r="R92" s="2" t="inlineStr"/>
    </row>
    <row r="93" ht="15" customHeight="1">
      <c r="A93" t="inlineStr">
        <is>
          <t>A 43458-2021</t>
        </is>
      </c>
      <c r="B93" s="1" t="n">
        <v>44432</v>
      </c>
      <c r="C93" s="1" t="n">
        <v>46189</v>
      </c>
      <c r="D93" t="inlineStr">
        <is>
          <t>DALARNAS LÄN</t>
        </is>
      </c>
      <c r="E93" t="inlineStr">
        <is>
          <t>MORA</t>
        </is>
      </c>
      <c r="G93" t="n">
        <v>2.4</v>
      </c>
      <c r="H93" t="n">
        <v>0</v>
      </c>
      <c r="I93" t="n">
        <v>0</v>
      </c>
      <c r="J93" t="n">
        <v>0</v>
      </c>
      <c r="K93" t="n">
        <v>0</v>
      </c>
      <c r="L93" t="n">
        <v>0</v>
      </c>
      <c r="M93" t="n">
        <v>0</v>
      </c>
      <c r="N93" t="n">
        <v>0</v>
      </c>
      <c r="O93" t="n">
        <v>0</v>
      </c>
      <c r="P93" t="n">
        <v>0</v>
      </c>
      <c r="Q93" t="n">
        <v>0</v>
      </c>
      <c r="R93" s="2" t="inlineStr"/>
    </row>
    <row r="94" ht="15" customHeight="1">
      <c r="A94" t="inlineStr">
        <is>
          <t>A 28344-2022</t>
        </is>
      </c>
      <c r="B94" s="1" t="n">
        <v>44747</v>
      </c>
      <c r="C94" s="1" t="n">
        <v>46189</v>
      </c>
      <c r="D94" t="inlineStr">
        <is>
          <t>DALARNAS LÄN</t>
        </is>
      </c>
      <c r="E94" t="inlineStr">
        <is>
          <t>MORA</t>
        </is>
      </c>
      <c r="F94" t="inlineStr">
        <is>
          <t>Kyrkan</t>
        </is>
      </c>
      <c r="G94" t="n">
        <v>6.4</v>
      </c>
      <c r="H94" t="n">
        <v>0</v>
      </c>
      <c r="I94" t="n">
        <v>0</v>
      </c>
      <c r="J94" t="n">
        <v>0</v>
      </c>
      <c r="K94" t="n">
        <v>0</v>
      </c>
      <c r="L94" t="n">
        <v>0</v>
      </c>
      <c r="M94" t="n">
        <v>0</v>
      </c>
      <c r="N94" t="n">
        <v>0</v>
      </c>
      <c r="O94" t="n">
        <v>0</v>
      </c>
      <c r="P94" t="n">
        <v>0</v>
      </c>
      <c r="Q94" t="n">
        <v>0</v>
      </c>
      <c r="R94" s="2" t="inlineStr"/>
    </row>
    <row r="95" ht="15" customHeight="1">
      <c r="A95" t="inlineStr">
        <is>
          <t>A 30895-2021</t>
        </is>
      </c>
      <c r="B95" s="1" t="n">
        <v>44365.59125</v>
      </c>
      <c r="C95" s="1" t="n">
        <v>46189</v>
      </c>
      <c r="D95" t="inlineStr">
        <is>
          <t>DALARNAS LÄN</t>
        </is>
      </c>
      <c r="E95" t="inlineStr">
        <is>
          <t>MORA</t>
        </is>
      </c>
      <c r="G95" t="n">
        <v>2.8</v>
      </c>
      <c r="H95" t="n">
        <v>0</v>
      </c>
      <c r="I95" t="n">
        <v>0</v>
      </c>
      <c r="J95" t="n">
        <v>0</v>
      </c>
      <c r="K95" t="n">
        <v>0</v>
      </c>
      <c r="L95" t="n">
        <v>0</v>
      </c>
      <c r="M95" t="n">
        <v>0</v>
      </c>
      <c r="N95" t="n">
        <v>0</v>
      </c>
      <c r="O95" t="n">
        <v>0</v>
      </c>
      <c r="P95" t="n">
        <v>0</v>
      </c>
      <c r="Q95" t="n">
        <v>0</v>
      </c>
      <c r="R95" s="2" t="inlineStr"/>
    </row>
    <row r="96" ht="15" customHeight="1">
      <c r="A96" t="inlineStr">
        <is>
          <t>A 30888-2021</t>
        </is>
      </c>
      <c r="B96" s="1" t="n">
        <v>44365.58731481482</v>
      </c>
      <c r="C96" s="1" t="n">
        <v>46189</v>
      </c>
      <c r="D96" t="inlineStr">
        <is>
          <t>DALARNAS LÄN</t>
        </is>
      </c>
      <c r="E96" t="inlineStr">
        <is>
          <t>MORA</t>
        </is>
      </c>
      <c r="G96" t="n">
        <v>0.4</v>
      </c>
      <c r="H96" t="n">
        <v>0</v>
      </c>
      <c r="I96" t="n">
        <v>0</v>
      </c>
      <c r="J96" t="n">
        <v>0</v>
      </c>
      <c r="K96" t="n">
        <v>0</v>
      </c>
      <c r="L96" t="n">
        <v>0</v>
      </c>
      <c r="M96" t="n">
        <v>0</v>
      </c>
      <c r="N96" t="n">
        <v>0</v>
      </c>
      <c r="O96" t="n">
        <v>0</v>
      </c>
      <c r="P96" t="n">
        <v>0</v>
      </c>
      <c r="Q96" t="n">
        <v>0</v>
      </c>
      <c r="R96" s="2" t="inlineStr"/>
    </row>
    <row r="97" ht="15" customHeight="1">
      <c r="A97" t="inlineStr">
        <is>
          <t>A 30905-2021</t>
        </is>
      </c>
      <c r="B97" s="1" t="n">
        <v>44365</v>
      </c>
      <c r="C97" s="1" t="n">
        <v>46189</v>
      </c>
      <c r="D97" t="inlineStr">
        <is>
          <t>DALARNAS LÄN</t>
        </is>
      </c>
      <c r="E97" t="inlineStr">
        <is>
          <t>MORA</t>
        </is>
      </c>
      <c r="G97" t="n">
        <v>2.6</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46189</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46189</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31705-2021</t>
        </is>
      </c>
      <c r="B100" s="1" t="n">
        <v>44369.7362037037</v>
      </c>
      <c r="C100" s="1" t="n">
        <v>46189</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41763-2021</t>
        </is>
      </c>
      <c r="B101" s="1" t="n">
        <v>44425</v>
      </c>
      <c r="C101" s="1" t="n">
        <v>46189</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16706-2022</t>
        </is>
      </c>
      <c r="B102" s="1" t="n">
        <v>44673</v>
      </c>
      <c r="C102" s="1" t="n">
        <v>46189</v>
      </c>
      <c r="D102" t="inlineStr">
        <is>
          <t>DALARNAS LÄN</t>
        </is>
      </c>
      <c r="E102" t="inlineStr">
        <is>
          <t>MORA</t>
        </is>
      </c>
      <c r="G102" t="n">
        <v>9.1</v>
      </c>
      <c r="H102" t="n">
        <v>0</v>
      </c>
      <c r="I102" t="n">
        <v>0</v>
      </c>
      <c r="J102" t="n">
        <v>0</v>
      </c>
      <c r="K102" t="n">
        <v>0</v>
      </c>
      <c r="L102" t="n">
        <v>0</v>
      </c>
      <c r="M102" t="n">
        <v>0</v>
      </c>
      <c r="N102" t="n">
        <v>0</v>
      </c>
      <c r="O102" t="n">
        <v>0</v>
      </c>
      <c r="P102" t="n">
        <v>0</v>
      </c>
      <c r="Q102" t="n">
        <v>0</v>
      </c>
      <c r="R102" s="2" t="inlineStr"/>
    </row>
    <row r="103" ht="15" customHeight="1">
      <c r="A103" t="inlineStr">
        <is>
          <t>A 49572-2021</t>
        </is>
      </c>
      <c r="B103" s="1" t="n">
        <v>44455</v>
      </c>
      <c r="C103" s="1" t="n">
        <v>46189</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33269-2022</t>
        </is>
      </c>
      <c r="B104" s="1" t="n">
        <v>44788.32601851852</v>
      </c>
      <c r="C104" s="1" t="n">
        <v>46189</v>
      </c>
      <c r="D104" t="inlineStr">
        <is>
          <t>DALARNAS LÄN</t>
        </is>
      </c>
      <c r="E104" t="inlineStr">
        <is>
          <t>MORA</t>
        </is>
      </c>
      <c r="G104" t="n">
        <v>3.1</v>
      </c>
      <c r="H104" t="n">
        <v>0</v>
      </c>
      <c r="I104" t="n">
        <v>0</v>
      </c>
      <c r="J104" t="n">
        <v>0</v>
      </c>
      <c r="K104" t="n">
        <v>0</v>
      </c>
      <c r="L104" t="n">
        <v>0</v>
      </c>
      <c r="M104" t="n">
        <v>0</v>
      </c>
      <c r="N104" t="n">
        <v>0</v>
      </c>
      <c r="O104" t="n">
        <v>0</v>
      </c>
      <c r="P104" t="n">
        <v>0</v>
      </c>
      <c r="Q104" t="n">
        <v>0</v>
      </c>
      <c r="R104" s="2" t="inlineStr"/>
    </row>
    <row r="105" ht="15" customHeight="1">
      <c r="A105" t="inlineStr">
        <is>
          <t>A 58690-2021</t>
        </is>
      </c>
      <c r="B105" s="1" t="n">
        <v>44489</v>
      </c>
      <c r="C105" s="1" t="n">
        <v>46189</v>
      </c>
      <c r="D105" t="inlineStr">
        <is>
          <t>DALARNAS LÄN</t>
        </is>
      </c>
      <c r="E105" t="inlineStr">
        <is>
          <t>MORA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67125-2021</t>
        </is>
      </c>
      <c r="B106" s="1" t="n">
        <v>44523.35982638889</v>
      </c>
      <c r="C106" s="1" t="n">
        <v>46189</v>
      </c>
      <c r="D106" t="inlineStr">
        <is>
          <t>DALARNAS LÄN</t>
        </is>
      </c>
      <c r="E106" t="inlineStr">
        <is>
          <t>MORA</t>
        </is>
      </c>
      <c r="G106" t="n">
        <v>2.9</v>
      </c>
      <c r="H106" t="n">
        <v>0</v>
      </c>
      <c r="I106" t="n">
        <v>0</v>
      </c>
      <c r="J106" t="n">
        <v>0</v>
      </c>
      <c r="K106" t="n">
        <v>0</v>
      </c>
      <c r="L106" t="n">
        <v>0</v>
      </c>
      <c r="M106" t="n">
        <v>0</v>
      </c>
      <c r="N106" t="n">
        <v>0</v>
      </c>
      <c r="O106" t="n">
        <v>0</v>
      </c>
      <c r="P106" t="n">
        <v>0</v>
      </c>
      <c r="Q106" t="n">
        <v>0</v>
      </c>
      <c r="R106" s="2" t="inlineStr"/>
    </row>
    <row r="107" ht="15" customHeight="1">
      <c r="A107" t="inlineStr">
        <is>
          <t>A 41121-2021</t>
        </is>
      </c>
      <c r="B107" s="1" t="n">
        <v>44423.65152777778</v>
      </c>
      <c r="C107" s="1" t="n">
        <v>46189</v>
      </c>
      <c r="D107" t="inlineStr">
        <is>
          <t>DALARNAS LÄN</t>
        </is>
      </c>
      <c r="E107" t="inlineStr">
        <is>
          <t>MORA</t>
        </is>
      </c>
      <c r="F107" t="inlineStr">
        <is>
          <t>Bergvik skog öst AB</t>
        </is>
      </c>
      <c r="G107" t="n">
        <v>0.6</v>
      </c>
      <c r="H107" t="n">
        <v>0</v>
      </c>
      <c r="I107" t="n">
        <v>0</v>
      </c>
      <c r="J107" t="n">
        <v>0</v>
      </c>
      <c r="K107" t="n">
        <v>0</v>
      </c>
      <c r="L107" t="n">
        <v>0</v>
      </c>
      <c r="M107" t="n">
        <v>0</v>
      </c>
      <c r="N107" t="n">
        <v>0</v>
      </c>
      <c r="O107" t="n">
        <v>0</v>
      </c>
      <c r="P107" t="n">
        <v>0</v>
      </c>
      <c r="Q107" t="n">
        <v>0</v>
      </c>
      <c r="R107" s="2" t="inlineStr"/>
    </row>
    <row r="108" ht="15" customHeight="1">
      <c r="A108" t="inlineStr">
        <is>
          <t>A 8145-2022</t>
        </is>
      </c>
      <c r="B108" s="1" t="n">
        <v>44609.62314814814</v>
      </c>
      <c r="C108" s="1" t="n">
        <v>46189</v>
      </c>
      <c r="D108" t="inlineStr">
        <is>
          <t>DALARNAS LÄN</t>
        </is>
      </c>
      <c r="E108" t="inlineStr">
        <is>
          <t>MORA</t>
        </is>
      </c>
      <c r="G108" t="n">
        <v>7.3</v>
      </c>
      <c r="H108" t="n">
        <v>0</v>
      </c>
      <c r="I108" t="n">
        <v>0</v>
      </c>
      <c r="J108" t="n">
        <v>0</v>
      </c>
      <c r="K108" t="n">
        <v>0</v>
      </c>
      <c r="L108" t="n">
        <v>0</v>
      </c>
      <c r="M108" t="n">
        <v>0</v>
      </c>
      <c r="N108" t="n">
        <v>0</v>
      </c>
      <c r="O108" t="n">
        <v>0</v>
      </c>
      <c r="P108" t="n">
        <v>0</v>
      </c>
      <c r="Q108" t="n">
        <v>0</v>
      </c>
      <c r="R108" s="2" t="inlineStr"/>
    </row>
    <row r="109" ht="15" customHeight="1">
      <c r="A109" t="inlineStr">
        <is>
          <t>A 41028-2021</t>
        </is>
      </c>
      <c r="B109" s="1" t="n">
        <v>44421</v>
      </c>
      <c r="C109" s="1" t="n">
        <v>46189</v>
      </c>
      <c r="D109" t="inlineStr">
        <is>
          <t>DALARNAS LÄN</t>
        </is>
      </c>
      <c r="E109" t="inlineStr">
        <is>
          <t>MORA</t>
        </is>
      </c>
      <c r="G109" t="n">
        <v>7.2</v>
      </c>
      <c r="H109" t="n">
        <v>0</v>
      </c>
      <c r="I109" t="n">
        <v>0</v>
      </c>
      <c r="J109" t="n">
        <v>0</v>
      </c>
      <c r="K109" t="n">
        <v>0</v>
      </c>
      <c r="L109" t="n">
        <v>0</v>
      </c>
      <c r="M109" t="n">
        <v>0</v>
      </c>
      <c r="N109" t="n">
        <v>0</v>
      </c>
      <c r="O109" t="n">
        <v>0</v>
      </c>
      <c r="P109" t="n">
        <v>0</v>
      </c>
      <c r="Q109" t="n">
        <v>0</v>
      </c>
      <c r="R109" s="2" t="inlineStr"/>
    </row>
    <row r="110" ht="15" customHeight="1">
      <c r="A110" t="inlineStr">
        <is>
          <t>A 2277-2022</t>
        </is>
      </c>
      <c r="B110" s="1" t="n">
        <v>44578.66320601852</v>
      </c>
      <c r="C110" s="1" t="n">
        <v>46189</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36168-2021</t>
        </is>
      </c>
      <c r="B111" s="1" t="n">
        <v>44389.62159722222</v>
      </c>
      <c r="C111" s="1" t="n">
        <v>46189</v>
      </c>
      <c r="D111" t="inlineStr">
        <is>
          <t>DALARNAS LÄN</t>
        </is>
      </c>
      <c r="E111" t="inlineStr">
        <is>
          <t>MORA</t>
        </is>
      </c>
      <c r="G111" t="n">
        <v>1.4</v>
      </c>
      <c r="H111" t="n">
        <v>0</v>
      </c>
      <c r="I111" t="n">
        <v>0</v>
      </c>
      <c r="J111" t="n">
        <v>0</v>
      </c>
      <c r="K111" t="n">
        <v>0</v>
      </c>
      <c r="L111" t="n">
        <v>0</v>
      </c>
      <c r="M111" t="n">
        <v>0</v>
      </c>
      <c r="N111" t="n">
        <v>0</v>
      </c>
      <c r="O111" t="n">
        <v>0</v>
      </c>
      <c r="P111" t="n">
        <v>0</v>
      </c>
      <c r="Q111" t="n">
        <v>0</v>
      </c>
      <c r="R111" s="2" t="inlineStr"/>
    </row>
    <row r="112" ht="15" customHeight="1">
      <c r="A112" t="inlineStr">
        <is>
          <t>A 72659-2021</t>
        </is>
      </c>
      <c r="B112" s="1" t="n">
        <v>44546.60960648148</v>
      </c>
      <c r="C112" s="1" t="n">
        <v>46189</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68966-2021</t>
        </is>
      </c>
      <c r="B113" s="1" t="n">
        <v>44530</v>
      </c>
      <c r="C113" s="1" t="n">
        <v>46189</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52573-2021</t>
        </is>
      </c>
      <c r="B114" s="1" t="n">
        <v>44466</v>
      </c>
      <c r="C114" s="1" t="n">
        <v>46189</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27461-2022</t>
        </is>
      </c>
      <c r="B115" s="1" t="n">
        <v>44742.58386574074</v>
      </c>
      <c r="C115" s="1" t="n">
        <v>46189</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58413-2021</t>
        </is>
      </c>
      <c r="B116" s="1" t="n">
        <v>44488</v>
      </c>
      <c r="C116" s="1" t="n">
        <v>46189</v>
      </c>
      <c r="D116" t="inlineStr">
        <is>
          <t>DALARNAS LÄN</t>
        </is>
      </c>
      <c r="E116" t="inlineStr">
        <is>
          <t>MORA</t>
        </is>
      </c>
      <c r="F116" t="inlineStr">
        <is>
          <t>Bergvik skog öst AB</t>
        </is>
      </c>
      <c r="G116" t="n">
        <v>5.3</v>
      </c>
      <c r="H116" t="n">
        <v>0</v>
      </c>
      <c r="I116" t="n">
        <v>0</v>
      </c>
      <c r="J116" t="n">
        <v>0</v>
      </c>
      <c r="K116" t="n">
        <v>0</v>
      </c>
      <c r="L116" t="n">
        <v>0</v>
      </c>
      <c r="M116" t="n">
        <v>0</v>
      </c>
      <c r="N116" t="n">
        <v>0</v>
      </c>
      <c r="O116" t="n">
        <v>0</v>
      </c>
      <c r="P116" t="n">
        <v>0</v>
      </c>
      <c r="Q116" t="n">
        <v>0</v>
      </c>
      <c r="R116" s="2" t="inlineStr"/>
    </row>
    <row r="117" ht="15" customHeight="1">
      <c r="A117" t="inlineStr">
        <is>
          <t>A 56501-2021</t>
        </is>
      </c>
      <c r="B117" s="1" t="n">
        <v>44480.57549768518</v>
      </c>
      <c r="C117" s="1" t="n">
        <v>46189</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28914-2022</t>
        </is>
      </c>
      <c r="B118" s="1" t="n">
        <v>44749.56221064815</v>
      </c>
      <c r="C118" s="1" t="n">
        <v>46189</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32474-2022</t>
        </is>
      </c>
      <c r="B119" s="1" t="n">
        <v>44782</v>
      </c>
      <c r="C119" s="1" t="n">
        <v>46189</v>
      </c>
      <c r="D119" t="inlineStr">
        <is>
          <t>DALARNAS LÄN</t>
        </is>
      </c>
      <c r="E119" t="inlineStr">
        <is>
          <t>MORA</t>
        </is>
      </c>
      <c r="F119" t="inlineStr">
        <is>
          <t>Bergvik skog väst AB</t>
        </is>
      </c>
      <c r="G119" t="n">
        <v>0.6</v>
      </c>
      <c r="H119" t="n">
        <v>0</v>
      </c>
      <c r="I119" t="n">
        <v>0</v>
      </c>
      <c r="J119" t="n">
        <v>0</v>
      </c>
      <c r="K119" t="n">
        <v>0</v>
      </c>
      <c r="L119" t="n">
        <v>0</v>
      </c>
      <c r="M119" t="n">
        <v>0</v>
      </c>
      <c r="N119" t="n">
        <v>0</v>
      </c>
      <c r="O119" t="n">
        <v>0</v>
      </c>
      <c r="P119" t="n">
        <v>0</v>
      </c>
      <c r="Q119" t="n">
        <v>0</v>
      </c>
      <c r="R119" s="2" t="inlineStr"/>
    </row>
    <row r="120" ht="15" customHeight="1">
      <c r="A120" t="inlineStr">
        <is>
          <t>A 4488-2022</t>
        </is>
      </c>
      <c r="B120" s="1" t="n">
        <v>44589.65528935185</v>
      </c>
      <c r="C120" s="1" t="n">
        <v>46189</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71702-2021</t>
        </is>
      </c>
      <c r="B121" s="1" t="n">
        <v>44543</v>
      </c>
      <c r="C121" s="1" t="n">
        <v>46189</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17622-2022</t>
        </is>
      </c>
      <c r="B122" s="1" t="n">
        <v>44680.4265162037</v>
      </c>
      <c r="C122" s="1" t="n">
        <v>46189</v>
      </c>
      <c r="D122" t="inlineStr">
        <is>
          <t>DALARNAS LÄN</t>
        </is>
      </c>
      <c r="E122" t="inlineStr">
        <is>
          <t>MORA</t>
        </is>
      </c>
      <c r="G122" t="n">
        <v>1.5</v>
      </c>
      <c r="H122" t="n">
        <v>0</v>
      </c>
      <c r="I122" t="n">
        <v>0</v>
      </c>
      <c r="J122" t="n">
        <v>0</v>
      </c>
      <c r="K122" t="n">
        <v>0</v>
      </c>
      <c r="L122" t="n">
        <v>0</v>
      </c>
      <c r="M122" t="n">
        <v>0</v>
      </c>
      <c r="N122" t="n">
        <v>0</v>
      </c>
      <c r="O122" t="n">
        <v>0</v>
      </c>
      <c r="P122" t="n">
        <v>0</v>
      </c>
      <c r="Q122" t="n">
        <v>0</v>
      </c>
      <c r="R122" s="2" t="inlineStr"/>
    </row>
    <row r="123" ht="15" customHeight="1">
      <c r="A123" t="inlineStr">
        <is>
          <t>A 58961-2021</t>
        </is>
      </c>
      <c r="B123" s="1" t="n">
        <v>44489.94246527777</v>
      </c>
      <c r="C123" s="1" t="n">
        <v>46189</v>
      </c>
      <c r="D123" t="inlineStr">
        <is>
          <t>DALARNAS LÄN</t>
        </is>
      </c>
      <c r="E123" t="inlineStr">
        <is>
          <t>MORA</t>
        </is>
      </c>
      <c r="G123" t="n">
        <v>18</v>
      </c>
      <c r="H123" t="n">
        <v>0</v>
      </c>
      <c r="I123" t="n">
        <v>0</v>
      </c>
      <c r="J123" t="n">
        <v>0</v>
      </c>
      <c r="K123" t="n">
        <v>0</v>
      </c>
      <c r="L123" t="n">
        <v>0</v>
      </c>
      <c r="M123" t="n">
        <v>0</v>
      </c>
      <c r="N123" t="n">
        <v>0</v>
      </c>
      <c r="O123" t="n">
        <v>0</v>
      </c>
      <c r="P123" t="n">
        <v>0</v>
      </c>
      <c r="Q123" t="n">
        <v>0</v>
      </c>
      <c r="R123" s="2" t="inlineStr"/>
    </row>
    <row r="124" ht="15" customHeight="1">
      <c r="A124" t="inlineStr">
        <is>
          <t>A 48456-2022</t>
        </is>
      </c>
      <c r="B124" s="1" t="n">
        <v>44858.66387731482</v>
      </c>
      <c r="C124" s="1" t="n">
        <v>46189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34927-2022</t>
        </is>
      </c>
      <c r="B125" s="1" t="n">
        <v>44796.60181712963</v>
      </c>
      <c r="C125" s="1" t="n">
        <v>46189</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37771-2022</t>
        </is>
      </c>
      <c r="B126" s="1" t="n">
        <v>44810.63806712963</v>
      </c>
      <c r="C126" s="1" t="n">
        <v>46189</v>
      </c>
      <c r="D126" t="inlineStr">
        <is>
          <t>DALARNAS LÄN</t>
        </is>
      </c>
      <c r="E126" t="inlineStr">
        <is>
          <t>MORA</t>
        </is>
      </c>
      <c r="G126" t="n">
        <v>0.9</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46189</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46189</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14744-2022</t>
        </is>
      </c>
      <c r="B129" s="1" t="n">
        <v>44656.37616898148</v>
      </c>
      <c r="C129" s="1" t="n">
        <v>46189</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24393-2022</t>
        </is>
      </c>
      <c r="B130" s="1" t="n">
        <v>44726</v>
      </c>
      <c r="C130" s="1" t="n">
        <v>46189</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5527-2024</t>
        </is>
      </c>
      <c r="B131" s="1" t="n">
        <v>45334.38981481481</v>
      </c>
      <c r="C131" s="1" t="n">
        <v>46189</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17145-2024</t>
        </is>
      </c>
      <c r="B132" s="1" t="n">
        <v>45412</v>
      </c>
      <c r="C132" s="1" t="n">
        <v>46189</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51780-2023</t>
        </is>
      </c>
      <c r="B133" s="1" t="n">
        <v>45222</v>
      </c>
      <c r="C133" s="1" t="n">
        <v>46189</v>
      </c>
      <c r="D133" t="inlineStr">
        <is>
          <t>DALARNAS LÄN</t>
        </is>
      </c>
      <c r="E133" t="inlineStr">
        <is>
          <t>MORA</t>
        </is>
      </c>
      <c r="G133" t="n">
        <v>9.9</v>
      </c>
      <c r="H133" t="n">
        <v>0</v>
      </c>
      <c r="I133" t="n">
        <v>0</v>
      </c>
      <c r="J133" t="n">
        <v>0</v>
      </c>
      <c r="K133" t="n">
        <v>0</v>
      </c>
      <c r="L133" t="n">
        <v>0</v>
      </c>
      <c r="M133" t="n">
        <v>0</v>
      </c>
      <c r="N133" t="n">
        <v>0</v>
      </c>
      <c r="O133" t="n">
        <v>0</v>
      </c>
      <c r="P133" t="n">
        <v>0</v>
      </c>
      <c r="Q133" t="n">
        <v>0</v>
      </c>
      <c r="R133" s="2" t="inlineStr"/>
    </row>
    <row r="134" ht="15" customHeight="1">
      <c r="A134" t="inlineStr">
        <is>
          <t>A 46188-2022</t>
        </is>
      </c>
      <c r="B134" s="1" t="n">
        <v>44847.518125</v>
      </c>
      <c r="C134" s="1" t="n">
        <v>46189</v>
      </c>
      <c r="D134" t="inlineStr">
        <is>
          <t>DALARNAS LÄN</t>
        </is>
      </c>
      <c r="E134" t="inlineStr">
        <is>
          <t>MORA</t>
        </is>
      </c>
      <c r="G134" t="n">
        <v>1.8</v>
      </c>
      <c r="H134" t="n">
        <v>0</v>
      </c>
      <c r="I134" t="n">
        <v>0</v>
      </c>
      <c r="J134" t="n">
        <v>0</v>
      </c>
      <c r="K134" t="n">
        <v>0</v>
      </c>
      <c r="L134" t="n">
        <v>0</v>
      </c>
      <c r="M134" t="n">
        <v>0</v>
      </c>
      <c r="N134" t="n">
        <v>0</v>
      </c>
      <c r="O134" t="n">
        <v>0</v>
      </c>
      <c r="P134" t="n">
        <v>0</v>
      </c>
      <c r="Q134" t="n">
        <v>0</v>
      </c>
      <c r="R134" s="2" t="inlineStr"/>
    </row>
    <row r="135" ht="15" customHeight="1">
      <c r="A135" t="inlineStr">
        <is>
          <t>A 17516-2024</t>
        </is>
      </c>
      <c r="B135" s="1" t="n">
        <v>45415.58502314815</v>
      </c>
      <c r="C135" s="1" t="n">
        <v>46189</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24772-2024</t>
        </is>
      </c>
      <c r="B136" s="1" t="n">
        <v>45460.70204861111</v>
      </c>
      <c r="C136" s="1" t="n">
        <v>46189</v>
      </c>
      <c r="D136" t="inlineStr">
        <is>
          <t>DALARNAS LÄN</t>
        </is>
      </c>
      <c r="E136" t="inlineStr">
        <is>
          <t>MORA</t>
        </is>
      </c>
      <c r="G136" t="n">
        <v>0.9</v>
      </c>
      <c r="H136" t="n">
        <v>0</v>
      </c>
      <c r="I136" t="n">
        <v>0</v>
      </c>
      <c r="J136" t="n">
        <v>0</v>
      </c>
      <c r="K136" t="n">
        <v>0</v>
      </c>
      <c r="L136" t="n">
        <v>0</v>
      </c>
      <c r="M136" t="n">
        <v>0</v>
      </c>
      <c r="N136" t="n">
        <v>0</v>
      </c>
      <c r="O136" t="n">
        <v>0</v>
      </c>
      <c r="P136" t="n">
        <v>0</v>
      </c>
      <c r="Q136" t="n">
        <v>0</v>
      </c>
      <c r="R136" s="2" t="inlineStr"/>
    </row>
    <row r="137" ht="15" customHeight="1">
      <c r="A137" t="inlineStr">
        <is>
          <t>A 59174-2023</t>
        </is>
      </c>
      <c r="B137" s="1" t="n">
        <v>45253.43202546296</v>
      </c>
      <c r="C137" s="1" t="n">
        <v>46189</v>
      </c>
      <c r="D137" t="inlineStr">
        <is>
          <t>DALARNAS LÄN</t>
        </is>
      </c>
      <c r="E137" t="inlineStr">
        <is>
          <t>MORA</t>
        </is>
      </c>
      <c r="G137" t="n">
        <v>2.5</v>
      </c>
      <c r="H137" t="n">
        <v>0</v>
      </c>
      <c r="I137" t="n">
        <v>0</v>
      </c>
      <c r="J137" t="n">
        <v>0</v>
      </c>
      <c r="K137" t="n">
        <v>0</v>
      </c>
      <c r="L137" t="n">
        <v>0</v>
      </c>
      <c r="M137" t="n">
        <v>0</v>
      </c>
      <c r="N137" t="n">
        <v>0</v>
      </c>
      <c r="O137" t="n">
        <v>0</v>
      </c>
      <c r="P137" t="n">
        <v>0</v>
      </c>
      <c r="Q137" t="n">
        <v>0</v>
      </c>
      <c r="R137" s="2" t="inlineStr"/>
    </row>
    <row r="138" ht="15" customHeight="1">
      <c r="A138" t="inlineStr">
        <is>
          <t>A 36184-2021</t>
        </is>
      </c>
      <c r="B138" s="1" t="n">
        <v>44389</v>
      </c>
      <c r="C138" s="1" t="n">
        <v>46189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18202-2024</t>
        </is>
      </c>
      <c r="B139" s="1" t="n">
        <v>45420.68172453704</v>
      </c>
      <c r="C139" s="1" t="n">
        <v>46189</v>
      </c>
      <c r="D139" t="inlineStr">
        <is>
          <t>DALARNAS LÄN</t>
        </is>
      </c>
      <c r="E139" t="inlineStr">
        <is>
          <t>MORA</t>
        </is>
      </c>
      <c r="G139" t="n">
        <v>2</v>
      </c>
      <c r="H139" t="n">
        <v>0</v>
      </c>
      <c r="I139" t="n">
        <v>0</v>
      </c>
      <c r="J139" t="n">
        <v>0</v>
      </c>
      <c r="K139" t="n">
        <v>0</v>
      </c>
      <c r="L139" t="n">
        <v>0</v>
      </c>
      <c r="M139" t="n">
        <v>0</v>
      </c>
      <c r="N139" t="n">
        <v>0</v>
      </c>
      <c r="O139" t="n">
        <v>0</v>
      </c>
      <c r="P139" t="n">
        <v>0</v>
      </c>
      <c r="Q139" t="n">
        <v>0</v>
      </c>
      <c r="R139" s="2" t="inlineStr"/>
    </row>
    <row r="140" ht="15" customHeight="1">
      <c r="A140" t="inlineStr">
        <is>
          <t>A 49159-2023</t>
        </is>
      </c>
      <c r="B140" s="1" t="n">
        <v>45210</v>
      </c>
      <c r="C140" s="1" t="n">
        <v>46189</v>
      </c>
      <c r="D140" t="inlineStr">
        <is>
          <t>DALARNAS LÄN</t>
        </is>
      </c>
      <c r="E140" t="inlineStr">
        <is>
          <t>MORA</t>
        </is>
      </c>
      <c r="G140" t="n">
        <v>1.6</v>
      </c>
      <c r="H140" t="n">
        <v>0</v>
      </c>
      <c r="I140" t="n">
        <v>0</v>
      </c>
      <c r="J140" t="n">
        <v>0</v>
      </c>
      <c r="K140" t="n">
        <v>0</v>
      </c>
      <c r="L140" t="n">
        <v>0</v>
      </c>
      <c r="M140" t="n">
        <v>0</v>
      </c>
      <c r="N140" t="n">
        <v>0</v>
      </c>
      <c r="O140" t="n">
        <v>0</v>
      </c>
      <c r="P140" t="n">
        <v>0</v>
      </c>
      <c r="Q140" t="n">
        <v>0</v>
      </c>
      <c r="R140" s="2" t="inlineStr"/>
    </row>
    <row r="141" ht="15" customHeight="1">
      <c r="A141" t="inlineStr">
        <is>
          <t>A 18444-2024</t>
        </is>
      </c>
      <c r="B141" s="1" t="n">
        <v>45425.45568287037</v>
      </c>
      <c r="C141" s="1" t="n">
        <v>46189</v>
      </c>
      <c r="D141" t="inlineStr">
        <is>
          <t>DALARNAS LÄN</t>
        </is>
      </c>
      <c r="E141" t="inlineStr">
        <is>
          <t>MORA</t>
        </is>
      </c>
      <c r="G141" t="n">
        <v>5</v>
      </c>
      <c r="H141" t="n">
        <v>0</v>
      </c>
      <c r="I141" t="n">
        <v>0</v>
      </c>
      <c r="J141" t="n">
        <v>0</v>
      </c>
      <c r="K141" t="n">
        <v>0</v>
      </c>
      <c r="L141" t="n">
        <v>0</v>
      </c>
      <c r="M141" t="n">
        <v>0</v>
      </c>
      <c r="N141" t="n">
        <v>0</v>
      </c>
      <c r="O141" t="n">
        <v>0</v>
      </c>
      <c r="P141" t="n">
        <v>0</v>
      </c>
      <c r="Q141" t="n">
        <v>0</v>
      </c>
      <c r="R141" s="2" t="inlineStr"/>
    </row>
    <row r="142" ht="15" customHeight="1">
      <c r="A142" t="inlineStr">
        <is>
          <t>A 60847-2021</t>
        </is>
      </c>
      <c r="B142" s="1" t="n">
        <v>44497</v>
      </c>
      <c r="C142" s="1" t="n">
        <v>46189</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47143-2022</t>
        </is>
      </c>
      <c r="B143" s="1" t="n">
        <v>44852</v>
      </c>
      <c r="C143" s="1" t="n">
        <v>46189</v>
      </c>
      <c r="D143" t="inlineStr">
        <is>
          <t>DALARNAS LÄN</t>
        </is>
      </c>
      <c r="E143" t="inlineStr">
        <is>
          <t>MORA</t>
        </is>
      </c>
      <c r="G143" t="n">
        <v>3.9</v>
      </c>
      <c r="H143" t="n">
        <v>0</v>
      </c>
      <c r="I143" t="n">
        <v>0</v>
      </c>
      <c r="J143" t="n">
        <v>0</v>
      </c>
      <c r="K143" t="n">
        <v>0</v>
      </c>
      <c r="L143" t="n">
        <v>0</v>
      </c>
      <c r="M143" t="n">
        <v>0</v>
      </c>
      <c r="N143" t="n">
        <v>0</v>
      </c>
      <c r="O143" t="n">
        <v>0</v>
      </c>
      <c r="P143" t="n">
        <v>0</v>
      </c>
      <c r="Q143" t="n">
        <v>0</v>
      </c>
      <c r="R143" s="2" t="inlineStr"/>
    </row>
    <row r="144" ht="15" customHeight="1">
      <c r="A144" t="inlineStr">
        <is>
          <t>A 52525-2022</t>
        </is>
      </c>
      <c r="B144" s="1" t="n">
        <v>44874</v>
      </c>
      <c r="C144" s="1" t="n">
        <v>46189</v>
      </c>
      <c r="D144" t="inlineStr">
        <is>
          <t>DALARNAS LÄN</t>
        </is>
      </c>
      <c r="E144" t="inlineStr">
        <is>
          <t>MORA</t>
        </is>
      </c>
      <c r="F144" t="inlineStr">
        <is>
          <t>Bergvik skog öst AB</t>
        </is>
      </c>
      <c r="G144" t="n">
        <v>0.9</v>
      </c>
      <c r="H144" t="n">
        <v>0</v>
      </c>
      <c r="I144" t="n">
        <v>0</v>
      </c>
      <c r="J144" t="n">
        <v>0</v>
      </c>
      <c r="K144" t="n">
        <v>0</v>
      </c>
      <c r="L144" t="n">
        <v>0</v>
      </c>
      <c r="M144" t="n">
        <v>0</v>
      </c>
      <c r="N144" t="n">
        <v>0</v>
      </c>
      <c r="O144" t="n">
        <v>0</v>
      </c>
      <c r="P144" t="n">
        <v>0</v>
      </c>
      <c r="Q144" t="n">
        <v>0</v>
      </c>
      <c r="R144" s="2" t="inlineStr"/>
    </row>
    <row r="145" ht="15" customHeight="1">
      <c r="A145" t="inlineStr">
        <is>
          <t>A 34282-2024</t>
        </is>
      </c>
      <c r="B145" s="1" t="n">
        <v>45524.62600694445</v>
      </c>
      <c r="C145" s="1" t="n">
        <v>46189</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41169-2023</t>
        </is>
      </c>
      <c r="B146" s="1" t="n">
        <v>45174.34662037037</v>
      </c>
      <c r="C146" s="1" t="n">
        <v>46189</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69483-2021</t>
        </is>
      </c>
      <c r="B147" s="1" t="n">
        <v>44531</v>
      </c>
      <c r="C147" s="1" t="n">
        <v>46189</v>
      </c>
      <c r="D147" t="inlineStr">
        <is>
          <t>DALARNAS LÄN</t>
        </is>
      </c>
      <c r="E147" t="inlineStr">
        <is>
          <t>MORA</t>
        </is>
      </c>
      <c r="G147" t="n">
        <v>1.5</v>
      </c>
      <c r="H147" t="n">
        <v>0</v>
      </c>
      <c r="I147" t="n">
        <v>0</v>
      </c>
      <c r="J147" t="n">
        <v>0</v>
      </c>
      <c r="K147" t="n">
        <v>0</v>
      </c>
      <c r="L147" t="n">
        <v>0</v>
      </c>
      <c r="M147" t="n">
        <v>0</v>
      </c>
      <c r="N147" t="n">
        <v>0</v>
      </c>
      <c r="O147" t="n">
        <v>0</v>
      </c>
      <c r="P147" t="n">
        <v>0</v>
      </c>
      <c r="Q147" t="n">
        <v>0</v>
      </c>
      <c r="R147" s="2" t="inlineStr"/>
    </row>
    <row r="148" ht="15" customHeight="1">
      <c r="A148" t="inlineStr">
        <is>
          <t>A 56460-2022</t>
        </is>
      </c>
      <c r="B148" s="1" t="n">
        <v>44893</v>
      </c>
      <c r="C148" s="1" t="n">
        <v>46189</v>
      </c>
      <c r="D148" t="inlineStr">
        <is>
          <t>DALARNAS LÄN</t>
        </is>
      </c>
      <c r="E148" t="inlineStr">
        <is>
          <t>MORA</t>
        </is>
      </c>
      <c r="G148" t="n">
        <v>2.2</v>
      </c>
      <c r="H148" t="n">
        <v>0</v>
      </c>
      <c r="I148" t="n">
        <v>0</v>
      </c>
      <c r="J148" t="n">
        <v>0</v>
      </c>
      <c r="K148" t="n">
        <v>0</v>
      </c>
      <c r="L148" t="n">
        <v>0</v>
      </c>
      <c r="M148" t="n">
        <v>0</v>
      </c>
      <c r="N148" t="n">
        <v>0</v>
      </c>
      <c r="O148" t="n">
        <v>0</v>
      </c>
      <c r="P148" t="n">
        <v>0</v>
      </c>
      <c r="Q148" t="n">
        <v>0</v>
      </c>
      <c r="R148" s="2" t="inlineStr"/>
    </row>
    <row r="149" ht="15" customHeight="1">
      <c r="A149" t="inlineStr">
        <is>
          <t>A 57110-2021</t>
        </is>
      </c>
      <c r="B149" s="1" t="n">
        <v>44482</v>
      </c>
      <c r="C149" s="1" t="n">
        <v>46189</v>
      </c>
      <c r="D149" t="inlineStr">
        <is>
          <t>DALARNAS LÄN</t>
        </is>
      </c>
      <c r="E149" t="inlineStr">
        <is>
          <t>MORA</t>
        </is>
      </c>
      <c r="G149" t="n">
        <v>5.4</v>
      </c>
      <c r="H149" t="n">
        <v>0</v>
      </c>
      <c r="I149" t="n">
        <v>0</v>
      </c>
      <c r="J149" t="n">
        <v>0</v>
      </c>
      <c r="K149" t="n">
        <v>0</v>
      </c>
      <c r="L149" t="n">
        <v>0</v>
      </c>
      <c r="M149" t="n">
        <v>0</v>
      </c>
      <c r="N149" t="n">
        <v>0</v>
      </c>
      <c r="O149" t="n">
        <v>0</v>
      </c>
      <c r="P149" t="n">
        <v>0</v>
      </c>
      <c r="Q149" t="n">
        <v>0</v>
      </c>
      <c r="R149" s="2" t="inlineStr"/>
    </row>
    <row r="150" ht="15" customHeight="1">
      <c r="A150" t="inlineStr">
        <is>
          <t>A 39897-2022</t>
        </is>
      </c>
      <c r="B150" s="1" t="n">
        <v>44819.66083333334</v>
      </c>
      <c r="C150" s="1" t="n">
        <v>46189</v>
      </c>
      <c r="D150" t="inlineStr">
        <is>
          <t>DALARNAS LÄN</t>
        </is>
      </c>
      <c r="E150" t="inlineStr">
        <is>
          <t>MORA</t>
        </is>
      </c>
      <c r="G150" t="n">
        <v>15.8</v>
      </c>
      <c r="H150" t="n">
        <v>0</v>
      </c>
      <c r="I150" t="n">
        <v>0</v>
      </c>
      <c r="J150" t="n">
        <v>0</v>
      </c>
      <c r="K150" t="n">
        <v>0</v>
      </c>
      <c r="L150" t="n">
        <v>0</v>
      </c>
      <c r="M150" t="n">
        <v>0</v>
      </c>
      <c r="N150" t="n">
        <v>0</v>
      </c>
      <c r="O150" t="n">
        <v>0</v>
      </c>
      <c r="P150" t="n">
        <v>0</v>
      </c>
      <c r="Q150" t="n">
        <v>0</v>
      </c>
      <c r="R150" s="2" t="inlineStr"/>
    </row>
    <row r="151" ht="15" customHeight="1">
      <c r="A151" t="inlineStr">
        <is>
          <t>A 36038-2024</t>
        </is>
      </c>
      <c r="B151" s="1" t="n">
        <v>45533</v>
      </c>
      <c r="C151" s="1" t="n">
        <v>46189</v>
      </c>
      <c r="D151" t="inlineStr">
        <is>
          <t>DALARNAS LÄN</t>
        </is>
      </c>
      <c r="E151" t="inlineStr">
        <is>
          <t>MORA</t>
        </is>
      </c>
      <c r="G151" t="n">
        <v>5.1</v>
      </c>
      <c r="H151" t="n">
        <v>0</v>
      </c>
      <c r="I151" t="n">
        <v>0</v>
      </c>
      <c r="J151" t="n">
        <v>0</v>
      </c>
      <c r="K151" t="n">
        <v>0</v>
      </c>
      <c r="L151" t="n">
        <v>0</v>
      </c>
      <c r="M151" t="n">
        <v>0</v>
      </c>
      <c r="N151" t="n">
        <v>0</v>
      </c>
      <c r="O151" t="n">
        <v>0</v>
      </c>
      <c r="P151" t="n">
        <v>0</v>
      </c>
      <c r="Q151" t="n">
        <v>0</v>
      </c>
      <c r="R151" s="2" t="inlineStr"/>
    </row>
    <row r="152" ht="15" customHeight="1">
      <c r="A152" t="inlineStr">
        <is>
          <t>A 30985-2024</t>
        </is>
      </c>
      <c r="B152" s="1" t="n">
        <v>45499.51721064815</v>
      </c>
      <c r="C152" s="1" t="n">
        <v>46189</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57859-2022</t>
        </is>
      </c>
      <c r="B153" s="1" t="n">
        <v>44898</v>
      </c>
      <c r="C153" s="1" t="n">
        <v>46189</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24590-2024</t>
        </is>
      </c>
      <c r="B154" s="1" t="n">
        <v>45460</v>
      </c>
      <c r="C154" s="1" t="n">
        <v>46189</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60647-2022</t>
        </is>
      </c>
      <c r="B155" s="1" t="n">
        <v>44911</v>
      </c>
      <c r="C155" s="1" t="n">
        <v>46189</v>
      </c>
      <c r="D155" t="inlineStr">
        <is>
          <t>DALARNAS LÄN</t>
        </is>
      </c>
      <c r="E155" t="inlineStr">
        <is>
          <t>MORA</t>
        </is>
      </c>
      <c r="G155" t="n">
        <v>4.8</v>
      </c>
      <c r="H155" t="n">
        <v>0</v>
      </c>
      <c r="I155" t="n">
        <v>0</v>
      </c>
      <c r="J155" t="n">
        <v>0</v>
      </c>
      <c r="K155" t="n">
        <v>0</v>
      </c>
      <c r="L155" t="n">
        <v>0</v>
      </c>
      <c r="M155" t="n">
        <v>0</v>
      </c>
      <c r="N155" t="n">
        <v>0</v>
      </c>
      <c r="O155" t="n">
        <v>0</v>
      </c>
      <c r="P155" t="n">
        <v>0</v>
      </c>
      <c r="Q155" t="n">
        <v>0</v>
      </c>
      <c r="R155" s="2" t="inlineStr"/>
    </row>
    <row r="156" ht="15" customHeight="1">
      <c r="A156" t="inlineStr">
        <is>
          <t>A 42934-2024</t>
        </is>
      </c>
      <c r="B156" s="1" t="n">
        <v>45567.33655092592</v>
      </c>
      <c r="C156" s="1" t="n">
        <v>46189</v>
      </c>
      <c r="D156" t="inlineStr">
        <is>
          <t>DALARNAS LÄN</t>
        </is>
      </c>
      <c r="E156" t="inlineStr">
        <is>
          <t>MORA</t>
        </is>
      </c>
      <c r="G156" t="n">
        <v>0.7</v>
      </c>
      <c r="H156" t="n">
        <v>0</v>
      </c>
      <c r="I156" t="n">
        <v>0</v>
      </c>
      <c r="J156" t="n">
        <v>0</v>
      </c>
      <c r="K156" t="n">
        <v>0</v>
      </c>
      <c r="L156" t="n">
        <v>0</v>
      </c>
      <c r="M156" t="n">
        <v>0</v>
      </c>
      <c r="N156" t="n">
        <v>0</v>
      </c>
      <c r="O156" t="n">
        <v>0</v>
      </c>
      <c r="P156" t="n">
        <v>0</v>
      </c>
      <c r="Q156" t="n">
        <v>0</v>
      </c>
      <c r="R156" s="2" t="inlineStr"/>
    </row>
    <row r="157" ht="15" customHeight="1">
      <c r="A157" t="inlineStr">
        <is>
          <t>A 2830-2023</t>
        </is>
      </c>
      <c r="B157" s="1" t="n">
        <v>44945.32997685186</v>
      </c>
      <c r="C157" s="1" t="n">
        <v>46189</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61654-2024</t>
        </is>
      </c>
      <c r="B158" s="1" t="n">
        <v>45646.74988425926</v>
      </c>
      <c r="C158" s="1" t="n">
        <v>46189</v>
      </c>
      <c r="D158" t="inlineStr">
        <is>
          <t>DALARNAS LÄN</t>
        </is>
      </c>
      <c r="E158" t="inlineStr">
        <is>
          <t>MORA</t>
        </is>
      </c>
      <c r="G158" t="n">
        <v>1.7</v>
      </c>
      <c r="H158" t="n">
        <v>0</v>
      </c>
      <c r="I158" t="n">
        <v>0</v>
      </c>
      <c r="J158" t="n">
        <v>0</v>
      </c>
      <c r="K158" t="n">
        <v>0</v>
      </c>
      <c r="L158" t="n">
        <v>0</v>
      </c>
      <c r="M158" t="n">
        <v>0</v>
      </c>
      <c r="N158" t="n">
        <v>0</v>
      </c>
      <c r="O158" t="n">
        <v>0</v>
      </c>
      <c r="P158" t="n">
        <v>0</v>
      </c>
      <c r="Q158" t="n">
        <v>0</v>
      </c>
      <c r="R158" s="2" t="inlineStr"/>
    </row>
    <row r="159" ht="15" customHeight="1">
      <c r="A159" t="inlineStr">
        <is>
          <t>A 54628-2024</t>
        </is>
      </c>
      <c r="B159" s="1" t="n">
        <v>45617.83969907407</v>
      </c>
      <c r="C159" s="1" t="n">
        <v>46189</v>
      </c>
      <c r="D159" t="inlineStr">
        <is>
          <t>DALARNAS LÄN</t>
        </is>
      </c>
      <c r="E159" t="inlineStr">
        <is>
          <t>MORA</t>
        </is>
      </c>
      <c r="G159" t="n">
        <v>1.1</v>
      </c>
      <c r="H159" t="n">
        <v>0</v>
      </c>
      <c r="I159" t="n">
        <v>0</v>
      </c>
      <c r="J159" t="n">
        <v>0</v>
      </c>
      <c r="K159" t="n">
        <v>0</v>
      </c>
      <c r="L159" t="n">
        <v>0</v>
      </c>
      <c r="M159" t="n">
        <v>0</v>
      </c>
      <c r="N159" t="n">
        <v>0</v>
      </c>
      <c r="O159" t="n">
        <v>0</v>
      </c>
      <c r="P159" t="n">
        <v>0</v>
      </c>
      <c r="Q159" t="n">
        <v>0</v>
      </c>
      <c r="R159" s="2" t="inlineStr"/>
    </row>
    <row r="160" ht="15" customHeight="1">
      <c r="A160" t="inlineStr">
        <is>
          <t>A 1252-2025</t>
        </is>
      </c>
      <c r="B160" s="1" t="n">
        <v>45667.46648148148</v>
      </c>
      <c r="C160" s="1" t="n">
        <v>46189</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39348-2024</t>
        </is>
      </c>
      <c r="B161" s="1" t="n">
        <v>45551.45322916667</v>
      </c>
      <c r="C161" s="1" t="n">
        <v>46189</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34660-2021</t>
        </is>
      </c>
      <c r="B162" s="1" t="n">
        <v>44382.57981481482</v>
      </c>
      <c r="C162" s="1" t="n">
        <v>46189</v>
      </c>
      <c r="D162" t="inlineStr">
        <is>
          <t>DALARNAS LÄN</t>
        </is>
      </c>
      <c r="E162" t="inlineStr">
        <is>
          <t>MORA</t>
        </is>
      </c>
      <c r="G162" t="n">
        <v>7.5</v>
      </c>
      <c r="H162" t="n">
        <v>0</v>
      </c>
      <c r="I162" t="n">
        <v>0</v>
      </c>
      <c r="J162" t="n">
        <v>0</v>
      </c>
      <c r="K162" t="n">
        <v>0</v>
      </c>
      <c r="L162" t="n">
        <v>0</v>
      </c>
      <c r="M162" t="n">
        <v>0</v>
      </c>
      <c r="N162" t="n">
        <v>0</v>
      </c>
      <c r="O162" t="n">
        <v>0</v>
      </c>
      <c r="P162" t="n">
        <v>0</v>
      </c>
      <c r="Q162" t="n">
        <v>0</v>
      </c>
      <c r="R162" s="2" t="inlineStr"/>
    </row>
    <row r="163" ht="15" customHeight="1">
      <c r="A163" t="inlineStr">
        <is>
          <t>A 56012-2023</t>
        </is>
      </c>
      <c r="B163" s="1" t="n">
        <v>45240</v>
      </c>
      <c r="C163" s="1" t="n">
        <v>46189</v>
      </c>
      <c r="D163" t="inlineStr">
        <is>
          <t>DALARNAS LÄN</t>
        </is>
      </c>
      <c r="E163" t="inlineStr">
        <is>
          <t>MORA</t>
        </is>
      </c>
      <c r="G163" t="n">
        <v>0.3</v>
      </c>
      <c r="H163" t="n">
        <v>0</v>
      </c>
      <c r="I163" t="n">
        <v>0</v>
      </c>
      <c r="J163" t="n">
        <v>0</v>
      </c>
      <c r="K163" t="n">
        <v>0</v>
      </c>
      <c r="L163" t="n">
        <v>0</v>
      </c>
      <c r="M163" t="n">
        <v>0</v>
      </c>
      <c r="N163" t="n">
        <v>0</v>
      </c>
      <c r="O163" t="n">
        <v>0</v>
      </c>
      <c r="P163" t="n">
        <v>0</v>
      </c>
      <c r="Q163" t="n">
        <v>0</v>
      </c>
      <c r="R163" s="2" t="inlineStr"/>
    </row>
    <row r="164" ht="15" customHeight="1">
      <c r="A164" t="inlineStr">
        <is>
          <t>A 2308-2023</t>
        </is>
      </c>
      <c r="B164" s="1" t="n">
        <v>44942.57987268519</v>
      </c>
      <c r="C164" s="1" t="n">
        <v>46189</v>
      </c>
      <c r="D164" t="inlineStr">
        <is>
          <t>DALARNAS LÄN</t>
        </is>
      </c>
      <c r="E164" t="inlineStr">
        <is>
          <t>MORA</t>
        </is>
      </c>
      <c r="G164" t="n">
        <v>2.2</v>
      </c>
      <c r="H164" t="n">
        <v>0</v>
      </c>
      <c r="I164" t="n">
        <v>0</v>
      </c>
      <c r="J164" t="n">
        <v>0</v>
      </c>
      <c r="K164" t="n">
        <v>0</v>
      </c>
      <c r="L164" t="n">
        <v>0</v>
      </c>
      <c r="M164" t="n">
        <v>0</v>
      </c>
      <c r="N164" t="n">
        <v>0</v>
      </c>
      <c r="O164" t="n">
        <v>0</v>
      </c>
      <c r="P164" t="n">
        <v>0</v>
      </c>
      <c r="Q164" t="n">
        <v>0</v>
      </c>
      <c r="R164" s="2" t="inlineStr"/>
    </row>
    <row r="165" ht="15" customHeight="1">
      <c r="A165" t="inlineStr">
        <is>
          <t>A 24335-2022</t>
        </is>
      </c>
      <c r="B165" s="1" t="n">
        <v>44725</v>
      </c>
      <c r="C165" s="1" t="n">
        <v>46189</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45674-2024</t>
        </is>
      </c>
      <c r="B166" s="1" t="n">
        <v>45573</v>
      </c>
      <c r="C166" s="1" t="n">
        <v>46189</v>
      </c>
      <c r="D166" t="inlineStr">
        <is>
          <t>DALARNAS LÄN</t>
        </is>
      </c>
      <c r="E166" t="inlineStr">
        <is>
          <t>MORA</t>
        </is>
      </c>
      <c r="G166" t="n">
        <v>3.2</v>
      </c>
      <c r="H166" t="n">
        <v>0</v>
      </c>
      <c r="I166" t="n">
        <v>0</v>
      </c>
      <c r="J166" t="n">
        <v>0</v>
      </c>
      <c r="K166" t="n">
        <v>0</v>
      </c>
      <c r="L166" t="n">
        <v>0</v>
      </c>
      <c r="M166" t="n">
        <v>0</v>
      </c>
      <c r="N166" t="n">
        <v>0</v>
      </c>
      <c r="O166" t="n">
        <v>0</v>
      </c>
      <c r="P166" t="n">
        <v>0</v>
      </c>
      <c r="Q166" t="n">
        <v>0</v>
      </c>
      <c r="R166" s="2" t="inlineStr"/>
    </row>
    <row r="167" ht="15" customHeight="1">
      <c r="A167" t="inlineStr">
        <is>
          <t>A 5216-2025</t>
        </is>
      </c>
      <c r="B167" s="1" t="n">
        <v>45691.69671296296</v>
      </c>
      <c r="C167" s="1" t="n">
        <v>46189</v>
      </c>
      <c r="D167" t="inlineStr">
        <is>
          <t>DALARNAS LÄN</t>
        </is>
      </c>
      <c r="E167" t="inlineStr">
        <is>
          <t>MORA</t>
        </is>
      </c>
      <c r="G167" t="n">
        <v>2.5</v>
      </c>
      <c r="H167" t="n">
        <v>0</v>
      </c>
      <c r="I167" t="n">
        <v>0</v>
      </c>
      <c r="J167" t="n">
        <v>0</v>
      </c>
      <c r="K167" t="n">
        <v>0</v>
      </c>
      <c r="L167" t="n">
        <v>0</v>
      </c>
      <c r="M167" t="n">
        <v>0</v>
      </c>
      <c r="N167" t="n">
        <v>0</v>
      </c>
      <c r="O167" t="n">
        <v>0</v>
      </c>
      <c r="P167" t="n">
        <v>0</v>
      </c>
      <c r="Q167" t="n">
        <v>0</v>
      </c>
      <c r="R167" s="2" t="inlineStr"/>
    </row>
    <row r="168" ht="15" customHeight="1">
      <c r="A168" t="inlineStr">
        <is>
          <t>A 53344-2023</t>
        </is>
      </c>
      <c r="B168" s="1" t="n">
        <v>45229</v>
      </c>
      <c r="C168" s="1" t="n">
        <v>46189</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40286-2024</t>
        </is>
      </c>
      <c r="B169" s="1" t="n">
        <v>45554.6687037037</v>
      </c>
      <c r="C169" s="1" t="n">
        <v>46189</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45390-2024</t>
        </is>
      </c>
      <c r="B170" s="1" t="n">
        <v>45576.54820601852</v>
      </c>
      <c r="C170" s="1" t="n">
        <v>46189</v>
      </c>
      <c r="D170" t="inlineStr">
        <is>
          <t>DALARNAS LÄN</t>
        </is>
      </c>
      <c r="E170" t="inlineStr">
        <is>
          <t>MORA</t>
        </is>
      </c>
      <c r="F170" t="inlineStr">
        <is>
          <t>Bergvik skog väst AB</t>
        </is>
      </c>
      <c r="G170" t="n">
        <v>5.6</v>
      </c>
      <c r="H170" t="n">
        <v>0</v>
      </c>
      <c r="I170" t="n">
        <v>0</v>
      </c>
      <c r="J170" t="n">
        <v>0</v>
      </c>
      <c r="K170" t="n">
        <v>0</v>
      </c>
      <c r="L170" t="n">
        <v>0</v>
      </c>
      <c r="M170" t="n">
        <v>0</v>
      </c>
      <c r="N170" t="n">
        <v>0</v>
      </c>
      <c r="O170" t="n">
        <v>0</v>
      </c>
      <c r="P170" t="n">
        <v>0</v>
      </c>
      <c r="Q170" t="n">
        <v>0</v>
      </c>
      <c r="R170" s="2" t="inlineStr"/>
    </row>
    <row r="171" ht="15" customHeight="1">
      <c r="A171" t="inlineStr">
        <is>
          <t>A 48824-2023</t>
        </is>
      </c>
      <c r="B171" s="1" t="n">
        <v>45203</v>
      </c>
      <c r="C171" s="1" t="n">
        <v>46189</v>
      </c>
      <c r="D171" t="inlineStr">
        <is>
          <t>DALARNAS LÄN</t>
        </is>
      </c>
      <c r="E171" t="inlineStr">
        <is>
          <t>MORA</t>
        </is>
      </c>
      <c r="G171" t="n">
        <v>3.3</v>
      </c>
      <c r="H171" t="n">
        <v>0</v>
      </c>
      <c r="I171" t="n">
        <v>0</v>
      </c>
      <c r="J171" t="n">
        <v>0</v>
      </c>
      <c r="K171" t="n">
        <v>0</v>
      </c>
      <c r="L171" t="n">
        <v>0</v>
      </c>
      <c r="M171" t="n">
        <v>0</v>
      </c>
      <c r="N171" t="n">
        <v>0</v>
      </c>
      <c r="O171" t="n">
        <v>0</v>
      </c>
      <c r="P171" t="n">
        <v>0</v>
      </c>
      <c r="Q171" t="n">
        <v>0</v>
      </c>
      <c r="R171" s="2" t="inlineStr"/>
    </row>
    <row r="172" ht="15" customHeight="1">
      <c r="A172" t="inlineStr">
        <is>
          <t>A 59448-2022</t>
        </is>
      </c>
      <c r="B172" s="1" t="n">
        <v>44907</v>
      </c>
      <c r="C172" s="1" t="n">
        <v>46189</v>
      </c>
      <c r="D172" t="inlineStr">
        <is>
          <t>DALARNAS LÄN</t>
        </is>
      </c>
      <c r="E172" t="inlineStr">
        <is>
          <t>MORA</t>
        </is>
      </c>
      <c r="G172" t="n">
        <v>35.7</v>
      </c>
      <c r="H172" t="n">
        <v>0</v>
      </c>
      <c r="I172" t="n">
        <v>0</v>
      </c>
      <c r="J172" t="n">
        <v>0</v>
      </c>
      <c r="K172" t="n">
        <v>0</v>
      </c>
      <c r="L172" t="n">
        <v>0</v>
      </c>
      <c r="M172" t="n">
        <v>0</v>
      </c>
      <c r="N172" t="n">
        <v>0</v>
      </c>
      <c r="O172" t="n">
        <v>0</v>
      </c>
      <c r="P172" t="n">
        <v>0</v>
      </c>
      <c r="Q172" t="n">
        <v>0</v>
      </c>
      <c r="R172" s="2" t="inlineStr"/>
    </row>
    <row r="173" ht="15" customHeight="1">
      <c r="A173" t="inlineStr">
        <is>
          <t>A 57797-2022</t>
        </is>
      </c>
      <c r="B173" s="1" t="n">
        <v>44897</v>
      </c>
      <c r="C173" s="1" t="n">
        <v>46189</v>
      </c>
      <c r="D173" t="inlineStr">
        <is>
          <t>DALARNAS LÄN</t>
        </is>
      </c>
      <c r="E173" t="inlineStr">
        <is>
          <t>MORA</t>
        </is>
      </c>
      <c r="G173" t="n">
        <v>3.1</v>
      </c>
      <c r="H173" t="n">
        <v>0</v>
      </c>
      <c r="I173" t="n">
        <v>0</v>
      </c>
      <c r="J173" t="n">
        <v>0</v>
      </c>
      <c r="K173" t="n">
        <v>0</v>
      </c>
      <c r="L173" t="n">
        <v>0</v>
      </c>
      <c r="M173" t="n">
        <v>0</v>
      </c>
      <c r="N173" t="n">
        <v>0</v>
      </c>
      <c r="O173" t="n">
        <v>0</v>
      </c>
      <c r="P173" t="n">
        <v>0</v>
      </c>
      <c r="Q173" t="n">
        <v>0</v>
      </c>
      <c r="R173" s="2" t="inlineStr"/>
    </row>
    <row r="174" ht="15" customHeight="1">
      <c r="A174" t="inlineStr">
        <is>
          <t>A 20504-2023</t>
        </is>
      </c>
      <c r="B174" s="1" t="n">
        <v>45057</v>
      </c>
      <c r="C174" s="1" t="n">
        <v>46189</v>
      </c>
      <c r="D174" t="inlineStr">
        <is>
          <t>DALARNAS LÄN</t>
        </is>
      </c>
      <c r="E174" t="inlineStr">
        <is>
          <t>MORA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19756-2022</t>
        </is>
      </c>
      <c r="B175" s="1" t="n">
        <v>44694.62913194444</v>
      </c>
      <c r="C175" s="1" t="n">
        <v>46189</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44595-2024</t>
        </is>
      </c>
      <c r="B176" s="1" t="n">
        <v>45574.51053240741</v>
      </c>
      <c r="C176" s="1" t="n">
        <v>46189</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43566-2023</t>
        </is>
      </c>
      <c r="B177" s="1" t="n">
        <v>45184.58199074074</v>
      </c>
      <c r="C177" s="1" t="n">
        <v>46189</v>
      </c>
      <c r="D177" t="inlineStr">
        <is>
          <t>DALARNAS LÄN</t>
        </is>
      </c>
      <c r="E177" t="inlineStr">
        <is>
          <t>MORA</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53743-2024</t>
        </is>
      </c>
      <c r="B178" s="1" t="n">
        <v>45615.47137731482</v>
      </c>
      <c r="C178" s="1" t="n">
        <v>46189</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64088-2023</t>
        </is>
      </c>
      <c r="B179" s="1" t="n">
        <v>45279.43570601852</v>
      </c>
      <c r="C179" s="1" t="n">
        <v>46189</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42611-2022</t>
        </is>
      </c>
      <c r="B180" s="1" t="n">
        <v>44831.81482638889</v>
      </c>
      <c r="C180" s="1" t="n">
        <v>46189</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11857-2023</t>
        </is>
      </c>
      <c r="B181" s="1" t="n">
        <v>44995</v>
      </c>
      <c r="C181" s="1" t="n">
        <v>46189</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15416-2023</t>
        </is>
      </c>
      <c r="B182" s="1" t="n">
        <v>45019.71342592593</v>
      </c>
      <c r="C182" s="1" t="n">
        <v>46189</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25935-2023</t>
        </is>
      </c>
      <c r="B183" s="1" t="n">
        <v>45090.68675925926</v>
      </c>
      <c r="C183" s="1" t="n">
        <v>46189</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24768-2024</t>
        </is>
      </c>
      <c r="B184" s="1" t="n">
        <v>45460.69545138889</v>
      </c>
      <c r="C184" s="1" t="n">
        <v>46189</v>
      </c>
      <c r="D184" t="inlineStr">
        <is>
          <t>DALARNAS LÄN</t>
        </is>
      </c>
      <c r="E184" t="inlineStr">
        <is>
          <t>MORA</t>
        </is>
      </c>
      <c r="G184" t="n">
        <v>2.4</v>
      </c>
      <c r="H184" t="n">
        <v>0</v>
      </c>
      <c r="I184" t="n">
        <v>0</v>
      </c>
      <c r="J184" t="n">
        <v>0</v>
      </c>
      <c r="K184" t="n">
        <v>0</v>
      </c>
      <c r="L184" t="n">
        <v>0</v>
      </c>
      <c r="M184" t="n">
        <v>0</v>
      </c>
      <c r="N184" t="n">
        <v>0</v>
      </c>
      <c r="O184" t="n">
        <v>0</v>
      </c>
      <c r="P184" t="n">
        <v>0</v>
      </c>
      <c r="Q184" t="n">
        <v>0</v>
      </c>
      <c r="R184" s="2" t="inlineStr"/>
    </row>
    <row r="185" ht="15" customHeight="1">
      <c r="A185" t="inlineStr">
        <is>
          <t>A 15818-2024</t>
        </is>
      </c>
      <c r="B185" s="1" t="n">
        <v>45404.67442129629</v>
      </c>
      <c r="C185" s="1" t="n">
        <v>46189</v>
      </c>
      <c r="D185" t="inlineStr">
        <is>
          <t>DALARNAS LÄN</t>
        </is>
      </c>
      <c r="E185" t="inlineStr">
        <is>
          <t>MORA</t>
        </is>
      </c>
      <c r="G185" t="n">
        <v>7</v>
      </c>
      <c r="H185" t="n">
        <v>0</v>
      </c>
      <c r="I185" t="n">
        <v>0</v>
      </c>
      <c r="J185" t="n">
        <v>0</v>
      </c>
      <c r="K185" t="n">
        <v>0</v>
      </c>
      <c r="L185" t="n">
        <v>0</v>
      </c>
      <c r="M185" t="n">
        <v>0</v>
      </c>
      <c r="N185" t="n">
        <v>0</v>
      </c>
      <c r="O185" t="n">
        <v>0</v>
      </c>
      <c r="P185" t="n">
        <v>0</v>
      </c>
      <c r="Q185" t="n">
        <v>0</v>
      </c>
      <c r="R185" s="2" t="inlineStr"/>
    </row>
    <row r="186" ht="15" customHeight="1">
      <c r="A186" t="inlineStr">
        <is>
          <t>A 27420-2024</t>
        </is>
      </c>
      <c r="B186" s="1" t="n">
        <v>45474.37850694444</v>
      </c>
      <c r="C186" s="1" t="n">
        <v>46189</v>
      </c>
      <c r="D186" t="inlineStr">
        <is>
          <t>DALARNAS LÄN</t>
        </is>
      </c>
      <c r="E186" t="inlineStr">
        <is>
          <t>MORA</t>
        </is>
      </c>
      <c r="G186" t="n">
        <v>7.3</v>
      </c>
      <c r="H186" t="n">
        <v>0</v>
      </c>
      <c r="I186" t="n">
        <v>0</v>
      </c>
      <c r="J186" t="n">
        <v>0</v>
      </c>
      <c r="K186" t="n">
        <v>0</v>
      </c>
      <c r="L186" t="n">
        <v>0</v>
      </c>
      <c r="M186" t="n">
        <v>0</v>
      </c>
      <c r="N186" t="n">
        <v>0</v>
      </c>
      <c r="O186" t="n">
        <v>0</v>
      </c>
      <c r="P186" t="n">
        <v>0</v>
      </c>
      <c r="Q186" t="n">
        <v>0</v>
      </c>
      <c r="R186" s="2" t="inlineStr"/>
    </row>
    <row r="187" ht="15" customHeight="1">
      <c r="A187" t="inlineStr">
        <is>
          <t>A 35040-2023</t>
        </is>
      </c>
      <c r="B187" s="1" t="n">
        <v>45145.36853009259</v>
      </c>
      <c r="C187" s="1" t="n">
        <v>46189</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50911-2024</t>
        </is>
      </c>
      <c r="B188" s="1" t="n">
        <v>45602.7022337963</v>
      </c>
      <c r="C188" s="1" t="n">
        <v>46189</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58036-2024</t>
        </is>
      </c>
      <c r="B189" s="1" t="n">
        <v>45631.71893518518</v>
      </c>
      <c r="C189" s="1" t="n">
        <v>46189</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28964-2024</t>
        </is>
      </c>
      <c r="B190" s="1" t="n">
        <v>45481.42923611111</v>
      </c>
      <c r="C190" s="1" t="n">
        <v>46189</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12920-2022</t>
        </is>
      </c>
      <c r="B191" s="1" t="n">
        <v>44642.65418981481</v>
      </c>
      <c r="C191" s="1" t="n">
        <v>46189</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61188-2024</t>
        </is>
      </c>
      <c r="B192" s="1" t="n">
        <v>45645.62282407407</v>
      </c>
      <c r="C192" s="1" t="n">
        <v>46189</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58089-2024</t>
        </is>
      </c>
      <c r="B193" s="1" t="n">
        <v>45632.34984953704</v>
      </c>
      <c r="C193" s="1" t="n">
        <v>46189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43533-2023</t>
        </is>
      </c>
      <c r="B194" s="1" t="n">
        <v>45184.53412037037</v>
      </c>
      <c r="C194" s="1" t="n">
        <v>46189</v>
      </c>
      <c r="D194" t="inlineStr">
        <is>
          <t>DALARNAS LÄN</t>
        </is>
      </c>
      <c r="E194" t="inlineStr">
        <is>
          <t>MORA</t>
        </is>
      </c>
      <c r="F194" t="inlineStr">
        <is>
          <t>Bergvik skog väst AB</t>
        </is>
      </c>
      <c r="G194" t="n">
        <v>10.3</v>
      </c>
      <c r="H194" t="n">
        <v>0</v>
      </c>
      <c r="I194" t="n">
        <v>0</v>
      </c>
      <c r="J194" t="n">
        <v>0</v>
      </c>
      <c r="K194" t="n">
        <v>0</v>
      </c>
      <c r="L194" t="n">
        <v>0</v>
      </c>
      <c r="M194" t="n">
        <v>0</v>
      </c>
      <c r="N194" t="n">
        <v>0</v>
      </c>
      <c r="O194" t="n">
        <v>0</v>
      </c>
      <c r="P194" t="n">
        <v>0</v>
      </c>
      <c r="Q194" t="n">
        <v>0</v>
      </c>
      <c r="R194" s="2" t="inlineStr"/>
    </row>
    <row r="195" ht="15" customHeight="1">
      <c r="A195" t="inlineStr">
        <is>
          <t>A 30998-2022</t>
        </is>
      </c>
      <c r="B195" s="1" t="n">
        <v>44768</v>
      </c>
      <c r="C195" s="1" t="n">
        <v>46189</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17164-2025</t>
        </is>
      </c>
      <c r="B196" s="1" t="n">
        <v>45756.36403935185</v>
      </c>
      <c r="C196" s="1" t="n">
        <v>46189</v>
      </c>
      <c r="D196" t="inlineStr">
        <is>
          <t>DALARNAS LÄN</t>
        </is>
      </c>
      <c r="E196" t="inlineStr">
        <is>
          <t>MORA</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37774-2022</t>
        </is>
      </c>
      <c r="B197" s="1" t="n">
        <v>44810.64164351852</v>
      </c>
      <c r="C197" s="1" t="n">
        <v>46189</v>
      </c>
      <c r="D197" t="inlineStr">
        <is>
          <t>DALARNAS LÄN</t>
        </is>
      </c>
      <c r="E197" t="inlineStr">
        <is>
          <t>MORA</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57091-2021</t>
        </is>
      </c>
      <c r="B198" s="1" t="n">
        <v>44482</v>
      </c>
      <c r="C198" s="1" t="n">
        <v>46189</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35287-2024</t>
        </is>
      </c>
      <c r="B199" s="1" t="n">
        <v>45530</v>
      </c>
      <c r="C199" s="1" t="n">
        <v>46189</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30030-2021</t>
        </is>
      </c>
      <c r="B200" s="1" t="n">
        <v>44363</v>
      </c>
      <c r="C200" s="1" t="n">
        <v>46189</v>
      </c>
      <c r="D200" t="inlineStr">
        <is>
          <t>DALARNAS LÄN</t>
        </is>
      </c>
      <c r="E200" t="inlineStr">
        <is>
          <t>MORA</t>
        </is>
      </c>
      <c r="G200" t="n">
        <v>7.1</v>
      </c>
      <c r="H200" t="n">
        <v>0</v>
      </c>
      <c r="I200" t="n">
        <v>0</v>
      </c>
      <c r="J200" t="n">
        <v>0</v>
      </c>
      <c r="K200" t="n">
        <v>0</v>
      </c>
      <c r="L200" t="n">
        <v>0</v>
      </c>
      <c r="M200" t="n">
        <v>0</v>
      </c>
      <c r="N200" t="n">
        <v>0</v>
      </c>
      <c r="O200" t="n">
        <v>0</v>
      </c>
      <c r="P200" t="n">
        <v>0</v>
      </c>
      <c r="Q200" t="n">
        <v>0</v>
      </c>
      <c r="R200" s="2" t="inlineStr"/>
    </row>
    <row r="201" ht="15" customHeight="1">
      <c r="A201" t="inlineStr">
        <is>
          <t>A 31085-2024</t>
        </is>
      </c>
      <c r="B201" s="1" t="n">
        <v>45502.48047453703</v>
      </c>
      <c r="C201" s="1" t="n">
        <v>46189</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5298-2023</t>
        </is>
      </c>
      <c r="B202" s="1" t="n">
        <v>44959.54355324074</v>
      </c>
      <c r="C202" s="1" t="n">
        <v>46189</v>
      </c>
      <c r="D202" t="inlineStr">
        <is>
          <t>DALARNAS LÄN</t>
        </is>
      </c>
      <c r="E202" t="inlineStr">
        <is>
          <t>MORA</t>
        </is>
      </c>
      <c r="F202" t="inlineStr">
        <is>
          <t>Bergvik skog väst AB</t>
        </is>
      </c>
      <c r="G202" t="n">
        <v>6.2</v>
      </c>
      <c r="H202" t="n">
        <v>0</v>
      </c>
      <c r="I202" t="n">
        <v>0</v>
      </c>
      <c r="J202" t="n">
        <v>0</v>
      </c>
      <c r="K202" t="n">
        <v>0</v>
      </c>
      <c r="L202" t="n">
        <v>0</v>
      </c>
      <c r="M202" t="n">
        <v>0</v>
      </c>
      <c r="N202" t="n">
        <v>0</v>
      </c>
      <c r="O202" t="n">
        <v>0</v>
      </c>
      <c r="P202" t="n">
        <v>0</v>
      </c>
      <c r="Q202" t="n">
        <v>0</v>
      </c>
      <c r="R202" s="2" t="inlineStr"/>
    </row>
    <row r="203" ht="15" customHeight="1">
      <c r="A203" t="inlineStr">
        <is>
          <t>A 44071-2024</t>
        </is>
      </c>
      <c r="B203" s="1" t="n">
        <v>45572.60915509259</v>
      </c>
      <c r="C203" s="1" t="n">
        <v>46189</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16967-2025</t>
        </is>
      </c>
      <c r="B204" s="1" t="n">
        <v>45755.46106481482</v>
      </c>
      <c r="C204" s="1" t="n">
        <v>46189</v>
      </c>
      <c r="D204" t="inlineStr">
        <is>
          <t>DALARNAS LÄN</t>
        </is>
      </c>
      <c r="E204" t="inlineStr">
        <is>
          <t>MORA</t>
        </is>
      </c>
      <c r="F204" t="inlineStr">
        <is>
          <t>Bergvik skog öst AB</t>
        </is>
      </c>
      <c r="G204" t="n">
        <v>2.9</v>
      </c>
      <c r="H204" t="n">
        <v>0</v>
      </c>
      <c r="I204" t="n">
        <v>0</v>
      </c>
      <c r="J204" t="n">
        <v>0</v>
      </c>
      <c r="K204" t="n">
        <v>0</v>
      </c>
      <c r="L204" t="n">
        <v>0</v>
      </c>
      <c r="M204" t="n">
        <v>0</v>
      </c>
      <c r="N204" t="n">
        <v>0</v>
      </c>
      <c r="O204" t="n">
        <v>0</v>
      </c>
      <c r="P204" t="n">
        <v>0</v>
      </c>
      <c r="Q204" t="n">
        <v>0</v>
      </c>
      <c r="R204" s="2" t="inlineStr"/>
    </row>
    <row r="205" ht="15" customHeight="1">
      <c r="A205" t="inlineStr">
        <is>
          <t>A 21410-2023</t>
        </is>
      </c>
      <c r="B205" s="1" t="n">
        <v>45063</v>
      </c>
      <c r="C205" s="1" t="n">
        <v>46189</v>
      </c>
      <c r="D205" t="inlineStr">
        <is>
          <t>DALARNAS LÄN</t>
        </is>
      </c>
      <c r="E205" t="inlineStr">
        <is>
          <t>MORA</t>
        </is>
      </c>
      <c r="G205" t="n">
        <v>7</v>
      </c>
      <c r="H205" t="n">
        <v>0</v>
      </c>
      <c r="I205" t="n">
        <v>0</v>
      </c>
      <c r="J205" t="n">
        <v>0</v>
      </c>
      <c r="K205" t="n">
        <v>0</v>
      </c>
      <c r="L205" t="n">
        <v>0</v>
      </c>
      <c r="M205" t="n">
        <v>0</v>
      </c>
      <c r="N205" t="n">
        <v>0</v>
      </c>
      <c r="O205" t="n">
        <v>0</v>
      </c>
      <c r="P205" t="n">
        <v>0</v>
      </c>
      <c r="Q205" t="n">
        <v>0</v>
      </c>
      <c r="R205" s="2" t="inlineStr"/>
    </row>
    <row r="206" ht="15" customHeight="1">
      <c r="A206" t="inlineStr">
        <is>
          <t>A 46801-2022</t>
        </is>
      </c>
      <c r="B206" s="1" t="n">
        <v>44851</v>
      </c>
      <c r="C206" s="1" t="n">
        <v>46189</v>
      </c>
      <c r="D206" t="inlineStr">
        <is>
          <t>DALARNAS LÄN</t>
        </is>
      </c>
      <c r="E206" t="inlineStr">
        <is>
          <t>MORA</t>
        </is>
      </c>
      <c r="G206" t="n">
        <v>1.5</v>
      </c>
      <c r="H206" t="n">
        <v>0</v>
      </c>
      <c r="I206" t="n">
        <v>0</v>
      </c>
      <c r="J206" t="n">
        <v>0</v>
      </c>
      <c r="K206" t="n">
        <v>0</v>
      </c>
      <c r="L206" t="n">
        <v>0</v>
      </c>
      <c r="M206" t="n">
        <v>0</v>
      </c>
      <c r="N206" t="n">
        <v>0</v>
      </c>
      <c r="O206" t="n">
        <v>0</v>
      </c>
      <c r="P206" t="n">
        <v>0</v>
      </c>
      <c r="Q206" t="n">
        <v>0</v>
      </c>
      <c r="R206" s="2" t="inlineStr"/>
    </row>
    <row r="207" ht="15" customHeight="1">
      <c r="A207" t="inlineStr">
        <is>
          <t>A 70141-2021</t>
        </is>
      </c>
      <c r="B207" s="1" t="n">
        <v>44533</v>
      </c>
      <c r="C207" s="1" t="n">
        <v>46189</v>
      </c>
      <c r="D207" t="inlineStr">
        <is>
          <t>DALARNAS LÄN</t>
        </is>
      </c>
      <c r="E207" t="inlineStr">
        <is>
          <t>MORA</t>
        </is>
      </c>
      <c r="G207" t="n">
        <v>4.1</v>
      </c>
      <c r="H207" t="n">
        <v>0</v>
      </c>
      <c r="I207" t="n">
        <v>0</v>
      </c>
      <c r="J207" t="n">
        <v>0</v>
      </c>
      <c r="K207" t="n">
        <v>0</v>
      </c>
      <c r="L207" t="n">
        <v>0</v>
      </c>
      <c r="M207" t="n">
        <v>0</v>
      </c>
      <c r="N207" t="n">
        <v>0</v>
      </c>
      <c r="O207" t="n">
        <v>0</v>
      </c>
      <c r="P207" t="n">
        <v>0</v>
      </c>
      <c r="Q207" t="n">
        <v>0</v>
      </c>
      <c r="R207" s="2" t="inlineStr"/>
    </row>
    <row r="208" ht="15" customHeight="1">
      <c r="A208" t="inlineStr">
        <is>
          <t>A 40949-2023</t>
        </is>
      </c>
      <c r="B208" s="1" t="n">
        <v>45173</v>
      </c>
      <c r="C208" s="1" t="n">
        <v>46189</v>
      </c>
      <c r="D208" t="inlineStr">
        <is>
          <t>DALARNAS LÄN</t>
        </is>
      </c>
      <c r="E208" t="inlineStr">
        <is>
          <t>MORA</t>
        </is>
      </c>
      <c r="F208" t="inlineStr">
        <is>
          <t>Kyrkan</t>
        </is>
      </c>
      <c r="G208" t="n">
        <v>0.5</v>
      </c>
      <c r="H208" t="n">
        <v>0</v>
      </c>
      <c r="I208" t="n">
        <v>0</v>
      </c>
      <c r="J208" t="n">
        <v>0</v>
      </c>
      <c r="K208" t="n">
        <v>0</v>
      </c>
      <c r="L208" t="n">
        <v>0</v>
      </c>
      <c r="M208" t="n">
        <v>0</v>
      </c>
      <c r="N208" t="n">
        <v>0</v>
      </c>
      <c r="O208" t="n">
        <v>0</v>
      </c>
      <c r="P208" t="n">
        <v>0</v>
      </c>
      <c r="Q208" t="n">
        <v>0</v>
      </c>
      <c r="R208" s="2" t="inlineStr"/>
    </row>
    <row r="209" ht="15" customHeight="1">
      <c r="A209" t="inlineStr">
        <is>
          <t>A 66232-2021</t>
        </is>
      </c>
      <c r="B209" s="1" t="n">
        <v>44518.39234953704</v>
      </c>
      <c r="C209" s="1" t="n">
        <v>46189</v>
      </c>
      <c r="D209" t="inlineStr">
        <is>
          <t>DALARNAS LÄN</t>
        </is>
      </c>
      <c r="E209" t="inlineStr">
        <is>
          <t>MORA</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44307-2021</t>
        </is>
      </c>
      <c r="B210" s="1" t="n">
        <v>44435</v>
      </c>
      <c r="C210" s="1" t="n">
        <v>46189</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34272-2024</t>
        </is>
      </c>
      <c r="B211" s="1" t="n">
        <v>45524.61752314815</v>
      </c>
      <c r="C211" s="1" t="n">
        <v>46189</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28131-2024</t>
        </is>
      </c>
      <c r="B212" s="1" t="n">
        <v>45476.68435185185</v>
      </c>
      <c r="C212" s="1" t="n">
        <v>46189</v>
      </c>
      <c r="D212" t="inlineStr">
        <is>
          <t>DALARNAS LÄN</t>
        </is>
      </c>
      <c r="E212" t="inlineStr">
        <is>
          <t>MORA</t>
        </is>
      </c>
      <c r="G212" t="n">
        <v>0.8</v>
      </c>
      <c r="H212" t="n">
        <v>0</v>
      </c>
      <c r="I212" t="n">
        <v>0</v>
      </c>
      <c r="J212" t="n">
        <v>0</v>
      </c>
      <c r="K212" t="n">
        <v>0</v>
      </c>
      <c r="L212" t="n">
        <v>0</v>
      </c>
      <c r="M212" t="n">
        <v>0</v>
      </c>
      <c r="N212" t="n">
        <v>0</v>
      </c>
      <c r="O212" t="n">
        <v>0</v>
      </c>
      <c r="P212" t="n">
        <v>0</v>
      </c>
      <c r="Q212" t="n">
        <v>0</v>
      </c>
      <c r="R212" s="2" t="inlineStr"/>
    </row>
    <row r="213" ht="15" customHeight="1">
      <c r="A213" t="inlineStr">
        <is>
          <t>A 28132-2024</t>
        </is>
      </c>
      <c r="B213" s="1" t="n">
        <v>45476.68616898148</v>
      </c>
      <c r="C213" s="1" t="n">
        <v>46189</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57608-2021</t>
        </is>
      </c>
      <c r="B214" s="1" t="n">
        <v>44484</v>
      </c>
      <c r="C214" s="1" t="n">
        <v>46189</v>
      </c>
      <c r="D214" t="inlineStr">
        <is>
          <t>DALARNAS LÄN</t>
        </is>
      </c>
      <c r="E214" t="inlineStr">
        <is>
          <t>MORA</t>
        </is>
      </c>
      <c r="G214" t="n">
        <v>6.3</v>
      </c>
      <c r="H214" t="n">
        <v>0</v>
      </c>
      <c r="I214" t="n">
        <v>0</v>
      </c>
      <c r="J214" t="n">
        <v>0</v>
      </c>
      <c r="K214" t="n">
        <v>0</v>
      </c>
      <c r="L214" t="n">
        <v>0</v>
      </c>
      <c r="M214" t="n">
        <v>0</v>
      </c>
      <c r="N214" t="n">
        <v>0</v>
      </c>
      <c r="O214" t="n">
        <v>0</v>
      </c>
      <c r="P214" t="n">
        <v>0</v>
      </c>
      <c r="Q214" t="n">
        <v>0</v>
      </c>
      <c r="R214" s="2" t="inlineStr"/>
    </row>
    <row r="215" ht="15" customHeight="1">
      <c r="A215" t="inlineStr">
        <is>
          <t>A 23586-2023</t>
        </is>
      </c>
      <c r="B215" s="1" t="n">
        <v>45077</v>
      </c>
      <c r="C215" s="1" t="n">
        <v>46189</v>
      </c>
      <c r="D215" t="inlineStr">
        <is>
          <t>DALARNAS LÄN</t>
        </is>
      </c>
      <c r="E215" t="inlineStr">
        <is>
          <t>MORA</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40147-2025</t>
        </is>
      </c>
      <c r="B216" s="1" t="n">
        <v>45894.57918981482</v>
      </c>
      <c r="C216" s="1" t="n">
        <v>46189</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39824-2025</t>
        </is>
      </c>
      <c r="B217" s="1" t="n">
        <v>45891</v>
      </c>
      <c r="C217" s="1" t="n">
        <v>46189</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5644-2024</t>
        </is>
      </c>
      <c r="B218" s="1" t="n">
        <v>45334</v>
      </c>
      <c r="C218" s="1" t="n">
        <v>46189</v>
      </c>
      <c r="D218" t="inlineStr">
        <is>
          <t>DALARNAS LÄN</t>
        </is>
      </c>
      <c r="E218" t="inlineStr">
        <is>
          <t>MORA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25737-2025</t>
        </is>
      </c>
      <c r="B219" s="1" t="n">
        <v>45800</v>
      </c>
      <c r="C219" s="1" t="n">
        <v>46189</v>
      </c>
      <c r="D219" t="inlineStr">
        <is>
          <t>DALARNAS LÄN</t>
        </is>
      </c>
      <c r="E219" t="inlineStr">
        <is>
          <t>MORA</t>
        </is>
      </c>
      <c r="G219" t="n">
        <v>9.6</v>
      </c>
      <c r="H219" t="n">
        <v>0</v>
      </c>
      <c r="I219" t="n">
        <v>0</v>
      </c>
      <c r="J219" t="n">
        <v>0</v>
      </c>
      <c r="K219" t="n">
        <v>0</v>
      </c>
      <c r="L219" t="n">
        <v>0</v>
      </c>
      <c r="M219" t="n">
        <v>0</v>
      </c>
      <c r="N219" t="n">
        <v>0</v>
      </c>
      <c r="O219" t="n">
        <v>0</v>
      </c>
      <c r="P219" t="n">
        <v>0</v>
      </c>
      <c r="Q219" t="n">
        <v>0</v>
      </c>
      <c r="R219" s="2" t="inlineStr"/>
    </row>
    <row r="220" ht="15" customHeight="1">
      <c r="A220" t="inlineStr">
        <is>
          <t>A 39787-2025</t>
        </is>
      </c>
      <c r="B220" s="1" t="n">
        <v>45891</v>
      </c>
      <c r="C220" s="1" t="n">
        <v>46189</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40142-2025</t>
        </is>
      </c>
      <c r="B221" s="1" t="n">
        <v>45894.57202546296</v>
      </c>
      <c r="C221" s="1" t="n">
        <v>46189</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40660-2025</t>
        </is>
      </c>
      <c r="B222" s="1" t="n">
        <v>45896.64631944444</v>
      </c>
      <c r="C222" s="1" t="n">
        <v>46189</v>
      </c>
      <c r="D222" t="inlineStr">
        <is>
          <t>DALARNAS LÄN</t>
        </is>
      </c>
      <c r="E222" t="inlineStr">
        <is>
          <t>MORA</t>
        </is>
      </c>
      <c r="F222" t="inlineStr">
        <is>
          <t>Bergvik skog väst AB</t>
        </is>
      </c>
      <c r="G222" t="n">
        <v>5.4</v>
      </c>
      <c r="H222" t="n">
        <v>0</v>
      </c>
      <c r="I222" t="n">
        <v>0</v>
      </c>
      <c r="J222" t="n">
        <v>0</v>
      </c>
      <c r="K222" t="n">
        <v>0</v>
      </c>
      <c r="L222" t="n">
        <v>0</v>
      </c>
      <c r="M222" t="n">
        <v>0</v>
      </c>
      <c r="N222" t="n">
        <v>0</v>
      </c>
      <c r="O222" t="n">
        <v>0</v>
      </c>
      <c r="P222" t="n">
        <v>0</v>
      </c>
      <c r="Q222" t="n">
        <v>0</v>
      </c>
      <c r="R222" s="2" t="inlineStr"/>
    </row>
    <row r="223" ht="15" customHeight="1">
      <c r="A223" t="inlineStr">
        <is>
          <t>A 25345-2025</t>
        </is>
      </c>
      <c r="B223" s="1" t="n">
        <v>45799</v>
      </c>
      <c r="C223" s="1" t="n">
        <v>46189</v>
      </c>
      <c r="D223" t="inlineStr">
        <is>
          <t>DALARNAS LÄN</t>
        </is>
      </c>
      <c r="E223" t="inlineStr">
        <is>
          <t>MORA</t>
        </is>
      </c>
      <c r="G223" t="n">
        <v>3.1</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46189</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54257-2023</t>
        </is>
      </c>
      <c r="B225" s="1" t="n">
        <v>45232.64195601852</v>
      </c>
      <c r="C225" s="1" t="n">
        <v>46189</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41175-2025</t>
        </is>
      </c>
      <c r="B226" s="1" t="n">
        <v>45898.55165509259</v>
      </c>
      <c r="C226" s="1" t="n">
        <v>46189</v>
      </c>
      <c r="D226" t="inlineStr">
        <is>
          <t>DALARNAS LÄN</t>
        </is>
      </c>
      <c r="E226" t="inlineStr">
        <is>
          <t>MORA</t>
        </is>
      </c>
      <c r="G226" t="n">
        <v>4.5</v>
      </c>
      <c r="H226" t="n">
        <v>0</v>
      </c>
      <c r="I226" t="n">
        <v>0</v>
      </c>
      <c r="J226" t="n">
        <v>0</v>
      </c>
      <c r="K226" t="n">
        <v>0</v>
      </c>
      <c r="L226" t="n">
        <v>0</v>
      </c>
      <c r="M226" t="n">
        <v>0</v>
      </c>
      <c r="N226" t="n">
        <v>0</v>
      </c>
      <c r="O226" t="n">
        <v>0</v>
      </c>
      <c r="P226" t="n">
        <v>0</v>
      </c>
      <c r="Q226" t="n">
        <v>0</v>
      </c>
      <c r="R226" s="2" t="inlineStr"/>
    </row>
    <row r="227" ht="15" customHeight="1">
      <c r="A227" t="inlineStr">
        <is>
          <t>A 37385-2022</t>
        </is>
      </c>
      <c r="B227" s="1" t="n">
        <v>44806</v>
      </c>
      <c r="C227" s="1" t="n">
        <v>46189</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61217-2023</t>
        </is>
      </c>
      <c r="B228" s="1" t="n">
        <v>45264.43802083333</v>
      </c>
      <c r="C228" s="1" t="n">
        <v>46189</v>
      </c>
      <c r="D228" t="inlineStr">
        <is>
          <t>DALARNAS LÄN</t>
        </is>
      </c>
      <c r="E228" t="inlineStr">
        <is>
          <t>MORA</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61218-2023</t>
        </is>
      </c>
      <c r="B229" s="1" t="n">
        <v>45264</v>
      </c>
      <c r="C229" s="1" t="n">
        <v>46189</v>
      </c>
      <c r="D229" t="inlineStr">
        <is>
          <t>DALARNAS LÄN</t>
        </is>
      </c>
      <c r="E229" t="inlineStr">
        <is>
          <t>MORA</t>
        </is>
      </c>
      <c r="F229" t="inlineStr">
        <is>
          <t>Allmännings- och besparingsskogar</t>
        </is>
      </c>
      <c r="G229" t="n">
        <v>2.6</v>
      </c>
      <c r="H229" t="n">
        <v>0</v>
      </c>
      <c r="I229" t="n">
        <v>0</v>
      </c>
      <c r="J229" t="n">
        <v>0</v>
      </c>
      <c r="K229" t="n">
        <v>0</v>
      </c>
      <c r="L229" t="n">
        <v>0</v>
      </c>
      <c r="M229" t="n">
        <v>0</v>
      </c>
      <c r="N229" t="n">
        <v>0</v>
      </c>
      <c r="O229" t="n">
        <v>0</v>
      </c>
      <c r="P229" t="n">
        <v>0</v>
      </c>
      <c r="Q229" t="n">
        <v>0</v>
      </c>
      <c r="R229" s="2" t="inlineStr"/>
    </row>
    <row r="230" ht="15" customHeight="1">
      <c r="A230" t="inlineStr">
        <is>
          <t>A 43641-2022</t>
        </is>
      </c>
      <c r="B230" s="1" t="n">
        <v>44837</v>
      </c>
      <c r="C230" s="1" t="n">
        <v>46189</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25749-2023</t>
        </is>
      </c>
      <c r="B231" s="1" t="n">
        <v>45090</v>
      </c>
      <c r="C231" s="1" t="n">
        <v>46189</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2879-2022</t>
        </is>
      </c>
      <c r="B232" s="1" t="n">
        <v>44581</v>
      </c>
      <c r="C232" s="1" t="n">
        <v>46189</v>
      </c>
      <c r="D232" t="inlineStr">
        <is>
          <t>DALARNAS LÄN</t>
        </is>
      </c>
      <c r="E232" t="inlineStr">
        <is>
          <t>MORA</t>
        </is>
      </c>
      <c r="G232" t="n">
        <v>2.3</v>
      </c>
      <c r="H232" t="n">
        <v>0</v>
      </c>
      <c r="I232" t="n">
        <v>0</v>
      </c>
      <c r="J232" t="n">
        <v>0</v>
      </c>
      <c r="K232" t="n">
        <v>0</v>
      </c>
      <c r="L232" t="n">
        <v>0</v>
      </c>
      <c r="M232" t="n">
        <v>0</v>
      </c>
      <c r="N232" t="n">
        <v>0</v>
      </c>
      <c r="O232" t="n">
        <v>0</v>
      </c>
      <c r="P232" t="n">
        <v>0</v>
      </c>
      <c r="Q232" t="n">
        <v>0</v>
      </c>
      <c r="R232" s="2" t="inlineStr"/>
    </row>
    <row r="233" ht="15" customHeight="1">
      <c r="A233" t="inlineStr">
        <is>
          <t>A 35363-2024</t>
        </is>
      </c>
      <c r="B233" s="1" t="n">
        <v>45531.34050925926</v>
      </c>
      <c r="C233" s="1" t="n">
        <v>46189</v>
      </c>
      <c r="D233" t="inlineStr">
        <is>
          <t>DALARNAS LÄN</t>
        </is>
      </c>
      <c r="E233" t="inlineStr">
        <is>
          <t>MORA</t>
        </is>
      </c>
      <c r="G233" t="n">
        <v>2.5</v>
      </c>
      <c r="H233" t="n">
        <v>0</v>
      </c>
      <c r="I233" t="n">
        <v>0</v>
      </c>
      <c r="J233" t="n">
        <v>0</v>
      </c>
      <c r="K233" t="n">
        <v>0</v>
      </c>
      <c r="L233" t="n">
        <v>0</v>
      </c>
      <c r="M233" t="n">
        <v>0</v>
      </c>
      <c r="N233" t="n">
        <v>0</v>
      </c>
      <c r="O233" t="n">
        <v>0</v>
      </c>
      <c r="P233" t="n">
        <v>0</v>
      </c>
      <c r="Q233" t="n">
        <v>0</v>
      </c>
      <c r="R233" s="2" t="inlineStr"/>
    </row>
    <row r="234" ht="15" customHeight="1">
      <c r="A234" t="inlineStr">
        <is>
          <t>A 58972-2023</t>
        </is>
      </c>
      <c r="B234" s="1" t="n">
        <v>45252</v>
      </c>
      <c r="C234" s="1" t="n">
        <v>46189</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58171-2024</t>
        </is>
      </c>
      <c r="B235" s="1" t="n">
        <v>45632.46545138889</v>
      </c>
      <c r="C235" s="1" t="n">
        <v>46189</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41783-2025</t>
        </is>
      </c>
      <c r="B236" s="1" t="n">
        <v>45902.58721064815</v>
      </c>
      <c r="C236" s="1" t="n">
        <v>46189</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41614-2025</t>
        </is>
      </c>
      <c r="B237" s="1" t="n">
        <v>45901.68267361111</v>
      </c>
      <c r="C237" s="1" t="n">
        <v>46189</v>
      </c>
      <c r="D237" t="inlineStr">
        <is>
          <t>DALARNAS LÄN</t>
        </is>
      </c>
      <c r="E237" t="inlineStr">
        <is>
          <t>MORA</t>
        </is>
      </c>
      <c r="F237" t="inlineStr">
        <is>
          <t>Bergvik skog väst AB</t>
        </is>
      </c>
      <c r="G237" t="n">
        <v>13.8</v>
      </c>
      <c r="H237" t="n">
        <v>0</v>
      </c>
      <c r="I237" t="n">
        <v>0</v>
      </c>
      <c r="J237" t="n">
        <v>0</v>
      </c>
      <c r="K237" t="n">
        <v>0</v>
      </c>
      <c r="L237" t="n">
        <v>0</v>
      </c>
      <c r="M237" t="n">
        <v>0</v>
      </c>
      <c r="N237" t="n">
        <v>0</v>
      </c>
      <c r="O237" t="n">
        <v>0</v>
      </c>
      <c r="P237" t="n">
        <v>0</v>
      </c>
      <c r="Q237" t="n">
        <v>0</v>
      </c>
      <c r="R237" s="2" t="inlineStr"/>
    </row>
    <row r="238" ht="15" customHeight="1">
      <c r="A238" t="inlineStr">
        <is>
          <t>A 59182-2023</t>
        </is>
      </c>
      <c r="B238" s="1" t="n">
        <v>45253</v>
      </c>
      <c r="C238" s="1" t="n">
        <v>46189</v>
      </c>
      <c r="D238" t="inlineStr">
        <is>
          <t>DALARNAS LÄN</t>
        </is>
      </c>
      <c r="E238" t="inlineStr">
        <is>
          <t>MORA</t>
        </is>
      </c>
      <c r="G238" t="n">
        <v>3.3</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46189</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501-2024</t>
        </is>
      </c>
      <c r="B240" s="1" t="n">
        <v>45299</v>
      </c>
      <c r="C240" s="1" t="n">
        <v>46189</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64327-2023</t>
        </is>
      </c>
      <c r="B241" s="1" t="n">
        <v>45280</v>
      </c>
      <c r="C241" s="1" t="n">
        <v>46189</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17494-2025</t>
        </is>
      </c>
      <c r="B242" s="1" t="n">
        <v>45757.52033564815</v>
      </c>
      <c r="C242" s="1" t="n">
        <v>46189</v>
      </c>
      <c r="D242" t="inlineStr">
        <is>
          <t>DALARNAS LÄN</t>
        </is>
      </c>
      <c r="E242" t="inlineStr">
        <is>
          <t>MORA</t>
        </is>
      </c>
      <c r="G242" t="n">
        <v>5.3</v>
      </c>
      <c r="H242" t="n">
        <v>0</v>
      </c>
      <c r="I242" t="n">
        <v>0</v>
      </c>
      <c r="J242" t="n">
        <v>0</v>
      </c>
      <c r="K242" t="n">
        <v>0</v>
      </c>
      <c r="L242" t="n">
        <v>0</v>
      </c>
      <c r="M242" t="n">
        <v>0</v>
      </c>
      <c r="N242" t="n">
        <v>0</v>
      </c>
      <c r="O242" t="n">
        <v>0</v>
      </c>
      <c r="P242" t="n">
        <v>0</v>
      </c>
      <c r="Q242" t="n">
        <v>0</v>
      </c>
      <c r="R242" s="2" t="inlineStr"/>
    </row>
    <row r="243" ht="15" customHeight="1">
      <c r="A243" t="inlineStr">
        <is>
          <t>A 41855-2025</t>
        </is>
      </c>
      <c r="B243" s="1" t="n">
        <v>45902.93693287037</v>
      </c>
      <c r="C243" s="1" t="n">
        <v>46189</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42112-2025</t>
        </is>
      </c>
      <c r="B244" s="1" t="n">
        <v>45904.32134259259</v>
      </c>
      <c r="C244" s="1" t="n">
        <v>46189</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58958-2022</t>
        </is>
      </c>
      <c r="B245" s="1" t="n">
        <v>44903.6605324074</v>
      </c>
      <c r="C245" s="1" t="n">
        <v>46189</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29188-2023</t>
        </is>
      </c>
      <c r="B246" s="1" t="n">
        <v>45105.54270833333</v>
      </c>
      <c r="C246" s="1" t="n">
        <v>46189</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442-2024</t>
        </is>
      </c>
      <c r="B247" s="1" t="n">
        <v>45296.60353009259</v>
      </c>
      <c r="C247" s="1" t="n">
        <v>46189</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33627-2024</t>
        </is>
      </c>
      <c r="B248" s="1" t="n">
        <v>45520</v>
      </c>
      <c r="C248" s="1" t="n">
        <v>46189</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43474-2025</t>
        </is>
      </c>
      <c r="B249" s="1" t="n">
        <v>45911.48967592593</v>
      </c>
      <c r="C249" s="1" t="n">
        <v>46189</v>
      </c>
      <c r="D249" t="inlineStr">
        <is>
          <t>DALARNAS LÄN</t>
        </is>
      </c>
      <c r="E249" t="inlineStr">
        <is>
          <t>MORA</t>
        </is>
      </c>
      <c r="G249" t="n">
        <v>1.8</v>
      </c>
      <c r="H249" t="n">
        <v>0</v>
      </c>
      <c r="I249" t="n">
        <v>0</v>
      </c>
      <c r="J249" t="n">
        <v>0</v>
      </c>
      <c r="K249" t="n">
        <v>0</v>
      </c>
      <c r="L249" t="n">
        <v>0</v>
      </c>
      <c r="M249" t="n">
        <v>0</v>
      </c>
      <c r="N249" t="n">
        <v>0</v>
      </c>
      <c r="O249" t="n">
        <v>0</v>
      </c>
      <c r="P249" t="n">
        <v>0</v>
      </c>
      <c r="Q249" t="n">
        <v>0</v>
      </c>
      <c r="R249" s="2" t="inlineStr"/>
    </row>
    <row r="250" ht="15" customHeight="1">
      <c r="A250" t="inlineStr">
        <is>
          <t>A 61293-2022</t>
        </is>
      </c>
      <c r="B250" s="1" t="n">
        <v>44915.62751157407</v>
      </c>
      <c r="C250" s="1" t="n">
        <v>46189</v>
      </c>
      <c r="D250" t="inlineStr">
        <is>
          <t>DALARNAS LÄN</t>
        </is>
      </c>
      <c r="E250" t="inlineStr">
        <is>
          <t>MORA</t>
        </is>
      </c>
      <c r="G250" t="n">
        <v>0.3</v>
      </c>
      <c r="H250" t="n">
        <v>0</v>
      </c>
      <c r="I250" t="n">
        <v>0</v>
      </c>
      <c r="J250" t="n">
        <v>0</v>
      </c>
      <c r="K250" t="n">
        <v>0</v>
      </c>
      <c r="L250" t="n">
        <v>0</v>
      </c>
      <c r="M250" t="n">
        <v>0</v>
      </c>
      <c r="N250" t="n">
        <v>0</v>
      </c>
      <c r="O250" t="n">
        <v>0</v>
      </c>
      <c r="P250" t="n">
        <v>0</v>
      </c>
      <c r="Q250" t="n">
        <v>0</v>
      </c>
      <c r="R250" s="2" t="inlineStr"/>
    </row>
    <row r="251" ht="15" customHeight="1">
      <c r="A251" t="inlineStr">
        <is>
          <t>A 60360-2023</t>
        </is>
      </c>
      <c r="B251" s="1" t="n">
        <v>45259</v>
      </c>
      <c r="C251" s="1" t="n">
        <v>46189</v>
      </c>
      <c r="D251" t="inlineStr">
        <is>
          <t>DALARNAS LÄN</t>
        </is>
      </c>
      <c r="E251" t="inlineStr">
        <is>
          <t>MORA</t>
        </is>
      </c>
      <c r="G251" t="n">
        <v>2.9</v>
      </c>
      <c r="H251" t="n">
        <v>0</v>
      </c>
      <c r="I251" t="n">
        <v>0</v>
      </c>
      <c r="J251" t="n">
        <v>0</v>
      </c>
      <c r="K251" t="n">
        <v>0</v>
      </c>
      <c r="L251" t="n">
        <v>0</v>
      </c>
      <c r="M251" t="n">
        <v>0</v>
      </c>
      <c r="N251" t="n">
        <v>0</v>
      </c>
      <c r="O251" t="n">
        <v>0</v>
      </c>
      <c r="P251" t="n">
        <v>0</v>
      </c>
      <c r="Q251" t="n">
        <v>0</v>
      </c>
      <c r="R251" s="2" t="inlineStr"/>
    </row>
    <row r="252" ht="15" customHeight="1">
      <c r="A252" t="inlineStr">
        <is>
          <t>A 18139-2025</t>
        </is>
      </c>
      <c r="B252" s="1" t="n">
        <v>45761.60459490741</v>
      </c>
      <c r="C252" s="1" t="n">
        <v>46189</v>
      </c>
      <c r="D252" t="inlineStr">
        <is>
          <t>DALARNAS LÄN</t>
        </is>
      </c>
      <c r="E252" t="inlineStr">
        <is>
          <t>MORA</t>
        </is>
      </c>
      <c r="F252" t="inlineStr">
        <is>
          <t>Bergvik skog öst AB</t>
        </is>
      </c>
      <c r="G252" t="n">
        <v>3</v>
      </c>
      <c r="H252" t="n">
        <v>0</v>
      </c>
      <c r="I252" t="n">
        <v>0</v>
      </c>
      <c r="J252" t="n">
        <v>0</v>
      </c>
      <c r="K252" t="n">
        <v>0</v>
      </c>
      <c r="L252" t="n">
        <v>0</v>
      </c>
      <c r="M252" t="n">
        <v>0</v>
      </c>
      <c r="N252" t="n">
        <v>0</v>
      </c>
      <c r="O252" t="n">
        <v>0</v>
      </c>
      <c r="P252" t="n">
        <v>0</v>
      </c>
      <c r="Q252" t="n">
        <v>0</v>
      </c>
      <c r="R252" s="2" t="inlineStr"/>
    </row>
    <row r="253" ht="15" customHeight="1">
      <c r="A253" t="inlineStr">
        <is>
          <t>A 25499-2024</t>
        </is>
      </c>
      <c r="B253" s="1" t="n">
        <v>45463</v>
      </c>
      <c r="C253" s="1" t="n">
        <v>46189</v>
      </c>
      <c r="D253" t="inlineStr">
        <is>
          <t>DALARNAS LÄN</t>
        </is>
      </c>
      <c r="E253" t="inlineStr">
        <is>
          <t>MORA</t>
        </is>
      </c>
      <c r="G253" t="n">
        <v>0.8</v>
      </c>
      <c r="H253" t="n">
        <v>0</v>
      </c>
      <c r="I253" t="n">
        <v>0</v>
      </c>
      <c r="J253" t="n">
        <v>0</v>
      </c>
      <c r="K253" t="n">
        <v>0</v>
      </c>
      <c r="L253" t="n">
        <v>0</v>
      </c>
      <c r="M253" t="n">
        <v>0</v>
      </c>
      <c r="N253" t="n">
        <v>0</v>
      </c>
      <c r="O253" t="n">
        <v>0</v>
      </c>
      <c r="P253" t="n">
        <v>0</v>
      </c>
      <c r="Q253" t="n">
        <v>0</v>
      </c>
      <c r="R253" s="2" t="inlineStr"/>
    </row>
    <row r="254" ht="15" customHeight="1">
      <c r="A254" t="inlineStr">
        <is>
          <t>A 43811-2025</t>
        </is>
      </c>
      <c r="B254" s="1" t="n">
        <v>45912.58710648148</v>
      </c>
      <c r="C254" s="1" t="n">
        <v>46189</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61405-2023</t>
        </is>
      </c>
      <c r="B255" s="1" t="n">
        <v>45264.65987268519</v>
      </c>
      <c r="C255" s="1" t="n">
        <v>46189</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44384-2025</t>
        </is>
      </c>
      <c r="B256" s="1" t="n">
        <v>45916.48513888889</v>
      </c>
      <c r="C256" s="1" t="n">
        <v>46189</v>
      </c>
      <c r="D256" t="inlineStr">
        <is>
          <t>DALARNAS LÄN</t>
        </is>
      </c>
      <c r="E256" t="inlineStr">
        <is>
          <t>MORA</t>
        </is>
      </c>
      <c r="F256" t="inlineStr">
        <is>
          <t>Kyrkan</t>
        </is>
      </c>
      <c r="G256" t="n">
        <v>5.1</v>
      </c>
      <c r="H256" t="n">
        <v>0</v>
      </c>
      <c r="I256" t="n">
        <v>0</v>
      </c>
      <c r="J256" t="n">
        <v>0</v>
      </c>
      <c r="K256" t="n">
        <v>0</v>
      </c>
      <c r="L256" t="n">
        <v>0</v>
      </c>
      <c r="M256" t="n">
        <v>0</v>
      </c>
      <c r="N256" t="n">
        <v>0</v>
      </c>
      <c r="O256" t="n">
        <v>0</v>
      </c>
      <c r="P256" t="n">
        <v>0</v>
      </c>
      <c r="Q256" t="n">
        <v>0</v>
      </c>
      <c r="R256" s="2" t="inlineStr"/>
    </row>
    <row r="257" ht="15" customHeight="1">
      <c r="A257" t="inlineStr">
        <is>
          <t>A 57475-2022</t>
        </is>
      </c>
      <c r="B257" s="1" t="n">
        <v>44896</v>
      </c>
      <c r="C257" s="1" t="n">
        <v>46189</v>
      </c>
      <c r="D257" t="inlineStr">
        <is>
          <t>DALARNAS LÄN</t>
        </is>
      </c>
      <c r="E257" t="inlineStr">
        <is>
          <t>MORA</t>
        </is>
      </c>
      <c r="G257" t="n">
        <v>5.7</v>
      </c>
      <c r="H257" t="n">
        <v>0</v>
      </c>
      <c r="I257" t="n">
        <v>0</v>
      </c>
      <c r="J257" t="n">
        <v>0</v>
      </c>
      <c r="K257" t="n">
        <v>0</v>
      </c>
      <c r="L257" t="n">
        <v>0</v>
      </c>
      <c r="M257" t="n">
        <v>0</v>
      </c>
      <c r="N257" t="n">
        <v>0</v>
      </c>
      <c r="O257" t="n">
        <v>0</v>
      </c>
      <c r="P257" t="n">
        <v>0</v>
      </c>
      <c r="Q257" t="n">
        <v>0</v>
      </c>
      <c r="R257" s="2" t="inlineStr"/>
    </row>
    <row r="258" ht="15" customHeight="1">
      <c r="A258" t="inlineStr">
        <is>
          <t>A 44621-2025</t>
        </is>
      </c>
      <c r="B258" s="1" t="n">
        <v>45917.466875</v>
      </c>
      <c r="C258" s="1" t="n">
        <v>46189</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45191-2025</t>
        </is>
      </c>
      <c r="B259" s="1" t="n">
        <v>45919.54811342592</v>
      </c>
      <c r="C259" s="1" t="n">
        <v>46189</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17280-2025</t>
        </is>
      </c>
      <c r="B260" s="1" t="n">
        <v>45756</v>
      </c>
      <c r="C260" s="1" t="n">
        <v>46189</v>
      </c>
      <c r="D260" t="inlineStr">
        <is>
          <t>DALARNAS LÄN</t>
        </is>
      </c>
      <c r="E260" t="inlineStr">
        <is>
          <t>MORA</t>
        </is>
      </c>
      <c r="G260" t="n">
        <v>2.1</v>
      </c>
      <c r="H260" t="n">
        <v>0</v>
      </c>
      <c r="I260" t="n">
        <v>0</v>
      </c>
      <c r="J260" t="n">
        <v>0</v>
      </c>
      <c r="K260" t="n">
        <v>0</v>
      </c>
      <c r="L260" t="n">
        <v>0</v>
      </c>
      <c r="M260" t="n">
        <v>0</v>
      </c>
      <c r="N260" t="n">
        <v>0</v>
      </c>
      <c r="O260" t="n">
        <v>0</v>
      </c>
      <c r="P260" t="n">
        <v>0</v>
      </c>
      <c r="Q260" t="n">
        <v>0</v>
      </c>
      <c r="R260" s="2" t="inlineStr"/>
    </row>
    <row r="261" ht="15" customHeight="1">
      <c r="A261" t="inlineStr">
        <is>
          <t>A 46091-2025</t>
        </is>
      </c>
      <c r="B261" s="1" t="n">
        <v>45924.52871527777</v>
      </c>
      <c r="C261" s="1" t="n">
        <v>46189</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7116-2024</t>
        </is>
      </c>
      <c r="B262" s="1" t="n">
        <v>45343.95445601852</v>
      </c>
      <c r="C262" s="1" t="n">
        <v>46189</v>
      </c>
      <c r="D262" t="inlineStr">
        <is>
          <t>DALARNAS LÄN</t>
        </is>
      </c>
      <c r="E262" t="inlineStr">
        <is>
          <t>MORA</t>
        </is>
      </c>
      <c r="G262" t="n">
        <v>0.3</v>
      </c>
      <c r="H262" t="n">
        <v>0</v>
      </c>
      <c r="I262" t="n">
        <v>0</v>
      </c>
      <c r="J262" t="n">
        <v>0</v>
      </c>
      <c r="K262" t="n">
        <v>0</v>
      </c>
      <c r="L262" t="n">
        <v>0</v>
      </c>
      <c r="M262" t="n">
        <v>0</v>
      </c>
      <c r="N262" t="n">
        <v>0</v>
      </c>
      <c r="O262" t="n">
        <v>0</v>
      </c>
      <c r="P262" t="n">
        <v>0</v>
      </c>
      <c r="Q262" t="n">
        <v>0</v>
      </c>
      <c r="R262" s="2" t="inlineStr"/>
    </row>
    <row r="263" ht="15" customHeight="1">
      <c r="A263" t="inlineStr">
        <is>
          <t>A 59995-2023</t>
        </is>
      </c>
      <c r="B263" s="1" t="n">
        <v>45254</v>
      </c>
      <c r="C263" s="1" t="n">
        <v>46189</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13479-2024</t>
        </is>
      </c>
      <c r="B264" s="1" t="n">
        <v>45387.5900925926</v>
      </c>
      <c r="C264" s="1" t="n">
        <v>46189</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41812-2024</t>
        </is>
      </c>
      <c r="B265" s="1" t="n">
        <v>45561.3771412037</v>
      </c>
      <c r="C265" s="1" t="n">
        <v>46189</v>
      </c>
      <c r="D265" t="inlineStr">
        <is>
          <t>DALARNAS LÄN</t>
        </is>
      </c>
      <c r="E265" t="inlineStr">
        <is>
          <t>MORA</t>
        </is>
      </c>
      <c r="G265" t="n">
        <v>2.2</v>
      </c>
      <c r="H265" t="n">
        <v>0</v>
      </c>
      <c r="I265" t="n">
        <v>0</v>
      </c>
      <c r="J265" t="n">
        <v>0</v>
      </c>
      <c r="K265" t="n">
        <v>0</v>
      </c>
      <c r="L265" t="n">
        <v>0</v>
      </c>
      <c r="M265" t="n">
        <v>0</v>
      </c>
      <c r="N265" t="n">
        <v>0</v>
      </c>
      <c r="O265" t="n">
        <v>0</v>
      </c>
      <c r="P265" t="n">
        <v>0</v>
      </c>
      <c r="Q265" t="n">
        <v>0</v>
      </c>
      <c r="R265" s="2" t="inlineStr"/>
    </row>
    <row r="266" ht="15" customHeight="1">
      <c r="A266" t="inlineStr">
        <is>
          <t>A 46283-2025</t>
        </is>
      </c>
      <c r="B266" s="1" t="n">
        <v>45925</v>
      </c>
      <c r="C266" s="1" t="n">
        <v>46189</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60465-2023</t>
        </is>
      </c>
      <c r="B267" s="1" t="n">
        <v>45259.57872685185</v>
      </c>
      <c r="C267" s="1" t="n">
        <v>46189</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33676-2023</t>
        </is>
      </c>
      <c r="B268" s="1" t="n">
        <v>45132.6291550926</v>
      </c>
      <c r="C268" s="1" t="n">
        <v>46189</v>
      </c>
      <c r="D268" t="inlineStr">
        <is>
          <t>DALARNAS LÄN</t>
        </is>
      </c>
      <c r="E268" t="inlineStr">
        <is>
          <t>MORA</t>
        </is>
      </c>
      <c r="F268" t="inlineStr">
        <is>
          <t>Bergvik skog öst AB</t>
        </is>
      </c>
      <c r="G268" t="n">
        <v>2.7</v>
      </c>
      <c r="H268" t="n">
        <v>0</v>
      </c>
      <c r="I268" t="n">
        <v>0</v>
      </c>
      <c r="J268" t="n">
        <v>0</v>
      </c>
      <c r="K268" t="n">
        <v>0</v>
      </c>
      <c r="L268" t="n">
        <v>0</v>
      </c>
      <c r="M268" t="n">
        <v>0</v>
      </c>
      <c r="N268" t="n">
        <v>0</v>
      </c>
      <c r="O268" t="n">
        <v>0</v>
      </c>
      <c r="P268" t="n">
        <v>0</v>
      </c>
      <c r="Q268" t="n">
        <v>0</v>
      </c>
      <c r="R268" s="2" t="inlineStr"/>
    </row>
    <row r="269" ht="15" customHeight="1">
      <c r="A269" t="inlineStr">
        <is>
          <t>A 47055-2025</t>
        </is>
      </c>
      <c r="B269" s="1" t="n">
        <v>45929.61931712963</v>
      </c>
      <c r="C269" s="1" t="n">
        <v>46189</v>
      </c>
      <c r="D269" t="inlineStr">
        <is>
          <t>DALARNAS LÄN</t>
        </is>
      </c>
      <c r="E269" t="inlineStr">
        <is>
          <t>MORA</t>
        </is>
      </c>
      <c r="G269" t="n">
        <v>28.1</v>
      </c>
      <c r="H269" t="n">
        <v>0</v>
      </c>
      <c r="I269" t="n">
        <v>0</v>
      </c>
      <c r="J269" t="n">
        <v>0</v>
      </c>
      <c r="K269" t="n">
        <v>0</v>
      </c>
      <c r="L269" t="n">
        <v>0</v>
      </c>
      <c r="M269" t="n">
        <v>0</v>
      </c>
      <c r="N269" t="n">
        <v>0</v>
      </c>
      <c r="O269" t="n">
        <v>0</v>
      </c>
      <c r="P269" t="n">
        <v>0</v>
      </c>
      <c r="Q269" t="n">
        <v>0</v>
      </c>
      <c r="R269" s="2" t="inlineStr"/>
    </row>
    <row r="270" ht="15" customHeight="1">
      <c r="A270" t="inlineStr">
        <is>
          <t>A 47414-2025</t>
        </is>
      </c>
      <c r="B270" s="1" t="n">
        <v>45930.61896990741</v>
      </c>
      <c r="C270" s="1" t="n">
        <v>46189</v>
      </c>
      <c r="D270" t="inlineStr">
        <is>
          <t>DALARNAS LÄN</t>
        </is>
      </c>
      <c r="E270" t="inlineStr">
        <is>
          <t>MORA</t>
        </is>
      </c>
      <c r="G270" t="n">
        <v>6.1</v>
      </c>
      <c r="H270" t="n">
        <v>0</v>
      </c>
      <c r="I270" t="n">
        <v>0</v>
      </c>
      <c r="J270" t="n">
        <v>0</v>
      </c>
      <c r="K270" t="n">
        <v>0</v>
      </c>
      <c r="L270" t="n">
        <v>0</v>
      </c>
      <c r="M270" t="n">
        <v>0</v>
      </c>
      <c r="N270" t="n">
        <v>0</v>
      </c>
      <c r="O270" t="n">
        <v>0</v>
      </c>
      <c r="P270" t="n">
        <v>0</v>
      </c>
      <c r="Q270" t="n">
        <v>0</v>
      </c>
      <c r="R270" s="2" t="inlineStr"/>
    </row>
    <row r="271" ht="15" customHeight="1">
      <c r="A271" t="inlineStr">
        <is>
          <t>A 29193-2023</t>
        </is>
      </c>
      <c r="B271" s="1" t="n">
        <v>45105.54791666667</v>
      </c>
      <c r="C271" s="1" t="n">
        <v>46189</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47072-2025</t>
        </is>
      </c>
      <c r="B272" s="1" t="n">
        <v>45929.6365162037</v>
      </c>
      <c r="C272" s="1" t="n">
        <v>46189</v>
      </c>
      <c r="D272" t="inlineStr">
        <is>
          <t>DALARNAS LÄN</t>
        </is>
      </c>
      <c r="E272" t="inlineStr">
        <is>
          <t>MORA</t>
        </is>
      </c>
      <c r="G272" t="n">
        <v>3.4</v>
      </c>
      <c r="H272" t="n">
        <v>0</v>
      </c>
      <c r="I272" t="n">
        <v>0</v>
      </c>
      <c r="J272" t="n">
        <v>0</v>
      </c>
      <c r="K272" t="n">
        <v>0</v>
      </c>
      <c r="L272" t="n">
        <v>0</v>
      </c>
      <c r="M272" t="n">
        <v>0</v>
      </c>
      <c r="N272" t="n">
        <v>0</v>
      </c>
      <c r="O272" t="n">
        <v>0</v>
      </c>
      <c r="P272" t="n">
        <v>0</v>
      </c>
      <c r="Q272" t="n">
        <v>0</v>
      </c>
      <c r="R272" s="2" t="inlineStr"/>
    </row>
    <row r="273" ht="15" customHeight="1">
      <c r="A273" t="inlineStr">
        <is>
          <t>A 35325-2024</t>
        </is>
      </c>
      <c r="B273" s="1" t="n">
        <v>45530.71158564815</v>
      </c>
      <c r="C273" s="1" t="n">
        <v>46189</v>
      </c>
      <c r="D273" t="inlineStr">
        <is>
          <t>DALARNAS LÄN</t>
        </is>
      </c>
      <c r="E273" t="inlineStr">
        <is>
          <t>MORA</t>
        </is>
      </c>
      <c r="G273" t="n">
        <v>5</v>
      </c>
      <c r="H273" t="n">
        <v>0</v>
      </c>
      <c r="I273" t="n">
        <v>0</v>
      </c>
      <c r="J273" t="n">
        <v>0</v>
      </c>
      <c r="K273" t="n">
        <v>0</v>
      </c>
      <c r="L273" t="n">
        <v>0</v>
      </c>
      <c r="M273" t="n">
        <v>0</v>
      </c>
      <c r="N273" t="n">
        <v>0</v>
      </c>
      <c r="O273" t="n">
        <v>0</v>
      </c>
      <c r="P273" t="n">
        <v>0</v>
      </c>
      <c r="Q273" t="n">
        <v>0</v>
      </c>
      <c r="R273" s="2" t="inlineStr"/>
    </row>
    <row r="274" ht="15" customHeight="1">
      <c r="A274" t="inlineStr">
        <is>
          <t>A 6371-2022</t>
        </is>
      </c>
      <c r="B274" s="1" t="n">
        <v>44600</v>
      </c>
      <c r="C274" s="1" t="n">
        <v>46189</v>
      </c>
      <c r="D274" t="inlineStr">
        <is>
          <t>DALARNAS LÄN</t>
        </is>
      </c>
      <c r="E274" t="inlineStr">
        <is>
          <t>MORA</t>
        </is>
      </c>
      <c r="G274" t="n">
        <v>4.6</v>
      </c>
      <c r="H274" t="n">
        <v>0</v>
      </c>
      <c r="I274" t="n">
        <v>0</v>
      </c>
      <c r="J274" t="n">
        <v>0</v>
      </c>
      <c r="K274" t="n">
        <v>0</v>
      </c>
      <c r="L274" t="n">
        <v>0</v>
      </c>
      <c r="M274" t="n">
        <v>0</v>
      </c>
      <c r="N274" t="n">
        <v>0</v>
      </c>
      <c r="O274" t="n">
        <v>0</v>
      </c>
      <c r="P274" t="n">
        <v>0</v>
      </c>
      <c r="Q274" t="n">
        <v>0</v>
      </c>
      <c r="R274" s="2" t="inlineStr"/>
    </row>
    <row r="275" ht="15" customHeight="1">
      <c r="A275" t="inlineStr">
        <is>
          <t>A 64093-2023</t>
        </is>
      </c>
      <c r="B275" s="1" t="n">
        <v>45279</v>
      </c>
      <c r="C275" s="1" t="n">
        <v>46189</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47765-2025</t>
        </is>
      </c>
      <c r="B276" s="1" t="n">
        <v>45931.69100694444</v>
      </c>
      <c r="C276" s="1" t="n">
        <v>46189</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37710-2023</t>
        </is>
      </c>
      <c r="B277" s="1" t="n">
        <v>45159.59186342593</v>
      </c>
      <c r="C277" s="1" t="n">
        <v>46189</v>
      </c>
      <c r="D277" t="inlineStr">
        <is>
          <t>DALARNAS LÄN</t>
        </is>
      </c>
      <c r="E277" t="inlineStr">
        <is>
          <t>MORA</t>
        </is>
      </c>
      <c r="G277" t="n">
        <v>1.9</v>
      </c>
      <c r="H277" t="n">
        <v>0</v>
      </c>
      <c r="I277" t="n">
        <v>0</v>
      </c>
      <c r="J277" t="n">
        <v>0</v>
      </c>
      <c r="K277" t="n">
        <v>0</v>
      </c>
      <c r="L277" t="n">
        <v>0</v>
      </c>
      <c r="M277" t="n">
        <v>0</v>
      </c>
      <c r="N277" t="n">
        <v>0</v>
      </c>
      <c r="O277" t="n">
        <v>0</v>
      </c>
      <c r="P277" t="n">
        <v>0</v>
      </c>
      <c r="Q277" t="n">
        <v>0</v>
      </c>
      <c r="R277" s="2" t="inlineStr"/>
    </row>
    <row r="278" ht="15" customHeight="1">
      <c r="A278" t="inlineStr">
        <is>
          <t>A 31395-2024</t>
        </is>
      </c>
      <c r="B278" s="1" t="n">
        <v>45505.47716435185</v>
      </c>
      <c r="C278" s="1" t="n">
        <v>46189</v>
      </c>
      <c r="D278" t="inlineStr">
        <is>
          <t>DALARNAS LÄN</t>
        </is>
      </c>
      <c r="E278" t="inlineStr">
        <is>
          <t>MORA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47716-2025</t>
        </is>
      </c>
      <c r="B279" s="1" t="n">
        <v>45931</v>
      </c>
      <c r="C279" s="1" t="n">
        <v>46189</v>
      </c>
      <c r="D279" t="inlineStr">
        <is>
          <t>DALARNAS LÄN</t>
        </is>
      </c>
      <c r="E279" t="inlineStr">
        <is>
          <t>MORA</t>
        </is>
      </c>
      <c r="G279" t="n">
        <v>8.9</v>
      </c>
      <c r="H279" t="n">
        <v>0</v>
      </c>
      <c r="I279" t="n">
        <v>0</v>
      </c>
      <c r="J279" t="n">
        <v>0</v>
      </c>
      <c r="K279" t="n">
        <v>0</v>
      </c>
      <c r="L279" t="n">
        <v>0</v>
      </c>
      <c r="M279" t="n">
        <v>0</v>
      </c>
      <c r="N279" t="n">
        <v>0</v>
      </c>
      <c r="O279" t="n">
        <v>0</v>
      </c>
      <c r="P279" t="n">
        <v>0</v>
      </c>
      <c r="Q279" t="n">
        <v>0</v>
      </c>
      <c r="R279" s="2" t="inlineStr"/>
    </row>
    <row r="280" ht="15" customHeight="1">
      <c r="A280" t="inlineStr">
        <is>
          <t>A 48927-2025</t>
        </is>
      </c>
      <c r="B280" s="1" t="n">
        <v>45931</v>
      </c>
      <c r="C280" s="1" t="n">
        <v>46189</v>
      </c>
      <c r="D280" t="inlineStr">
        <is>
          <t>DALARNAS LÄN</t>
        </is>
      </c>
      <c r="E280" t="inlineStr">
        <is>
          <t>MORA</t>
        </is>
      </c>
      <c r="G280" t="n">
        <v>2.1</v>
      </c>
      <c r="H280" t="n">
        <v>0</v>
      </c>
      <c r="I280" t="n">
        <v>0</v>
      </c>
      <c r="J280" t="n">
        <v>0</v>
      </c>
      <c r="K280" t="n">
        <v>0</v>
      </c>
      <c r="L280" t="n">
        <v>0</v>
      </c>
      <c r="M280" t="n">
        <v>0</v>
      </c>
      <c r="N280" t="n">
        <v>0</v>
      </c>
      <c r="O280" t="n">
        <v>0</v>
      </c>
      <c r="P280" t="n">
        <v>0</v>
      </c>
      <c r="Q280" t="n">
        <v>0</v>
      </c>
      <c r="R280" s="2" t="inlineStr"/>
    </row>
    <row r="281" ht="15" customHeight="1">
      <c r="A281" t="inlineStr">
        <is>
          <t>A 38055-2024</t>
        </is>
      </c>
      <c r="B281" s="1" t="n">
        <v>45544</v>
      </c>
      <c r="C281" s="1" t="n">
        <v>46189</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49404-2025</t>
        </is>
      </c>
      <c r="B282" s="1" t="n">
        <v>45938.67662037037</v>
      </c>
      <c r="C282" s="1" t="n">
        <v>46189</v>
      </c>
      <c r="D282" t="inlineStr">
        <is>
          <t>DALARNAS LÄN</t>
        </is>
      </c>
      <c r="E282" t="inlineStr">
        <is>
          <t>MORA</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35327-2024</t>
        </is>
      </c>
      <c r="B283" s="1" t="n">
        <v>45530.71334490741</v>
      </c>
      <c r="C283" s="1" t="n">
        <v>46189</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5486-2023</t>
        </is>
      </c>
      <c r="B284" s="1" t="n">
        <v>44957</v>
      </c>
      <c r="C284" s="1" t="n">
        <v>46189</v>
      </c>
      <c r="D284" t="inlineStr">
        <is>
          <t>DALARNAS LÄN</t>
        </is>
      </c>
      <c r="E284" t="inlineStr">
        <is>
          <t>MORA</t>
        </is>
      </c>
      <c r="G284" t="n">
        <v>3.2</v>
      </c>
      <c r="H284" t="n">
        <v>0</v>
      </c>
      <c r="I284" t="n">
        <v>0</v>
      </c>
      <c r="J284" t="n">
        <v>0</v>
      </c>
      <c r="K284" t="n">
        <v>0</v>
      </c>
      <c r="L284" t="n">
        <v>0</v>
      </c>
      <c r="M284" t="n">
        <v>0</v>
      </c>
      <c r="N284" t="n">
        <v>0</v>
      </c>
      <c r="O284" t="n">
        <v>0</v>
      </c>
      <c r="P284" t="n">
        <v>0</v>
      </c>
      <c r="Q284" t="n">
        <v>0</v>
      </c>
      <c r="R284" s="2" t="inlineStr"/>
    </row>
    <row r="285" ht="15" customHeight="1">
      <c r="A285" t="inlineStr">
        <is>
          <t>A 48929-2025</t>
        </is>
      </c>
      <c r="B285" s="1" t="n">
        <v>45937.51315972222</v>
      </c>
      <c r="C285" s="1" t="n">
        <v>46189</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49401-2025</t>
        </is>
      </c>
      <c r="B286" s="1" t="n">
        <v>45938.66932870371</v>
      </c>
      <c r="C286" s="1" t="n">
        <v>46189</v>
      </c>
      <c r="D286" t="inlineStr">
        <is>
          <t>DALARNAS LÄN</t>
        </is>
      </c>
      <c r="E286" t="inlineStr">
        <is>
          <t>MORA</t>
        </is>
      </c>
      <c r="F286" t="inlineStr">
        <is>
          <t>Bergvik skog väst AB</t>
        </is>
      </c>
      <c r="G286" t="n">
        <v>0.6</v>
      </c>
      <c r="H286" t="n">
        <v>0</v>
      </c>
      <c r="I286" t="n">
        <v>0</v>
      </c>
      <c r="J286" t="n">
        <v>0</v>
      </c>
      <c r="K286" t="n">
        <v>0</v>
      </c>
      <c r="L286" t="n">
        <v>0</v>
      </c>
      <c r="M286" t="n">
        <v>0</v>
      </c>
      <c r="N286" t="n">
        <v>0</v>
      </c>
      <c r="O286" t="n">
        <v>0</v>
      </c>
      <c r="P286" t="n">
        <v>0</v>
      </c>
      <c r="Q286" t="n">
        <v>0</v>
      </c>
      <c r="R286" s="2" t="inlineStr"/>
    </row>
    <row r="287" ht="15" customHeight="1">
      <c r="A287" t="inlineStr">
        <is>
          <t>A 28934-2023</t>
        </is>
      </c>
      <c r="B287" s="1" t="n">
        <v>45104</v>
      </c>
      <c r="C287" s="1" t="n">
        <v>46189</v>
      </c>
      <c r="D287" t="inlineStr">
        <is>
          <t>DALARNAS LÄN</t>
        </is>
      </c>
      <c r="E287" t="inlineStr">
        <is>
          <t>MORA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31929-2024</t>
        </is>
      </c>
      <c r="B288" s="1" t="n">
        <v>45510.40587962963</v>
      </c>
      <c r="C288" s="1" t="n">
        <v>46189</v>
      </c>
      <c r="D288" t="inlineStr">
        <is>
          <t>DALARNAS LÄN</t>
        </is>
      </c>
      <c r="E288" t="inlineStr">
        <is>
          <t>MORA</t>
        </is>
      </c>
      <c r="G288" t="n">
        <v>10.8</v>
      </c>
      <c r="H288" t="n">
        <v>0</v>
      </c>
      <c r="I288" t="n">
        <v>0</v>
      </c>
      <c r="J288" t="n">
        <v>0</v>
      </c>
      <c r="K288" t="n">
        <v>0</v>
      </c>
      <c r="L288" t="n">
        <v>0</v>
      </c>
      <c r="M288" t="n">
        <v>0</v>
      </c>
      <c r="N288" t="n">
        <v>0</v>
      </c>
      <c r="O288" t="n">
        <v>0</v>
      </c>
      <c r="P288" t="n">
        <v>0</v>
      </c>
      <c r="Q288" t="n">
        <v>0</v>
      </c>
      <c r="R288" s="2" t="inlineStr"/>
    </row>
    <row r="289" ht="15" customHeight="1">
      <c r="A289" t="inlineStr">
        <is>
          <t>A 42943-2024</t>
        </is>
      </c>
      <c r="B289" s="1" t="n">
        <v>45567.35359953704</v>
      </c>
      <c r="C289" s="1" t="n">
        <v>46189</v>
      </c>
      <c r="D289" t="inlineStr">
        <is>
          <t>DALARNAS LÄN</t>
        </is>
      </c>
      <c r="E289" t="inlineStr">
        <is>
          <t>MORA</t>
        </is>
      </c>
      <c r="G289" t="n">
        <v>0.5</v>
      </c>
      <c r="H289" t="n">
        <v>0</v>
      </c>
      <c r="I289" t="n">
        <v>0</v>
      </c>
      <c r="J289" t="n">
        <v>0</v>
      </c>
      <c r="K289" t="n">
        <v>0</v>
      </c>
      <c r="L289" t="n">
        <v>0</v>
      </c>
      <c r="M289" t="n">
        <v>0</v>
      </c>
      <c r="N289" t="n">
        <v>0</v>
      </c>
      <c r="O289" t="n">
        <v>0</v>
      </c>
      <c r="P289" t="n">
        <v>0</v>
      </c>
      <c r="Q289" t="n">
        <v>0</v>
      </c>
      <c r="R289" s="2" t="inlineStr"/>
    </row>
    <row r="290" ht="15" customHeight="1">
      <c r="A290" t="inlineStr">
        <is>
          <t>A 48926-2025</t>
        </is>
      </c>
      <c r="B290" s="1" t="n">
        <v>45937.50666666667</v>
      </c>
      <c r="C290" s="1" t="n">
        <v>46189</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4489-2022</t>
        </is>
      </c>
      <c r="B291" s="1" t="n">
        <v>44589</v>
      </c>
      <c r="C291" s="1" t="n">
        <v>46189</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5418-2025</t>
        </is>
      </c>
      <c r="B292" s="1" t="n">
        <v>45692.68561342593</v>
      </c>
      <c r="C292" s="1" t="n">
        <v>46189</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19842-2025</t>
        </is>
      </c>
      <c r="B293" s="1" t="n">
        <v>45771.47938657407</v>
      </c>
      <c r="C293" s="1" t="n">
        <v>46189</v>
      </c>
      <c r="D293" t="inlineStr">
        <is>
          <t>DALARNAS LÄN</t>
        </is>
      </c>
      <c r="E293" t="inlineStr">
        <is>
          <t>MORA</t>
        </is>
      </c>
      <c r="G293" t="n">
        <v>1.9</v>
      </c>
      <c r="H293" t="n">
        <v>0</v>
      </c>
      <c r="I293" t="n">
        <v>0</v>
      </c>
      <c r="J293" t="n">
        <v>0</v>
      </c>
      <c r="K293" t="n">
        <v>0</v>
      </c>
      <c r="L293" t="n">
        <v>0</v>
      </c>
      <c r="M293" t="n">
        <v>0</v>
      </c>
      <c r="N293" t="n">
        <v>0</v>
      </c>
      <c r="O293" t="n">
        <v>0</v>
      </c>
      <c r="P293" t="n">
        <v>0</v>
      </c>
      <c r="Q293" t="n">
        <v>0</v>
      </c>
      <c r="R293" s="2" t="inlineStr"/>
    </row>
    <row r="294" ht="15" customHeight="1">
      <c r="A294" t="inlineStr">
        <is>
          <t>A 18134-2025</t>
        </is>
      </c>
      <c r="B294" s="1" t="n">
        <v>45761.60189814815</v>
      </c>
      <c r="C294" s="1" t="n">
        <v>46189</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16733-2024</t>
        </is>
      </c>
      <c r="B295" s="1" t="n">
        <v>45410.78502314815</v>
      </c>
      <c r="C295" s="1" t="n">
        <v>46189</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53159-2024</t>
        </is>
      </c>
      <c r="B296" s="1" t="n">
        <v>45611.63849537037</v>
      </c>
      <c r="C296" s="1" t="n">
        <v>46189</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52110-2025</t>
        </is>
      </c>
      <c r="B297" s="1" t="n">
        <v>45952.69306712963</v>
      </c>
      <c r="C297" s="1" t="n">
        <v>46189</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51771-2025</t>
        </is>
      </c>
      <c r="B298" s="1" t="n">
        <v>45951.64653935185</v>
      </c>
      <c r="C298" s="1" t="n">
        <v>46189</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42391-2023</t>
        </is>
      </c>
      <c r="B299" s="1" t="n">
        <v>45180</v>
      </c>
      <c r="C299" s="1" t="n">
        <v>46189</v>
      </c>
      <c r="D299" t="inlineStr">
        <is>
          <t>DALARNAS LÄN</t>
        </is>
      </c>
      <c r="E299" t="inlineStr">
        <is>
          <t>MORA</t>
        </is>
      </c>
      <c r="F299" t="inlineStr">
        <is>
          <t>Kommuner</t>
        </is>
      </c>
      <c r="G299" t="n">
        <v>0.3</v>
      </c>
      <c r="H299" t="n">
        <v>0</v>
      </c>
      <c r="I299" t="n">
        <v>0</v>
      </c>
      <c r="J299" t="n">
        <v>0</v>
      </c>
      <c r="K299" t="n">
        <v>0</v>
      </c>
      <c r="L299" t="n">
        <v>0</v>
      </c>
      <c r="M299" t="n">
        <v>0</v>
      </c>
      <c r="N299" t="n">
        <v>0</v>
      </c>
      <c r="O299" t="n">
        <v>0</v>
      </c>
      <c r="P299" t="n">
        <v>0</v>
      </c>
      <c r="Q299" t="n">
        <v>0</v>
      </c>
      <c r="R299" s="2" t="inlineStr"/>
    </row>
    <row r="300" ht="15" customHeight="1">
      <c r="A300" t="inlineStr">
        <is>
          <t>A 2865-2022</t>
        </is>
      </c>
      <c r="B300" s="1" t="n">
        <v>44581</v>
      </c>
      <c r="C300" s="1" t="n">
        <v>46189</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53150-2025</t>
        </is>
      </c>
      <c r="B301" s="1" t="n">
        <v>45958.48280092593</v>
      </c>
      <c r="C301" s="1" t="n">
        <v>46189</v>
      </c>
      <c r="D301" t="inlineStr">
        <is>
          <t>DALARNAS LÄN</t>
        </is>
      </c>
      <c r="E301" t="inlineStr">
        <is>
          <t>MORA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50685-2023</t>
        </is>
      </c>
      <c r="B302" s="1" t="n">
        <v>45210</v>
      </c>
      <c r="C302" s="1" t="n">
        <v>46189</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43964-2024</t>
        </is>
      </c>
      <c r="B303" s="1" t="n">
        <v>45572.48407407408</v>
      </c>
      <c r="C303" s="1" t="n">
        <v>46189</v>
      </c>
      <c r="D303" t="inlineStr">
        <is>
          <t>DALARNAS LÄN</t>
        </is>
      </c>
      <c r="E303" t="inlineStr">
        <is>
          <t>MORA</t>
        </is>
      </c>
      <c r="G303" t="n">
        <v>0.9</v>
      </c>
      <c r="H303" t="n">
        <v>0</v>
      </c>
      <c r="I303" t="n">
        <v>0</v>
      </c>
      <c r="J303" t="n">
        <v>0</v>
      </c>
      <c r="K303" t="n">
        <v>0</v>
      </c>
      <c r="L303" t="n">
        <v>0</v>
      </c>
      <c r="M303" t="n">
        <v>0</v>
      </c>
      <c r="N303" t="n">
        <v>0</v>
      </c>
      <c r="O303" t="n">
        <v>0</v>
      </c>
      <c r="P303" t="n">
        <v>0</v>
      </c>
      <c r="Q303" t="n">
        <v>0</v>
      </c>
      <c r="R303" s="2" t="inlineStr"/>
    </row>
    <row r="304" ht="15" customHeight="1">
      <c r="A304" t="inlineStr">
        <is>
          <t>A 39511-2024</t>
        </is>
      </c>
      <c r="B304" s="1" t="n">
        <v>45551.68347222222</v>
      </c>
      <c r="C304" s="1" t="n">
        <v>46189</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56834-2024</t>
        </is>
      </c>
      <c r="B305" s="1" t="n">
        <v>45628.49931712963</v>
      </c>
      <c r="C305" s="1" t="n">
        <v>46189</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53151-2025</t>
        </is>
      </c>
      <c r="B306" s="1" t="n">
        <v>45958.48611111111</v>
      </c>
      <c r="C306" s="1" t="n">
        <v>46189</v>
      </c>
      <c r="D306" t="inlineStr">
        <is>
          <t>DALARNAS LÄN</t>
        </is>
      </c>
      <c r="E306" t="inlineStr">
        <is>
          <t>MORA</t>
        </is>
      </c>
      <c r="F306" t="inlineStr">
        <is>
          <t>Bergvik skog öst AB</t>
        </is>
      </c>
      <c r="G306" t="n">
        <v>0.8</v>
      </c>
      <c r="H306" t="n">
        <v>0</v>
      </c>
      <c r="I306" t="n">
        <v>0</v>
      </c>
      <c r="J306" t="n">
        <v>0</v>
      </c>
      <c r="K306" t="n">
        <v>0</v>
      </c>
      <c r="L306" t="n">
        <v>0</v>
      </c>
      <c r="M306" t="n">
        <v>0</v>
      </c>
      <c r="N306" t="n">
        <v>0</v>
      </c>
      <c r="O306" t="n">
        <v>0</v>
      </c>
      <c r="P306" t="n">
        <v>0</v>
      </c>
      <c r="Q306" t="n">
        <v>0</v>
      </c>
      <c r="R306" s="2" t="inlineStr"/>
    </row>
    <row r="307" ht="15" customHeight="1">
      <c r="A307" t="inlineStr">
        <is>
          <t>A 53591-2025</t>
        </is>
      </c>
      <c r="B307" s="1" t="n">
        <v>45960.43893518519</v>
      </c>
      <c r="C307" s="1" t="n">
        <v>46189</v>
      </c>
      <c r="D307" t="inlineStr">
        <is>
          <t>DALARNAS LÄN</t>
        </is>
      </c>
      <c r="E307" t="inlineStr">
        <is>
          <t>MORA</t>
        </is>
      </c>
      <c r="G307" t="n">
        <v>3.8</v>
      </c>
      <c r="H307" t="n">
        <v>0</v>
      </c>
      <c r="I307" t="n">
        <v>0</v>
      </c>
      <c r="J307" t="n">
        <v>0</v>
      </c>
      <c r="K307" t="n">
        <v>0</v>
      </c>
      <c r="L307" t="n">
        <v>0</v>
      </c>
      <c r="M307" t="n">
        <v>0</v>
      </c>
      <c r="N307" t="n">
        <v>0</v>
      </c>
      <c r="O307" t="n">
        <v>0</v>
      </c>
      <c r="P307" t="n">
        <v>0</v>
      </c>
      <c r="Q307" t="n">
        <v>0</v>
      </c>
      <c r="R307" s="2" t="inlineStr"/>
    </row>
    <row r="308" ht="15" customHeight="1">
      <c r="A308" t="inlineStr">
        <is>
          <t>A 53632-2025</t>
        </is>
      </c>
      <c r="B308" s="1" t="n">
        <v>45960.49972222222</v>
      </c>
      <c r="C308" s="1" t="n">
        <v>46189</v>
      </c>
      <c r="D308" t="inlineStr">
        <is>
          <t>DALARNAS LÄN</t>
        </is>
      </c>
      <c r="E308" t="inlineStr">
        <is>
          <t>MORA</t>
        </is>
      </c>
      <c r="G308" t="n">
        <v>3.1</v>
      </c>
      <c r="H308" t="n">
        <v>0</v>
      </c>
      <c r="I308" t="n">
        <v>0</v>
      </c>
      <c r="J308" t="n">
        <v>0</v>
      </c>
      <c r="K308" t="n">
        <v>0</v>
      </c>
      <c r="L308" t="n">
        <v>0</v>
      </c>
      <c r="M308" t="n">
        <v>0</v>
      </c>
      <c r="N308" t="n">
        <v>0</v>
      </c>
      <c r="O308" t="n">
        <v>0</v>
      </c>
      <c r="P308" t="n">
        <v>0</v>
      </c>
      <c r="Q308" t="n">
        <v>0</v>
      </c>
      <c r="R308" s="2" t="inlineStr"/>
    </row>
    <row r="309" ht="15" customHeight="1">
      <c r="A309" t="inlineStr">
        <is>
          <t>A 53565-2025</t>
        </is>
      </c>
      <c r="B309" s="1" t="n">
        <v>45960.40711805555</v>
      </c>
      <c r="C309" s="1" t="n">
        <v>46189</v>
      </c>
      <c r="D309" t="inlineStr">
        <is>
          <t>DALARNAS LÄN</t>
        </is>
      </c>
      <c r="E309" t="inlineStr">
        <is>
          <t>MORA</t>
        </is>
      </c>
      <c r="G309" t="n">
        <v>5.1</v>
      </c>
      <c r="H309" t="n">
        <v>0</v>
      </c>
      <c r="I309" t="n">
        <v>0</v>
      </c>
      <c r="J309" t="n">
        <v>0</v>
      </c>
      <c r="K309" t="n">
        <v>0</v>
      </c>
      <c r="L309" t="n">
        <v>0</v>
      </c>
      <c r="M309" t="n">
        <v>0</v>
      </c>
      <c r="N309" t="n">
        <v>0</v>
      </c>
      <c r="O309" t="n">
        <v>0</v>
      </c>
      <c r="P309" t="n">
        <v>0</v>
      </c>
      <c r="Q309" t="n">
        <v>0</v>
      </c>
      <c r="R309" s="2" t="inlineStr"/>
    </row>
    <row r="310" ht="15" customHeight="1">
      <c r="A310" t="inlineStr">
        <is>
          <t>A 8068-2024</t>
        </is>
      </c>
      <c r="B310" s="1" t="n">
        <v>45351.41524305556</v>
      </c>
      <c r="C310" s="1" t="n">
        <v>46189</v>
      </c>
      <c r="D310" t="inlineStr">
        <is>
          <t>DALARNAS LÄN</t>
        </is>
      </c>
      <c r="E310" t="inlineStr">
        <is>
          <t>MORA</t>
        </is>
      </c>
      <c r="G310" t="n">
        <v>6.4</v>
      </c>
      <c r="H310" t="n">
        <v>0</v>
      </c>
      <c r="I310" t="n">
        <v>0</v>
      </c>
      <c r="J310" t="n">
        <v>0</v>
      </c>
      <c r="K310" t="n">
        <v>0</v>
      </c>
      <c r="L310" t="n">
        <v>0</v>
      </c>
      <c r="M310" t="n">
        <v>0</v>
      </c>
      <c r="N310" t="n">
        <v>0</v>
      </c>
      <c r="O310" t="n">
        <v>0</v>
      </c>
      <c r="P310" t="n">
        <v>0</v>
      </c>
      <c r="Q310" t="n">
        <v>0</v>
      </c>
      <c r="R310" s="2" t="inlineStr"/>
    </row>
    <row r="311" ht="15" customHeight="1">
      <c r="A311" t="inlineStr">
        <is>
          <t>A 53556-2025</t>
        </is>
      </c>
      <c r="B311" s="1" t="n">
        <v>45960.3921875</v>
      </c>
      <c r="C311" s="1" t="n">
        <v>46189</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53560-2025</t>
        </is>
      </c>
      <c r="B312" s="1" t="n">
        <v>45960.39960648148</v>
      </c>
      <c r="C312" s="1" t="n">
        <v>46189</v>
      </c>
      <c r="D312" t="inlineStr">
        <is>
          <t>DALARNAS LÄN</t>
        </is>
      </c>
      <c r="E312" t="inlineStr">
        <is>
          <t>MORA</t>
        </is>
      </c>
      <c r="G312" t="n">
        <v>5.2</v>
      </c>
      <c r="H312" t="n">
        <v>0</v>
      </c>
      <c r="I312" t="n">
        <v>0</v>
      </c>
      <c r="J312" t="n">
        <v>0</v>
      </c>
      <c r="K312" t="n">
        <v>0</v>
      </c>
      <c r="L312" t="n">
        <v>0</v>
      </c>
      <c r="M312" t="n">
        <v>0</v>
      </c>
      <c r="N312" t="n">
        <v>0</v>
      </c>
      <c r="O312" t="n">
        <v>0</v>
      </c>
      <c r="P312" t="n">
        <v>0</v>
      </c>
      <c r="Q312" t="n">
        <v>0</v>
      </c>
      <c r="R312" s="2" t="inlineStr"/>
    </row>
    <row r="313" ht="15" customHeight="1">
      <c r="A313" t="inlineStr">
        <is>
          <t>A 53562-2025</t>
        </is>
      </c>
      <c r="B313" s="1" t="n">
        <v>45960.40662037037</v>
      </c>
      <c r="C313" s="1" t="n">
        <v>46189</v>
      </c>
      <c r="D313" t="inlineStr">
        <is>
          <t>DALARNAS LÄN</t>
        </is>
      </c>
      <c r="E313" t="inlineStr">
        <is>
          <t>MORA</t>
        </is>
      </c>
      <c r="G313" t="n">
        <v>5.1</v>
      </c>
      <c r="H313" t="n">
        <v>0</v>
      </c>
      <c r="I313" t="n">
        <v>0</v>
      </c>
      <c r="J313" t="n">
        <v>0</v>
      </c>
      <c r="K313" t="n">
        <v>0</v>
      </c>
      <c r="L313" t="n">
        <v>0</v>
      </c>
      <c r="M313" t="n">
        <v>0</v>
      </c>
      <c r="N313" t="n">
        <v>0</v>
      </c>
      <c r="O313" t="n">
        <v>0</v>
      </c>
      <c r="P313" t="n">
        <v>0</v>
      </c>
      <c r="Q313" t="n">
        <v>0</v>
      </c>
      <c r="R313" s="2" t="inlineStr"/>
    </row>
    <row r="314" ht="15" customHeight="1">
      <c r="A314" t="inlineStr">
        <is>
          <t>A 53982-2025</t>
        </is>
      </c>
      <c r="B314" s="1" t="n">
        <v>45961.57019675926</v>
      </c>
      <c r="C314" s="1" t="n">
        <v>46189</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35521-2023</t>
        </is>
      </c>
      <c r="B315" s="1" t="n">
        <v>45147.33251157407</v>
      </c>
      <c r="C315" s="1" t="n">
        <v>46189</v>
      </c>
      <c r="D315" t="inlineStr">
        <is>
          <t>DALARNAS LÄN</t>
        </is>
      </c>
      <c r="E315" t="inlineStr">
        <is>
          <t>MORA</t>
        </is>
      </c>
      <c r="G315" t="n">
        <v>3.7</v>
      </c>
      <c r="H315" t="n">
        <v>0</v>
      </c>
      <c r="I315" t="n">
        <v>0</v>
      </c>
      <c r="J315" t="n">
        <v>0</v>
      </c>
      <c r="K315" t="n">
        <v>0</v>
      </c>
      <c r="L315" t="n">
        <v>0</v>
      </c>
      <c r="M315" t="n">
        <v>0</v>
      </c>
      <c r="N315" t="n">
        <v>0</v>
      </c>
      <c r="O315" t="n">
        <v>0</v>
      </c>
      <c r="P315" t="n">
        <v>0</v>
      </c>
      <c r="Q315" t="n">
        <v>0</v>
      </c>
      <c r="R315" s="2" t="inlineStr"/>
    </row>
    <row r="316" ht="15" customHeight="1">
      <c r="A316" t="inlineStr">
        <is>
          <t>A 31112-2024</t>
        </is>
      </c>
      <c r="B316" s="1" t="n">
        <v>45502.55185185185</v>
      </c>
      <c r="C316" s="1" t="n">
        <v>46189</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44205-2023</t>
        </is>
      </c>
      <c r="B317" s="1" t="n">
        <v>45188</v>
      </c>
      <c r="C317" s="1" t="n">
        <v>46189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54504-2025</t>
        </is>
      </c>
      <c r="B318" s="1" t="n">
        <v>45965.61686342592</v>
      </c>
      <c r="C318" s="1" t="n">
        <v>46189</v>
      </c>
      <c r="D318" t="inlineStr">
        <is>
          <t>DALARNAS LÄN</t>
        </is>
      </c>
      <c r="E318" t="inlineStr">
        <is>
          <t>MORA</t>
        </is>
      </c>
      <c r="G318" t="n">
        <v>0.9</v>
      </c>
      <c r="H318" t="n">
        <v>0</v>
      </c>
      <c r="I318" t="n">
        <v>0</v>
      </c>
      <c r="J318" t="n">
        <v>0</v>
      </c>
      <c r="K318" t="n">
        <v>0</v>
      </c>
      <c r="L318" t="n">
        <v>0</v>
      </c>
      <c r="M318" t="n">
        <v>0</v>
      </c>
      <c r="N318" t="n">
        <v>0</v>
      </c>
      <c r="O318" t="n">
        <v>0</v>
      </c>
      <c r="P318" t="n">
        <v>0</v>
      </c>
      <c r="Q318" t="n">
        <v>0</v>
      </c>
      <c r="R318" s="2" t="inlineStr"/>
    </row>
    <row r="319" ht="15" customHeight="1">
      <c r="A319" t="inlineStr">
        <is>
          <t>A 54367-2025</t>
        </is>
      </c>
      <c r="B319" s="1" t="n">
        <v>45965.4031712963</v>
      </c>
      <c r="C319" s="1" t="n">
        <v>46189</v>
      </c>
      <c r="D319" t="inlineStr">
        <is>
          <t>DALARNAS LÄN</t>
        </is>
      </c>
      <c r="E319" t="inlineStr">
        <is>
          <t>MORA</t>
        </is>
      </c>
      <c r="G319" t="n">
        <v>7</v>
      </c>
      <c r="H319" t="n">
        <v>0</v>
      </c>
      <c r="I319" t="n">
        <v>0</v>
      </c>
      <c r="J319" t="n">
        <v>0</v>
      </c>
      <c r="K319" t="n">
        <v>0</v>
      </c>
      <c r="L319" t="n">
        <v>0</v>
      </c>
      <c r="M319" t="n">
        <v>0</v>
      </c>
      <c r="N319" t="n">
        <v>0</v>
      </c>
      <c r="O319" t="n">
        <v>0</v>
      </c>
      <c r="P319" t="n">
        <v>0</v>
      </c>
      <c r="Q319" t="n">
        <v>0</v>
      </c>
      <c r="R319" s="2" t="inlineStr"/>
    </row>
    <row r="320" ht="15" customHeight="1">
      <c r="A320" t="inlineStr">
        <is>
          <t>A 18214-2024</t>
        </is>
      </c>
      <c r="B320" s="1" t="n">
        <v>45420</v>
      </c>
      <c r="C320" s="1" t="n">
        <v>46189</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54919-2025</t>
        </is>
      </c>
      <c r="B321" s="1" t="n">
        <v>45967.38884259259</v>
      </c>
      <c r="C321" s="1" t="n">
        <v>46189</v>
      </c>
      <c r="D321" t="inlineStr">
        <is>
          <t>DALARNAS LÄN</t>
        </is>
      </c>
      <c r="E321" t="inlineStr">
        <is>
          <t>MORA</t>
        </is>
      </c>
      <c r="F321" t="inlineStr">
        <is>
          <t>Bergvik skog väst AB</t>
        </is>
      </c>
      <c r="G321" t="n">
        <v>5.6</v>
      </c>
      <c r="H321" t="n">
        <v>0</v>
      </c>
      <c r="I321" t="n">
        <v>0</v>
      </c>
      <c r="J321" t="n">
        <v>0</v>
      </c>
      <c r="K321" t="n">
        <v>0</v>
      </c>
      <c r="L321" t="n">
        <v>0</v>
      </c>
      <c r="M321" t="n">
        <v>0</v>
      </c>
      <c r="N321" t="n">
        <v>0</v>
      </c>
      <c r="O321" t="n">
        <v>0</v>
      </c>
      <c r="P321" t="n">
        <v>0</v>
      </c>
      <c r="Q321" t="n">
        <v>0</v>
      </c>
      <c r="R321" s="2" t="inlineStr"/>
    </row>
    <row r="322" ht="15" customHeight="1">
      <c r="A322" t="inlineStr">
        <is>
          <t>A 55124-2025</t>
        </is>
      </c>
      <c r="B322" s="1" t="n">
        <v>45968.40621527778</v>
      </c>
      <c r="C322" s="1" t="n">
        <v>46189</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54868-2025</t>
        </is>
      </c>
      <c r="B323" s="1" t="n">
        <v>45966.85649305556</v>
      </c>
      <c r="C323" s="1" t="n">
        <v>46189</v>
      </c>
      <c r="D323" t="inlineStr">
        <is>
          <t>DALARNAS LÄN</t>
        </is>
      </c>
      <c r="E323" t="inlineStr">
        <is>
          <t>MORA</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54909-2025</t>
        </is>
      </c>
      <c r="B324" s="1" t="n">
        <v>45967.374375</v>
      </c>
      <c r="C324" s="1" t="n">
        <v>46189</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54905-2025</t>
        </is>
      </c>
      <c r="B325" s="1" t="n">
        <v>45967.3700462963</v>
      </c>
      <c r="C325" s="1" t="n">
        <v>46189</v>
      </c>
      <c r="D325" t="inlineStr">
        <is>
          <t>DALARNAS LÄN</t>
        </is>
      </c>
      <c r="E325" t="inlineStr">
        <is>
          <t>MORA</t>
        </is>
      </c>
      <c r="G325" t="n">
        <v>0.4</v>
      </c>
      <c r="H325" t="n">
        <v>0</v>
      </c>
      <c r="I325" t="n">
        <v>0</v>
      </c>
      <c r="J325" t="n">
        <v>0</v>
      </c>
      <c r="K325" t="n">
        <v>0</v>
      </c>
      <c r="L325" t="n">
        <v>0</v>
      </c>
      <c r="M325" t="n">
        <v>0</v>
      </c>
      <c r="N325" t="n">
        <v>0</v>
      </c>
      <c r="O325" t="n">
        <v>0</v>
      </c>
      <c r="P325" t="n">
        <v>0</v>
      </c>
      <c r="Q325" t="n">
        <v>0</v>
      </c>
      <c r="R325" s="2" t="inlineStr"/>
    </row>
    <row r="326" ht="15" customHeight="1">
      <c r="A326" t="inlineStr">
        <is>
          <t>A 54862-2025</t>
        </is>
      </c>
      <c r="B326" s="1" t="n">
        <v>45966.76542824074</v>
      </c>
      <c r="C326" s="1" t="n">
        <v>46189</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46152-2023</t>
        </is>
      </c>
      <c r="B327" s="1" t="n">
        <v>45196.58278935185</v>
      </c>
      <c r="C327" s="1" t="n">
        <v>46189</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42035-2022</t>
        </is>
      </c>
      <c r="B328" s="1" t="n">
        <v>44830</v>
      </c>
      <c r="C328" s="1" t="n">
        <v>46189</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5980-2025</t>
        </is>
      </c>
      <c r="B329" s="1" t="n">
        <v>45695.54651620371</v>
      </c>
      <c r="C329" s="1" t="n">
        <v>46189</v>
      </c>
      <c r="D329" t="inlineStr">
        <is>
          <t>DALARNAS LÄN</t>
        </is>
      </c>
      <c r="E329" t="inlineStr">
        <is>
          <t>MORA</t>
        </is>
      </c>
      <c r="G329" t="n">
        <v>2.7</v>
      </c>
      <c r="H329" t="n">
        <v>0</v>
      </c>
      <c r="I329" t="n">
        <v>0</v>
      </c>
      <c r="J329" t="n">
        <v>0</v>
      </c>
      <c r="K329" t="n">
        <v>0</v>
      </c>
      <c r="L329" t="n">
        <v>0</v>
      </c>
      <c r="M329" t="n">
        <v>0</v>
      </c>
      <c r="N329" t="n">
        <v>0</v>
      </c>
      <c r="O329" t="n">
        <v>0</v>
      </c>
      <c r="P329" t="n">
        <v>0</v>
      </c>
      <c r="Q329" t="n">
        <v>0</v>
      </c>
      <c r="R329" s="2" t="inlineStr"/>
    </row>
    <row r="330" ht="15" customHeight="1">
      <c r="A330" t="inlineStr">
        <is>
          <t>A 9599-2022</t>
        </is>
      </c>
      <c r="B330" s="1" t="n">
        <v>44617.48909722222</v>
      </c>
      <c r="C330" s="1" t="n">
        <v>46189</v>
      </c>
      <c r="D330" t="inlineStr">
        <is>
          <t>DALARNAS LÄN</t>
        </is>
      </c>
      <c r="E330" t="inlineStr">
        <is>
          <t>MORA</t>
        </is>
      </c>
      <c r="G330" t="n">
        <v>2.1</v>
      </c>
      <c r="H330" t="n">
        <v>0</v>
      </c>
      <c r="I330" t="n">
        <v>0</v>
      </c>
      <c r="J330" t="n">
        <v>0</v>
      </c>
      <c r="K330" t="n">
        <v>0</v>
      </c>
      <c r="L330" t="n">
        <v>0</v>
      </c>
      <c r="M330" t="n">
        <v>0</v>
      </c>
      <c r="N330" t="n">
        <v>0</v>
      </c>
      <c r="O330" t="n">
        <v>0</v>
      </c>
      <c r="P330" t="n">
        <v>0</v>
      </c>
      <c r="Q330" t="n">
        <v>0</v>
      </c>
      <c r="R330" s="2" t="inlineStr"/>
    </row>
    <row r="331" ht="15" customHeight="1">
      <c r="A331" t="inlineStr">
        <is>
          <t>A 51883-2024</t>
        </is>
      </c>
      <c r="B331" s="1" t="n">
        <v>45607</v>
      </c>
      <c r="C331" s="1" t="n">
        <v>46189</v>
      </c>
      <c r="D331" t="inlineStr">
        <is>
          <t>DALARNAS LÄN</t>
        </is>
      </c>
      <c r="E331" t="inlineStr">
        <is>
          <t>MORA</t>
        </is>
      </c>
      <c r="G331" t="n">
        <v>0.2</v>
      </c>
      <c r="H331" t="n">
        <v>0</v>
      </c>
      <c r="I331" t="n">
        <v>0</v>
      </c>
      <c r="J331" t="n">
        <v>0</v>
      </c>
      <c r="K331" t="n">
        <v>0</v>
      </c>
      <c r="L331" t="n">
        <v>0</v>
      </c>
      <c r="M331" t="n">
        <v>0</v>
      </c>
      <c r="N331" t="n">
        <v>0</v>
      </c>
      <c r="O331" t="n">
        <v>0</v>
      </c>
      <c r="P331" t="n">
        <v>0</v>
      </c>
      <c r="Q331" t="n">
        <v>0</v>
      </c>
      <c r="R331" s="2" t="inlineStr"/>
    </row>
    <row r="332" ht="15" customHeight="1">
      <c r="A332" t="inlineStr">
        <is>
          <t>A 56702-2025</t>
        </is>
      </c>
      <c r="B332" s="1" t="n">
        <v>45977.45586805556</v>
      </c>
      <c r="C332" s="1" t="n">
        <v>46189</v>
      </c>
      <c r="D332" t="inlineStr">
        <is>
          <t>DALARNAS LÄN</t>
        </is>
      </c>
      <c r="E332" t="inlineStr">
        <is>
          <t>MORA</t>
        </is>
      </c>
      <c r="G332" t="n">
        <v>2.2</v>
      </c>
      <c r="H332" t="n">
        <v>0</v>
      </c>
      <c r="I332" t="n">
        <v>0</v>
      </c>
      <c r="J332" t="n">
        <v>0</v>
      </c>
      <c r="K332" t="n">
        <v>0</v>
      </c>
      <c r="L332" t="n">
        <v>0</v>
      </c>
      <c r="M332" t="n">
        <v>0</v>
      </c>
      <c r="N332" t="n">
        <v>0</v>
      </c>
      <c r="O332" t="n">
        <v>0</v>
      </c>
      <c r="P332" t="n">
        <v>0</v>
      </c>
      <c r="Q332" t="n">
        <v>0</v>
      </c>
      <c r="R332" s="2" t="inlineStr"/>
    </row>
    <row r="333" ht="15" customHeight="1">
      <c r="A333" t="inlineStr">
        <is>
          <t>A 57101-2025</t>
        </is>
      </c>
      <c r="B333" s="1" t="n">
        <v>45979.44006944444</v>
      </c>
      <c r="C333" s="1" t="n">
        <v>46189</v>
      </c>
      <c r="D333" t="inlineStr">
        <is>
          <t>DALARNAS LÄN</t>
        </is>
      </c>
      <c r="E333" t="inlineStr">
        <is>
          <t>MORA</t>
        </is>
      </c>
      <c r="G333" t="n">
        <v>7.5</v>
      </c>
      <c r="H333" t="n">
        <v>0</v>
      </c>
      <c r="I333" t="n">
        <v>0</v>
      </c>
      <c r="J333" t="n">
        <v>0</v>
      </c>
      <c r="K333" t="n">
        <v>0</v>
      </c>
      <c r="L333" t="n">
        <v>0</v>
      </c>
      <c r="M333" t="n">
        <v>0</v>
      </c>
      <c r="N333" t="n">
        <v>0</v>
      </c>
      <c r="O333" t="n">
        <v>0</v>
      </c>
      <c r="P333" t="n">
        <v>0</v>
      </c>
      <c r="Q333" t="n">
        <v>0</v>
      </c>
      <c r="R333" s="2" t="inlineStr"/>
    </row>
    <row r="334" ht="15" customHeight="1">
      <c r="A334" t="inlineStr">
        <is>
          <t>A 57453-2025</t>
        </is>
      </c>
      <c r="B334" s="1" t="n">
        <v>45980.5122337963</v>
      </c>
      <c r="C334" s="1" t="n">
        <v>46189</v>
      </c>
      <c r="D334" t="inlineStr">
        <is>
          <t>DALARNAS LÄN</t>
        </is>
      </c>
      <c r="E334" t="inlineStr">
        <is>
          <t>MORA</t>
        </is>
      </c>
      <c r="F334" t="inlineStr">
        <is>
          <t>Allmännings- och besparingsskogar</t>
        </is>
      </c>
      <c r="G334" t="n">
        <v>2.9</v>
      </c>
      <c r="H334" t="n">
        <v>0</v>
      </c>
      <c r="I334" t="n">
        <v>0</v>
      </c>
      <c r="J334" t="n">
        <v>0</v>
      </c>
      <c r="K334" t="n">
        <v>0</v>
      </c>
      <c r="L334" t="n">
        <v>0</v>
      </c>
      <c r="M334" t="n">
        <v>0</v>
      </c>
      <c r="N334" t="n">
        <v>0</v>
      </c>
      <c r="O334" t="n">
        <v>0</v>
      </c>
      <c r="P334" t="n">
        <v>0</v>
      </c>
      <c r="Q334" t="n">
        <v>0</v>
      </c>
      <c r="R334" s="2" t="inlineStr"/>
    </row>
    <row r="335" ht="15" customHeight="1">
      <c r="A335" t="inlineStr">
        <is>
          <t>A 57097-2025</t>
        </is>
      </c>
      <c r="B335" s="1" t="n">
        <v>45979.43388888889</v>
      </c>
      <c r="C335" s="1" t="n">
        <v>46189</v>
      </c>
      <c r="D335" t="inlineStr">
        <is>
          <t>DALARNAS LÄN</t>
        </is>
      </c>
      <c r="E335" t="inlineStr">
        <is>
          <t>MORA</t>
        </is>
      </c>
      <c r="G335" t="n">
        <v>7.5</v>
      </c>
      <c r="H335" t="n">
        <v>0</v>
      </c>
      <c r="I335" t="n">
        <v>0</v>
      </c>
      <c r="J335" t="n">
        <v>0</v>
      </c>
      <c r="K335" t="n">
        <v>0</v>
      </c>
      <c r="L335" t="n">
        <v>0</v>
      </c>
      <c r="M335" t="n">
        <v>0</v>
      </c>
      <c r="N335" t="n">
        <v>0</v>
      </c>
      <c r="O335" t="n">
        <v>0</v>
      </c>
      <c r="P335" t="n">
        <v>0</v>
      </c>
      <c r="Q335" t="n">
        <v>0</v>
      </c>
      <c r="R335" s="2" t="inlineStr"/>
    </row>
    <row r="336" ht="15" customHeight="1">
      <c r="A336" t="inlineStr">
        <is>
          <t>A 38627-2023</t>
        </is>
      </c>
      <c r="B336" s="1" t="n">
        <v>45162.68787037037</v>
      </c>
      <c r="C336" s="1" t="n">
        <v>46189</v>
      </c>
      <c r="D336" t="inlineStr">
        <is>
          <t>DALARNAS LÄN</t>
        </is>
      </c>
      <c r="E336" t="inlineStr">
        <is>
          <t>MORA</t>
        </is>
      </c>
      <c r="G336" t="n">
        <v>6.5</v>
      </c>
      <c r="H336" t="n">
        <v>0</v>
      </c>
      <c r="I336" t="n">
        <v>0</v>
      </c>
      <c r="J336" t="n">
        <v>0</v>
      </c>
      <c r="K336" t="n">
        <v>0</v>
      </c>
      <c r="L336" t="n">
        <v>0</v>
      </c>
      <c r="M336" t="n">
        <v>0</v>
      </c>
      <c r="N336" t="n">
        <v>0</v>
      </c>
      <c r="O336" t="n">
        <v>0</v>
      </c>
      <c r="P336" t="n">
        <v>0</v>
      </c>
      <c r="Q336" t="n">
        <v>0</v>
      </c>
      <c r="R336" s="2" t="inlineStr"/>
    </row>
    <row r="337" ht="15" customHeight="1">
      <c r="A337" t="inlineStr">
        <is>
          <t>A 16637-2025</t>
        </is>
      </c>
      <c r="B337" s="1" t="n">
        <v>45754.36738425926</v>
      </c>
      <c r="C337" s="1" t="n">
        <v>46189</v>
      </c>
      <c r="D337" t="inlineStr">
        <is>
          <t>DALARNAS LÄN</t>
        </is>
      </c>
      <c r="E337" t="inlineStr">
        <is>
          <t>MORA</t>
        </is>
      </c>
      <c r="G337" t="n">
        <v>1.1</v>
      </c>
      <c r="H337" t="n">
        <v>0</v>
      </c>
      <c r="I337" t="n">
        <v>0</v>
      </c>
      <c r="J337" t="n">
        <v>0</v>
      </c>
      <c r="K337" t="n">
        <v>0</v>
      </c>
      <c r="L337" t="n">
        <v>0</v>
      </c>
      <c r="M337" t="n">
        <v>0</v>
      </c>
      <c r="N337" t="n">
        <v>0</v>
      </c>
      <c r="O337" t="n">
        <v>0</v>
      </c>
      <c r="P337" t="n">
        <v>0</v>
      </c>
      <c r="Q337" t="n">
        <v>0</v>
      </c>
      <c r="R337" s="2" t="inlineStr"/>
    </row>
    <row r="338" ht="15" customHeight="1">
      <c r="A338" t="inlineStr">
        <is>
          <t>A 48570-2022</t>
        </is>
      </c>
      <c r="B338" s="1" t="n">
        <v>44859</v>
      </c>
      <c r="C338" s="1" t="n">
        <v>46189</v>
      </c>
      <c r="D338" t="inlineStr">
        <is>
          <t>DALARNAS LÄN</t>
        </is>
      </c>
      <c r="E338" t="inlineStr">
        <is>
          <t>MORA</t>
        </is>
      </c>
      <c r="G338" t="n">
        <v>6.2</v>
      </c>
      <c r="H338" t="n">
        <v>0</v>
      </c>
      <c r="I338" t="n">
        <v>0</v>
      </c>
      <c r="J338" t="n">
        <v>0</v>
      </c>
      <c r="K338" t="n">
        <v>0</v>
      </c>
      <c r="L338" t="n">
        <v>0</v>
      </c>
      <c r="M338" t="n">
        <v>0</v>
      </c>
      <c r="N338" t="n">
        <v>0</v>
      </c>
      <c r="O338" t="n">
        <v>0</v>
      </c>
      <c r="P338" t="n">
        <v>0</v>
      </c>
      <c r="Q338" t="n">
        <v>0</v>
      </c>
      <c r="R338" s="2" t="inlineStr"/>
    </row>
    <row r="339" ht="15" customHeight="1">
      <c r="A339" t="inlineStr">
        <is>
          <t>A 49991-2023</t>
        </is>
      </c>
      <c r="B339" s="1" t="n">
        <v>45215.43879629629</v>
      </c>
      <c r="C339" s="1" t="n">
        <v>46189</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57976-2025</t>
        </is>
      </c>
      <c r="B340" s="1" t="n">
        <v>45982.39435185185</v>
      </c>
      <c r="C340" s="1" t="n">
        <v>46189</v>
      </c>
      <c r="D340" t="inlineStr">
        <is>
          <t>DALARNAS LÄN</t>
        </is>
      </c>
      <c r="E340" t="inlineStr">
        <is>
          <t>MORA</t>
        </is>
      </c>
      <c r="G340" t="n">
        <v>7.4</v>
      </c>
      <c r="H340" t="n">
        <v>0</v>
      </c>
      <c r="I340" t="n">
        <v>0</v>
      </c>
      <c r="J340" t="n">
        <v>0</v>
      </c>
      <c r="K340" t="n">
        <v>0</v>
      </c>
      <c r="L340" t="n">
        <v>0</v>
      </c>
      <c r="M340" t="n">
        <v>0</v>
      </c>
      <c r="N340" t="n">
        <v>0</v>
      </c>
      <c r="O340" t="n">
        <v>0</v>
      </c>
      <c r="P340" t="n">
        <v>0</v>
      </c>
      <c r="Q340" t="n">
        <v>0</v>
      </c>
      <c r="R340" s="2" t="inlineStr"/>
    </row>
    <row r="341" ht="15" customHeight="1">
      <c r="A341" t="inlineStr">
        <is>
          <t>A 57647-2025</t>
        </is>
      </c>
      <c r="B341" s="1" t="n">
        <v>45981.37621527778</v>
      </c>
      <c r="C341" s="1" t="n">
        <v>46189</v>
      </c>
      <c r="D341" t="inlineStr">
        <is>
          <t>DALARNAS LÄN</t>
        </is>
      </c>
      <c r="E341" t="inlineStr">
        <is>
          <t>MORA</t>
        </is>
      </c>
      <c r="G341" t="n">
        <v>3.9</v>
      </c>
      <c r="H341" t="n">
        <v>0</v>
      </c>
      <c r="I341" t="n">
        <v>0</v>
      </c>
      <c r="J341" t="n">
        <v>0</v>
      </c>
      <c r="K341" t="n">
        <v>0</v>
      </c>
      <c r="L341" t="n">
        <v>0</v>
      </c>
      <c r="M341" t="n">
        <v>0</v>
      </c>
      <c r="N341" t="n">
        <v>0</v>
      </c>
      <c r="O341" t="n">
        <v>0</v>
      </c>
      <c r="P341" t="n">
        <v>0</v>
      </c>
      <c r="Q341" t="n">
        <v>0</v>
      </c>
      <c r="R341" s="2" t="inlineStr"/>
    </row>
    <row r="342" ht="15" customHeight="1">
      <c r="A342" t="inlineStr">
        <is>
          <t>A 57659-2025</t>
        </is>
      </c>
      <c r="B342" s="1" t="n">
        <v>45981.41228009259</v>
      </c>
      <c r="C342" s="1" t="n">
        <v>46189</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58001-2025</t>
        </is>
      </c>
      <c r="B343" s="1" t="n">
        <v>45982.43615740741</v>
      </c>
      <c r="C343" s="1" t="n">
        <v>46189</v>
      </c>
      <c r="D343" t="inlineStr">
        <is>
          <t>DALARNAS LÄN</t>
        </is>
      </c>
      <c r="E343" t="inlineStr">
        <is>
          <t>MORA</t>
        </is>
      </c>
      <c r="G343" t="n">
        <v>3.2</v>
      </c>
      <c r="H343" t="n">
        <v>0</v>
      </c>
      <c r="I343" t="n">
        <v>0</v>
      </c>
      <c r="J343" t="n">
        <v>0</v>
      </c>
      <c r="K343" t="n">
        <v>0</v>
      </c>
      <c r="L343" t="n">
        <v>0</v>
      </c>
      <c r="M343" t="n">
        <v>0</v>
      </c>
      <c r="N343" t="n">
        <v>0</v>
      </c>
      <c r="O343" t="n">
        <v>0</v>
      </c>
      <c r="P343" t="n">
        <v>0</v>
      </c>
      <c r="Q343" t="n">
        <v>0</v>
      </c>
      <c r="R343" s="2" t="inlineStr"/>
    </row>
    <row r="344" ht="15" customHeight="1">
      <c r="A344" t="inlineStr">
        <is>
          <t>A 20401-2022</t>
        </is>
      </c>
      <c r="B344" s="1" t="n">
        <v>44699</v>
      </c>
      <c r="C344" s="1" t="n">
        <v>46189</v>
      </c>
      <c r="D344" t="inlineStr">
        <is>
          <t>DALARNAS LÄN</t>
        </is>
      </c>
      <c r="E344" t="inlineStr">
        <is>
          <t>MORA</t>
        </is>
      </c>
      <c r="G344" t="n">
        <v>3.2</v>
      </c>
      <c r="H344" t="n">
        <v>0</v>
      </c>
      <c r="I344" t="n">
        <v>0</v>
      </c>
      <c r="J344" t="n">
        <v>0</v>
      </c>
      <c r="K344" t="n">
        <v>0</v>
      </c>
      <c r="L344" t="n">
        <v>0</v>
      </c>
      <c r="M344" t="n">
        <v>0</v>
      </c>
      <c r="N344" t="n">
        <v>0</v>
      </c>
      <c r="O344" t="n">
        <v>0</v>
      </c>
      <c r="P344" t="n">
        <v>0</v>
      </c>
      <c r="Q344" t="n">
        <v>0</v>
      </c>
      <c r="R344" s="2" t="inlineStr"/>
    </row>
    <row r="345" ht="15" customHeight="1">
      <c r="A345" t="inlineStr">
        <is>
          <t>A 18120-2025</t>
        </is>
      </c>
      <c r="B345" s="1" t="n">
        <v>45761</v>
      </c>
      <c r="C345" s="1" t="n">
        <v>46189</v>
      </c>
      <c r="D345" t="inlineStr">
        <is>
          <t>DALARNAS LÄN</t>
        </is>
      </c>
      <c r="E345" t="inlineStr">
        <is>
          <t>MORA</t>
        </is>
      </c>
      <c r="F345" t="inlineStr">
        <is>
          <t>Bergvik skog väst AB</t>
        </is>
      </c>
      <c r="G345" t="n">
        <v>6.4</v>
      </c>
      <c r="H345" t="n">
        <v>0</v>
      </c>
      <c r="I345" t="n">
        <v>0</v>
      </c>
      <c r="J345" t="n">
        <v>0</v>
      </c>
      <c r="K345" t="n">
        <v>0</v>
      </c>
      <c r="L345" t="n">
        <v>0</v>
      </c>
      <c r="M345" t="n">
        <v>0</v>
      </c>
      <c r="N345" t="n">
        <v>0</v>
      </c>
      <c r="O345" t="n">
        <v>0</v>
      </c>
      <c r="P345" t="n">
        <v>0</v>
      </c>
      <c r="Q345" t="n">
        <v>0</v>
      </c>
      <c r="R345" s="2" t="inlineStr"/>
    </row>
    <row r="346" ht="15" customHeight="1">
      <c r="A346" t="inlineStr">
        <is>
          <t>A 18127-2025</t>
        </is>
      </c>
      <c r="B346" s="1" t="n">
        <v>45761.59523148148</v>
      </c>
      <c r="C346" s="1" t="n">
        <v>46189</v>
      </c>
      <c r="D346" t="inlineStr">
        <is>
          <t>DALARNAS LÄN</t>
        </is>
      </c>
      <c r="E346" t="inlineStr">
        <is>
          <t>MORA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25887-2023</t>
        </is>
      </c>
      <c r="B347" s="1" t="n">
        <v>45090.62493055555</v>
      </c>
      <c r="C347" s="1" t="n">
        <v>46189</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20544-2025</t>
        </is>
      </c>
      <c r="B348" s="1" t="n">
        <v>45775.63119212963</v>
      </c>
      <c r="C348" s="1" t="n">
        <v>46189</v>
      </c>
      <c r="D348" t="inlineStr">
        <is>
          <t>DALARNAS LÄN</t>
        </is>
      </c>
      <c r="E348" t="inlineStr">
        <is>
          <t>MORA</t>
        </is>
      </c>
      <c r="G348" t="n">
        <v>3.6</v>
      </c>
      <c r="H348" t="n">
        <v>0</v>
      </c>
      <c r="I348" t="n">
        <v>0</v>
      </c>
      <c r="J348" t="n">
        <v>0</v>
      </c>
      <c r="K348" t="n">
        <v>0</v>
      </c>
      <c r="L348" t="n">
        <v>0</v>
      </c>
      <c r="M348" t="n">
        <v>0</v>
      </c>
      <c r="N348" t="n">
        <v>0</v>
      </c>
      <c r="O348" t="n">
        <v>0</v>
      </c>
      <c r="P348" t="n">
        <v>0</v>
      </c>
      <c r="Q348" t="n">
        <v>0</v>
      </c>
      <c r="R348" s="2" t="inlineStr"/>
    </row>
    <row r="349" ht="15" customHeight="1">
      <c r="A349" t="inlineStr">
        <is>
          <t>A 36740-2023</t>
        </is>
      </c>
      <c r="B349" s="1" t="n">
        <v>45153</v>
      </c>
      <c r="C349" s="1" t="n">
        <v>46189</v>
      </c>
      <c r="D349" t="inlineStr">
        <is>
          <t>DALARNAS LÄN</t>
        </is>
      </c>
      <c r="E349" t="inlineStr">
        <is>
          <t>MORA</t>
        </is>
      </c>
      <c r="G349" t="n">
        <v>0.2</v>
      </c>
      <c r="H349" t="n">
        <v>0</v>
      </c>
      <c r="I349" t="n">
        <v>0</v>
      </c>
      <c r="J349" t="n">
        <v>0</v>
      </c>
      <c r="K349" t="n">
        <v>0</v>
      </c>
      <c r="L349" t="n">
        <v>0</v>
      </c>
      <c r="M349" t="n">
        <v>0</v>
      </c>
      <c r="N349" t="n">
        <v>0</v>
      </c>
      <c r="O349" t="n">
        <v>0</v>
      </c>
      <c r="P349" t="n">
        <v>0</v>
      </c>
      <c r="Q349" t="n">
        <v>0</v>
      </c>
      <c r="R349" s="2" t="inlineStr"/>
    </row>
    <row r="350" ht="15" customHeight="1">
      <c r="A350" t="inlineStr">
        <is>
          <t>A 59094-2025</t>
        </is>
      </c>
      <c r="B350" s="1" t="n">
        <v>45988.45105324074</v>
      </c>
      <c r="C350" s="1" t="n">
        <v>46189</v>
      </c>
      <c r="D350" t="inlineStr">
        <is>
          <t>DALARNAS LÄN</t>
        </is>
      </c>
      <c r="E350" t="inlineStr">
        <is>
          <t>MORA</t>
        </is>
      </c>
      <c r="G350" t="n">
        <v>10</v>
      </c>
      <c r="H350" t="n">
        <v>0</v>
      </c>
      <c r="I350" t="n">
        <v>0</v>
      </c>
      <c r="J350" t="n">
        <v>0</v>
      </c>
      <c r="K350" t="n">
        <v>0</v>
      </c>
      <c r="L350" t="n">
        <v>0</v>
      </c>
      <c r="M350" t="n">
        <v>0</v>
      </c>
      <c r="N350" t="n">
        <v>0</v>
      </c>
      <c r="O350" t="n">
        <v>0</v>
      </c>
      <c r="P350" t="n">
        <v>0</v>
      </c>
      <c r="Q350" t="n">
        <v>0</v>
      </c>
      <c r="R350" s="2" t="inlineStr"/>
    </row>
    <row r="351" ht="15" customHeight="1">
      <c r="A351" t="inlineStr">
        <is>
          <t>A 35381-2024</t>
        </is>
      </c>
      <c r="B351" s="1" t="n">
        <v>45531.38372685185</v>
      </c>
      <c r="C351" s="1" t="n">
        <v>46189</v>
      </c>
      <c r="D351" t="inlineStr">
        <is>
          <t>DALARNAS LÄN</t>
        </is>
      </c>
      <c r="E351" t="inlineStr">
        <is>
          <t>MORA</t>
        </is>
      </c>
      <c r="G351" t="n">
        <v>3.7</v>
      </c>
      <c r="H351" t="n">
        <v>0</v>
      </c>
      <c r="I351" t="n">
        <v>0</v>
      </c>
      <c r="J351" t="n">
        <v>0</v>
      </c>
      <c r="K351" t="n">
        <v>0</v>
      </c>
      <c r="L351" t="n">
        <v>0</v>
      </c>
      <c r="M351" t="n">
        <v>0</v>
      </c>
      <c r="N351" t="n">
        <v>0</v>
      </c>
      <c r="O351" t="n">
        <v>0</v>
      </c>
      <c r="P351" t="n">
        <v>0</v>
      </c>
      <c r="Q351" t="n">
        <v>0</v>
      </c>
      <c r="R351" s="2" t="inlineStr"/>
    </row>
    <row r="352" ht="15" customHeight="1">
      <c r="A352" t="inlineStr">
        <is>
          <t>A 15817-2024</t>
        </is>
      </c>
      <c r="B352" s="1" t="n">
        <v>45404.67387731482</v>
      </c>
      <c r="C352" s="1" t="n">
        <v>46189</v>
      </c>
      <c r="D352" t="inlineStr">
        <is>
          <t>DALARNAS LÄN</t>
        </is>
      </c>
      <c r="E352" t="inlineStr">
        <is>
          <t>MORA</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46755-2023</t>
        </is>
      </c>
      <c r="B353" s="1" t="n">
        <v>45198.61314814815</v>
      </c>
      <c r="C353" s="1" t="n">
        <v>46189</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59805-2025</t>
        </is>
      </c>
      <c r="B354" s="1" t="n">
        <v>45992.62635416666</v>
      </c>
      <c r="C354" s="1" t="n">
        <v>46189</v>
      </c>
      <c r="D354" t="inlineStr">
        <is>
          <t>DALARNAS LÄN</t>
        </is>
      </c>
      <c r="E354" t="inlineStr">
        <is>
          <t>MORA</t>
        </is>
      </c>
      <c r="G354" t="n">
        <v>4.2</v>
      </c>
      <c r="H354" t="n">
        <v>0</v>
      </c>
      <c r="I354" t="n">
        <v>0</v>
      </c>
      <c r="J354" t="n">
        <v>0</v>
      </c>
      <c r="K354" t="n">
        <v>0</v>
      </c>
      <c r="L354" t="n">
        <v>0</v>
      </c>
      <c r="M354" t="n">
        <v>0</v>
      </c>
      <c r="N354" t="n">
        <v>0</v>
      </c>
      <c r="O354" t="n">
        <v>0</v>
      </c>
      <c r="P354" t="n">
        <v>0</v>
      </c>
      <c r="Q354" t="n">
        <v>0</v>
      </c>
      <c r="R354" s="2" t="inlineStr"/>
    </row>
    <row r="355" ht="15" customHeight="1">
      <c r="A355" t="inlineStr">
        <is>
          <t>A 59768-2025</t>
        </is>
      </c>
      <c r="B355" s="1" t="n">
        <v>45992</v>
      </c>
      <c r="C355" s="1" t="n">
        <v>46189</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55135-2025</t>
        </is>
      </c>
      <c r="B356" s="1" t="n">
        <v>45968.42591435185</v>
      </c>
      <c r="C356" s="1" t="n">
        <v>46189</v>
      </c>
      <c r="D356" t="inlineStr">
        <is>
          <t>DALARNAS LÄN</t>
        </is>
      </c>
      <c r="E356" t="inlineStr">
        <is>
          <t>MORA</t>
        </is>
      </c>
      <c r="G356" t="n">
        <v>5.1</v>
      </c>
      <c r="H356" t="n">
        <v>0</v>
      </c>
      <c r="I356" t="n">
        <v>0</v>
      </c>
      <c r="J356" t="n">
        <v>0</v>
      </c>
      <c r="K356" t="n">
        <v>0</v>
      </c>
      <c r="L356" t="n">
        <v>0</v>
      </c>
      <c r="M356" t="n">
        <v>0</v>
      </c>
      <c r="N356" t="n">
        <v>0</v>
      </c>
      <c r="O356" t="n">
        <v>0</v>
      </c>
      <c r="P356" t="n">
        <v>0</v>
      </c>
      <c r="Q356" t="n">
        <v>0</v>
      </c>
      <c r="R356" s="2" t="inlineStr"/>
    </row>
    <row r="357" ht="15" customHeight="1">
      <c r="A357" t="inlineStr">
        <is>
          <t>A 59669-2025</t>
        </is>
      </c>
      <c r="B357" s="1" t="n">
        <v>45992.45640046296</v>
      </c>
      <c r="C357" s="1" t="n">
        <v>46189</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44201-2023</t>
        </is>
      </c>
      <c r="B358" s="1" t="n">
        <v>45188</v>
      </c>
      <c r="C358" s="1" t="n">
        <v>46189</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55222-2023</t>
        </is>
      </c>
      <c r="B359" s="1" t="n">
        <v>45237.60775462963</v>
      </c>
      <c r="C359" s="1" t="n">
        <v>46189</v>
      </c>
      <c r="D359" t="inlineStr">
        <is>
          <t>DALARNAS LÄN</t>
        </is>
      </c>
      <c r="E359" t="inlineStr">
        <is>
          <t>MORA</t>
        </is>
      </c>
      <c r="F359" t="inlineStr">
        <is>
          <t>Allmännings- och besparingsskogar</t>
        </is>
      </c>
      <c r="G359" t="n">
        <v>19.8</v>
      </c>
      <c r="H359" t="n">
        <v>0</v>
      </c>
      <c r="I359" t="n">
        <v>0</v>
      </c>
      <c r="J359" t="n">
        <v>0</v>
      </c>
      <c r="K359" t="n">
        <v>0</v>
      </c>
      <c r="L359" t="n">
        <v>0</v>
      </c>
      <c r="M359" t="n">
        <v>0</v>
      </c>
      <c r="N359" t="n">
        <v>0</v>
      </c>
      <c r="O359" t="n">
        <v>0</v>
      </c>
      <c r="P359" t="n">
        <v>0</v>
      </c>
      <c r="Q359" t="n">
        <v>0</v>
      </c>
      <c r="R359" s="2" t="inlineStr"/>
    </row>
    <row r="360" ht="15" customHeight="1">
      <c r="A360" t="inlineStr">
        <is>
          <t>A 31177-2021</t>
        </is>
      </c>
      <c r="B360" s="1" t="n">
        <v>44368</v>
      </c>
      <c r="C360" s="1" t="n">
        <v>46189</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44781.5350925926</v>
      </c>
      <c r="C361" s="1" t="n">
        <v>46189</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60957-2025</t>
        </is>
      </c>
      <c r="B362" s="1" t="n">
        <v>45999.65799768519</v>
      </c>
      <c r="C362" s="1" t="n">
        <v>46189</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48825-2023</t>
        </is>
      </c>
      <c r="B363" s="1" t="n">
        <v>45203</v>
      </c>
      <c r="C363" s="1" t="n">
        <v>46189</v>
      </c>
      <c r="D363" t="inlineStr">
        <is>
          <t>DALARNAS LÄN</t>
        </is>
      </c>
      <c r="E363" t="inlineStr">
        <is>
          <t>MORA</t>
        </is>
      </c>
      <c r="G363" t="n">
        <v>7.9</v>
      </c>
      <c r="H363" t="n">
        <v>0</v>
      </c>
      <c r="I363" t="n">
        <v>0</v>
      </c>
      <c r="J363" t="n">
        <v>0</v>
      </c>
      <c r="K363" t="n">
        <v>0</v>
      </c>
      <c r="L363" t="n">
        <v>0</v>
      </c>
      <c r="M363" t="n">
        <v>0</v>
      </c>
      <c r="N363" t="n">
        <v>0</v>
      </c>
      <c r="O363" t="n">
        <v>0</v>
      </c>
      <c r="P363" t="n">
        <v>0</v>
      </c>
      <c r="Q363" t="n">
        <v>0</v>
      </c>
      <c r="R363" s="2" t="inlineStr"/>
    </row>
    <row r="364" ht="15" customHeight="1">
      <c r="A364" t="inlineStr">
        <is>
          <t>A 55691-2023</t>
        </is>
      </c>
      <c r="B364" s="1" t="n">
        <v>45239.36509259259</v>
      </c>
      <c r="C364" s="1" t="n">
        <v>46189</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63958-2023</t>
        </is>
      </c>
      <c r="B365" s="1" t="n">
        <v>45278</v>
      </c>
      <c r="C365" s="1" t="n">
        <v>46189</v>
      </c>
      <c r="D365" t="inlineStr">
        <is>
          <t>DALARNAS LÄN</t>
        </is>
      </c>
      <c r="E365" t="inlineStr">
        <is>
          <t>MORA</t>
        </is>
      </c>
      <c r="G365" t="n">
        <v>1.9</v>
      </c>
      <c r="H365" t="n">
        <v>0</v>
      </c>
      <c r="I365" t="n">
        <v>0</v>
      </c>
      <c r="J365" t="n">
        <v>0</v>
      </c>
      <c r="K365" t="n">
        <v>0</v>
      </c>
      <c r="L365" t="n">
        <v>0</v>
      </c>
      <c r="M365" t="n">
        <v>0</v>
      </c>
      <c r="N365" t="n">
        <v>0</v>
      </c>
      <c r="O365" t="n">
        <v>0</v>
      </c>
      <c r="P365" t="n">
        <v>0</v>
      </c>
      <c r="Q365" t="n">
        <v>0</v>
      </c>
      <c r="R365" s="2" t="inlineStr"/>
    </row>
    <row r="366" ht="15" customHeight="1">
      <c r="A366" t="inlineStr">
        <is>
          <t>A 48522-2024</t>
        </is>
      </c>
      <c r="B366" s="1" t="n">
        <v>45593.32924768519</v>
      </c>
      <c r="C366" s="1" t="n">
        <v>46189</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25494-2024</t>
        </is>
      </c>
      <c r="B367" s="1" t="n">
        <v>45463</v>
      </c>
      <c r="C367" s="1" t="n">
        <v>46189</v>
      </c>
      <c r="D367" t="inlineStr">
        <is>
          <t>DALARNAS LÄN</t>
        </is>
      </c>
      <c r="E367" t="inlineStr">
        <is>
          <t>MORA</t>
        </is>
      </c>
      <c r="G367" t="n">
        <v>4.9</v>
      </c>
      <c r="H367" t="n">
        <v>0</v>
      </c>
      <c r="I367" t="n">
        <v>0</v>
      </c>
      <c r="J367" t="n">
        <v>0</v>
      </c>
      <c r="K367" t="n">
        <v>0</v>
      </c>
      <c r="L367" t="n">
        <v>0</v>
      </c>
      <c r="M367" t="n">
        <v>0</v>
      </c>
      <c r="N367" t="n">
        <v>0</v>
      </c>
      <c r="O367" t="n">
        <v>0</v>
      </c>
      <c r="P367" t="n">
        <v>0</v>
      </c>
      <c r="Q367" t="n">
        <v>0</v>
      </c>
      <c r="R367" s="2" t="inlineStr"/>
    </row>
    <row r="368" ht="15" customHeight="1">
      <c r="A368" t="inlineStr">
        <is>
          <t>A 48342-2023</t>
        </is>
      </c>
      <c r="B368" s="1" t="n">
        <v>45205</v>
      </c>
      <c r="C368" s="1" t="n">
        <v>46189</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18806-2025</t>
        </is>
      </c>
      <c r="B369" s="1" t="n">
        <v>45764.35269675926</v>
      </c>
      <c r="C369" s="1" t="n">
        <v>46189</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61455-2025</t>
        </is>
      </c>
      <c r="B370" s="1" t="n">
        <v>46001.58590277778</v>
      </c>
      <c r="C370" s="1" t="n">
        <v>46189</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17163-2025</t>
        </is>
      </c>
      <c r="B371" s="1" t="n">
        <v>45756.35998842592</v>
      </c>
      <c r="C371" s="1" t="n">
        <v>46189</v>
      </c>
      <c r="D371" t="inlineStr">
        <is>
          <t>DALARNAS LÄN</t>
        </is>
      </c>
      <c r="E371" t="inlineStr">
        <is>
          <t>MORA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61412-2025</t>
        </is>
      </c>
      <c r="B372" s="1" t="n">
        <v>46001.5266087963</v>
      </c>
      <c r="C372" s="1" t="n">
        <v>46189</v>
      </c>
      <c r="D372" t="inlineStr">
        <is>
          <t>DALARNAS LÄN</t>
        </is>
      </c>
      <c r="E372" t="inlineStr">
        <is>
          <t>MORA</t>
        </is>
      </c>
      <c r="G372" t="n">
        <v>2.9</v>
      </c>
      <c r="H372" t="n">
        <v>0</v>
      </c>
      <c r="I372" t="n">
        <v>0</v>
      </c>
      <c r="J372" t="n">
        <v>0</v>
      </c>
      <c r="K372" t="n">
        <v>0</v>
      </c>
      <c r="L372" t="n">
        <v>0</v>
      </c>
      <c r="M372" t="n">
        <v>0</v>
      </c>
      <c r="N372" t="n">
        <v>0</v>
      </c>
      <c r="O372" t="n">
        <v>0</v>
      </c>
      <c r="P372" t="n">
        <v>0</v>
      </c>
      <c r="Q372" t="n">
        <v>0</v>
      </c>
      <c r="R372" s="2" t="inlineStr"/>
    </row>
    <row r="373" ht="15" customHeight="1">
      <c r="A373" t="inlineStr">
        <is>
          <t>A 54253-2023</t>
        </is>
      </c>
      <c r="B373" s="1" t="n">
        <v>45232.63217592592</v>
      </c>
      <c r="C373" s="1" t="n">
        <v>46189</v>
      </c>
      <c r="D373" t="inlineStr">
        <is>
          <t>DALARNAS LÄN</t>
        </is>
      </c>
      <c r="E373" t="inlineStr">
        <is>
          <t>MORA</t>
        </is>
      </c>
      <c r="G373" t="n">
        <v>4.5</v>
      </c>
      <c r="H373" t="n">
        <v>0</v>
      </c>
      <c r="I373" t="n">
        <v>0</v>
      </c>
      <c r="J373" t="n">
        <v>0</v>
      </c>
      <c r="K373" t="n">
        <v>0</v>
      </c>
      <c r="L373" t="n">
        <v>0</v>
      </c>
      <c r="M373" t="n">
        <v>0</v>
      </c>
      <c r="N373" t="n">
        <v>0</v>
      </c>
      <c r="O373" t="n">
        <v>0</v>
      </c>
      <c r="P373" t="n">
        <v>0</v>
      </c>
      <c r="Q373" t="n">
        <v>0</v>
      </c>
      <c r="R373" s="2" t="inlineStr"/>
    </row>
    <row r="374" ht="15" customHeight="1">
      <c r="A374" t="inlineStr">
        <is>
          <t>A 61620-2025</t>
        </is>
      </c>
      <c r="B374" s="1" t="n">
        <v>46002.39347222223</v>
      </c>
      <c r="C374" s="1" t="n">
        <v>46189</v>
      </c>
      <c r="D374" t="inlineStr">
        <is>
          <t>DALARNAS LÄN</t>
        </is>
      </c>
      <c r="E374" t="inlineStr">
        <is>
          <t>MORA</t>
        </is>
      </c>
      <c r="G374" t="n">
        <v>3</v>
      </c>
      <c r="H374" t="n">
        <v>0</v>
      </c>
      <c r="I374" t="n">
        <v>0</v>
      </c>
      <c r="J374" t="n">
        <v>0</v>
      </c>
      <c r="K374" t="n">
        <v>0</v>
      </c>
      <c r="L374" t="n">
        <v>0</v>
      </c>
      <c r="M374" t="n">
        <v>0</v>
      </c>
      <c r="N374" t="n">
        <v>0</v>
      </c>
      <c r="O374" t="n">
        <v>0</v>
      </c>
      <c r="P374" t="n">
        <v>0</v>
      </c>
      <c r="Q374" t="n">
        <v>0</v>
      </c>
      <c r="R374" s="2" t="inlineStr"/>
    </row>
    <row r="375" ht="15" customHeight="1">
      <c r="A375" t="inlineStr">
        <is>
          <t>A 61606-2025</t>
        </is>
      </c>
      <c r="B375" s="1" t="n">
        <v>46002.37662037037</v>
      </c>
      <c r="C375" s="1" t="n">
        <v>46189</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61624-2025</t>
        </is>
      </c>
      <c r="B376" s="1" t="n">
        <v>46002.39755787037</v>
      </c>
      <c r="C376" s="1" t="n">
        <v>46189</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62055-2025</t>
        </is>
      </c>
      <c r="B377" s="1" t="n">
        <v>46006.3365625</v>
      </c>
      <c r="C377" s="1" t="n">
        <v>46189</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44817-2023</t>
        </is>
      </c>
      <c r="B378" s="1" t="n">
        <v>45190.51887731482</v>
      </c>
      <c r="C378" s="1" t="n">
        <v>46189</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61995-2025</t>
        </is>
      </c>
      <c r="B379" s="1" t="n">
        <v>46003.63954861111</v>
      </c>
      <c r="C379" s="1" t="n">
        <v>46189</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62054-2025</t>
        </is>
      </c>
      <c r="B380" s="1" t="n">
        <v>46006.33462962963</v>
      </c>
      <c r="C380" s="1" t="n">
        <v>46189</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17167-2025</t>
        </is>
      </c>
      <c r="B381" s="1" t="n">
        <v>45756.36844907407</v>
      </c>
      <c r="C381" s="1" t="n">
        <v>46189</v>
      </c>
      <c r="D381" t="inlineStr">
        <is>
          <t>DALARNAS LÄN</t>
        </is>
      </c>
      <c r="E381" t="inlineStr">
        <is>
          <t>MORA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17176-2025</t>
        </is>
      </c>
      <c r="B382" s="1" t="n">
        <v>45756.37520833333</v>
      </c>
      <c r="C382" s="1" t="n">
        <v>46189</v>
      </c>
      <c r="D382" t="inlineStr">
        <is>
          <t>DALARNAS LÄN</t>
        </is>
      </c>
      <c r="E382" t="inlineStr">
        <is>
          <t>MORA</t>
        </is>
      </c>
      <c r="F382" t="inlineStr">
        <is>
          <t>Bergvik skog öst AB</t>
        </is>
      </c>
      <c r="G382" t="n">
        <v>1.7</v>
      </c>
      <c r="H382" t="n">
        <v>0</v>
      </c>
      <c r="I382" t="n">
        <v>0</v>
      </c>
      <c r="J382" t="n">
        <v>0</v>
      </c>
      <c r="K382" t="n">
        <v>0</v>
      </c>
      <c r="L382" t="n">
        <v>0</v>
      </c>
      <c r="M382" t="n">
        <v>0</v>
      </c>
      <c r="N382" t="n">
        <v>0</v>
      </c>
      <c r="O382" t="n">
        <v>0</v>
      </c>
      <c r="P382" t="n">
        <v>0</v>
      </c>
      <c r="Q382" t="n">
        <v>0</v>
      </c>
      <c r="R382" s="2" t="inlineStr"/>
    </row>
    <row r="383" ht="15" customHeight="1">
      <c r="A383" t="inlineStr">
        <is>
          <t>A 62619-2025</t>
        </is>
      </c>
      <c r="B383" s="1" t="n">
        <v>46008.33967592593</v>
      </c>
      <c r="C383" s="1" t="n">
        <v>46189</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57999-2023</t>
        </is>
      </c>
      <c r="B384" s="1" t="n">
        <v>45247</v>
      </c>
      <c r="C384" s="1" t="n">
        <v>46189</v>
      </c>
      <c r="D384" t="inlineStr">
        <is>
          <t>DALARNAS LÄN</t>
        </is>
      </c>
      <c r="E384" t="inlineStr">
        <is>
          <t>MORA</t>
        </is>
      </c>
      <c r="G384" t="n">
        <v>0.4</v>
      </c>
      <c r="H384" t="n">
        <v>0</v>
      </c>
      <c r="I384" t="n">
        <v>0</v>
      </c>
      <c r="J384" t="n">
        <v>0</v>
      </c>
      <c r="K384" t="n">
        <v>0</v>
      </c>
      <c r="L384" t="n">
        <v>0</v>
      </c>
      <c r="M384" t="n">
        <v>0</v>
      </c>
      <c r="N384" t="n">
        <v>0</v>
      </c>
      <c r="O384" t="n">
        <v>0</v>
      </c>
      <c r="P384" t="n">
        <v>0</v>
      </c>
      <c r="Q384" t="n">
        <v>0</v>
      </c>
      <c r="R384" s="2" t="inlineStr"/>
    </row>
    <row r="385" ht="15" customHeight="1">
      <c r="A385" t="inlineStr">
        <is>
          <t>A 57319-2023</t>
        </is>
      </c>
      <c r="B385" s="1" t="n">
        <v>45245.64877314815</v>
      </c>
      <c r="C385" s="1" t="n">
        <v>46189</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62626-2025</t>
        </is>
      </c>
      <c r="B386" s="1" t="n">
        <v>46008.34541666666</v>
      </c>
      <c r="C386" s="1" t="n">
        <v>46189</v>
      </c>
      <c r="D386" t="inlineStr">
        <is>
          <t>DALARNAS LÄN</t>
        </is>
      </c>
      <c r="E386" t="inlineStr">
        <is>
          <t>MORA</t>
        </is>
      </c>
      <c r="G386" t="n">
        <v>6.7</v>
      </c>
      <c r="H386" t="n">
        <v>0</v>
      </c>
      <c r="I386" t="n">
        <v>0</v>
      </c>
      <c r="J386" t="n">
        <v>0</v>
      </c>
      <c r="K386" t="n">
        <v>0</v>
      </c>
      <c r="L386" t="n">
        <v>0</v>
      </c>
      <c r="M386" t="n">
        <v>0</v>
      </c>
      <c r="N386" t="n">
        <v>0</v>
      </c>
      <c r="O386" t="n">
        <v>0</v>
      </c>
      <c r="P386" t="n">
        <v>0</v>
      </c>
      <c r="Q386" t="n">
        <v>0</v>
      </c>
      <c r="R386" s="2" t="inlineStr"/>
    </row>
    <row r="387" ht="15" customHeight="1">
      <c r="A387" t="inlineStr">
        <is>
          <t>A 62853-2023</t>
        </is>
      </c>
      <c r="B387" s="1" t="n">
        <v>45272</v>
      </c>
      <c r="C387" s="1" t="n">
        <v>46189</v>
      </c>
      <c r="D387" t="inlineStr">
        <is>
          <t>DALARNAS LÄN</t>
        </is>
      </c>
      <c r="E387" t="inlineStr">
        <is>
          <t>MORA</t>
        </is>
      </c>
      <c r="G387" t="n">
        <v>13.6</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46189</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62548-2025</t>
        </is>
      </c>
      <c r="B389" s="1" t="n">
        <v>46007.66275462963</v>
      </c>
      <c r="C389" s="1" t="n">
        <v>46189</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29754-2022</t>
        </is>
      </c>
      <c r="B390" s="1" t="n">
        <v>44755.59188657408</v>
      </c>
      <c r="C390" s="1" t="n">
        <v>46189</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62628-2025</t>
        </is>
      </c>
      <c r="B391" s="1" t="n">
        <v>46008.35011574074</v>
      </c>
      <c r="C391" s="1" t="n">
        <v>46189</v>
      </c>
      <c r="D391" t="inlineStr">
        <is>
          <t>DALARNAS LÄN</t>
        </is>
      </c>
      <c r="E391" t="inlineStr">
        <is>
          <t>MORA</t>
        </is>
      </c>
      <c r="G391" t="n">
        <v>5.7</v>
      </c>
      <c r="H391" t="n">
        <v>0</v>
      </c>
      <c r="I391" t="n">
        <v>0</v>
      </c>
      <c r="J391" t="n">
        <v>0</v>
      </c>
      <c r="K391" t="n">
        <v>0</v>
      </c>
      <c r="L391" t="n">
        <v>0</v>
      </c>
      <c r="M391" t="n">
        <v>0</v>
      </c>
      <c r="N391" t="n">
        <v>0</v>
      </c>
      <c r="O391" t="n">
        <v>0</v>
      </c>
      <c r="P391" t="n">
        <v>0</v>
      </c>
      <c r="Q391" t="n">
        <v>0</v>
      </c>
      <c r="R391" s="2" t="inlineStr"/>
    </row>
    <row r="392" ht="15" customHeight="1">
      <c r="A392" t="inlineStr">
        <is>
          <t>A 62853-2025</t>
        </is>
      </c>
      <c r="B392" s="1" t="n">
        <v>46008.72493055555</v>
      </c>
      <c r="C392" s="1" t="n">
        <v>46189</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62965-2025</t>
        </is>
      </c>
      <c r="B393" s="1" t="n">
        <v>46009.46129629629</v>
      </c>
      <c r="C393" s="1" t="n">
        <v>46189</v>
      </c>
      <c r="D393" t="inlineStr">
        <is>
          <t>DALARNAS LÄN</t>
        </is>
      </c>
      <c r="E393" t="inlineStr">
        <is>
          <t>MORA</t>
        </is>
      </c>
      <c r="G393" t="n">
        <v>9.1</v>
      </c>
      <c r="H393" t="n">
        <v>0</v>
      </c>
      <c r="I393" t="n">
        <v>0</v>
      </c>
      <c r="J393" t="n">
        <v>0</v>
      </c>
      <c r="K393" t="n">
        <v>0</v>
      </c>
      <c r="L393" t="n">
        <v>0</v>
      </c>
      <c r="M393" t="n">
        <v>0</v>
      </c>
      <c r="N393" t="n">
        <v>0</v>
      </c>
      <c r="O393" t="n">
        <v>0</v>
      </c>
      <c r="P393" t="n">
        <v>0</v>
      </c>
      <c r="Q393" t="n">
        <v>0</v>
      </c>
      <c r="R393" s="2" t="inlineStr"/>
    </row>
    <row r="394" ht="15" customHeight="1">
      <c r="A394" t="inlineStr">
        <is>
          <t>A 26545-2025</t>
        </is>
      </c>
      <c r="B394" s="1" t="n">
        <v>45807</v>
      </c>
      <c r="C394" s="1" t="n">
        <v>46189</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26546-2025</t>
        </is>
      </c>
      <c r="B395" s="1" t="n">
        <v>45807</v>
      </c>
      <c r="C395" s="1" t="n">
        <v>46189</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26573-2025</t>
        </is>
      </c>
      <c r="B396" s="1" t="n">
        <v>45807</v>
      </c>
      <c r="C396" s="1" t="n">
        <v>46189</v>
      </c>
      <c r="D396" t="inlineStr">
        <is>
          <t>DALARNAS LÄN</t>
        </is>
      </c>
      <c r="E396" t="inlineStr">
        <is>
          <t>MORA</t>
        </is>
      </c>
      <c r="G396" t="n">
        <v>4.3</v>
      </c>
      <c r="H396" t="n">
        <v>0</v>
      </c>
      <c r="I396" t="n">
        <v>0</v>
      </c>
      <c r="J396" t="n">
        <v>0</v>
      </c>
      <c r="K396" t="n">
        <v>0</v>
      </c>
      <c r="L396" t="n">
        <v>0</v>
      </c>
      <c r="M396" t="n">
        <v>0</v>
      </c>
      <c r="N396" t="n">
        <v>0</v>
      </c>
      <c r="O396" t="n">
        <v>0</v>
      </c>
      <c r="P396" t="n">
        <v>0</v>
      </c>
      <c r="Q396" t="n">
        <v>0</v>
      </c>
      <c r="R396" s="2" t="inlineStr"/>
    </row>
    <row r="397" ht="15" customHeight="1">
      <c r="A397" t="inlineStr">
        <is>
          <t>A 36579-2022</t>
        </is>
      </c>
      <c r="B397" s="1" t="n">
        <v>44804.61636574074</v>
      </c>
      <c r="C397" s="1" t="n">
        <v>46189</v>
      </c>
      <c r="D397" t="inlineStr">
        <is>
          <t>DALARNAS LÄN</t>
        </is>
      </c>
      <c r="E397" t="inlineStr">
        <is>
          <t>MORA</t>
        </is>
      </c>
      <c r="G397" t="n">
        <v>2.3</v>
      </c>
      <c r="H397" t="n">
        <v>0</v>
      </c>
      <c r="I397" t="n">
        <v>0</v>
      </c>
      <c r="J397" t="n">
        <v>0</v>
      </c>
      <c r="K397" t="n">
        <v>0</v>
      </c>
      <c r="L397" t="n">
        <v>0</v>
      </c>
      <c r="M397" t="n">
        <v>0</v>
      </c>
      <c r="N397" t="n">
        <v>0</v>
      </c>
      <c r="O397" t="n">
        <v>0</v>
      </c>
      <c r="P397" t="n">
        <v>0</v>
      </c>
      <c r="Q397" t="n">
        <v>0</v>
      </c>
      <c r="R397" s="2" t="inlineStr"/>
    </row>
    <row r="398" ht="15" customHeight="1">
      <c r="A398" t="inlineStr">
        <is>
          <t>A 3531-2024</t>
        </is>
      </c>
      <c r="B398" s="1" t="n">
        <v>45320</v>
      </c>
      <c r="C398" s="1" t="n">
        <v>46189</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c r="U398">
        <f>HYPERLINK("https://klasma.github.io/Logging_2062/knärot/A 3531-2024 karta knärot.png", "A 3531-2024")</f>
        <v/>
      </c>
      <c r="V398">
        <f>HYPERLINK("https://klasma.github.io/Logging_2062/klagomål/A 3531-2024 FSC-klagomål.docx", "A 3531-2024")</f>
        <v/>
      </c>
      <c r="W398">
        <f>HYPERLINK("https://klasma.github.io/Logging_2062/klagomålsmail/A 3531-2024 FSC-klagomål mail.docx", "A 3531-2024")</f>
        <v/>
      </c>
      <c r="X398">
        <f>HYPERLINK("https://klasma.github.io/Logging_2062/tillsyn/A 3531-2024 tillsynsbegäran.docx", "A 3531-2024")</f>
        <v/>
      </c>
      <c r="Y398">
        <f>HYPERLINK("https://klasma.github.io/Logging_2062/tillsynsmail/A 3531-2024 tillsynsbegäran mail.docx", "A 3531-2024")</f>
        <v/>
      </c>
    </row>
    <row r="399" ht="15" customHeight="1">
      <c r="A399" t="inlineStr">
        <is>
          <t>A 26577-2025</t>
        </is>
      </c>
      <c r="B399" s="1" t="n">
        <v>45807</v>
      </c>
      <c r="C399" s="1" t="n">
        <v>46189</v>
      </c>
      <c r="D399" t="inlineStr">
        <is>
          <t>DALARNAS LÄN</t>
        </is>
      </c>
      <c r="E399" t="inlineStr">
        <is>
          <t>MORA</t>
        </is>
      </c>
      <c r="G399" t="n">
        <v>2.8</v>
      </c>
      <c r="H399" t="n">
        <v>0</v>
      </c>
      <c r="I399" t="n">
        <v>0</v>
      </c>
      <c r="J399" t="n">
        <v>0</v>
      </c>
      <c r="K399" t="n">
        <v>0</v>
      </c>
      <c r="L399" t="n">
        <v>0</v>
      </c>
      <c r="M399" t="n">
        <v>0</v>
      </c>
      <c r="N399" t="n">
        <v>0</v>
      </c>
      <c r="O399" t="n">
        <v>0</v>
      </c>
      <c r="P399" t="n">
        <v>0</v>
      </c>
      <c r="Q399" t="n">
        <v>0</v>
      </c>
      <c r="R399" s="2" t="inlineStr"/>
    </row>
    <row r="400" ht="15" customHeight="1">
      <c r="A400" t="inlineStr">
        <is>
          <t>A 62959-2025</t>
        </is>
      </c>
      <c r="B400" s="1" t="n">
        <v>46009.45792824074</v>
      </c>
      <c r="C400" s="1" t="n">
        <v>46189</v>
      </c>
      <c r="D400" t="inlineStr">
        <is>
          <t>DALARNAS LÄN</t>
        </is>
      </c>
      <c r="E400" t="inlineStr">
        <is>
          <t>MORA</t>
        </is>
      </c>
      <c r="G400" t="n">
        <v>2.6</v>
      </c>
      <c r="H400" t="n">
        <v>0</v>
      </c>
      <c r="I400" t="n">
        <v>0</v>
      </c>
      <c r="J400" t="n">
        <v>0</v>
      </c>
      <c r="K400" t="n">
        <v>0</v>
      </c>
      <c r="L400" t="n">
        <v>0</v>
      </c>
      <c r="M400" t="n">
        <v>0</v>
      </c>
      <c r="N400" t="n">
        <v>0</v>
      </c>
      <c r="O400" t="n">
        <v>0</v>
      </c>
      <c r="P400" t="n">
        <v>0</v>
      </c>
      <c r="Q400" t="n">
        <v>0</v>
      </c>
      <c r="R400" s="2" t="inlineStr"/>
    </row>
    <row r="401" ht="15" customHeight="1">
      <c r="A401" t="inlineStr">
        <is>
          <t>A 63692-2025</t>
        </is>
      </c>
      <c r="B401" s="1" t="n">
        <v>46014.54496527778</v>
      </c>
      <c r="C401" s="1" t="n">
        <v>46189</v>
      </c>
      <c r="D401" t="inlineStr">
        <is>
          <t>DALARNAS LÄN</t>
        </is>
      </c>
      <c r="E401" t="inlineStr">
        <is>
          <t>MORA</t>
        </is>
      </c>
      <c r="G401" t="n">
        <v>1.4</v>
      </c>
      <c r="H401" t="n">
        <v>0</v>
      </c>
      <c r="I401" t="n">
        <v>0</v>
      </c>
      <c r="J401" t="n">
        <v>0</v>
      </c>
      <c r="K401" t="n">
        <v>0</v>
      </c>
      <c r="L401" t="n">
        <v>0</v>
      </c>
      <c r="M401" t="n">
        <v>0</v>
      </c>
      <c r="N401" t="n">
        <v>0</v>
      </c>
      <c r="O401" t="n">
        <v>0</v>
      </c>
      <c r="P401" t="n">
        <v>0</v>
      </c>
      <c r="Q401" t="n">
        <v>0</v>
      </c>
      <c r="R401" s="2" t="inlineStr"/>
    </row>
    <row r="402" ht="15" customHeight="1">
      <c r="A402" t="inlineStr">
        <is>
          <t>A 63457-2025</t>
        </is>
      </c>
      <c r="B402" s="1" t="n">
        <v>46013.42269675926</v>
      </c>
      <c r="C402" s="1" t="n">
        <v>46189</v>
      </c>
      <c r="D402" t="inlineStr">
        <is>
          <t>DALARNAS LÄN</t>
        </is>
      </c>
      <c r="E402" t="inlineStr">
        <is>
          <t>MORA</t>
        </is>
      </c>
      <c r="F402" t="inlineStr">
        <is>
          <t>Allmännings- och besparingsskogar</t>
        </is>
      </c>
      <c r="G402" t="n">
        <v>34.4</v>
      </c>
      <c r="H402" t="n">
        <v>0</v>
      </c>
      <c r="I402" t="n">
        <v>0</v>
      </c>
      <c r="J402" t="n">
        <v>0</v>
      </c>
      <c r="K402" t="n">
        <v>0</v>
      </c>
      <c r="L402" t="n">
        <v>0</v>
      </c>
      <c r="M402" t="n">
        <v>0</v>
      </c>
      <c r="N402" t="n">
        <v>0</v>
      </c>
      <c r="O402" t="n">
        <v>0</v>
      </c>
      <c r="P402" t="n">
        <v>0</v>
      </c>
      <c r="Q402" t="n">
        <v>0</v>
      </c>
      <c r="R402" s="2" t="inlineStr"/>
    </row>
    <row r="403" ht="15" customHeight="1">
      <c r="A403" t="inlineStr">
        <is>
          <t>A 63689-2025</t>
        </is>
      </c>
      <c r="B403" s="1" t="n">
        <v>46014.539375</v>
      </c>
      <c r="C403" s="1" t="n">
        <v>46189</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39009-2023</t>
        </is>
      </c>
      <c r="B404" s="1" t="n">
        <v>45162</v>
      </c>
      <c r="C404" s="1" t="n">
        <v>46189</v>
      </c>
      <c r="D404" t="inlineStr">
        <is>
          <t>DALARNAS LÄN</t>
        </is>
      </c>
      <c r="E404" t="inlineStr">
        <is>
          <t>MORA</t>
        </is>
      </c>
      <c r="G404" t="n">
        <v>1.9</v>
      </c>
      <c r="H404" t="n">
        <v>0</v>
      </c>
      <c r="I404" t="n">
        <v>0</v>
      </c>
      <c r="J404" t="n">
        <v>0</v>
      </c>
      <c r="K404" t="n">
        <v>0</v>
      </c>
      <c r="L404" t="n">
        <v>0</v>
      </c>
      <c r="M404" t="n">
        <v>0</v>
      </c>
      <c r="N404" t="n">
        <v>0</v>
      </c>
      <c r="O404" t="n">
        <v>0</v>
      </c>
      <c r="P404" t="n">
        <v>0</v>
      </c>
      <c r="Q404" t="n">
        <v>0</v>
      </c>
      <c r="R404" s="2" t="inlineStr"/>
    </row>
    <row r="405" ht="15" customHeight="1">
      <c r="A405" t="inlineStr">
        <is>
          <t>A 63434-2025</t>
        </is>
      </c>
      <c r="B405" s="1" t="n">
        <v>46013.36556712963</v>
      </c>
      <c r="C405" s="1" t="n">
        <v>46189</v>
      </c>
      <c r="D405" t="inlineStr">
        <is>
          <t>DALARNAS LÄN</t>
        </is>
      </c>
      <c r="E405" t="inlineStr">
        <is>
          <t>MORA</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52599-2025</t>
        </is>
      </c>
      <c r="B406" s="1" t="n">
        <v>45954.65564814815</v>
      </c>
      <c r="C406" s="1" t="n">
        <v>46189</v>
      </c>
      <c r="D406" t="inlineStr">
        <is>
          <t>DALARNAS LÄN</t>
        </is>
      </c>
      <c r="E406" t="inlineStr">
        <is>
          <t>MORA</t>
        </is>
      </c>
      <c r="G406" t="n">
        <v>10.8</v>
      </c>
      <c r="H406" t="n">
        <v>0</v>
      </c>
      <c r="I406" t="n">
        <v>0</v>
      </c>
      <c r="J406" t="n">
        <v>0</v>
      </c>
      <c r="K406" t="n">
        <v>0</v>
      </c>
      <c r="L406" t="n">
        <v>0</v>
      </c>
      <c r="M406" t="n">
        <v>0</v>
      </c>
      <c r="N406" t="n">
        <v>0</v>
      </c>
      <c r="O406" t="n">
        <v>0</v>
      </c>
      <c r="P406" t="n">
        <v>0</v>
      </c>
      <c r="Q406" t="n">
        <v>0</v>
      </c>
      <c r="R406" s="2" t="inlineStr"/>
    </row>
    <row r="407" ht="15" customHeight="1">
      <c r="A407" t="inlineStr">
        <is>
          <t>A 63431-2025</t>
        </is>
      </c>
      <c r="B407" s="1" t="n">
        <v>46013.36268518519</v>
      </c>
      <c r="C407" s="1" t="n">
        <v>46189</v>
      </c>
      <c r="D407" t="inlineStr">
        <is>
          <t>DALARNAS LÄN</t>
        </is>
      </c>
      <c r="E407" t="inlineStr">
        <is>
          <t>MORA</t>
        </is>
      </c>
      <c r="F407" t="inlineStr">
        <is>
          <t>Allmännings- och besparingsskogar</t>
        </is>
      </c>
      <c r="G407" t="n">
        <v>5.7</v>
      </c>
      <c r="H407" t="n">
        <v>0</v>
      </c>
      <c r="I407" t="n">
        <v>0</v>
      </c>
      <c r="J407" t="n">
        <v>0</v>
      </c>
      <c r="K407" t="n">
        <v>0</v>
      </c>
      <c r="L407" t="n">
        <v>0</v>
      </c>
      <c r="M407" t="n">
        <v>0</v>
      </c>
      <c r="N407" t="n">
        <v>0</v>
      </c>
      <c r="O407" t="n">
        <v>0</v>
      </c>
      <c r="P407" t="n">
        <v>0</v>
      </c>
      <c r="Q407" t="n">
        <v>0</v>
      </c>
      <c r="R407" s="2" t="inlineStr"/>
    </row>
    <row r="408" ht="15" customHeight="1">
      <c r="A408" t="inlineStr">
        <is>
          <t>A 63596-2025</t>
        </is>
      </c>
      <c r="B408" s="1" t="n">
        <v>46013.96362268519</v>
      </c>
      <c r="C408" s="1" t="n">
        <v>46189</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44769-2021</t>
        </is>
      </c>
      <c r="B409" s="1" t="n">
        <v>44438</v>
      </c>
      <c r="C409" s="1" t="n">
        <v>46189</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28487-2024</t>
        </is>
      </c>
      <c r="B410" s="1" t="n">
        <v>45477.75744212963</v>
      </c>
      <c r="C410" s="1" t="n">
        <v>46189</v>
      </c>
      <c r="D410" t="inlineStr">
        <is>
          <t>DALARNAS LÄN</t>
        </is>
      </c>
      <c r="E410" t="inlineStr">
        <is>
          <t>MORA</t>
        </is>
      </c>
      <c r="G410" t="n">
        <v>3.1</v>
      </c>
      <c r="H410" t="n">
        <v>0</v>
      </c>
      <c r="I410" t="n">
        <v>0</v>
      </c>
      <c r="J410" t="n">
        <v>0</v>
      </c>
      <c r="K410" t="n">
        <v>0</v>
      </c>
      <c r="L410" t="n">
        <v>0</v>
      </c>
      <c r="M410" t="n">
        <v>0</v>
      </c>
      <c r="N410" t="n">
        <v>0</v>
      </c>
      <c r="O410" t="n">
        <v>0</v>
      </c>
      <c r="P410" t="n">
        <v>0</v>
      </c>
      <c r="Q410" t="n">
        <v>0</v>
      </c>
      <c r="R410" s="2" t="inlineStr"/>
    </row>
    <row r="411" ht="15" customHeight="1">
      <c r="A411" t="inlineStr">
        <is>
          <t>A 48728-2022</t>
        </is>
      </c>
      <c r="B411" s="1" t="n">
        <v>44859.52145833334</v>
      </c>
      <c r="C411" s="1" t="n">
        <v>46189</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141-2026</t>
        </is>
      </c>
      <c r="B412" s="1" t="n">
        <v>46024.62364583334</v>
      </c>
      <c r="C412" s="1" t="n">
        <v>46189</v>
      </c>
      <c r="D412" t="inlineStr">
        <is>
          <t>DALARNAS LÄN</t>
        </is>
      </c>
      <c r="E412" t="inlineStr">
        <is>
          <t>MORA</t>
        </is>
      </c>
      <c r="G412" t="n">
        <v>4.4</v>
      </c>
      <c r="H412" t="n">
        <v>0</v>
      </c>
      <c r="I412" t="n">
        <v>0</v>
      </c>
      <c r="J412" t="n">
        <v>0</v>
      </c>
      <c r="K412" t="n">
        <v>0</v>
      </c>
      <c r="L412" t="n">
        <v>0</v>
      </c>
      <c r="M412" t="n">
        <v>0</v>
      </c>
      <c r="N412" t="n">
        <v>0</v>
      </c>
      <c r="O412" t="n">
        <v>0</v>
      </c>
      <c r="P412" t="n">
        <v>0</v>
      </c>
      <c r="Q412" t="n">
        <v>0</v>
      </c>
      <c r="R412" s="2" t="inlineStr"/>
    </row>
    <row r="413" ht="15" customHeight="1">
      <c r="A413" t="inlineStr">
        <is>
          <t>A 60962-2025</t>
        </is>
      </c>
      <c r="B413" s="1" t="n">
        <v>45999.66488425926</v>
      </c>
      <c r="C413" s="1" t="n">
        <v>46189</v>
      </c>
      <c r="D413" t="inlineStr">
        <is>
          <t>DALARNAS LÄN</t>
        </is>
      </c>
      <c r="E413" t="inlineStr">
        <is>
          <t>MORA</t>
        </is>
      </c>
      <c r="G413" t="n">
        <v>2</v>
      </c>
      <c r="H413" t="n">
        <v>0</v>
      </c>
      <c r="I413" t="n">
        <v>0</v>
      </c>
      <c r="J413" t="n">
        <v>0</v>
      </c>
      <c r="K413" t="n">
        <v>0</v>
      </c>
      <c r="L413" t="n">
        <v>0</v>
      </c>
      <c r="M413" t="n">
        <v>0</v>
      </c>
      <c r="N413" t="n">
        <v>0</v>
      </c>
      <c r="O413" t="n">
        <v>0</v>
      </c>
      <c r="P413" t="n">
        <v>0</v>
      </c>
      <c r="Q413" t="n">
        <v>0</v>
      </c>
      <c r="R413" s="2" t="inlineStr"/>
    </row>
    <row r="414" ht="15" customHeight="1">
      <c r="A414" t="inlineStr">
        <is>
          <t>A 665-2026</t>
        </is>
      </c>
      <c r="B414" s="1" t="n">
        <v>46029</v>
      </c>
      <c r="C414" s="1" t="n">
        <v>46189</v>
      </c>
      <c r="D414" t="inlineStr">
        <is>
          <t>DALARNAS LÄN</t>
        </is>
      </c>
      <c r="E414" t="inlineStr">
        <is>
          <t>MORA</t>
        </is>
      </c>
      <c r="F414" t="inlineStr">
        <is>
          <t>Kommuner</t>
        </is>
      </c>
      <c r="G414" t="n">
        <v>20.9</v>
      </c>
      <c r="H414" t="n">
        <v>0</v>
      </c>
      <c r="I414" t="n">
        <v>0</v>
      </c>
      <c r="J414" t="n">
        <v>0</v>
      </c>
      <c r="K414" t="n">
        <v>0</v>
      </c>
      <c r="L414" t="n">
        <v>0</v>
      </c>
      <c r="M414" t="n">
        <v>0</v>
      </c>
      <c r="N414" t="n">
        <v>0</v>
      </c>
      <c r="O414" t="n">
        <v>0</v>
      </c>
      <c r="P414" t="n">
        <v>0</v>
      </c>
      <c r="Q414" t="n">
        <v>0</v>
      </c>
      <c r="R414" s="2" t="inlineStr"/>
    </row>
    <row r="415" ht="15" customHeight="1">
      <c r="A415" t="inlineStr">
        <is>
          <t>A 60526-2023</t>
        </is>
      </c>
      <c r="B415" s="1" t="n">
        <v>45259</v>
      </c>
      <c r="C415" s="1" t="n">
        <v>46189</v>
      </c>
      <c r="D415" t="inlineStr">
        <is>
          <t>DALARNAS LÄN</t>
        </is>
      </c>
      <c r="E415" t="inlineStr">
        <is>
          <t>MORA</t>
        </is>
      </c>
      <c r="G415" t="n">
        <v>6.7</v>
      </c>
      <c r="H415" t="n">
        <v>0</v>
      </c>
      <c r="I415" t="n">
        <v>0</v>
      </c>
      <c r="J415" t="n">
        <v>0</v>
      </c>
      <c r="K415" t="n">
        <v>0</v>
      </c>
      <c r="L415" t="n">
        <v>0</v>
      </c>
      <c r="M415" t="n">
        <v>0</v>
      </c>
      <c r="N415" t="n">
        <v>0</v>
      </c>
      <c r="O415" t="n">
        <v>0</v>
      </c>
      <c r="P415" t="n">
        <v>0</v>
      </c>
      <c r="Q415" t="n">
        <v>0</v>
      </c>
      <c r="R415" s="2" t="inlineStr"/>
    </row>
    <row r="416" ht="15" customHeight="1">
      <c r="A416" t="inlineStr">
        <is>
          <t>A 52908-2023</t>
        </is>
      </c>
      <c r="B416" s="1" t="n">
        <v>45226.49950231481</v>
      </c>
      <c r="C416" s="1" t="n">
        <v>46189</v>
      </c>
      <c r="D416" t="inlineStr">
        <is>
          <t>DALARNAS LÄN</t>
        </is>
      </c>
      <c r="E416" t="inlineStr">
        <is>
          <t>MORA</t>
        </is>
      </c>
      <c r="G416" t="n">
        <v>3.3</v>
      </c>
      <c r="H416" t="n">
        <v>0</v>
      </c>
      <c r="I416" t="n">
        <v>0</v>
      </c>
      <c r="J416" t="n">
        <v>0</v>
      </c>
      <c r="K416" t="n">
        <v>0</v>
      </c>
      <c r="L416" t="n">
        <v>0</v>
      </c>
      <c r="M416" t="n">
        <v>0</v>
      </c>
      <c r="N416" t="n">
        <v>0</v>
      </c>
      <c r="O416" t="n">
        <v>0</v>
      </c>
      <c r="P416" t="n">
        <v>0</v>
      </c>
      <c r="Q416" t="n">
        <v>0</v>
      </c>
      <c r="R416" s="2" t="inlineStr"/>
    </row>
    <row r="417" ht="15" customHeight="1">
      <c r="A417" t="inlineStr">
        <is>
          <t>A 51253-2023</t>
        </is>
      </c>
      <c r="B417" s="1" t="n">
        <v>45219</v>
      </c>
      <c r="C417" s="1" t="n">
        <v>46189</v>
      </c>
      <c r="D417" t="inlineStr">
        <is>
          <t>DALARNAS LÄN</t>
        </is>
      </c>
      <c r="E417" t="inlineStr">
        <is>
          <t>MORA</t>
        </is>
      </c>
      <c r="G417" t="n">
        <v>5</v>
      </c>
      <c r="H417" t="n">
        <v>0</v>
      </c>
      <c r="I417" t="n">
        <v>0</v>
      </c>
      <c r="J417" t="n">
        <v>0</v>
      </c>
      <c r="K417" t="n">
        <v>0</v>
      </c>
      <c r="L417" t="n">
        <v>0</v>
      </c>
      <c r="M417" t="n">
        <v>0</v>
      </c>
      <c r="N417" t="n">
        <v>0</v>
      </c>
      <c r="O417" t="n">
        <v>0</v>
      </c>
      <c r="P417" t="n">
        <v>0</v>
      </c>
      <c r="Q417" t="n">
        <v>0</v>
      </c>
      <c r="R417" s="2" t="inlineStr"/>
    </row>
    <row r="418" ht="15" customHeight="1">
      <c r="A418" t="inlineStr">
        <is>
          <t>A 58116-2022</t>
        </is>
      </c>
      <c r="B418" s="1" t="n">
        <v>44900.65716435185</v>
      </c>
      <c r="C418" s="1" t="n">
        <v>46189</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2995-2026</t>
        </is>
      </c>
      <c r="B419" s="1" t="n">
        <v>46038</v>
      </c>
      <c r="C419" s="1" t="n">
        <v>46189</v>
      </c>
      <c r="D419" t="inlineStr">
        <is>
          <t>DALARNAS LÄN</t>
        </is>
      </c>
      <c r="E419" t="inlineStr">
        <is>
          <t>MORA</t>
        </is>
      </c>
      <c r="G419" t="n">
        <v>2.3</v>
      </c>
      <c r="H419" t="n">
        <v>0</v>
      </c>
      <c r="I419" t="n">
        <v>0</v>
      </c>
      <c r="J419" t="n">
        <v>0</v>
      </c>
      <c r="K419" t="n">
        <v>0</v>
      </c>
      <c r="L419" t="n">
        <v>0</v>
      </c>
      <c r="M419" t="n">
        <v>0</v>
      </c>
      <c r="N419" t="n">
        <v>0</v>
      </c>
      <c r="O419" t="n">
        <v>0</v>
      </c>
      <c r="P419" t="n">
        <v>0</v>
      </c>
      <c r="Q419" t="n">
        <v>0</v>
      </c>
      <c r="R419" s="2" t="inlineStr"/>
    </row>
    <row r="420" ht="15" customHeight="1">
      <c r="A420" t="inlineStr">
        <is>
          <t>A 673-2026</t>
        </is>
      </c>
      <c r="B420" s="1" t="n">
        <v>46029</v>
      </c>
      <c r="C420" s="1" t="n">
        <v>46189</v>
      </c>
      <c r="D420" t="inlineStr">
        <is>
          <t>DALARNAS LÄN</t>
        </is>
      </c>
      <c r="E420" t="inlineStr">
        <is>
          <t>MORA</t>
        </is>
      </c>
      <c r="F420" t="inlineStr">
        <is>
          <t>Kommuner</t>
        </is>
      </c>
      <c r="G420" t="n">
        <v>25.8</v>
      </c>
      <c r="H420" t="n">
        <v>0</v>
      </c>
      <c r="I420" t="n">
        <v>0</v>
      </c>
      <c r="J420" t="n">
        <v>0</v>
      </c>
      <c r="K420" t="n">
        <v>0</v>
      </c>
      <c r="L420" t="n">
        <v>0</v>
      </c>
      <c r="M420" t="n">
        <v>0</v>
      </c>
      <c r="N420" t="n">
        <v>0</v>
      </c>
      <c r="O420" t="n">
        <v>0</v>
      </c>
      <c r="P420" t="n">
        <v>0</v>
      </c>
      <c r="Q420" t="n">
        <v>0</v>
      </c>
      <c r="R420" s="2" t="inlineStr"/>
    </row>
    <row r="421" ht="15" customHeight="1">
      <c r="A421" t="inlineStr">
        <is>
          <t>A 33666-2024</t>
        </is>
      </c>
      <c r="B421" s="1" t="n">
        <v>45520.48304398148</v>
      </c>
      <c r="C421" s="1" t="n">
        <v>46189</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42941-2024</t>
        </is>
      </c>
      <c r="B422" s="1" t="n">
        <v>45567.3515162037</v>
      </c>
      <c r="C422" s="1" t="n">
        <v>46189</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3247-2026</t>
        </is>
      </c>
      <c r="B423" s="1" t="n">
        <v>46041</v>
      </c>
      <c r="C423" s="1" t="n">
        <v>46189</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39674-2023</t>
        </is>
      </c>
      <c r="B424" s="1" t="n">
        <v>45167</v>
      </c>
      <c r="C424" s="1" t="n">
        <v>46189</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3440-2026</t>
        </is>
      </c>
      <c r="B425" s="1" t="n">
        <v>46042.475625</v>
      </c>
      <c r="C425" s="1" t="n">
        <v>46189</v>
      </c>
      <c r="D425" t="inlineStr">
        <is>
          <t>DALARNAS LÄN</t>
        </is>
      </c>
      <c r="E425" t="inlineStr">
        <is>
          <t>MORA</t>
        </is>
      </c>
      <c r="G425" t="n">
        <v>6.7</v>
      </c>
      <c r="H425" t="n">
        <v>0</v>
      </c>
      <c r="I425" t="n">
        <v>0</v>
      </c>
      <c r="J425" t="n">
        <v>0</v>
      </c>
      <c r="K425" t="n">
        <v>0</v>
      </c>
      <c r="L425" t="n">
        <v>0</v>
      </c>
      <c r="M425" t="n">
        <v>0</v>
      </c>
      <c r="N425" t="n">
        <v>0</v>
      </c>
      <c r="O425" t="n">
        <v>0</v>
      </c>
      <c r="P425" t="n">
        <v>0</v>
      </c>
      <c r="Q425" t="n">
        <v>0</v>
      </c>
      <c r="R425" s="2" t="inlineStr"/>
    </row>
    <row r="426" ht="15" customHeight="1">
      <c r="A426" t="inlineStr">
        <is>
          <t>A 4213-2026</t>
        </is>
      </c>
      <c r="B426" s="1" t="n">
        <v>46044.741875</v>
      </c>
      <c r="C426" s="1" t="n">
        <v>46189</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53341-2023</t>
        </is>
      </c>
      <c r="B427" s="1" t="n">
        <v>45229</v>
      </c>
      <c r="C427" s="1" t="n">
        <v>46189</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3669-2026</t>
        </is>
      </c>
      <c r="B428" s="1" t="n">
        <v>46043.41603009259</v>
      </c>
      <c r="C428" s="1" t="n">
        <v>46189</v>
      </c>
      <c r="D428" t="inlineStr">
        <is>
          <t>DALARNAS LÄN</t>
        </is>
      </c>
      <c r="E428" t="inlineStr">
        <is>
          <t>MORA</t>
        </is>
      </c>
      <c r="G428" t="n">
        <v>4.6</v>
      </c>
      <c r="H428" t="n">
        <v>0</v>
      </c>
      <c r="I428" t="n">
        <v>0</v>
      </c>
      <c r="J428" t="n">
        <v>0</v>
      </c>
      <c r="K428" t="n">
        <v>0</v>
      </c>
      <c r="L428" t="n">
        <v>0</v>
      </c>
      <c r="M428" t="n">
        <v>0</v>
      </c>
      <c r="N428" t="n">
        <v>0</v>
      </c>
      <c r="O428" t="n">
        <v>0</v>
      </c>
      <c r="P428" t="n">
        <v>0</v>
      </c>
      <c r="Q428" t="n">
        <v>0</v>
      </c>
      <c r="R428" s="2" t="inlineStr"/>
    </row>
    <row r="429" ht="15" customHeight="1">
      <c r="A429" t="inlineStr">
        <is>
          <t>A 54903-2024</t>
        </is>
      </c>
      <c r="B429" s="1" t="n">
        <v>45618</v>
      </c>
      <c r="C429" s="1" t="n">
        <v>46189</v>
      </c>
      <c r="D429" t="inlineStr">
        <is>
          <t>DALARNAS LÄN</t>
        </is>
      </c>
      <c r="E429" t="inlineStr">
        <is>
          <t>MORA</t>
        </is>
      </c>
      <c r="G429" t="n">
        <v>28.2</v>
      </c>
      <c r="H429" t="n">
        <v>0</v>
      </c>
      <c r="I429" t="n">
        <v>0</v>
      </c>
      <c r="J429" t="n">
        <v>0</v>
      </c>
      <c r="K429" t="n">
        <v>0</v>
      </c>
      <c r="L429" t="n">
        <v>0</v>
      </c>
      <c r="M429" t="n">
        <v>0</v>
      </c>
      <c r="N429" t="n">
        <v>0</v>
      </c>
      <c r="O429" t="n">
        <v>0</v>
      </c>
      <c r="P429" t="n">
        <v>0</v>
      </c>
      <c r="Q429" t="n">
        <v>0</v>
      </c>
      <c r="R429" s="2" t="inlineStr"/>
    </row>
    <row r="430" ht="15" customHeight="1">
      <c r="A430" t="inlineStr">
        <is>
          <t>A 5709-2026</t>
        </is>
      </c>
      <c r="B430" s="1" t="n">
        <v>46051</v>
      </c>
      <c r="C430" s="1" t="n">
        <v>46189</v>
      </c>
      <c r="D430" t="inlineStr">
        <is>
          <t>DALARNAS LÄN</t>
        </is>
      </c>
      <c r="E430" t="inlineStr">
        <is>
          <t>MORA</t>
        </is>
      </c>
      <c r="G430" t="n">
        <v>2.7</v>
      </c>
      <c r="H430" t="n">
        <v>0</v>
      </c>
      <c r="I430" t="n">
        <v>0</v>
      </c>
      <c r="J430" t="n">
        <v>0</v>
      </c>
      <c r="K430" t="n">
        <v>0</v>
      </c>
      <c r="L430" t="n">
        <v>0</v>
      </c>
      <c r="M430" t="n">
        <v>0</v>
      </c>
      <c r="N430" t="n">
        <v>0</v>
      </c>
      <c r="O430" t="n">
        <v>0</v>
      </c>
      <c r="P430" t="n">
        <v>0</v>
      </c>
      <c r="Q430" t="n">
        <v>0</v>
      </c>
      <c r="R430" s="2" t="inlineStr"/>
    </row>
    <row r="431" ht="15" customHeight="1">
      <c r="A431" t="inlineStr">
        <is>
          <t>A 14040-2023</t>
        </is>
      </c>
      <c r="B431" s="1" t="n">
        <v>45008.64575231481</v>
      </c>
      <c r="C431" s="1" t="n">
        <v>46189</v>
      </c>
      <c r="D431" t="inlineStr">
        <is>
          <t>DALARNAS LÄN</t>
        </is>
      </c>
      <c r="E431" t="inlineStr">
        <is>
          <t>MORA</t>
        </is>
      </c>
      <c r="G431" t="n">
        <v>1.3</v>
      </c>
      <c r="H431" t="n">
        <v>0</v>
      </c>
      <c r="I431" t="n">
        <v>0</v>
      </c>
      <c r="J431" t="n">
        <v>0</v>
      </c>
      <c r="K431" t="n">
        <v>0</v>
      </c>
      <c r="L431" t="n">
        <v>0</v>
      </c>
      <c r="M431" t="n">
        <v>0</v>
      </c>
      <c r="N431" t="n">
        <v>0</v>
      </c>
      <c r="O431" t="n">
        <v>0</v>
      </c>
      <c r="P431" t="n">
        <v>0</v>
      </c>
      <c r="Q431" t="n">
        <v>0</v>
      </c>
      <c r="R431" s="2" t="inlineStr"/>
    </row>
    <row r="432" ht="15" customHeight="1">
      <c r="A432" t="inlineStr">
        <is>
          <t>A 55331-2022</t>
        </is>
      </c>
      <c r="B432" s="1" t="n">
        <v>44887.43714120371</v>
      </c>
      <c r="C432" s="1" t="n">
        <v>46189</v>
      </c>
      <c r="D432" t="inlineStr">
        <is>
          <t>DALARNAS LÄN</t>
        </is>
      </c>
      <c r="E432" t="inlineStr">
        <is>
          <t>MORA</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45475-2023</t>
        </is>
      </c>
      <c r="B433" s="1" t="n">
        <v>45188</v>
      </c>
      <c r="C433" s="1" t="n">
        <v>46189</v>
      </c>
      <c r="D433" t="inlineStr">
        <is>
          <t>DALARNAS LÄN</t>
        </is>
      </c>
      <c r="E433" t="inlineStr">
        <is>
          <t>MORA</t>
        </is>
      </c>
      <c r="G433" t="n">
        <v>1.1</v>
      </c>
      <c r="H433" t="n">
        <v>0</v>
      </c>
      <c r="I433" t="n">
        <v>0</v>
      </c>
      <c r="J433" t="n">
        <v>0</v>
      </c>
      <c r="K433" t="n">
        <v>0</v>
      </c>
      <c r="L433" t="n">
        <v>0</v>
      </c>
      <c r="M433" t="n">
        <v>0</v>
      </c>
      <c r="N433" t="n">
        <v>0</v>
      </c>
      <c r="O433" t="n">
        <v>0</v>
      </c>
      <c r="P433" t="n">
        <v>0</v>
      </c>
      <c r="Q433" t="n">
        <v>0</v>
      </c>
      <c r="R433" s="2" t="inlineStr"/>
    </row>
    <row r="434" ht="15" customHeight="1">
      <c r="A434" t="inlineStr">
        <is>
          <t>A 11919-2024</t>
        </is>
      </c>
      <c r="B434" s="1" t="n">
        <v>45376.61019675926</v>
      </c>
      <c r="C434" s="1" t="n">
        <v>46189</v>
      </c>
      <c r="D434" t="inlineStr">
        <is>
          <t>DALARNAS LÄN</t>
        </is>
      </c>
      <c r="E434" t="inlineStr">
        <is>
          <t>MORA</t>
        </is>
      </c>
      <c r="G434" t="n">
        <v>3.5</v>
      </c>
      <c r="H434" t="n">
        <v>0</v>
      </c>
      <c r="I434" t="n">
        <v>0</v>
      </c>
      <c r="J434" t="n">
        <v>0</v>
      </c>
      <c r="K434" t="n">
        <v>0</v>
      </c>
      <c r="L434" t="n">
        <v>0</v>
      </c>
      <c r="M434" t="n">
        <v>0</v>
      </c>
      <c r="N434" t="n">
        <v>0</v>
      </c>
      <c r="O434" t="n">
        <v>0</v>
      </c>
      <c r="P434" t="n">
        <v>0</v>
      </c>
      <c r="Q434" t="n">
        <v>0</v>
      </c>
      <c r="R434" s="2" t="inlineStr"/>
    </row>
    <row r="435" ht="15" customHeight="1">
      <c r="A435" t="inlineStr">
        <is>
          <t>A 6719-2026</t>
        </is>
      </c>
      <c r="B435" s="1" t="n">
        <v>46056.66945601852</v>
      </c>
      <c r="C435" s="1" t="n">
        <v>46189</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6674-2026</t>
        </is>
      </c>
      <c r="B436" s="1" t="n">
        <v>46056.60297453704</v>
      </c>
      <c r="C436" s="1" t="n">
        <v>46189</v>
      </c>
      <c r="D436" t="inlineStr">
        <is>
          <t>DALARNAS LÄN</t>
        </is>
      </c>
      <c r="E436" t="inlineStr">
        <is>
          <t>MORA</t>
        </is>
      </c>
      <c r="G436" t="n">
        <v>0.7</v>
      </c>
      <c r="H436" t="n">
        <v>0</v>
      </c>
      <c r="I436" t="n">
        <v>0</v>
      </c>
      <c r="J436" t="n">
        <v>0</v>
      </c>
      <c r="K436" t="n">
        <v>0</v>
      </c>
      <c r="L436" t="n">
        <v>0</v>
      </c>
      <c r="M436" t="n">
        <v>0</v>
      </c>
      <c r="N436" t="n">
        <v>0</v>
      </c>
      <c r="O436" t="n">
        <v>0</v>
      </c>
      <c r="P436" t="n">
        <v>0</v>
      </c>
      <c r="Q436" t="n">
        <v>0</v>
      </c>
      <c r="R436" s="2" t="inlineStr"/>
    </row>
    <row r="437" ht="15" customHeight="1">
      <c r="A437" t="inlineStr">
        <is>
          <t>A 6690-2026</t>
        </is>
      </c>
      <c r="B437" s="1" t="n">
        <v>46056.6352662037</v>
      </c>
      <c r="C437" s="1" t="n">
        <v>46189</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6967-2026</t>
        </is>
      </c>
      <c r="B438" s="1" t="n">
        <v>46057.58777777778</v>
      </c>
      <c r="C438" s="1" t="n">
        <v>46189</v>
      </c>
      <c r="D438" t="inlineStr">
        <is>
          <t>DALARNAS LÄN</t>
        </is>
      </c>
      <c r="E438" t="inlineStr">
        <is>
          <t>MORA</t>
        </is>
      </c>
      <c r="G438" t="n">
        <v>5</v>
      </c>
      <c r="H438" t="n">
        <v>0</v>
      </c>
      <c r="I438" t="n">
        <v>0</v>
      </c>
      <c r="J438" t="n">
        <v>0</v>
      </c>
      <c r="K438" t="n">
        <v>0</v>
      </c>
      <c r="L438" t="n">
        <v>0</v>
      </c>
      <c r="M438" t="n">
        <v>0</v>
      </c>
      <c r="N438" t="n">
        <v>0</v>
      </c>
      <c r="O438" t="n">
        <v>0</v>
      </c>
      <c r="P438" t="n">
        <v>0</v>
      </c>
      <c r="Q438" t="n">
        <v>0</v>
      </c>
      <c r="R438" s="2" t="inlineStr"/>
    </row>
    <row r="439" ht="15" customHeight="1">
      <c r="A439" t="inlineStr">
        <is>
          <t>A 17529-2023</t>
        </is>
      </c>
      <c r="B439" s="1" t="n">
        <v>45036.46804398148</v>
      </c>
      <c r="C439" s="1" t="n">
        <v>46189</v>
      </c>
      <c r="D439" t="inlineStr">
        <is>
          <t>DALARNAS LÄN</t>
        </is>
      </c>
      <c r="E439" t="inlineStr">
        <is>
          <t>MORA</t>
        </is>
      </c>
      <c r="G439" t="n">
        <v>6</v>
      </c>
      <c r="H439" t="n">
        <v>0</v>
      </c>
      <c r="I439" t="n">
        <v>0</v>
      </c>
      <c r="J439" t="n">
        <v>0</v>
      </c>
      <c r="K439" t="n">
        <v>0</v>
      </c>
      <c r="L439" t="n">
        <v>0</v>
      </c>
      <c r="M439" t="n">
        <v>0</v>
      </c>
      <c r="N439" t="n">
        <v>0</v>
      </c>
      <c r="O439" t="n">
        <v>0</v>
      </c>
      <c r="P439" t="n">
        <v>0</v>
      </c>
      <c r="Q439" t="n">
        <v>0</v>
      </c>
      <c r="R439" s="2" t="inlineStr"/>
    </row>
    <row r="440" ht="15" customHeight="1">
      <c r="A440" t="inlineStr">
        <is>
          <t>A 6923-2026</t>
        </is>
      </c>
      <c r="B440" s="1" t="n">
        <v>46057.53868055555</v>
      </c>
      <c r="C440" s="1" t="n">
        <v>46189</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6802-2026</t>
        </is>
      </c>
      <c r="B441" s="1" t="n">
        <v>46057.35288194445</v>
      </c>
      <c r="C441" s="1" t="n">
        <v>46189</v>
      </c>
      <c r="D441" t="inlineStr">
        <is>
          <t>DALARNAS LÄN</t>
        </is>
      </c>
      <c r="E441" t="inlineStr">
        <is>
          <t>MORA</t>
        </is>
      </c>
      <c r="G441" t="n">
        <v>5.8</v>
      </c>
      <c r="H441" t="n">
        <v>0</v>
      </c>
      <c r="I441" t="n">
        <v>0</v>
      </c>
      <c r="J441" t="n">
        <v>0</v>
      </c>
      <c r="K441" t="n">
        <v>0</v>
      </c>
      <c r="L441" t="n">
        <v>0</v>
      </c>
      <c r="M441" t="n">
        <v>0</v>
      </c>
      <c r="N441" t="n">
        <v>0</v>
      </c>
      <c r="O441" t="n">
        <v>0</v>
      </c>
      <c r="P441" t="n">
        <v>0</v>
      </c>
      <c r="Q441" t="n">
        <v>0</v>
      </c>
      <c r="R441" s="2" t="inlineStr"/>
    </row>
    <row r="442" ht="15" customHeight="1">
      <c r="A442" t="inlineStr">
        <is>
          <t>A 4209-2023</t>
        </is>
      </c>
      <c r="B442" s="1" t="n">
        <v>44953</v>
      </c>
      <c r="C442" s="1" t="n">
        <v>46189</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43569-2025</t>
        </is>
      </c>
      <c r="B443" s="1" t="n">
        <v>45911.63363425926</v>
      </c>
      <c r="C443" s="1" t="n">
        <v>46189</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7418-2026</t>
        </is>
      </c>
      <c r="B444" s="1" t="n">
        <v>46059.42018518518</v>
      </c>
      <c r="C444" s="1" t="n">
        <v>46189</v>
      </c>
      <c r="D444" t="inlineStr">
        <is>
          <t>DALARNAS LÄN</t>
        </is>
      </c>
      <c r="E444" t="inlineStr">
        <is>
          <t>MORA</t>
        </is>
      </c>
      <c r="G444" t="n">
        <v>4</v>
      </c>
      <c r="H444" t="n">
        <v>0</v>
      </c>
      <c r="I444" t="n">
        <v>0</v>
      </c>
      <c r="J444" t="n">
        <v>0</v>
      </c>
      <c r="K444" t="n">
        <v>0</v>
      </c>
      <c r="L444" t="n">
        <v>0</v>
      </c>
      <c r="M444" t="n">
        <v>0</v>
      </c>
      <c r="N444" t="n">
        <v>0</v>
      </c>
      <c r="O444" t="n">
        <v>0</v>
      </c>
      <c r="P444" t="n">
        <v>0</v>
      </c>
      <c r="Q444" t="n">
        <v>0</v>
      </c>
      <c r="R444" s="2" t="inlineStr"/>
    </row>
    <row r="445" ht="15" customHeight="1">
      <c r="A445" t="inlineStr">
        <is>
          <t>A 39344-2024</t>
        </is>
      </c>
      <c r="B445" s="1" t="n">
        <v>45551.44503472222</v>
      </c>
      <c r="C445" s="1" t="n">
        <v>46189</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8075-2026</t>
        </is>
      </c>
      <c r="B446" s="1" t="n">
        <v>46063</v>
      </c>
      <c r="C446" s="1" t="n">
        <v>46189</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8361-2026</t>
        </is>
      </c>
      <c r="B447" s="1" t="n">
        <v>46064.6643287037</v>
      </c>
      <c r="C447" s="1" t="n">
        <v>46189</v>
      </c>
      <c r="D447" t="inlineStr">
        <is>
          <t>DALARNAS LÄN</t>
        </is>
      </c>
      <c r="E447" t="inlineStr">
        <is>
          <t>MORA</t>
        </is>
      </c>
      <c r="G447" t="n">
        <v>2.7</v>
      </c>
      <c r="H447" t="n">
        <v>0</v>
      </c>
      <c r="I447" t="n">
        <v>0</v>
      </c>
      <c r="J447" t="n">
        <v>0</v>
      </c>
      <c r="K447" t="n">
        <v>0</v>
      </c>
      <c r="L447" t="n">
        <v>0</v>
      </c>
      <c r="M447" t="n">
        <v>0</v>
      </c>
      <c r="N447" t="n">
        <v>0</v>
      </c>
      <c r="O447" t="n">
        <v>0</v>
      </c>
      <c r="P447" t="n">
        <v>0</v>
      </c>
      <c r="Q447" t="n">
        <v>0</v>
      </c>
      <c r="R447" s="2" t="inlineStr"/>
    </row>
    <row r="448" ht="15" customHeight="1">
      <c r="A448" t="inlineStr">
        <is>
          <t>A 8474-2026</t>
        </is>
      </c>
      <c r="B448" s="1" t="n">
        <v>46065</v>
      </c>
      <c r="C448" s="1" t="n">
        <v>46189</v>
      </c>
      <c r="D448" t="inlineStr">
        <is>
          <t>DALARNAS LÄN</t>
        </is>
      </c>
      <c r="E448" t="inlineStr">
        <is>
          <t>MORA</t>
        </is>
      </c>
      <c r="G448" t="n">
        <v>4.7</v>
      </c>
      <c r="H448" t="n">
        <v>0</v>
      </c>
      <c r="I448" t="n">
        <v>0</v>
      </c>
      <c r="J448" t="n">
        <v>0</v>
      </c>
      <c r="K448" t="n">
        <v>0</v>
      </c>
      <c r="L448" t="n">
        <v>0</v>
      </c>
      <c r="M448" t="n">
        <v>0</v>
      </c>
      <c r="N448" t="n">
        <v>0</v>
      </c>
      <c r="O448" t="n">
        <v>0</v>
      </c>
      <c r="P448" t="n">
        <v>0</v>
      </c>
      <c r="Q448" t="n">
        <v>0</v>
      </c>
      <c r="R448" s="2" t="inlineStr"/>
    </row>
    <row r="449" ht="15" customHeight="1">
      <c r="A449" t="inlineStr">
        <is>
          <t>A 8762-2026</t>
        </is>
      </c>
      <c r="B449" s="1" t="n">
        <v>46066.55876157407</v>
      </c>
      <c r="C449" s="1" t="n">
        <v>46189</v>
      </c>
      <c r="D449" t="inlineStr">
        <is>
          <t>DALARNAS LÄN</t>
        </is>
      </c>
      <c r="E449" t="inlineStr">
        <is>
          <t>MORA</t>
        </is>
      </c>
      <c r="F449" t="inlineStr">
        <is>
          <t>Bergvik skog väst AB</t>
        </is>
      </c>
      <c r="G449" t="n">
        <v>1.8</v>
      </c>
      <c r="H449" t="n">
        <v>0</v>
      </c>
      <c r="I449" t="n">
        <v>0</v>
      </c>
      <c r="J449" t="n">
        <v>0</v>
      </c>
      <c r="K449" t="n">
        <v>0</v>
      </c>
      <c r="L449" t="n">
        <v>0</v>
      </c>
      <c r="M449" t="n">
        <v>0</v>
      </c>
      <c r="N449" t="n">
        <v>0</v>
      </c>
      <c r="O449" t="n">
        <v>0</v>
      </c>
      <c r="P449" t="n">
        <v>0</v>
      </c>
      <c r="Q449" t="n">
        <v>0</v>
      </c>
      <c r="R449" s="2" t="inlineStr"/>
    </row>
    <row r="450" ht="15" customHeight="1">
      <c r="A450" t="inlineStr">
        <is>
          <t>A 9421-2026</t>
        </is>
      </c>
      <c r="B450" s="1" t="n">
        <v>46071</v>
      </c>
      <c r="C450" s="1" t="n">
        <v>46189</v>
      </c>
      <c r="D450" t="inlineStr">
        <is>
          <t>DALARNAS LÄN</t>
        </is>
      </c>
      <c r="E450" t="inlineStr">
        <is>
          <t>MORA</t>
        </is>
      </c>
      <c r="G450" t="n">
        <v>8.1</v>
      </c>
      <c r="H450" t="n">
        <v>0</v>
      </c>
      <c r="I450" t="n">
        <v>0</v>
      </c>
      <c r="J450" t="n">
        <v>0</v>
      </c>
      <c r="K450" t="n">
        <v>0</v>
      </c>
      <c r="L450" t="n">
        <v>0</v>
      </c>
      <c r="M450" t="n">
        <v>0</v>
      </c>
      <c r="N450" t="n">
        <v>0</v>
      </c>
      <c r="O450" t="n">
        <v>0</v>
      </c>
      <c r="P450" t="n">
        <v>0</v>
      </c>
      <c r="Q450" t="n">
        <v>0</v>
      </c>
      <c r="R450" s="2" t="inlineStr"/>
    </row>
    <row r="451" ht="15" customHeight="1">
      <c r="A451" t="inlineStr">
        <is>
          <t>A 9788-2026</t>
        </is>
      </c>
      <c r="B451" s="1" t="n">
        <v>46072</v>
      </c>
      <c r="C451" s="1" t="n">
        <v>46189</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60051-2022</t>
        </is>
      </c>
      <c r="B452" s="1" t="n">
        <v>44909.52385416667</v>
      </c>
      <c r="C452" s="1" t="n">
        <v>46189</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48390-2024</t>
        </is>
      </c>
      <c r="B453" s="1" t="n">
        <v>45590.60216435185</v>
      </c>
      <c r="C453" s="1" t="n">
        <v>46189</v>
      </c>
      <c r="D453" t="inlineStr">
        <is>
          <t>DALARNAS LÄN</t>
        </is>
      </c>
      <c r="E453" t="inlineStr">
        <is>
          <t>MORA</t>
        </is>
      </c>
      <c r="G453" t="n">
        <v>5</v>
      </c>
      <c r="H453" t="n">
        <v>0</v>
      </c>
      <c r="I453" t="n">
        <v>0</v>
      </c>
      <c r="J453" t="n">
        <v>0</v>
      </c>
      <c r="K453" t="n">
        <v>0</v>
      </c>
      <c r="L453" t="n">
        <v>0</v>
      </c>
      <c r="M453" t="n">
        <v>0</v>
      </c>
      <c r="N453" t="n">
        <v>0</v>
      </c>
      <c r="O453" t="n">
        <v>0</v>
      </c>
      <c r="P453" t="n">
        <v>0</v>
      </c>
      <c r="Q453" t="n">
        <v>0</v>
      </c>
      <c r="R453" s="2" t="inlineStr"/>
    </row>
    <row r="454" ht="15" customHeight="1">
      <c r="A454" t="inlineStr">
        <is>
          <t>A 55671-2024</t>
        </is>
      </c>
      <c r="B454" s="1" t="n">
        <v>45622.65269675926</v>
      </c>
      <c r="C454" s="1" t="n">
        <v>46189</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10181-2026</t>
        </is>
      </c>
      <c r="B455" s="1" t="n">
        <v>46076</v>
      </c>
      <c r="C455" s="1" t="n">
        <v>46189</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4208-2023</t>
        </is>
      </c>
      <c r="B456" s="1" t="n">
        <v>44953</v>
      </c>
      <c r="C456" s="1" t="n">
        <v>46189</v>
      </c>
      <c r="D456" t="inlineStr">
        <is>
          <t>DALARNAS LÄN</t>
        </is>
      </c>
      <c r="E456" t="inlineStr">
        <is>
          <t>MORA</t>
        </is>
      </c>
      <c r="G456" t="n">
        <v>2.4</v>
      </c>
      <c r="H456" t="n">
        <v>0</v>
      </c>
      <c r="I456" t="n">
        <v>0</v>
      </c>
      <c r="J456" t="n">
        <v>0</v>
      </c>
      <c r="K456" t="n">
        <v>0</v>
      </c>
      <c r="L456" t="n">
        <v>0</v>
      </c>
      <c r="M456" t="n">
        <v>0</v>
      </c>
      <c r="N456" t="n">
        <v>0</v>
      </c>
      <c r="O456" t="n">
        <v>0</v>
      </c>
      <c r="P456" t="n">
        <v>0</v>
      </c>
      <c r="Q456" t="n">
        <v>0</v>
      </c>
      <c r="R456" s="2" t="inlineStr"/>
    </row>
    <row r="457" ht="15" customHeight="1">
      <c r="A457" t="inlineStr">
        <is>
          <t>A 4210-2023</t>
        </is>
      </c>
      <c r="B457" s="1" t="n">
        <v>44953.44965277778</v>
      </c>
      <c r="C457" s="1" t="n">
        <v>46189</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5491-2023</t>
        </is>
      </c>
      <c r="B458" s="1" t="n">
        <v>44957</v>
      </c>
      <c r="C458" s="1" t="n">
        <v>46189</v>
      </c>
      <c r="D458" t="inlineStr">
        <is>
          <t>DALARNAS LÄN</t>
        </is>
      </c>
      <c r="E458" t="inlineStr">
        <is>
          <t>MORA</t>
        </is>
      </c>
      <c r="G458" t="n">
        <v>3.5</v>
      </c>
      <c r="H458" t="n">
        <v>0</v>
      </c>
      <c r="I458" t="n">
        <v>0</v>
      </c>
      <c r="J458" t="n">
        <v>0</v>
      </c>
      <c r="K458" t="n">
        <v>0</v>
      </c>
      <c r="L458" t="n">
        <v>0</v>
      </c>
      <c r="M458" t="n">
        <v>0</v>
      </c>
      <c r="N458" t="n">
        <v>0</v>
      </c>
      <c r="O458" t="n">
        <v>0</v>
      </c>
      <c r="P458" t="n">
        <v>0</v>
      </c>
      <c r="Q458" t="n">
        <v>0</v>
      </c>
      <c r="R458" s="2" t="inlineStr"/>
    </row>
    <row r="459" ht="15" customHeight="1">
      <c r="A459" t="inlineStr">
        <is>
          <t>A 5493-2023</t>
        </is>
      </c>
      <c r="B459" s="1" t="n">
        <v>44957</v>
      </c>
      <c r="C459" s="1" t="n">
        <v>46189</v>
      </c>
      <c r="D459" t="inlineStr">
        <is>
          <t>DALARNAS LÄN</t>
        </is>
      </c>
      <c r="E459" t="inlineStr">
        <is>
          <t>MORA</t>
        </is>
      </c>
      <c r="F459" t="inlineStr">
        <is>
          <t>Allmännings- och besparingsskogar</t>
        </is>
      </c>
      <c r="G459" t="n">
        <v>14.9</v>
      </c>
      <c r="H459" t="n">
        <v>0</v>
      </c>
      <c r="I459" t="n">
        <v>0</v>
      </c>
      <c r="J459" t="n">
        <v>0</v>
      </c>
      <c r="K459" t="n">
        <v>0</v>
      </c>
      <c r="L459" t="n">
        <v>0</v>
      </c>
      <c r="M459" t="n">
        <v>0</v>
      </c>
      <c r="N459" t="n">
        <v>0</v>
      </c>
      <c r="O459" t="n">
        <v>0</v>
      </c>
      <c r="P459" t="n">
        <v>0</v>
      </c>
      <c r="Q459" t="n">
        <v>0</v>
      </c>
      <c r="R459" s="2" t="inlineStr"/>
    </row>
    <row r="460" ht="15" customHeight="1">
      <c r="A460" t="inlineStr">
        <is>
          <t>A 11463-2024</t>
        </is>
      </c>
      <c r="B460" s="1" t="n">
        <v>45372.58969907407</v>
      </c>
      <c r="C460" s="1" t="n">
        <v>46189</v>
      </c>
      <c r="D460" t="inlineStr">
        <is>
          <t>DALARNAS LÄN</t>
        </is>
      </c>
      <c r="E460" t="inlineStr">
        <is>
          <t>MORA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27975-2023</t>
        </is>
      </c>
      <c r="B461" s="1" t="n">
        <v>45098</v>
      </c>
      <c r="C461" s="1" t="n">
        <v>46189</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59101-2024</t>
        </is>
      </c>
      <c r="B462" s="1" t="n">
        <v>45637.34074074074</v>
      </c>
      <c r="C462" s="1" t="n">
        <v>46189</v>
      </c>
      <c r="D462" t="inlineStr">
        <is>
          <t>DALARNAS LÄN</t>
        </is>
      </c>
      <c r="E462" t="inlineStr">
        <is>
          <t>MORA</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43874-2024</t>
        </is>
      </c>
      <c r="B463" s="1" t="n">
        <v>45572.38476851852</v>
      </c>
      <c r="C463" s="1" t="n">
        <v>46189</v>
      </c>
      <c r="D463" t="inlineStr">
        <is>
          <t>DALARNAS LÄN</t>
        </is>
      </c>
      <c r="E463" t="inlineStr">
        <is>
          <t>MORA</t>
        </is>
      </c>
      <c r="G463" t="n">
        <v>3.6</v>
      </c>
      <c r="H463" t="n">
        <v>0</v>
      </c>
      <c r="I463" t="n">
        <v>0</v>
      </c>
      <c r="J463" t="n">
        <v>0</v>
      </c>
      <c r="K463" t="n">
        <v>0</v>
      </c>
      <c r="L463" t="n">
        <v>0</v>
      </c>
      <c r="M463" t="n">
        <v>0</v>
      </c>
      <c r="N463" t="n">
        <v>0</v>
      </c>
      <c r="O463" t="n">
        <v>0</v>
      </c>
      <c r="P463" t="n">
        <v>0</v>
      </c>
      <c r="Q463" t="n">
        <v>0</v>
      </c>
      <c r="R463" s="2" t="inlineStr"/>
    </row>
    <row r="464" ht="15" customHeight="1">
      <c r="A464" t="inlineStr">
        <is>
          <t>A 11176-2026</t>
        </is>
      </c>
      <c r="B464" s="1" t="n">
        <v>46080</v>
      </c>
      <c r="C464" s="1" t="n">
        <v>46189</v>
      </c>
      <c r="D464" t="inlineStr">
        <is>
          <t>DALARNAS LÄN</t>
        </is>
      </c>
      <c r="E464" t="inlineStr">
        <is>
          <t>MORA</t>
        </is>
      </c>
      <c r="G464" t="n">
        <v>1.3</v>
      </c>
      <c r="H464" t="n">
        <v>0</v>
      </c>
      <c r="I464" t="n">
        <v>0</v>
      </c>
      <c r="J464" t="n">
        <v>0</v>
      </c>
      <c r="K464" t="n">
        <v>0</v>
      </c>
      <c r="L464" t="n">
        <v>0</v>
      </c>
      <c r="M464" t="n">
        <v>0</v>
      </c>
      <c r="N464" t="n">
        <v>0</v>
      </c>
      <c r="O464" t="n">
        <v>0</v>
      </c>
      <c r="P464" t="n">
        <v>0</v>
      </c>
      <c r="Q464" t="n">
        <v>0</v>
      </c>
      <c r="R464" s="2" t="inlineStr"/>
    </row>
    <row r="465" ht="15" customHeight="1">
      <c r="A465" t="inlineStr">
        <is>
          <t>A 57903-2022</t>
        </is>
      </c>
      <c r="B465" s="1" t="n">
        <v>44900.3521412037</v>
      </c>
      <c r="C465" s="1" t="n">
        <v>46189</v>
      </c>
      <c r="D465" t="inlineStr">
        <is>
          <t>DALARNAS LÄN</t>
        </is>
      </c>
      <c r="E465" t="inlineStr">
        <is>
          <t>MORA</t>
        </is>
      </c>
      <c r="G465" t="n">
        <v>4.3</v>
      </c>
      <c r="H465" t="n">
        <v>0</v>
      </c>
      <c r="I465" t="n">
        <v>0</v>
      </c>
      <c r="J465" t="n">
        <v>0</v>
      </c>
      <c r="K465" t="n">
        <v>0</v>
      </c>
      <c r="L465" t="n">
        <v>0</v>
      </c>
      <c r="M465" t="n">
        <v>0</v>
      </c>
      <c r="N465" t="n">
        <v>0</v>
      </c>
      <c r="O465" t="n">
        <v>0</v>
      </c>
      <c r="P465" t="n">
        <v>0</v>
      </c>
      <c r="Q465" t="n">
        <v>0</v>
      </c>
      <c r="R465" s="2" t="inlineStr"/>
    </row>
    <row r="466" ht="15" customHeight="1">
      <c r="A466" t="inlineStr">
        <is>
          <t>A 24169-2022</t>
        </is>
      </c>
      <c r="B466" s="1" t="n">
        <v>44725.50280092593</v>
      </c>
      <c r="C466" s="1" t="n">
        <v>46189</v>
      </c>
      <c r="D466" t="inlineStr">
        <is>
          <t>DALARNAS LÄN</t>
        </is>
      </c>
      <c r="E466" t="inlineStr">
        <is>
          <t>MORA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11705-2026</t>
        </is>
      </c>
      <c r="B467" s="1" t="n">
        <v>46084.61635416667</v>
      </c>
      <c r="C467" s="1" t="n">
        <v>46189</v>
      </c>
      <c r="D467" t="inlineStr">
        <is>
          <t>DALARNAS LÄN</t>
        </is>
      </c>
      <c r="E467" t="inlineStr">
        <is>
          <t>MORA</t>
        </is>
      </c>
      <c r="G467" t="n">
        <v>4.2</v>
      </c>
      <c r="H467" t="n">
        <v>0</v>
      </c>
      <c r="I467" t="n">
        <v>0</v>
      </c>
      <c r="J467" t="n">
        <v>0</v>
      </c>
      <c r="K467" t="n">
        <v>0</v>
      </c>
      <c r="L467" t="n">
        <v>0</v>
      </c>
      <c r="M467" t="n">
        <v>0</v>
      </c>
      <c r="N467" t="n">
        <v>0</v>
      </c>
      <c r="O467" t="n">
        <v>0</v>
      </c>
      <c r="P467" t="n">
        <v>0</v>
      </c>
      <c r="Q467" t="n">
        <v>0</v>
      </c>
      <c r="R467" s="2" t="inlineStr"/>
    </row>
    <row r="468" ht="15" customHeight="1">
      <c r="A468" t="inlineStr">
        <is>
          <t>A 65186-2021</t>
        </is>
      </c>
      <c r="B468" s="1" t="n">
        <v>44515</v>
      </c>
      <c r="C468" s="1" t="n">
        <v>46189</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11875-2026</t>
        </is>
      </c>
      <c r="B469" s="1" t="n">
        <v>46085</v>
      </c>
      <c r="C469" s="1" t="n">
        <v>46189</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11819-2026</t>
        </is>
      </c>
      <c r="B470" s="1" t="n">
        <v>46085.38835648148</v>
      </c>
      <c r="C470" s="1" t="n">
        <v>46189</v>
      </c>
      <c r="D470" t="inlineStr">
        <is>
          <t>DALARNAS LÄN</t>
        </is>
      </c>
      <c r="E470" t="inlineStr">
        <is>
          <t>MORA</t>
        </is>
      </c>
      <c r="G470" t="n">
        <v>0.6</v>
      </c>
      <c r="H470" t="n">
        <v>0</v>
      </c>
      <c r="I470" t="n">
        <v>0</v>
      </c>
      <c r="J470" t="n">
        <v>0</v>
      </c>
      <c r="K470" t="n">
        <v>0</v>
      </c>
      <c r="L470" t="n">
        <v>0</v>
      </c>
      <c r="M470" t="n">
        <v>0</v>
      </c>
      <c r="N470" t="n">
        <v>0</v>
      </c>
      <c r="O470" t="n">
        <v>0</v>
      </c>
      <c r="P470" t="n">
        <v>0</v>
      </c>
      <c r="Q470" t="n">
        <v>0</v>
      </c>
      <c r="R470" s="2" t="inlineStr"/>
    </row>
    <row r="471" ht="15" customHeight="1">
      <c r="A471" t="inlineStr">
        <is>
          <t>A 11442-2022</t>
        </is>
      </c>
      <c r="B471" s="1" t="n">
        <v>44630.62788194444</v>
      </c>
      <c r="C471" s="1" t="n">
        <v>46189</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6183-2024</t>
        </is>
      </c>
      <c r="B472" s="1" t="n">
        <v>45337.54135416666</v>
      </c>
      <c r="C472" s="1" t="n">
        <v>46189</v>
      </c>
      <c r="D472" t="inlineStr">
        <is>
          <t>DALARNAS LÄN</t>
        </is>
      </c>
      <c r="E472" t="inlineStr">
        <is>
          <t>MORA</t>
        </is>
      </c>
      <c r="G472" t="n">
        <v>7.9</v>
      </c>
      <c r="H472" t="n">
        <v>0</v>
      </c>
      <c r="I472" t="n">
        <v>0</v>
      </c>
      <c r="J472" t="n">
        <v>0</v>
      </c>
      <c r="K472" t="n">
        <v>0</v>
      </c>
      <c r="L472" t="n">
        <v>0</v>
      </c>
      <c r="M472" t="n">
        <v>0</v>
      </c>
      <c r="N472" t="n">
        <v>0</v>
      </c>
      <c r="O472" t="n">
        <v>0</v>
      </c>
      <c r="P472" t="n">
        <v>0</v>
      </c>
      <c r="Q472" t="n">
        <v>0</v>
      </c>
      <c r="R472" s="2" t="inlineStr"/>
    </row>
    <row r="473" ht="15" customHeight="1">
      <c r="A473" t="inlineStr">
        <is>
          <t>A 45562-2023</t>
        </is>
      </c>
      <c r="B473" s="1" t="n">
        <v>45194.59378472222</v>
      </c>
      <c r="C473" s="1" t="n">
        <v>46189</v>
      </c>
      <c r="D473" t="inlineStr">
        <is>
          <t>DALARNAS LÄN</t>
        </is>
      </c>
      <c r="E473" t="inlineStr">
        <is>
          <t>MORA</t>
        </is>
      </c>
      <c r="G473" t="n">
        <v>0.7</v>
      </c>
      <c r="H473" t="n">
        <v>0</v>
      </c>
      <c r="I473" t="n">
        <v>0</v>
      </c>
      <c r="J473" t="n">
        <v>0</v>
      </c>
      <c r="K473" t="n">
        <v>0</v>
      </c>
      <c r="L473" t="n">
        <v>0</v>
      </c>
      <c r="M473" t="n">
        <v>0</v>
      </c>
      <c r="N473" t="n">
        <v>0</v>
      </c>
      <c r="O473" t="n">
        <v>0</v>
      </c>
      <c r="P473" t="n">
        <v>0</v>
      </c>
      <c r="Q473" t="n">
        <v>0</v>
      </c>
      <c r="R473" s="2" t="inlineStr"/>
    </row>
    <row r="474" ht="15" customHeight="1">
      <c r="A474" t="inlineStr">
        <is>
          <t>A 35551-2023</t>
        </is>
      </c>
      <c r="B474" s="1" t="n">
        <v>45147.3934837963</v>
      </c>
      <c r="C474" s="1" t="n">
        <v>46189</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23300-2024</t>
        </is>
      </c>
      <c r="B475" s="1" t="n">
        <v>45453.43695601852</v>
      </c>
      <c r="C475" s="1" t="n">
        <v>46189</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12664-2026</t>
        </is>
      </c>
      <c r="B476" s="1" t="n">
        <v>46091</v>
      </c>
      <c r="C476" s="1" t="n">
        <v>46189</v>
      </c>
      <c r="D476" t="inlineStr">
        <is>
          <t>DALARNAS LÄN</t>
        </is>
      </c>
      <c r="E476" t="inlineStr">
        <is>
          <t>MORA</t>
        </is>
      </c>
      <c r="G476" t="n">
        <v>0.8</v>
      </c>
      <c r="H476" t="n">
        <v>0</v>
      </c>
      <c r="I476" t="n">
        <v>0</v>
      </c>
      <c r="J476" t="n">
        <v>0</v>
      </c>
      <c r="K476" t="n">
        <v>0</v>
      </c>
      <c r="L476" t="n">
        <v>0</v>
      </c>
      <c r="M476" t="n">
        <v>0</v>
      </c>
      <c r="N476" t="n">
        <v>0</v>
      </c>
      <c r="O476" t="n">
        <v>0</v>
      </c>
      <c r="P476" t="n">
        <v>0</v>
      </c>
      <c r="Q476" t="n">
        <v>0</v>
      </c>
      <c r="R476" s="2" t="inlineStr"/>
    </row>
    <row r="477" ht="15" customHeight="1">
      <c r="A477" t="inlineStr">
        <is>
          <t>A 12527-2026</t>
        </is>
      </c>
      <c r="B477" s="1" t="n">
        <v>46090</v>
      </c>
      <c r="C477" s="1" t="n">
        <v>46189</v>
      </c>
      <c r="D477" t="inlineStr">
        <is>
          <t>DALARNAS LÄN</t>
        </is>
      </c>
      <c r="E477" t="inlineStr">
        <is>
          <t>MORA</t>
        </is>
      </c>
      <c r="G477" t="n">
        <v>17.5</v>
      </c>
      <c r="H477" t="n">
        <v>0</v>
      </c>
      <c r="I477" t="n">
        <v>0</v>
      </c>
      <c r="J477" t="n">
        <v>0</v>
      </c>
      <c r="K477" t="n">
        <v>0</v>
      </c>
      <c r="L477" t="n">
        <v>0</v>
      </c>
      <c r="M477" t="n">
        <v>0</v>
      </c>
      <c r="N477" t="n">
        <v>0</v>
      </c>
      <c r="O477" t="n">
        <v>0</v>
      </c>
      <c r="P477" t="n">
        <v>0</v>
      </c>
      <c r="Q477" t="n">
        <v>0</v>
      </c>
      <c r="R477" s="2" t="inlineStr"/>
    </row>
    <row r="478" ht="15" customHeight="1">
      <c r="A478" t="inlineStr">
        <is>
          <t>A 12610-2026</t>
        </is>
      </c>
      <c r="B478" s="1" t="n">
        <v>46091.38306712963</v>
      </c>
      <c r="C478" s="1" t="n">
        <v>46189</v>
      </c>
      <c r="D478" t="inlineStr">
        <is>
          <t>DALARNAS LÄN</t>
        </is>
      </c>
      <c r="E478" t="inlineStr">
        <is>
          <t>MORA</t>
        </is>
      </c>
      <c r="G478" t="n">
        <v>8.1</v>
      </c>
      <c r="H478" t="n">
        <v>0</v>
      </c>
      <c r="I478" t="n">
        <v>0</v>
      </c>
      <c r="J478" t="n">
        <v>0</v>
      </c>
      <c r="K478" t="n">
        <v>0</v>
      </c>
      <c r="L478" t="n">
        <v>0</v>
      </c>
      <c r="M478" t="n">
        <v>0</v>
      </c>
      <c r="N478" t="n">
        <v>0</v>
      </c>
      <c r="O478" t="n">
        <v>0</v>
      </c>
      <c r="P478" t="n">
        <v>0</v>
      </c>
      <c r="Q478" t="n">
        <v>0</v>
      </c>
      <c r="R478" s="2" t="inlineStr"/>
    </row>
    <row r="479" ht="15" customHeight="1">
      <c r="A479" t="inlineStr">
        <is>
          <t>A 571-2024</t>
        </is>
      </c>
      <c r="B479" s="1" t="n">
        <v>45299</v>
      </c>
      <c r="C479" s="1" t="n">
        <v>46189</v>
      </c>
      <c r="D479" t="inlineStr">
        <is>
          <t>DALARNAS LÄN</t>
        </is>
      </c>
      <c r="E479" t="inlineStr">
        <is>
          <t>MORA</t>
        </is>
      </c>
      <c r="G479" t="n">
        <v>3.3</v>
      </c>
      <c r="H479" t="n">
        <v>0</v>
      </c>
      <c r="I479" t="n">
        <v>0</v>
      </c>
      <c r="J479" t="n">
        <v>0</v>
      </c>
      <c r="K479" t="n">
        <v>0</v>
      </c>
      <c r="L479" t="n">
        <v>0</v>
      </c>
      <c r="M479" t="n">
        <v>0</v>
      </c>
      <c r="N479" t="n">
        <v>0</v>
      </c>
      <c r="O479" t="n">
        <v>0</v>
      </c>
      <c r="P479" t="n">
        <v>0</v>
      </c>
      <c r="Q479" t="n">
        <v>0</v>
      </c>
      <c r="R479" s="2" t="inlineStr"/>
    </row>
    <row r="480" ht="15" customHeight="1">
      <c r="A480" t="inlineStr">
        <is>
          <t>A 50056-2022</t>
        </is>
      </c>
      <c r="B480" s="1" t="n">
        <v>44865</v>
      </c>
      <c r="C480" s="1" t="n">
        <v>46189</v>
      </c>
      <c r="D480" t="inlineStr">
        <is>
          <t>DALARNAS LÄN</t>
        </is>
      </c>
      <c r="E480" t="inlineStr">
        <is>
          <t>MORA</t>
        </is>
      </c>
      <c r="G480" t="n">
        <v>1.2</v>
      </c>
      <c r="H480" t="n">
        <v>0</v>
      </c>
      <c r="I480" t="n">
        <v>0</v>
      </c>
      <c r="J480" t="n">
        <v>0</v>
      </c>
      <c r="K480" t="n">
        <v>0</v>
      </c>
      <c r="L480" t="n">
        <v>0</v>
      </c>
      <c r="M480" t="n">
        <v>0</v>
      </c>
      <c r="N480" t="n">
        <v>0</v>
      </c>
      <c r="O480" t="n">
        <v>0</v>
      </c>
      <c r="P480" t="n">
        <v>0</v>
      </c>
      <c r="Q480" t="n">
        <v>0</v>
      </c>
      <c r="R480" s="2" t="inlineStr"/>
    </row>
    <row r="481" ht="15" customHeight="1">
      <c r="A481" t="inlineStr">
        <is>
          <t>A 13543-2026</t>
        </is>
      </c>
      <c r="B481" s="1" t="n">
        <v>46094.6853125</v>
      </c>
      <c r="C481" s="1" t="n">
        <v>46189</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5936-2026</t>
        </is>
      </c>
      <c r="B482" s="1" t="n">
        <v>46052</v>
      </c>
      <c r="C482" s="1" t="n">
        <v>46189</v>
      </c>
      <c r="D482" t="inlineStr">
        <is>
          <t>DALARNAS LÄN</t>
        </is>
      </c>
      <c r="E482" t="inlineStr">
        <is>
          <t>MORA</t>
        </is>
      </c>
      <c r="G482" t="n">
        <v>11.1</v>
      </c>
      <c r="H482" t="n">
        <v>0</v>
      </c>
      <c r="I482" t="n">
        <v>0</v>
      </c>
      <c r="J482" t="n">
        <v>0</v>
      </c>
      <c r="K482" t="n">
        <v>0</v>
      </c>
      <c r="L482" t="n">
        <v>0</v>
      </c>
      <c r="M482" t="n">
        <v>0</v>
      </c>
      <c r="N482" t="n">
        <v>0</v>
      </c>
      <c r="O482" t="n">
        <v>0</v>
      </c>
      <c r="P482" t="n">
        <v>0</v>
      </c>
      <c r="Q482" t="n">
        <v>0</v>
      </c>
      <c r="R482" s="2" t="inlineStr"/>
    </row>
    <row r="483" ht="15" customHeight="1">
      <c r="A483" t="inlineStr">
        <is>
          <t>A 13853-2026</t>
        </is>
      </c>
      <c r="B483" s="1" t="n">
        <v>46098.39268518519</v>
      </c>
      <c r="C483" s="1" t="n">
        <v>46189</v>
      </c>
      <c r="D483" t="inlineStr">
        <is>
          <t>DALARNAS LÄN</t>
        </is>
      </c>
      <c r="E483" t="inlineStr">
        <is>
          <t>MORA</t>
        </is>
      </c>
      <c r="G483" t="n">
        <v>1.4</v>
      </c>
      <c r="H483" t="n">
        <v>0</v>
      </c>
      <c r="I483" t="n">
        <v>0</v>
      </c>
      <c r="J483" t="n">
        <v>0</v>
      </c>
      <c r="K483" t="n">
        <v>0</v>
      </c>
      <c r="L483" t="n">
        <v>0</v>
      </c>
      <c r="M483" t="n">
        <v>0</v>
      </c>
      <c r="N483" t="n">
        <v>0</v>
      </c>
      <c r="O483" t="n">
        <v>0</v>
      </c>
      <c r="P483" t="n">
        <v>0</v>
      </c>
      <c r="Q483" t="n">
        <v>0</v>
      </c>
      <c r="R483" s="2" t="inlineStr"/>
    </row>
    <row r="484" ht="15" customHeight="1">
      <c r="A484" t="inlineStr">
        <is>
          <t>A 43879-2022</t>
        </is>
      </c>
      <c r="B484" s="1" t="n">
        <v>44838.46721064814</v>
      </c>
      <c r="C484" s="1" t="n">
        <v>46189</v>
      </c>
      <c r="D484" t="inlineStr">
        <is>
          <t>DALARNAS LÄN</t>
        </is>
      </c>
      <c r="E484" t="inlineStr">
        <is>
          <t>MORA</t>
        </is>
      </c>
      <c r="G484" t="n">
        <v>3.4</v>
      </c>
      <c r="H484" t="n">
        <v>0</v>
      </c>
      <c r="I484" t="n">
        <v>0</v>
      </c>
      <c r="J484" t="n">
        <v>0</v>
      </c>
      <c r="K484" t="n">
        <v>0</v>
      </c>
      <c r="L484" t="n">
        <v>0</v>
      </c>
      <c r="M484" t="n">
        <v>0</v>
      </c>
      <c r="N484" t="n">
        <v>0</v>
      </c>
      <c r="O484" t="n">
        <v>0</v>
      </c>
      <c r="P484" t="n">
        <v>0</v>
      </c>
      <c r="Q484" t="n">
        <v>0</v>
      </c>
      <c r="R484" s="2" t="inlineStr"/>
    </row>
    <row r="485" ht="15" customHeight="1">
      <c r="A485" t="inlineStr">
        <is>
          <t>A 39888-2024</t>
        </is>
      </c>
      <c r="B485" s="1" t="n">
        <v>45553.47538194444</v>
      </c>
      <c r="C485" s="1" t="n">
        <v>46189</v>
      </c>
      <c r="D485" t="inlineStr">
        <is>
          <t>DALARNAS LÄN</t>
        </is>
      </c>
      <c r="E485" t="inlineStr">
        <is>
          <t>MORA</t>
        </is>
      </c>
      <c r="G485" t="n">
        <v>5.4</v>
      </c>
      <c r="H485" t="n">
        <v>0</v>
      </c>
      <c r="I485" t="n">
        <v>0</v>
      </c>
      <c r="J485" t="n">
        <v>0</v>
      </c>
      <c r="K485" t="n">
        <v>0</v>
      </c>
      <c r="L485" t="n">
        <v>0</v>
      </c>
      <c r="M485" t="n">
        <v>0</v>
      </c>
      <c r="N485" t="n">
        <v>0</v>
      </c>
      <c r="O485" t="n">
        <v>0</v>
      </c>
      <c r="P485" t="n">
        <v>0</v>
      </c>
      <c r="Q485" t="n">
        <v>0</v>
      </c>
      <c r="R485" s="2" t="inlineStr"/>
    </row>
    <row r="486" ht="15" customHeight="1">
      <c r="A486" t="inlineStr">
        <is>
          <t>A 13902-2026</t>
        </is>
      </c>
      <c r="B486" s="1" t="n">
        <v>46098.46834490741</v>
      </c>
      <c r="C486" s="1" t="n">
        <v>46189</v>
      </c>
      <c r="D486" t="inlineStr">
        <is>
          <t>DALARNAS LÄN</t>
        </is>
      </c>
      <c r="E486" t="inlineStr">
        <is>
          <t>MORA</t>
        </is>
      </c>
      <c r="G486" t="n">
        <v>5.3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46189</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60099-2024</t>
        </is>
      </c>
      <c r="B488" s="1" t="n">
        <v>45642.55645833333</v>
      </c>
      <c r="C488" s="1" t="n">
        <v>46189</v>
      </c>
      <c r="D488" t="inlineStr">
        <is>
          <t>DALARNAS LÄN</t>
        </is>
      </c>
      <c r="E488" t="inlineStr">
        <is>
          <t>MORA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53750-2024</t>
        </is>
      </c>
      <c r="B489" s="1" t="n">
        <v>45615.48465277778</v>
      </c>
      <c r="C489" s="1" t="n">
        <v>46189</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14397-2026</t>
        </is>
      </c>
      <c r="B490" s="1" t="n">
        <v>46100</v>
      </c>
      <c r="C490" s="1" t="n">
        <v>46189</v>
      </c>
      <c r="D490" t="inlineStr">
        <is>
          <t>DALARNAS LÄN</t>
        </is>
      </c>
      <c r="E490" t="inlineStr">
        <is>
          <t>MORA</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15343-2026</t>
        </is>
      </c>
      <c r="B491" s="1" t="n">
        <v>46105</v>
      </c>
      <c r="C491" s="1" t="n">
        <v>46189</v>
      </c>
      <c r="D491" t="inlineStr">
        <is>
          <t>DALARNAS LÄN</t>
        </is>
      </c>
      <c r="E491" t="inlineStr">
        <is>
          <t>MORA</t>
        </is>
      </c>
      <c r="G491" t="n">
        <v>1.7</v>
      </c>
      <c r="H491" t="n">
        <v>0</v>
      </c>
      <c r="I491" t="n">
        <v>0</v>
      </c>
      <c r="J491" t="n">
        <v>0</v>
      </c>
      <c r="K491" t="n">
        <v>0</v>
      </c>
      <c r="L491" t="n">
        <v>0</v>
      </c>
      <c r="M491" t="n">
        <v>0</v>
      </c>
      <c r="N491" t="n">
        <v>0</v>
      </c>
      <c r="O491" t="n">
        <v>0</v>
      </c>
      <c r="P491" t="n">
        <v>0</v>
      </c>
      <c r="Q491" t="n">
        <v>0</v>
      </c>
      <c r="R491" s="2" t="inlineStr"/>
    </row>
    <row r="492" ht="15" customHeight="1">
      <c r="A492" t="inlineStr">
        <is>
          <t>A 18122-2025</t>
        </is>
      </c>
      <c r="B492" s="1" t="n">
        <v>45761.59221064814</v>
      </c>
      <c r="C492" s="1" t="n">
        <v>46189</v>
      </c>
      <c r="D492" t="inlineStr">
        <is>
          <t>DALARNAS LÄN</t>
        </is>
      </c>
      <c r="E492" t="inlineStr">
        <is>
          <t>MORA</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13262-2022</t>
        </is>
      </c>
      <c r="B493" s="1" t="n">
        <v>44644.70184027778</v>
      </c>
      <c r="C493" s="1" t="n">
        <v>46189</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15860-2026</t>
        </is>
      </c>
      <c r="B494" s="1" t="n">
        <v>46107</v>
      </c>
      <c r="C494" s="1" t="n">
        <v>46189</v>
      </c>
      <c r="D494" t="inlineStr">
        <is>
          <t>DALARNAS LÄN</t>
        </is>
      </c>
      <c r="E494" t="inlineStr">
        <is>
          <t>MORA</t>
        </is>
      </c>
      <c r="G494" t="n">
        <v>2</v>
      </c>
      <c r="H494" t="n">
        <v>0</v>
      </c>
      <c r="I494" t="n">
        <v>0</v>
      </c>
      <c r="J494" t="n">
        <v>0</v>
      </c>
      <c r="K494" t="n">
        <v>0</v>
      </c>
      <c r="L494" t="n">
        <v>0</v>
      </c>
      <c r="M494" t="n">
        <v>0</v>
      </c>
      <c r="N494" t="n">
        <v>0</v>
      </c>
      <c r="O494" t="n">
        <v>0</v>
      </c>
      <c r="P494" t="n">
        <v>0</v>
      </c>
      <c r="Q494" t="n">
        <v>0</v>
      </c>
      <c r="R494" s="2" t="inlineStr"/>
    </row>
    <row r="495" ht="15" customHeight="1">
      <c r="A495" t="inlineStr">
        <is>
          <t>A 47036-2023</t>
        </is>
      </c>
      <c r="B495" s="1" t="n">
        <v>45196</v>
      </c>
      <c r="C495" s="1" t="n">
        <v>46189</v>
      </c>
      <c r="D495" t="inlineStr">
        <is>
          <t>DALARNAS LÄN</t>
        </is>
      </c>
      <c r="E495" t="inlineStr">
        <is>
          <t>MORA</t>
        </is>
      </c>
      <c r="G495" t="n">
        <v>2.7</v>
      </c>
      <c r="H495" t="n">
        <v>0</v>
      </c>
      <c r="I495" t="n">
        <v>0</v>
      </c>
      <c r="J495" t="n">
        <v>0</v>
      </c>
      <c r="K495" t="n">
        <v>0</v>
      </c>
      <c r="L495" t="n">
        <v>0</v>
      </c>
      <c r="M495" t="n">
        <v>0</v>
      </c>
      <c r="N495" t="n">
        <v>0</v>
      </c>
      <c r="O495" t="n">
        <v>0</v>
      </c>
      <c r="P495" t="n">
        <v>0</v>
      </c>
      <c r="Q495" t="n">
        <v>0</v>
      </c>
      <c r="R495" s="2" t="inlineStr"/>
    </row>
    <row r="496" ht="15" customHeight="1">
      <c r="A496" t="inlineStr">
        <is>
          <t>A 1897-2023</t>
        </is>
      </c>
      <c r="B496" s="1" t="n">
        <v>44937</v>
      </c>
      <c r="C496" s="1" t="n">
        <v>46189</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20549-2025</t>
        </is>
      </c>
      <c r="B497" s="1" t="n">
        <v>45775.63459490741</v>
      </c>
      <c r="C497" s="1" t="n">
        <v>46189</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19193-2025</t>
        </is>
      </c>
      <c r="B498" s="1" t="n">
        <v>45769.42203703704</v>
      </c>
      <c r="C498" s="1" t="n">
        <v>46189</v>
      </c>
      <c r="D498" t="inlineStr">
        <is>
          <t>DALARNAS LÄN</t>
        </is>
      </c>
      <c r="E498" t="inlineStr">
        <is>
          <t>MORA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19814-2025</t>
        </is>
      </c>
      <c r="B499" s="1" t="n">
        <v>45771.45686342593</v>
      </c>
      <c r="C499" s="1" t="n">
        <v>46189</v>
      </c>
      <c r="D499" t="inlineStr">
        <is>
          <t>DALARNAS LÄN</t>
        </is>
      </c>
      <c r="E499" t="inlineStr">
        <is>
          <t>MORA</t>
        </is>
      </c>
      <c r="G499" t="n">
        <v>2.1</v>
      </c>
      <c r="H499" t="n">
        <v>0</v>
      </c>
      <c r="I499" t="n">
        <v>0</v>
      </c>
      <c r="J499" t="n">
        <v>0</v>
      </c>
      <c r="K499" t="n">
        <v>0</v>
      </c>
      <c r="L499" t="n">
        <v>0</v>
      </c>
      <c r="M499" t="n">
        <v>0</v>
      </c>
      <c r="N499" t="n">
        <v>0</v>
      </c>
      <c r="O499" t="n">
        <v>0</v>
      </c>
      <c r="P499" t="n">
        <v>0</v>
      </c>
      <c r="Q499" t="n">
        <v>0</v>
      </c>
      <c r="R499" s="2" t="inlineStr"/>
    </row>
    <row r="500" ht="15" customHeight="1">
      <c r="A500" t="inlineStr">
        <is>
          <t>A 8100-2024</t>
        </is>
      </c>
      <c r="B500" s="1" t="n">
        <v>45351.46583333334</v>
      </c>
      <c r="C500" s="1" t="n">
        <v>46189</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22113-2026</t>
        </is>
      </c>
      <c r="B501" s="1" t="n">
        <v>46153.56414351852</v>
      </c>
      <c r="C501" s="1" t="n">
        <v>46189</v>
      </c>
      <c r="D501" t="inlineStr">
        <is>
          <t>DALARNAS LÄN</t>
        </is>
      </c>
      <c r="E501" t="inlineStr">
        <is>
          <t>MORA</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9855-2024</t>
        </is>
      </c>
      <c r="B502" s="1" t="n">
        <v>45363.40368055556</v>
      </c>
      <c r="C502" s="1" t="n">
        <v>46189</v>
      </c>
      <c r="D502" t="inlineStr">
        <is>
          <t>DALARNAS LÄN</t>
        </is>
      </c>
      <c r="E502" t="inlineStr">
        <is>
          <t>MORA</t>
        </is>
      </c>
      <c r="G502" t="n">
        <v>8.6</v>
      </c>
      <c r="H502" t="n">
        <v>0</v>
      </c>
      <c r="I502" t="n">
        <v>0</v>
      </c>
      <c r="J502" t="n">
        <v>0</v>
      </c>
      <c r="K502" t="n">
        <v>0</v>
      </c>
      <c r="L502" t="n">
        <v>0</v>
      </c>
      <c r="M502" t="n">
        <v>0</v>
      </c>
      <c r="N502" t="n">
        <v>0</v>
      </c>
      <c r="O502" t="n">
        <v>0</v>
      </c>
      <c r="P502" t="n">
        <v>0</v>
      </c>
      <c r="Q502" t="n">
        <v>0</v>
      </c>
      <c r="R502" s="2" t="inlineStr"/>
    </row>
    <row r="503" ht="15" customHeight="1">
      <c r="A503" t="inlineStr">
        <is>
          <t>A 22732-2024</t>
        </is>
      </c>
      <c r="B503" s="1" t="n">
        <v>45448.38677083333</v>
      </c>
      <c r="C503" s="1" t="n">
        <v>46189</v>
      </c>
      <c r="D503" t="inlineStr">
        <is>
          <t>DALARNAS LÄN</t>
        </is>
      </c>
      <c r="E503" t="inlineStr">
        <is>
          <t>MORA</t>
        </is>
      </c>
      <c r="G503" t="n">
        <v>3.6</v>
      </c>
      <c r="H503" t="n">
        <v>0</v>
      </c>
      <c r="I503" t="n">
        <v>0</v>
      </c>
      <c r="J503" t="n">
        <v>0</v>
      </c>
      <c r="K503" t="n">
        <v>0</v>
      </c>
      <c r="L503" t="n">
        <v>0</v>
      </c>
      <c r="M503" t="n">
        <v>0</v>
      </c>
      <c r="N503" t="n">
        <v>0</v>
      </c>
      <c r="O503" t="n">
        <v>0</v>
      </c>
      <c r="P503" t="n">
        <v>0</v>
      </c>
      <c r="Q503" t="n">
        <v>0</v>
      </c>
      <c r="R503" s="2" t="inlineStr"/>
    </row>
    <row r="504" ht="15" customHeight="1">
      <c r="A504" t="inlineStr">
        <is>
          <t>A 16547-2026</t>
        </is>
      </c>
      <c r="B504" s="1" t="n">
        <v>46112.5105787037</v>
      </c>
      <c r="C504" s="1" t="n">
        <v>46189</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64099-2023</t>
        </is>
      </c>
      <c r="B505" s="1" t="n">
        <v>45279.46009259259</v>
      </c>
      <c r="C505" s="1" t="n">
        <v>46189</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21244-2024</t>
        </is>
      </c>
      <c r="B506" s="1" t="n">
        <v>45440.59936342593</v>
      </c>
      <c r="C506" s="1" t="n">
        <v>46189</v>
      </c>
      <c r="D506" t="inlineStr">
        <is>
          <t>DALARNAS LÄN</t>
        </is>
      </c>
      <c r="E506" t="inlineStr">
        <is>
          <t>MORA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22568-2026</t>
        </is>
      </c>
      <c r="B507" s="1" t="n">
        <v>46155.55725694444</v>
      </c>
      <c r="C507" s="1" t="n">
        <v>46189</v>
      </c>
      <c r="D507" t="inlineStr">
        <is>
          <t>DALARNAS LÄN</t>
        </is>
      </c>
      <c r="E507" t="inlineStr">
        <is>
          <t>MORA</t>
        </is>
      </c>
      <c r="F507" t="inlineStr">
        <is>
          <t>Bergvik skog öst AB</t>
        </is>
      </c>
      <c r="G507" t="n">
        <v>6.7</v>
      </c>
      <c r="H507" t="n">
        <v>0</v>
      </c>
      <c r="I507" t="n">
        <v>0</v>
      </c>
      <c r="J507" t="n">
        <v>0</v>
      </c>
      <c r="K507" t="n">
        <v>0</v>
      </c>
      <c r="L507" t="n">
        <v>0</v>
      </c>
      <c r="M507" t="n">
        <v>0</v>
      </c>
      <c r="N507" t="n">
        <v>0</v>
      </c>
      <c r="O507" t="n">
        <v>0</v>
      </c>
      <c r="P507" t="n">
        <v>0</v>
      </c>
      <c r="Q507" t="n">
        <v>0</v>
      </c>
      <c r="R507" s="2" t="inlineStr"/>
    </row>
    <row r="508" ht="15" customHeight="1">
      <c r="A508" t="inlineStr">
        <is>
          <t>A 37471-2024</t>
        </is>
      </c>
      <c r="B508" s="1" t="n">
        <v>45540.85054398148</v>
      </c>
      <c r="C508" s="1" t="n">
        <v>46189</v>
      </c>
      <c r="D508" t="inlineStr">
        <is>
          <t>DALARNAS LÄN</t>
        </is>
      </c>
      <c r="E508" t="inlineStr">
        <is>
          <t>MORA</t>
        </is>
      </c>
      <c r="G508" t="n">
        <v>3.5</v>
      </c>
      <c r="H508" t="n">
        <v>0</v>
      </c>
      <c r="I508" t="n">
        <v>0</v>
      </c>
      <c r="J508" t="n">
        <v>0</v>
      </c>
      <c r="K508" t="n">
        <v>0</v>
      </c>
      <c r="L508" t="n">
        <v>0</v>
      </c>
      <c r="M508" t="n">
        <v>0</v>
      </c>
      <c r="N508" t="n">
        <v>0</v>
      </c>
      <c r="O508" t="n">
        <v>0</v>
      </c>
      <c r="P508" t="n">
        <v>0</v>
      </c>
      <c r="Q508" t="n">
        <v>0</v>
      </c>
      <c r="R508" s="2" t="inlineStr"/>
    </row>
    <row r="509" ht="15" customHeight="1">
      <c r="A509" t="inlineStr">
        <is>
          <t>A 22536-2026</t>
        </is>
      </c>
      <c r="B509" s="1" t="n">
        <v>46155.48739583333</v>
      </c>
      <c r="C509" s="1" t="n">
        <v>46189</v>
      </c>
      <c r="D509" t="inlineStr">
        <is>
          <t>DALARNAS LÄN</t>
        </is>
      </c>
      <c r="E509" t="inlineStr">
        <is>
          <t>MORA</t>
        </is>
      </c>
      <c r="F509" t="inlineStr">
        <is>
          <t>Bergvik skog öst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22785-2023</t>
        </is>
      </c>
      <c r="B510" s="1" t="n">
        <v>45072.34796296297</v>
      </c>
      <c r="C510" s="1" t="n">
        <v>46189</v>
      </c>
      <c r="D510" t="inlineStr">
        <is>
          <t>DALARNAS LÄN</t>
        </is>
      </c>
      <c r="E510" t="inlineStr">
        <is>
          <t>MORA</t>
        </is>
      </c>
      <c r="G510" t="n">
        <v>0.7</v>
      </c>
      <c r="H510" t="n">
        <v>0</v>
      </c>
      <c r="I510" t="n">
        <v>0</v>
      </c>
      <c r="J510" t="n">
        <v>0</v>
      </c>
      <c r="K510" t="n">
        <v>0</v>
      </c>
      <c r="L510" t="n">
        <v>0</v>
      </c>
      <c r="M510" t="n">
        <v>0</v>
      </c>
      <c r="N510" t="n">
        <v>0</v>
      </c>
      <c r="O510" t="n">
        <v>0</v>
      </c>
      <c r="P510" t="n">
        <v>0</v>
      </c>
      <c r="Q510" t="n">
        <v>0</v>
      </c>
      <c r="R510" s="2" t="inlineStr"/>
    </row>
    <row r="511" ht="15" customHeight="1">
      <c r="A511" t="inlineStr">
        <is>
          <t>A 23139-2026</t>
        </is>
      </c>
      <c r="B511" s="1" t="n">
        <v>46161.61763888889</v>
      </c>
      <c r="C511" s="1" t="n">
        <v>46189</v>
      </c>
      <c r="D511" t="inlineStr">
        <is>
          <t>DALARNAS LÄN</t>
        </is>
      </c>
      <c r="E511" t="inlineStr">
        <is>
          <t>MORA</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53754-2024</t>
        </is>
      </c>
      <c r="B512" s="1" t="n">
        <v>45615.49371527778</v>
      </c>
      <c r="C512" s="1" t="n">
        <v>46189</v>
      </c>
      <c r="D512" t="inlineStr">
        <is>
          <t>DALARNAS LÄN</t>
        </is>
      </c>
      <c r="E512" t="inlineStr">
        <is>
          <t>MORA</t>
        </is>
      </c>
      <c r="G512" t="n">
        <v>4.8</v>
      </c>
      <c r="H512" t="n">
        <v>0</v>
      </c>
      <c r="I512" t="n">
        <v>0</v>
      </c>
      <c r="J512" t="n">
        <v>0</v>
      </c>
      <c r="K512" t="n">
        <v>0</v>
      </c>
      <c r="L512" t="n">
        <v>0</v>
      </c>
      <c r="M512" t="n">
        <v>0</v>
      </c>
      <c r="N512" t="n">
        <v>0</v>
      </c>
      <c r="O512" t="n">
        <v>0</v>
      </c>
      <c r="P512" t="n">
        <v>0</v>
      </c>
      <c r="Q512" t="n">
        <v>0</v>
      </c>
      <c r="R512" s="2" t="inlineStr"/>
    </row>
    <row r="513" ht="15" customHeight="1">
      <c r="A513" t="inlineStr">
        <is>
          <t>A 20989-2024</t>
        </is>
      </c>
      <c r="B513" s="1" t="n">
        <v>45439</v>
      </c>
      <c r="C513" s="1" t="n">
        <v>46189</v>
      </c>
      <c r="D513" t="inlineStr">
        <is>
          <t>DALARNAS LÄN</t>
        </is>
      </c>
      <c r="E513" t="inlineStr">
        <is>
          <t>MORA</t>
        </is>
      </c>
      <c r="F513" t="inlineStr">
        <is>
          <t>Bergvik skog öst AB</t>
        </is>
      </c>
      <c r="G513" t="n">
        <v>14.7</v>
      </c>
      <c r="H513" t="n">
        <v>0</v>
      </c>
      <c r="I513" t="n">
        <v>0</v>
      </c>
      <c r="J513" t="n">
        <v>0</v>
      </c>
      <c r="K513" t="n">
        <v>0</v>
      </c>
      <c r="L513" t="n">
        <v>0</v>
      </c>
      <c r="M513" t="n">
        <v>0</v>
      </c>
      <c r="N513" t="n">
        <v>0</v>
      </c>
      <c r="O513" t="n">
        <v>0</v>
      </c>
      <c r="P513" t="n">
        <v>0</v>
      </c>
      <c r="Q513" t="n">
        <v>0</v>
      </c>
      <c r="R513" s="2" t="inlineStr"/>
    </row>
    <row r="514" ht="15" customHeight="1">
      <c r="A514" t="inlineStr">
        <is>
          <t>A 20930-2024</t>
        </is>
      </c>
      <c r="B514" s="1" t="n">
        <v>45439.51907407407</v>
      </c>
      <c r="C514" s="1" t="n">
        <v>46189</v>
      </c>
      <c r="D514" t="inlineStr">
        <is>
          <t>DALARNAS LÄN</t>
        </is>
      </c>
      <c r="E514" t="inlineStr">
        <is>
          <t>MORA</t>
        </is>
      </c>
      <c r="F514" t="inlineStr">
        <is>
          <t>Bergvik skog väst AB</t>
        </is>
      </c>
      <c r="G514" t="n">
        <v>5.3</v>
      </c>
      <c r="H514" t="n">
        <v>0</v>
      </c>
      <c r="I514" t="n">
        <v>0</v>
      </c>
      <c r="J514" t="n">
        <v>0</v>
      </c>
      <c r="K514" t="n">
        <v>0</v>
      </c>
      <c r="L514" t="n">
        <v>0</v>
      </c>
      <c r="M514" t="n">
        <v>0</v>
      </c>
      <c r="N514" t="n">
        <v>0</v>
      </c>
      <c r="O514" t="n">
        <v>0</v>
      </c>
      <c r="P514" t="n">
        <v>0</v>
      </c>
      <c r="Q514" t="n">
        <v>0</v>
      </c>
      <c r="R514" s="2" t="inlineStr"/>
    </row>
    <row r="515" ht="15" customHeight="1">
      <c r="A515" t="inlineStr">
        <is>
          <t>A 22962-2026</t>
        </is>
      </c>
      <c r="B515" s="1" t="n">
        <v>46160.60362268519</v>
      </c>
      <c r="C515" s="1" t="n">
        <v>46189</v>
      </c>
      <c r="D515" t="inlineStr">
        <is>
          <t>DALARNAS LÄN</t>
        </is>
      </c>
      <c r="E515" t="inlineStr">
        <is>
          <t>MORA</t>
        </is>
      </c>
      <c r="F515" t="inlineStr">
        <is>
          <t>Bergvik skog öst AB</t>
        </is>
      </c>
      <c r="G515" t="n">
        <v>1.9</v>
      </c>
      <c r="H515" t="n">
        <v>0</v>
      </c>
      <c r="I515" t="n">
        <v>0</v>
      </c>
      <c r="J515" t="n">
        <v>0</v>
      </c>
      <c r="K515" t="n">
        <v>0</v>
      </c>
      <c r="L515" t="n">
        <v>0</v>
      </c>
      <c r="M515" t="n">
        <v>0</v>
      </c>
      <c r="N515" t="n">
        <v>0</v>
      </c>
      <c r="O515" t="n">
        <v>0</v>
      </c>
      <c r="P515" t="n">
        <v>0</v>
      </c>
      <c r="Q515" t="n">
        <v>0</v>
      </c>
      <c r="R515" s="2" t="inlineStr"/>
    </row>
    <row r="516" ht="15" customHeight="1">
      <c r="A516" t="inlineStr">
        <is>
          <t>A 23122-2026</t>
        </is>
      </c>
      <c r="B516" s="1" t="n">
        <v>46161.59796296297</v>
      </c>
      <c r="C516" s="1" t="n">
        <v>46189</v>
      </c>
      <c r="D516" t="inlineStr">
        <is>
          <t>DALARNAS LÄN</t>
        </is>
      </c>
      <c r="E516" t="inlineStr">
        <is>
          <t>MORA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43432-2024</t>
        </is>
      </c>
      <c r="B517" s="1" t="n">
        <v>45568.64337962963</v>
      </c>
      <c r="C517" s="1" t="n">
        <v>46189</v>
      </c>
      <c r="D517" t="inlineStr">
        <is>
          <t>DALARNAS LÄN</t>
        </is>
      </c>
      <c r="E517" t="inlineStr">
        <is>
          <t>MORA</t>
        </is>
      </c>
      <c r="G517" t="n">
        <v>0.4</v>
      </c>
      <c r="H517" t="n">
        <v>0</v>
      </c>
      <c r="I517" t="n">
        <v>0</v>
      </c>
      <c r="J517" t="n">
        <v>0</v>
      </c>
      <c r="K517" t="n">
        <v>0</v>
      </c>
      <c r="L517" t="n">
        <v>0</v>
      </c>
      <c r="M517" t="n">
        <v>0</v>
      </c>
      <c r="N517" t="n">
        <v>0</v>
      </c>
      <c r="O517" t="n">
        <v>0</v>
      </c>
      <c r="P517" t="n">
        <v>0</v>
      </c>
      <c r="Q517" t="n">
        <v>0</v>
      </c>
      <c r="R517" s="2" t="inlineStr"/>
    </row>
    <row r="518" ht="15" customHeight="1">
      <c r="A518" t="inlineStr">
        <is>
          <t>A 22909-2026</t>
        </is>
      </c>
      <c r="B518" s="1" t="n">
        <v>46160.50887731482</v>
      </c>
      <c r="C518" s="1" t="n">
        <v>46189</v>
      </c>
      <c r="D518" t="inlineStr">
        <is>
          <t>DALARNAS LÄN</t>
        </is>
      </c>
      <c r="E518" t="inlineStr">
        <is>
          <t>MORA</t>
        </is>
      </c>
      <c r="G518" t="n">
        <v>3.5</v>
      </c>
      <c r="H518" t="n">
        <v>0</v>
      </c>
      <c r="I518" t="n">
        <v>0</v>
      </c>
      <c r="J518" t="n">
        <v>0</v>
      </c>
      <c r="K518" t="n">
        <v>0</v>
      </c>
      <c r="L518" t="n">
        <v>0</v>
      </c>
      <c r="M518" t="n">
        <v>0</v>
      </c>
      <c r="N518" t="n">
        <v>0</v>
      </c>
      <c r="O518" t="n">
        <v>0</v>
      </c>
      <c r="P518" t="n">
        <v>0</v>
      </c>
      <c r="Q518" t="n">
        <v>0</v>
      </c>
      <c r="R518" s="2" t="inlineStr"/>
    </row>
    <row r="519" ht="15" customHeight="1">
      <c r="A519" t="inlineStr">
        <is>
          <t>A 17805-2026</t>
        </is>
      </c>
      <c r="B519" s="1" t="n">
        <v>46121</v>
      </c>
      <c r="C519" s="1" t="n">
        <v>46189</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17394-2026</t>
        </is>
      </c>
      <c r="B520" s="1" t="n">
        <v>46119.84560185186</v>
      </c>
      <c r="C520" s="1" t="n">
        <v>46189</v>
      </c>
      <c r="D520" t="inlineStr">
        <is>
          <t>DALARNAS LÄN</t>
        </is>
      </c>
      <c r="E520" t="inlineStr">
        <is>
          <t>MORA</t>
        </is>
      </c>
      <c r="F520" t="inlineStr">
        <is>
          <t>Bergvik skog öst AB</t>
        </is>
      </c>
      <c r="G520" t="n">
        <v>2.3</v>
      </c>
      <c r="H520" t="n">
        <v>0</v>
      </c>
      <c r="I520" t="n">
        <v>0</v>
      </c>
      <c r="J520" t="n">
        <v>0</v>
      </c>
      <c r="K520" t="n">
        <v>0</v>
      </c>
      <c r="L520" t="n">
        <v>0</v>
      </c>
      <c r="M520" t="n">
        <v>0</v>
      </c>
      <c r="N520" t="n">
        <v>0</v>
      </c>
      <c r="O520" t="n">
        <v>0</v>
      </c>
      <c r="P520" t="n">
        <v>0</v>
      </c>
      <c r="Q520" t="n">
        <v>0</v>
      </c>
      <c r="R520" s="2" t="inlineStr"/>
    </row>
    <row r="521" ht="15" customHeight="1">
      <c r="A521" t="inlineStr">
        <is>
          <t>A 60428-2023</t>
        </is>
      </c>
      <c r="B521" s="1" t="n">
        <v>45259.50996527778</v>
      </c>
      <c r="C521" s="1" t="n">
        <v>46189</v>
      </c>
      <c r="D521" t="inlineStr">
        <is>
          <t>DALARNAS LÄN</t>
        </is>
      </c>
      <c r="E521" t="inlineStr">
        <is>
          <t>MORA</t>
        </is>
      </c>
      <c r="G521" t="n">
        <v>4.9</v>
      </c>
      <c r="H521" t="n">
        <v>0</v>
      </c>
      <c r="I521" t="n">
        <v>0</v>
      </c>
      <c r="J521" t="n">
        <v>0</v>
      </c>
      <c r="K521" t="n">
        <v>0</v>
      </c>
      <c r="L521" t="n">
        <v>0</v>
      </c>
      <c r="M521" t="n">
        <v>0</v>
      </c>
      <c r="N521" t="n">
        <v>0</v>
      </c>
      <c r="O521" t="n">
        <v>0</v>
      </c>
      <c r="P521" t="n">
        <v>0</v>
      </c>
      <c r="Q521" t="n">
        <v>0</v>
      </c>
      <c r="R521" s="2" t="inlineStr"/>
    </row>
    <row r="522" ht="15" customHeight="1">
      <c r="A522" t="inlineStr">
        <is>
          <t>A 437-2024</t>
        </is>
      </c>
      <c r="B522" s="1" t="n">
        <v>45296</v>
      </c>
      <c r="C522" s="1" t="n">
        <v>46189</v>
      </c>
      <c r="D522" t="inlineStr">
        <is>
          <t>DALARNAS LÄN</t>
        </is>
      </c>
      <c r="E522" t="inlineStr">
        <is>
          <t>MORA</t>
        </is>
      </c>
      <c r="G522" t="n">
        <v>1.6</v>
      </c>
      <c r="H522" t="n">
        <v>0</v>
      </c>
      <c r="I522" t="n">
        <v>0</v>
      </c>
      <c r="J522" t="n">
        <v>0</v>
      </c>
      <c r="K522" t="n">
        <v>0</v>
      </c>
      <c r="L522" t="n">
        <v>0</v>
      </c>
      <c r="M522" t="n">
        <v>0</v>
      </c>
      <c r="N522" t="n">
        <v>0</v>
      </c>
      <c r="O522" t="n">
        <v>0</v>
      </c>
      <c r="P522" t="n">
        <v>0</v>
      </c>
      <c r="Q522" t="n">
        <v>0</v>
      </c>
      <c r="R522" s="2" t="inlineStr"/>
    </row>
    <row r="523" ht="15" customHeight="1">
      <c r="A523" t="inlineStr">
        <is>
          <t>A 17393-2026</t>
        </is>
      </c>
      <c r="B523" s="1" t="n">
        <v>46119.84144675926</v>
      </c>
      <c r="C523" s="1" t="n">
        <v>46189</v>
      </c>
      <c r="D523" t="inlineStr">
        <is>
          <t>DALARNAS LÄN</t>
        </is>
      </c>
      <c r="E523" t="inlineStr">
        <is>
          <t>MORA</t>
        </is>
      </c>
      <c r="F523" t="inlineStr">
        <is>
          <t>Bergvik skog öst AB</t>
        </is>
      </c>
      <c r="G523" t="n">
        <v>2.8</v>
      </c>
      <c r="H523" t="n">
        <v>0</v>
      </c>
      <c r="I523" t="n">
        <v>0</v>
      </c>
      <c r="J523" t="n">
        <v>0</v>
      </c>
      <c r="K523" t="n">
        <v>0</v>
      </c>
      <c r="L523" t="n">
        <v>0</v>
      </c>
      <c r="M523" t="n">
        <v>0</v>
      </c>
      <c r="N523" t="n">
        <v>0</v>
      </c>
      <c r="O523" t="n">
        <v>0</v>
      </c>
      <c r="P523" t="n">
        <v>0</v>
      </c>
      <c r="Q523" t="n">
        <v>0</v>
      </c>
      <c r="R523" s="2" t="inlineStr"/>
    </row>
    <row r="524" ht="15" customHeight="1">
      <c r="A524" t="inlineStr">
        <is>
          <t>A 17392-2026</t>
        </is>
      </c>
      <c r="B524" s="1" t="n">
        <v>46119.83803240741</v>
      </c>
      <c r="C524" s="1" t="n">
        <v>46189</v>
      </c>
      <c r="D524" t="inlineStr">
        <is>
          <t>DALARNAS LÄN</t>
        </is>
      </c>
      <c r="E524" t="inlineStr">
        <is>
          <t>MORA</t>
        </is>
      </c>
      <c r="F524" t="inlineStr">
        <is>
          <t>Bergvik skog öst AB</t>
        </is>
      </c>
      <c r="G524" t="n">
        <v>4</v>
      </c>
      <c r="H524" t="n">
        <v>0</v>
      </c>
      <c r="I524" t="n">
        <v>0</v>
      </c>
      <c r="J524" t="n">
        <v>0</v>
      </c>
      <c r="K524" t="n">
        <v>0</v>
      </c>
      <c r="L524" t="n">
        <v>0</v>
      </c>
      <c r="M524" t="n">
        <v>0</v>
      </c>
      <c r="N524" t="n">
        <v>0</v>
      </c>
      <c r="O524" t="n">
        <v>0</v>
      </c>
      <c r="P524" t="n">
        <v>0</v>
      </c>
      <c r="Q524" t="n">
        <v>0</v>
      </c>
      <c r="R524" s="2" t="inlineStr"/>
    </row>
    <row r="525" ht="15" customHeight="1">
      <c r="A525" t="inlineStr">
        <is>
          <t>A 23267-2026</t>
        </is>
      </c>
      <c r="B525" s="1" t="n">
        <v>46162.45516203704</v>
      </c>
      <c r="C525" s="1" t="n">
        <v>46189</v>
      </c>
      <c r="D525" t="inlineStr">
        <is>
          <t>DALARNAS LÄN</t>
        </is>
      </c>
      <c r="E525" t="inlineStr">
        <is>
          <t>MORA</t>
        </is>
      </c>
      <c r="G525" t="n">
        <v>0.5</v>
      </c>
      <c r="H525" t="n">
        <v>0</v>
      </c>
      <c r="I525" t="n">
        <v>0</v>
      </c>
      <c r="J525" t="n">
        <v>0</v>
      </c>
      <c r="K525" t="n">
        <v>0</v>
      </c>
      <c r="L525" t="n">
        <v>0</v>
      </c>
      <c r="M525" t="n">
        <v>0</v>
      </c>
      <c r="N525" t="n">
        <v>0</v>
      </c>
      <c r="O525" t="n">
        <v>0</v>
      </c>
      <c r="P525" t="n">
        <v>0</v>
      </c>
      <c r="Q525" t="n">
        <v>0</v>
      </c>
      <c r="R525" s="2" t="inlineStr"/>
    </row>
    <row r="526" ht="15" customHeight="1">
      <c r="A526" t="inlineStr">
        <is>
          <t>A 27125-2024</t>
        </is>
      </c>
      <c r="B526" s="1" t="n">
        <v>45471</v>
      </c>
      <c r="C526" s="1" t="n">
        <v>46189</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17756-2026</t>
        </is>
      </c>
      <c r="B527" s="1" t="n">
        <v>46122.34643518519</v>
      </c>
      <c r="C527" s="1" t="n">
        <v>46189</v>
      </c>
      <c r="D527" t="inlineStr">
        <is>
          <t>DALARNAS LÄN</t>
        </is>
      </c>
      <c r="E527" t="inlineStr">
        <is>
          <t>MORA</t>
        </is>
      </c>
      <c r="G527" t="n">
        <v>0.6</v>
      </c>
      <c r="H527" t="n">
        <v>0</v>
      </c>
      <c r="I527" t="n">
        <v>0</v>
      </c>
      <c r="J527" t="n">
        <v>0</v>
      </c>
      <c r="K527" t="n">
        <v>0</v>
      </c>
      <c r="L527" t="n">
        <v>0</v>
      </c>
      <c r="M527" t="n">
        <v>0</v>
      </c>
      <c r="N527" t="n">
        <v>0</v>
      </c>
      <c r="O527" t="n">
        <v>0</v>
      </c>
      <c r="P527" t="n">
        <v>0</v>
      </c>
      <c r="Q527" t="n">
        <v>0</v>
      </c>
      <c r="R527" s="2" t="inlineStr"/>
    </row>
    <row r="528" ht="15" customHeight="1">
      <c r="A528" t="inlineStr">
        <is>
          <t>A 23972-2026</t>
        </is>
      </c>
      <c r="B528" s="1" t="n">
        <v>46167.59043981481</v>
      </c>
      <c r="C528" s="1" t="n">
        <v>46189</v>
      </c>
      <c r="D528" t="inlineStr">
        <is>
          <t>DALARNAS LÄN</t>
        </is>
      </c>
      <c r="E528" t="inlineStr">
        <is>
          <t>MORA</t>
        </is>
      </c>
      <c r="G528" t="n">
        <v>4.1</v>
      </c>
      <c r="H528" t="n">
        <v>0</v>
      </c>
      <c r="I528" t="n">
        <v>0</v>
      </c>
      <c r="J528" t="n">
        <v>0</v>
      </c>
      <c r="K528" t="n">
        <v>0</v>
      </c>
      <c r="L528" t="n">
        <v>0</v>
      </c>
      <c r="M528" t="n">
        <v>0</v>
      </c>
      <c r="N528" t="n">
        <v>0</v>
      </c>
      <c r="O528" t="n">
        <v>0</v>
      </c>
      <c r="P528" t="n">
        <v>0</v>
      </c>
      <c r="Q528" t="n">
        <v>0</v>
      </c>
      <c r="R528" s="2" t="inlineStr"/>
    </row>
    <row r="529" ht="15" customHeight="1">
      <c r="A529" t="inlineStr">
        <is>
          <t>A 30822-2024</t>
        </is>
      </c>
      <c r="B529" s="1" t="n">
        <v>45497</v>
      </c>
      <c r="C529" s="1" t="n">
        <v>46189</v>
      </c>
      <c r="D529" t="inlineStr">
        <is>
          <t>DALARNAS LÄN</t>
        </is>
      </c>
      <c r="E529" t="inlineStr">
        <is>
          <t>MORA</t>
        </is>
      </c>
      <c r="G529" t="n">
        <v>1.8</v>
      </c>
      <c r="H529" t="n">
        <v>0</v>
      </c>
      <c r="I529" t="n">
        <v>0</v>
      </c>
      <c r="J529" t="n">
        <v>0</v>
      </c>
      <c r="K529" t="n">
        <v>0</v>
      </c>
      <c r="L529" t="n">
        <v>0</v>
      </c>
      <c r="M529" t="n">
        <v>0</v>
      </c>
      <c r="N529" t="n">
        <v>0</v>
      </c>
      <c r="O529" t="n">
        <v>0</v>
      </c>
      <c r="P529" t="n">
        <v>0</v>
      </c>
      <c r="Q529" t="n">
        <v>0</v>
      </c>
      <c r="R529" s="2" t="inlineStr"/>
    </row>
    <row r="530" ht="15" customHeight="1">
      <c r="A530" t="inlineStr">
        <is>
          <t>A 23690-2026</t>
        </is>
      </c>
      <c r="B530" s="1" t="n">
        <v>46164.41871527778</v>
      </c>
      <c r="C530" s="1" t="n">
        <v>46189</v>
      </c>
      <c r="D530" t="inlineStr">
        <is>
          <t>DALARNAS LÄN</t>
        </is>
      </c>
      <c r="E530" t="inlineStr">
        <is>
          <t>MORA</t>
        </is>
      </c>
      <c r="F530" t="inlineStr">
        <is>
          <t>Bergvik skog öst AB</t>
        </is>
      </c>
      <c r="G530" t="n">
        <v>2</v>
      </c>
      <c r="H530" t="n">
        <v>0</v>
      </c>
      <c r="I530" t="n">
        <v>0</v>
      </c>
      <c r="J530" t="n">
        <v>0</v>
      </c>
      <c r="K530" t="n">
        <v>0</v>
      </c>
      <c r="L530" t="n">
        <v>0</v>
      </c>
      <c r="M530" t="n">
        <v>0</v>
      </c>
      <c r="N530" t="n">
        <v>0</v>
      </c>
      <c r="O530" t="n">
        <v>0</v>
      </c>
      <c r="P530" t="n">
        <v>0</v>
      </c>
      <c r="Q530" t="n">
        <v>0</v>
      </c>
      <c r="R530" s="2" t="inlineStr"/>
    </row>
    <row r="531" ht="15" customHeight="1">
      <c r="A531" t="inlineStr">
        <is>
          <t>A 58177-2024</t>
        </is>
      </c>
      <c r="B531" s="1" t="n">
        <v>45632.46821759259</v>
      </c>
      <c r="C531" s="1" t="n">
        <v>46189</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17172-2025</t>
        </is>
      </c>
      <c r="B532" s="1" t="n">
        <v>45756.37201388889</v>
      </c>
      <c r="C532" s="1" t="n">
        <v>46189</v>
      </c>
      <c r="D532" t="inlineStr">
        <is>
          <t>DALARNAS LÄN</t>
        </is>
      </c>
      <c r="E532" t="inlineStr">
        <is>
          <t>MORA</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15993-2025</t>
        </is>
      </c>
      <c r="B533" s="1" t="n">
        <v>45749.58428240741</v>
      </c>
      <c r="C533" s="1" t="n">
        <v>46189</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22953-2026</t>
        </is>
      </c>
      <c r="B534" s="1" t="n">
        <v>46160</v>
      </c>
      <c r="C534" s="1" t="n">
        <v>46189</v>
      </c>
      <c r="D534" t="inlineStr">
        <is>
          <t>DALARNAS LÄN</t>
        </is>
      </c>
      <c r="E534" t="inlineStr">
        <is>
          <t>MORA</t>
        </is>
      </c>
      <c r="G534" t="n">
        <v>2.4</v>
      </c>
      <c r="H534" t="n">
        <v>0</v>
      </c>
      <c r="I534" t="n">
        <v>0</v>
      </c>
      <c r="J534" t="n">
        <v>0</v>
      </c>
      <c r="K534" t="n">
        <v>0</v>
      </c>
      <c r="L534" t="n">
        <v>0</v>
      </c>
      <c r="M534" t="n">
        <v>0</v>
      </c>
      <c r="N534" t="n">
        <v>0</v>
      </c>
      <c r="O534" t="n">
        <v>0</v>
      </c>
      <c r="P534" t="n">
        <v>0</v>
      </c>
      <c r="Q534" t="n">
        <v>0</v>
      </c>
      <c r="R534" s="2" t="inlineStr"/>
    </row>
    <row r="535" ht="15" customHeight="1">
      <c r="A535" t="inlineStr">
        <is>
          <t>A 14832-2025</t>
        </is>
      </c>
      <c r="B535" s="1" t="n">
        <v>45743</v>
      </c>
      <c r="C535" s="1" t="n">
        <v>46189</v>
      </c>
      <c r="D535" t="inlineStr">
        <is>
          <t>DALARNAS LÄN</t>
        </is>
      </c>
      <c r="E535" t="inlineStr">
        <is>
          <t>MORA</t>
        </is>
      </c>
      <c r="G535" t="n">
        <v>9.1</v>
      </c>
      <c r="H535" t="n">
        <v>0</v>
      </c>
      <c r="I535" t="n">
        <v>0</v>
      </c>
      <c r="J535" t="n">
        <v>0</v>
      </c>
      <c r="K535" t="n">
        <v>0</v>
      </c>
      <c r="L535" t="n">
        <v>0</v>
      </c>
      <c r="M535" t="n">
        <v>0</v>
      </c>
      <c r="N535" t="n">
        <v>0</v>
      </c>
      <c r="O535" t="n">
        <v>0</v>
      </c>
      <c r="P535" t="n">
        <v>0</v>
      </c>
      <c r="Q535" t="n">
        <v>0</v>
      </c>
      <c r="R535" s="2" t="inlineStr"/>
    </row>
    <row r="536" ht="15" customHeight="1">
      <c r="A536" t="inlineStr">
        <is>
          <t>A 45574-2023</t>
        </is>
      </c>
      <c r="B536" s="1" t="n">
        <v>45194</v>
      </c>
      <c r="C536" s="1" t="n">
        <v>46189</v>
      </c>
      <c r="D536" t="inlineStr">
        <is>
          <t>DALARNAS LÄN</t>
        </is>
      </c>
      <c r="E536" t="inlineStr">
        <is>
          <t>MORA</t>
        </is>
      </c>
      <c r="G536" t="n">
        <v>6.3</v>
      </c>
      <c r="H536" t="n">
        <v>0</v>
      </c>
      <c r="I536" t="n">
        <v>0</v>
      </c>
      <c r="J536" t="n">
        <v>0</v>
      </c>
      <c r="K536" t="n">
        <v>0</v>
      </c>
      <c r="L536" t="n">
        <v>0</v>
      </c>
      <c r="M536" t="n">
        <v>0</v>
      </c>
      <c r="N536" t="n">
        <v>0</v>
      </c>
      <c r="O536" t="n">
        <v>0</v>
      </c>
      <c r="P536" t="n">
        <v>0</v>
      </c>
      <c r="Q536" t="n">
        <v>0</v>
      </c>
      <c r="R536" s="2" t="inlineStr"/>
    </row>
    <row r="537" ht="15" customHeight="1">
      <c r="A537" t="inlineStr">
        <is>
          <t>A 18514-2026</t>
        </is>
      </c>
      <c r="B537" s="1" t="n">
        <v>46127.50141203704</v>
      </c>
      <c r="C537" s="1" t="n">
        <v>46189</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5922-2025</t>
        </is>
      </c>
      <c r="B538" s="1" t="n">
        <v>45695.42762731481</v>
      </c>
      <c r="C538" s="1" t="n">
        <v>46189</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19910-2024</t>
        </is>
      </c>
      <c r="B539" s="1" t="n">
        <v>45433.5741087963</v>
      </c>
      <c r="C539" s="1" t="n">
        <v>46189</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18626-2026</t>
        </is>
      </c>
      <c r="B540" s="1" t="n">
        <v>46127</v>
      </c>
      <c r="C540" s="1" t="n">
        <v>46189</v>
      </c>
      <c r="D540" t="inlineStr">
        <is>
          <t>DALARNAS LÄN</t>
        </is>
      </c>
      <c r="E540" t="inlineStr">
        <is>
          <t>MORA</t>
        </is>
      </c>
      <c r="G540" t="n">
        <v>3.1</v>
      </c>
      <c r="H540" t="n">
        <v>0</v>
      </c>
      <c r="I540" t="n">
        <v>0</v>
      </c>
      <c r="J540" t="n">
        <v>0</v>
      </c>
      <c r="K540" t="n">
        <v>0</v>
      </c>
      <c r="L540" t="n">
        <v>0</v>
      </c>
      <c r="M540" t="n">
        <v>0</v>
      </c>
      <c r="N540" t="n">
        <v>0</v>
      </c>
      <c r="O540" t="n">
        <v>0</v>
      </c>
      <c r="P540" t="n">
        <v>0</v>
      </c>
      <c r="Q540" t="n">
        <v>0</v>
      </c>
      <c r="R540" s="2" t="inlineStr"/>
    </row>
    <row r="541" ht="15" customHeight="1">
      <c r="A541" t="inlineStr">
        <is>
          <t>A 15643-2025</t>
        </is>
      </c>
      <c r="B541" s="1" t="n">
        <v>45748.39222222222</v>
      </c>
      <c r="C541" s="1" t="n">
        <v>46189</v>
      </c>
      <c r="D541" t="inlineStr">
        <is>
          <t>DALARNAS LÄN</t>
        </is>
      </c>
      <c r="E541" t="inlineStr">
        <is>
          <t>MORA</t>
        </is>
      </c>
      <c r="G541" t="n">
        <v>7.6</v>
      </c>
      <c r="H541" t="n">
        <v>0</v>
      </c>
      <c r="I541" t="n">
        <v>0</v>
      </c>
      <c r="J541" t="n">
        <v>0</v>
      </c>
      <c r="K541" t="n">
        <v>0</v>
      </c>
      <c r="L541" t="n">
        <v>0</v>
      </c>
      <c r="M541" t="n">
        <v>0</v>
      </c>
      <c r="N541" t="n">
        <v>0</v>
      </c>
      <c r="O541" t="n">
        <v>0</v>
      </c>
      <c r="P541" t="n">
        <v>0</v>
      </c>
      <c r="Q541" t="n">
        <v>0</v>
      </c>
      <c r="R541" s="2" t="inlineStr"/>
    </row>
    <row r="542" ht="15" customHeight="1">
      <c r="A542" t="inlineStr">
        <is>
          <t>A 24048-2026</t>
        </is>
      </c>
      <c r="B542" s="1" t="n">
        <v>46168.31423611111</v>
      </c>
      <c r="C542" s="1" t="n">
        <v>46189</v>
      </c>
      <c r="D542" t="inlineStr">
        <is>
          <t>DALARNAS LÄN</t>
        </is>
      </c>
      <c r="E542" t="inlineStr">
        <is>
          <t>MORA</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18412-2026</t>
        </is>
      </c>
      <c r="B543" s="1" t="n">
        <v>46126</v>
      </c>
      <c r="C543" s="1" t="n">
        <v>46189</v>
      </c>
      <c r="D543" t="inlineStr">
        <is>
          <t>DALARNAS LÄN</t>
        </is>
      </c>
      <c r="E543" t="inlineStr">
        <is>
          <t>MORA</t>
        </is>
      </c>
      <c r="G543" t="n">
        <v>0.8</v>
      </c>
      <c r="H543" t="n">
        <v>0</v>
      </c>
      <c r="I543" t="n">
        <v>0</v>
      </c>
      <c r="J543" t="n">
        <v>0</v>
      </c>
      <c r="K543" t="n">
        <v>0</v>
      </c>
      <c r="L543" t="n">
        <v>0</v>
      </c>
      <c r="M543" t="n">
        <v>0</v>
      </c>
      <c r="N543" t="n">
        <v>0</v>
      </c>
      <c r="O543" t="n">
        <v>0</v>
      </c>
      <c r="P543" t="n">
        <v>0</v>
      </c>
      <c r="Q543" t="n">
        <v>0</v>
      </c>
      <c r="R543" s="2" t="inlineStr"/>
    </row>
    <row r="544" ht="15" customHeight="1">
      <c r="A544" t="inlineStr">
        <is>
          <t>A 24043-2026</t>
        </is>
      </c>
      <c r="B544" s="1" t="n">
        <v>46168.30184027777</v>
      </c>
      <c r="C544" s="1" t="n">
        <v>46189</v>
      </c>
      <c r="D544" t="inlineStr">
        <is>
          <t>DALARNAS LÄN</t>
        </is>
      </c>
      <c r="E544" t="inlineStr">
        <is>
          <t>MORA</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24571-2026</t>
        </is>
      </c>
      <c r="B545" s="1" t="n">
        <v>46170.63856481481</v>
      </c>
      <c r="C545" s="1" t="n">
        <v>46189</v>
      </c>
      <c r="D545" t="inlineStr">
        <is>
          <t>DALARNAS LÄN</t>
        </is>
      </c>
      <c r="E545" t="inlineStr">
        <is>
          <t>MORA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24526-2026</t>
        </is>
      </c>
      <c r="B546" s="1" t="n">
        <v>46170.53118055555</v>
      </c>
      <c r="C546" s="1" t="n">
        <v>46189</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24525-2026</t>
        </is>
      </c>
      <c r="B547" s="1" t="n">
        <v>46170.52899305556</v>
      </c>
      <c r="C547" s="1" t="n">
        <v>46189</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21895-2025</t>
        </is>
      </c>
      <c r="B548" s="1" t="n">
        <v>45784.45273148148</v>
      </c>
      <c r="C548" s="1" t="n">
        <v>46189</v>
      </c>
      <c r="D548" t="inlineStr">
        <is>
          <t>DALARNAS LÄN</t>
        </is>
      </c>
      <c r="E548" t="inlineStr">
        <is>
          <t>MORA</t>
        </is>
      </c>
      <c r="G548" t="n">
        <v>0.4</v>
      </c>
      <c r="H548" t="n">
        <v>0</v>
      </c>
      <c r="I548" t="n">
        <v>0</v>
      </c>
      <c r="J548" t="n">
        <v>0</v>
      </c>
      <c r="K548" t="n">
        <v>0</v>
      </c>
      <c r="L548" t="n">
        <v>0</v>
      </c>
      <c r="M548" t="n">
        <v>0</v>
      </c>
      <c r="N548" t="n">
        <v>0</v>
      </c>
      <c r="O548" t="n">
        <v>0</v>
      </c>
      <c r="P548" t="n">
        <v>0</v>
      </c>
      <c r="Q548" t="n">
        <v>0</v>
      </c>
      <c r="R548" s="2" t="inlineStr"/>
    </row>
    <row r="549" ht="15" customHeight="1">
      <c r="A549" t="inlineStr">
        <is>
          <t>A 18674-2026</t>
        </is>
      </c>
      <c r="B549" s="1" t="n">
        <v>46128.36966435185</v>
      </c>
      <c r="C549" s="1" t="n">
        <v>46189</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16573-2024</t>
        </is>
      </c>
      <c r="B550" s="1" t="n">
        <v>45408.46980324074</v>
      </c>
      <c r="C550" s="1" t="n">
        <v>46189</v>
      </c>
      <c r="D550" t="inlineStr">
        <is>
          <t>DALARNAS LÄN</t>
        </is>
      </c>
      <c r="E550" t="inlineStr">
        <is>
          <t>MORA</t>
        </is>
      </c>
      <c r="G550" t="n">
        <v>4.5</v>
      </c>
      <c r="H550" t="n">
        <v>0</v>
      </c>
      <c r="I550" t="n">
        <v>0</v>
      </c>
      <c r="J550" t="n">
        <v>0</v>
      </c>
      <c r="K550" t="n">
        <v>0</v>
      </c>
      <c r="L550" t="n">
        <v>0</v>
      </c>
      <c r="M550" t="n">
        <v>0</v>
      </c>
      <c r="N550" t="n">
        <v>0</v>
      </c>
      <c r="O550" t="n">
        <v>0</v>
      </c>
      <c r="P550" t="n">
        <v>0</v>
      </c>
      <c r="Q550" t="n">
        <v>0</v>
      </c>
      <c r="R550" s="2" t="inlineStr"/>
    </row>
    <row r="551" ht="15" customHeight="1">
      <c r="A551" t="inlineStr">
        <is>
          <t>A 23392-2026</t>
        </is>
      </c>
      <c r="B551" s="1" t="n">
        <v>46162</v>
      </c>
      <c r="C551" s="1" t="n">
        <v>46189</v>
      </c>
      <c r="D551" t="inlineStr">
        <is>
          <t>DALARNAS LÄN</t>
        </is>
      </c>
      <c r="E551" t="inlineStr">
        <is>
          <t>MORA</t>
        </is>
      </c>
      <c r="G551" t="n">
        <v>13</v>
      </c>
      <c r="H551" t="n">
        <v>0</v>
      </c>
      <c r="I551" t="n">
        <v>0</v>
      </c>
      <c r="J551" t="n">
        <v>0</v>
      </c>
      <c r="K551" t="n">
        <v>0</v>
      </c>
      <c r="L551" t="n">
        <v>0</v>
      </c>
      <c r="M551" t="n">
        <v>0</v>
      </c>
      <c r="N551" t="n">
        <v>0</v>
      </c>
      <c r="O551" t="n">
        <v>0</v>
      </c>
      <c r="P551" t="n">
        <v>0</v>
      </c>
      <c r="Q551" t="n">
        <v>0</v>
      </c>
      <c r="R551" s="2" t="inlineStr"/>
    </row>
    <row r="552" ht="15" customHeight="1">
      <c r="A552" t="inlineStr">
        <is>
          <t>A 19462-2026</t>
        </is>
      </c>
      <c r="B552" s="1" t="n">
        <v>46133.68479166667</v>
      </c>
      <c r="C552" s="1" t="n">
        <v>46189</v>
      </c>
      <c r="D552" t="inlineStr">
        <is>
          <t>DALARNAS LÄN</t>
        </is>
      </c>
      <c r="E552" t="inlineStr">
        <is>
          <t>MORA</t>
        </is>
      </c>
      <c r="G552" t="n">
        <v>1.7</v>
      </c>
      <c r="H552" t="n">
        <v>0</v>
      </c>
      <c r="I552" t="n">
        <v>0</v>
      </c>
      <c r="J552" t="n">
        <v>0</v>
      </c>
      <c r="K552" t="n">
        <v>0</v>
      </c>
      <c r="L552" t="n">
        <v>0</v>
      </c>
      <c r="M552" t="n">
        <v>0</v>
      </c>
      <c r="N552" t="n">
        <v>0</v>
      </c>
      <c r="O552" t="n">
        <v>0</v>
      </c>
      <c r="P552" t="n">
        <v>0</v>
      </c>
      <c r="Q552" t="n">
        <v>0</v>
      </c>
      <c r="R552" s="2" t="inlineStr"/>
    </row>
    <row r="553" ht="15" customHeight="1">
      <c r="A553" t="inlineStr">
        <is>
          <t>A 15294-2026</t>
        </is>
      </c>
      <c r="B553" s="1" t="n">
        <v>46105</v>
      </c>
      <c r="C553" s="1" t="n">
        <v>46189</v>
      </c>
      <c r="D553" t="inlineStr">
        <is>
          <t>DALARNAS LÄN</t>
        </is>
      </c>
      <c r="E553" t="inlineStr">
        <is>
          <t>MORA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19549-2026</t>
        </is>
      </c>
      <c r="B554" s="1" t="n">
        <v>46134.39090277778</v>
      </c>
      <c r="C554" s="1" t="n">
        <v>46189</v>
      </c>
      <c r="D554" t="inlineStr">
        <is>
          <t>DALARNAS LÄN</t>
        </is>
      </c>
      <c r="E554" t="inlineStr">
        <is>
          <t>MORA</t>
        </is>
      </c>
      <c r="G554" t="n">
        <v>14.9</v>
      </c>
      <c r="H554" t="n">
        <v>0</v>
      </c>
      <c r="I554" t="n">
        <v>0</v>
      </c>
      <c r="J554" t="n">
        <v>0</v>
      </c>
      <c r="K554" t="n">
        <v>0</v>
      </c>
      <c r="L554" t="n">
        <v>0</v>
      </c>
      <c r="M554" t="n">
        <v>0</v>
      </c>
      <c r="N554" t="n">
        <v>0</v>
      </c>
      <c r="O554" t="n">
        <v>0</v>
      </c>
      <c r="P554" t="n">
        <v>0</v>
      </c>
      <c r="Q554" t="n">
        <v>0</v>
      </c>
      <c r="R554" s="2" t="inlineStr"/>
    </row>
    <row r="555" ht="15" customHeight="1">
      <c r="A555" t="inlineStr">
        <is>
          <t>A 11193-2025</t>
        </is>
      </c>
      <c r="B555" s="1" t="n">
        <v>45725</v>
      </c>
      <c r="C555" s="1" t="n">
        <v>46189</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56900-2024</t>
        </is>
      </c>
      <c r="B556" s="1" t="n">
        <v>45625</v>
      </c>
      <c r="C556" s="1" t="n">
        <v>46189</v>
      </c>
      <c r="D556" t="inlineStr">
        <is>
          <t>DALARNAS LÄN</t>
        </is>
      </c>
      <c r="E556" t="inlineStr">
        <is>
          <t>MORA</t>
        </is>
      </c>
      <c r="G556" t="n">
        <v>2.7</v>
      </c>
      <c r="H556" t="n">
        <v>0</v>
      </c>
      <c r="I556" t="n">
        <v>0</v>
      </c>
      <c r="J556" t="n">
        <v>0</v>
      </c>
      <c r="K556" t="n">
        <v>0</v>
      </c>
      <c r="L556" t="n">
        <v>0</v>
      </c>
      <c r="M556" t="n">
        <v>0</v>
      </c>
      <c r="N556" t="n">
        <v>0</v>
      </c>
      <c r="O556" t="n">
        <v>0</v>
      </c>
      <c r="P556" t="n">
        <v>0</v>
      </c>
      <c r="Q556" t="n">
        <v>0</v>
      </c>
      <c r="R556" s="2" t="inlineStr"/>
    </row>
    <row r="557" ht="15" customHeight="1">
      <c r="A557" t="inlineStr">
        <is>
          <t>A 56927-2024</t>
        </is>
      </c>
      <c r="B557" s="1" t="n">
        <v>45625</v>
      </c>
      <c r="C557" s="1" t="n">
        <v>46189</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54192-2023</t>
        </is>
      </c>
      <c r="B558" s="1" t="n">
        <v>45232.53052083333</v>
      </c>
      <c r="C558" s="1" t="n">
        <v>46189</v>
      </c>
      <c r="D558" t="inlineStr">
        <is>
          <t>DALARNAS LÄN</t>
        </is>
      </c>
      <c r="E558" t="inlineStr">
        <is>
          <t>MORA</t>
        </is>
      </c>
      <c r="G558" t="n">
        <v>3.4</v>
      </c>
      <c r="H558" t="n">
        <v>0</v>
      </c>
      <c r="I558" t="n">
        <v>0</v>
      </c>
      <c r="J558" t="n">
        <v>0</v>
      </c>
      <c r="K558" t="n">
        <v>0</v>
      </c>
      <c r="L558" t="n">
        <v>0</v>
      </c>
      <c r="M558" t="n">
        <v>0</v>
      </c>
      <c r="N558" t="n">
        <v>0</v>
      </c>
      <c r="O558" t="n">
        <v>0</v>
      </c>
      <c r="P558" t="n">
        <v>0</v>
      </c>
      <c r="Q558" t="n">
        <v>0</v>
      </c>
      <c r="R558" s="2" t="inlineStr"/>
    </row>
    <row r="559" ht="15" customHeight="1">
      <c r="A559" t="inlineStr">
        <is>
          <t>A 59404-2024</t>
        </is>
      </c>
      <c r="B559" s="1" t="n">
        <v>45638</v>
      </c>
      <c r="C559" s="1" t="n">
        <v>46189</v>
      </c>
      <c r="D559" t="inlineStr">
        <is>
          <t>DALARNAS LÄN</t>
        </is>
      </c>
      <c r="E559" t="inlineStr">
        <is>
          <t>MORA</t>
        </is>
      </c>
      <c r="G559" t="n">
        <v>2.6</v>
      </c>
      <c r="H559" t="n">
        <v>0</v>
      </c>
      <c r="I559" t="n">
        <v>0</v>
      </c>
      <c r="J559" t="n">
        <v>0</v>
      </c>
      <c r="K559" t="n">
        <v>0</v>
      </c>
      <c r="L559" t="n">
        <v>0</v>
      </c>
      <c r="M559" t="n">
        <v>0</v>
      </c>
      <c r="N559" t="n">
        <v>0</v>
      </c>
      <c r="O559" t="n">
        <v>0</v>
      </c>
      <c r="P559" t="n">
        <v>0</v>
      </c>
      <c r="Q559" t="n">
        <v>0</v>
      </c>
      <c r="R559" s="2" t="inlineStr"/>
    </row>
    <row r="560" ht="15" customHeight="1">
      <c r="A560" t="inlineStr">
        <is>
          <t>A 22185-2025</t>
        </is>
      </c>
      <c r="B560" s="1" t="n">
        <v>45785</v>
      </c>
      <c r="C560" s="1" t="n">
        <v>46189</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56935-2024</t>
        </is>
      </c>
      <c r="B561" s="1" t="n">
        <v>45625</v>
      </c>
      <c r="C561" s="1" t="n">
        <v>46189</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15552-2026</t>
        </is>
      </c>
      <c r="B562" s="1" t="n">
        <v>46106</v>
      </c>
      <c r="C562" s="1" t="n">
        <v>46189</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23354-2022</t>
        </is>
      </c>
      <c r="B563" s="1" t="n">
        <v>44720</v>
      </c>
      <c r="C563" s="1" t="n">
        <v>46189</v>
      </c>
      <c r="D563" t="inlineStr">
        <is>
          <t>DALARNAS LÄN</t>
        </is>
      </c>
      <c r="E563" t="inlineStr">
        <is>
          <t>MORA</t>
        </is>
      </c>
      <c r="G563" t="n">
        <v>5.2</v>
      </c>
      <c r="H563" t="n">
        <v>0</v>
      </c>
      <c r="I563" t="n">
        <v>0</v>
      </c>
      <c r="J563" t="n">
        <v>0</v>
      </c>
      <c r="K563" t="n">
        <v>0</v>
      </c>
      <c r="L563" t="n">
        <v>0</v>
      </c>
      <c r="M563" t="n">
        <v>0</v>
      </c>
      <c r="N563" t="n">
        <v>0</v>
      </c>
      <c r="O563" t="n">
        <v>0</v>
      </c>
      <c r="P563" t="n">
        <v>0</v>
      </c>
      <c r="Q563" t="n">
        <v>0</v>
      </c>
      <c r="R563" s="2" t="inlineStr"/>
    </row>
    <row r="564" ht="15" customHeight="1">
      <c r="A564" t="inlineStr">
        <is>
          <t>A 34928-2022</t>
        </is>
      </c>
      <c r="B564" s="1" t="n">
        <v>44796.60479166666</v>
      </c>
      <c r="C564" s="1" t="n">
        <v>46189</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28925-2025</t>
        </is>
      </c>
      <c r="B565" s="1" t="n">
        <v>45820.67107638889</v>
      </c>
      <c r="C565" s="1" t="n">
        <v>46189</v>
      </c>
      <c r="D565" t="inlineStr">
        <is>
          <t>DALARNAS LÄN</t>
        </is>
      </c>
      <c r="E565" t="inlineStr">
        <is>
          <t>MORA</t>
        </is>
      </c>
      <c r="G565" t="n">
        <v>3.7</v>
      </c>
      <c r="H565" t="n">
        <v>0</v>
      </c>
      <c r="I565" t="n">
        <v>0</v>
      </c>
      <c r="J565" t="n">
        <v>0</v>
      </c>
      <c r="K565" t="n">
        <v>0</v>
      </c>
      <c r="L565" t="n">
        <v>0</v>
      </c>
      <c r="M565" t="n">
        <v>0</v>
      </c>
      <c r="N565" t="n">
        <v>0</v>
      </c>
      <c r="O565" t="n">
        <v>0</v>
      </c>
      <c r="P565" t="n">
        <v>0</v>
      </c>
      <c r="Q565" t="n">
        <v>0</v>
      </c>
      <c r="R565" s="2" t="inlineStr"/>
    </row>
    <row r="566" ht="15" customHeight="1">
      <c r="A566" t="inlineStr">
        <is>
          <t>A 9461-2025</t>
        </is>
      </c>
      <c r="B566" s="1" t="n">
        <v>45715.45341435185</v>
      </c>
      <c r="C566" s="1" t="n">
        <v>46189</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25556-2026</t>
        </is>
      </c>
      <c r="B567" s="1" t="n">
        <v>46177.57640046296</v>
      </c>
      <c r="C567" s="1" t="n">
        <v>46189</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62854-2023</t>
        </is>
      </c>
      <c r="B568" s="1" t="n">
        <v>45272</v>
      </c>
      <c r="C568" s="1" t="n">
        <v>46189</v>
      </c>
      <c r="D568" t="inlineStr">
        <is>
          <t>DALARNAS LÄN</t>
        </is>
      </c>
      <c r="E568" t="inlineStr">
        <is>
          <t>MORA</t>
        </is>
      </c>
      <c r="G568" t="n">
        <v>11.3</v>
      </c>
      <c r="H568" t="n">
        <v>0</v>
      </c>
      <c r="I568" t="n">
        <v>0</v>
      </c>
      <c r="J568" t="n">
        <v>0</v>
      </c>
      <c r="K568" t="n">
        <v>0</v>
      </c>
      <c r="L568" t="n">
        <v>0</v>
      </c>
      <c r="M568" t="n">
        <v>0</v>
      </c>
      <c r="N568" t="n">
        <v>0</v>
      </c>
      <c r="O568" t="n">
        <v>0</v>
      </c>
      <c r="P568" t="n">
        <v>0</v>
      </c>
      <c r="Q568" t="n">
        <v>0</v>
      </c>
      <c r="R568" s="2" t="inlineStr"/>
    </row>
    <row r="569" ht="15" customHeight="1">
      <c r="A569" t="inlineStr">
        <is>
          <t>A 19286-2023</t>
        </is>
      </c>
      <c r="B569" s="1" t="n">
        <v>45049</v>
      </c>
      <c r="C569" s="1" t="n">
        <v>46189</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23229-2025</t>
        </is>
      </c>
      <c r="B570" s="1" t="n">
        <v>45791</v>
      </c>
      <c r="C570" s="1" t="n">
        <v>46189</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56268-2024</t>
        </is>
      </c>
      <c r="B571" s="1" t="n">
        <v>45624.65785879629</v>
      </c>
      <c r="C571" s="1" t="n">
        <v>46189</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24642-2025</t>
        </is>
      </c>
      <c r="B572" s="1" t="n">
        <v>45798.62894675926</v>
      </c>
      <c r="C572" s="1" t="n">
        <v>46189</v>
      </c>
      <c r="D572" t="inlineStr">
        <is>
          <t>DALARNAS LÄN</t>
        </is>
      </c>
      <c r="E572" t="inlineStr">
        <is>
          <t>MORA</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17237-2026</t>
        </is>
      </c>
      <c r="B573" s="1" t="n">
        <v>46119</v>
      </c>
      <c r="C573" s="1" t="n">
        <v>46189</v>
      </c>
      <c r="D573" t="inlineStr">
        <is>
          <t>DALARNAS LÄN</t>
        </is>
      </c>
      <c r="E573" t="inlineStr">
        <is>
          <t>MORA</t>
        </is>
      </c>
      <c r="F573" t="inlineStr">
        <is>
          <t>Bergvik skog öst AB</t>
        </is>
      </c>
      <c r="G573" t="n">
        <v>10</v>
      </c>
      <c r="H573" t="n">
        <v>0</v>
      </c>
      <c r="I573" t="n">
        <v>0</v>
      </c>
      <c r="J573" t="n">
        <v>0</v>
      </c>
      <c r="K573" t="n">
        <v>0</v>
      </c>
      <c r="L573" t="n">
        <v>0</v>
      </c>
      <c r="M573" t="n">
        <v>0</v>
      </c>
      <c r="N573" t="n">
        <v>0</v>
      </c>
      <c r="O573" t="n">
        <v>0</v>
      </c>
      <c r="P573" t="n">
        <v>0</v>
      </c>
      <c r="Q573" t="n">
        <v>0</v>
      </c>
      <c r="R573" s="2" t="inlineStr"/>
    </row>
    <row r="574" ht="15" customHeight="1">
      <c r="A574" t="inlineStr">
        <is>
          <t>A 24249-2025</t>
        </is>
      </c>
      <c r="B574" s="1" t="n">
        <v>45797.40260416667</v>
      </c>
      <c r="C574" s="1" t="n">
        <v>46189</v>
      </c>
      <c r="D574" t="inlineStr">
        <is>
          <t>DALARNAS LÄN</t>
        </is>
      </c>
      <c r="E574" t="inlineStr">
        <is>
          <t>MORA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24640-2025</t>
        </is>
      </c>
      <c r="B575" s="1" t="n">
        <v>45798.62243055556</v>
      </c>
      <c r="C575" s="1" t="n">
        <v>46189</v>
      </c>
      <c r="D575" t="inlineStr">
        <is>
          <t>DALARNAS LÄN</t>
        </is>
      </c>
      <c r="E575" t="inlineStr">
        <is>
          <t>MORA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54398-2021</t>
        </is>
      </c>
      <c r="B576" s="1" t="n">
        <v>44473.39252314815</v>
      </c>
      <c r="C576" s="1" t="n">
        <v>46189</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20089-2026</t>
        </is>
      </c>
      <c r="B577" s="1" t="n">
        <v>46135</v>
      </c>
      <c r="C577" s="1" t="n">
        <v>46189</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27177-2025</t>
        </is>
      </c>
      <c r="B578" s="1" t="n">
        <v>45812.3533912037</v>
      </c>
      <c r="C578" s="1" t="n">
        <v>46189</v>
      </c>
      <c r="D578" t="inlineStr">
        <is>
          <t>DALARNAS LÄN</t>
        </is>
      </c>
      <c r="E578" t="inlineStr">
        <is>
          <t>MORA</t>
        </is>
      </c>
      <c r="F578" t="inlineStr">
        <is>
          <t>Bergvik skog öst AB</t>
        </is>
      </c>
      <c r="G578" t="n">
        <v>2.5</v>
      </c>
      <c r="H578" t="n">
        <v>0</v>
      </c>
      <c r="I578" t="n">
        <v>0</v>
      </c>
      <c r="J578" t="n">
        <v>0</v>
      </c>
      <c r="K578" t="n">
        <v>0</v>
      </c>
      <c r="L578" t="n">
        <v>0</v>
      </c>
      <c r="M578" t="n">
        <v>0</v>
      </c>
      <c r="N578" t="n">
        <v>0</v>
      </c>
      <c r="O578" t="n">
        <v>0</v>
      </c>
      <c r="P578" t="n">
        <v>0</v>
      </c>
      <c r="Q578" t="n">
        <v>0</v>
      </c>
      <c r="R578" s="2" t="inlineStr"/>
    </row>
    <row r="579" ht="15" customHeight="1">
      <c r="A579" t="inlineStr">
        <is>
          <t>A 15127-2022</t>
        </is>
      </c>
      <c r="B579" s="1" t="n">
        <v>44658</v>
      </c>
      <c r="C579" s="1" t="n">
        <v>46189</v>
      </c>
      <c r="D579" t="inlineStr">
        <is>
          <t>DALARNAS LÄN</t>
        </is>
      </c>
      <c r="E579" t="inlineStr">
        <is>
          <t>MORA</t>
        </is>
      </c>
      <c r="G579" t="n">
        <v>4.9</v>
      </c>
      <c r="H579" t="n">
        <v>0</v>
      </c>
      <c r="I579" t="n">
        <v>0</v>
      </c>
      <c r="J579" t="n">
        <v>0</v>
      </c>
      <c r="K579" t="n">
        <v>0</v>
      </c>
      <c r="L579" t="n">
        <v>0</v>
      </c>
      <c r="M579" t="n">
        <v>0</v>
      </c>
      <c r="N579" t="n">
        <v>0</v>
      </c>
      <c r="O579" t="n">
        <v>0</v>
      </c>
      <c r="P579" t="n">
        <v>0</v>
      </c>
      <c r="Q579" t="n">
        <v>0</v>
      </c>
      <c r="R579" s="2" t="inlineStr"/>
    </row>
    <row r="580" ht="15" customHeight="1">
      <c r="A580" t="inlineStr">
        <is>
          <t>A 26854-2025</t>
        </is>
      </c>
      <c r="B580" s="1" t="n">
        <v>45810.67462962963</v>
      </c>
      <c r="C580" s="1" t="n">
        <v>46189</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26647-2025</t>
        </is>
      </c>
      <c r="B581" s="1" t="n">
        <v>45810.38439814815</v>
      </c>
      <c r="C581" s="1" t="n">
        <v>46189</v>
      </c>
      <c r="D581" t="inlineStr">
        <is>
          <t>DALARNAS LÄN</t>
        </is>
      </c>
      <c r="E581" t="inlineStr">
        <is>
          <t>MORA</t>
        </is>
      </c>
      <c r="G581" t="n">
        <v>7.9</v>
      </c>
      <c r="H581" t="n">
        <v>0</v>
      </c>
      <c r="I581" t="n">
        <v>0</v>
      </c>
      <c r="J581" t="n">
        <v>0</v>
      </c>
      <c r="K581" t="n">
        <v>0</v>
      </c>
      <c r="L581" t="n">
        <v>0</v>
      </c>
      <c r="M581" t="n">
        <v>0</v>
      </c>
      <c r="N581" t="n">
        <v>0</v>
      </c>
      <c r="O581" t="n">
        <v>0</v>
      </c>
      <c r="P581" t="n">
        <v>0</v>
      </c>
      <c r="Q581" t="n">
        <v>0</v>
      </c>
      <c r="R581" s="2" t="inlineStr"/>
    </row>
    <row r="582" ht="15" customHeight="1">
      <c r="A582" t="inlineStr">
        <is>
          <t>A 66158-2021</t>
        </is>
      </c>
      <c r="B582" s="1" t="n">
        <v>44517.934375</v>
      </c>
      <c r="C582" s="1" t="n">
        <v>46189</v>
      </c>
      <c r="D582" t="inlineStr">
        <is>
          <t>DALARNAS LÄN</t>
        </is>
      </c>
      <c r="E582" t="inlineStr">
        <is>
          <t>MORA</t>
        </is>
      </c>
      <c r="G582" t="n">
        <v>3.3</v>
      </c>
      <c r="H582" t="n">
        <v>0</v>
      </c>
      <c r="I582" t="n">
        <v>0</v>
      </c>
      <c r="J582" t="n">
        <v>0</v>
      </c>
      <c r="K582" t="n">
        <v>0</v>
      </c>
      <c r="L582" t="n">
        <v>0</v>
      </c>
      <c r="M582" t="n">
        <v>0</v>
      </c>
      <c r="N582" t="n">
        <v>0</v>
      </c>
      <c r="O582" t="n">
        <v>0</v>
      </c>
      <c r="P582" t="n">
        <v>0</v>
      </c>
      <c r="Q582" t="n">
        <v>0</v>
      </c>
      <c r="R582" s="2" t="inlineStr"/>
    </row>
    <row r="583" ht="15" customHeight="1">
      <c r="A583" t="inlineStr">
        <is>
          <t>A 56425-2024</t>
        </is>
      </c>
      <c r="B583" s="1" t="n">
        <v>45625.38677083333</v>
      </c>
      <c r="C583" s="1" t="n">
        <v>46189</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12987-2024</t>
        </is>
      </c>
      <c r="B584" s="1" t="n">
        <v>45385.55375</v>
      </c>
      <c r="C584" s="1" t="n">
        <v>46189</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30819-2024</t>
        </is>
      </c>
      <c r="B585" s="1" t="n">
        <v>45497</v>
      </c>
      <c r="C585" s="1" t="n">
        <v>46189</v>
      </c>
      <c r="D585" t="inlineStr">
        <is>
          <t>DALARNAS LÄN</t>
        </is>
      </c>
      <c r="E585" t="inlineStr">
        <is>
          <t>MORA</t>
        </is>
      </c>
      <c r="G585" t="n">
        <v>2.2</v>
      </c>
      <c r="H585" t="n">
        <v>0</v>
      </c>
      <c r="I585" t="n">
        <v>0</v>
      </c>
      <c r="J585" t="n">
        <v>0</v>
      </c>
      <c r="K585" t="n">
        <v>0</v>
      </c>
      <c r="L585" t="n">
        <v>0</v>
      </c>
      <c r="M585" t="n">
        <v>0</v>
      </c>
      <c r="N585" t="n">
        <v>0</v>
      </c>
      <c r="O585" t="n">
        <v>0</v>
      </c>
      <c r="P585" t="n">
        <v>0</v>
      </c>
      <c r="Q585" t="n">
        <v>0</v>
      </c>
      <c r="R585" s="2" t="inlineStr"/>
    </row>
    <row r="586" ht="15" customHeight="1">
      <c r="A586" t="inlineStr">
        <is>
          <t>A 7849-2026</t>
        </is>
      </c>
      <c r="B586" s="1" t="n">
        <v>46062</v>
      </c>
      <c r="C586" s="1" t="n">
        <v>46189</v>
      </c>
      <c r="D586" t="inlineStr">
        <is>
          <t>DALARNAS LÄN</t>
        </is>
      </c>
      <c r="E586" t="inlineStr">
        <is>
          <t>MORA</t>
        </is>
      </c>
      <c r="G586" t="n">
        <v>1.7</v>
      </c>
      <c r="H586" t="n">
        <v>0</v>
      </c>
      <c r="I586" t="n">
        <v>0</v>
      </c>
      <c r="J586" t="n">
        <v>0</v>
      </c>
      <c r="K586" t="n">
        <v>0</v>
      </c>
      <c r="L586" t="n">
        <v>0</v>
      </c>
      <c r="M586" t="n">
        <v>0</v>
      </c>
      <c r="N586" t="n">
        <v>0</v>
      </c>
      <c r="O586" t="n">
        <v>0</v>
      </c>
      <c r="P586" t="n">
        <v>0</v>
      </c>
      <c r="Q586" t="n">
        <v>0</v>
      </c>
      <c r="R586" s="2" t="inlineStr"/>
    </row>
    <row r="587" ht="15" customHeight="1">
      <c r="A587" t="inlineStr">
        <is>
          <t>A 26532-2025</t>
        </is>
      </c>
      <c r="B587" s="1" t="n">
        <v>45807</v>
      </c>
      <c r="C587" s="1" t="n">
        <v>46189</v>
      </c>
      <c r="D587" t="inlineStr">
        <is>
          <t>DALARNAS LÄN</t>
        </is>
      </c>
      <c r="E587" t="inlineStr">
        <is>
          <t>MORA</t>
        </is>
      </c>
      <c r="G587" t="n">
        <v>4.4</v>
      </c>
      <c r="H587" t="n">
        <v>0</v>
      </c>
      <c r="I587" t="n">
        <v>0</v>
      </c>
      <c r="J587" t="n">
        <v>0</v>
      </c>
      <c r="K587" t="n">
        <v>0</v>
      </c>
      <c r="L587" t="n">
        <v>0</v>
      </c>
      <c r="M587" t="n">
        <v>0</v>
      </c>
      <c r="N587" t="n">
        <v>0</v>
      </c>
      <c r="O587" t="n">
        <v>0</v>
      </c>
      <c r="P587" t="n">
        <v>0</v>
      </c>
      <c r="Q587" t="n">
        <v>0</v>
      </c>
      <c r="R587" s="2" t="inlineStr"/>
    </row>
    <row r="588" ht="15" customHeight="1">
      <c r="A588" t="inlineStr">
        <is>
          <t>A 20885-2024</t>
        </is>
      </c>
      <c r="B588" s="1" t="n">
        <v>45439.45527777778</v>
      </c>
      <c r="C588" s="1" t="n">
        <v>46189</v>
      </c>
      <c r="D588" t="inlineStr">
        <is>
          <t>DALARNAS LÄN</t>
        </is>
      </c>
      <c r="E588" t="inlineStr">
        <is>
          <t>MORA</t>
        </is>
      </c>
      <c r="G588" t="n">
        <v>5</v>
      </c>
      <c r="H588" t="n">
        <v>0</v>
      </c>
      <c r="I588" t="n">
        <v>0</v>
      </c>
      <c r="J588" t="n">
        <v>0</v>
      </c>
      <c r="K588" t="n">
        <v>0</v>
      </c>
      <c r="L588" t="n">
        <v>0</v>
      </c>
      <c r="M588" t="n">
        <v>0</v>
      </c>
      <c r="N588" t="n">
        <v>0</v>
      </c>
      <c r="O588" t="n">
        <v>0</v>
      </c>
      <c r="P588" t="n">
        <v>0</v>
      </c>
      <c r="Q588" t="n">
        <v>0</v>
      </c>
      <c r="R588" s="2" t="inlineStr"/>
    </row>
    <row r="589" ht="15" customHeight="1">
      <c r="A589" t="inlineStr">
        <is>
          <t>A 45462-2022</t>
        </is>
      </c>
      <c r="B589" s="1" t="n">
        <v>44845.35591435185</v>
      </c>
      <c r="C589" s="1" t="n">
        <v>46189</v>
      </c>
      <c r="D589" t="inlineStr">
        <is>
          <t>DALARNAS LÄN</t>
        </is>
      </c>
      <c r="E589" t="inlineStr">
        <is>
          <t>MORA</t>
        </is>
      </c>
      <c r="G589" t="n">
        <v>6.9</v>
      </c>
      <c r="H589" t="n">
        <v>0</v>
      </c>
      <c r="I589" t="n">
        <v>0</v>
      </c>
      <c r="J589" t="n">
        <v>0</v>
      </c>
      <c r="K589" t="n">
        <v>0</v>
      </c>
      <c r="L589" t="n">
        <v>0</v>
      </c>
      <c r="M589" t="n">
        <v>0</v>
      </c>
      <c r="N589" t="n">
        <v>0</v>
      </c>
      <c r="O589" t="n">
        <v>0</v>
      </c>
      <c r="P589" t="n">
        <v>0</v>
      </c>
      <c r="Q589" t="n">
        <v>0</v>
      </c>
      <c r="R589" s="2" t="inlineStr"/>
    </row>
    <row r="590" ht="15" customHeight="1">
      <c r="A590" t="inlineStr">
        <is>
          <t>A 26731-2025</t>
        </is>
      </c>
      <c r="B590" s="1" t="n">
        <v>45810.50702546296</v>
      </c>
      <c r="C590" s="1" t="n">
        <v>46189</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26711-2025</t>
        </is>
      </c>
      <c r="B591" s="1" t="n">
        <v>45810.46144675926</v>
      </c>
      <c r="C591" s="1" t="n">
        <v>46189</v>
      </c>
      <c r="D591" t="inlineStr">
        <is>
          <t>DALARNAS LÄN</t>
        </is>
      </c>
      <c r="E591" t="inlineStr">
        <is>
          <t>MORA</t>
        </is>
      </c>
      <c r="G591" t="n">
        <v>0.5</v>
      </c>
      <c r="H591" t="n">
        <v>0</v>
      </c>
      <c r="I591" t="n">
        <v>0</v>
      </c>
      <c r="J591" t="n">
        <v>0</v>
      </c>
      <c r="K591" t="n">
        <v>0</v>
      </c>
      <c r="L591" t="n">
        <v>0</v>
      </c>
      <c r="M591" t="n">
        <v>0</v>
      </c>
      <c r="N591" t="n">
        <v>0</v>
      </c>
      <c r="O591" t="n">
        <v>0</v>
      </c>
      <c r="P591" t="n">
        <v>0</v>
      </c>
      <c r="Q591" t="n">
        <v>0</v>
      </c>
      <c r="R591" s="2" t="inlineStr"/>
    </row>
    <row r="592" ht="15" customHeight="1">
      <c r="A592" t="inlineStr">
        <is>
          <t>A 27194-2025</t>
        </is>
      </c>
      <c r="B592" s="1" t="n">
        <v>45812.37965277778</v>
      </c>
      <c r="C592" s="1" t="n">
        <v>46189</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14611-2025</t>
        </is>
      </c>
      <c r="B593" s="1" t="n">
        <v>45742.38511574074</v>
      </c>
      <c r="C593" s="1" t="n">
        <v>46189</v>
      </c>
      <c r="D593" t="inlineStr">
        <is>
          <t>DALARNAS LÄN</t>
        </is>
      </c>
      <c r="E593" t="inlineStr">
        <is>
          <t>MORA</t>
        </is>
      </c>
      <c r="F593" t="inlineStr">
        <is>
          <t>Bergvik skog väst AB</t>
        </is>
      </c>
      <c r="G593" t="n">
        <v>2.9</v>
      </c>
      <c r="H593" t="n">
        <v>0</v>
      </c>
      <c r="I593" t="n">
        <v>0</v>
      </c>
      <c r="J593" t="n">
        <v>0</v>
      </c>
      <c r="K593" t="n">
        <v>0</v>
      </c>
      <c r="L593" t="n">
        <v>0</v>
      </c>
      <c r="M593" t="n">
        <v>0</v>
      </c>
      <c r="N593" t="n">
        <v>0</v>
      </c>
      <c r="O593" t="n">
        <v>0</v>
      </c>
      <c r="P593" t="n">
        <v>0</v>
      </c>
      <c r="Q593" t="n">
        <v>0</v>
      </c>
      <c r="R593" s="2" t="inlineStr"/>
    </row>
    <row r="594" ht="15" customHeight="1">
      <c r="A594" t="inlineStr">
        <is>
          <t>A 7565-2025</t>
        </is>
      </c>
      <c r="B594" s="1" t="n">
        <v>45705.59269675926</v>
      </c>
      <c r="C594" s="1" t="n">
        <v>46189</v>
      </c>
      <c r="D594" t="inlineStr">
        <is>
          <t>DALARNAS LÄN</t>
        </is>
      </c>
      <c r="E594" t="inlineStr">
        <is>
          <t>MORA</t>
        </is>
      </c>
      <c r="G594" t="n">
        <v>3</v>
      </c>
      <c r="H594" t="n">
        <v>0</v>
      </c>
      <c r="I594" t="n">
        <v>0</v>
      </c>
      <c r="J594" t="n">
        <v>0</v>
      </c>
      <c r="K594" t="n">
        <v>0</v>
      </c>
      <c r="L594" t="n">
        <v>0</v>
      </c>
      <c r="M594" t="n">
        <v>0</v>
      </c>
      <c r="N594" t="n">
        <v>0</v>
      </c>
      <c r="O594" t="n">
        <v>0</v>
      </c>
      <c r="P594" t="n">
        <v>0</v>
      </c>
      <c r="Q594" t="n">
        <v>0</v>
      </c>
      <c r="R594" s="2" t="inlineStr"/>
    </row>
    <row r="595" ht="15" customHeight="1">
      <c r="A595" t="inlineStr">
        <is>
          <t>A 27184-2025</t>
        </is>
      </c>
      <c r="B595" s="1" t="n">
        <v>45812.36133101852</v>
      </c>
      <c r="C595" s="1" t="n">
        <v>46189</v>
      </c>
      <c r="D595" t="inlineStr">
        <is>
          <t>DALARNAS LÄN</t>
        </is>
      </c>
      <c r="E595" t="inlineStr">
        <is>
          <t>MORA</t>
        </is>
      </c>
      <c r="G595" t="n">
        <v>1.2</v>
      </c>
      <c r="H595" t="n">
        <v>0</v>
      </c>
      <c r="I595" t="n">
        <v>0</v>
      </c>
      <c r="J595" t="n">
        <v>0</v>
      </c>
      <c r="K595" t="n">
        <v>0</v>
      </c>
      <c r="L595" t="n">
        <v>0</v>
      </c>
      <c r="M595" t="n">
        <v>0</v>
      </c>
      <c r="N595" t="n">
        <v>0</v>
      </c>
      <c r="O595" t="n">
        <v>0</v>
      </c>
      <c r="P595" t="n">
        <v>0</v>
      </c>
      <c r="Q595" t="n">
        <v>0</v>
      </c>
      <c r="R595" s="2" t="inlineStr"/>
    </row>
    <row r="596" ht="15" customHeight="1">
      <c r="A596" t="inlineStr">
        <is>
          <t>A 26306-2026</t>
        </is>
      </c>
      <c r="B596" s="1" t="n">
        <v>46182.57952546296</v>
      </c>
      <c r="C596" s="1" t="n">
        <v>46189</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27642-2025</t>
        </is>
      </c>
      <c r="B597" s="1" t="n">
        <v>45813.59405092592</v>
      </c>
      <c r="C597" s="1" t="n">
        <v>46189</v>
      </c>
      <c r="D597" t="inlineStr">
        <is>
          <t>DALARNAS LÄN</t>
        </is>
      </c>
      <c r="E597" t="inlineStr">
        <is>
          <t>MORA</t>
        </is>
      </c>
      <c r="G597" t="n">
        <v>2.5</v>
      </c>
      <c r="H597" t="n">
        <v>0</v>
      </c>
      <c r="I597" t="n">
        <v>0</v>
      </c>
      <c r="J597" t="n">
        <v>0</v>
      </c>
      <c r="K597" t="n">
        <v>0</v>
      </c>
      <c r="L597" t="n">
        <v>0</v>
      </c>
      <c r="M597" t="n">
        <v>0</v>
      </c>
      <c r="N597" t="n">
        <v>0</v>
      </c>
      <c r="O597" t="n">
        <v>0</v>
      </c>
      <c r="P597" t="n">
        <v>0</v>
      </c>
      <c r="Q597" t="n">
        <v>0</v>
      </c>
      <c r="R597" s="2" t="inlineStr"/>
    </row>
    <row r="598" ht="15" customHeight="1">
      <c r="A598" t="inlineStr">
        <is>
          <t>A 57855-2025</t>
        </is>
      </c>
      <c r="B598" s="1" t="n">
        <v>45981.63909722222</v>
      </c>
      <c r="C598" s="1" t="n">
        <v>46189</v>
      </c>
      <c r="D598" t="inlineStr">
        <is>
          <t>DALARNAS LÄN</t>
        </is>
      </c>
      <c r="E598" t="inlineStr">
        <is>
          <t>MORA</t>
        </is>
      </c>
      <c r="G598" t="n">
        <v>9.9</v>
      </c>
      <c r="H598" t="n">
        <v>0</v>
      </c>
      <c r="I598" t="n">
        <v>0</v>
      </c>
      <c r="J598" t="n">
        <v>0</v>
      </c>
      <c r="K598" t="n">
        <v>0</v>
      </c>
      <c r="L598" t="n">
        <v>0</v>
      </c>
      <c r="M598" t="n">
        <v>0</v>
      </c>
      <c r="N598" t="n">
        <v>0</v>
      </c>
      <c r="O598" t="n">
        <v>0</v>
      </c>
      <c r="P598" t="n">
        <v>0</v>
      </c>
      <c r="Q598" t="n">
        <v>0</v>
      </c>
      <c r="R598" s="2" t="inlineStr"/>
    </row>
    <row r="599" ht="15" customHeight="1">
      <c r="A599" t="inlineStr">
        <is>
          <t>A 28751-2025</t>
        </is>
      </c>
      <c r="B599" s="1" t="n">
        <v>45820.40034722222</v>
      </c>
      <c r="C599" s="1" t="n">
        <v>46189</v>
      </c>
      <c r="D599" t="inlineStr">
        <is>
          <t>DALARNAS LÄN</t>
        </is>
      </c>
      <c r="E599" t="inlineStr">
        <is>
          <t>MORA</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28927-2025</t>
        </is>
      </c>
      <c r="B600" s="1" t="n">
        <v>45820.67221064815</v>
      </c>
      <c r="C600" s="1" t="n">
        <v>46189</v>
      </c>
      <c r="D600" t="inlineStr">
        <is>
          <t>DALARNAS LÄN</t>
        </is>
      </c>
      <c r="E600" t="inlineStr">
        <is>
          <t>MORA</t>
        </is>
      </c>
      <c r="G600" t="n">
        <v>0.4</v>
      </c>
      <c r="H600" t="n">
        <v>0</v>
      </c>
      <c r="I600" t="n">
        <v>0</v>
      </c>
      <c r="J600" t="n">
        <v>0</v>
      </c>
      <c r="K600" t="n">
        <v>0</v>
      </c>
      <c r="L600" t="n">
        <v>0</v>
      </c>
      <c r="M600" t="n">
        <v>0</v>
      </c>
      <c r="N600" t="n">
        <v>0</v>
      </c>
      <c r="O600" t="n">
        <v>0</v>
      </c>
      <c r="P600" t="n">
        <v>0</v>
      </c>
      <c r="Q600" t="n">
        <v>0</v>
      </c>
      <c r="R600" s="2" t="inlineStr"/>
    </row>
    <row r="601" ht="15" customHeight="1">
      <c r="A601" t="inlineStr">
        <is>
          <t>A 28924-2025</t>
        </is>
      </c>
      <c r="B601" s="1" t="n">
        <v>45820.66846064815</v>
      </c>
      <c r="C601" s="1" t="n">
        <v>46189</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21499-2026</t>
        </is>
      </c>
      <c r="B602" s="1" t="n">
        <v>46148</v>
      </c>
      <c r="C602" s="1" t="n">
        <v>46189</v>
      </c>
      <c r="D602" t="inlineStr">
        <is>
          <t>DALARNAS LÄN</t>
        </is>
      </c>
      <c r="E602" t="inlineStr">
        <is>
          <t>MORA</t>
        </is>
      </c>
      <c r="F602" t="inlineStr">
        <is>
          <t>Bergvik skog öst AB</t>
        </is>
      </c>
      <c r="G602" t="n">
        <v>1.8</v>
      </c>
      <c r="H602" t="n">
        <v>0</v>
      </c>
      <c r="I602" t="n">
        <v>0</v>
      </c>
      <c r="J602" t="n">
        <v>0</v>
      </c>
      <c r="K602" t="n">
        <v>0</v>
      </c>
      <c r="L602" t="n">
        <v>0</v>
      </c>
      <c r="M602" t="n">
        <v>0</v>
      </c>
      <c r="N602" t="n">
        <v>0</v>
      </c>
      <c r="O602" t="n">
        <v>0</v>
      </c>
      <c r="P602" t="n">
        <v>0</v>
      </c>
      <c r="Q602" t="n">
        <v>0</v>
      </c>
      <c r="R602" s="2" t="inlineStr"/>
    </row>
    <row r="603" ht="15" customHeight="1">
      <c r="A603" t="inlineStr">
        <is>
          <t>A 28976-2025</t>
        </is>
      </c>
      <c r="B603" s="1" t="n">
        <v>45821.34855324074</v>
      </c>
      <c r="C603" s="1" t="n">
        <v>46189</v>
      </c>
      <c r="D603" t="inlineStr">
        <is>
          <t>DALARNAS LÄN</t>
        </is>
      </c>
      <c r="E603" t="inlineStr">
        <is>
          <t>MORA</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44177-2023</t>
        </is>
      </c>
      <c r="B604" s="1" t="n">
        <v>45188.51439814815</v>
      </c>
      <c r="C604" s="1" t="n">
        <v>46189</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29870-2025</t>
        </is>
      </c>
      <c r="B605" s="1" t="n">
        <v>45826.35716435185</v>
      </c>
      <c r="C605" s="1" t="n">
        <v>46189</v>
      </c>
      <c r="D605" t="inlineStr">
        <is>
          <t>DALARNAS LÄN</t>
        </is>
      </c>
      <c r="E605" t="inlineStr">
        <is>
          <t>MORA</t>
        </is>
      </c>
      <c r="G605" t="n">
        <v>1.2</v>
      </c>
      <c r="H605" t="n">
        <v>0</v>
      </c>
      <c r="I605" t="n">
        <v>0</v>
      </c>
      <c r="J605" t="n">
        <v>0</v>
      </c>
      <c r="K605" t="n">
        <v>0</v>
      </c>
      <c r="L605" t="n">
        <v>0</v>
      </c>
      <c r="M605" t="n">
        <v>0</v>
      </c>
      <c r="N605" t="n">
        <v>0</v>
      </c>
      <c r="O605" t="n">
        <v>0</v>
      </c>
      <c r="P605" t="n">
        <v>0</v>
      </c>
      <c r="Q605" t="n">
        <v>0</v>
      </c>
      <c r="R605" s="2" t="inlineStr"/>
    </row>
    <row r="606" ht="15" customHeight="1">
      <c r="A606" t="inlineStr">
        <is>
          <t>A 29873-2025</t>
        </is>
      </c>
      <c r="B606" s="1" t="n">
        <v>45826</v>
      </c>
      <c r="C606" s="1" t="n">
        <v>46189</v>
      </c>
      <c r="D606" t="inlineStr">
        <is>
          <t>DALARNAS LÄN</t>
        </is>
      </c>
      <c r="E606" t="inlineStr">
        <is>
          <t>MORA</t>
        </is>
      </c>
      <c r="G606" t="n">
        <v>0.6</v>
      </c>
      <c r="H606" t="n">
        <v>0</v>
      </c>
      <c r="I606" t="n">
        <v>0</v>
      </c>
      <c r="J606" t="n">
        <v>0</v>
      </c>
      <c r="K606" t="n">
        <v>0</v>
      </c>
      <c r="L606" t="n">
        <v>0</v>
      </c>
      <c r="M606" t="n">
        <v>0</v>
      </c>
      <c r="N606" t="n">
        <v>0</v>
      </c>
      <c r="O606" t="n">
        <v>0</v>
      </c>
      <c r="P606" t="n">
        <v>0</v>
      </c>
      <c r="Q606" t="n">
        <v>0</v>
      </c>
      <c r="R606" s="2" t="inlineStr"/>
    </row>
    <row r="607" ht="15" customHeight="1">
      <c r="A607" t="inlineStr">
        <is>
          <t>A 56767-2024</t>
        </is>
      </c>
      <c r="B607" s="1" t="n">
        <v>45628.41274305555</v>
      </c>
      <c r="C607" s="1" t="n">
        <v>46189</v>
      </c>
      <c r="D607" t="inlineStr">
        <is>
          <t>DALARNAS LÄN</t>
        </is>
      </c>
      <c r="E607" t="inlineStr">
        <is>
          <t>MORA</t>
        </is>
      </c>
      <c r="G607" t="n">
        <v>5</v>
      </c>
      <c r="H607" t="n">
        <v>0</v>
      </c>
      <c r="I607" t="n">
        <v>0</v>
      </c>
      <c r="J607" t="n">
        <v>0</v>
      </c>
      <c r="K607" t="n">
        <v>0</v>
      </c>
      <c r="L607" t="n">
        <v>0</v>
      </c>
      <c r="M607" t="n">
        <v>0</v>
      </c>
      <c r="N607" t="n">
        <v>0</v>
      </c>
      <c r="O607" t="n">
        <v>0</v>
      </c>
      <c r="P607" t="n">
        <v>0</v>
      </c>
      <c r="Q607" t="n">
        <v>0</v>
      </c>
      <c r="R607" s="2" t="inlineStr"/>
    </row>
    <row r="608" ht="15" customHeight="1">
      <c r="A608" t="inlineStr">
        <is>
          <t>A 29528-2025</t>
        </is>
      </c>
      <c r="B608" s="1" t="n">
        <v>45825.34322916667</v>
      </c>
      <c r="C608" s="1" t="n">
        <v>46189</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30087-2025</t>
        </is>
      </c>
      <c r="B609" s="1" t="n">
        <v>45826.6575</v>
      </c>
      <c r="C609" s="1" t="n">
        <v>46189</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42085-2024</t>
        </is>
      </c>
      <c r="B610" s="1" t="n">
        <v>45562.33179398148</v>
      </c>
      <c r="C610" s="1" t="n">
        <v>46189</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30507-2025</t>
        </is>
      </c>
      <c r="B611" s="1" t="n">
        <v>45831.24760416667</v>
      </c>
      <c r="C611" s="1" t="n">
        <v>46189</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37971-2024</t>
        </is>
      </c>
      <c r="B612" s="1" t="n">
        <v>45544</v>
      </c>
      <c r="C612" s="1" t="n">
        <v>46189</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30858-2025</t>
        </is>
      </c>
      <c r="B613" s="1" t="n">
        <v>45831.92416666666</v>
      </c>
      <c r="C613" s="1" t="n">
        <v>46189</v>
      </c>
      <c r="D613" t="inlineStr">
        <is>
          <t>DALARNAS LÄN</t>
        </is>
      </c>
      <c r="E613" t="inlineStr">
        <is>
          <t>MORA</t>
        </is>
      </c>
      <c r="G613" t="n">
        <v>2.9</v>
      </c>
      <c r="H613" t="n">
        <v>0</v>
      </c>
      <c r="I613" t="n">
        <v>0</v>
      </c>
      <c r="J613" t="n">
        <v>0</v>
      </c>
      <c r="K613" t="n">
        <v>0</v>
      </c>
      <c r="L613" t="n">
        <v>0</v>
      </c>
      <c r="M613" t="n">
        <v>0</v>
      </c>
      <c r="N613" t="n">
        <v>0</v>
      </c>
      <c r="O613" t="n">
        <v>0</v>
      </c>
      <c r="P613" t="n">
        <v>0</v>
      </c>
      <c r="Q613" t="n">
        <v>0</v>
      </c>
      <c r="R613" s="2" t="inlineStr"/>
    </row>
    <row r="614" ht="15" customHeight="1">
      <c r="A614" t="inlineStr">
        <is>
          <t>A 30859-2025</t>
        </is>
      </c>
      <c r="B614" s="1" t="n">
        <v>45831.93105324074</v>
      </c>
      <c r="C614" s="1" t="n">
        <v>46189</v>
      </c>
      <c r="D614" t="inlineStr">
        <is>
          <t>DALARNAS LÄN</t>
        </is>
      </c>
      <c r="E614" t="inlineStr">
        <is>
          <t>MORA</t>
        </is>
      </c>
      <c r="G614" t="n">
        <v>0.7</v>
      </c>
      <c r="H614" t="n">
        <v>0</v>
      </c>
      <c r="I614" t="n">
        <v>0</v>
      </c>
      <c r="J614" t="n">
        <v>0</v>
      </c>
      <c r="K614" t="n">
        <v>0</v>
      </c>
      <c r="L614" t="n">
        <v>0</v>
      </c>
      <c r="M614" t="n">
        <v>0</v>
      </c>
      <c r="N614" t="n">
        <v>0</v>
      </c>
      <c r="O614" t="n">
        <v>0</v>
      </c>
      <c r="P614" t="n">
        <v>0</v>
      </c>
      <c r="Q614" t="n">
        <v>0</v>
      </c>
      <c r="R614" s="2" t="inlineStr"/>
    </row>
    <row r="615" ht="15" customHeight="1">
      <c r="A615" t="inlineStr">
        <is>
          <t>A 30509-2025</t>
        </is>
      </c>
      <c r="B615" s="1" t="n">
        <v>45831.25519675926</v>
      </c>
      <c r="C615" s="1" t="n">
        <v>46189</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60718-2023</t>
        </is>
      </c>
      <c r="B616" s="1" t="n">
        <v>45260.5284375</v>
      </c>
      <c r="C616" s="1" t="n">
        <v>46189</v>
      </c>
      <c r="D616" t="inlineStr">
        <is>
          <t>DALARNAS LÄN</t>
        </is>
      </c>
      <c r="E616" t="inlineStr">
        <is>
          <t>MORA</t>
        </is>
      </c>
      <c r="G616" t="n">
        <v>2.6</v>
      </c>
      <c r="H616" t="n">
        <v>0</v>
      </c>
      <c r="I616" t="n">
        <v>0</v>
      </c>
      <c r="J616" t="n">
        <v>0</v>
      </c>
      <c r="K616" t="n">
        <v>0</v>
      </c>
      <c r="L616" t="n">
        <v>0</v>
      </c>
      <c r="M616" t="n">
        <v>0</v>
      </c>
      <c r="N616" t="n">
        <v>0</v>
      </c>
      <c r="O616" t="n">
        <v>0</v>
      </c>
      <c r="P616" t="n">
        <v>0</v>
      </c>
      <c r="Q616" t="n">
        <v>0</v>
      </c>
      <c r="R616" s="2" t="inlineStr"/>
    </row>
    <row r="617" ht="15" customHeight="1">
      <c r="A617" t="inlineStr">
        <is>
          <t>A 58892-2023</t>
        </is>
      </c>
      <c r="B617" s="1" t="n">
        <v>45252.48592592592</v>
      </c>
      <c r="C617" s="1" t="n">
        <v>46189</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20270-2026</t>
        </is>
      </c>
      <c r="B618" s="1" t="n">
        <v>46139</v>
      </c>
      <c r="C618" s="1" t="n">
        <v>46189</v>
      </c>
      <c r="D618" t="inlineStr">
        <is>
          <t>DALARNAS LÄN</t>
        </is>
      </c>
      <c r="E618" t="inlineStr">
        <is>
          <t>MORA</t>
        </is>
      </c>
      <c r="G618" t="n">
        <v>3.3</v>
      </c>
      <c r="H618" t="n">
        <v>0</v>
      </c>
      <c r="I618" t="n">
        <v>0</v>
      </c>
      <c r="J618" t="n">
        <v>0</v>
      </c>
      <c r="K618" t="n">
        <v>0</v>
      </c>
      <c r="L618" t="n">
        <v>0</v>
      </c>
      <c r="M618" t="n">
        <v>0</v>
      </c>
      <c r="N618" t="n">
        <v>0</v>
      </c>
      <c r="O618" t="n">
        <v>0</v>
      </c>
      <c r="P618" t="n">
        <v>0</v>
      </c>
      <c r="Q618" t="n">
        <v>0</v>
      </c>
      <c r="R618" s="2" t="inlineStr"/>
    </row>
    <row r="619" ht="15" customHeight="1">
      <c r="A619" t="inlineStr">
        <is>
          <t>A 20491-2026</t>
        </is>
      </c>
      <c r="B619" s="1" t="n">
        <v>46140.49804398148</v>
      </c>
      <c r="C619" s="1" t="n">
        <v>46189</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24899-2026</t>
        </is>
      </c>
      <c r="B620" s="1" t="n">
        <v>46174</v>
      </c>
      <c r="C620" s="1" t="n">
        <v>46189</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4744-2026</t>
        </is>
      </c>
      <c r="B621" s="1" t="n">
        <v>46048</v>
      </c>
      <c r="C621" s="1" t="n">
        <v>46189</v>
      </c>
      <c r="D621" t="inlineStr">
        <is>
          <t>DALARNAS LÄN</t>
        </is>
      </c>
      <c r="E621" t="inlineStr">
        <is>
          <t>MORA</t>
        </is>
      </c>
      <c r="G621" t="n">
        <v>15.8</v>
      </c>
      <c r="H621" t="n">
        <v>0</v>
      </c>
      <c r="I621" t="n">
        <v>0</v>
      </c>
      <c r="J621" t="n">
        <v>0</v>
      </c>
      <c r="K621" t="n">
        <v>0</v>
      </c>
      <c r="L621" t="n">
        <v>0</v>
      </c>
      <c r="M621" t="n">
        <v>0</v>
      </c>
      <c r="N621" t="n">
        <v>0</v>
      </c>
      <c r="O621" t="n">
        <v>0</v>
      </c>
      <c r="P621" t="n">
        <v>0</v>
      </c>
      <c r="Q621" t="n">
        <v>0</v>
      </c>
      <c r="R621" s="2" t="inlineStr"/>
    </row>
    <row r="622" ht="15" customHeight="1">
      <c r="A622" t="inlineStr">
        <is>
          <t>A 58473-2025</t>
        </is>
      </c>
      <c r="B622" s="1" t="n">
        <v>45985.63859953704</v>
      </c>
      <c r="C622" s="1" t="n">
        <v>46189</v>
      </c>
      <c r="D622" t="inlineStr">
        <is>
          <t>DALARNAS LÄN</t>
        </is>
      </c>
      <c r="E622" t="inlineStr">
        <is>
          <t>MORA</t>
        </is>
      </c>
      <c r="G622" t="n">
        <v>2.3</v>
      </c>
      <c r="H622" t="n">
        <v>0</v>
      </c>
      <c r="I622" t="n">
        <v>0</v>
      </c>
      <c r="J622" t="n">
        <v>0</v>
      </c>
      <c r="K622" t="n">
        <v>0</v>
      </c>
      <c r="L622" t="n">
        <v>0</v>
      </c>
      <c r="M622" t="n">
        <v>0</v>
      </c>
      <c r="N622" t="n">
        <v>0</v>
      </c>
      <c r="O622" t="n">
        <v>0</v>
      </c>
      <c r="P622" t="n">
        <v>0</v>
      </c>
      <c r="Q622" t="n">
        <v>0</v>
      </c>
      <c r="R622" s="2" t="inlineStr"/>
    </row>
    <row r="623" ht="15" customHeight="1">
      <c r="A623" t="inlineStr">
        <is>
          <t>A 4906-2026</t>
        </is>
      </c>
      <c r="B623" s="1" t="n">
        <v>46048.70013888889</v>
      </c>
      <c r="C623" s="1" t="n">
        <v>46189</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31842-2025</t>
        </is>
      </c>
      <c r="B624" s="1" t="n">
        <v>45834.59822916667</v>
      </c>
      <c r="C624" s="1" t="n">
        <v>46189</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21506-2026</t>
        </is>
      </c>
      <c r="B625" s="1" t="n">
        <v>46148</v>
      </c>
      <c r="C625" s="1" t="n">
        <v>46189</v>
      </c>
      <c r="D625" t="inlineStr">
        <is>
          <t>DALARNAS LÄN</t>
        </is>
      </c>
      <c r="E625" t="inlineStr">
        <is>
          <t>MORA</t>
        </is>
      </c>
      <c r="F625" t="inlineStr">
        <is>
          <t>Bergvik skog öst AB</t>
        </is>
      </c>
      <c r="G625" t="n">
        <v>4.7</v>
      </c>
      <c r="H625" t="n">
        <v>0</v>
      </c>
      <c r="I625" t="n">
        <v>0</v>
      </c>
      <c r="J625" t="n">
        <v>0</v>
      </c>
      <c r="K625" t="n">
        <v>0</v>
      </c>
      <c r="L625" t="n">
        <v>0</v>
      </c>
      <c r="M625" t="n">
        <v>0</v>
      </c>
      <c r="N625" t="n">
        <v>0</v>
      </c>
      <c r="O625" t="n">
        <v>0</v>
      </c>
      <c r="P625" t="n">
        <v>0</v>
      </c>
      <c r="Q625" t="n">
        <v>0</v>
      </c>
      <c r="R625" s="2" t="inlineStr"/>
    </row>
    <row r="626" ht="15" customHeight="1">
      <c r="A626" t="inlineStr">
        <is>
          <t>A 34382-2025</t>
        </is>
      </c>
      <c r="B626" s="1" t="n">
        <v>45846</v>
      </c>
      <c r="C626" s="1" t="n">
        <v>46189</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26761-2026</t>
        </is>
      </c>
      <c r="B627" s="1" t="n">
        <v>46184.6384837963</v>
      </c>
      <c r="C627" s="1" t="n">
        <v>46189</v>
      </c>
      <c r="D627" t="inlineStr">
        <is>
          <t>DALARNAS LÄN</t>
        </is>
      </c>
      <c r="E627" t="inlineStr">
        <is>
          <t>MORA</t>
        </is>
      </c>
      <c r="G627" t="n">
        <v>3.8</v>
      </c>
      <c r="H627" t="n">
        <v>0</v>
      </c>
      <c r="I627" t="n">
        <v>0</v>
      </c>
      <c r="J627" t="n">
        <v>0</v>
      </c>
      <c r="K627" t="n">
        <v>0</v>
      </c>
      <c r="L627" t="n">
        <v>0</v>
      </c>
      <c r="M627" t="n">
        <v>0</v>
      </c>
      <c r="N627" t="n">
        <v>0</v>
      </c>
      <c r="O627" t="n">
        <v>0</v>
      </c>
      <c r="P627" t="n">
        <v>0</v>
      </c>
      <c r="Q627" t="n">
        <v>0</v>
      </c>
      <c r="R627" s="2" t="inlineStr"/>
    </row>
    <row r="628" ht="15" customHeight="1">
      <c r="A628" t="inlineStr">
        <is>
          <t>A 26425-2026</t>
        </is>
      </c>
      <c r="B628" s="1" t="n">
        <v>46183.43103009259</v>
      </c>
      <c r="C628" s="1" t="n">
        <v>46189</v>
      </c>
      <c r="D628" t="inlineStr">
        <is>
          <t>DALARNAS LÄN</t>
        </is>
      </c>
      <c r="E628" t="inlineStr">
        <is>
          <t>MORA</t>
        </is>
      </c>
      <c r="F628" t="inlineStr">
        <is>
          <t>Bergvik skog väst AB</t>
        </is>
      </c>
      <c r="G628" t="n">
        <v>2.5</v>
      </c>
      <c r="H628" t="n">
        <v>0</v>
      </c>
      <c r="I628" t="n">
        <v>0</v>
      </c>
      <c r="J628" t="n">
        <v>0</v>
      </c>
      <c r="K628" t="n">
        <v>0</v>
      </c>
      <c r="L628" t="n">
        <v>0</v>
      </c>
      <c r="M628" t="n">
        <v>0</v>
      </c>
      <c r="N628" t="n">
        <v>0</v>
      </c>
      <c r="O628" t="n">
        <v>0</v>
      </c>
      <c r="P628" t="n">
        <v>0</v>
      </c>
      <c r="Q628" t="n">
        <v>0</v>
      </c>
      <c r="R628" s="2" t="inlineStr"/>
    </row>
    <row r="629" ht="15" customHeight="1">
      <c r="A629" t="inlineStr">
        <is>
          <t>A 20594-2025</t>
        </is>
      </c>
      <c r="B629" s="1" t="n">
        <v>45775.74009259259</v>
      </c>
      <c r="C629" s="1" t="n">
        <v>46189</v>
      </c>
      <c r="D629" t="inlineStr">
        <is>
          <t>DALARNAS LÄN</t>
        </is>
      </c>
      <c r="E629" t="inlineStr">
        <is>
          <t>MORA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20652-2026</t>
        </is>
      </c>
      <c r="B630" s="1" t="n">
        <v>46141</v>
      </c>
      <c r="C630" s="1" t="n">
        <v>46189</v>
      </c>
      <c r="D630" t="inlineStr">
        <is>
          <t>DALARNAS LÄN</t>
        </is>
      </c>
      <c r="E630" t="inlineStr">
        <is>
          <t>MORA</t>
        </is>
      </c>
      <c r="G630" t="n">
        <v>3</v>
      </c>
      <c r="H630" t="n">
        <v>0</v>
      </c>
      <c r="I630" t="n">
        <v>0</v>
      </c>
      <c r="J630" t="n">
        <v>0</v>
      </c>
      <c r="K630" t="n">
        <v>0</v>
      </c>
      <c r="L630" t="n">
        <v>0</v>
      </c>
      <c r="M630" t="n">
        <v>0</v>
      </c>
      <c r="N630" t="n">
        <v>0</v>
      </c>
      <c r="O630" t="n">
        <v>0</v>
      </c>
      <c r="P630" t="n">
        <v>0</v>
      </c>
      <c r="Q630" t="n">
        <v>0</v>
      </c>
      <c r="R630" s="2" t="inlineStr"/>
    </row>
    <row r="631" ht="15" customHeight="1">
      <c r="A631" t="inlineStr">
        <is>
          <t>A 20952-2026</t>
        </is>
      </c>
      <c r="B631" s="1" t="n">
        <v>46142.52773148148</v>
      </c>
      <c r="C631" s="1" t="n">
        <v>46189</v>
      </c>
      <c r="D631" t="inlineStr">
        <is>
          <t>DALARNAS LÄN</t>
        </is>
      </c>
      <c r="E631" t="inlineStr">
        <is>
          <t>MORA</t>
        </is>
      </c>
      <c r="F631" t="inlineStr">
        <is>
          <t>Bergvik skog öst AB</t>
        </is>
      </c>
      <c r="G631" t="n">
        <v>1.8</v>
      </c>
      <c r="H631" t="n">
        <v>0</v>
      </c>
      <c r="I631" t="n">
        <v>0</v>
      </c>
      <c r="J631" t="n">
        <v>0</v>
      </c>
      <c r="K631" t="n">
        <v>0</v>
      </c>
      <c r="L631" t="n">
        <v>0</v>
      </c>
      <c r="M631" t="n">
        <v>0</v>
      </c>
      <c r="N631" t="n">
        <v>0</v>
      </c>
      <c r="O631" t="n">
        <v>0</v>
      </c>
      <c r="P631" t="n">
        <v>0</v>
      </c>
      <c r="Q631" t="n">
        <v>0</v>
      </c>
      <c r="R631" s="2" t="inlineStr"/>
    </row>
    <row r="632" ht="15" customHeight="1">
      <c r="A632" t="inlineStr">
        <is>
          <t>A 21502-2026</t>
        </is>
      </c>
      <c r="B632" s="1" t="n">
        <v>46148</v>
      </c>
      <c r="C632" s="1" t="n">
        <v>46189</v>
      </c>
      <c r="D632" t="inlineStr">
        <is>
          <t>DALARNAS LÄN</t>
        </is>
      </c>
      <c r="E632" t="inlineStr">
        <is>
          <t>MORA</t>
        </is>
      </c>
      <c r="F632" t="inlineStr">
        <is>
          <t>Bergvik skog öst AB</t>
        </is>
      </c>
      <c r="G632" t="n">
        <v>5.1</v>
      </c>
      <c r="H632" t="n">
        <v>0</v>
      </c>
      <c r="I632" t="n">
        <v>0</v>
      </c>
      <c r="J632" t="n">
        <v>0</v>
      </c>
      <c r="K632" t="n">
        <v>0</v>
      </c>
      <c r="L632" t="n">
        <v>0</v>
      </c>
      <c r="M632" t="n">
        <v>0</v>
      </c>
      <c r="N632" t="n">
        <v>0</v>
      </c>
      <c r="O632" t="n">
        <v>0</v>
      </c>
      <c r="P632" t="n">
        <v>0</v>
      </c>
      <c r="Q632" t="n">
        <v>0</v>
      </c>
      <c r="R632" s="2" t="inlineStr"/>
    </row>
    <row r="633" ht="15" customHeight="1">
      <c r="A633" t="inlineStr">
        <is>
          <t>A 20972-2026</t>
        </is>
      </c>
      <c r="B633" s="1" t="n">
        <v>46142.56429398148</v>
      </c>
      <c r="C633" s="1" t="n">
        <v>46189</v>
      </c>
      <c r="D633" t="inlineStr">
        <is>
          <t>DALARNAS LÄN</t>
        </is>
      </c>
      <c r="E633" t="inlineStr">
        <is>
          <t>MORA</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20677-2026</t>
        </is>
      </c>
      <c r="B634" s="1" t="n">
        <v>46141.44694444445</v>
      </c>
      <c r="C634" s="1" t="n">
        <v>46189</v>
      </c>
      <c r="D634" t="inlineStr">
        <is>
          <t>DALARNAS LÄN</t>
        </is>
      </c>
      <c r="E634" t="inlineStr">
        <is>
          <t>MORA</t>
        </is>
      </c>
      <c r="G634" t="n">
        <v>1.7</v>
      </c>
      <c r="H634" t="n">
        <v>0</v>
      </c>
      <c r="I634" t="n">
        <v>0</v>
      </c>
      <c r="J634" t="n">
        <v>0</v>
      </c>
      <c r="K634" t="n">
        <v>0</v>
      </c>
      <c r="L634" t="n">
        <v>0</v>
      </c>
      <c r="M634" t="n">
        <v>0</v>
      </c>
      <c r="N634" t="n">
        <v>0</v>
      </c>
      <c r="O634" t="n">
        <v>0</v>
      </c>
      <c r="P634" t="n">
        <v>0</v>
      </c>
      <c r="Q634" t="n">
        <v>0</v>
      </c>
      <c r="R634" s="2" t="inlineStr"/>
    </row>
    <row r="635" ht="15" customHeight="1">
      <c r="A635" t="inlineStr">
        <is>
          <t>A 35407-2025</t>
        </is>
      </c>
      <c r="B635" s="1" t="n">
        <v>45855.35989583333</v>
      </c>
      <c r="C635" s="1" t="n">
        <v>46189</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row>
    <row r="636" ht="15" customHeight="1">
      <c r="A636" t="inlineStr">
        <is>
          <t>A 20978-2026</t>
        </is>
      </c>
      <c r="B636" s="1" t="n">
        <v>46142.57876157408</v>
      </c>
      <c r="C636" s="1" t="n">
        <v>46189</v>
      </c>
      <c r="D636" t="inlineStr">
        <is>
          <t>DALARNAS LÄN</t>
        </is>
      </c>
      <c r="E636" t="inlineStr">
        <is>
          <t>MORA</t>
        </is>
      </c>
      <c r="F636" t="inlineStr">
        <is>
          <t>Bergvik skog öst AB</t>
        </is>
      </c>
      <c r="G636" t="n">
        <v>5.2</v>
      </c>
      <c r="H636" t="n">
        <v>0</v>
      </c>
      <c r="I636" t="n">
        <v>0</v>
      </c>
      <c r="J636" t="n">
        <v>0</v>
      </c>
      <c r="K636" t="n">
        <v>0</v>
      </c>
      <c r="L636" t="n">
        <v>0</v>
      </c>
      <c r="M636" t="n">
        <v>0</v>
      </c>
      <c r="N636" t="n">
        <v>0</v>
      </c>
      <c r="O636" t="n">
        <v>0</v>
      </c>
      <c r="P636" t="n">
        <v>0</v>
      </c>
      <c r="Q636" t="n">
        <v>0</v>
      </c>
      <c r="R636" s="2" t="inlineStr"/>
    </row>
    <row r="637" ht="15" customHeight="1">
      <c r="A637" t="inlineStr">
        <is>
          <t>A 35734-2025</t>
        </is>
      </c>
      <c r="B637" s="1" t="n">
        <v>45860.471875</v>
      </c>
      <c r="C637" s="1" t="n">
        <v>46189</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9277-2024</t>
        </is>
      </c>
      <c r="B638" s="1" t="n">
        <v>45358.63265046296</v>
      </c>
      <c r="C638" s="1" t="n">
        <v>46189</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36041-2025</t>
        </is>
      </c>
      <c r="B639" s="1" t="n">
        <v>45866.34385416667</v>
      </c>
      <c r="C639" s="1" t="n">
        <v>46189</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26774-2026</t>
        </is>
      </c>
      <c r="B640" s="1" t="n">
        <v>46184.66060185185</v>
      </c>
      <c r="C640" s="1" t="n">
        <v>46189</v>
      </c>
      <c r="D640" t="inlineStr">
        <is>
          <t>DALARNAS LÄN</t>
        </is>
      </c>
      <c r="E640" t="inlineStr">
        <is>
          <t>MORA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20656-2026</t>
        </is>
      </c>
      <c r="B641" s="1" t="n">
        <v>46141.41859953704</v>
      </c>
      <c r="C641" s="1" t="n">
        <v>46189</v>
      </c>
      <c r="D641" t="inlineStr">
        <is>
          <t>DALARNAS LÄN</t>
        </is>
      </c>
      <c r="E641" t="inlineStr">
        <is>
          <t>MORA</t>
        </is>
      </c>
      <c r="G641" t="n">
        <v>0.5</v>
      </c>
      <c r="H641" t="n">
        <v>0</v>
      </c>
      <c r="I641" t="n">
        <v>0</v>
      </c>
      <c r="J641" t="n">
        <v>0</v>
      </c>
      <c r="K641" t="n">
        <v>0</v>
      </c>
      <c r="L641" t="n">
        <v>0</v>
      </c>
      <c r="M641" t="n">
        <v>0</v>
      </c>
      <c r="N641" t="n">
        <v>0</v>
      </c>
      <c r="O641" t="n">
        <v>0</v>
      </c>
      <c r="P641" t="n">
        <v>0</v>
      </c>
      <c r="Q641" t="n">
        <v>0</v>
      </c>
      <c r="R641" s="2" t="inlineStr"/>
    </row>
    <row r="642" ht="15" customHeight="1">
      <c r="A642" t="inlineStr">
        <is>
          <t>A 21480-2026</t>
        </is>
      </c>
      <c r="B642" s="1" t="n">
        <v>46148</v>
      </c>
      <c r="C642" s="1" t="n">
        <v>46189</v>
      </c>
      <c r="D642" t="inlineStr">
        <is>
          <t>DALARNAS LÄN</t>
        </is>
      </c>
      <c r="E642" t="inlineStr">
        <is>
          <t>MORA</t>
        </is>
      </c>
      <c r="G642" t="n">
        <v>12.8</v>
      </c>
      <c r="H642" t="n">
        <v>0</v>
      </c>
      <c r="I642" t="n">
        <v>0</v>
      </c>
      <c r="J642" t="n">
        <v>0</v>
      </c>
      <c r="K642" t="n">
        <v>0</v>
      </c>
      <c r="L642" t="n">
        <v>0</v>
      </c>
      <c r="M642" t="n">
        <v>0</v>
      </c>
      <c r="N642" t="n">
        <v>0</v>
      </c>
      <c r="O642" t="n">
        <v>0</v>
      </c>
      <c r="P642" t="n">
        <v>0</v>
      </c>
      <c r="Q642" t="n">
        <v>0</v>
      </c>
      <c r="R642" s="2" t="inlineStr"/>
    </row>
    <row r="643" ht="15" customHeight="1">
      <c r="A643" t="inlineStr">
        <is>
          <t>A 21498-2026</t>
        </is>
      </c>
      <c r="B643" s="1" t="n">
        <v>46148</v>
      </c>
      <c r="C643" s="1" t="n">
        <v>46189</v>
      </c>
      <c r="D643" t="inlineStr">
        <is>
          <t>DALARNAS LÄN</t>
        </is>
      </c>
      <c r="E643" t="inlineStr">
        <is>
          <t>MORA</t>
        </is>
      </c>
      <c r="F643" t="inlineStr">
        <is>
          <t>Bergvik skog öst AB</t>
        </is>
      </c>
      <c r="G643" t="n">
        <v>4</v>
      </c>
      <c r="H643" t="n">
        <v>0</v>
      </c>
      <c r="I643" t="n">
        <v>0</v>
      </c>
      <c r="J643" t="n">
        <v>0</v>
      </c>
      <c r="K643" t="n">
        <v>0</v>
      </c>
      <c r="L643" t="n">
        <v>0</v>
      </c>
      <c r="M643" t="n">
        <v>0</v>
      </c>
      <c r="N643" t="n">
        <v>0</v>
      </c>
      <c r="O643" t="n">
        <v>0</v>
      </c>
      <c r="P643" t="n">
        <v>0</v>
      </c>
      <c r="Q643" t="n">
        <v>0</v>
      </c>
      <c r="R643" s="2" t="inlineStr"/>
    </row>
    <row r="644" ht="15" customHeight="1">
      <c r="A644" t="inlineStr">
        <is>
          <t>A 20650-2026</t>
        </is>
      </c>
      <c r="B644" s="1" t="n">
        <v>46141</v>
      </c>
      <c r="C644" s="1" t="n">
        <v>46189</v>
      </c>
      <c r="D644" t="inlineStr">
        <is>
          <t>DALARNAS LÄN</t>
        </is>
      </c>
      <c r="E644" t="inlineStr">
        <is>
          <t>MORA</t>
        </is>
      </c>
      <c r="G644" t="n">
        <v>9.9</v>
      </c>
      <c r="H644" t="n">
        <v>0</v>
      </c>
      <c r="I644" t="n">
        <v>0</v>
      </c>
      <c r="J644" t="n">
        <v>0</v>
      </c>
      <c r="K644" t="n">
        <v>0</v>
      </c>
      <c r="L644" t="n">
        <v>0</v>
      </c>
      <c r="M644" t="n">
        <v>0</v>
      </c>
      <c r="N644" t="n">
        <v>0</v>
      </c>
      <c r="O644" t="n">
        <v>0</v>
      </c>
      <c r="P644" t="n">
        <v>0</v>
      </c>
      <c r="Q644" t="n">
        <v>0</v>
      </c>
      <c r="R644" s="2" t="inlineStr"/>
    </row>
    <row r="645" ht="15" customHeight="1">
      <c r="A645" t="inlineStr">
        <is>
          <t>A 45355-2024</t>
        </is>
      </c>
      <c r="B645" s="1" t="n">
        <v>45576</v>
      </c>
      <c r="C645" s="1" t="n">
        <v>46189</v>
      </c>
      <c r="D645" t="inlineStr">
        <is>
          <t>DALARNAS LÄN</t>
        </is>
      </c>
      <c r="E645" t="inlineStr">
        <is>
          <t>MORA</t>
        </is>
      </c>
      <c r="G645" t="n">
        <v>1.4</v>
      </c>
      <c r="H645" t="n">
        <v>0</v>
      </c>
      <c r="I645" t="n">
        <v>0</v>
      </c>
      <c r="J645" t="n">
        <v>0</v>
      </c>
      <c r="K645" t="n">
        <v>0</v>
      </c>
      <c r="L645" t="n">
        <v>0</v>
      </c>
      <c r="M645" t="n">
        <v>0</v>
      </c>
      <c r="N645" t="n">
        <v>0</v>
      </c>
      <c r="O645" t="n">
        <v>0</v>
      </c>
      <c r="P645" t="n">
        <v>0</v>
      </c>
      <c r="Q645" t="n">
        <v>0</v>
      </c>
      <c r="R645" s="2" t="inlineStr"/>
    </row>
    <row r="646" ht="15" customHeight="1">
      <c r="A646" t="inlineStr">
        <is>
          <t>A 20837-2026</t>
        </is>
      </c>
      <c r="B646" s="1" t="n">
        <v>46142</v>
      </c>
      <c r="C646" s="1" t="n">
        <v>46189</v>
      </c>
      <c r="D646" t="inlineStr">
        <is>
          <t>DALARNAS LÄN</t>
        </is>
      </c>
      <c r="E646" t="inlineStr">
        <is>
          <t>MORA</t>
        </is>
      </c>
      <c r="G646" t="n">
        <v>12.4</v>
      </c>
      <c r="H646" t="n">
        <v>0</v>
      </c>
      <c r="I646" t="n">
        <v>0</v>
      </c>
      <c r="J646" t="n">
        <v>0</v>
      </c>
      <c r="K646" t="n">
        <v>0</v>
      </c>
      <c r="L646" t="n">
        <v>0</v>
      </c>
      <c r="M646" t="n">
        <v>0</v>
      </c>
      <c r="N646" t="n">
        <v>0</v>
      </c>
      <c r="O646" t="n">
        <v>0</v>
      </c>
      <c r="P646" t="n">
        <v>0</v>
      </c>
      <c r="Q646" t="n">
        <v>0</v>
      </c>
      <c r="R646" s="2" t="inlineStr"/>
    </row>
    <row r="647" ht="15" customHeight="1">
      <c r="A647" t="inlineStr">
        <is>
          <t>A 20649-2026</t>
        </is>
      </c>
      <c r="B647" s="1" t="n">
        <v>46141.38851851852</v>
      </c>
      <c r="C647" s="1" t="n">
        <v>46189</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20655-2026</t>
        </is>
      </c>
      <c r="B648" s="1" t="n">
        <v>46141.41471064815</v>
      </c>
      <c r="C648" s="1" t="n">
        <v>46189</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22854-2023</t>
        </is>
      </c>
      <c r="B649" s="1" t="n">
        <v>45072</v>
      </c>
      <c r="C649" s="1" t="n">
        <v>46189</v>
      </c>
      <c r="D649" t="inlineStr">
        <is>
          <t>DALARNAS LÄN</t>
        </is>
      </c>
      <c r="E649" t="inlineStr">
        <is>
          <t>MORA</t>
        </is>
      </c>
      <c r="G649" t="n">
        <v>3.3</v>
      </c>
      <c r="H649" t="n">
        <v>0</v>
      </c>
      <c r="I649" t="n">
        <v>0</v>
      </c>
      <c r="J649" t="n">
        <v>0</v>
      </c>
      <c r="K649" t="n">
        <v>0</v>
      </c>
      <c r="L649" t="n">
        <v>0</v>
      </c>
      <c r="M649" t="n">
        <v>0</v>
      </c>
      <c r="N649" t="n">
        <v>0</v>
      </c>
      <c r="O649" t="n">
        <v>0</v>
      </c>
      <c r="P649" t="n">
        <v>0</v>
      </c>
      <c r="Q649" t="n">
        <v>0</v>
      </c>
      <c r="R649" s="2" t="inlineStr"/>
    </row>
    <row r="650" ht="15" customHeight="1">
      <c r="A650" t="inlineStr">
        <is>
          <t>A 23437-2026</t>
        </is>
      </c>
      <c r="B650" s="1" t="n">
        <v>46163.3437037037</v>
      </c>
      <c r="C650" s="1" t="n">
        <v>46189</v>
      </c>
      <c r="D650" t="inlineStr">
        <is>
          <t>DALARNAS LÄN</t>
        </is>
      </c>
      <c r="E650" t="inlineStr">
        <is>
          <t>MORA</t>
        </is>
      </c>
      <c r="G650" t="n">
        <v>15.5</v>
      </c>
      <c r="H650" t="n">
        <v>0</v>
      </c>
      <c r="I650" t="n">
        <v>0</v>
      </c>
      <c r="J650" t="n">
        <v>0</v>
      </c>
      <c r="K650" t="n">
        <v>0</v>
      </c>
      <c r="L650" t="n">
        <v>0</v>
      </c>
      <c r="M650" t="n">
        <v>0</v>
      </c>
      <c r="N650" t="n">
        <v>0</v>
      </c>
      <c r="O650" t="n">
        <v>0</v>
      </c>
      <c r="P650" t="n">
        <v>0</v>
      </c>
      <c r="Q650" t="n">
        <v>0</v>
      </c>
      <c r="R650" s="2" t="inlineStr"/>
    </row>
    <row r="651" ht="15" customHeight="1">
      <c r="A651" t="inlineStr">
        <is>
          <t>A 36846-2025</t>
        </is>
      </c>
      <c r="B651" s="1" t="n">
        <v>45874.38655092593</v>
      </c>
      <c r="C651" s="1" t="n">
        <v>46189</v>
      </c>
      <c r="D651" t="inlineStr">
        <is>
          <t>DALARNAS LÄN</t>
        </is>
      </c>
      <c r="E651" t="inlineStr">
        <is>
          <t>MORA</t>
        </is>
      </c>
      <c r="G651" t="n">
        <v>10.7</v>
      </c>
      <c r="H651" t="n">
        <v>0</v>
      </c>
      <c r="I651" t="n">
        <v>0</v>
      </c>
      <c r="J651" t="n">
        <v>0</v>
      </c>
      <c r="K651" t="n">
        <v>0</v>
      </c>
      <c r="L651" t="n">
        <v>0</v>
      </c>
      <c r="M651" t="n">
        <v>0</v>
      </c>
      <c r="N651" t="n">
        <v>0</v>
      </c>
      <c r="O651" t="n">
        <v>0</v>
      </c>
      <c r="P651" t="n">
        <v>0</v>
      </c>
      <c r="Q651" t="n">
        <v>0</v>
      </c>
      <c r="R651" s="2" t="inlineStr"/>
    </row>
    <row r="652" ht="15" customHeight="1">
      <c r="A652" t="inlineStr">
        <is>
          <t>A 26827-2026</t>
        </is>
      </c>
      <c r="B652" s="1" t="n">
        <v>46185.36299768519</v>
      </c>
      <c r="C652" s="1" t="n">
        <v>46189</v>
      </c>
      <c r="D652" t="inlineStr">
        <is>
          <t>DALARNAS LÄN</t>
        </is>
      </c>
      <c r="E652" t="inlineStr">
        <is>
          <t>MORA</t>
        </is>
      </c>
      <c r="F652" t="inlineStr">
        <is>
          <t>Bergvik skog öst AB</t>
        </is>
      </c>
      <c r="G652" t="n">
        <v>2.9</v>
      </c>
      <c r="H652" t="n">
        <v>0</v>
      </c>
      <c r="I652" t="n">
        <v>0</v>
      </c>
      <c r="J652" t="n">
        <v>0</v>
      </c>
      <c r="K652" t="n">
        <v>0</v>
      </c>
      <c r="L652" t="n">
        <v>0</v>
      </c>
      <c r="M652" t="n">
        <v>0</v>
      </c>
      <c r="N652" t="n">
        <v>0</v>
      </c>
      <c r="O652" t="n">
        <v>0</v>
      </c>
      <c r="P652" t="n">
        <v>0</v>
      </c>
      <c r="Q652" t="n">
        <v>0</v>
      </c>
      <c r="R652" s="2" t="inlineStr"/>
    </row>
    <row r="653" ht="15" customHeight="1">
      <c r="A653" t="inlineStr">
        <is>
          <t>A 20400-2026</t>
        </is>
      </c>
      <c r="B653" s="1" t="n">
        <v>46139</v>
      </c>
      <c r="C653" s="1" t="n">
        <v>46189</v>
      </c>
      <c r="D653" t="inlineStr">
        <is>
          <t>DALARNAS LÄN</t>
        </is>
      </c>
      <c r="E653" t="inlineStr">
        <is>
          <t>MORA</t>
        </is>
      </c>
      <c r="F653" t="inlineStr">
        <is>
          <t>Bergvik skog öst AB</t>
        </is>
      </c>
      <c r="G653" t="n">
        <v>3.8</v>
      </c>
      <c r="H653" t="n">
        <v>0</v>
      </c>
      <c r="I653" t="n">
        <v>0</v>
      </c>
      <c r="J653" t="n">
        <v>0</v>
      </c>
      <c r="K653" t="n">
        <v>0</v>
      </c>
      <c r="L653" t="n">
        <v>0</v>
      </c>
      <c r="M653" t="n">
        <v>0</v>
      </c>
      <c r="N653" t="n">
        <v>0</v>
      </c>
      <c r="O653" t="n">
        <v>0</v>
      </c>
      <c r="P653" t="n">
        <v>0</v>
      </c>
      <c r="Q653" t="n">
        <v>0</v>
      </c>
      <c r="R653" s="2" t="inlineStr"/>
    </row>
    <row r="654" ht="15" customHeight="1">
      <c r="A654" t="inlineStr">
        <is>
          <t>A 37268-2025</t>
        </is>
      </c>
      <c r="B654" s="1" t="n">
        <v>45876.46681712963</v>
      </c>
      <c r="C654" s="1" t="n">
        <v>46189</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5763-2026</t>
        </is>
      </c>
      <c r="B655" s="1" t="n">
        <v>46051</v>
      </c>
      <c r="C655" s="1" t="n">
        <v>46189</v>
      </c>
      <c r="D655" t="inlineStr">
        <is>
          <t>DALARNAS LÄN</t>
        </is>
      </c>
      <c r="E655" t="inlineStr">
        <is>
          <t>MORA</t>
        </is>
      </c>
      <c r="G655" t="n">
        <v>0.3</v>
      </c>
      <c r="H655" t="n">
        <v>0</v>
      </c>
      <c r="I655" t="n">
        <v>0</v>
      </c>
      <c r="J655" t="n">
        <v>0</v>
      </c>
      <c r="K655" t="n">
        <v>0</v>
      </c>
      <c r="L655" t="n">
        <v>0</v>
      </c>
      <c r="M655" t="n">
        <v>0</v>
      </c>
      <c r="N655" t="n">
        <v>0</v>
      </c>
      <c r="O655" t="n">
        <v>0</v>
      </c>
      <c r="P655" t="n">
        <v>0</v>
      </c>
      <c r="Q655" t="n">
        <v>0</v>
      </c>
      <c r="R655" s="2" t="inlineStr"/>
    </row>
    <row r="656" ht="15" customHeight="1">
      <c r="A656" t="inlineStr">
        <is>
          <t>A 14745-2026</t>
        </is>
      </c>
      <c r="B656" s="1" t="n">
        <v>46101</v>
      </c>
      <c r="C656" s="1" t="n">
        <v>46189</v>
      </c>
      <c r="D656" t="inlineStr">
        <is>
          <t>DALARNAS LÄN</t>
        </is>
      </c>
      <c r="E656" t="inlineStr">
        <is>
          <t>MORA</t>
        </is>
      </c>
      <c r="F656" t="inlineStr">
        <is>
          <t>Bergvik skog öst AB</t>
        </is>
      </c>
      <c r="G656" t="n">
        <v>10.9</v>
      </c>
      <c r="H656" t="n">
        <v>0</v>
      </c>
      <c r="I656" t="n">
        <v>0</v>
      </c>
      <c r="J656" t="n">
        <v>0</v>
      </c>
      <c r="K656" t="n">
        <v>0</v>
      </c>
      <c r="L656" t="n">
        <v>0</v>
      </c>
      <c r="M656" t="n">
        <v>0</v>
      </c>
      <c r="N656" t="n">
        <v>0</v>
      </c>
      <c r="O656" t="n">
        <v>0</v>
      </c>
      <c r="P656" t="n">
        <v>0</v>
      </c>
      <c r="Q656" t="n">
        <v>0</v>
      </c>
      <c r="R656" s="2" t="inlineStr"/>
    </row>
    <row r="657" ht="15" customHeight="1">
      <c r="A657" t="inlineStr">
        <is>
          <t>A 20634-2026</t>
        </is>
      </c>
      <c r="B657" s="1" t="n">
        <v>46141</v>
      </c>
      <c r="C657" s="1" t="n">
        <v>46189</v>
      </c>
      <c r="D657" t="inlineStr">
        <is>
          <t>DALARNAS LÄN</t>
        </is>
      </c>
      <c r="E657" t="inlineStr">
        <is>
          <t>MORA</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27168-2026</t>
        </is>
      </c>
      <c r="B658" s="1" t="n">
        <v>46188.43065972222</v>
      </c>
      <c r="C658" s="1" t="n">
        <v>46189</v>
      </c>
      <c r="D658" t="inlineStr">
        <is>
          <t>DALARNAS LÄN</t>
        </is>
      </c>
      <c r="E658" t="inlineStr">
        <is>
          <t>MORA</t>
        </is>
      </c>
      <c r="G658" t="n">
        <v>0.9</v>
      </c>
      <c r="H658" t="n">
        <v>0</v>
      </c>
      <c r="I658" t="n">
        <v>0</v>
      </c>
      <c r="J658" t="n">
        <v>0</v>
      </c>
      <c r="K658" t="n">
        <v>0</v>
      </c>
      <c r="L658" t="n">
        <v>0</v>
      </c>
      <c r="M658" t="n">
        <v>0</v>
      </c>
      <c r="N658" t="n">
        <v>0</v>
      </c>
      <c r="O658" t="n">
        <v>0</v>
      </c>
      <c r="P658" t="n">
        <v>0</v>
      </c>
      <c r="Q658" t="n">
        <v>0</v>
      </c>
      <c r="R658" s="2" t="inlineStr"/>
    </row>
    <row r="659" ht="15" customHeight="1">
      <c r="A659" t="inlineStr">
        <is>
          <t>A 37879-2025</t>
        </is>
      </c>
      <c r="B659" s="1" t="n">
        <v>45881.48791666667</v>
      </c>
      <c r="C659" s="1" t="n">
        <v>46189</v>
      </c>
      <c r="D659" t="inlineStr">
        <is>
          <t>DALARNAS LÄN</t>
        </is>
      </c>
      <c r="E659" t="inlineStr">
        <is>
          <t>MORA</t>
        </is>
      </c>
      <c r="G659" t="n">
        <v>1.4</v>
      </c>
      <c r="H659" t="n">
        <v>0</v>
      </c>
      <c r="I659" t="n">
        <v>0</v>
      </c>
      <c r="J659" t="n">
        <v>0</v>
      </c>
      <c r="K659" t="n">
        <v>0</v>
      </c>
      <c r="L659" t="n">
        <v>0</v>
      </c>
      <c r="M659" t="n">
        <v>0</v>
      </c>
      <c r="N659" t="n">
        <v>0</v>
      </c>
      <c r="O659" t="n">
        <v>0</v>
      </c>
      <c r="P659" t="n">
        <v>0</v>
      </c>
      <c r="Q659" t="n">
        <v>0</v>
      </c>
      <c r="R659" s="2" t="inlineStr"/>
    </row>
    <row r="660" ht="15" customHeight="1">
      <c r="A660" t="inlineStr">
        <is>
          <t>A 21209-2026</t>
        </is>
      </c>
      <c r="B660" s="1" t="n">
        <v>46146.67111111111</v>
      </c>
      <c r="C660" s="1" t="n">
        <v>46189</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21391-2026</t>
        </is>
      </c>
      <c r="B661" s="1" t="n">
        <v>46147</v>
      </c>
      <c r="C661" s="1" t="n">
        <v>46189</v>
      </c>
      <c r="D661" t="inlineStr">
        <is>
          <t>DALARNAS LÄN</t>
        </is>
      </c>
      <c r="E661" t="inlineStr">
        <is>
          <t>MORA</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53527-2024</t>
        </is>
      </c>
      <c r="B662" s="1" t="n">
        <v>45614.61569444444</v>
      </c>
      <c r="C662" s="1" t="n">
        <v>46189</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23435-2026</t>
        </is>
      </c>
      <c r="B663" s="1" t="n">
        <v>46163</v>
      </c>
      <c r="C663" s="1" t="n">
        <v>46189</v>
      </c>
      <c r="D663" t="inlineStr">
        <is>
          <t>DALARNAS LÄN</t>
        </is>
      </c>
      <c r="E663" t="inlineStr">
        <is>
          <t>MORA</t>
        </is>
      </c>
      <c r="G663" t="n">
        <v>2.9</v>
      </c>
      <c r="H663" t="n">
        <v>0</v>
      </c>
      <c r="I663" t="n">
        <v>0</v>
      </c>
      <c r="J663" t="n">
        <v>0</v>
      </c>
      <c r="K663" t="n">
        <v>0</v>
      </c>
      <c r="L663" t="n">
        <v>0</v>
      </c>
      <c r="M663" t="n">
        <v>0</v>
      </c>
      <c r="N663" t="n">
        <v>0</v>
      </c>
      <c r="O663" t="n">
        <v>0</v>
      </c>
      <c r="P663" t="n">
        <v>0</v>
      </c>
      <c r="Q663" t="n">
        <v>0</v>
      </c>
      <c r="R663" s="2" t="inlineStr"/>
    </row>
    <row r="664" ht="15" customHeight="1">
      <c r="A664" t="inlineStr">
        <is>
          <t>A 23442-2026</t>
        </is>
      </c>
      <c r="B664" s="1" t="n">
        <v>46163.35483796296</v>
      </c>
      <c r="C664" s="1" t="n">
        <v>46189</v>
      </c>
      <c r="D664" t="inlineStr">
        <is>
          <t>DALARNAS LÄN</t>
        </is>
      </c>
      <c r="E664" t="inlineStr">
        <is>
          <t>MORA</t>
        </is>
      </c>
      <c r="G664" t="n">
        <v>1.9</v>
      </c>
      <c r="H664" t="n">
        <v>0</v>
      </c>
      <c r="I664" t="n">
        <v>0</v>
      </c>
      <c r="J664" t="n">
        <v>0</v>
      </c>
      <c r="K664" t="n">
        <v>0</v>
      </c>
      <c r="L664" t="n">
        <v>0</v>
      </c>
      <c r="M664" t="n">
        <v>0</v>
      </c>
      <c r="N664" t="n">
        <v>0</v>
      </c>
      <c r="O664" t="n">
        <v>0</v>
      </c>
      <c r="P664" t="n">
        <v>0</v>
      </c>
      <c r="Q664" t="n">
        <v>0</v>
      </c>
      <c r="R664" s="2" t="inlineStr"/>
    </row>
    <row r="665" ht="15" customHeight="1">
      <c r="A665" t="inlineStr">
        <is>
          <t>A 21393-2026</t>
        </is>
      </c>
      <c r="B665" s="1" t="n">
        <v>46147</v>
      </c>
      <c r="C665" s="1" t="n">
        <v>46189</v>
      </c>
      <c r="D665" t="inlineStr">
        <is>
          <t>DALARNAS LÄN</t>
        </is>
      </c>
      <c r="E665" t="inlineStr">
        <is>
          <t>MORA</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c r="A666" t="inlineStr">
        <is>
          <t>A 61278-2024</t>
        </is>
      </c>
      <c r="B666" s="1" t="n">
        <v>45645.76561342592</v>
      </c>
      <c r="C666" s="1" t="n">
        <v>46189</v>
      </c>
      <c r="D666" t="inlineStr">
        <is>
          <t>DALARNAS LÄN</t>
        </is>
      </c>
      <c r="E666" t="inlineStr">
        <is>
          <t>MORA</t>
        </is>
      </c>
      <c r="G666" t="n">
        <v>1.1</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2026-06-16T12:58:28Z</dcterms:created>
  <dcterms:modified xmlns:dcterms="http://purl.org/dc/terms/" xmlns:xsi="http://www.w3.org/2001/XMLSchema-instance" xsi:type="dcterms:W3CDTF">2026-06-16T12:58:29Z</dcterms:modified>
</cp:coreProperties>
</file>