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46045</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46045</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35200-2025</t>
        </is>
      </c>
      <c r="B12" s="1" t="n">
        <v>45853</v>
      </c>
      <c r="C12" s="1" t="n">
        <v>46045</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43504-2025</t>
        </is>
      </c>
      <c r="B13" s="1" t="n">
        <v>45911</v>
      </c>
      <c r="C13" s="1" t="n">
        <v>46045</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45199-2025</t>
        </is>
      </c>
      <c r="B14" s="1" t="n">
        <v>45919.56107638889</v>
      </c>
      <c r="C14" s="1" t="n">
        <v>46045</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46045</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46045</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46045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46045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46045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46045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46045</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46045</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46045</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46045</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46045</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46045</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46045</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46045</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46045</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46045</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46045</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46045</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46045</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46045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46045</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46045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46045</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46045</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46045</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46045</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46045</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46045</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46045</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62154-2025</t>
        </is>
      </c>
      <c r="B47" s="1" t="n">
        <v>46006.48664351852</v>
      </c>
      <c r="C47" s="1" t="n">
        <v>46045</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8760-2025</t>
        </is>
      </c>
      <c r="B48" s="1" t="n">
        <v>45712.57467592593</v>
      </c>
      <c r="C48" s="1" t="n">
        <v>46045</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46045</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46045</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46045</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58478-2025</t>
        </is>
      </c>
      <c r="B52" s="1" t="n">
        <v>45985.64645833334</v>
      </c>
      <c r="C52" s="1" t="n">
        <v>46045</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46045</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14293-2024</t>
        </is>
      </c>
      <c r="B54" s="1" t="n">
        <v>45393.63902777778</v>
      </c>
      <c r="C54" s="1" t="n">
        <v>46045</v>
      </c>
      <c r="D54" t="inlineStr">
        <is>
          <t>DALARNAS LÄN</t>
        </is>
      </c>
      <c r="E54" t="inlineStr">
        <is>
          <t>MORA</t>
        </is>
      </c>
      <c r="G54" t="n">
        <v>7.4</v>
      </c>
      <c r="H54" t="n">
        <v>2</v>
      </c>
      <c r="I54" t="n">
        <v>1</v>
      </c>
      <c r="J54" t="n">
        <v>2</v>
      </c>
      <c r="K54" t="n">
        <v>0</v>
      </c>
      <c r="L54" t="n">
        <v>0</v>
      </c>
      <c r="M54" t="n">
        <v>0</v>
      </c>
      <c r="N54" t="n">
        <v>0</v>
      </c>
      <c r="O54" t="n">
        <v>2</v>
      </c>
      <c r="P54" t="n">
        <v>0</v>
      </c>
      <c r="Q54" t="n">
        <v>4</v>
      </c>
      <c r="R54" s="2" t="inlineStr">
        <is>
          <t>Garnlav
Talltita
Dropptaggsvamp
Tjäder</t>
        </is>
      </c>
      <c r="S54">
        <f>HYPERLINK("https://klasma.github.io/Logging_2062/artfynd/A 14293-2024 artfynd.xlsx", "A 14293-2024")</f>
        <v/>
      </c>
      <c r="T54">
        <f>HYPERLINK("https://klasma.github.io/Logging_2062/kartor/A 14293-2024 karta.png", "A 14293-2024")</f>
        <v/>
      </c>
      <c r="V54">
        <f>HYPERLINK("https://klasma.github.io/Logging_2062/klagomål/A 14293-2024 FSC-klagomål.docx", "A 14293-2024")</f>
        <v/>
      </c>
      <c r="W54">
        <f>HYPERLINK("https://klasma.github.io/Logging_2062/klagomålsmail/A 14293-2024 FSC-klagomål mail.docx", "A 14293-2024")</f>
        <v/>
      </c>
      <c r="X54">
        <f>HYPERLINK("https://klasma.github.io/Logging_2062/tillsyn/A 14293-2024 tillsynsbegäran.docx", "A 14293-2024")</f>
        <v/>
      </c>
      <c r="Y54">
        <f>HYPERLINK("https://klasma.github.io/Logging_2062/tillsynsmail/A 14293-2024 tillsynsbegäran mail.docx", "A 14293-2024")</f>
        <v/>
      </c>
      <c r="Z54">
        <f>HYPERLINK("https://klasma.github.io/Logging_2062/fåglar/A 14293-2024 prioriterade fågelarter.docx", "A 14293-2024")</f>
        <v/>
      </c>
    </row>
    <row r="55" ht="15" customHeight="1">
      <c r="A55" t="inlineStr">
        <is>
          <t>A 17648-2024</t>
        </is>
      </c>
      <c r="B55" s="1" t="n">
        <v>45418.39261574074</v>
      </c>
      <c r="C55" s="1" t="n">
        <v>46045</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39478-2025</t>
        </is>
      </c>
      <c r="B56" s="1" t="n">
        <v>45890.3469212963</v>
      </c>
      <c r="C56" s="1" t="n">
        <v>46045</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46045</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14829-2025</t>
        </is>
      </c>
      <c r="B58" s="1" t="n">
        <v>45743.36951388889</v>
      </c>
      <c r="C58" s="1" t="n">
        <v>46045</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32222-2025</t>
        </is>
      </c>
      <c r="B59" s="1" t="n">
        <v>45835.59140046296</v>
      </c>
      <c r="C59" s="1" t="n">
        <v>46045</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34715-2025</t>
        </is>
      </c>
      <c r="B60" s="1" t="n">
        <v>45848</v>
      </c>
      <c r="C60" s="1" t="n">
        <v>46045</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46045</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39481-2025</t>
        </is>
      </c>
      <c r="B62" s="1" t="n">
        <v>45890.35545138889</v>
      </c>
      <c r="C62" s="1" t="n">
        <v>46045</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39481-2025 artfynd.xlsx", "A 39481-2025")</f>
        <v/>
      </c>
      <c r="T62">
        <f>HYPERLINK("https://klasma.github.io/Logging_2062/kartor/A 39481-2025 karta.png", "A 39481-2025")</f>
        <v/>
      </c>
      <c r="V62">
        <f>HYPERLINK("https://klasma.github.io/Logging_2062/klagomål/A 39481-2025 FSC-klagomål.docx", "A 39481-2025")</f>
        <v/>
      </c>
      <c r="W62">
        <f>HYPERLINK("https://klasma.github.io/Logging_2062/klagomålsmail/A 39481-2025 FSC-klagomål mail.docx", "A 39481-2025")</f>
        <v/>
      </c>
      <c r="X62">
        <f>HYPERLINK("https://klasma.github.io/Logging_2062/tillsyn/A 39481-2025 tillsynsbegäran.docx", "A 39481-2025")</f>
        <v/>
      </c>
      <c r="Y62">
        <f>HYPERLINK("https://klasma.github.io/Logging_2062/tillsynsmail/A 39481-2025 tillsynsbegäran mail.docx", "A 39481-2025")</f>
        <v/>
      </c>
      <c r="Z62">
        <f>HYPERLINK("https://klasma.github.io/Logging_2062/fåglar/A 39481-2025 prioriterade fågelarter.docx", "A 39481-2025")</f>
        <v/>
      </c>
    </row>
    <row r="63" ht="15" customHeight="1">
      <c r="A63" t="inlineStr">
        <is>
          <t>A 49695-2025</t>
        </is>
      </c>
      <c r="B63" s="1" t="n">
        <v>45939.67418981482</v>
      </c>
      <c r="C63" s="1" t="n">
        <v>46045</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49695-2025 artfynd.xlsx", "A 49695-2025")</f>
        <v/>
      </c>
      <c r="T63">
        <f>HYPERLINK("https://klasma.github.io/Logging_2062/kartor/A 49695-2025 karta.png", "A 49695-2025")</f>
        <v/>
      </c>
      <c r="V63">
        <f>HYPERLINK("https://klasma.github.io/Logging_2062/klagomål/A 49695-2025 FSC-klagomål.docx", "A 49695-2025")</f>
        <v/>
      </c>
      <c r="W63">
        <f>HYPERLINK("https://klasma.github.io/Logging_2062/klagomålsmail/A 49695-2025 FSC-klagomål mail.docx", "A 49695-2025")</f>
        <v/>
      </c>
      <c r="X63">
        <f>HYPERLINK("https://klasma.github.io/Logging_2062/tillsyn/A 49695-2025 tillsynsbegäran.docx", "A 49695-2025")</f>
        <v/>
      </c>
      <c r="Y63">
        <f>HYPERLINK("https://klasma.github.io/Logging_2062/tillsynsmail/A 49695-2025 tillsynsbegäran mail.docx", "A 49695-2025")</f>
        <v/>
      </c>
      <c r="Z63">
        <f>HYPERLINK("https://klasma.github.io/Logging_2062/fåglar/A 49695-2025 prioriterade fågelarter.docx", "A 49695-2025")</f>
        <v/>
      </c>
    </row>
    <row r="64" ht="15" customHeight="1">
      <c r="A64" t="inlineStr">
        <is>
          <t>A 23163-2025</t>
        </is>
      </c>
      <c r="B64" s="1" t="n">
        <v>45791.41832175926</v>
      </c>
      <c r="C64" s="1" t="n">
        <v>46045</v>
      </c>
      <c r="D64" t="inlineStr">
        <is>
          <t>DALARNAS LÄN</t>
        </is>
      </c>
      <c r="E64" t="inlineStr">
        <is>
          <t>MORA</t>
        </is>
      </c>
      <c r="G64" t="n">
        <v>4.2</v>
      </c>
      <c r="H64" t="n">
        <v>2</v>
      </c>
      <c r="I64" t="n">
        <v>0</v>
      </c>
      <c r="J64" t="n">
        <v>3</v>
      </c>
      <c r="K64" t="n">
        <v>0</v>
      </c>
      <c r="L64" t="n">
        <v>0</v>
      </c>
      <c r="M64" t="n">
        <v>0</v>
      </c>
      <c r="N64" t="n">
        <v>0</v>
      </c>
      <c r="O64" t="n">
        <v>3</v>
      </c>
      <c r="P64" t="n">
        <v>0</v>
      </c>
      <c r="Q64" t="n">
        <v>3</v>
      </c>
      <c r="R64" s="2" t="inlineStr">
        <is>
          <t>Garnlav
Spillkråka
Talltita</t>
        </is>
      </c>
      <c r="S64">
        <f>HYPERLINK("https://klasma.github.io/Logging_2062/artfynd/A 23163-2025 artfynd.xlsx", "A 23163-2025")</f>
        <v/>
      </c>
      <c r="T64">
        <f>HYPERLINK("https://klasma.github.io/Logging_2062/kartor/A 23163-2025 karta.png", "A 23163-2025")</f>
        <v/>
      </c>
      <c r="U64">
        <f>HYPERLINK("https://klasma.github.io/Logging_2062/knärot/A 23163-2025 karta knärot.png",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29392-2025</t>
        </is>
      </c>
      <c r="B65" s="1" t="n">
        <v>45824.60537037037</v>
      </c>
      <c r="C65" s="1" t="n">
        <v>46045</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35068-2025</t>
        </is>
      </c>
      <c r="B66" s="1" t="n">
        <v>45852.45686342593</v>
      </c>
      <c r="C66" s="1" t="n">
        <v>46045</v>
      </c>
      <c r="D66" t="inlineStr">
        <is>
          <t>DALARNAS LÄN</t>
        </is>
      </c>
      <c r="E66" t="inlineStr">
        <is>
          <t>MORA</t>
        </is>
      </c>
      <c r="G66" t="n">
        <v>0.7</v>
      </c>
      <c r="H66" t="n">
        <v>0</v>
      </c>
      <c r="I66" t="n">
        <v>1</v>
      </c>
      <c r="J66" t="n">
        <v>1</v>
      </c>
      <c r="K66" t="n">
        <v>0</v>
      </c>
      <c r="L66" t="n">
        <v>0</v>
      </c>
      <c r="M66" t="n">
        <v>0</v>
      </c>
      <c r="N66" t="n">
        <v>0</v>
      </c>
      <c r="O66" t="n">
        <v>1</v>
      </c>
      <c r="P66" t="n">
        <v>0</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37552-2023</t>
        </is>
      </c>
      <c r="B67" s="1" t="n">
        <v>45159.32799768518</v>
      </c>
      <c r="C67" s="1" t="n">
        <v>46045</v>
      </c>
      <c r="D67" t="inlineStr">
        <is>
          <t>DALARNAS LÄN</t>
        </is>
      </c>
      <c r="E67" t="inlineStr">
        <is>
          <t>MORA</t>
        </is>
      </c>
      <c r="G67" t="n">
        <v>4</v>
      </c>
      <c r="H67" t="n">
        <v>0</v>
      </c>
      <c r="I67" t="n">
        <v>0</v>
      </c>
      <c r="J67" t="n">
        <v>2</v>
      </c>
      <c r="K67" t="n">
        <v>0</v>
      </c>
      <c r="L67" t="n">
        <v>0</v>
      </c>
      <c r="M67" t="n">
        <v>0</v>
      </c>
      <c r="N67" t="n">
        <v>0</v>
      </c>
      <c r="O67" t="n">
        <v>2</v>
      </c>
      <c r="P67" t="n">
        <v>0</v>
      </c>
      <c r="Q67" t="n">
        <v>2</v>
      </c>
      <c r="R67" s="2" t="inlineStr">
        <is>
          <t>Garnlav
Tallticka</t>
        </is>
      </c>
      <c r="S67">
        <f>HYPERLINK("https://klasma.github.io/Logging_2062/artfynd/A 37552-2023 artfynd.xlsx", "A 37552-2023")</f>
        <v/>
      </c>
      <c r="T67">
        <f>HYPERLINK("https://klasma.github.io/Logging_2062/kartor/A 37552-2023 karta.png", "A 37552-2023")</f>
        <v/>
      </c>
      <c r="V67">
        <f>HYPERLINK("https://klasma.github.io/Logging_2062/klagomål/A 37552-2023 FSC-klagomål.docx", "A 37552-2023")</f>
        <v/>
      </c>
      <c r="W67">
        <f>HYPERLINK("https://klasma.github.io/Logging_2062/klagomålsmail/A 37552-2023 FSC-klagomål mail.docx", "A 37552-2023")</f>
        <v/>
      </c>
      <c r="X67">
        <f>HYPERLINK("https://klasma.github.io/Logging_2062/tillsyn/A 37552-2023 tillsynsbegäran.docx", "A 37552-2023")</f>
        <v/>
      </c>
      <c r="Y67">
        <f>HYPERLINK("https://klasma.github.io/Logging_2062/tillsynsmail/A 37552-2023 tillsynsbegäran mail.docx", "A 37552-2023")</f>
        <v/>
      </c>
    </row>
    <row r="68" ht="15" customHeight="1">
      <c r="A68" t="inlineStr">
        <is>
          <t>A 42028-2023</t>
        </is>
      </c>
      <c r="B68" s="1" t="n">
        <v>45177.49715277777</v>
      </c>
      <c r="C68" s="1" t="n">
        <v>46045</v>
      </c>
      <c r="D68" t="inlineStr">
        <is>
          <t>DALARNAS LÄN</t>
        </is>
      </c>
      <c r="E68" t="inlineStr">
        <is>
          <t>MORA</t>
        </is>
      </c>
      <c r="F68" t="inlineStr">
        <is>
          <t>Allmännings- och besparingsskogar</t>
        </is>
      </c>
      <c r="G68" t="n">
        <v>6.5</v>
      </c>
      <c r="H68" t="n">
        <v>0</v>
      </c>
      <c r="I68" t="n">
        <v>0</v>
      </c>
      <c r="J68" t="n">
        <v>2</v>
      </c>
      <c r="K68" t="n">
        <v>0</v>
      </c>
      <c r="L68" t="n">
        <v>0</v>
      </c>
      <c r="M68" t="n">
        <v>0</v>
      </c>
      <c r="N68" t="n">
        <v>0</v>
      </c>
      <c r="O68" t="n">
        <v>2</v>
      </c>
      <c r="P68" t="n">
        <v>0</v>
      </c>
      <c r="Q68" t="n">
        <v>2</v>
      </c>
      <c r="R68" s="2" t="inlineStr">
        <is>
          <t>Dvärgbägarlav
Vedskivlav</t>
        </is>
      </c>
      <c r="S68">
        <f>HYPERLINK("https://klasma.github.io/Logging_2062/artfynd/A 42028-2023 artfynd.xlsx", "A 42028-2023")</f>
        <v/>
      </c>
      <c r="T68">
        <f>HYPERLINK("https://klasma.github.io/Logging_2062/kartor/A 42028-2023 karta.png", "A 42028-2023")</f>
        <v/>
      </c>
      <c r="V68">
        <f>HYPERLINK("https://klasma.github.io/Logging_2062/klagomål/A 42028-2023 FSC-klagomål.docx", "A 42028-2023")</f>
        <v/>
      </c>
      <c r="W68">
        <f>HYPERLINK("https://klasma.github.io/Logging_2062/klagomålsmail/A 42028-2023 FSC-klagomål mail.docx", "A 42028-2023")</f>
        <v/>
      </c>
      <c r="X68">
        <f>HYPERLINK("https://klasma.github.io/Logging_2062/tillsyn/A 42028-2023 tillsynsbegäran.docx", "A 42028-2023")</f>
        <v/>
      </c>
      <c r="Y68">
        <f>HYPERLINK("https://klasma.github.io/Logging_2062/tillsynsmail/A 42028-2023 tillsynsbegäran mail.docx", "A 42028-2023")</f>
        <v/>
      </c>
    </row>
    <row r="69" ht="15" customHeight="1">
      <c r="A69" t="inlineStr">
        <is>
          <t>A 57669-2022</t>
        </is>
      </c>
      <c r="B69" s="1" t="n">
        <v>44897</v>
      </c>
      <c r="C69" s="1" t="n">
        <v>46045</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30328-2021</t>
        </is>
      </c>
      <c r="B70" s="1" t="n">
        <v>44364</v>
      </c>
      <c r="C70" s="1" t="n">
        <v>46045</v>
      </c>
      <c r="D70" t="inlineStr">
        <is>
          <t>DALARNAS LÄN</t>
        </is>
      </c>
      <c r="E70" t="inlineStr">
        <is>
          <t>MORA</t>
        </is>
      </c>
      <c r="F70" t="inlineStr">
        <is>
          <t>Bergvik skog öst AB</t>
        </is>
      </c>
      <c r="G70" t="n">
        <v>1.1</v>
      </c>
      <c r="H70" t="n">
        <v>1</v>
      </c>
      <c r="I70" t="n">
        <v>0</v>
      </c>
      <c r="J70" t="n">
        <v>1</v>
      </c>
      <c r="K70" t="n">
        <v>0</v>
      </c>
      <c r="L70" t="n">
        <v>0</v>
      </c>
      <c r="M70" t="n">
        <v>0</v>
      </c>
      <c r="N70" t="n">
        <v>0</v>
      </c>
      <c r="O70" t="n">
        <v>1</v>
      </c>
      <c r="P70" t="n">
        <v>0</v>
      </c>
      <c r="Q70" t="n">
        <v>1</v>
      </c>
      <c r="R70" s="2" t="inlineStr">
        <is>
          <t>Fjällvråk</t>
        </is>
      </c>
      <c r="S70">
        <f>HYPERLINK("https://klasma.github.io/Logging_2062/artfynd/A 30328-2021 artfynd.xlsx", "A 30328-2021")</f>
        <v/>
      </c>
      <c r="T70">
        <f>HYPERLINK("https://klasma.github.io/Logging_2062/kartor/A 30328-2021 karta.png", "A 30328-2021")</f>
        <v/>
      </c>
      <c r="V70">
        <f>HYPERLINK("https://klasma.github.io/Logging_2062/klagomål/A 30328-2021 FSC-klagomål.docx", "A 30328-2021")</f>
        <v/>
      </c>
      <c r="W70">
        <f>HYPERLINK("https://klasma.github.io/Logging_2062/klagomålsmail/A 30328-2021 FSC-klagomål mail.docx", "A 30328-2021")</f>
        <v/>
      </c>
      <c r="X70">
        <f>HYPERLINK("https://klasma.github.io/Logging_2062/tillsyn/A 30328-2021 tillsynsbegäran.docx", "A 30328-2021")</f>
        <v/>
      </c>
      <c r="Y70">
        <f>HYPERLINK("https://klasma.github.io/Logging_2062/tillsynsmail/A 30328-2021 tillsynsbegäran mail.docx", "A 30328-2021")</f>
        <v/>
      </c>
      <c r="Z70">
        <f>HYPERLINK("https://klasma.github.io/Logging_2062/fåglar/A 30328-2021 prioriterade fågelarter.docx", "A 30328-2021")</f>
        <v/>
      </c>
    </row>
    <row r="71" ht="15" customHeight="1">
      <c r="A71" t="inlineStr">
        <is>
          <t>A 23736-2023</t>
        </is>
      </c>
      <c r="B71" s="1" t="n">
        <v>45077</v>
      </c>
      <c r="C71" s="1" t="n">
        <v>46045</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16094-2024</t>
        </is>
      </c>
      <c r="B72" s="1" t="n">
        <v>45406.41648148148</v>
      </c>
      <c r="C72" s="1" t="n">
        <v>46045</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20538-2025</t>
        </is>
      </c>
      <c r="B73" s="1" t="n">
        <v>45775.62283564815</v>
      </c>
      <c r="C73" s="1" t="n">
        <v>46045</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13717-2023</t>
        </is>
      </c>
      <c r="B74" s="1" t="n">
        <v>45007</v>
      </c>
      <c r="C74" s="1" t="n">
        <v>46045</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5304-2023</t>
        </is>
      </c>
      <c r="B75" s="1" t="n">
        <v>44959.55116898148</v>
      </c>
      <c r="C75" s="1" t="n">
        <v>46045</v>
      </c>
      <c r="D75" t="inlineStr">
        <is>
          <t>DALARNAS LÄN</t>
        </is>
      </c>
      <c r="E75" t="inlineStr">
        <is>
          <t>MORA</t>
        </is>
      </c>
      <c r="F75" t="inlineStr">
        <is>
          <t>Bergvik skog väst AB</t>
        </is>
      </c>
      <c r="G75" t="n">
        <v>7.3</v>
      </c>
      <c r="H75" t="n">
        <v>0</v>
      </c>
      <c r="I75" t="n">
        <v>0</v>
      </c>
      <c r="J75" t="n">
        <v>1</v>
      </c>
      <c r="K75" t="n">
        <v>0</v>
      </c>
      <c r="L75" t="n">
        <v>0</v>
      </c>
      <c r="M75" t="n">
        <v>0</v>
      </c>
      <c r="N75" t="n">
        <v>0</v>
      </c>
      <c r="O75" t="n">
        <v>1</v>
      </c>
      <c r="P75" t="n">
        <v>0</v>
      </c>
      <c r="Q75" t="n">
        <v>1</v>
      </c>
      <c r="R75" s="2" t="inlineStr">
        <is>
          <t>Backruta</t>
        </is>
      </c>
      <c r="S75">
        <f>HYPERLINK("https://klasma.github.io/Logging_2062/artfynd/A 5304-2023 artfynd.xlsx", "A 5304-2023")</f>
        <v/>
      </c>
      <c r="T75">
        <f>HYPERLINK("https://klasma.github.io/Logging_2062/kartor/A 5304-2023 karta.png", "A 5304-2023")</f>
        <v/>
      </c>
      <c r="V75">
        <f>HYPERLINK("https://klasma.github.io/Logging_2062/klagomål/A 5304-2023 FSC-klagomål.docx", "A 5304-2023")</f>
        <v/>
      </c>
      <c r="W75">
        <f>HYPERLINK("https://klasma.github.io/Logging_2062/klagomålsmail/A 5304-2023 FSC-klagomål mail.docx", "A 5304-2023")</f>
        <v/>
      </c>
      <c r="X75">
        <f>HYPERLINK("https://klasma.github.io/Logging_2062/tillsyn/A 5304-2023 tillsynsbegäran.docx", "A 5304-2023")</f>
        <v/>
      </c>
      <c r="Y75">
        <f>HYPERLINK("https://klasma.github.io/Logging_2062/tillsynsmail/A 5304-2023 tillsynsbegäran mail.docx", "A 5304-2023")</f>
        <v/>
      </c>
    </row>
    <row r="76" ht="15" customHeight="1">
      <c r="A76" t="inlineStr">
        <is>
          <t>A 62096-2025</t>
        </is>
      </c>
      <c r="B76" s="1" t="n">
        <v>46006.38961805555</v>
      </c>
      <c r="C76" s="1" t="n">
        <v>46045</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Garnlav</t>
        </is>
      </c>
      <c r="S76">
        <f>HYPERLINK("https://klasma.github.io/Logging_2062/artfynd/A 62096-2025 artfynd.xlsx", "A 62096-2025")</f>
        <v/>
      </c>
      <c r="T76">
        <f>HYPERLINK("https://klasma.github.io/Logging_2062/kartor/A 62096-2025 karta.png", "A 62096-2025")</f>
        <v/>
      </c>
      <c r="V76">
        <f>HYPERLINK("https://klasma.github.io/Logging_2062/klagomål/A 62096-2025 FSC-klagomål.docx", "A 62096-2025")</f>
        <v/>
      </c>
      <c r="W76">
        <f>HYPERLINK("https://klasma.github.io/Logging_2062/klagomålsmail/A 62096-2025 FSC-klagomål mail.docx", "A 62096-2025")</f>
        <v/>
      </c>
      <c r="X76">
        <f>HYPERLINK("https://klasma.github.io/Logging_2062/tillsyn/A 62096-2025 tillsynsbegäran.docx", "A 62096-2025")</f>
        <v/>
      </c>
      <c r="Y76">
        <f>HYPERLINK("https://klasma.github.io/Logging_2062/tillsynsmail/A 62096-2025 tillsynsbegäran mail.docx", "A 62096-2025")</f>
        <v/>
      </c>
    </row>
    <row r="77" ht="15" customHeight="1">
      <c r="A77" t="inlineStr">
        <is>
          <t>A 27113-2024</t>
        </is>
      </c>
      <c r="B77" s="1" t="n">
        <v>45471</v>
      </c>
      <c r="C77" s="1" t="n">
        <v>46045</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68415-2021</t>
        </is>
      </c>
      <c r="B78" s="1" t="n">
        <v>44529</v>
      </c>
      <c r="C78" s="1" t="n">
        <v>46045</v>
      </c>
      <c r="D78" t="inlineStr">
        <is>
          <t>DALARNAS LÄN</t>
        </is>
      </c>
      <c r="E78" t="inlineStr">
        <is>
          <t>MORA</t>
        </is>
      </c>
      <c r="G78" t="n">
        <v>1.2</v>
      </c>
      <c r="H78" t="n">
        <v>1</v>
      </c>
      <c r="I78" t="n">
        <v>0</v>
      </c>
      <c r="J78" t="n">
        <v>0</v>
      </c>
      <c r="K78" t="n">
        <v>0</v>
      </c>
      <c r="L78" t="n">
        <v>0</v>
      </c>
      <c r="M78" t="n">
        <v>0</v>
      </c>
      <c r="N78" t="n">
        <v>0</v>
      </c>
      <c r="O78" t="n">
        <v>0</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831-2025</t>
        </is>
      </c>
      <c r="B79" s="1" t="n">
        <v>45665.58001157407</v>
      </c>
      <c r="C79" s="1" t="n">
        <v>46045</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45344-2024</t>
        </is>
      </c>
      <c r="B80" s="1" t="n">
        <v>45576</v>
      </c>
      <c r="C80" s="1" t="n">
        <v>46045</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38769-2021</t>
        </is>
      </c>
      <c r="B81" s="1" t="n">
        <v>44410</v>
      </c>
      <c r="C81" s="1" t="n">
        <v>46045</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46045</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66158-2021</t>
        </is>
      </c>
      <c r="B83" s="1" t="n">
        <v>44517.934375</v>
      </c>
      <c r="C83" s="1" t="n">
        <v>46045</v>
      </c>
      <c r="D83" t="inlineStr">
        <is>
          <t>DALARNAS LÄN</t>
        </is>
      </c>
      <c r="E83" t="inlineStr">
        <is>
          <t>MORA</t>
        </is>
      </c>
      <c r="G83" t="n">
        <v>3.3</v>
      </c>
      <c r="H83" t="n">
        <v>0</v>
      </c>
      <c r="I83" t="n">
        <v>0</v>
      </c>
      <c r="J83" t="n">
        <v>0</v>
      </c>
      <c r="K83" t="n">
        <v>0</v>
      </c>
      <c r="L83" t="n">
        <v>0</v>
      </c>
      <c r="M83" t="n">
        <v>0</v>
      </c>
      <c r="N83" t="n">
        <v>0</v>
      </c>
      <c r="O83" t="n">
        <v>0</v>
      </c>
      <c r="P83" t="n">
        <v>0</v>
      </c>
      <c r="Q83" t="n">
        <v>0</v>
      </c>
      <c r="R83" s="2" t="inlineStr"/>
    </row>
    <row r="84" ht="15" customHeight="1">
      <c r="A84" t="inlineStr">
        <is>
          <t>A 42505-2021</t>
        </is>
      </c>
      <c r="B84" s="1" t="n">
        <v>44427</v>
      </c>
      <c r="C84" s="1" t="n">
        <v>46045</v>
      </c>
      <c r="D84" t="inlineStr">
        <is>
          <t>DALARNAS LÄN</t>
        </is>
      </c>
      <c r="E84" t="inlineStr">
        <is>
          <t>MORA</t>
        </is>
      </c>
      <c r="G84" t="n">
        <v>0.9</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46045</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72648-2021</t>
        </is>
      </c>
      <c r="B86" s="1" t="n">
        <v>44546.5862037037</v>
      </c>
      <c r="C86" s="1" t="n">
        <v>46045</v>
      </c>
      <c r="D86" t="inlineStr">
        <is>
          <t>DALARNAS LÄN</t>
        </is>
      </c>
      <c r="E86" t="inlineStr">
        <is>
          <t>MORA</t>
        </is>
      </c>
      <c r="G86" t="n">
        <v>0.2</v>
      </c>
      <c r="H86" t="n">
        <v>0</v>
      </c>
      <c r="I86" t="n">
        <v>0</v>
      </c>
      <c r="J86" t="n">
        <v>0</v>
      </c>
      <c r="K86" t="n">
        <v>0</v>
      </c>
      <c r="L86" t="n">
        <v>0</v>
      </c>
      <c r="M86" t="n">
        <v>0</v>
      </c>
      <c r="N86" t="n">
        <v>0</v>
      </c>
      <c r="O86" t="n">
        <v>0</v>
      </c>
      <c r="P86" t="n">
        <v>0</v>
      </c>
      <c r="Q86" t="n">
        <v>0</v>
      </c>
      <c r="R86" s="2" t="inlineStr"/>
    </row>
    <row r="87" ht="15" customHeight="1">
      <c r="A87" t="inlineStr">
        <is>
          <t>A 38651-2022</t>
        </is>
      </c>
      <c r="B87" s="1" t="n">
        <v>44813</v>
      </c>
      <c r="C87" s="1" t="n">
        <v>46045</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46045</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46045</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46045</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46045</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46045</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46045</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46045</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46045</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46045</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46045</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46045</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46045</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46045</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46045</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46045</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46045</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46045</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46045</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46045</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46045</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46045</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46045</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46045</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46045</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46045</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46045</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46045</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46045</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33269-2022</t>
        </is>
      </c>
      <c r="B116" s="1" t="n">
        <v>44788.32601851852</v>
      </c>
      <c r="C116" s="1" t="n">
        <v>46045</v>
      </c>
      <c r="D116" t="inlineStr">
        <is>
          <t>DALARNAS LÄN</t>
        </is>
      </c>
      <c r="E116" t="inlineStr">
        <is>
          <t>MORA</t>
        </is>
      </c>
      <c r="G116" t="n">
        <v>3.1</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46045</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46045</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46045</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46045</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46045</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46045</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46045</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46045</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46045</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46045</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68966-2021</t>
        </is>
      </c>
      <c r="B127" s="1" t="n">
        <v>44530</v>
      </c>
      <c r="C127" s="1" t="n">
        <v>46045</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52573-2021</t>
        </is>
      </c>
      <c r="B128" s="1" t="n">
        <v>44466</v>
      </c>
      <c r="C128" s="1" t="n">
        <v>46045</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46045</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46045</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67045-2021</t>
        </is>
      </c>
      <c r="B131" s="1" t="n">
        <v>44522</v>
      </c>
      <c r="C131" s="1" t="n">
        <v>46045</v>
      </c>
      <c r="D131" t="inlineStr">
        <is>
          <t>DALARNAS LÄN</t>
        </is>
      </c>
      <c r="E131" t="inlineStr">
        <is>
          <t>MORA</t>
        </is>
      </c>
      <c r="G131" t="n">
        <v>0.2</v>
      </c>
      <c r="H131" t="n">
        <v>0</v>
      </c>
      <c r="I131" t="n">
        <v>0</v>
      </c>
      <c r="J131" t="n">
        <v>0</v>
      </c>
      <c r="K131" t="n">
        <v>0</v>
      </c>
      <c r="L131" t="n">
        <v>0</v>
      </c>
      <c r="M131" t="n">
        <v>0</v>
      </c>
      <c r="N131" t="n">
        <v>0</v>
      </c>
      <c r="O131" t="n">
        <v>0</v>
      </c>
      <c r="P131" t="n">
        <v>0</v>
      </c>
      <c r="Q131" t="n">
        <v>0</v>
      </c>
      <c r="R131" s="2" t="inlineStr"/>
    </row>
    <row r="132" ht="15" customHeight="1">
      <c r="A132" t="inlineStr">
        <is>
          <t>A 48170-2024</t>
        </is>
      </c>
      <c r="B132" s="1" t="n">
        <v>45589.76975694444</v>
      </c>
      <c r="C132" s="1" t="n">
        <v>46045</v>
      </c>
      <c r="D132" t="inlineStr">
        <is>
          <t>DALARNAS LÄN</t>
        </is>
      </c>
      <c r="E132" t="inlineStr">
        <is>
          <t>MORA</t>
        </is>
      </c>
      <c r="G132" t="n">
        <v>2.4</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46045</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14744-2022</t>
        </is>
      </c>
      <c r="B134" s="1" t="n">
        <v>44656.37616898148</v>
      </c>
      <c r="C134" s="1" t="n">
        <v>46045</v>
      </c>
      <c r="D134" t="inlineStr">
        <is>
          <t>DALARNAS LÄN</t>
        </is>
      </c>
      <c r="E134" t="inlineStr">
        <is>
          <t>MORA</t>
        </is>
      </c>
      <c r="G134" t="n">
        <v>1.9</v>
      </c>
      <c r="H134" t="n">
        <v>0</v>
      </c>
      <c r="I134" t="n">
        <v>0</v>
      </c>
      <c r="J134" t="n">
        <v>0</v>
      </c>
      <c r="K134" t="n">
        <v>0</v>
      </c>
      <c r="L134" t="n">
        <v>0</v>
      </c>
      <c r="M134" t="n">
        <v>0</v>
      </c>
      <c r="N134" t="n">
        <v>0</v>
      </c>
      <c r="O134" t="n">
        <v>0</v>
      </c>
      <c r="P134" t="n">
        <v>0</v>
      </c>
      <c r="Q134" t="n">
        <v>0</v>
      </c>
      <c r="R134" s="2" t="inlineStr"/>
    </row>
    <row r="135" ht="15" customHeight="1">
      <c r="A135" t="inlineStr">
        <is>
          <t>A 8546-2022</t>
        </is>
      </c>
      <c r="B135" s="1" t="n">
        <v>44613</v>
      </c>
      <c r="C135" s="1" t="n">
        <v>46045</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22931-2021</t>
        </is>
      </c>
      <c r="B136" s="1" t="n">
        <v>44326</v>
      </c>
      <c r="C136" s="1" t="n">
        <v>46045</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46045</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24393-2022</t>
        </is>
      </c>
      <c r="B138" s="1" t="n">
        <v>44726</v>
      </c>
      <c r="C138" s="1" t="n">
        <v>46045</v>
      </c>
      <c r="D138" t="inlineStr">
        <is>
          <t>DALARNAS LÄN</t>
        </is>
      </c>
      <c r="E138" t="inlineStr">
        <is>
          <t>MORA</t>
        </is>
      </c>
      <c r="G138" t="n">
        <v>2.1</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46045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56770-2024</t>
        </is>
      </c>
      <c r="B140" s="1" t="n">
        <v>45628.41587962963</v>
      </c>
      <c r="C140" s="1" t="n">
        <v>46045</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56501-2021</t>
        </is>
      </c>
      <c r="B141" s="1" t="n">
        <v>44480.57549768518</v>
      </c>
      <c r="C141" s="1" t="n">
        <v>46045</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20594-2025</t>
        </is>
      </c>
      <c r="B142" s="1" t="n">
        <v>45775.74009259259</v>
      </c>
      <c r="C142" s="1" t="n">
        <v>46045</v>
      </c>
      <c r="D142" t="inlineStr">
        <is>
          <t>DALARNAS LÄN</t>
        </is>
      </c>
      <c r="E142" t="inlineStr">
        <is>
          <t>MORA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43498-2023</t>
        </is>
      </c>
      <c r="B143" s="1" t="n">
        <v>45184</v>
      </c>
      <c r="C143" s="1" t="n">
        <v>46045</v>
      </c>
      <c r="D143" t="inlineStr">
        <is>
          <t>DALARNAS LÄN</t>
        </is>
      </c>
      <c r="E143" t="inlineStr">
        <is>
          <t>MORA</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46045</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17904-2021</t>
        </is>
      </c>
      <c r="B145" s="1" t="n">
        <v>44301</v>
      </c>
      <c r="C145" s="1" t="n">
        <v>46045</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28914-2022</t>
        </is>
      </c>
      <c r="B146" s="1" t="n">
        <v>44749.56221064815</v>
      </c>
      <c r="C146" s="1" t="n">
        <v>46045</v>
      </c>
      <c r="D146" t="inlineStr">
        <is>
          <t>DALARNAS LÄN</t>
        </is>
      </c>
      <c r="E146" t="inlineStr">
        <is>
          <t>MORA</t>
        </is>
      </c>
      <c r="F146" t="inlineStr">
        <is>
          <t>Bergvik skog öst AB</t>
        </is>
      </c>
      <c r="G146" t="n">
        <v>0.6</v>
      </c>
      <c r="H146" t="n">
        <v>0</v>
      </c>
      <c r="I146" t="n">
        <v>0</v>
      </c>
      <c r="J146" t="n">
        <v>0</v>
      </c>
      <c r="K146" t="n">
        <v>0</v>
      </c>
      <c r="L146" t="n">
        <v>0</v>
      </c>
      <c r="M146" t="n">
        <v>0</v>
      </c>
      <c r="N146" t="n">
        <v>0</v>
      </c>
      <c r="O146" t="n">
        <v>0</v>
      </c>
      <c r="P146" t="n">
        <v>0</v>
      </c>
      <c r="Q146" t="n">
        <v>0</v>
      </c>
      <c r="R146" s="2" t="inlineStr"/>
    </row>
    <row r="147" ht="15" customHeight="1">
      <c r="A147" t="inlineStr">
        <is>
          <t>A 17622-2022</t>
        </is>
      </c>
      <c r="B147" s="1" t="n">
        <v>44680.4265162037</v>
      </c>
      <c r="C147" s="1" t="n">
        <v>46045</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46045</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48390-2024</t>
        </is>
      </c>
      <c r="B149" s="1" t="n">
        <v>45590.60216435185</v>
      </c>
      <c r="C149" s="1" t="n">
        <v>46045</v>
      </c>
      <c r="D149" t="inlineStr">
        <is>
          <t>DALARNAS LÄN</t>
        </is>
      </c>
      <c r="E149" t="inlineStr">
        <is>
          <t>MORA</t>
        </is>
      </c>
      <c r="G149" t="n">
        <v>5</v>
      </c>
      <c r="H149" t="n">
        <v>0</v>
      </c>
      <c r="I149" t="n">
        <v>0</v>
      </c>
      <c r="J149" t="n">
        <v>0</v>
      </c>
      <c r="K149" t="n">
        <v>0</v>
      </c>
      <c r="L149" t="n">
        <v>0</v>
      </c>
      <c r="M149" t="n">
        <v>0</v>
      </c>
      <c r="N149" t="n">
        <v>0</v>
      </c>
      <c r="O149" t="n">
        <v>0</v>
      </c>
      <c r="P149" t="n">
        <v>0</v>
      </c>
      <c r="Q149" t="n">
        <v>0</v>
      </c>
      <c r="R149" s="2" t="inlineStr"/>
    </row>
    <row r="150" ht="15" customHeight="1">
      <c r="A150" t="inlineStr">
        <is>
          <t>A 5527-2024</t>
        </is>
      </c>
      <c r="B150" s="1" t="n">
        <v>45334.38981481481</v>
      </c>
      <c r="C150" s="1" t="n">
        <v>46045</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55671-2024</t>
        </is>
      </c>
      <c r="B151" s="1" t="n">
        <v>45622.65269675926</v>
      </c>
      <c r="C151" s="1" t="n">
        <v>46045</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46045</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46045</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20299-2023</t>
        </is>
      </c>
      <c r="B154" s="1" t="n">
        <v>45056</v>
      </c>
      <c r="C154" s="1" t="n">
        <v>46045</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37771-2022</t>
        </is>
      </c>
      <c r="B155" s="1" t="n">
        <v>44810.63806712963</v>
      </c>
      <c r="C155" s="1" t="n">
        <v>46045</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64088-2023</t>
        </is>
      </c>
      <c r="B156" s="1" t="n">
        <v>45279.43570601852</v>
      </c>
      <c r="C156" s="1" t="n">
        <v>46045</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4208-2023</t>
        </is>
      </c>
      <c r="B157" s="1" t="n">
        <v>44953</v>
      </c>
      <c r="C157" s="1" t="n">
        <v>46045</v>
      </c>
      <c r="D157" t="inlineStr">
        <is>
          <t>DALARNAS LÄN</t>
        </is>
      </c>
      <c r="E157" t="inlineStr">
        <is>
          <t>MORA</t>
        </is>
      </c>
      <c r="G157" t="n">
        <v>2.4</v>
      </c>
      <c r="H157" t="n">
        <v>0</v>
      </c>
      <c r="I157" t="n">
        <v>0</v>
      </c>
      <c r="J157" t="n">
        <v>0</v>
      </c>
      <c r="K157" t="n">
        <v>0</v>
      </c>
      <c r="L157" t="n">
        <v>0</v>
      </c>
      <c r="M157" t="n">
        <v>0</v>
      </c>
      <c r="N157" t="n">
        <v>0</v>
      </c>
      <c r="O157" t="n">
        <v>0</v>
      </c>
      <c r="P157" t="n">
        <v>0</v>
      </c>
      <c r="Q157" t="n">
        <v>0</v>
      </c>
      <c r="R157" s="2" t="inlineStr"/>
    </row>
    <row r="158" ht="15" customHeight="1">
      <c r="A158" t="inlineStr">
        <is>
          <t>A 4210-2023</t>
        </is>
      </c>
      <c r="B158" s="1" t="n">
        <v>44953.44965277778</v>
      </c>
      <c r="C158" s="1" t="n">
        <v>46045</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5491-2023</t>
        </is>
      </c>
      <c r="B159" s="1" t="n">
        <v>44957</v>
      </c>
      <c r="C159" s="1" t="n">
        <v>46045</v>
      </c>
      <c r="D159" t="inlineStr">
        <is>
          <t>DALARNAS LÄN</t>
        </is>
      </c>
      <c r="E159" t="inlineStr">
        <is>
          <t>MORA</t>
        </is>
      </c>
      <c r="G159" t="n">
        <v>3.5</v>
      </c>
      <c r="H159" t="n">
        <v>0</v>
      </c>
      <c r="I159" t="n">
        <v>0</v>
      </c>
      <c r="J159" t="n">
        <v>0</v>
      </c>
      <c r="K159" t="n">
        <v>0</v>
      </c>
      <c r="L159" t="n">
        <v>0</v>
      </c>
      <c r="M159" t="n">
        <v>0</v>
      </c>
      <c r="N159" t="n">
        <v>0</v>
      </c>
      <c r="O159" t="n">
        <v>0</v>
      </c>
      <c r="P159" t="n">
        <v>0</v>
      </c>
      <c r="Q159" t="n">
        <v>0</v>
      </c>
      <c r="R159" s="2" t="inlineStr"/>
    </row>
    <row r="160" ht="15" customHeight="1">
      <c r="A160" t="inlineStr">
        <is>
          <t>A 5493-2023</t>
        </is>
      </c>
      <c r="B160" s="1" t="n">
        <v>44957</v>
      </c>
      <c r="C160" s="1" t="n">
        <v>46045</v>
      </c>
      <c r="D160" t="inlineStr">
        <is>
          <t>DALARNAS LÄN</t>
        </is>
      </c>
      <c r="E160" t="inlineStr">
        <is>
          <t>MORA</t>
        </is>
      </c>
      <c r="F160" t="inlineStr">
        <is>
          <t>Allmännings- och besparingsskogar</t>
        </is>
      </c>
      <c r="G160" t="n">
        <v>14.9</v>
      </c>
      <c r="H160" t="n">
        <v>0</v>
      </c>
      <c r="I160" t="n">
        <v>0</v>
      </c>
      <c r="J160" t="n">
        <v>0</v>
      </c>
      <c r="K160" t="n">
        <v>0</v>
      </c>
      <c r="L160" t="n">
        <v>0</v>
      </c>
      <c r="M160" t="n">
        <v>0</v>
      </c>
      <c r="N160" t="n">
        <v>0</v>
      </c>
      <c r="O160" t="n">
        <v>0</v>
      </c>
      <c r="P160" t="n">
        <v>0</v>
      </c>
      <c r="Q160" t="n">
        <v>0</v>
      </c>
      <c r="R160" s="2" t="inlineStr"/>
    </row>
    <row r="161" ht="15" customHeight="1">
      <c r="A161" t="inlineStr">
        <is>
          <t>A 9554-2025</t>
        </is>
      </c>
      <c r="B161" s="1" t="n">
        <v>45715.59936342593</v>
      </c>
      <c r="C161" s="1" t="n">
        <v>46045</v>
      </c>
      <c r="D161" t="inlineStr">
        <is>
          <t>DALARNAS LÄN</t>
        </is>
      </c>
      <c r="E161" t="inlineStr">
        <is>
          <t>MORA</t>
        </is>
      </c>
      <c r="G161" t="n">
        <v>0.9</v>
      </c>
      <c r="H161" t="n">
        <v>0</v>
      </c>
      <c r="I161" t="n">
        <v>0</v>
      </c>
      <c r="J161" t="n">
        <v>0</v>
      </c>
      <c r="K161" t="n">
        <v>0</v>
      </c>
      <c r="L161" t="n">
        <v>0</v>
      </c>
      <c r="M161" t="n">
        <v>0</v>
      </c>
      <c r="N161" t="n">
        <v>0</v>
      </c>
      <c r="O161" t="n">
        <v>0</v>
      </c>
      <c r="P161" t="n">
        <v>0</v>
      </c>
      <c r="Q161" t="n">
        <v>0</v>
      </c>
      <c r="R161" s="2" t="inlineStr"/>
    </row>
    <row r="162" ht="15" customHeight="1">
      <c r="A162" t="inlineStr">
        <is>
          <t>A 11463-2024</t>
        </is>
      </c>
      <c r="B162" s="1" t="n">
        <v>45372.58969907407</v>
      </c>
      <c r="C162" s="1" t="n">
        <v>46045</v>
      </c>
      <c r="D162" t="inlineStr">
        <is>
          <t>DALARNAS LÄN</t>
        </is>
      </c>
      <c r="E162" t="inlineStr">
        <is>
          <t>MORA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27975-2023</t>
        </is>
      </c>
      <c r="B163" s="1" t="n">
        <v>45098</v>
      </c>
      <c r="C163" s="1" t="n">
        <v>46045</v>
      </c>
      <c r="D163" t="inlineStr">
        <is>
          <t>DALARNAS LÄN</t>
        </is>
      </c>
      <c r="E163" t="inlineStr">
        <is>
          <t>MORA</t>
        </is>
      </c>
      <c r="G163" t="n">
        <v>1.1</v>
      </c>
      <c r="H163" t="n">
        <v>0</v>
      </c>
      <c r="I163" t="n">
        <v>0</v>
      </c>
      <c r="J163" t="n">
        <v>0</v>
      </c>
      <c r="K163" t="n">
        <v>0</v>
      </c>
      <c r="L163" t="n">
        <v>0</v>
      </c>
      <c r="M163" t="n">
        <v>0</v>
      </c>
      <c r="N163" t="n">
        <v>0</v>
      </c>
      <c r="O163" t="n">
        <v>0</v>
      </c>
      <c r="P163" t="n">
        <v>0</v>
      </c>
      <c r="Q163" t="n">
        <v>0</v>
      </c>
      <c r="R163" s="2" t="inlineStr"/>
    </row>
    <row r="164" ht="15" customHeight="1">
      <c r="A164" t="inlineStr">
        <is>
          <t>A 5769-2025</t>
        </is>
      </c>
      <c r="B164" s="1" t="n">
        <v>45694.59288194445</v>
      </c>
      <c r="C164" s="1" t="n">
        <v>46045</v>
      </c>
      <c r="D164" t="inlineStr">
        <is>
          <t>DALARNAS LÄN</t>
        </is>
      </c>
      <c r="E164" t="inlineStr">
        <is>
          <t>MORA</t>
        </is>
      </c>
      <c r="G164" t="n">
        <v>15.7</v>
      </c>
      <c r="H164" t="n">
        <v>0</v>
      </c>
      <c r="I164" t="n">
        <v>0</v>
      </c>
      <c r="J164" t="n">
        <v>0</v>
      </c>
      <c r="K164" t="n">
        <v>0</v>
      </c>
      <c r="L164" t="n">
        <v>0</v>
      </c>
      <c r="M164" t="n">
        <v>0</v>
      </c>
      <c r="N164" t="n">
        <v>0</v>
      </c>
      <c r="O164" t="n">
        <v>0</v>
      </c>
      <c r="P164" t="n">
        <v>0</v>
      </c>
      <c r="Q164" t="n">
        <v>0</v>
      </c>
      <c r="R164" s="2" t="inlineStr"/>
    </row>
    <row r="165" ht="15" customHeight="1">
      <c r="A165" t="inlineStr">
        <is>
          <t>A 59101-2024</t>
        </is>
      </c>
      <c r="B165" s="1" t="n">
        <v>45637.34074074074</v>
      </c>
      <c r="C165" s="1" t="n">
        <v>46045</v>
      </c>
      <c r="D165" t="inlineStr">
        <is>
          <t>DALARNAS LÄN</t>
        </is>
      </c>
      <c r="E165" t="inlineStr">
        <is>
          <t>MORA</t>
        </is>
      </c>
      <c r="F165" t="inlineStr">
        <is>
          <t>Allmännings- och besparingsskogar</t>
        </is>
      </c>
      <c r="G165" t="n">
        <v>1.2</v>
      </c>
      <c r="H165" t="n">
        <v>0</v>
      </c>
      <c r="I165" t="n">
        <v>0</v>
      </c>
      <c r="J165" t="n">
        <v>0</v>
      </c>
      <c r="K165" t="n">
        <v>0</v>
      </c>
      <c r="L165" t="n">
        <v>0</v>
      </c>
      <c r="M165" t="n">
        <v>0</v>
      </c>
      <c r="N165" t="n">
        <v>0</v>
      </c>
      <c r="O165" t="n">
        <v>0</v>
      </c>
      <c r="P165" t="n">
        <v>0</v>
      </c>
      <c r="Q165" t="n">
        <v>0</v>
      </c>
      <c r="R165" s="2" t="inlineStr"/>
    </row>
    <row r="166" ht="15" customHeight="1">
      <c r="A166" t="inlineStr">
        <is>
          <t>A 17145-2024</t>
        </is>
      </c>
      <c r="B166" s="1" t="n">
        <v>45412</v>
      </c>
      <c r="C166" s="1" t="n">
        <v>46045</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60718-2023</t>
        </is>
      </c>
      <c r="B167" s="1" t="n">
        <v>45260.5284375</v>
      </c>
      <c r="C167" s="1" t="n">
        <v>46045</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51780-2023</t>
        </is>
      </c>
      <c r="B168" s="1" t="n">
        <v>45222</v>
      </c>
      <c r="C168" s="1" t="n">
        <v>46045</v>
      </c>
      <c r="D168" t="inlineStr">
        <is>
          <t>DALARNAS LÄN</t>
        </is>
      </c>
      <c r="E168" t="inlineStr">
        <is>
          <t>MORA</t>
        </is>
      </c>
      <c r="G168" t="n">
        <v>9.9</v>
      </c>
      <c r="H168" t="n">
        <v>0</v>
      </c>
      <c r="I168" t="n">
        <v>0</v>
      </c>
      <c r="J168" t="n">
        <v>0</v>
      </c>
      <c r="K168" t="n">
        <v>0</v>
      </c>
      <c r="L168" t="n">
        <v>0</v>
      </c>
      <c r="M168" t="n">
        <v>0</v>
      </c>
      <c r="N168" t="n">
        <v>0</v>
      </c>
      <c r="O168" t="n">
        <v>0</v>
      </c>
      <c r="P168" t="n">
        <v>0</v>
      </c>
      <c r="Q168" t="n">
        <v>0</v>
      </c>
      <c r="R168" s="2" t="inlineStr"/>
    </row>
    <row r="169" ht="15" customHeight="1">
      <c r="A169" t="inlineStr">
        <is>
          <t>A 43874-2024</t>
        </is>
      </c>
      <c r="B169" s="1" t="n">
        <v>45572.38476851852</v>
      </c>
      <c r="C169" s="1" t="n">
        <v>46045</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14641-2023</t>
        </is>
      </c>
      <c r="B170" s="1" t="n">
        <v>45013</v>
      </c>
      <c r="C170" s="1" t="n">
        <v>46045</v>
      </c>
      <c r="D170" t="inlineStr">
        <is>
          <t>DALARNAS LÄN</t>
        </is>
      </c>
      <c r="E170" t="inlineStr">
        <is>
          <t>MORA</t>
        </is>
      </c>
      <c r="G170" t="n">
        <v>1.5</v>
      </c>
      <c r="H170" t="n">
        <v>0</v>
      </c>
      <c r="I170" t="n">
        <v>0</v>
      </c>
      <c r="J170" t="n">
        <v>0</v>
      </c>
      <c r="K170" t="n">
        <v>0</v>
      </c>
      <c r="L170" t="n">
        <v>0</v>
      </c>
      <c r="M170" t="n">
        <v>0</v>
      </c>
      <c r="N170" t="n">
        <v>0</v>
      </c>
      <c r="O170" t="n">
        <v>0</v>
      </c>
      <c r="P170" t="n">
        <v>0</v>
      </c>
      <c r="Q170" t="n">
        <v>0</v>
      </c>
      <c r="R170" s="2" t="inlineStr"/>
    </row>
    <row r="171" ht="15" customHeight="1">
      <c r="A171" t="inlineStr">
        <is>
          <t>A 46188-2022</t>
        </is>
      </c>
      <c r="B171" s="1" t="n">
        <v>44847.518125</v>
      </c>
      <c r="C171" s="1" t="n">
        <v>46045</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57903-2022</t>
        </is>
      </c>
      <c r="B172" s="1" t="n">
        <v>44900.3521412037</v>
      </c>
      <c r="C172" s="1" t="n">
        <v>46045</v>
      </c>
      <c r="D172" t="inlineStr">
        <is>
          <t>DALARNAS LÄN</t>
        </is>
      </c>
      <c r="E172" t="inlineStr">
        <is>
          <t>MORA</t>
        </is>
      </c>
      <c r="G172" t="n">
        <v>4.3</v>
      </c>
      <c r="H172" t="n">
        <v>0</v>
      </c>
      <c r="I172" t="n">
        <v>0</v>
      </c>
      <c r="J172" t="n">
        <v>0</v>
      </c>
      <c r="K172" t="n">
        <v>0</v>
      </c>
      <c r="L172" t="n">
        <v>0</v>
      </c>
      <c r="M172" t="n">
        <v>0</v>
      </c>
      <c r="N172" t="n">
        <v>0</v>
      </c>
      <c r="O172" t="n">
        <v>0</v>
      </c>
      <c r="P172" t="n">
        <v>0</v>
      </c>
      <c r="Q172" t="n">
        <v>0</v>
      </c>
      <c r="R172" s="2" t="inlineStr"/>
    </row>
    <row r="173" ht="15" customHeight="1">
      <c r="A173" t="inlineStr">
        <is>
          <t>A 12151-2021</t>
        </is>
      </c>
      <c r="B173" s="1" t="n">
        <v>44266</v>
      </c>
      <c r="C173" s="1" t="n">
        <v>46045</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24169-2022</t>
        </is>
      </c>
      <c r="B174" s="1" t="n">
        <v>44725.50280092593</v>
      </c>
      <c r="C174" s="1" t="n">
        <v>46045</v>
      </c>
      <c r="D174" t="inlineStr">
        <is>
          <t>DALARNAS LÄN</t>
        </is>
      </c>
      <c r="E174" t="inlineStr">
        <is>
          <t>MORA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65186-2021</t>
        </is>
      </c>
      <c r="B175" s="1" t="n">
        <v>44515</v>
      </c>
      <c r="C175" s="1" t="n">
        <v>46045</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58892-2023</t>
        </is>
      </c>
      <c r="B176" s="1" t="n">
        <v>45252.48592592592</v>
      </c>
      <c r="C176" s="1" t="n">
        <v>46045</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17516-2024</t>
        </is>
      </c>
      <c r="B177" s="1" t="n">
        <v>45415.58502314815</v>
      </c>
      <c r="C177" s="1" t="n">
        <v>46045</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11442-2022</t>
        </is>
      </c>
      <c r="B178" s="1" t="n">
        <v>44630.62788194444</v>
      </c>
      <c r="C178" s="1" t="n">
        <v>46045</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6183-2024</t>
        </is>
      </c>
      <c r="B179" s="1" t="n">
        <v>45337.54135416666</v>
      </c>
      <c r="C179" s="1" t="n">
        <v>46045</v>
      </c>
      <c r="D179" t="inlineStr">
        <is>
          <t>DALARNAS LÄN</t>
        </is>
      </c>
      <c r="E179" t="inlineStr">
        <is>
          <t>MORA</t>
        </is>
      </c>
      <c r="G179" t="n">
        <v>7.9</v>
      </c>
      <c r="H179" t="n">
        <v>0</v>
      </c>
      <c r="I179" t="n">
        <v>0</v>
      </c>
      <c r="J179" t="n">
        <v>0</v>
      </c>
      <c r="K179" t="n">
        <v>0</v>
      </c>
      <c r="L179" t="n">
        <v>0</v>
      </c>
      <c r="M179" t="n">
        <v>0</v>
      </c>
      <c r="N179" t="n">
        <v>0</v>
      </c>
      <c r="O179" t="n">
        <v>0</v>
      </c>
      <c r="P179" t="n">
        <v>0</v>
      </c>
      <c r="Q179" t="n">
        <v>0</v>
      </c>
      <c r="R179" s="2" t="inlineStr"/>
    </row>
    <row r="180" ht="15" customHeight="1">
      <c r="A180" t="inlineStr">
        <is>
          <t>A 45562-2023</t>
        </is>
      </c>
      <c r="B180" s="1" t="n">
        <v>45194.59378472222</v>
      </c>
      <c r="C180" s="1" t="n">
        <v>46045</v>
      </c>
      <c r="D180" t="inlineStr">
        <is>
          <t>DALARNAS LÄN</t>
        </is>
      </c>
      <c r="E180" t="inlineStr">
        <is>
          <t>MORA</t>
        </is>
      </c>
      <c r="G180" t="n">
        <v>0.7</v>
      </c>
      <c r="H180" t="n">
        <v>0</v>
      </c>
      <c r="I180" t="n">
        <v>0</v>
      </c>
      <c r="J180" t="n">
        <v>0</v>
      </c>
      <c r="K180" t="n">
        <v>0</v>
      </c>
      <c r="L180" t="n">
        <v>0</v>
      </c>
      <c r="M180" t="n">
        <v>0</v>
      </c>
      <c r="N180" t="n">
        <v>0</v>
      </c>
      <c r="O180" t="n">
        <v>0</v>
      </c>
      <c r="P180" t="n">
        <v>0</v>
      </c>
      <c r="Q180" t="n">
        <v>0</v>
      </c>
      <c r="R180" s="2" t="inlineStr"/>
    </row>
    <row r="181" ht="15" customHeight="1">
      <c r="A181" t="inlineStr">
        <is>
          <t>A 35551-2023</t>
        </is>
      </c>
      <c r="B181" s="1" t="n">
        <v>45147.3934837963</v>
      </c>
      <c r="C181" s="1" t="n">
        <v>46045</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24772-2024</t>
        </is>
      </c>
      <c r="B182" s="1" t="n">
        <v>45460.70204861111</v>
      </c>
      <c r="C182" s="1" t="n">
        <v>46045</v>
      </c>
      <c r="D182" t="inlineStr">
        <is>
          <t>DALARNAS LÄN</t>
        </is>
      </c>
      <c r="E182" t="inlineStr">
        <is>
          <t>MORA</t>
        </is>
      </c>
      <c r="G182" t="n">
        <v>0.9</v>
      </c>
      <c r="H182" t="n">
        <v>0</v>
      </c>
      <c r="I182" t="n">
        <v>0</v>
      </c>
      <c r="J182" t="n">
        <v>0</v>
      </c>
      <c r="K182" t="n">
        <v>0</v>
      </c>
      <c r="L182" t="n">
        <v>0</v>
      </c>
      <c r="M182" t="n">
        <v>0</v>
      </c>
      <c r="N182" t="n">
        <v>0</v>
      </c>
      <c r="O182" t="n">
        <v>0</v>
      </c>
      <c r="P182" t="n">
        <v>0</v>
      </c>
      <c r="Q182" t="n">
        <v>0</v>
      </c>
      <c r="R182" s="2" t="inlineStr"/>
    </row>
    <row r="183" ht="15" customHeight="1">
      <c r="A183" t="inlineStr">
        <is>
          <t>A 23300-2024</t>
        </is>
      </c>
      <c r="B183" s="1" t="n">
        <v>45453.43695601852</v>
      </c>
      <c r="C183" s="1" t="n">
        <v>46045</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42611-2022</t>
        </is>
      </c>
      <c r="B184" s="1" t="n">
        <v>44831.81482638889</v>
      </c>
      <c r="C184" s="1" t="n">
        <v>46045</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34923-2022</t>
        </is>
      </c>
      <c r="B185" s="1" t="n">
        <v>44796</v>
      </c>
      <c r="C185" s="1" t="n">
        <v>46045</v>
      </c>
      <c r="D185" t="inlineStr">
        <is>
          <t>DALARNAS LÄN</t>
        </is>
      </c>
      <c r="E185" t="inlineStr">
        <is>
          <t>MORA</t>
        </is>
      </c>
      <c r="G185" t="n">
        <v>5</v>
      </c>
      <c r="H185" t="n">
        <v>0</v>
      </c>
      <c r="I185" t="n">
        <v>0</v>
      </c>
      <c r="J185" t="n">
        <v>0</v>
      </c>
      <c r="K185" t="n">
        <v>0</v>
      </c>
      <c r="L185" t="n">
        <v>0</v>
      </c>
      <c r="M185" t="n">
        <v>0</v>
      </c>
      <c r="N185" t="n">
        <v>0</v>
      </c>
      <c r="O185" t="n">
        <v>0</v>
      </c>
      <c r="P185" t="n">
        <v>0</v>
      </c>
      <c r="Q185" t="n">
        <v>0</v>
      </c>
      <c r="R185" s="2" t="inlineStr"/>
    </row>
    <row r="186" ht="15" customHeight="1">
      <c r="A186" t="inlineStr">
        <is>
          <t>A 59174-2023</t>
        </is>
      </c>
      <c r="B186" s="1" t="n">
        <v>45253.43202546296</v>
      </c>
      <c r="C186" s="1" t="n">
        <v>46045</v>
      </c>
      <c r="D186" t="inlineStr">
        <is>
          <t>DALARNAS LÄN</t>
        </is>
      </c>
      <c r="E186" t="inlineStr">
        <is>
          <t>MORA</t>
        </is>
      </c>
      <c r="G186" t="n">
        <v>2.5</v>
      </c>
      <c r="H186" t="n">
        <v>0</v>
      </c>
      <c r="I186" t="n">
        <v>0</v>
      </c>
      <c r="J186" t="n">
        <v>0</v>
      </c>
      <c r="K186" t="n">
        <v>0</v>
      </c>
      <c r="L186" t="n">
        <v>0</v>
      </c>
      <c r="M186" t="n">
        <v>0</v>
      </c>
      <c r="N186" t="n">
        <v>0</v>
      </c>
      <c r="O186" t="n">
        <v>0</v>
      </c>
      <c r="P186" t="n">
        <v>0</v>
      </c>
      <c r="Q186" t="n">
        <v>0</v>
      </c>
      <c r="R186" s="2" t="inlineStr"/>
    </row>
    <row r="187" ht="15" customHeight="1">
      <c r="A187" t="inlineStr">
        <is>
          <t>A 36184-2021</t>
        </is>
      </c>
      <c r="B187" s="1" t="n">
        <v>44389</v>
      </c>
      <c r="C187" s="1" t="n">
        <v>46045</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56268-2024</t>
        </is>
      </c>
      <c r="B188" s="1" t="n">
        <v>45624.65785879629</v>
      </c>
      <c r="C188" s="1" t="n">
        <v>46045</v>
      </c>
      <c r="D188" t="inlineStr">
        <is>
          <t>DALARNAS LÄN</t>
        </is>
      </c>
      <c r="E188" t="inlineStr">
        <is>
          <t>MORA</t>
        </is>
      </c>
      <c r="G188" t="n">
        <v>2.7</v>
      </c>
      <c r="H188" t="n">
        <v>0</v>
      </c>
      <c r="I188" t="n">
        <v>0</v>
      </c>
      <c r="J188" t="n">
        <v>0</v>
      </c>
      <c r="K188" t="n">
        <v>0</v>
      </c>
      <c r="L188" t="n">
        <v>0</v>
      </c>
      <c r="M188" t="n">
        <v>0</v>
      </c>
      <c r="N188" t="n">
        <v>0</v>
      </c>
      <c r="O188" t="n">
        <v>0</v>
      </c>
      <c r="P188" t="n">
        <v>0</v>
      </c>
      <c r="Q188" t="n">
        <v>0</v>
      </c>
      <c r="R188" s="2" t="inlineStr"/>
    </row>
    <row r="189" ht="15" customHeight="1">
      <c r="A189" t="inlineStr">
        <is>
          <t>A 18202-2024</t>
        </is>
      </c>
      <c r="B189" s="1" t="n">
        <v>45420.68172453704</v>
      </c>
      <c r="C189" s="1" t="n">
        <v>46045</v>
      </c>
      <c r="D189" t="inlineStr">
        <is>
          <t>DALARNAS LÄN</t>
        </is>
      </c>
      <c r="E189" t="inlineStr">
        <is>
          <t>MORA</t>
        </is>
      </c>
      <c r="G189" t="n">
        <v>2</v>
      </c>
      <c r="H189" t="n">
        <v>0</v>
      </c>
      <c r="I189" t="n">
        <v>0</v>
      </c>
      <c r="J189" t="n">
        <v>0</v>
      </c>
      <c r="K189" t="n">
        <v>0</v>
      </c>
      <c r="L189" t="n">
        <v>0</v>
      </c>
      <c r="M189" t="n">
        <v>0</v>
      </c>
      <c r="N189" t="n">
        <v>0</v>
      </c>
      <c r="O189" t="n">
        <v>0</v>
      </c>
      <c r="P189" t="n">
        <v>0</v>
      </c>
      <c r="Q189" t="n">
        <v>0</v>
      </c>
      <c r="R189" s="2" t="inlineStr"/>
    </row>
    <row r="190" ht="15" customHeight="1">
      <c r="A190" t="inlineStr">
        <is>
          <t>A 15416-2023</t>
        </is>
      </c>
      <c r="B190" s="1" t="n">
        <v>45019.71342592593</v>
      </c>
      <c r="C190" s="1" t="n">
        <v>46045</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23057-2024</t>
        </is>
      </c>
      <c r="B191" s="1" t="n">
        <v>45450</v>
      </c>
      <c r="C191" s="1" t="n">
        <v>46045</v>
      </c>
      <c r="D191" t="inlineStr">
        <is>
          <t>DALARNAS LÄN</t>
        </is>
      </c>
      <c r="E191" t="inlineStr">
        <is>
          <t>MORA</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571-2024</t>
        </is>
      </c>
      <c r="B192" s="1" t="n">
        <v>45299</v>
      </c>
      <c r="C192" s="1" t="n">
        <v>46045</v>
      </c>
      <c r="D192" t="inlineStr">
        <is>
          <t>DALARNAS LÄN</t>
        </is>
      </c>
      <c r="E192" t="inlineStr">
        <is>
          <t>MORA</t>
        </is>
      </c>
      <c r="G192" t="n">
        <v>3.3</v>
      </c>
      <c r="H192" t="n">
        <v>0</v>
      </c>
      <c r="I192" t="n">
        <v>0</v>
      </c>
      <c r="J192" t="n">
        <v>0</v>
      </c>
      <c r="K192" t="n">
        <v>0</v>
      </c>
      <c r="L192" t="n">
        <v>0</v>
      </c>
      <c r="M192" t="n">
        <v>0</v>
      </c>
      <c r="N192" t="n">
        <v>0</v>
      </c>
      <c r="O192" t="n">
        <v>0</v>
      </c>
      <c r="P192" t="n">
        <v>0</v>
      </c>
      <c r="Q192" t="n">
        <v>0</v>
      </c>
      <c r="R192" s="2" t="inlineStr"/>
    </row>
    <row r="193" ht="15" customHeight="1">
      <c r="A193" t="inlineStr">
        <is>
          <t>A 52288-2024</t>
        </is>
      </c>
      <c r="B193" s="1" t="n">
        <v>45608.69395833334</v>
      </c>
      <c r="C193" s="1" t="n">
        <v>46045</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49159-2023</t>
        </is>
      </c>
      <c r="B194" s="1" t="n">
        <v>45210</v>
      </c>
      <c r="C194" s="1" t="n">
        <v>46045</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25935-2023</t>
        </is>
      </c>
      <c r="B195" s="1" t="n">
        <v>45090.68675925926</v>
      </c>
      <c r="C195" s="1" t="n">
        <v>46045</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50056-2022</t>
        </is>
      </c>
      <c r="B196" s="1" t="n">
        <v>44865</v>
      </c>
      <c r="C196" s="1" t="n">
        <v>46045</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18444-2024</t>
        </is>
      </c>
      <c r="B197" s="1" t="n">
        <v>45425.45568287037</v>
      </c>
      <c r="C197" s="1" t="n">
        <v>46045</v>
      </c>
      <c r="D197" t="inlineStr">
        <is>
          <t>DALARNAS LÄN</t>
        </is>
      </c>
      <c r="E197" t="inlineStr">
        <is>
          <t>MORA</t>
        </is>
      </c>
      <c r="G197" t="n">
        <v>5</v>
      </c>
      <c r="H197" t="n">
        <v>0</v>
      </c>
      <c r="I197" t="n">
        <v>0</v>
      </c>
      <c r="J197" t="n">
        <v>0</v>
      </c>
      <c r="K197" t="n">
        <v>0</v>
      </c>
      <c r="L197" t="n">
        <v>0</v>
      </c>
      <c r="M197" t="n">
        <v>0</v>
      </c>
      <c r="N197" t="n">
        <v>0</v>
      </c>
      <c r="O197" t="n">
        <v>0</v>
      </c>
      <c r="P197" t="n">
        <v>0</v>
      </c>
      <c r="Q197" t="n">
        <v>0</v>
      </c>
      <c r="R197" s="2" t="inlineStr"/>
    </row>
    <row r="198" ht="15" customHeight="1">
      <c r="A198" t="inlineStr">
        <is>
          <t>A 16967-2025</t>
        </is>
      </c>
      <c r="B198" s="1" t="n">
        <v>45755.46106481482</v>
      </c>
      <c r="C198" s="1" t="n">
        <v>46045</v>
      </c>
      <c r="D198" t="inlineStr">
        <is>
          <t>DALARNAS LÄN</t>
        </is>
      </c>
      <c r="E198" t="inlineStr">
        <is>
          <t>MORA</t>
        </is>
      </c>
      <c r="F198" t="inlineStr">
        <is>
          <t>Bergvik skog öst AB</t>
        </is>
      </c>
      <c r="G198" t="n">
        <v>2.9</v>
      </c>
      <c r="H198" t="n">
        <v>0</v>
      </c>
      <c r="I198" t="n">
        <v>0</v>
      </c>
      <c r="J198" t="n">
        <v>0</v>
      </c>
      <c r="K198" t="n">
        <v>0</v>
      </c>
      <c r="L198" t="n">
        <v>0</v>
      </c>
      <c r="M198" t="n">
        <v>0</v>
      </c>
      <c r="N198" t="n">
        <v>0</v>
      </c>
      <c r="O198" t="n">
        <v>0</v>
      </c>
      <c r="P198" t="n">
        <v>0</v>
      </c>
      <c r="Q198" t="n">
        <v>0</v>
      </c>
      <c r="R198" s="2" t="inlineStr"/>
    </row>
    <row r="199" ht="15" customHeight="1">
      <c r="A199" t="inlineStr">
        <is>
          <t>A 24768-2024</t>
        </is>
      </c>
      <c r="B199" s="1" t="n">
        <v>45460.69545138889</v>
      </c>
      <c r="C199" s="1" t="n">
        <v>46045</v>
      </c>
      <c r="D199" t="inlineStr">
        <is>
          <t>DALARNAS LÄN</t>
        </is>
      </c>
      <c r="E199" t="inlineStr">
        <is>
          <t>MORA</t>
        </is>
      </c>
      <c r="G199" t="n">
        <v>2.4</v>
      </c>
      <c r="H199" t="n">
        <v>0</v>
      </c>
      <c r="I199" t="n">
        <v>0</v>
      </c>
      <c r="J199" t="n">
        <v>0</v>
      </c>
      <c r="K199" t="n">
        <v>0</v>
      </c>
      <c r="L199" t="n">
        <v>0</v>
      </c>
      <c r="M199" t="n">
        <v>0</v>
      </c>
      <c r="N199" t="n">
        <v>0</v>
      </c>
      <c r="O199" t="n">
        <v>0</v>
      </c>
      <c r="P199" t="n">
        <v>0</v>
      </c>
      <c r="Q199" t="n">
        <v>0</v>
      </c>
      <c r="R199" s="2" t="inlineStr"/>
    </row>
    <row r="200" ht="15" customHeight="1">
      <c r="A200" t="inlineStr">
        <is>
          <t>A 18992-2024</t>
        </is>
      </c>
      <c r="B200" s="1" t="n">
        <v>45427.61516203704</v>
      </c>
      <c r="C200" s="1" t="n">
        <v>46045</v>
      </c>
      <c r="D200" t="inlineStr">
        <is>
          <t>DALARNAS LÄN</t>
        </is>
      </c>
      <c r="E200" t="inlineStr">
        <is>
          <t>MORA</t>
        </is>
      </c>
      <c r="G200" t="n">
        <v>9.9</v>
      </c>
      <c r="H200" t="n">
        <v>0</v>
      </c>
      <c r="I200" t="n">
        <v>0</v>
      </c>
      <c r="J200" t="n">
        <v>0</v>
      </c>
      <c r="K200" t="n">
        <v>0</v>
      </c>
      <c r="L200" t="n">
        <v>0</v>
      </c>
      <c r="M200" t="n">
        <v>0</v>
      </c>
      <c r="N200" t="n">
        <v>0</v>
      </c>
      <c r="O200" t="n">
        <v>0</v>
      </c>
      <c r="P200" t="n">
        <v>0</v>
      </c>
      <c r="Q200" t="n">
        <v>0</v>
      </c>
      <c r="R200" s="2" t="inlineStr"/>
    </row>
    <row r="201" ht="15" customHeight="1">
      <c r="A201" t="inlineStr">
        <is>
          <t>A 15499-2024</t>
        </is>
      </c>
      <c r="B201" s="1" t="n">
        <v>45401.53798611111</v>
      </c>
      <c r="C201" s="1" t="n">
        <v>46045</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43879-2022</t>
        </is>
      </c>
      <c r="B202" s="1" t="n">
        <v>44838.46721064814</v>
      </c>
      <c r="C202" s="1" t="n">
        <v>46045</v>
      </c>
      <c r="D202" t="inlineStr">
        <is>
          <t>DALARNAS LÄN</t>
        </is>
      </c>
      <c r="E202" t="inlineStr">
        <is>
          <t>MORA</t>
        </is>
      </c>
      <c r="G202" t="n">
        <v>3.4</v>
      </c>
      <c r="H202" t="n">
        <v>0</v>
      </c>
      <c r="I202" t="n">
        <v>0</v>
      </c>
      <c r="J202" t="n">
        <v>0</v>
      </c>
      <c r="K202" t="n">
        <v>0</v>
      </c>
      <c r="L202" t="n">
        <v>0</v>
      </c>
      <c r="M202" t="n">
        <v>0</v>
      </c>
      <c r="N202" t="n">
        <v>0</v>
      </c>
      <c r="O202" t="n">
        <v>0</v>
      </c>
      <c r="P202" t="n">
        <v>0</v>
      </c>
      <c r="Q202" t="n">
        <v>0</v>
      </c>
      <c r="R202" s="2" t="inlineStr"/>
    </row>
    <row r="203" ht="15" customHeight="1">
      <c r="A203" t="inlineStr">
        <is>
          <t>A 60673-2023</t>
        </is>
      </c>
      <c r="B203" s="1" t="n">
        <v>45260.46438657407</v>
      </c>
      <c r="C203" s="1" t="n">
        <v>46045</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39888-2024</t>
        </is>
      </c>
      <c r="B204" s="1" t="n">
        <v>45553.47538194444</v>
      </c>
      <c r="C204" s="1" t="n">
        <v>46045</v>
      </c>
      <c r="D204" t="inlineStr">
        <is>
          <t>DALARNAS LÄN</t>
        </is>
      </c>
      <c r="E204" t="inlineStr">
        <is>
          <t>MORA</t>
        </is>
      </c>
      <c r="G204" t="n">
        <v>5.4</v>
      </c>
      <c r="H204" t="n">
        <v>0</v>
      </c>
      <c r="I204" t="n">
        <v>0</v>
      </c>
      <c r="J204" t="n">
        <v>0</v>
      </c>
      <c r="K204" t="n">
        <v>0</v>
      </c>
      <c r="L204" t="n">
        <v>0</v>
      </c>
      <c r="M204" t="n">
        <v>0</v>
      </c>
      <c r="N204" t="n">
        <v>0</v>
      </c>
      <c r="O204" t="n">
        <v>0</v>
      </c>
      <c r="P204" t="n">
        <v>0</v>
      </c>
      <c r="Q204" t="n">
        <v>0</v>
      </c>
      <c r="R204" s="2" t="inlineStr"/>
    </row>
    <row r="205" ht="15" customHeight="1">
      <c r="A205" t="inlineStr">
        <is>
          <t>A 60847-2021</t>
        </is>
      </c>
      <c r="B205" s="1" t="n">
        <v>44497</v>
      </c>
      <c r="C205" s="1" t="n">
        <v>46045</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32410-2024</t>
        </is>
      </c>
      <c r="B206" s="1" t="n">
        <v>45512.70077546296</v>
      </c>
      <c r="C206" s="1" t="n">
        <v>46045</v>
      </c>
      <c r="D206" t="inlineStr">
        <is>
          <t>DALARNAS LÄN</t>
        </is>
      </c>
      <c r="E206" t="inlineStr">
        <is>
          <t>MORA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12828-2023</t>
        </is>
      </c>
      <c r="B207" s="1" t="n">
        <v>45001</v>
      </c>
      <c r="C207" s="1" t="n">
        <v>46045</v>
      </c>
      <c r="D207" t="inlineStr">
        <is>
          <t>DALARNAS LÄN</t>
        </is>
      </c>
      <c r="E207" t="inlineStr">
        <is>
          <t>MORA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60099-2024</t>
        </is>
      </c>
      <c r="B208" s="1" t="n">
        <v>45642.55645833333</v>
      </c>
      <c r="C208" s="1" t="n">
        <v>46045</v>
      </c>
      <c r="D208" t="inlineStr">
        <is>
          <t>DALARNAS LÄN</t>
        </is>
      </c>
      <c r="E208" t="inlineStr">
        <is>
          <t>MORA</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53750-2024</t>
        </is>
      </c>
      <c r="B209" s="1" t="n">
        <v>45615.48465277778</v>
      </c>
      <c r="C209" s="1" t="n">
        <v>46045</v>
      </c>
      <c r="D209" t="inlineStr">
        <is>
          <t>DALARNAS LÄN</t>
        </is>
      </c>
      <c r="E209" t="inlineStr">
        <is>
          <t>MORA</t>
        </is>
      </c>
      <c r="G209" t="n">
        <v>2.3</v>
      </c>
      <c r="H209" t="n">
        <v>0</v>
      </c>
      <c r="I209" t="n">
        <v>0</v>
      </c>
      <c r="J209" t="n">
        <v>0</v>
      </c>
      <c r="K209" t="n">
        <v>0</v>
      </c>
      <c r="L209" t="n">
        <v>0</v>
      </c>
      <c r="M209" t="n">
        <v>0</v>
      </c>
      <c r="N209" t="n">
        <v>0</v>
      </c>
      <c r="O209" t="n">
        <v>0</v>
      </c>
      <c r="P209" t="n">
        <v>0</v>
      </c>
      <c r="Q209" t="n">
        <v>0</v>
      </c>
      <c r="R209" s="2" t="inlineStr"/>
    </row>
    <row r="210" ht="15" customHeight="1">
      <c r="A210" t="inlineStr">
        <is>
          <t>A 50911-2024</t>
        </is>
      </c>
      <c r="B210" s="1" t="n">
        <v>45602.7022337963</v>
      </c>
      <c r="C210" s="1" t="n">
        <v>46045</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37971-2024</t>
        </is>
      </c>
      <c r="B211" s="1" t="n">
        <v>45544</v>
      </c>
      <c r="C211" s="1" t="n">
        <v>46045</v>
      </c>
      <c r="D211" t="inlineStr">
        <is>
          <t>DALARNAS LÄN</t>
        </is>
      </c>
      <c r="E211" t="inlineStr">
        <is>
          <t>MORA</t>
        </is>
      </c>
      <c r="G211" t="n">
        <v>2.3</v>
      </c>
      <c r="H211" t="n">
        <v>0</v>
      </c>
      <c r="I211" t="n">
        <v>0</v>
      </c>
      <c r="J211" t="n">
        <v>0</v>
      </c>
      <c r="K211" t="n">
        <v>0</v>
      </c>
      <c r="L211" t="n">
        <v>0</v>
      </c>
      <c r="M211" t="n">
        <v>0</v>
      </c>
      <c r="N211" t="n">
        <v>0</v>
      </c>
      <c r="O211" t="n">
        <v>0</v>
      </c>
      <c r="P211" t="n">
        <v>0</v>
      </c>
      <c r="Q211" t="n">
        <v>0</v>
      </c>
      <c r="R211" s="2" t="inlineStr"/>
    </row>
    <row r="212" ht="15" customHeight="1">
      <c r="A212" t="inlineStr">
        <is>
          <t>A 32721-2024</t>
        </is>
      </c>
      <c r="B212" s="1" t="n">
        <v>45516.40261574074</v>
      </c>
      <c r="C212" s="1" t="n">
        <v>46045</v>
      </c>
      <c r="D212" t="inlineStr">
        <is>
          <t>DALARNAS LÄN</t>
        </is>
      </c>
      <c r="E212" t="inlineStr">
        <is>
          <t>MORA</t>
        </is>
      </c>
      <c r="G212" t="n">
        <v>4.2</v>
      </c>
      <c r="H212" t="n">
        <v>0</v>
      </c>
      <c r="I212" t="n">
        <v>0</v>
      </c>
      <c r="J212" t="n">
        <v>0</v>
      </c>
      <c r="K212" t="n">
        <v>0</v>
      </c>
      <c r="L212" t="n">
        <v>0</v>
      </c>
      <c r="M212" t="n">
        <v>0</v>
      </c>
      <c r="N212" t="n">
        <v>0</v>
      </c>
      <c r="O212" t="n">
        <v>0</v>
      </c>
      <c r="P212" t="n">
        <v>0</v>
      </c>
      <c r="Q212" t="n">
        <v>0</v>
      </c>
      <c r="R212" s="2" t="inlineStr"/>
    </row>
    <row r="213" ht="15" customHeight="1">
      <c r="A213" t="inlineStr">
        <is>
          <t>A 36038-2024</t>
        </is>
      </c>
      <c r="B213" s="1" t="n">
        <v>45533</v>
      </c>
      <c r="C213" s="1" t="n">
        <v>46045</v>
      </c>
      <c r="D213" t="inlineStr">
        <is>
          <t>DALARNAS LÄN</t>
        </is>
      </c>
      <c r="E213" t="inlineStr">
        <is>
          <t>MORA</t>
        </is>
      </c>
      <c r="G213" t="n">
        <v>5.1</v>
      </c>
      <c r="H213" t="n">
        <v>0</v>
      </c>
      <c r="I213" t="n">
        <v>0</v>
      </c>
      <c r="J213" t="n">
        <v>0</v>
      </c>
      <c r="K213" t="n">
        <v>0</v>
      </c>
      <c r="L213" t="n">
        <v>0</v>
      </c>
      <c r="M213" t="n">
        <v>0</v>
      </c>
      <c r="N213" t="n">
        <v>0</v>
      </c>
      <c r="O213" t="n">
        <v>0</v>
      </c>
      <c r="P213" t="n">
        <v>0</v>
      </c>
      <c r="Q213" t="n">
        <v>0</v>
      </c>
      <c r="R213" s="2" t="inlineStr"/>
    </row>
    <row r="214" ht="15" customHeight="1">
      <c r="A214" t="inlineStr">
        <is>
          <t>A 35040-2023</t>
        </is>
      </c>
      <c r="B214" s="1" t="n">
        <v>45145.36853009259</v>
      </c>
      <c r="C214" s="1" t="n">
        <v>46045</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58036-2024</t>
        </is>
      </c>
      <c r="B215" s="1" t="n">
        <v>45631.71893518518</v>
      </c>
      <c r="C215" s="1" t="n">
        <v>46045</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18122-2025</t>
        </is>
      </c>
      <c r="B216" s="1" t="n">
        <v>45761.59221064814</v>
      </c>
      <c r="C216" s="1" t="n">
        <v>46045</v>
      </c>
      <c r="D216" t="inlineStr">
        <is>
          <t>DALARNAS LÄN</t>
        </is>
      </c>
      <c r="E216" t="inlineStr">
        <is>
          <t>MORA</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39456-2025</t>
        </is>
      </c>
      <c r="B217" s="1" t="n">
        <v>45889.76200231481</v>
      </c>
      <c r="C217" s="1" t="n">
        <v>46045</v>
      </c>
      <c r="D217" t="inlineStr">
        <is>
          <t>DALARNAS LÄN</t>
        </is>
      </c>
      <c r="E217" t="inlineStr">
        <is>
          <t>MORA</t>
        </is>
      </c>
      <c r="F217" t="inlineStr">
        <is>
          <t>Bergvik skog öst AB</t>
        </is>
      </c>
      <c r="G217" t="n">
        <v>16.7</v>
      </c>
      <c r="H217" t="n">
        <v>0</v>
      </c>
      <c r="I217" t="n">
        <v>0</v>
      </c>
      <c r="J217" t="n">
        <v>0</v>
      </c>
      <c r="K217" t="n">
        <v>0</v>
      </c>
      <c r="L217" t="n">
        <v>0</v>
      </c>
      <c r="M217" t="n">
        <v>0</v>
      </c>
      <c r="N217" t="n">
        <v>0</v>
      </c>
      <c r="O217" t="n">
        <v>0</v>
      </c>
      <c r="P217" t="n">
        <v>0</v>
      </c>
      <c r="Q217" t="n">
        <v>0</v>
      </c>
      <c r="R217" s="2" t="inlineStr"/>
    </row>
    <row r="218" ht="15" customHeight="1">
      <c r="A218" t="inlineStr">
        <is>
          <t>A 46923-2024</t>
        </is>
      </c>
      <c r="B218" s="1" t="n">
        <v>45584.42887731481</v>
      </c>
      <c r="C218" s="1" t="n">
        <v>46045</v>
      </c>
      <c r="D218" t="inlineStr">
        <is>
          <t>DALARNAS LÄN</t>
        </is>
      </c>
      <c r="E218" t="inlineStr">
        <is>
          <t>MORA</t>
        </is>
      </c>
      <c r="G218" t="n">
        <v>3.4</v>
      </c>
      <c r="H218" t="n">
        <v>0</v>
      </c>
      <c r="I218" t="n">
        <v>0</v>
      </c>
      <c r="J218" t="n">
        <v>0</v>
      </c>
      <c r="K218" t="n">
        <v>0</v>
      </c>
      <c r="L218" t="n">
        <v>0</v>
      </c>
      <c r="M218" t="n">
        <v>0</v>
      </c>
      <c r="N218" t="n">
        <v>0</v>
      </c>
      <c r="O218" t="n">
        <v>0</v>
      </c>
      <c r="P218" t="n">
        <v>0</v>
      </c>
      <c r="Q218" t="n">
        <v>0</v>
      </c>
      <c r="R218" s="2" t="inlineStr"/>
    </row>
    <row r="219" ht="15" customHeight="1">
      <c r="A219" t="inlineStr">
        <is>
          <t>A 28964-2024</t>
        </is>
      </c>
      <c r="B219" s="1" t="n">
        <v>45481.42923611111</v>
      </c>
      <c r="C219" s="1" t="n">
        <v>46045</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13262-2022</t>
        </is>
      </c>
      <c r="B220" s="1" t="n">
        <v>44644.70184027778</v>
      </c>
      <c r="C220" s="1" t="n">
        <v>46045</v>
      </c>
      <c r="D220" t="inlineStr">
        <is>
          <t>DALARNAS LÄN</t>
        </is>
      </c>
      <c r="E220" t="inlineStr">
        <is>
          <t>MORA</t>
        </is>
      </c>
      <c r="G220" t="n">
        <v>0.8</v>
      </c>
      <c r="H220" t="n">
        <v>0</v>
      </c>
      <c r="I220" t="n">
        <v>0</v>
      </c>
      <c r="J220" t="n">
        <v>0</v>
      </c>
      <c r="K220" t="n">
        <v>0</v>
      </c>
      <c r="L220" t="n">
        <v>0</v>
      </c>
      <c r="M220" t="n">
        <v>0</v>
      </c>
      <c r="N220" t="n">
        <v>0</v>
      </c>
      <c r="O220" t="n">
        <v>0</v>
      </c>
      <c r="P220" t="n">
        <v>0</v>
      </c>
      <c r="Q220" t="n">
        <v>0</v>
      </c>
      <c r="R220" s="2" t="inlineStr"/>
    </row>
    <row r="221" ht="15" customHeight="1">
      <c r="A221" t="inlineStr">
        <is>
          <t>A 30194-2024</t>
        </is>
      </c>
      <c r="B221" s="1" t="n">
        <v>45490.33387731481</v>
      </c>
      <c r="C221" s="1" t="n">
        <v>46045</v>
      </c>
      <c r="D221" t="inlineStr">
        <is>
          <t>DALARNAS LÄN</t>
        </is>
      </c>
      <c r="E221" t="inlineStr">
        <is>
          <t>MORA</t>
        </is>
      </c>
      <c r="G221" t="n">
        <v>3.1</v>
      </c>
      <c r="H221" t="n">
        <v>0</v>
      </c>
      <c r="I221" t="n">
        <v>0</v>
      </c>
      <c r="J221" t="n">
        <v>0</v>
      </c>
      <c r="K221" t="n">
        <v>0</v>
      </c>
      <c r="L221" t="n">
        <v>0</v>
      </c>
      <c r="M221" t="n">
        <v>0</v>
      </c>
      <c r="N221" t="n">
        <v>0</v>
      </c>
      <c r="O221" t="n">
        <v>0</v>
      </c>
      <c r="P221" t="n">
        <v>0</v>
      </c>
      <c r="Q221" t="n">
        <v>0</v>
      </c>
      <c r="R221" s="2" t="inlineStr"/>
    </row>
    <row r="222" ht="15" customHeight="1">
      <c r="A222" t="inlineStr">
        <is>
          <t>A 27420-2024</t>
        </is>
      </c>
      <c r="B222" s="1" t="n">
        <v>45474.37850694444</v>
      </c>
      <c r="C222" s="1" t="n">
        <v>46045</v>
      </c>
      <c r="D222" t="inlineStr">
        <is>
          <t>DALARNAS LÄN</t>
        </is>
      </c>
      <c r="E222" t="inlineStr">
        <is>
          <t>MORA</t>
        </is>
      </c>
      <c r="G222" t="n">
        <v>7.3</v>
      </c>
      <c r="H222" t="n">
        <v>0</v>
      </c>
      <c r="I222" t="n">
        <v>0</v>
      </c>
      <c r="J222" t="n">
        <v>0</v>
      </c>
      <c r="K222" t="n">
        <v>0</v>
      </c>
      <c r="L222" t="n">
        <v>0</v>
      </c>
      <c r="M222" t="n">
        <v>0</v>
      </c>
      <c r="N222" t="n">
        <v>0</v>
      </c>
      <c r="O222" t="n">
        <v>0</v>
      </c>
      <c r="P222" t="n">
        <v>0</v>
      </c>
      <c r="Q222" t="n">
        <v>0</v>
      </c>
      <c r="R222" s="2" t="inlineStr"/>
    </row>
    <row r="223" ht="15" customHeight="1">
      <c r="A223" t="inlineStr">
        <is>
          <t>A 47143-2022</t>
        </is>
      </c>
      <c r="B223" s="1" t="n">
        <v>44852</v>
      </c>
      <c r="C223" s="1" t="n">
        <v>46045</v>
      </c>
      <c r="D223" t="inlineStr">
        <is>
          <t>DALARNAS LÄN</t>
        </is>
      </c>
      <c r="E223" t="inlineStr">
        <is>
          <t>MORA</t>
        </is>
      </c>
      <c r="G223" t="n">
        <v>3.9</v>
      </c>
      <c r="H223" t="n">
        <v>0</v>
      </c>
      <c r="I223" t="n">
        <v>0</v>
      </c>
      <c r="J223" t="n">
        <v>0</v>
      </c>
      <c r="K223" t="n">
        <v>0</v>
      </c>
      <c r="L223" t="n">
        <v>0</v>
      </c>
      <c r="M223" t="n">
        <v>0</v>
      </c>
      <c r="N223" t="n">
        <v>0</v>
      </c>
      <c r="O223" t="n">
        <v>0</v>
      </c>
      <c r="P223" t="n">
        <v>0</v>
      </c>
      <c r="Q223" t="n">
        <v>0</v>
      </c>
      <c r="R223" s="2" t="inlineStr"/>
    </row>
    <row r="224" ht="15" customHeight="1">
      <c r="A224" t="inlineStr">
        <is>
          <t>A 3430-2023</t>
        </is>
      </c>
      <c r="B224" s="1" t="n">
        <v>44949.57856481482</v>
      </c>
      <c r="C224" s="1" t="n">
        <v>46045</v>
      </c>
      <c r="D224" t="inlineStr">
        <is>
          <t>DALARNAS LÄN</t>
        </is>
      </c>
      <c r="E224" t="inlineStr">
        <is>
          <t>MORA</t>
        </is>
      </c>
      <c r="G224" t="n">
        <v>2.6</v>
      </c>
      <c r="H224" t="n">
        <v>0</v>
      </c>
      <c r="I224" t="n">
        <v>0</v>
      </c>
      <c r="J224" t="n">
        <v>0</v>
      </c>
      <c r="K224" t="n">
        <v>0</v>
      </c>
      <c r="L224" t="n">
        <v>0</v>
      </c>
      <c r="M224" t="n">
        <v>0</v>
      </c>
      <c r="N224" t="n">
        <v>0</v>
      </c>
      <c r="O224" t="n">
        <v>0</v>
      </c>
      <c r="P224" t="n">
        <v>0</v>
      </c>
      <c r="Q224" t="n">
        <v>0</v>
      </c>
      <c r="R224" s="2" t="inlineStr"/>
    </row>
    <row r="225" ht="15" customHeight="1">
      <c r="A225" t="inlineStr">
        <is>
          <t>A 47036-2023</t>
        </is>
      </c>
      <c r="B225" s="1" t="n">
        <v>45196</v>
      </c>
      <c r="C225" s="1" t="n">
        <v>46045</v>
      </c>
      <c r="D225" t="inlineStr">
        <is>
          <t>DALARNAS LÄN</t>
        </is>
      </c>
      <c r="E225" t="inlineStr">
        <is>
          <t>MORA</t>
        </is>
      </c>
      <c r="G225" t="n">
        <v>2.7</v>
      </c>
      <c r="H225" t="n">
        <v>0</v>
      </c>
      <c r="I225" t="n">
        <v>0</v>
      </c>
      <c r="J225" t="n">
        <v>0</v>
      </c>
      <c r="K225" t="n">
        <v>0</v>
      </c>
      <c r="L225" t="n">
        <v>0</v>
      </c>
      <c r="M225" t="n">
        <v>0</v>
      </c>
      <c r="N225" t="n">
        <v>0</v>
      </c>
      <c r="O225" t="n">
        <v>0</v>
      </c>
      <c r="P225" t="n">
        <v>0</v>
      </c>
      <c r="Q225" t="n">
        <v>0</v>
      </c>
      <c r="R225" s="2" t="inlineStr"/>
    </row>
    <row r="226" ht="15" customHeight="1">
      <c r="A226" t="inlineStr">
        <is>
          <t>A 1897-2023</t>
        </is>
      </c>
      <c r="B226" s="1" t="n">
        <v>44937</v>
      </c>
      <c r="C226" s="1" t="n">
        <v>46045</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40147-2025</t>
        </is>
      </c>
      <c r="B227" s="1" t="n">
        <v>45894.57918981482</v>
      </c>
      <c r="C227" s="1" t="n">
        <v>46045</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20549-2025</t>
        </is>
      </c>
      <c r="B228" s="1" t="n">
        <v>45775.63459490741</v>
      </c>
      <c r="C228" s="1" t="n">
        <v>46045</v>
      </c>
      <c r="D228" t="inlineStr">
        <is>
          <t>DALARNAS LÄN</t>
        </is>
      </c>
      <c r="E228" t="inlineStr">
        <is>
          <t>MORA</t>
        </is>
      </c>
      <c r="G228" t="n">
        <v>1.6</v>
      </c>
      <c r="H228" t="n">
        <v>0</v>
      </c>
      <c r="I228" t="n">
        <v>0</v>
      </c>
      <c r="J228" t="n">
        <v>0</v>
      </c>
      <c r="K228" t="n">
        <v>0</v>
      </c>
      <c r="L228" t="n">
        <v>0</v>
      </c>
      <c r="M228" t="n">
        <v>0</v>
      </c>
      <c r="N228" t="n">
        <v>0</v>
      </c>
      <c r="O228" t="n">
        <v>0</v>
      </c>
      <c r="P228" t="n">
        <v>0</v>
      </c>
      <c r="Q228" t="n">
        <v>0</v>
      </c>
      <c r="R228" s="2" t="inlineStr"/>
    </row>
    <row r="229" ht="15" customHeight="1">
      <c r="A229" t="inlineStr">
        <is>
          <t>A 39824-2025</t>
        </is>
      </c>
      <c r="B229" s="1" t="n">
        <v>45891</v>
      </c>
      <c r="C229" s="1" t="n">
        <v>46045</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19193-2025</t>
        </is>
      </c>
      <c r="B230" s="1" t="n">
        <v>45769.42203703704</v>
      </c>
      <c r="C230" s="1" t="n">
        <v>46045</v>
      </c>
      <c r="D230" t="inlineStr">
        <is>
          <t>DALARNAS LÄN</t>
        </is>
      </c>
      <c r="E230" t="inlineStr">
        <is>
          <t>MORA</t>
        </is>
      </c>
      <c r="F230" t="inlineStr">
        <is>
          <t>Bergvik skog öst AB</t>
        </is>
      </c>
      <c r="G230" t="n">
        <v>1</v>
      </c>
      <c r="H230" t="n">
        <v>0</v>
      </c>
      <c r="I230" t="n">
        <v>0</v>
      </c>
      <c r="J230" t="n">
        <v>0</v>
      </c>
      <c r="K230" t="n">
        <v>0</v>
      </c>
      <c r="L230" t="n">
        <v>0</v>
      </c>
      <c r="M230" t="n">
        <v>0</v>
      </c>
      <c r="N230" t="n">
        <v>0</v>
      </c>
      <c r="O230" t="n">
        <v>0</v>
      </c>
      <c r="P230" t="n">
        <v>0</v>
      </c>
      <c r="Q230" t="n">
        <v>0</v>
      </c>
      <c r="R230" s="2" t="inlineStr"/>
    </row>
    <row r="231" ht="15" customHeight="1">
      <c r="A231" t="inlineStr">
        <is>
          <t>A 34282-2024</t>
        </is>
      </c>
      <c r="B231" s="1" t="n">
        <v>45524.62600694445</v>
      </c>
      <c r="C231" s="1" t="n">
        <v>46045</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25737-2025</t>
        </is>
      </c>
      <c r="B232" s="1" t="n">
        <v>45800</v>
      </c>
      <c r="C232" s="1" t="n">
        <v>46045</v>
      </c>
      <c r="D232" t="inlineStr">
        <is>
          <t>DALARNAS LÄN</t>
        </is>
      </c>
      <c r="E232" t="inlineStr">
        <is>
          <t>MORA</t>
        </is>
      </c>
      <c r="G232" t="n">
        <v>9.6</v>
      </c>
      <c r="H232" t="n">
        <v>0</v>
      </c>
      <c r="I232" t="n">
        <v>0</v>
      </c>
      <c r="J232" t="n">
        <v>0</v>
      </c>
      <c r="K232" t="n">
        <v>0</v>
      </c>
      <c r="L232" t="n">
        <v>0</v>
      </c>
      <c r="M232" t="n">
        <v>0</v>
      </c>
      <c r="N232" t="n">
        <v>0</v>
      </c>
      <c r="O232" t="n">
        <v>0</v>
      </c>
      <c r="P232" t="n">
        <v>0</v>
      </c>
      <c r="Q232" t="n">
        <v>0</v>
      </c>
      <c r="R232" s="2" t="inlineStr"/>
    </row>
    <row r="233" ht="15" customHeight="1">
      <c r="A233" t="inlineStr">
        <is>
          <t>A 39787-2025</t>
        </is>
      </c>
      <c r="B233" s="1" t="n">
        <v>45891</v>
      </c>
      <c r="C233" s="1" t="n">
        <v>46045</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40140-2025</t>
        </is>
      </c>
      <c r="B234" s="1" t="n">
        <v>45894.57016203704</v>
      </c>
      <c r="C234" s="1" t="n">
        <v>46045</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40142-2025</t>
        </is>
      </c>
      <c r="B235" s="1" t="n">
        <v>45894.57202546296</v>
      </c>
      <c r="C235" s="1" t="n">
        <v>46045</v>
      </c>
      <c r="D235" t="inlineStr">
        <is>
          <t>DALARNAS LÄN</t>
        </is>
      </c>
      <c r="E235" t="inlineStr">
        <is>
          <t>MORA</t>
        </is>
      </c>
      <c r="G235" t="n">
        <v>0.4</v>
      </c>
      <c r="H235" t="n">
        <v>0</v>
      </c>
      <c r="I235" t="n">
        <v>0</v>
      </c>
      <c r="J235" t="n">
        <v>0</v>
      </c>
      <c r="K235" t="n">
        <v>0</v>
      </c>
      <c r="L235" t="n">
        <v>0</v>
      </c>
      <c r="M235" t="n">
        <v>0</v>
      </c>
      <c r="N235" t="n">
        <v>0</v>
      </c>
      <c r="O235" t="n">
        <v>0</v>
      </c>
      <c r="P235" t="n">
        <v>0</v>
      </c>
      <c r="Q235" t="n">
        <v>0</v>
      </c>
      <c r="R235" s="2" t="inlineStr"/>
    </row>
    <row r="236" ht="15" customHeight="1">
      <c r="A236" t="inlineStr">
        <is>
          <t>A 40471-2025</t>
        </is>
      </c>
      <c r="B236" s="1" t="n">
        <v>45895.67356481482</v>
      </c>
      <c r="C236" s="1" t="n">
        <v>46045</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19814-2025</t>
        </is>
      </c>
      <c r="B237" s="1" t="n">
        <v>45771.45686342593</v>
      </c>
      <c r="C237" s="1" t="n">
        <v>46045</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40661-2025</t>
        </is>
      </c>
      <c r="B238" s="1" t="n">
        <v>45896.64715277778</v>
      </c>
      <c r="C238" s="1" t="n">
        <v>46045</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52525-2022</t>
        </is>
      </c>
      <c r="B239" s="1" t="n">
        <v>44874</v>
      </c>
      <c r="C239" s="1" t="n">
        <v>46045</v>
      </c>
      <c r="D239" t="inlineStr">
        <is>
          <t>DALARNAS LÄN</t>
        </is>
      </c>
      <c r="E239" t="inlineStr">
        <is>
          <t>MORA</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8100-2024</t>
        </is>
      </c>
      <c r="B240" s="1" t="n">
        <v>45351.46583333334</v>
      </c>
      <c r="C240" s="1" t="n">
        <v>46045</v>
      </c>
      <c r="D240" t="inlineStr">
        <is>
          <t>DALARNAS LÄN</t>
        </is>
      </c>
      <c r="E240" t="inlineStr">
        <is>
          <t>MORA</t>
        </is>
      </c>
      <c r="G240" t="n">
        <v>3.2</v>
      </c>
      <c r="H240" t="n">
        <v>0</v>
      </c>
      <c r="I240" t="n">
        <v>0</v>
      </c>
      <c r="J240" t="n">
        <v>0</v>
      </c>
      <c r="K240" t="n">
        <v>0</v>
      </c>
      <c r="L240" t="n">
        <v>0</v>
      </c>
      <c r="M240" t="n">
        <v>0</v>
      </c>
      <c r="N240" t="n">
        <v>0</v>
      </c>
      <c r="O240" t="n">
        <v>0</v>
      </c>
      <c r="P240" t="n">
        <v>0</v>
      </c>
      <c r="Q240" t="n">
        <v>0</v>
      </c>
      <c r="R240" s="2" t="inlineStr"/>
    </row>
    <row r="241" ht="15" customHeight="1">
      <c r="A241" t="inlineStr">
        <is>
          <t>A 40660-2025</t>
        </is>
      </c>
      <c r="B241" s="1" t="n">
        <v>45896.64631944444</v>
      </c>
      <c r="C241" s="1" t="n">
        <v>46045</v>
      </c>
      <c r="D241" t="inlineStr">
        <is>
          <t>DALARNAS LÄN</t>
        </is>
      </c>
      <c r="E241" t="inlineStr">
        <is>
          <t>MORA</t>
        </is>
      </c>
      <c r="F241" t="inlineStr">
        <is>
          <t>Bergvik skog väst AB</t>
        </is>
      </c>
      <c r="G241" t="n">
        <v>5.4</v>
      </c>
      <c r="H241" t="n">
        <v>0</v>
      </c>
      <c r="I241" t="n">
        <v>0</v>
      </c>
      <c r="J241" t="n">
        <v>0</v>
      </c>
      <c r="K241" t="n">
        <v>0</v>
      </c>
      <c r="L241" t="n">
        <v>0</v>
      </c>
      <c r="M241" t="n">
        <v>0</v>
      </c>
      <c r="N241" t="n">
        <v>0</v>
      </c>
      <c r="O241" t="n">
        <v>0</v>
      </c>
      <c r="P241" t="n">
        <v>0</v>
      </c>
      <c r="Q241" t="n">
        <v>0</v>
      </c>
      <c r="R241" s="2" t="inlineStr"/>
    </row>
    <row r="242" ht="15" customHeight="1">
      <c r="A242" t="inlineStr">
        <is>
          <t>A 41169-2023</t>
        </is>
      </c>
      <c r="B242" s="1" t="n">
        <v>45174.34662037037</v>
      </c>
      <c r="C242" s="1" t="n">
        <v>46045</v>
      </c>
      <c r="D242" t="inlineStr">
        <is>
          <t>DALARNAS LÄN</t>
        </is>
      </c>
      <c r="E242" t="inlineStr">
        <is>
          <t>MORA</t>
        </is>
      </c>
      <c r="G242" t="n">
        <v>3</v>
      </c>
      <c r="H242" t="n">
        <v>0</v>
      </c>
      <c r="I242" t="n">
        <v>0</v>
      </c>
      <c r="J242" t="n">
        <v>0</v>
      </c>
      <c r="K242" t="n">
        <v>0</v>
      </c>
      <c r="L242" t="n">
        <v>0</v>
      </c>
      <c r="M242" t="n">
        <v>0</v>
      </c>
      <c r="N242" t="n">
        <v>0</v>
      </c>
      <c r="O242" t="n">
        <v>0</v>
      </c>
      <c r="P242" t="n">
        <v>0</v>
      </c>
      <c r="Q242" t="n">
        <v>0</v>
      </c>
      <c r="R242" s="2" t="inlineStr"/>
    </row>
    <row r="243" ht="15" customHeight="1">
      <c r="A243" t="inlineStr">
        <is>
          <t>A 25345-2025</t>
        </is>
      </c>
      <c r="B243" s="1" t="n">
        <v>45799</v>
      </c>
      <c r="C243" s="1" t="n">
        <v>46045</v>
      </c>
      <c r="D243" t="inlineStr">
        <is>
          <t>DALARNAS LÄN</t>
        </is>
      </c>
      <c r="E243" t="inlineStr">
        <is>
          <t>MORA</t>
        </is>
      </c>
      <c r="G243" t="n">
        <v>3.1</v>
      </c>
      <c r="H243" t="n">
        <v>0</v>
      </c>
      <c r="I243" t="n">
        <v>0</v>
      </c>
      <c r="J243" t="n">
        <v>0</v>
      </c>
      <c r="K243" t="n">
        <v>0</v>
      </c>
      <c r="L243" t="n">
        <v>0</v>
      </c>
      <c r="M243" t="n">
        <v>0</v>
      </c>
      <c r="N243" t="n">
        <v>0</v>
      </c>
      <c r="O243" t="n">
        <v>0</v>
      </c>
      <c r="P243" t="n">
        <v>0</v>
      </c>
      <c r="Q243" t="n">
        <v>0</v>
      </c>
      <c r="R243" s="2" t="inlineStr"/>
    </row>
    <row r="244" ht="15" customHeight="1">
      <c r="A244" t="inlineStr">
        <is>
          <t>A 40805-2025</t>
        </is>
      </c>
      <c r="B244" s="1" t="n">
        <v>45897.46659722222</v>
      </c>
      <c r="C244" s="1" t="n">
        <v>46045</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9855-2024</t>
        </is>
      </c>
      <c r="B245" s="1" t="n">
        <v>45363.40368055556</v>
      </c>
      <c r="C245" s="1" t="n">
        <v>46045</v>
      </c>
      <c r="D245" t="inlineStr">
        <is>
          <t>DALARNAS LÄN</t>
        </is>
      </c>
      <c r="E245" t="inlineStr">
        <is>
          <t>MORA</t>
        </is>
      </c>
      <c r="G245" t="n">
        <v>8.6</v>
      </c>
      <c r="H245" t="n">
        <v>0</v>
      </c>
      <c r="I245" t="n">
        <v>0</v>
      </c>
      <c r="J245" t="n">
        <v>0</v>
      </c>
      <c r="K245" t="n">
        <v>0</v>
      </c>
      <c r="L245" t="n">
        <v>0</v>
      </c>
      <c r="M245" t="n">
        <v>0</v>
      </c>
      <c r="N245" t="n">
        <v>0</v>
      </c>
      <c r="O245" t="n">
        <v>0</v>
      </c>
      <c r="P245" t="n">
        <v>0</v>
      </c>
      <c r="Q245" t="n">
        <v>0</v>
      </c>
      <c r="R245" s="2" t="inlineStr"/>
    </row>
    <row r="246" ht="15" customHeight="1">
      <c r="A246" t="inlineStr">
        <is>
          <t>A 41175-2025</t>
        </is>
      </c>
      <c r="B246" s="1" t="n">
        <v>45898.55165509259</v>
      </c>
      <c r="C246" s="1" t="n">
        <v>46045</v>
      </c>
      <c r="D246" t="inlineStr">
        <is>
          <t>DALARNAS LÄN</t>
        </is>
      </c>
      <c r="E246" t="inlineStr">
        <is>
          <t>MORA</t>
        </is>
      </c>
      <c r="G246" t="n">
        <v>4.5</v>
      </c>
      <c r="H246" t="n">
        <v>0</v>
      </c>
      <c r="I246" t="n">
        <v>0</v>
      </c>
      <c r="J246" t="n">
        <v>0</v>
      </c>
      <c r="K246" t="n">
        <v>0</v>
      </c>
      <c r="L246" t="n">
        <v>0</v>
      </c>
      <c r="M246" t="n">
        <v>0</v>
      </c>
      <c r="N246" t="n">
        <v>0</v>
      </c>
      <c r="O246" t="n">
        <v>0</v>
      </c>
      <c r="P246" t="n">
        <v>0</v>
      </c>
      <c r="Q246" t="n">
        <v>0</v>
      </c>
      <c r="R246" s="2" t="inlineStr"/>
    </row>
    <row r="247" ht="15" customHeight="1">
      <c r="A247" t="inlineStr">
        <is>
          <t>A 22732-2024</t>
        </is>
      </c>
      <c r="B247" s="1" t="n">
        <v>45448.38677083333</v>
      </c>
      <c r="C247" s="1" t="n">
        <v>46045</v>
      </c>
      <c r="D247" t="inlineStr">
        <is>
          <t>DALARNAS LÄN</t>
        </is>
      </c>
      <c r="E247" t="inlineStr">
        <is>
          <t>MORA</t>
        </is>
      </c>
      <c r="G247" t="n">
        <v>3.6</v>
      </c>
      <c r="H247" t="n">
        <v>0</v>
      </c>
      <c r="I247" t="n">
        <v>0</v>
      </c>
      <c r="J247" t="n">
        <v>0</v>
      </c>
      <c r="K247" t="n">
        <v>0</v>
      </c>
      <c r="L247" t="n">
        <v>0</v>
      </c>
      <c r="M247" t="n">
        <v>0</v>
      </c>
      <c r="N247" t="n">
        <v>0</v>
      </c>
      <c r="O247" t="n">
        <v>0</v>
      </c>
      <c r="P247" t="n">
        <v>0</v>
      </c>
      <c r="Q247" t="n">
        <v>0</v>
      </c>
      <c r="R247" s="2" t="inlineStr"/>
    </row>
    <row r="248" ht="15" customHeight="1">
      <c r="A248" t="inlineStr">
        <is>
          <t>A 24620-2025</t>
        </is>
      </c>
      <c r="B248" s="1" t="n">
        <v>45798.59290509259</v>
      </c>
      <c r="C248" s="1" t="n">
        <v>46045</v>
      </c>
      <c r="D248" t="inlineStr">
        <is>
          <t>DALARNAS LÄN</t>
        </is>
      </c>
      <c r="E248" t="inlineStr">
        <is>
          <t>MORA</t>
        </is>
      </c>
      <c r="F248" t="inlineStr">
        <is>
          <t>Bergvik skog väst AB</t>
        </is>
      </c>
      <c r="G248" t="n">
        <v>4.9</v>
      </c>
      <c r="H248" t="n">
        <v>0</v>
      </c>
      <c r="I248" t="n">
        <v>0</v>
      </c>
      <c r="J248" t="n">
        <v>0</v>
      </c>
      <c r="K248" t="n">
        <v>0</v>
      </c>
      <c r="L248" t="n">
        <v>0</v>
      </c>
      <c r="M248" t="n">
        <v>0</v>
      </c>
      <c r="N248" t="n">
        <v>0</v>
      </c>
      <c r="O248" t="n">
        <v>0</v>
      </c>
      <c r="P248" t="n">
        <v>0</v>
      </c>
      <c r="Q248" t="n">
        <v>0</v>
      </c>
      <c r="R248" s="2" t="inlineStr"/>
    </row>
    <row r="249" ht="15" customHeight="1">
      <c r="A249" t="inlineStr">
        <is>
          <t>A 24653-2025</t>
        </is>
      </c>
      <c r="B249" s="1" t="n">
        <v>45798.63875</v>
      </c>
      <c r="C249" s="1" t="n">
        <v>46045</v>
      </c>
      <c r="D249" t="inlineStr">
        <is>
          <t>DALARNAS LÄN</t>
        </is>
      </c>
      <c r="E249" t="inlineStr">
        <is>
          <t>MORA</t>
        </is>
      </c>
      <c r="F249" t="inlineStr">
        <is>
          <t>Bergvik skog väst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69483-2021</t>
        </is>
      </c>
      <c r="B250" s="1" t="n">
        <v>44531</v>
      </c>
      <c r="C250" s="1" t="n">
        <v>46045</v>
      </c>
      <c r="D250" t="inlineStr">
        <is>
          <t>DALARNAS LÄN</t>
        </is>
      </c>
      <c r="E250" t="inlineStr">
        <is>
          <t>MORA</t>
        </is>
      </c>
      <c r="G250" t="n">
        <v>1.5</v>
      </c>
      <c r="H250" t="n">
        <v>0</v>
      </c>
      <c r="I250" t="n">
        <v>0</v>
      </c>
      <c r="J250" t="n">
        <v>0</v>
      </c>
      <c r="K250" t="n">
        <v>0</v>
      </c>
      <c r="L250" t="n">
        <v>0</v>
      </c>
      <c r="M250" t="n">
        <v>0</v>
      </c>
      <c r="N250" t="n">
        <v>0</v>
      </c>
      <c r="O250" t="n">
        <v>0</v>
      </c>
      <c r="P250" t="n">
        <v>0</v>
      </c>
      <c r="Q250" t="n">
        <v>0</v>
      </c>
      <c r="R250" s="2" t="inlineStr"/>
    </row>
    <row r="251" ht="15" customHeight="1">
      <c r="A251" t="inlineStr">
        <is>
          <t>A 56460-2022</t>
        </is>
      </c>
      <c r="B251" s="1" t="n">
        <v>44893</v>
      </c>
      <c r="C251" s="1" t="n">
        <v>46045</v>
      </c>
      <c r="D251" t="inlineStr">
        <is>
          <t>DALARNAS LÄN</t>
        </is>
      </c>
      <c r="E251" t="inlineStr">
        <is>
          <t>MORA</t>
        </is>
      </c>
      <c r="G251" t="n">
        <v>2.2</v>
      </c>
      <c r="H251" t="n">
        <v>0</v>
      </c>
      <c r="I251" t="n">
        <v>0</v>
      </c>
      <c r="J251" t="n">
        <v>0</v>
      </c>
      <c r="K251" t="n">
        <v>0</v>
      </c>
      <c r="L251" t="n">
        <v>0</v>
      </c>
      <c r="M251" t="n">
        <v>0</v>
      </c>
      <c r="N251" t="n">
        <v>0</v>
      </c>
      <c r="O251" t="n">
        <v>0</v>
      </c>
      <c r="P251" t="n">
        <v>0</v>
      </c>
      <c r="Q251" t="n">
        <v>0</v>
      </c>
      <c r="R251" s="2" t="inlineStr"/>
    </row>
    <row r="252" ht="15" customHeight="1">
      <c r="A252" t="inlineStr">
        <is>
          <t>A 57110-2021</t>
        </is>
      </c>
      <c r="B252" s="1" t="n">
        <v>44482</v>
      </c>
      <c r="C252" s="1" t="n">
        <v>46045</v>
      </c>
      <c r="D252" t="inlineStr">
        <is>
          <t>DALARNAS LÄN</t>
        </is>
      </c>
      <c r="E252" t="inlineStr">
        <is>
          <t>MORA</t>
        </is>
      </c>
      <c r="G252" t="n">
        <v>5.4</v>
      </c>
      <c r="H252" t="n">
        <v>0</v>
      </c>
      <c r="I252" t="n">
        <v>0</v>
      </c>
      <c r="J252" t="n">
        <v>0</v>
      </c>
      <c r="K252" t="n">
        <v>0</v>
      </c>
      <c r="L252" t="n">
        <v>0</v>
      </c>
      <c r="M252" t="n">
        <v>0</v>
      </c>
      <c r="N252" t="n">
        <v>0</v>
      </c>
      <c r="O252" t="n">
        <v>0</v>
      </c>
      <c r="P252" t="n">
        <v>0</v>
      </c>
      <c r="Q252" t="n">
        <v>0</v>
      </c>
      <c r="R252" s="2" t="inlineStr"/>
    </row>
    <row r="253" ht="15" customHeight="1">
      <c r="A253" t="inlineStr">
        <is>
          <t>A 2879-2022</t>
        </is>
      </c>
      <c r="B253" s="1" t="n">
        <v>44581</v>
      </c>
      <c r="C253" s="1" t="n">
        <v>46045</v>
      </c>
      <c r="D253" t="inlineStr">
        <is>
          <t>DALARNAS LÄN</t>
        </is>
      </c>
      <c r="E253" t="inlineStr">
        <is>
          <t>MORA</t>
        </is>
      </c>
      <c r="G253" t="n">
        <v>2.3</v>
      </c>
      <c r="H253" t="n">
        <v>0</v>
      </c>
      <c r="I253" t="n">
        <v>0</v>
      </c>
      <c r="J253" t="n">
        <v>0</v>
      </c>
      <c r="K253" t="n">
        <v>0</v>
      </c>
      <c r="L253" t="n">
        <v>0</v>
      </c>
      <c r="M253" t="n">
        <v>0</v>
      </c>
      <c r="N253" t="n">
        <v>0</v>
      </c>
      <c r="O253" t="n">
        <v>0</v>
      </c>
      <c r="P253" t="n">
        <v>0</v>
      </c>
      <c r="Q253" t="n">
        <v>0</v>
      </c>
      <c r="R253" s="2" t="inlineStr"/>
    </row>
    <row r="254" ht="15" customHeight="1">
      <c r="A254" t="inlineStr">
        <is>
          <t>A 41200-2025</t>
        </is>
      </c>
      <c r="B254" s="1" t="n">
        <v>45898.5738425926</v>
      </c>
      <c r="C254" s="1" t="n">
        <v>46045</v>
      </c>
      <c r="D254" t="inlineStr">
        <is>
          <t>DALARNAS LÄN</t>
        </is>
      </c>
      <c r="E254" t="inlineStr">
        <is>
          <t>MORA</t>
        </is>
      </c>
      <c r="G254" t="n">
        <v>8.9</v>
      </c>
      <c r="H254" t="n">
        <v>0</v>
      </c>
      <c r="I254" t="n">
        <v>0</v>
      </c>
      <c r="J254" t="n">
        <v>0</v>
      </c>
      <c r="K254" t="n">
        <v>0</v>
      </c>
      <c r="L254" t="n">
        <v>0</v>
      </c>
      <c r="M254" t="n">
        <v>0</v>
      </c>
      <c r="N254" t="n">
        <v>0</v>
      </c>
      <c r="O254" t="n">
        <v>0</v>
      </c>
      <c r="P254" t="n">
        <v>0</v>
      </c>
      <c r="Q254" t="n">
        <v>0</v>
      </c>
      <c r="R254" s="2" t="inlineStr"/>
    </row>
    <row r="255" ht="15" customHeight="1">
      <c r="A255" t="inlineStr">
        <is>
          <t>A 47784-2024</t>
        </is>
      </c>
      <c r="B255" s="1" t="n">
        <v>45588.59290509259</v>
      </c>
      <c r="C255" s="1" t="n">
        <v>46045</v>
      </c>
      <c r="D255" t="inlineStr">
        <is>
          <t>DALARNAS LÄN</t>
        </is>
      </c>
      <c r="E255" t="inlineStr">
        <is>
          <t>MORA</t>
        </is>
      </c>
      <c r="G255" t="n">
        <v>15.3</v>
      </c>
      <c r="H255" t="n">
        <v>0</v>
      </c>
      <c r="I255" t="n">
        <v>0</v>
      </c>
      <c r="J255" t="n">
        <v>0</v>
      </c>
      <c r="K255" t="n">
        <v>0</v>
      </c>
      <c r="L255" t="n">
        <v>0</v>
      </c>
      <c r="M255" t="n">
        <v>0</v>
      </c>
      <c r="N255" t="n">
        <v>0</v>
      </c>
      <c r="O255" t="n">
        <v>0</v>
      </c>
      <c r="P255" t="n">
        <v>0</v>
      </c>
      <c r="Q255" t="n">
        <v>0</v>
      </c>
      <c r="R255" s="2" t="inlineStr"/>
    </row>
    <row r="256" ht="15" customHeight="1">
      <c r="A256" t="inlineStr">
        <is>
          <t>A 39882-2024</t>
        </is>
      </c>
      <c r="B256" s="1" t="n">
        <v>45553</v>
      </c>
      <c r="C256" s="1" t="n">
        <v>46045</v>
      </c>
      <c r="D256" t="inlineStr">
        <is>
          <t>DALARNAS LÄN</t>
        </is>
      </c>
      <c r="E256" t="inlineStr">
        <is>
          <t>MORA</t>
        </is>
      </c>
      <c r="G256" t="n">
        <v>14.6</v>
      </c>
      <c r="H256" t="n">
        <v>0</v>
      </c>
      <c r="I256" t="n">
        <v>0</v>
      </c>
      <c r="J256" t="n">
        <v>0</v>
      </c>
      <c r="K256" t="n">
        <v>0</v>
      </c>
      <c r="L256" t="n">
        <v>0</v>
      </c>
      <c r="M256" t="n">
        <v>0</v>
      </c>
      <c r="N256" t="n">
        <v>0</v>
      </c>
      <c r="O256" t="n">
        <v>0</v>
      </c>
      <c r="P256" t="n">
        <v>0</v>
      </c>
      <c r="Q256" t="n">
        <v>0</v>
      </c>
      <c r="R256" s="2" t="inlineStr"/>
    </row>
    <row r="257" ht="15" customHeight="1">
      <c r="A257" t="inlineStr">
        <is>
          <t>A 41783-2025</t>
        </is>
      </c>
      <c r="B257" s="1" t="n">
        <v>45902.58721064815</v>
      </c>
      <c r="C257" s="1" t="n">
        <v>46045</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41614-2025</t>
        </is>
      </c>
      <c r="B258" s="1" t="n">
        <v>45901.68267361111</v>
      </c>
      <c r="C258" s="1" t="n">
        <v>46045</v>
      </c>
      <c r="D258" t="inlineStr">
        <is>
          <t>DALARNAS LÄN</t>
        </is>
      </c>
      <c r="E258" t="inlineStr">
        <is>
          <t>MORA</t>
        </is>
      </c>
      <c r="F258" t="inlineStr">
        <is>
          <t>Bergvik skog väst AB</t>
        </is>
      </c>
      <c r="G258" t="n">
        <v>13.8</v>
      </c>
      <c r="H258" t="n">
        <v>0</v>
      </c>
      <c r="I258" t="n">
        <v>0</v>
      </c>
      <c r="J258" t="n">
        <v>0</v>
      </c>
      <c r="K258" t="n">
        <v>0</v>
      </c>
      <c r="L258" t="n">
        <v>0</v>
      </c>
      <c r="M258" t="n">
        <v>0</v>
      </c>
      <c r="N258" t="n">
        <v>0</v>
      </c>
      <c r="O258" t="n">
        <v>0</v>
      </c>
      <c r="P258" t="n">
        <v>0</v>
      </c>
      <c r="Q258" t="n">
        <v>0</v>
      </c>
      <c r="R258" s="2" t="inlineStr"/>
    </row>
    <row r="259" ht="15" customHeight="1">
      <c r="A259" t="inlineStr">
        <is>
          <t>A 12920-2022</t>
        </is>
      </c>
      <c r="B259" s="1" t="n">
        <v>44642.65418981481</v>
      </c>
      <c r="C259" s="1" t="n">
        <v>46045</v>
      </c>
      <c r="D259" t="inlineStr">
        <is>
          <t>DALARNAS LÄN</t>
        </is>
      </c>
      <c r="E259" t="inlineStr">
        <is>
          <t>MORA</t>
        </is>
      </c>
      <c r="G259" t="n">
        <v>0.8</v>
      </c>
      <c r="H259" t="n">
        <v>0</v>
      </c>
      <c r="I259" t="n">
        <v>0</v>
      </c>
      <c r="J259" t="n">
        <v>0</v>
      </c>
      <c r="K259" t="n">
        <v>0</v>
      </c>
      <c r="L259" t="n">
        <v>0</v>
      </c>
      <c r="M259" t="n">
        <v>0</v>
      </c>
      <c r="N259" t="n">
        <v>0</v>
      </c>
      <c r="O259" t="n">
        <v>0</v>
      </c>
      <c r="P259" t="n">
        <v>0</v>
      </c>
      <c r="Q259" t="n">
        <v>0</v>
      </c>
      <c r="R259" s="2" t="inlineStr"/>
    </row>
    <row r="260" ht="15" customHeight="1">
      <c r="A260" t="inlineStr">
        <is>
          <t>A 61188-2024</t>
        </is>
      </c>
      <c r="B260" s="1" t="n">
        <v>45645.62282407407</v>
      </c>
      <c r="C260" s="1" t="n">
        <v>46045</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64099-2023</t>
        </is>
      </c>
      <c r="B261" s="1" t="n">
        <v>45279.46009259259</v>
      </c>
      <c r="C261" s="1" t="n">
        <v>46045</v>
      </c>
      <c r="D261" t="inlineStr">
        <is>
          <t>DALARNAS LÄN</t>
        </is>
      </c>
      <c r="E261" t="inlineStr">
        <is>
          <t>MORA</t>
        </is>
      </c>
      <c r="G261" t="n">
        <v>0.6</v>
      </c>
      <c r="H261" t="n">
        <v>0</v>
      </c>
      <c r="I261" t="n">
        <v>0</v>
      </c>
      <c r="J261" t="n">
        <v>0</v>
      </c>
      <c r="K261" t="n">
        <v>0</v>
      </c>
      <c r="L261" t="n">
        <v>0</v>
      </c>
      <c r="M261" t="n">
        <v>0</v>
      </c>
      <c r="N261" t="n">
        <v>0</v>
      </c>
      <c r="O261" t="n">
        <v>0</v>
      </c>
      <c r="P261" t="n">
        <v>0</v>
      </c>
      <c r="Q261" t="n">
        <v>0</v>
      </c>
      <c r="R261" s="2" t="inlineStr"/>
    </row>
    <row r="262" ht="15" customHeight="1">
      <c r="A262" t="inlineStr">
        <is>
          <t>A 39897-2022</t>
        </is>
      </c>
      <c r="B262" s="1" t="n">
        <v>44819.66083333334</v>
      </c>
      <c r="C262" s="1" t="n">
        <v>46045</v>
      </c>
      <c r="D262" t="inlineStr">
        <is>
          <t>DALARNAS LÄN</t>
        </is>
      </c>
      <c r="E262" t="inlineStr">
        <is>
          <t>MORA</t>
        </is>
      </c>
      <c r="G262" t="n">
        <v>15.8</v>
      </c>
      <c r="H262" t="n">
        <v>0</v>
      </c>
      <c r="I262" t="n">
        <v>0</v>
      </c>
      <c r="J262" t="n">
        <v>0</v>
      </c>
      <c r="K262" t="n">
        <v>0</v>
      </c>
      <c r="L262" t="n">
        <v>0</v>
      </c>
      <c r="M262" t="n">
        <v>0</v>
      </c>
      <c r="N262" t="n">
        <v>0</v>
      </c>
      <c r="O262" t="n">
        <v>0</v>
      </c>
      <c r="P262" t="n">
        <v>0</v>
      </c>
      <c r="Q262" t="n">
        <v>0</v>
      </c>
      <c r="R262" s="2" t="inlineStr"/>
    </row>
    <row r="263" ht="15" customHeight="1">
      <c r="A263" t="inlineStr">
        <is>
          <t>A 21244-2024</t>
        </is>
      </c>
      <c r="B263" s="1" t="n">
        <v>45440.59936342593</v>
      </c>
      <c r="C263" s="1" t="n">
        <v>46045</v>
      </c>
      <c r="D263" t="inlineStr">
        <is>
          <t>DALARNAS LÄN</t>
        </is>
      </c>
      <c r="E263" t="inlineStr">
        <is>
          <t>MORA</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5309-2023</t>
        </is>
      </c>
      <c r="B264" s="1" t="n">
        <v>44956</v>
      </c>
      <c r="C264" s="1" t="n">
        <v>46045</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58089-2024</t>
        </is>
      </c>
      <c r="B265" s="1" t="n">
        <v>45632.34984953704</v>
      </c>
      <c r="C265" s="1" t="n">
        <v>46045</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37471-2024</t>
        </is>
      </c>
      <c r="B266" s="1" t="n">
        <v>45540.85054398148</v>
      </c>
      <c r="C266" s="1" t="n">
        <v>46045</v>
      </c>
      <c r="D266" t="inlineStr">
        <is>
          <t>DALARNAS LÄN</t>
        </is>
      </c>
      <c r="E266" t="inlineStr">
        <is>
          <t>MORA</t>
        </is>
      </c>
      <c r="G266" t="n">
        <v>3.5</v>
      </c>
      <c r="H266" t="n">
        <v>0</v>
      </c>
      <c r="I266" t="n">
        <v>0</v>
      </c>
      <c r="J266" t="n">
        <v>0</v>
      </c>
      <c r="K266" t="n">
        <v>0</v>
      </c>
      <c r="L266" t="n">
        <v>0</v>
      </c>
      <c r="M266" t="n">
        <v>0</v>
      </c>
      <c r="N266" t="n">
        <v>0</v>
      </c>
      <c r="O266" t="n">
        <v>0</v>
      </c>
      <c r="P266" t="n">
        <v>0</v>
      </c>
      <c r="Q266" t="n">
        <v>0</v>
      </c>
      <c r="R266" s="2" t="inlineStr"/>
    </row>
    <row r="267" ht="15" customHeight="1">
      <c r="A267" t="inlineStr">
        <is>
          <t>A 61350-2024</t>
        </is>
      </c>
      <c r="B267" s="1" t="n">
        <v>45646.37872685185</v>
      </c>
      <c r="C267" s="1" t="n">
        <v>46045</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33531-2024</t>
        </is>
      </c>
      <c r="B268" s="1" t="n">
        <v>45519.67503472222</v>
      </c>
      <c r="C268" s="1" t="n">
        <v>46045</v>
      </c>
      <c r="D268" t="inlineStr">
        <is>
          <t>DALARNAS LÄN</t>
        </is>
      </c>
      <c r="E268" t="inlineStr">
        <is>
          <t>MORA</t>
        </is>
      </c>
      <c r="G268" t="n">
        <v>14.8</v>
      </c>
      <c r="H268" t="n">
        <v>0</v>
      </c>
      <c r="I268" t="n">
        <v>0</v>
      </c>
      <c r="J268" t="n">
        <v>0</v>
      </c>
      <c r="K268" t="n">
        <v>0</v>
      </c>
      <c r="L268" t="n">
        <v>0</v>
      </c>
      <c r="M268" t="n">
        <v>0</v>
      </c>
      <c r="N268" t="n">
        <v>0</v>
      </c>
      <c r="O268" t="n">
        <v>0</v>
      </c>
      <c r="P268" t="n">
        <v>0</v>
      </c>
      <c r="Q268" t="n">
        <v>0</v>
      </c>
      <c r="R268" s="2" t="inlineStr"/>
    </row>
    <row r="269" ht="15" customHeight="1">
      <c r="A269" t="inlineStr">
        <is>
          <t>A 42319-2025</t>
        </is>
      </c>
      <c r="B269" s="1" t="n">
        <v>45903</v>
      </c>
      <c r="C269" s="1" t="n">
        <v>46045</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22785-2023</t>
        </is>
      </c>
      <c r="B270" s="1" t="n">
        <v>45072.34796296297</v>
      </c>
      <c r="C270" s="1" t="n">
        <v>46045</v>
      </c>
      <c r="D270" t="inlineStr">
        <is>
          <t>DALARNAS LÄN</t>
        </is>
      </c>
      <c r="E270" t="inlineStr">
        <is>
          <t>MORA</t>
        </is>
      </c>
      <c r="G270" t="n">
        <v>0.7</v>
      </c>
      <c r="H270" t="n">
        <v>0</v>
      </c>
      <c r="I270" t="n">
        <v>0</v>
      </c>
      <c r="J270" t="n">
        <v>0</v>
      </c>
      <c r="K270" t="n">
        <v>0</v>
      </c>
      <c r="L270" t="n">
        <v>0</v>
      </c>
      <c r="M270" t="n">
        <v>0</v>
      </c>
      <c r="N270" t="n">
        <v>0</v>
      </c>
      <c r="O270" t="n">
        <v>0</v>
      </c>
      <c r="P270" t="n">
        <v>0</v>
      </c>
      <c r="Q270" t="n">
        <v>0</v>
      </c>
      <c r="R270" s="2" t="inlineStr"/>
    </row>
    <row r="271" ht="15" customHeight="1">
      <c r="A271" t="inlineStr">
        <is>
          <t>A 41855-2025</t>
        </is>
      </c>
      <c r="B271" s="1" t="n">
        <v>45902.93693287037</v>
      </c>
      <c r="C271" s="1" t="n">
        <v>46045</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23302-2024</t>
        </is>
      </c>
      <c r="B272" s="1" t="n">
        <v>45453.44091435185</v>
      </c>
      <c r="C272" s="1" t="n">
        <v>46045</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42112-2025</t>
        </is>
      </c>
      <c r="B273" s="1" t="n">
        <v>45904.32134259259</v>
      </c>
      <c r="C273" s="1" t="n">
        <v>46045</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30985-2024</t>
        </is>
      </c>
      <c r="B274" s="1" t="n">
        <v>45499.51721064815</v>
      </c>
      <c r="C274" s="1" t="n">
        <v>46045</v>
      </c>
      <c r="D274" t="inlineStr">
        <is>
          <t>DALARNAS LÄN</t>
        </is>
      </c>
      <c r="E274" t="inlineStr">
        <is>
          <t>MORA</t>
        </is>
      </c>
      <c r="G274" t="n">
        <v>0.7</v>
      </c>
      <c r="H274" t="n">
        <v>0</v>
      </c>
      <c r="I274" t="n">
        <v>0</v>
      </c>
      <c r="J274" t="n">
        <v>0</v>
      </c>
      <c r="K274" t="n">
        <v>0</v>
      </c>
      <c r="L274" t="n">
        <v>0</v>
      </c>
      <c r="M274" t="n">
        <v>0</v>
      </c>
      <c r="N274" t="n">
        <v>0</v>
      </c>
      <c r="O274" t="n">
        <v>0</v>
      </c>
      <c r="P274" t="n">
        <v>0</v>
      </c>
      <c r="Q274" t="n">
        <v>0</v>
      </c>
      <c r="R274" s="2" t="inlineStr"/>
    </row>
    <row r="275" ht="15" customHeight="1">
      <c r="A275" t="inlineStr">
        <is>
          <t>A 57859-2022</t>
        </is>
      </c>
      <c r="B275" s="1" t="n">
        <v>44898</v>
      </c>
      <c r="C275" s="1" t="n">
        <v>46045</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53754-2024</t>
        </is>
      </c>
      <c r="B276" s="1" t="n">
        <v>45615.49371527778</v>
      </c>
      <c r="C276" s="1" t="n">
        <v>46045</v>
      </c>
      <c r="D276" t="inlineStr">
        <is>
          <t>DALARNAS LÄN</t>
        </is>
      </c>
      <c r="E276" t="inlineStr">
        <is>
          <t>MORA</t>
        </is>
      </c>
      <c r="G276" t="n">
        <v>4.8</v>
      </c>
      <c r="H276" t="n">
        <v>0</v>
      </c>
      <c r="I276" t="n">
        <v>0</v>
      </c>
      <c r="J276" t="n">
        <v>0</v>
      </c>
      <c r="K276" t="n">
        <v>0</v>
      </c>
      <c r="L276" t="n">
        <v>0</v>
      </c>
      <c r="M276" t="n">
        <v>0</v>
      </c>
      <c r="N276" t="n">
        <v>0</v>
      </c>
      <c r="O276" t="n">
        <v>0</v>
      </c>
      <c r="P276" t="n">
        <v>0</v>
      </c>
      <c r="Q276" t="n">
        <v>0</v>
      </c>
      <c r="R276" s="2" t="inlineStr"/>
    </row>
    <row r="277" ht="15" customHeight="1">
      <c r="A277" t="inlineStr">
        <is>
          <t>A 60647-2022</t>
        </is>
      </c>
      <c r="B277" s="1" t="n">
        <v>44911</v>
      </c>
      <c r="C277" s="1" t="n">
        <v>46045</v>
      </c>
      <c r="D277" t="inlineStr">
        <is>
          <t>DALARNAS LÄN</t>
        </is>
      </c>
      <c r="E277" t="inlineStr">
        <is>
          <t>MORA</t>
        </is>
      </c>
      <c r="G277" t="n">
        <v>4.8</v>
      </c>
      <c r="H277" t="n">
        <v>0</v>
      </c>
      <c r="I277" t="n">
        <v>0</v>
      </c>
      <c r="J277" t="n">
        <v>0</v>
      </c>
      <c r="K277" t="n">
        <v>0</v>
      </c>
      <c r="L277" t="n">
        <v>0</v>
      </c>
      <c r="M277" t="n">
        <v>0</v>
      </c>
      <c r="N277" t="n">
        <v>0</v>
      </c>
      <c r="O277" t="n">
        <v>0</v>
      </c>
      <c r="P277" t="n">
        <v>0</v>
      </c>
      <c r="Q277" t="n">
        <v>0</v>
      </c>
      <c r="R277" s="2" t="inlineStr"/>
    </row>
    <row r="278" ht="15" customHeight="1">
      <c r="A278" t="inlineStr">
        <is>
          <t>A 20989-2024</t>
        </is>
      </c>
      <c r="B278" s="1" t="n">
        <v>45439</v>
      </c>
      <c r="C278" s="1" t="n">
        <v>46045</v>
      </c>
      <c r="D278" t="inlineStr">
        <is>
          <t>DALARNAS LÄN</t>
        </is>
      </c>
      <c r="E278" t="inlineStr">
        <is>
          <t>MORA</t>
        </is>
      </c>
      <c r="F278" t="inlineStr">
        <is>
          <t>Bergvik skog öst AB</t>
        </is>
      </c>
      <c r="G278" t="n">
        <v>14.7</v>
      </c>
      <c r="H278" t="n">
        <v>0</v>
      </c>
      <c r="I278" t="n">
        <v>0</v>
      </c>
      <c r="J278" t="n">
        <v>0</v>
      </c>
      <c r="K278" t="n">
        <v>0</v>
      </c>
      <c r="L278" t="n">
        <v>0</v>
      </c>
      <c r="M278" t="n">
        <v>0</v>
      </c>
      <c r="N278" t="n">
        <v>0</v>
      </c>
      <c r="O278" t="n">
        <v>0</v>
      </c>
      <c r="P278" t="n">
        <v>0</v>
      </c>
      <c r="Q278" t="n">
        <v>0</v>
      </c>
      <c r="R278" s="2" t="inlineStr"/>
    </row>
    <row r="279" ht="15" customHeight="1">
      <c r="A279" t="inlineStr">
        <is>
          <t>A 20930-2024</t>
        </is>
      </c>
      <c r="B279" s="1" t="n">
        <v>45439.51907407407</v>
      </c>
      <c r="C279" s="1" t="n">
        <v>46045</v>
      </c>
      <c r="D279" t="inlineStr">
        <is>
          <t>DALARNAS LÄN</t>
        </is>
      </c>
      <c r="E279" t="inlineStr">
        <is>
          <t>MORA</t>
        </is>
      </c>
      <c r="F279" t="inlineStr">
        <is>
          <t>Bergvik skog väst AB</t>
        </is>
      </c>
      <c r="G279" t="n">
        <v>5.3</v>
      </c>
      <c r="H279" t="n">
        <v>0</v>
      </c>
      <c r="I279" t="n">
        <v>0</v>
      </c>
      <c r="J279" t="n">
        <v>0</v>
      </c>
      <c r="K279" t="n">
        <v>0</v>
      </c>
      <c r="L279" t="n">
        <v>0</v>
      </c>
      <c r="M279" t="n">
        <v>0</v>
      </c>
      <c r="N279" t="n">
        <v>0</v>
      </c>
      <c r="O279" t="n">
        <v>0</v>
      </c>
      <c r="P279" t="n">
        <v>0</v>
      </c>
      <c r="Q279" t="n">
        <v>0</v>
      </c>
      <c r="R279" s="2" t="inlineStr"/>
    </row>
    <row r="280" ht="15" customHeight="1">
      <c r="A280" t="inlineStr">
        <is>
          <t>A 42813-2025</t>
        </is>
      </c>
      <c r="B280" s="1" t="n">
        <v>45908.56168981481</v>
      </c>
      <c r="C280" s="1" t="n">
        <v>46045</v>
      </c>
      <c r="D280" t="inlineStr">
        <is>
          <t>DALARNAS LÄN</t>
        </is>
      </c>
      <c r="E280" t="inlineStr">
        <is>
          <t>MORA</t>
        </is>
      </c>
      <c r="G280" t="n">
        <v>4.3</v>
      </c>
      <c r="H280" t="n">
        <v>0</v>
      </c>
      <c r="I280" t="n">
        <v>0</v>
      </c>
      <c r="J280" t="n">
        <v>0</v>
      </c>
      <c r="K280" t="n">
        <v>0</v>
      </c>
      <c r="L280" t="n">
        <v>0</v>
      </c>
      <c r="M280" t="n">
        <v>0</v>
      </c>
      <c r="N280" t="n">
        <v>0</v>
      </c>
      <c r="O280" t="n">
        <v>0</v>
      </c>
      <c r="P280" t="n">
        <v>0</v>
      </c>
      <c r="Q280" t="n">
        <v>0</v>
      </c>
      <c r="R280" s="2" t="inlineStr"/>
    </row>
    <row r="281" ht="15" customHeight="1">
      <c r="A281" t="inlineStr">
        <is>
          <t>A 43533-2023</t>
        </is>
      </c>
      <c r="B281" s="1" t="n">
        <v>45184.53412037037</v>
      </c>
      <c r="C281" s="1" t="n">
        <v>46045</v>
      </c>
      <c r="D281" t="inlineStr">
        <is>
          <t>DALARNAS LÄN</t>
        </is>
      </c>
      <c r="E281" t="inlineStr">
        <is>
          <t>MORA</t>
        </is>
      </c>
      <c r="F281" t="inlineStr">
        <is>
          <t>Bergvik skog väst AB</t>
        </is>
      </c>
      <c r="G281" t="n">
        <v>10.3</v>
      </c>
      <c r="H281" t="n">
        <v>0</v>
      </c>
      <c r="I281" t="n">
        <v>0</v>
      </c>
      <c r="J281" t="n">
        <v>0</v>
      </c>
      <c r="K281" t="n">
        <v>0</v>
      </c>
      <c r="L281" t="n">
        <v>0</v>
      </c>
      <c r="M281" t="n">
        <v>0</v>
      </c>
      <c r="N281" t="n">
        <v>0</v>
      </c>
      <c r="O281" t="n">
        <v>0</v>
      </c>
      <c r="P281" t="n">
        <v>0</v>
      </c>
      <c r="Q281" t="n">
        <v>0</v>
      </c>
      <c r="R281" s="2" t="inlineStr"/>
    </row>
    <row r="282" ht="15" customHeight="1">
      <c r="A282" t="inlineStr">
        <is>
          <t>A 30998-2022</t>
        </is>
      </c>
      <c r="B282" s="1" t="n">
        <v>44768</v>
      </c>
      <c r="C282" s="1" t="n">
        <v>46045</v>
      </c>
      <c r="D282" t="inlineStr">
        <is>
          <t>DALARNAS LÄN</t>
        </is>
      </c>
      <c r="E282" t="inlineStr">
        <is>
          <t>MORA</t>
        </is>
      </c>
      <c r="G282" t="n">
        <v>1.7</v>
      </c>
      <c r="H282" t="n">
        <v>0</v>
      </c>
      <c r="I282" t="n">
        <v>0</v>
      </c>
      <c r="J282" t="n">
        <v>0</v>
      </c>
      <c r="K282" t="n">
        <v>0</v>
      </c>
      <c r="L282" t="n">
        <v>0</v>
      </c>
      <c r="M282" t="n">
        <v>0</v>
      </c>
      <c r="N282" t="n">
        <v>0</v>
      </c>
      <c r="O282" t="n">
        <v>0</v>
      </c>
      <c r="P282" t="n">
        <v>0</v>
      </c>
      <c r="Q282" t="n">
        <v>0</v>
      </c>
      <c r="R282" s="2" t="inlineStr"/>
    </row>
    <row r="283" ht="15" customHeight="1">
      <c r="A283" t="inlineStr">
        <is>
          <t>A 8343-2025</t>
        </is>
      </c>
      <c r="B283" s="1" t="n">
        <v>45708.67253472222</v>
      </c>
      <c r="C283" s="1" t="n">
        <v>46045</v>
      </c>
      <c r="D283" t="inlineStr">
        <is>
          <t>DALARNAS LÄN</t>
        </is>
      </c>
      <c r="E283" t="inlineStr">
        <is>
          <t>MORA</t>
        </is>
      </c>
      <c r="G283" t="n">
        <v>3.4</v>
      </c>
      <c r="H283" t="n">
        <v>0</v>
      </c>
      <c r="I283" t="n">
        <v>0</v>
      </c>
      <c r="J283" t="n">
        <v>0</v>
      </c>
      <c r="K283" t="n">
        <v>0</v>
      </c>
      <c r="L283" t="n">
        <v>0</v>
      </c>
      <c r="M283" t="n">
        <v>0</v>
      </c>
      <c r="N283" t="n">
        <v>0</v>
      </c>
      <c r="O283" t="n">
        <v>0</v>
      </c>
      <c r="P283" t="n">
        <v>0</v>
      </c>
      <c r="Q283" t="n">
        <v>0</v>
      </c>
      <c r="R283" s="2" t="inlineStr"/>
    </row>
    <row r="284" ht="15" customHeight="1">
      <c r="A284" t="inlineStr">
        <is>
          <t>A 24590-2024</t>
        </is>
      </c>
      <c r="B284" s="1" t="n">
        <v>45460</v>
      </c>
      <c r="C284" s="1" t="n">
        <v>46045</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7972-2024</t>
        </is>
      </c>
      <c r="B285" s="1" t="n">
        <v>45350</v>
      </c>
      <c r="C285" s="1" t="n">
        <v>46045</v>
      </c>
      <c r="D285" t="inlineStr">
        <is>
          <t>DALARNAS LÄN</t>
        </is>
      </c>
      <c r="E285" t="inlineStr">
        <is>
          <t>MORA</t>
        </is>
      </c>
      <c r="G285" t="n">
        <v>2.4</v>
      </c>
      <c r="H285" t="n">
        <v>0</v>
      </c>
      <c r="I285" t="n">
        <v>0</v>
      </c>
      <c r="J285" t="n">
        <v>0</v>
      </c>
      <c r="K285" t="n">
        <v>0</v>
      </c>
      <c r="L285" t="n">
        <v>0</v>
      </c>
      <c r="M285" t="n">
        <v>0</v>
      </c>
      <c r="N285" t="n">
        <v>0</v>
      </c>
      <c r="O285" t="n">
        <v>0</v>
      </c>
      <c r="P285" t="n">
        <v>0</v>
      </c>
      <c r="Q285" t="n">
        <v>0</v>
      </c>
      <c r="R285" s="2" t="inlineStr"/>
    </row>
    <row r="286" ht="15" customHeight="1">
      <c r="A286" t="inlineStr">
        <is>
          <t>A 43432-2024</t>
        </is>
      </c>
      <c r="B286" s="1" t="n">
        <v>45568.64337962963</v>
      </c>
      <c r="C286" s="1" t="n">
        <v>46045</v>
      </c>
      <c r="D286" t="inlineStr">
        <is>
          <t>DALARNAS LÄN</t>
        </is>
      </c>
      <c r="E286" t="inlineStr">
        <is>
          <t>MORA</t>
        </is>
      </c>
      <c r="G286" t="n">
        <v>0.4</v>
      </c>
      <c r="H286" t="n">
        <v>0</v>
      </c>
      <c r="I286" t="n">
        <v>0</v>
      </c>
      <c r="J286" t="n">
        <v>0</v>
      </c>
      <c r="K286" t="n">
        <v>0</v>
      </c>
      <c r="L286" t="n">
        <v>0</v>
      </c>
      <c r="M286" t="n">
        <v>0</v>
      </c>
      <c r="N286" t="n">
        <v>0</v>
      </c>
      <c r="O286" t="n">
        <v>0</v>
      </c>
      <c r="P286" t="n">
        <v>0</v>
      </c>
      <c r="Q286" t="n">
        <v>0</v>
      </c>
      <c r="R286" s="2" t="inlineStr"/>
    </row>
    <row r="287" ht="15" customHeight="1">
      <c r="A287" t="inlineStr">
        <is>
          <t>A 42830-2025</t>
        </is>
      </c>
      <c r="B287" s="1" t="n">
        <v>45908.57753472222</v>
      </c>
      <c r="C287" s="1" t="n">
        <v>46045</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17164-2025</t>
        </is>
      </c>
      <c r="B288" s="1" t="n">
        <v>45756.36403935185</v>
      </c>
      <c r="C288" s="1" t="n">
        <v>46045</v>
      </c>
      <c r="D288" t="inlineStr">
        <is>
          <t>DALARNAS LÄN</t>
        </is>
      </c>
      <c r="E288" t="inlineStr">
        <is>
          <t>MORA</t>
        </is>
      </c>
      <c r="F288" t="inlineStr">
        <is>
          <t>Bergvik skog öst AB</t>
        </is>
      </c>
      <c r="G288" t="n">
        <v>0.3</v>
      </c>
      <c r="H288" t="n">
        <v>0</v>
      </c>
      <c r="I288" t="n">
        <v>0</v>
      </c>
      <c r="J288" t="n">
        <v>0</v>
      </c>
      <c r="K288" t="n">
        <v>0</v>
      </c>
      <c r="L288" t="n">
        <v>0</v>
      </c>
      <c r="M288" t="n">
        <v>0</v>
      </c>
      <c r="N288" t="n">
        <v>0</v>
      </c>
      <c r="O288" t="n">
        <v>0</v>
      </c>
      <c r="P288" t="n">
        <v>0</v>
      </c>
      <c r="Q288" t="n">
        <v>0</v>
      </c>
      <c r="R288" s="2" t="inlineStr"/>
    </row>
    <row r="289" ht="15" customHeight="1">
      <c r="A289" t="inlineStr">
        <is>
          <t>A 42947-2025</t>
        </is>
      </c>
      <c r="B289" s="1" t="n">
        <v>45909.34799768519</v>
      </c>
      <c r="C289" s="1" t="n">
        <v>46045</v>
      </c>
      <c r="D289" t="inlineStr">
        <is>
          <t>DALARNAS LÄN</t>
        </is>
      </c>
      <c r="E289" t="inlineStr">
        <is>
          <t>MORA</t>
        </is>
      </c>
      <c r="F289" t="inlineStr">
        <is>
          <t>Allmännings- och besparingsskogar</t>
        </is>
      </c>
      <c r="G289" t="n">
        <v>6.2</v>
      </c>
      <c r="H289" t="n">
        <v>0</v>
      </c>
      <c r="I289" t="n">
        <v>0</v>
      </c>
      <c r="J289" t="n">
        <v>0</v>
      </c>
      <c r="K289" t="n">
        <v>0</v>
      </c>
      <c r="L289" t="n">
        <v>0</v>
      </c>
      <c r="M289" t="n">
        <v>0</v>
      </c>
      <c r="N289" t="n">
        <v>0</v>
      </c>
      <c r="O289" t="n">
        <v>0</v>
      </c>
      <c r="P289" t="n">
        <v>0</v>
      </c>
      <c r="Q289" t="n">
        <v>0</v>
      </c>
      <c r="R289" s="2" t="inlineStr"/>
    </row>
    <row r="290" ht="15" customHeight="1">
      <c r="A290" t="inlineStr">
        <is>
          <t>A 42954-2025</t>
        </is>
      </c>
      <c r="B290" s="1" t="n">
        <v>45909.3578125</v>
      </c>
      <c r="C290" s="1" t="n">
        <v>46045</v>
      </c>
      <c r="D290" t="inlineStr">
        <is>
          <t>DALARNAS LÄN</t>
        </is>
      </c>
      <c r="E290" t="inlineStr">
        <is>
          <t>MORA</t>
        </is>
      </c>
      <c r="G290" t="n">
        <v>2.5</v>
      </c>
      <c r="H290" t="n">
        <v>0</v>
      </c>
      <c r="I290" t="n">
        <v>0</v>
      </c>
      <c r="J290" t="n">
        <v>0</v>
      </c>
      <c r="K290" t="n">
        <v>0</v>
      </c>
      <c r="L290" t="n">
        <v>0</v>
      </c>
      <c r="M290" t="n">
        <v>0</v>
      </c>
      <c r="N290" t="n">
        <v>0</v>
      </c>
      <c r="O290" t="n">
        <v>0</v>
      </c>
      <c r="P290" t="n">
        <v>0</v>
      </c>
      <c r="Q290" t="n">
        <v>0</v>
      </c>
      <c r="R290" s="2" t="inlineStr"/>
    </row>
    <row r="291" ht="15" customHeight="1">
      <c r="A291" t="inlineStr">
        <is>
          <t>A 42960-2025</t>
        </is>
      </c>
      <c r="B291" s="1" t="n">
        <v>45909.36631944445</v>
      </c>
      <c r="C291" s="1" t="n">
        <v>46045</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42934-2024</t>
        </is>
      </c>
      <c r="B292" s="1" t="n">
        <v>45567.33655092592</v>
      </c>
      <c r="C292" s="1" t="n">
        <v>46045</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37774-2022</t>
        </is>
      </c>
      <c r="B293" s="1" t="n">
        <v>44810.64164351852</v>
      </c>
      <c r="C293" s="1" t="n">
        <v>46045</v>
      </c>
      <c r="D293" t="inlineStr">
        <is>
          <t>DALARNAS LÄN</t>
        </is>
      </c>
      <c r="E293" t="inlineStr">
        <is>
          <t>MORA</t>
        </is>
      </c>
      <c r="F293" t="inlineStr">
        <is>
          <t>Bergvik skog väst AB</t>
        </is>
      </c>
      <c r="G293" t="n">
        <v>8.5</v>
      </c>
      <c r="H293" t="n">
        <v>0</v>
      </c>
      <c r="I293" t="n">
        <v>0</v>
      </c>
      <c r="J293" t="n">
        <v>0</v>
      </c>
      <c r="K293" t="n">
        <v>0</v>
      </c>
      <c r="L293" t="n">
        <v>0</v>
      </c>
      <c r="M293" t="n">
        <v>0</v>
      </c>
      <c r="N293" t="n">
        <v>0</v>
      </c>
      <c r="O293" t="n">
        <v>0</v>
      </c>
      <c r="P293" t="n">
        <v>0</v>
      </c>
      <c r="Q293" t="n">
        <v>0</v>
      </c>
      <c r="R293" s="2" t="inlineStr"/>
    </row>
    <row r="294" ht="15" customHeight="1">
      <c r="A294" t="inlineStr">
        <is>
          <t>A 43153-2025</t>
        </is>
      </c>
      <c r="B294" s="1" t="n">
        <v>45910.34449074074</v>
      </c>
      <c r="C294" s="1" t="n">
        <v>46045</v>
      </c>
      <c r="D294" t="inlineStr">
        <is>
          <t>DALARNAS LÄN</t>
        </is>
      </c>
      <c r="E294" t="inlineStr">
        <is>
          <t>MORA</t>
        </is>
      </c>
      <c r="G294" t="n">
        <v>3.9</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46045</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61654-2024</t>
        </is>
      </c>
      <c r="B296" s="1" t="n">
        <v>45646.74988425926</v>
      </c>
      <c r="C296" s="1" t="n">
        <v>46045</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60428-2023</t>
        </is>
      </c>
      <c r="B297" s="1" t="n">
        <v>45259.50996527778</v>
      </c>
      <c r="C297" s="1" t="n">
        <v>46045</v>
      </c>
      <c r="D297" t="inlineStr">
        <is>
          <t>DALARNAS LÄN</t>
        </is>
      </c>
      <c r="E297" t="inlineStr">
        <is>
          <t>MORA</t>
        </is>
      </c>
      <c r="G297" t="n">
        <v>4.9</v>
      </c>
      <c r="H297" t="n">
        <v>0</v>
      </c>
      <c r="I297" t="n">
        <v>0</v>
      </c>
      <c r="J297" t="n">
        <v>0</v>
      </c>
      <c r="K297" t="n">
        <v>0</v>
      </c>
      <c r="L297" t="n">
        <v>0</v>
      </c>
      <c r="M297" t="n">
        <v>0</v>
      </c>
      <c r="N297" t="n">
        <v>0</v>
      </c>
      <c r="O297" t="n">
        <v>0</v>
      </c>
      <c r="P297" t="n">
        <v>0</v>
      </c>
      <c r="Q297" t="n">
        <v>0</v>
      </c>
      <c r="R297" s="2" t="inlineStr"/>
    </row>
    <row r="298" ht="15" customHeight="1">
      <c r="A298" t="inlineStr">
        <is>
          <t>A 43474-2025</t>
        </is>
      </c>
      <c r="B298" s="1" t="n">
        <v>45911.48967592593</v>
      </c>
      <c r="C298" s="1" t="n">
        <v>46045</v>
      </c>
      <c r="D298" t="inlineStr">
        <is>
          <t>DALARNAS LÄN</t>
        </is>
      </c>
      <c r="E298" t="inlineStr">
        <is>
          <t>MORA</t>
        </is>
      </c>
      <c r="G298" t="n">
        <v>1.8</v>
      </c>
      <c r="H298" t="n">
        <v>0</v>
      </c>
      <c r="I298" t="n">
        <v>0</v>
      </c>
      <c r="J298" t="n">
        <v>0</v>
      </c>
      <c r="K298" t="n">
        <v>0</v>
      </c>
      <c r="L298" t="n">
        <v>0</v>
      </c>
      <c r="M298" t="n">
        <v>0</v>
      </c>
      <c r="N298" t="n">
        <v>0</v>
      </c>
      <c r="O298" t="n">
        <v>0</v>
      </c>
      <c r="P298" t="n">
        <v>0</v>
      </c>
      <c r="Q298" t="n">
        <v>0</v>
      </c>
      <c r="R298" s="2" t="inlineStr"/>
    </row>
    <row r="299" ht="15" customHeight="1">
      <c r="A299" t="inlineStr">
        <is>
          <t>A 437-2024</t>
        </is>
      </c>
      <c r="B299" s="1" t="n">
        <v>45296</v>
      </c>
      <c r="C299" s="1" t="n">
        <v>46045</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43569-2025</t>
        </is>
      </c>
      <c r="B300" s="1" t="n">
        <v>45911.63363425926</v>
      </c>
      <c r="C300" s="1" t="n">
        <v>46045</v>
      </c>
      <c r="D300" t="inlineStr">
        <is>
          <t>DALARNAS LÄN</t>
        </is>
      </c>
      <c r="E300" t="inlineStr">
        <is>
          <t>MORA</t>
        </is>
      </c>
      <c r="G300" t="n">
        <v>4.7</v>
      </c>
      <c r="H300" t="n">
        <v>0</v>
      </c>
      <c r="I300" t="n">
        <v>0</v>
      </c>
      <c r="J300" t="n">
        <v>0</v>
      </c>
      <c r="K300" t="n">
        <v>0</v>
      </c>
      <c r="L300" t="n">
        <v>0</v>
      </c>
      <c r="M300" t="n">
        <v>0</v>
      </c>
      <c r="N300" t="n">
        <v>0</v>
      </c>
      <c r="O300" t="n">
        <v>0</v>
      </c>
      <c r="P300" t="n">
        <v>0</v>
      </c>
      <c r="Q300" t="n">
        <v>0</v>
      </c>
      <c r="R300" s="2" t="inlineStr"/>
    </row>
    <row r="301" ht="15" customHeight="1">
      <c r="A301" t="inlineStr">
        <is>
          <t>A 60715-2023</t>
        </is>
      </c>
      <c r="B301" s="1" t="n">
        <v>45260.52684027778</v>
      </c>
      <c r="C301" s="1" t="n">
        <v>46045</v>
      </c>
      <c r="D301" t="inlineStr">
        <is>
          <t>DALARNAS LÄN</t>
        </is>
      </c>
      <c r="E301" t="inlineStr">
        <is>
          <t>MORA</t>
        </is>
      </c>
      <c r="G301" t="n">
        <v>1.7</v>
      </c>
      <c r="H301" t="n">
        <v>0</v>
      </c>
      <c r="I301" t="n">
        <v>0</v>
      </c>
      <c r="J301" t="n">
        <v>0</v>
      </c>
      <c r="K301" t="n">
        <v>0</v>
      </c>
      <c r="L301" t="n">
        <v>0</v>
      </c>
      <c r="M301" t="n">
        <v>0</v>
      </c>
      <c r="N301" t="n">
        <v>0</v>
      </c>
      <c r="O301" t="n">
        <v>0</v>
      </c>
      <c r="P301" t="n">
        <v>0</v>
      </c>
      <c r="Q301" t="n">
        <v>0</v>
      </c>
      <c r="R301" s="2" t="inlineStr"/>
    </row>
    <row r="302" ht="15" customHeight="1">
      <c r="A302" t="inlineStr">
        <is>
          <t>A 43811-2025</t>
        </is>
      </c>
      <c r="B302" s="1" t="n">
        <v>45912.58710648148</v>
      </c>
      <c r="C302" s="1" t="n">
        <v>46045</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56532-2024</t>
        </is>
      </c>
      <c r="B303" s="1" t="n">
        <v>45625.55440972222</v>
      </c>
      <c r="C303" s="1" t="n">
        <v>46045</v>
      </c>
      <c r="D303" t="inlineStr">
        <is>
          <t>DALARNAS LÄN</t>
        </is>
      </c>
      <c r="E303" t="inlineStr">
        <is>
          <t>MORA</t>
        </is>
      </c>
      <c r="G303" t="n">
        <v>6.9</v>
      </c>
      <c r="H303" t="n">
        <v>0</v>
      </c>
      <c r="I303" t="n">
        <v>0</v>
      </c>
      <c r="J303" t="n">
        <v>0</v>
      </c>
      <c r="K303" t="n">
        <v>0</v>
      </c>
      <c r="L303" t="n">
        <v>0</v>
      </c>
      <c r="M303" t="n">
        <v>0</v>
      </c>
      <c r="N303" t="n">
        <v>0</v>
      </c>
      <c r="O303" t="n">
        <v>0</v>
      </c>
      <c r="P303" t="n">
        <v>0</v>
      </c>
      <c r="Q303" t="n">
        <v>0</v>
      </c>
      <c r="R303" s="2" t="inlineStr"/>
    </row>
    <row r="304" ht="15" customHeight="1">
      <c r="A304" t="inlineStr">
        <is>
          <t>A 54628-2024</t>
        </is>
      </c>
      <c r="B304" s="1" t="n">
        <v>45617.83969907407</v>
      </c>
      <c r="C304" s="1" t="n">
        <v>46045</v>
      </c>
      <c r="D304" t="inlineStr">
        <is>
          <t>DALARNAS LÄN</t>
        </is>
      </c>
      <c r="E304" t="inlineStr">
        <is>
          <t>MORA</t>
        </is>
      </c>
      <c r="G304" t="n">
        <v>1.1</v>
      </c>
      <c r="H304" t="n">
        <v>0</v>
      </c>
      <c r="I304" t="n">
        <v>0</v>
      </c>
      <c r="J304" t="n">
        <v>0</v>
      </c>
      <c r="K304" t="n">
        <v>0</v>
      </c>
      <c r="L304" t="n">
        <v>0</v>
      </c>
      <c r="M304" t="n">
        <v>0</v>
      </c>
      <c r="N304" t="n">
        <v>0</v>
      </c>
      <c r="O304" t="n">
        <v>0</v>
      </c>
      <c r="P304" t="n">
        <v>0</v>
      </c>
      <c r="Q304" t="n">
        <v>0</v>
      </c>
      <c r="R304" s="2" t="inlineStr"/>
    </row>
    <row r="305" ht="15" customHeight="1">
      <c r="A305" t="inlineStr">
        <is>
          <t>A 1252-2025</t>
        </is>
      </c>
      <c r="B305" s="1" t="n">
        <v>45667.46648148148</v>
      </c>
      <c r="C305" s="1" t="n">
        <v>46045</v>
      </c>
      <c r="D305" t="inlineStr">
        <is>
          <t>DALARNAS LÄN</t>
        </is>
      </c>
      <c r="E305" t="inlineStr">
        <is>
          <t>MORA</t>
        </is>
      </c>
      <c r="G305" t="n">
        <v>1.6</v>
      </c>
      <c r="H305" t="n">
        <v>0</v>
      </c>
      <c r="I305" t="n">
        <v>0</v>
      </c>
      <c r="J305" t="n">
        <v>0</v>
      </c>
      <c r="K305" t="n">
        <v>0</v>
      </c>
      <c r="L305" t="n">
        <v>0</v>
      </c>
      <c r="M305" t="n">
        <v>0</v>
      </c>
      <c r="N305" t="n">
        <v>0</v>
      </c>
      <c r="O305" t="n">
        <v>0</v>
      </c>
      <c r="P305" t="n">
        <v>0</v>
      </c>
      <c r="Q305" t="n">
        <v>0</v>
      </c>
      <c r="R305" s="2" t="inlineStr"/>
    </row>
    <row r="306" ht="15" customHeight="1">
      <c r="A306" t="inlineStr">
        <is>
          <t>A 27125-2024</t>
        </is>
      </c>
      <c r="B306" s="1" t="n">
        <v>45471</v>
      </c>
      <c r="C306" s="1" t="n">
        <v>46045</v>
      </c>
      <c r="D306" t="inlineStr">
        <is>
          <t>DALARNAS LÄN</t>
        </is>
      </c>
      <c r="E306" t="inlineStr">
        <is>
          <t>MORA</t>
        </is>
      </c>
      <c r="G306" t="n">
        <v>2.3</v>
      </c>
      <c r="H306" t="n">
        <v>0</v>
      </c>
      <c r="I306" t="n">
        <v>0</v>
      </c>
      <c r="J306" t="n">
        <v>0</v>
      </c>
      <c r="K306" t="n">
        <v>0</v>
      </c>
      <c r="L306" t="n">
        <v>0</v>
      </c>
      <c r="M306" t="n">
        <v>0</v>
      </c>
      <c r="N306" t="n">
        <v>0</v>
      </c>
      <c r="O306" t="n">
        <v>0</v>
      </c>
      <c r="P306" t="n">
        <v>0</v>
      </c>
      <c r="Q306" t="n">
        <v>0</v>
      </c>
      <c r="R306" s="2" t="inlineStr"/>
    </row>
    <row r="307" ht="15" customHeight="1">
      <c r="A307" t="inlineStr">
        <is>
          <t>A 44384-2025</t>
        </is>
      </c>
      <c r="B307" s="1" t="n">
        <v>45916.48513888889</v>
      </c>
      <c r="C307" s="1" t="n">
        <v>46045</v>
      </c>
      <c r="D307" t="inlineStr">
        <is>
          <t>DALARNAS LÄN</t>
        </is>
      </c>
      <c r="E307" t="inlineStr">
        <is>
          <t>MORA</t>
        </is>
      </c>
      <c r="F307" t="inlineStr">
        <is>
          <t>Kyrkan</t>
        </is>
      </c>
      <c r="G307" t="n">
        <v>5.1</v>
      </c>
      <c r="H307" t="n">
        <v>0</v>
      </c>
      <c r="I307" t="n">
        <v>0</v>
      </c>
      <c r="J307" t="n">
        <v>0</v>
      </c>
      <c r="K307" t="n">
        <v>0</v>
      </c>
      <c r="L307" t="n">
        <v>0</v>
      </c>
      <c r="M307" t="n">
        <v>0</v>
      </c>
      <c r="N307" t="n">
        <v>0</v>
      </c>
      <c r="O307" t="n">
        <v>0</v>
      </c>
      <c r="P307" t="n">
        <v>0</v>
      </c>
      <c r="Q307" t="n">
        <v>0</v>
      </c>
      <c r="R307" s="2" t="inlineStr"/>
    </row>
    <row r="308" ht="15" customHeight="1">
      <c r="A308" t="inlineStr">
        <is>
          <t>A 39348-2024</t>
        </is>
      </c>
      <c r="B308" s="1" t="n">
        <v>45551.45322916667</v>
      </c>
      <c r="C308" s="1" t="n">
        <v>46045</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24465-2021</t>
        </is>
      </c>
      <c r="B309" s="1" t="n">
        <v>44337</v>
      </c>
      <c r="C309" s="1" t="n">
        <v>46045</v>
      </c>
      <c r="D309" t="inlineStr">
        <is>
          <t>DALARNAS LÄN</t>
        </is>
      </c>
      <c r="E309" t="inlineStr">
        <is>
          <t>MORA</t>
        </is>
      </c>
      <c r="G309" t="n">
        <v>2.6</v>
      </c>
      <c r="H309" t="n">
        <v>0</v>
      </c>
      <c r="I309" t="n">
        <v>0</v>
      </c>
      <c r="J309" t="n">
        <v>0</v>
      </c>
      <c r="K309" t="n">
        <v>0</v>
      </c>
      <c r="L309" t="n">
        <v>0</v>
      </c>
      <c r="M309" t="n">
        <v>0</v>
      </c>
      <c r="N309" t="n">
        <v>0</v>
      </c>
      <c r="O309" t="n">
        <v>0</v>
      </c>
      <c r="P309" t="n">
        <v>0</v>
      </c>
      <c r="Q309" t="n">
        <v>0</v>
      </c>
      <c r="R309" s="2" t="inlineStr"/>
    </row>
    <row r="310" ht="15" customHeight="1">
      <c r="A310" t="inlineStr">
        <is>
          <t>A 2830-2023</t>
        </is>
      </c>
      <c r="B310" s="1" t="n">
        <v>44945.32997685186</v>
      </c>
      <c r="C310" s="1" t="n">
        <v>46045</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30822-2024</t>
        </is>
      </c>
      <c r="B311" s="1" t="n">
        <v>45497</v>
      </c>
      <c r="C311" s="1" t="n">
        <v>46045</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5298-2023</t>
        </is>
      </c>
      <c r="B312" s="1" t="n">
        <v>44959.54355324074</v>
      </c>
      <c r="C312" s="1" t="n">
        <v>46045</v>
      </c>
      <c r="D312" t="inlineStr">
        <is>
          <t>DALARNAS LÄN</t>
        </is>
      </c>
      <c r="E312" t="inlineStr">
        <is>
          <t>MORA</t>
        </is>
      </c>
      <c r="F312" t="inlineStr">
        <is>
          <t>Bergvik skog väst AB</t>
        </is>
      </c>
      <c r="G312" t="n">
        <v>6.2</v>
      </c>
      <c r="H312" t="n">
        <v>0</v>
      </c>
      <c r="I312" t="n">
        <v>0</v>
      </c>
      <c r="J312" t="n">
        <v>0</v>
      </c>
      <c r="K312" t="n">
        <v>0</v>
      </c>
      <c r="L312" t="n">
        <v>0</v>
      </c>
      <c r="M312" t="n">
        <v>0</v>
      </c>
      <c r="N312" t="n">
        <v>0</v>
      </c>
      <c r="O312" t="n">
        <v>0</v>
      </c>
      <c r="P312" t="n">
        <v>0</v>
      </c>
      <c r="Q312" t="n">
        <v>0</v>
      </c>
      <c r="R312" s="2" t="inlineStr"/>
    </row>
    <row r="313" ht="15" customHeight="1">
      <c r="A313" t="inlineStr">
        <is>
          <t>A 44621-2025</t>
        </is>
      </c>
      <c r="B313" s="1" t="n">
        <v>45917.466875</v>
      </c>
      <c r="C313" s="1" t="n">
        <v>46045</v>
      </c>
      <c r="D313" t="inlineStr">
        <is>
          <t>DALARNAS LÄN</t>
        </is>
      </c>
      <c r="E313" t="inlineStr">
        <is>
          <t>MORA</t>
        </is>
      </c>
      <c r="G313" t="n">
        <v>0.8</v>
      </c>
      <c r="H313" t="n">
        <v>0</v>
      </c>
      <c r="I313" t="n">
        <v>0</v>
      </c>
      <c r="J313" t="n">
        <v>0</v>
      </c>
      <c r="K313" t="n">
        <v>0</v>
      </c>
      <c r="L313" t="n">
        <v>0</v>
      </c>
      <c r="M313" t="n">
        <v>0</v>
      </c>
      <c r="N313" t="n">
        <v>0</v>
      </c>
      <c r="O313" t="n">
        <v>0</v>
      </c>
      <c r="P313" t="n">
        <v>0</v>
      </c>
      <c r="Q313" t="n">
        <v>0</v>
      </c>
      <c r="R313" s="2" t="inlineStr"/>
    </row>
    <row r="314" ht="15" customHeight="1">
      <c r="A314" t="inlineStr">
        <is>
          <t>A 58177-2024</t>
        </is>
      </c>
      <c r="B314" s="1" t="n">
        <v>45632.46821759259</v>
      </c>
      <c r="C314" s="1" t="n">
        <v>46045</v>
      </c>
      <c r="D314" t="inlineStr">
        <is>
          <t>DALARNAS LÄN</t>
        </is>
      </c>
      <c r="E314" t="inlineStr">
        <is>
          <t>MORA</t>
        </is>
      </c>
      <c r="G314" t="n">
        <v>0.8</v>
      </c>
      <c r="H314" t="n">
        <v>0</v>
      </c>
      <c r="I314" t="n">
        <v>0</v>
      </c>
      <c r="J314" t="n">
        <v>0</v>
      </c>
      <c r="K314" t="n">
        <v>0</v>
      </c>
      <c r="L314" t="n">
        <v>0</v>
      </c>
      <c r="M314" t="n">
        <v>0</v>
      </c>
      <c r="N314" t="n">
        <v>0</v>
      </c>
      <c r="O314" t="n">
        <v>0</v>
      </c>
      <c r="P314" t="n">
        <v>0</v>
      </c>
      <c r="Q314" t="n">
        <v>0</v>
      </c>
      <c r="R314" s="2" t="inlineStr"/>
    </row>
    <row r="315" ht="15" customHeight="1">
      <c r="A315" t="inlineStr">
        <is>
          <t>A 17172-2025</t>
        </is>
      </c>
      <c r="B315" s="1" t="n">
        <v>45756.37201388889</v>
      </c>
      <c r="C315" s="1" t="n">
        <v>46045</v>
      </c>
      <c r="D315" t="inlineStr">
        <is>
          <t>DALARNAS LÄN</t>
        </is>
      </c>
      <c r="E315" t="inlineStr">
        <is>
          <t>MORA</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15993-2025</t>
        </is>
      </c>
      <c r="B316" s="1" t="n">
        <v>45749.58428240741</v>
      </c>
      <c r="C316" s="1" t="n">
        <v>46045</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14832-2025</t>
        </is>
      </c>
      <c r="B317" s="1" t="n">
        <v>45743</v>
      </c>
      <c r="C317" s="1" t="n">
        <v>46045</v>
      </c>
      <c r="D317" t="inlineStr">
        <is>
          <t>DALARNAS LÄN</t>
        </is>
      </c>
      <c r="E317" t="inlineStr">
        <is>
          <t>MORA</t>
        </is>
      </c>
      <c r="G317" t="n">
        <v>9.1</v>
      </c>
      <c r="H317" t="n">
        <v>0</v>
      </c>
      <c r="I317" t="n">
        <v>0</v>
      </c>
      <c r="J317" t="n">
        <v>0</v>
      </c>
      <c r="K317" t="n">
        <v>0</v>
      </c>
      <c r="L317" t="n">
        <v>0</v>
      </c>
      <c r="M317" t="n">
        <v>0</v>
      </c>
      <c r="N317" t="n">
        <v>0</v>
      </c>
      <c r="O317" t="n">
        <v>0</v>
      </c>
      <c r="P317" t="n">
        <v>0</v>
      </c>
      <c r="Q317" t="n">
        <v>0</v>
      </c>
      <c r="R317" s="2" t="inlineStr"/>
    </row>
    <row r="318" ht="15" customHeight="1">
      <c r="A318" t="inlineStr">
        <is>
          <t>A 15443-2025</t>
        </is>
      </c>
      <c r="B318" s="1" t="n">
        <v>45747.48371527778</v>
      </c>
      <c r="C318" s="1" t="n">
        <v>46045</v>
      </c>
      <c r="D318" t="inlineStr">
        <is>
          <t>DALARNAS LÄN</t>
        </is>
      </c>
      <c r="E318" t="inlineStr">
        <is>
          <t>MORA</t>
        </is>
      </c>
      <c r="G318" t="n">
        <v>1.8</v>
      </c>
      <c r="H318" t="n">
        <v>0</v>
      </c>
      <c r="I318" t="n">
        <v>0</v>
      </c>
      <c r="J318" t="n">
        <v>0</v>
      </c>
      <c r="K318" t="n">
        <v>0</v>
      </c>
      <c r="L318" t="n">
        <v>0</v>
      </c>
      <c r="M318" t="n">
        <v>0</v>
      </c>
      <c r="N318" t="n">
        <v>0</v>
      </c>
      <c r="O318" t="n">
        <v>0</v>
      </c>
      <c r="P318" t="n">
        <v>0</v>
      </c>
      <c r="Q318" t="n">
        <v>0</v>
      </c>
      <c r="R318" s="2" t="inlineStr"/>
    </row>
    <row r="319" ht="15" customHeight="1">
      <c r="A319" t="inlineStr">
        <is>
          <t>A 45574-2023</t>
        </is>
      </c>
      <c r="B319" s="1" t="n">
        <v>45194</v>
      </c>
      <c r="C319" s="1" t="n">
        <v>46045</v>
      </c>
      <c r="D319" t="inlineStr">
        <is>
          <t>DALARNAS LÄN</t>
        </is>
      </c>
      <c r="E319" t="inlineStr">
        <is>
          <t>MORA</t>
        </is>
      </c>
      <c r="G319" t="n">
        <v>6.3</v>
      </c>
      <c r="H319" t="n">
        <v>0</v>
      </c>
      <c r="I319" t="n">
        <v>0</v>
      </c>
      <c r="J319" t="n">
        <v>0</v>
      </c>
      <c r="K319" t="n">
        <v>0</v>
      </c>
      <c r="L319" t="n">
        <v>0</v>
      </c>
      <c r="M319" t="n">
        <v>0</v>
      </c>
      <c r="N319" t="n">
        <v>0</v>
      </c>
      <c r="O319" t="n">
        <v>0</v>
      </c>
      <c r="P319" t="n">
        <v>0</v>
      </c>
      <c r="Q319" t="n">
        <v>0</v>
      </c>
      <c r="R319" s="2" t="inlineStr"/>
    </row>
    <row r="320" ht="15" customHeight="1">
      <c r="A320" t="inlineStr">
        <is>
          <t>A 45191-2025</t>
        </is>
      </c>
      <c r="B320" s="1" t="n">
        <v>45919.54811342592</v>
      </c>
      <c r="C320" s="1" t="n">
        <v>46045</v>
      </c>
      <c r="D320" t="inlineStr">
        <is>
          <t>DALARNAS LÄN</t>
        </is>
      </c>
      <c r="E320" t="inlineStr">
        <is>
          <t>MORA</t>
        </is>
      </c>
      <c r="G320" t="n">
        <v>2.2</v>
      </c>
      <c r="H320" t="n">
        <v>0</v>
      </c>
      <c r="I320" t="n">
        <v>0</v>
      </c>
      <c r="J320" t="n">
        <v>0</v>
      </c>
      <c r="K320" t="n">
        <v>0</v>
      </c>
      <c r="L320" t="n">
        <v>0</v>
      </c>
      <c r="M320" t="n">
        <v>0</v>
      </c>
      <c r="N320" t="n">
        <v>0</v>
      </c>
      <c r="O320" t="n">
        <v>0</v>
      </c>
      <c r="P320" t="n">
        <v>0</v>
      </c>
      <c r="Q320" t="n">
        <v>0</v>
      </c>
      <c r="R320" s="2" t="inlineStr"/>
    </row>
    <row r="321" ht="15" customHeight="1">
      <c r="A321" t="inlineStr">
        <is>
          <t>A 5922-2025</t>
        </is>
      </c>
      <c r="B321" s="1" t="n">
        <v>45695.42762731481</v>
      </c>
      <c r="C321" s="1" t="n">
        <v>46045</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19910-2024</t>
        </is>
      </c>
      <c r="B322" s="1" t="n">
        <v>45433.5741087963</v>
      </c>
      <c r="C322" s="1" t="n">
        <v>46045</v>
      </c>
      <c r="D322" t="inlineStr">
        <is>
          <t>DALARNAS LÄN</t>
        </is>
      </c>
      <c r="E322" t="inlineStr">
        <is>
          <t>MORA</t>
        </is>
      </c>
      <c r="G322" t="n">
        <v>0.9</v>
      </c>
      <c r="H322" t="n">
        <v>0</v>
      </c>
      <c r="I322" t="n">
        <v>0</v>
      </c>
      <c r="J322" t="n">
        <v>0</v>
      </c>
      <c r="K322" t="n">
        <v>0</v>
      </c>
      <c r="L322" t="n">
        <v>0</v>
      </c>
      <c r="M322" t="n">
        <v>0</v>
      </c>
      <c r="N322" t="n">
        <v>0</v>
      </c>
      <c r="O322" t="n">
        <v>0</v>
      </c>
      <c r="P322" t="n">
        <v>0</v>
      </c>
      <c r="Q322" t="n">
        <v>0</v>
      </c>
      <c r="R322" s="2" t="inlineStr"/>
    </row>
    <row r="323" ht="15" customHeight="1">
      <c r="A323" t="inlineStr">
        <is>
          <t>A 45181-2025</t>
        </is>
      </c>
      <c r="B323" s="1" t="n">
        <v>45919.53329861111</v>
      </c>
      <c r="C323" s="1" t="n">
        <v>46045</v>
      </c>
      <c r="D323" t="inlineStr">
        <is>
          <t>DALARNAS LÄN</t>
        </is>
      </c>
      <c r="E323" t="inlineStr">
        <is>
          <t>MORA</t>
        </is>
      </c>
      <c r="G323" t="n">
        <v>4.5</v>
      </c>
      <c r="H323" t="n">
        <v>0</v>
      </c>
      <c r="I323" t="n">
        <v>0</v>
      </c>
      <c r="J323" t="n">
        <v>0</v>
      </c>
      <c r="K323" t="n">
        <v>0</v>
      </c>
      <c r="L323" t="n">
        <v>0</v>
      </c>
      <c r="M323" t="n">
        <v>0</v>
      </c>
      <c r="N323" t="n">
        <v>0</v>
      </c>
      <c r="O323" t="n">
        <v>0</v>
      </c>
      <c r="P323" t="n">
        <v>0</v>
      </c>
      <c r="Q323" t="n">
        <v>0</v>
      </c>
      <c r="R323" s="2" t="inlineStr"/>
    </row>
    <row r="324" ht="15" customHeight="1">
      <c r="A324" t="inlineStr">
        <is>
          <t>A 20126-2025</t>
        </is>
      </c>
      <c r="B324" s="1" t="n">
        <v>45772.49640046297</v>
      </c>
      <c r="C324" s="1" t="n">
        <v>46045</v>
      </c>
      <c r="D324" t="inlineStr">
        <is>
          <t>DALARNAS LÄN</t>
        </is>
      </c>
      <c r="E324" t="inlineStr">
        <is>
          <t>MORA</t>
        </is>
      </c>
      <c r="G324" t="n">
        <v>12.1</v>
      </c>
      <c r="H324" t="n">
        <v>0</v>
      </c>
      <c r="I324" t="n">
        <v>0</v>
      </c>
      <c r="J324" t="n">
        <v>0</v>
      </c>
      <c r="K324" t="n">
        <v>0</v>
      </c>
      <c r="L324" t="n">
        <v>0</v>
      </c>
      <c r="M324" t="n">
        <v>0</v>
      </c>
      <c r="N324" t="n">
        <v>0</v>
      </c>
      <c r="O324" t="n">
        <v>0</v>
      </c>
      <c r="P324" t="n">
        <v>0</v>
      </c>
      <c r="Q324" t="n">
        <v>0</v>
      </c>
      <c r="R324" s="2" t="inlineStr"/>
    </row>
    <row r="325" ht="15" customHeight="1">
      <c r="A325" t="inlineStr">
        <is>
          <t>A 15643-2025</t>
        </is>
      </c>
      <c r="B325" s="1" t="n">
        <v>45748.39222222222</v>
      </c>
      <c r="C325" s="1" t="n">
        <v>46045</v>
      </c>
      <c r="D325" t="inlineStr">
        <is>
          <t>DALARNAS LÄN</t>
        </is>
      </c>
      <c r="E325" t="inlineStr">
        <is>
          <t>MORA</t>
        </is>
      </c>
      <c r="G325" t="n">
        <v>7.6</v>
      </c>
      <c r="H325" t="n">
        <v>0</v>
      </c>
      <c r="I325" t="n">
        <v>0</v>
      </c>
      <c r="J325" t="n">
        <v>0</v>
      </c>
      <c r="K325" t="n">
        <v>0</v>
      </c>
      <c r="L325" t="n">
        <v>0</v>
      </c>
      <c r="M325" t="n">
        <v>0</v>
      </c>
      <c r="N325" t="n">
        <v>0</v>
      </c>
      <c r="O325" t="n">
        <v>0</v>
      </c>
      <c r="P325" t="n">
        <v>0</v>
      </c>
      <c r="Q325" t="n">
        <v>0</v>
      </c>
      <c r="R325" s="2" t="inlineStr"/>
    </row>
    <row r="326" ht="15" customHeight="1">
      <c r="A326" t="inlineStr">
        <is>
          <t>A 34660-2021</t>
        </is>
      </c>
      <c r="B326" s="1" t="n">
        <v>44382.57981481482</v>
      </c>
      <c r="C326" s="1" t="n">
        <v>46045</v>
      </c>
      <c r="D326" t="inlineStr">
        <is>
          <t>DALARNAS LÄN</t>
        </is>
      </c>
      <c r="E326" t="inlineStr">
        <is>
          <t>MORA</t>
        </is>
      </c>
      <c r="G326" t="n">
        <v>7.5</v>
      </c>
      <c r="H326" t="n">
        <v>0</v>
      </c>
      <c r="I326" t="n">
        <v>0</v>
      </c>
      <c r="J326" t="n">
        <v>0</v>
      </c>
      <c r="K326" t="n">
        <v>0</v>
      </c>
      <c r="L326" t="n">
        <v>0</v>
      </c>
      <c r="M326" t="n">
        <v>0</v>
      </c>
      <c r="N326" t="n">
        <v>0</v>
      </c>
      <c r="O326" t="n">
        <v>0</v>
      </c>
      <c r="P326" t="n">
        <v>0</v>
      </c>
      <c r="Q326" t="n">
        <v>0</v>
      </c>
      <c r="R326" s="2" t="inlineStr"/>
    </row>
    <row r="327" ht="15" customHeight="1">
      <c r="A327" t="inlineStr">
        <is>
          <t>A 36058-2024</t>
        </is>
      </c>
      <c r="B327" s="1" t="n">
        <v>45533</v>
      </c>
      <c r="C327" s="1" t="n">
        <v>46045</v>
      </c>
      <c r="D327" t="inlineStr">
        <is>
          <t>DALARNAS LÄN</t>
        </is>
      </c>
      <c r="E327" t="inlineStr">
        <is>
          <t>MORA</t>
        </is>
      </c>
      <c r="G327" t="n">
        <v>1</v>
      </c>
      <c r="H327" t="n">
        <v>0</v>
      </c>
      <c r="I327" t="n">
        <v>0</v>
      </c>
      <c r="J327" t="n">
        <v>0</v>
      </c>
      <c r="K327" t="n">
        <v>0</v>
      </c>
      <c r="L327" t="n">
        <v>0</v>
      </c>
      <c r="M327" t="n">
        <v>0</v>
      </c>
      <c r="N327" t="n">
        <v>0</v>
      </c>
      <c r="O327" t="n">
        <v>0</v>
      </c>
      <c r="P327" t="n">
        <v>0</v>
      </c>
      <c r="Q327" t="n">
        <v>0</v>
      </c>
      <c r="R327" s="2" t="inlineStr"/>
    </row>
    <row r="328" ht="15" customHeight="1">
      <c r="A328" t="inlineStr">
        <is>
          <t>A 46090-2025</t>
        </is>
      </c>
      <c r="B328" s="1" t="n">
        <v>45924.5253125</v>
      </c>
      <c r="C328" s="1" t="n">
        <v>46045</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2308-2023</t>
        </is>
      </c>
      <c r="B329" s="1" t="n">
        <v>44942.57987268519</v>
      </c>
      <c r="C329" s="1" t="n">
        <v>46045</v>
      </c>
      <c r="D329" t="inlineStr">
        <is>
          <t>DALARNAS LÄN</t>
        </is>
      </c>
      <c r="E329" t="inlineStr">
        <is>
          <t>MORA</t>
        </is>
      </c>
      <c r="G329" t="n">
        <v>2.2</v>
      </c>
      <c r="H329" t="n">
        <v>0</v>
      </c>
      <c r="I329" t="n">
        <v>0</v>
      </c>
      <c r="J329" t="n">
        <v>0</v>
      </c>
      <c r="K329" t="n">
        <v>0</v>
      </c>
      <c r="L329" t="n">
        <v>0</v>
      </c>
      <c r="M329" t="n">
        <v>0</v>
      </c>
      <c r="N329" t="n">
        <v>0</v>
      </c>
      <c r="O329" t="n">
        <v>0</v>
      </c>
      <c r="P329" t="n">
        <v>0</v>
      </c>
      <c r="Q329" t="n">
        <v>0</v>
      </c>
      <c r="R329" s="2" t="inlineStr"/>
    </row>
    <row r="330" ht="15" customHeight="1">
      <c r="A330" t="inlineStr">
        <is>
          <t>A 46091-2025</t>
        </is>
      </c>
      <c r="B330" s="1" t="n">
        <v>45924.52871527777</v>
      </c>
      <c r="C330" s="1" t="n">
        <v>46045</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56012-2023</t>
        </is>
      </c>
      <c r="B331" s="1" t="n">
        <v>45240</v>
      </c>
      <c r="C331" s="1" t="n">
        <v>46045</v>
      </c>
      <c r="D331" t="inlineStr">
        <is>
          <t>DALARNAS LÄN</t>
        </is>
      </c>
      <c r="E331" t="inlineStr">
        <is>
          <t>MORA</t>
        </is>
      </c>
      <c r="G331" t="n">
        <v>0.3</v>
      </c>
      <c r="H331" t="n">
        <v>0</v>
      </c>
      <c r="I331" t="n">
        <v>0</v>
      </c>
      <c r="J331" t="n">
        <v>0</v>
      </c>
      <c r="K331" t="n">
        <v>0</v>
      </c>
      <c r="L331" t="n">
        <v>0</v>
      </c>
      <c r="M331" t="n">
        <v>0</v>
      </c>
      <c r="N331" t="n">
        <v>0</v>
      </c>
      <c r="O331" t="n">
        <v>0</v>
      </c>
      <c r="P331" t="n">
        <v>0</v>
      </c>
      <c r="Q331" t="n">
        <v>0</v>
      </c>
      <c r="R331" s="2" t="inlineStr"/>
    </row>
    <row r="332" ht="15" customHeight="1">
      <c r="A332" t="inlineStr">
        <is>
          <t>A 59002-2024</t>
        </is>
      </c>
      <c r="B332" s="1" t="n">
        <v>45636</v>
      </c>
      <c r="C332" s="1" t="n">
        <v>46045</v>
      </c>
      <c r="D332" t="inlineStr">
        <is>
          <t>DALARNAS LÄN</t>
        </is>
      </c>
      <c r="E332" t="inlineStr">
        <is>
          <t>MORA</t>
        </is>
      </c>
      <c r="F332" t="inlineStr">
        <is>
          <t>Bergvik skog väst AB</t>
        </is>
      </c>
      <c r="G332" t="n">
        <v>24.8</v>
      </c>
      <c r="H332" t="n">
        <v>0</v>
      </c>
      <c r="I332" t="n">
        <v>0</v>
      </c>
      <c r="J332" t="n">
        <v>0</v>
      </c>
      <c r="K332" t="n">
        <v>0</v>
      </c>
      <c r="L332" t="n">
        <v>0</v>
      </c>
      <c r="M332" t="n">
        <v>0</v>
      </c>
      <c r="N332" t="n">
        <v>0</v>
      </c>
      <c r="O332" t="n">
        <v>0</v>
      </c>
      <c r="P332" t="n">
        <v>0</v>
      </c>
      <c r="Q332" t="n">
        <v>0</v>
      </c>
      <c r="R332" s="2" t="inlineStr"/>
    </row>
    <row r="333" ht="15" customHeight="1">
      <c r="A333" t="inlineStr">
        <is>
          <t>A 46525-2025</t>
        </is>
      </c>
      <c r="B333" s="1" t="n">
        <v>45926.3312962963</v>
      </c>
      <c r="C333" s="1" t="n">
        <v>46045</v>
      </c>
      <c r="D333" t="inlineStr">
        <is>
          <t>DALARNAS LÄN</t>
        </is>
      </c>
      <c r="E333" t="inlineStr">
        <is>
          <t>MORA</t>
        </is>
      </c>
      <c r="G333" t="n">
        <v>6.3</v>
      </c>
      <c r="H333" t="n">
        <v>0</v>
      </c>
      <c r="I333" t="n">
        <v>0</v>
      </c>
      <c r="J333" t="n">
        <v>0</v>
      </c>
      <c r="K333" t="n">
        <v>0</v>
      </c>
      <c r="L333" t="n">
        <v>0</v>
      </c>
      <c r="M333" t="n">
        <v>0</v>
      </c>
      <c r="N333" t="n">
        <v>0</v>
      </c>
      <c r="O333" t="n">
        <v>0</v>
      </c>
      <c r="P333" t="n">
        <v>0</v>
      </c>
      <c r="Q333" t="n">
        <v>0</v>
      </c>
      <c r="R333" s="2" t="inlineStr"/>
    </row>
    <row r="334" ht="15" customHeight="1">
      <c r="A334" t="inlineStr">
        <is>
          <t>A 46283-2025</t>
        </is>
      </c>
      <c r="B334" s="1" t="n">
        <v>45925</v>
      </c>
      <c r="C334" s="1" t="n">
        <v>46045</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40325-2024</t>
        </is>
      </c>
      <c r="B335" s="1" t="n">
        <v>45554.88538194444</v>
      </c>
      <c r="C335" s="1" t="n">
        <v>46045</v>
      </c>
      <c r="D335" t="inlineStr">
        <is>
          <t>DALARNAS LÄN</t>
        </is>
      </c>
      <c r="E335" t="inlineStr">
        <is>
          <t>MORA</t>
        </is>
      </c>
      <c r="G335" t="n">
        <v>2.8</v>
      </c>
      <c r="H335" t="n">
        <v>0</v>
      </c>
      <c r="I335" t="n">
        <v>0</v>
      </c>
      <c r="J335" t="n">
        <v>0</v>
      </c>
      <c r="K335" t="n">
        <v>0</v>
      </c>
      <c r="L335" t="n">
        <v>0</v>
      </c>
      <c r="M335" t="n">
        <v>0</v>
      </c>
      <c r="N335" t="n">
        <v>0</v>
      </c>
      <c r="O335" t="n">
        <v>0</v>
      </c>
      <c r="P335" t="n">
        <v>0</v>
      </c>
      <c r="Q335" t="n">
        <v>0</v>
      </c>
      <c r="R335" s="2" t="inlineStr"/>
    </row>
    <row r="336" ht="15" customHeight="1">
      <c r="A336" t="inlineStr">
        <is>
          <t>A 44106-2023</t>
        </is>
      </c>
      <c r="B336" s="1" t="n">
        <v>45188</v>
      </c>
      <c r="C336" s="1" t="n">
        <v>46045</v>
      </c>
      <c r="D336" t="inlineStr">
        <is>
          <t>DALARNAS LÄN</t>
        </is>
      </c>
      <c r="E336" t="inlineStr">
        <is>
          <t>MORA</t>
        </is>
      </c>
      <c r="G336" t="n">
        <v>10.1</v>
      </c>
      <c r="H336" t="n">
        <v>0</v>
      </c>
      <c r="I336" t="n">
        <v>0</v>
      </c>
      <c r="J336" t="n">
        <v>0</v>
      </c>
      <c r="K336" t="n">
        <v>0</v>
      </c>
      <c r="L336" t="n">
        <v>0</v>
      </c>
      <c r="M336" t="n">
        <v>0</v>
      </c>
      <c r="N336" t="n">
        <v>0</v>
      </c>
      <c r="O336" t="n">
        <v>0</v>
      </c>
      <c r="P336" t="n">
        <v>0</v>
      </c>
      <c r="Q336" t="n">
        <v>0</v>
      </c>
      <c r="R336" s="2" t="inlineStr"/>
    </row>
    <row r="337" ht="15" customHeight="1">
      <c r="A337" t="inlineStr">
        <is>
          <t>A 46537-2025</t>
        </is>
      </c>
      <c r="B337" s="1" t="n">
        <v>45926.34195601852</v>
      </c>
      <c r="C337" s="1" t="n">
        <v>46045</v>
      </c>
      <c r="D337" t="inlineStr">
        <is>
          <t>DALARNAS LÄN</t>
        </is>
      </c>
      <c r="E337" t="inlineStr">
        <is>
          <t>MORA</t>
        </is>
      </c>
      <c r="G337" t="n">
        <v>10.6</v>
      </c>
      <c r="H337" t="n">
        <v>0</v>
      </c>
      <c r="I337" t="n">
        <v>0</v>
      </c>
      <c r="J337" t="n">
        <v>0</v>
      </c>
      <c r="K337" t="n">
        <v>0</v>
      </c>
      <c r="L337" t="n">
        <v>0</v>
      </c>
      <c r="M337" t="n">
        <v>0</v>
      </c>
      <c r="N337" t="n">
        <v>0</v>
      </c>
      <c r="O337" t="n">
        <v>0</v>
      </c>
      <c r="P337" t="n">
        <v>0</v>
      </c>
      <c r="Q337" t="n">
        <v>0</v>
      </c>
      <c r="R337" s="2" t="inlineStr"/>
    </row>
    <row r="338" ht="15" customHeight="1">
      <c r="A338" t="inlineStr">
        <is>
          <t>A 24335-2022</t>
        </is>
      </c>
      <c r="B338" s="1" t="n">
        <v>44725</v>
      </c>
      <c r="C338" s="1" t="n">
        <v>46045</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57091-2021</t>
        </is>
      </c>
      <c r="B339" s="1" t="n">
        <v>44482</v>
      </c>
      <c r="C339" s="1" t="n">
        <v>46045</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4994-2025</t>
        </is>
      </c>
      <c r="B340" s="1" t="n">
        <v>45691.35427083333</v>
      </c>
      <c r="C340" s="1" t="n">
        <v>46045</v>
      </c>
      <c r="D340" t="inlineStr">
        <is>
          <t>DALARNAS LÄN</t>
        </is>
      </c>
      <c r="E340" t="inlineStr">
        <is>
          <t>MORA</t>
        </is>
      </c>
      <c r="G340" t="n">
        <v>4.6</v>
      </c>
      <c r="H340" t="n">
        <v>0</v>
      </c>
      <c r="I340" t="n">
        <v>0</v>
      </c>
      <c r="J340" t="n">
        <v>0</v>
      </c>
      <c r="K340" t="n">
        <v>0</v>
      </c>
      <c r="L340" t="n">
        <v>0</v>
      </c>
      <c r="M340" t="n">
        <v>0</v>
      </c>
      <c r="N340" t="n">
        <v>0</v>
      </c>
      <c r="O340" t="n">
        <v>0</v>
      </c>
      <c r="P340" t="n">
        <v>0</v>
      </c>
      <c r="Q340" t="n">
        <v>0</v>
      </c>
      <c r="R340" s="2" t="inlineStr"/>
    </row>
    <row r="341" ht="15" customHeight="1">
      <c r="A341" t="inlineStr">
        <is>
          <t>A 47055-2025</t>
        </is>
      </c>
      <c r="B341" s="1" t="n">
        <v>45929.61931712963</v>
      </c>
      <c r="C341" s="1" t="n">
        <v>46045</v>
      </c>
      <c r="D341" t="inlineStr">
        <is>
          <t>DALARNAS LÄN</t>
        </is>
      </c>
      <c r="E341" t="inlineStr">
        <is>
          <t>MORA</t>
        </is>
      </c>
      <c r="G341" t="n">
        <v>28.1</v>
      </c>
      <c r="H341" t="n">
        <v>0</v>
      </c>
      <c r="I341" t="n">
        <v>0</v>
      </c>
      <c r="J341" t="n">
        <v>0</v>
      </c>
      <c r="K341" t="n">
        <v>0</v>
      </c>
      <c r="L341" t="n">
        <v>0</v>
      </c>
      <c r="M341" t="n">
        <v>0</v>
      </c>
      <c r="N341" t="n">
        <v>0</v>
      </c>
      <c r="O341" t="n">
        <v>0</v>
      </c>
      <c r="P341" t="n">
        <v>0</v>
      </c>
      <c r="Q341" t="n">
        <v>0</v>
      </c>
      <c r="R341" s="2" t="inlineStr"/>
    </row>
    <row r="342" ht="15" customHeight="1">
      <c r="A342" t="inlineStr">
        <is>
          <t>A 35287-2024</t>
        </is>
      </c>
      <c r="B342" s="1" t="n">
        <v>45530</v>
      </c>
      <c r="C342" s="1" t="n">
        <v>46045</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47414-2025</t>
        </is>
      </c>
      <c r="B343" s="1" t="n">
        <v>45930.61896990741</v>
      </c>
      <c r="C343" s="1" t="n">
        <v>46045</v>
      </c>
      <c r="D343" t="inlineStr">
        <is>
          <t>DALARNAS LÄN</t>
        </is>
      </c>
      <c r="E343" t="inlineStr">
        <is>
          <t>MORA</t>
        </is>
      </c>
      <c r="G343" t="n">
        <v>6.1</v>
      </c>
      <c r="H343" t="n">
        <v>0</v>
      </c>
      <c r="I343" t="n">
        <v>0</v>
      </c>
      <c r="J343" t="n">
        <v>0</v>
      </c>
      <c r="K343" t="n">
        <v>0</v>
      </c>
      <c r="L343" t="n">
        <v>0</v>
      </c>
      <c r="M343" t="n">
        <v>0</v>
      </c>
      <c r="N343" t="n">
        <v>0</v>
      </c>
      <c r="O343" t="n">
        <v>0</v>
      </c>
      <c r="P343" t="n">
        <v>0</v>
      </c>
      <c r="Q343" t="n">
        <v>0</v>
      </c>
      <c r="R343" s="2" t="inlineStr"/>
    </row>
    <row r="344" ht="15" customHeight="1">
      <c r="A344" t="inlineStr">
        <is>
          <t>A 15440-2024</t>
        </is>
      </c>
      <c r="B344" s="1" t="n">
        <v>45401.4194212963</v>
      </c>
      <c r="C344" s="1" t="n">
        <v>46045</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18702-2025</t>
        </is>
      </c>
      <c r="B345" s="1" t="n">
        <v>45763.63166666667</v>
      </c>
      <c r="C345" s="1" t="n">
        <v>46045</v>
      </c>
      <c r="D345" t="inlineStr">
        <is>
          <t>DALARNAS LÄN</t>
        </is>
      </c>
      <c r="E345" t="inlineStr">
        <is>
          <t>MORA</t>
        </is>
      </c>
      <c r="G345" t="n">
        <v>3.6</v>
      </c>
      <c r="H345" t="n">
        <v>0</v>
      </c>
      <c r="I345" t="n">
        <v>0</v>
      </c>
      <c r="J345" t="n">
        <v>0</v>
      </c>
      <c r="K345" t="n">
        <v>0</v>
      </c>
      <c r="L345" t="n">
        <v>0</v>
      </c>
      <c r="M345" t="n">
        <v>0</v>
      </c>
      <c r="N345" t="n">
        <v>0</v>
      </c>
      <c r="O345" t="n">
        <v>0</v>
      </c>
      <c r="P345" t="n">
        <v>0</v>
      </c>
      <c r="Q345" t="n">
        <v>0</v>
      </c>
      <c r="R345" s="2" t="inlineStr"/>
    </row>
    <row r="346" ht="15" customHeight="1">
      <c r="A346" t="inlineStr">
        <is>
          <t>A 11857-2023</t>
        </is>
      </c>
      <c r="B346" s="1" t="n">
        <v>44995</v>
      </c>
      <c r="C346" s="1" t="n">
        <v>46045</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15818-2024</t>
        </is>
      </c>
      <c r="B347" s="1" t="n">
        <v>45404.67442129629</v>
      </c>
      <c r="C347" s="1" t="n">
        <v>46045</v>
      </c>
      <c r="D347" t="inlineStr">
        <is>
          <t>DALARNAS LÄN</t>
        </is>
      </c>
      <c r="E347" t="inlineStr">
        <is>
          <t>MORA</t>
        </is>
      </c>
      <c r="G347" t="n">
        <v>7</v>
      </c>
      <c r="H347" t="n">
        <v>0</v>
      </c>
      <c r="I347" t="n">
        <v>0</v>
      </c>
      <c r="J347" t="n">
        <v>0</v>
      </c>
      <c r="K347" t="n">
        <v>0</v>
      </c>
      <c r="L347" t="n">
        <v>0</v>
      </c>
      <c r="M347" t="n">
        <v>0</v>
      </c>
      <c r="N347" t="n">
        <v>0</v>
      </c>
      <c r="O347" t="n">
        <v>0</v>
      </c>
      <c r="P347" t="n">
        <v>0</v>
      </c>
      <c r="Q347" t="n">
        <v>0</v>
      </c>
      <c r="R347" s="2" t="inlineStr"/>
    </row>
    <row r="348" ht="15" customHeight="1">
      <c r="A348" t="inlineStr">
        <is>
          <t>A 47072-2025</t>
        </is>
      </c>
      <c r="B348" s="1" t="n">
        <v>45929.6365162037</v>
      </c>
      <c r="C348" s="1" t="n">
        <v>46045</v>
      </c>
      <c r="D348" t="inlineStr">
        <is>
          <t>DALARNAS LÄN</t>
        </is>
      </c>
      <c r="E348" t="inlineStr">
        <is>
          <t>MORA</t>
        </is>
      </c>
      <c r="G348" t="n">
        <v>3.4</v>
      </c>
      <c r="H348" t="n">
        <v>0</v>
      </c>
      <c r="I348" t="n">
        <v>0</v>
      </c>
      <c r="J348" t="n">
        <v>0</v>
      </c>
      <c r="K348" t="n">
        <v>0</v>
      </c>
      <c r="L348" t="n">
        <v>0</v>
      </c>
      <c r="M348" t="n">
        <v>0</v>
      </c>
      <c r="N348" t="n">
        <v>0</v>
      </c>
      <c r="O348" t="n">
        <v>0</v>
      </c>
      <c r="P348" t="n">
        <v>0</v>
      </c>
      <c r="Q348" t="n">
        <v>0</v>
      </c>
      <c r="R348" s="2" t="inlineStr"/>
    </row>
    <row r="349" ht="15" customHeight="1">
      <c r="A349" t="inlineStr">
        <is>
          <t>A 45674-2024</t>
        </is>
      </c>
      <c r="B349" s="1" t="n">
        <v>45573</v>
      </c>
      <c r="C349" s="1" t="n">
        <v>46045</v>
      </c>
      <c r="D349" t="inlineStr">
        <is>
          <t>DALARNAS LÄN</t>
        </is>
      </c>
      <c r="E349" t="inlineStr">
        <is>
          <t>MORA</t>
        </is>
      </c>
      <c r="G349" t="n">
        <v>3.2</v>
      </c>
      <c r="H349" t="n">
        <v>0</v>
      </c>
      <c r="I349" t="n">
        <v>0</v>
      </c>
      <c r="J349" t="n">
        <v>0</v>
      </c>
      <c r="K349" t="n">
        <v>0</v>
      </c>
      <c r="L349" t="n">
        <v>0</v>
      </c>
      <c r="M349" t="n">
        <v>0</v>
      </c>
      <c r="N349" t="n">
        <v>0</v>
      </c>
      <c r="O349" t="n">
        <v>0</v>
      </c>
      <c r="P349" t="n">
        <v>0</v>
      </c>
      <c r="Q349" t="n">
        <v>0</v>
      </c>
      <c r="R349" s="2" t="inlineStr"/>
    </row>
    <row r="350" ht="15" customHeight="1">
      <c r="A350" t="inlineStr">
        <is>
          <t>A 47140-2025</t>
        </is>
      </c>
      <c r="B350" s="1" t="n">
        <v>45929</v>
      </c>
      <c r="C350" s="1" t="n">
        <v>46045</v>
      </c>
      <c r="D350" t="inlineStr">
        <is>
          <t>DALARNAS LÄN</t>
        </is>
      </c>
      <c r="E350" t="inlineStr">
        <is>
          <t>MORA</t>
        </is>
      </c>
      <c r="G350" t="n">
        <v>6.7</v>
      </c>
      <c r="H350" t="n">
        <v>0</v>
      </c>
      <c r="I350" t="n">
        <v>0</v>
      </c>
      <c r="J350" t="n">
        <v>0</v>
      </c>
      <c r="K350" t="n">
        <v>0</v>
      </c>
      <c r="L350" t="n">
        <v>0</v>
      </c>
      <c r="M350" t="n">
        <v>0</v>
      </c>
      <c r="N350" t="n">
        <v>0</v>
      </c>
      <c r="O350" t="n">
        <v>0</v>
      </c>
      <c r="P350" t="n">
        <v>0</v>
      </c>
      <c r="Q350" t="n">
        <v>0</v>
      </c>
      <c r="R350" s="2" t="inlineStr"/>
    </row>
    <row r="351" ht="15" customHeight="1">
      <c r="A351" t="inlineStr">
        <is>
          <t>A 21890-2025</t>
        </is>
      </c>
      <c r="B351" s="1" t="n">
        <v>45784.44481481481</v>
      </c>
      <c r="C351" s="1" t="n">
        <v>46045</v>
      </c>
      <c r="D351" t="inlineStr">
        <is>
          <t>DALARNAS LÄN</t>
        </is>
      </c>
      <c r="E351" t="inlineStr">
        <is>
          <t>MORA</t>
        </is>
      </c>
      <c r="G351" t="n">
        <v>3.8</v>
      </c>
      <c r="H351" t="n">
        <v>0</v>
      </c>
      <c r="I351" t="n">
        <v>0</v>
      </c>
      <c r="J351" t="n">
        <v>0</v>
      </c>
      <c r="K351" t="n">
        <v>0</v>
      </c>
      <c r="L351" t="n">
        <v>0</v>
      </c>
      <c r="M351" t="n">
        <v>0</v>
      </c>
      <c r="N351" t="n">
        <v>0</v>
      </c>
      <c r="O351" t="n">
        <v>0</v>
      </c>
      <c r="P351" t="n">
        <v>0</v>
      </c>
      <c r="Q351" t="n">
        <v>0</v>
      </c>
      <c r="R351" s="2" t="inlineStr"/>
    </row>
    <row r="352" ht="15" customHeight="1">
      <c r="A352" t="inlineStr">
        <is>
          <t>A 21895-2025</t>
        </is>
      </c>
      <c r="B352" s="1" t="n">
        <v>45784.45273148148</v>
      </c>
      <c r="C352" s="1" t="n">
        <v>46045</v>
      </c>
      <c r="D352" t="inlineStr">
        <is>
          <t>DALARNAS LÄN</t>
        </is>
      </c>
      <c r="E352" t="inlineStr">
        <is>
          <t>MORA</t>
        </is>
      </c>
      <c r="G352" t="n">
        <v>0.4</v>
      </c>
      <c r="H352" t="n">
        <v>0</v>
      </c>
      <c r="I352" t="n">
        <v>0</v>
      </c>
      <c r="J352" t="n">
        <v>0</v>
      </c>
      <c r="K352" t="n">
        <v>0</v>
      </c>
      <c r="L352" t="n">
        <v>0</v>
      </c>
      <c r="M352" t="n">
        <v>0</v>
      </c>
      <c r="N352" t="n">
        <v>0</v>
      </c>
      <c r="O352" t="n">
        <v>0</v>
      </c>
      <c r="P352" t="n">
        <v>0</v>
      </c>
      <c r="Q352" t="n">
        <v>0</v>
      </c>
      <c r="R352" s="2" t="inlineStr"/>
    </row>
    <row r="353" ht="15" customHeight="1">
      <c r="A353" t="inlineStr">
        <is>
          <t>A 45390-2024</t>
        </is>
      </c>
      <c r="B353" s="1" t="n">
        <v>45576.54820601852</v>
      </c>
      <c r="C353" s="1" t="n">
        <v>46045</v>
      </c>
      <c r="D353" t="inlineStr">
        <is>
          <t>DALARNAS LÄN</t>
        </is>
      </c>
      <c r="E353" t="inlineStr">
        <is>
          <t>MORA</t>
        </is>
      </c>
      <c r="F353" t="inlineStr">
        <is>
          <t>Bergvik skog väst AB</t>
        </is>
      </c>
      <c r="G353" t="n">
        <v>5.6</v>
      </c>
      <c r="H353" t="n">
        <v>0</v>
      </c>
      <c r="I353" t="n">
        <v>0</v>
      </c>
      <c r="J353" t="n">
        <v>0</v>
      </c>
      <c r="K353" t="n">
        <v>0</v>
      </c>
      <c r="L353" t="n">
        <v>0</v>
      </c>
      <c r="M353" t="n">
        <v>0</v>
      </c>
      <c r="N353" t="n">
        <v>0</v>
      </c>
      <c r="O353" t="n">
        <v>0</v>
      </c>
      <c r="P353" t="n">
        <v>0</v>
      </c>
      <c r="Q353" t="n">
        <v>0</v>
      </c>
      <c r="R353" s="2" t="inlineStr"/>
    </row>
    <row r="354" ht="15" customHeight="1">
      <c r="A354" t="inlineStr">
        <is>
          <t>A 21894-2025</t>
        </is>
      </c>
      <c r="B354" s="1" t="n">
        <v>45784.45060185185</v>
      </c>
      <c r="C354" s="1" t="n">
        <v>46045</v>
      </c>
      <c r="D354" t="inlineStr">
        <is>
          <t>DALARNAS LÄN</t>
        </is>
      </c>
      <c r="E354" t="inlineStr">
        <is>
          <t>MORA</t>
        </is>
      </c>
      <c r="G354" t="n">
        <v>0.7</v>
      </c>
      <c r="H354" t="n">
        <v>0</v>
      </c>
      <c r="I354" t="n">
        <v>0</v>
      </c>
      <c r="J354" t="n">
        <v>0</v>
      </c>
      <c r="K354" t="n">
        <v>0</v>
      </c>
      <c r="L354" t="n">
        <v>0</v>
      </c>
      <c r="M354" t="n">
        <v>0</v>
      </c>
      <c r="N354" t="n">
        <v>0</v>
      </c>
      <c r="O354" t="n">
        <v>0</v>
      </c>
      <c r="P354" t="n">
        <v>0</v>
      </c>
      <c r="Q354" t="n">
        <v>0</v>
      </c>
      <c r="R354" s="2" t="inlineStr"/>
    </row>
    <row r="355" ht="15" customHeight="1">
      <c r="A355" t="inlineStr">
        <is>
          <t>A 47769-2025</t>
        </is>
      </c>
      <c r="B355" s="1" t="n">
        <v>45931.70715277778</v>
      </c>
      <c r="C355" s="1" t="n">
        <v>46045</v>
      </c>
      <c r="D355" t="inlineStr">
        <is>
          <t>DALARNAS LÄN</t>
        </is>
      </c>
      <c r="E355" t="inlineStr">
        <is>
          <t>MORA</t>
        </is>
      </c>
      <c r="G355" t="n">
        <v>6.7</v>
      </c>
      <c r="H355" t="n">
        <v>0</v>
      </c>
      <c r="I355" t="n">
        <v>0</v>
      </c>
      <c r="J355" t="n">
        <v>0</v>
      </c>
      <c r="K355" t="n">
        <v>0</v>
      </c>
      <c r="L355" t="n">
        <v>0</v>
      </c>
      <c r="M355" t="n">
        <v>0</v>
      </c>
      <c r="N355" t="n">
        <v>0</v>
      </c>
      <c r="O355" t="n">
        <v>0</v>
      </c>
      <c r="P355" t="n">
        <v>0</v>
      </c>
      <c r="Q355" t="n">
        <v>0</v>
      </c>
      <c r="R355" s="2" t="inlineStr"/>
    </row>
    <row r="356" ht="15" customHeight="1">
      <c r="A356" t="inlineStr">
        <is>
          <t>A 19756-2022</t>
        </is>
      </c>
      <c r="B356" s="1" t="n">
        <v>44694.62913194444</v>
      </c>
      <c r="C356" s="1" t="n">
        <v>46045</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12478-2025</t>
        </is>
      </c>
      <c r="B357" s="1" t="n">
        <v>45730.57429398148</v>
      </c>
      <c r="C357" s="1" t="n">
        <v>46045</v>
      </c>
      <c r="D357" t="inlineStr">
        <is>
          <t>DALARNAS LÄN</t>
        </is>
      </c>
      <c r="E357" t="inlineStr">
        <is>
          <t>MORA</t>
        </is>
      </c>
      <c r="F357" t="inlineStr">
        <is>
          <t>Bergvik skog öst AB</t>
        </is>
      </c>
      <c r="G357" t="n">
        <v>1.6</v>
      </c>
      <c r="H357" t="n">
        <v>0</v>
      </c>
      <c r="I357" t="n">
        <v>0</v>
      </c>
      <c r="J357" t="n">
        <v>0</v>
      </c>
      <c r="K357" t="n">
        <v>0</v>
      </c>
      <c r="L357" t="n">
        <v>0</v>
      </c>
      <c r="M357" t="n">
        <v>0</v>
      </c>
      <c r="N357" t="n">
        <v>0</v>
      </c>
      <c r="O357" t="n">
        <v>0</v>
      </c>
      <c r="P357" t="n">
        <v>0</v>
      </c>
      <c r="Q357" t="n">
        <v>0</v>
      </c>
      <c r="R357" s="2" t="inlineStr"/>
    </row>
    <row r="358" ht="15" customHeight="1">
      <c r="A358" t="inlineStr">
        <is>
          <t>A 5216-2025</t>
        </is>
      </c>
      <c r="B358" s="1" t="n">
        <v>45691.69671296296</v>
      </c>
      <c r="C358" s="1" t="n">
        <v>46045</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53344-2023</t>
        </is>
      </c>
      <c r="B359" s="1" t="n">
        <v>45229</v>
      </c>
      <c r="C359" s="1" t="n">
        <v>46045</v>
      </c>
      <c r="D359" t="inlineStr">
        <is>
          <t>DALARNAS LÄN</t>
        </is>
      </c>
      <c r="E359" t="inlineStr">
        <is>
          <t>MORA</t>
        </is>
      </c>
      <c r="G359" t="n">
        <v>2.4</v>
      </c>
      <c r="H359" t="n">
        <v>0</v>
      </c>
      <c r="I359" t="n">
        <v>0</v>
      </c>
      <c r="J359" t="n">
        <v>0</v>
      </c>
      <c r="K359" t="n">
        <v>0</v>
      </c>
      <c r="L359" t="n">
        <v>0</v>
      </c>
      <c r="M359" t="n">
        <v>0</v>
      </c>
      <c r="N359" t="n">
        <v>0</v>
      </c>
      <c r="O359" t="n">
        <v>0</v>
      </c>
      <c r="P359" t="n">
        <v>0</v>
      </c>
      <c r="Q359" t="n">
        <v>0</v>
      </c>
      <c r="R359" s="2" t="inlineStr"/>
    </row>
    <row r="360" ht="15" customHeight="1">
      <c r="A360" t="inlineStr">
        <is>
          <t>A 47765-2025</t>
        </is>
      </c>
      <c r="B360" s="1" t="n">
        <v>45931.69100694444</v>
      </c>
      <c r="C360" s="1" t="n">
        <v>46045</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47860-2025</t>
        </is>
      </c>
      <c r="B361" s="1" t="n">
        <v>45932.42298611111</v>
      </c>
      <c r="C361" s="1" t="n">
        <v>46045</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48376-2025</t>
        </is>
      </c>
      <c r="B362" s="1" t="n">
        <v>45933.71648148148</v>
      </c>
      <c r="C362" s="1" t="n">
        <v>46045</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48377-2025</t>
        </is>
      </c>
      <c r="B363" s="1" t="n">
        <v>45933.71896990741</v>
      </c>
      <c r="C363" s="1" t="n">
        <v>46045</v>
      </c>
      <c r="D363" t="inlineStr">
        <is>
          <t>DALARNAS LÄN</t>
        </is>
      </c>
      <c r="E363" t="inlineStr">
        <is>
          <t>MORA</t>
        </is>
      </c>
      <c r="G363" t="n">
        <v>2</v>
      </c>
      <c r="H363" t="n">
        <v>0</v>
      </c>
      <c r="I363" t="n">
        <v>0</v>
      </c>
      <c r="J363" t="n">
        <v>0</v>
      </c>
      <c r="K363" t="n">
        <v>0</v>
      </c>
      <c r="L363" t="n">
        <v>0</v>
      </c>
      <c r="M363" t="n">
        <v>0</v>
      </c>
      <c r="N363" t="n">
        <v>0</v>
      </c>
      <c r="O363" t="n">
        <v>0</v>
      </c>
      <c r="P363" t="n">
        <v>0</v>
      </c>
      <c r="Q363" t="n">
        <v>0</v>
      </c>
      <c r="R363" s="2" t="inlineStr"/>
    </row>
    <row r="364" ht="15" customHeight="1">
      <c r="A364" t="inlineStr">
        <is>
          <t>A 16573-2024</t>
        </is>
      </c>
      <c r="B364" s="1" t="n">
        <v>45408.46980324074</v>
      </c>
      <c r="C364" s="1" t="n">
        <v>46045</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22409-2025</t>
        </is>
      </c>
      <c r="B365" s="1" t="n">
        <v>45786.54940972223</v>
      </c>
      <c r="C365" s="1" t="n">
        <v>46045</v>
      </c>
      <c r="D365" t="inlineStr">
        <is>
          <t>DALARNAS LÄN</t>
        </is>
      </c>
      <c r="E365" t="inlineStr">
        <is>
          <t>MORA</t>
        </is>
      </c>
      <c r="F365" t="inlineStr">
        <is>
          <t>Bergvik skog öst AB</t>
        </is>
      </c>
      <c r="G365" t="n">
        <v>5</v>
      </c>
      <c r="H365" t="n">
        <v>0</v>
      </c>
      <c r="I365" t="n">
        <v>0</v>
      </c>
      <c r="J365" t="n">
        <v>0</v>
      </c>
      <c r="K365" t="n">
        <v>0</v>
      </c>
      <c r="L365" t="n">
        <v>0</v>
      </c>
      <c r="M365" t="n">
        <v>0</v>
      </c>
      <c r="N365" t="n">
        <v>0</v>
      </c>
      <c r="O365" t="n">
        <v>0</v>
      </c>
      <c r="P365" t="n">
        <v>0</v>
      </c>
      <c r="Q365" t="n">
        <v>0</v>
      </c>
      <c r="R365" s="2" t="inlineStr"/>
    </row>
    <row r="366" ht="15" customHeight="1">
      <c r="A366" t="inlineStr">
        <is>
          <t>A 47716-2025</t>
        </is>
      </c>
      <c r="B366" s="1" t="n">
        <v>45931</v>
      </c>
      <c r="C366" s="1" t="n">
        <v>46045</v>
      </c>
      <c r="D366" t="inlineStr">
        <is>
          <t>DALARNAS LÄN</t>
        </is>
      </c>
      <c r="E366" t="inlineStr">
        <is>
          <t>MORA</t>
        </is>
      </c>
      <c r="G366" t="n">
        <v>8.9</v>
      </c>
      <c r="H366" t="n">
        <v>0</v>
      </c>
      <c r="I366" t="n">
        <v>0</v>
      </c>
      <c r="J366" t="n">
        <v>0</v>
      </c>
      <c r="K366" t="n">
        <v>0</v>
      </c>
      <c r="L366" t="n">
        <v>0</v>
      </c>
      <c r="M366" t="n">
        <v>0</v>
      </c>
      <c r="N366" t="n">
        <v>0</v>
      </c>
      <c r="O366" t="n">
        <v>0</v>
      </c>
      <c r="P366" t="n">
        <v>0</v>
      </c>
      <c r="Q366" t="n">
        <v>0</v>
      </c>
      <c r="R366" s="2" t="inlineStr"/>
    </row>
    <row r="367" ht="15" customHeight="1">
      <c r="A367" t="inlineStr">
        <is>
          <t>A 30030-2021</t>
        </is>
      </c>
      <c r="B367" s="1" t="n">
        <v>44363</v>
      </c>
      <c r="C367" s="1" t="n">
        <v>46045</v>
      </c>
      <c r="D367" t="inlineStr">
        <is>
          <t>DALARNAS LÄN</t>
        </is>
      </c>
      <c r="E367" t="inlineStr">
        <is>
          <t>MORA</t>
        </is>
      </c>
      <c r="G367" t="n">
        <v>7.1</v>
      </c>
      <c r="H367" t="n">
        <v>0</v>
      </c>
      <c r="I367" t="n">
        <v>0</v>
      </c>
      <c r="J367" t="n">
        <v>0</v>
      </c>
      <c r="K367" t="n">
        <v>0</v>
      </c>
      <c r="L367" t="n">
        <v>0</v>
      </c>
      <c r="M367" t="n">
        <v>0</v>
      </c>
      <c r="N367" t="n">
        <v>0</v>
      </c>
      <c r="O367" t="n">
        <v>0</v>
      </c>
      <c r="P367" t="n">
        <v>0</v>
      </c>
      <c r="Q367" t="n">
        <v>0</v>
      </c>
      <c r="R367" s="2" t="inlineStr"/>
    </row>
    <row r="368" ht="15" customHeight="1">
      <c r="A368" t="inlineStr">
        <is>
          <t>A 31085-2024</t>
        </is>
      </c>
      <c r="B368" s="1" t="n">
        <v>45502.48047453703</v>
      </c>
      <c r="C368" s="1" t="n">
        <v>46045</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59448-2022</t>
        </is>
      </c>
      <c r="B369" s="1" t="n">
        <v>44907</v>
      </c>
      <c r="C369" s="1" t="n">
        <v>46045</v>
      </c>
      <c r="D369" t="inlineStr">
        <is>
          <t>DALARNAS LÄN</t>
        </is>
      </c>
      <c r="E369" t="inlineStr">
        <is>
          <t>MORA</t>
        </is>
      </c>
      <c r="G369" t="n">
        <v>35.7</v>
      </c>
      <c r="H369" t="n">
        <v>0</v>
      </c>
      <c r="I369" t="n">
        <v>0</v>
      </c>
      <c r="J369" t="n">
        <v>0</v>
      </c>
      <c r="K369" t="n">
        <v>0</v>
      </c>
      <c r="L369" t="n">
        <v>0</v>
      </c>
      <c r="M369" t="n">
        <v>0</v>
      </c>
      <c r="N369" t="n">
        <v>0</v>
      </c>
      <c r="O369" t="n">
        <v>0</v>
      </c>
      <c r="P369" t="n">
        <v>0</v>
      </c>
      <c r="Q369" t="n">
        <v>0</v>
      </c>
      <c r="R369" s="2" t="inlineStr"/>
    </row>
    <row r="370" ht="15" customHeight="1">
      <c r="A370" t="inlineStr">
        <is>
          <t>A 57797-2022</t>
        </is>
      </c>
      <c r="B370" s="1" t="n">
        <v>44897</v>
      </c>
      <c r="C370" s="1" t="n">
        <v>46045</v>
      </c>
      <c r="D370" t="inlineStr">
        <is>
          <t>DALARNAS LÄN</t>
        </is>
      </c>
      <c r="E370" t="inlineStr">
        <is>
          <t>MORA</t>
        </is>
      </c>
      <c r="G370" t="n">
        <v>3.1</v>
      </c>
      <c r="H370" t="n">
        <v>0</v>
      </c>
      <c r="I370" t="n">
        <v>0</v>
      </c>
      <c r="J370" t="n">
        <v>0</v>
      </c>
      <c r="K370" t="n">
        <v>0</v>
      </c>
      <c r="L370" t="n">
        <v>0</v>
      </c>
      <c r="M370" t="n">
        <v>0</v>
      </c>
      <c r="N370" t="n">
        <v>0</v>
      </c>
      <c r="O370" t="n">
        <v>0</v>
      </c>
      <c r="P370" t="n">
        <v>0</v>
      </c>
      <c r="Q370" t="n">
        <v>0</v>
      </c>
      <c r="R370" s="2" t="inlineStr"/>
    </row>
    <row r="371" ht="15" customHeight="1">
      <c r="A371" t="inlineStr">
        <is>
          <t>A 40286-2024</t>
        </is>
      </c>
      <c r="B371" s="1" t="n">
        <v>45554.6687037037</v>
      </c>
      <c r="C371" s="1" t="n">
        <v>46045</v>
      </c>
      <c r="D371" t="inlineStr">
        <is>
          <t>DALARNAS LÄN</t>
        </is>
      </c>
      <c r="E371" t="inlineStr">
        <is>
          <t>MORA</t>
        </is>
      </c>
      <c r="G371" t="n">
        <v>0.4</v>
      </c>
      <c r="H371" t="n">
        <v>0</v>
      </c>
      <c r="I371" t="n">
        <v>0</v>
      </c>
      <c r="J371" t="n">
        <v>0</v>
      </c>
      <c r="K371" t="n">
        <v>0</v>
      </c>
      <c r="L371" t="n">
        <v>0</v>
      </c>
      <c r="M371" t="n">
        <v>0</v>
      </c>
      <c r="N371" t="n">
        <v>0</v>
      </c>
      <c r="O371" t="n">
        <v>0</v>
      </c>
      <c r="P371" t="n">
        <v>0</v>
      </c>
      <c r="Q371" t="n">
        <v>0</v>
      </c>
      <c r="R371" s="2" t="inlineStr"/>
    </row>
    <row r="372" ht="15" customHeight="1">
      <c r="A372" t="inlineStr">
        <is>
          <t>A 48927-2025</t>
        </is>
      </c>
      <c r="B372" s="1" t="n">
        <v>45931</v>
      </c>
      <c r="C372" s="1" t="n">
        <v>46045</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48824-2023</t>
        </is>
      </c>
      <c r="B373" s="1" t="n">
        <v>45203</v>
      </c>
      <c r="C373" s="1" t="n">
        <v>46045</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46045</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20504-2023</t>
        </is>
      </c>
      <c r="B375" s="1" t="n">
        <v>45057</v>
      </c>
      <c r="C375" s="1" t="n">
        <v>46045</v>
      </c>
      <c r="D375" t="inlineStr">
        <is>
          <t>DALARNAS LÄN</t>
        </is>
      </c>
      <c r="E375" t="inlineStr">
        <is>
          <t>MORA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44595-2024</t>
        </is>
      </c>
      <c r="B376" s="1" t="n">
        <v>45574.51053240741</v>
      </c>
      <c r="C376" s="1" t="n">
        <v>46045</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49404-2025</t>
        </is>
      </c>
      <c r="B377" s="1" t="n">
        <v>45938.67662037037</v>
      </c>
      <c r="C377" s="1" t="n">
        <v>46045</v>
      </c>
      <c r="D377" t="inlineStr">
        <is>
          <t>DALARNAS LÄN</t>
        </is>
      </c>
      <c r="E377" t="inlineStr">
        <is>
          <t>MORA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48929-2025</t>
        </is>
      </c>
      <c r="B378" s="1" t="n">
        <v>45937.51315972222</v>
      </c>
      <c r="C378" s="1" t="n">
        <v>46045</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11193-2025</t>
        </is>
      </c>
      <c r="B379" s="1" t="n">
        <v>45725</v>
      </c>
      <c r="C379" s="1" t="n">
        <v>46045</v>
      </c>
      <c r="D379" t="inlineStr">
        <is>
          <t>DALARNAS LÄN</t>
        </is>
      </c>
      <c r="E379" t="inlineStr">
        <is>
          <t>MORA</t>
        </is>
      </c>
      <c r="G379" t="n">
        <v>4.1</v>
      </c>
      <c r="H379" t="n">
        <v>0</v>
      </c>
      <c r="I379" t="n">
        <v>0</v>
      </c>
      <c r="J379" t="n">
        <v>0</v>
      </c>
      <c r="K379" t="n">
        <v>0</v>
      </c>
      <c r="L379" t="n">
        <v>0</v>
      </c>
      <c r="M379" t="n">
        <v>0</v>
      </c>
      <c r="N379" t="n">
        <v>0</v>
      </c>
      <c r="O379" t="n">
        <v>0</v>
      </c>
      <c r="P379" t="n">
        <v>0</v>
      </c>
      <c r="Q379" t="n">
        <v>0</v>
      </c>
      <c r="R379" s="2" t="inlineStr"/>
    </row>
    <row r="380" ht="15" customHeight="1">
      <c r="A380" t="inlineStr">
        <is>
          <t>A 22354-2025</t>
        </is>
      </c>
      <c r="B380" s="1" t="n">
        <v>45786.45721064815</v>
      </c>
      <c r="C380" s="1" t="n">
        <v>46045</v>
      </c>
      <c r="D380" t="inlineStr">
        <is>
          <t>DALARNAS LÄN</t>
        </is>
      </c>
      <c r="E380" t="inlineStr">
        <is>
          <t>MORA</t>
        </is>
      </c>
      <c r="F380" t="inlineStr">
        <is>
          <t>Bergvik skog öst AB</t>
        </is>
      </c>
      <c r="G380" t="n">
        <v>2</v>
      </c>
      <c r="H380" t="n">
        <v>0</v>
      </c>
      <c r="I380" t="n">
        <v>0</v>
      </c>
      <c r="J380" t="n">
        <v>0</v>
      </c>
      <c r="K380" t="n">
        <v>0</v>
      </c>
      <c r="L380" t="n">
        <v>0</v>
      </c>
      <c r="M380" t="n">
        <v>0</v>
      </c>
      <c r="N380" t="n">
        <v>0</v>
      </c>
      <c r="O380" t="n">
        <v>0</v>
      </c>
      <c r="P380" t="n">
        <v>0</v>
      </c>
      <c r="Q380" t="n">
        <v>0</v>
      </c>
      <c r="R380" s="2" t="inlineStr"/>
    </row>
    <row r="381" ht="15" customHeight="1">
      <c r="A381" t="inlineStr">
        <is>
          <t>A 43566-2023</t>
        </is>
      </c>
      <c r="B381" s="1" t="n">
        <v>45184.58199074074</v>
      </c>
      <c r="C381" s="1" t="n">
        <v>46045</v>
      </c>
      <c r="D381" t="inlineStr">
        <is>
          <t>DALARNAS LÄN</t>
        </is>
      </c>
      <c r="E381" t="inlineStr">
        <is>
          <t>MORA</t>
        </is>
      </c>
      <c r="F381" t="inlineStr">
        <is>
          <t>Bergvik skog väst AB</t>
        </is>
      </c>
      <c r="G381" t="n">
        <v>4.3</v>
      </c>
      <c r="H381" t="n">
        <v>0</v>
      </c>
      <c r="I381" t="n">
        <v>0</v>
      </c>
      <c r="J381" t="n">
        <v>0</v>
      </c>
      <c r="K381" t="n">
        <v>0</v>
      </c>
      <c r="L381" t="n">
        <v>0</v>
      </c>
      <c r="M381" t="n">
        <v>0</v>
      </c>
      <c r="N381" t="n">
        <v>0</v>
      </c>
      <c r="O381" t="n">
        <v>0</v>
      </c>
      <c r="P381" t="n">
        <v>0</v>
      </c>
      <c r="Q381" t="n">
        <v>0</v>
      </c>
      <c r="R381" s="2" t="inlineStr"/>
    </row>
    <row r="382" ht="15" customHeight="1">
      <c r="A382" t="inlineStr">
        <is>
          <t>A 49401-2025</t>
        </is>
      </c>
      <c r="B382" s="1" t="n">
        <v>45938.66932870371</v>
      </c>
      <c r="C382" s="1" t="n">
        <v>46045</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44071-2024</t>
        </is>
      </c>
      <c r="B383" s="1" t="n">
        <v>45572.60915509259</v>
      </c>
      <c r="C383" s="1" t="n">
        <v>46045</v>
      </c>
      <c r="D383" t="inlineStr">
        <is>
          <t>DALARNAS LÄN</t>
        </is>
      </c>
      <c r="E383" t="inlineStr">
        <is>
          <t>MORA</t>
        </is>
      </c>
      <c r="G383" t="n">
        <v>4.5</v>
      </c>
      <c r="H383" t="n">
        <v>0</v>
      </c>
      <c r="I383" t="n">
        <v>0</v>
      </c>
      <c r="J383" t="n">
        <v>0</v>
      </c>
      <c r="K383" t="n">
        <v>0</v>
      </c>
      <c r="L383" t="n">
        <v>0</v>
      </c>
      <c r="M383" t="n">
        <v>0</v>
      </c>
      <c r="N383" t="n">
        <v>0</v>
      </c>
      <c r="O383" t="n">
        <v>0</v>
      </c>
      <c r="P383" t="n">
        <v>0</v>
      </c>
      <c r="Q383" t="n">
        <v>0</v>
      </c>
      <c r="R383" s="2" t="inlineStr"/>
    </row>
    <row r="384" ht="15" customHeight="1">
      <c r="A384" t="inlineStr">
        <is>
          <t>A 8153-2021</t>
        </is>
      </c>
      <c r="B384" s="1" t="n">
        <v>44244</v>
      </c>
      <c r="C384" s="1" t="n">
        <v>46045</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12490-2025</t>
        </is>
      </c>
      <c r="B385" s="1" t="n">
        <v>45730.59239583334</v>
      </c>
      <c r="C385" s="1" t="n">
        <v>46045</v>
      </c>
      <c r="D385" t="inlineStr">
        <is>
          <t>DALARNAS LÄN</t>
        </is>
      </c>
      <c r="E385" t="inlineStr">
        <is>
          <t>MORA</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48926-2025</t>
        </is>
      </c>
      <c r="B386" s="1" t="n">
        <v>45937.50666666667</v>
      </c>
      <c r="C386" s="1" t="n">
        <v>46045</v>
      </c>
      <c r="D386" t="inlineStr">
        <is>
          <t>DALARNAS LÄN</t>
        </is>
      </c>
      <c r="E386" t="inlineStr">
        <is>
          <t>MORA</t>
        </is>
      </c>
      <c r="G386" t="n">
        <v>0.6</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46045</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49574-2025</t>
        </is>
      </c>
      <c r="B388" s="1" t="n">
        <v>45939.49045138889</v>
      </c>
      <c r="C388" s="1" t="n">
        <v>46045</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49828-2025</t>
        </is>
      </c>
      <c r="B389" s="1" t="n">
        <v>45940.44993055556</v>
      </c>
      <c r="C389" s="1" t="n">
        <v>46045</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56900-2024</t>
        </is>
      </c>
      <c r="B390" s="1" t="n">
        <v>45625</v>
      </c>
      <c r="C390" s="1" t="n">
        <v>46045</v>
      </c>
      <c r="D390" t="inlineStr">
        <is>
          <t>DALARNAS LÄN</t>
        </is>
      </c>
      <c r="E390" t="inlineStr">
        <is>
          <t>MORA</t>
        </is>
      </c>
      <c r="G390" t="n">
        <v>2.7</v>
      </c>
      <c r="H390" t="n">
        <v>0</v>
      </c>
      <c r="I390" t="n">
        <v>0</v>
      </c>
      <c r="J390" t="n">
        <v>0</v>
      </c>
      <c r="K390" t="n">
        <v>0</v>
      </c>
      <c r="L390" t="n">
        <v>0</v>
      </c>
      <c r="M390" t="n">
        <v>0</v>
      </c>
      <c r="N390" t="n">
        <v>0</v>
      </c>
      <c r="O390" t="n">
        <v>0</v>
      </c>
      <c r="P390" t="n">
        <v>0</v>
      </c>
      <c r="Q390" t="n">
        <v>0</v>
      </c>
      <c r="R390" s="2" t="inlineStr"/>
    </row>
    <row r="391" ht="15" customHeight="1">
      <c r="A391" t="inlineStr">
        <is>
          <t>A 56927-2024</t>
        </is>
      </c>
      <c r="B391" s="1" t="n">
        <v>45625</v>
      </c>
      <c r="C391" s="1" t="n">
        <v>46045</v>
      </c>
      <c r="D391" t="inlineStr">
        <is>
          <t>DALARNAS LÄN</t>
        </is>
      </c>
      <c r="E391" t="inlineStr">
        <is>
          <t>MORA</t>
        </is>
      </c>
      <c r="G391" t="n">
        <v>2.8</v>
      </c>
      <c r="H391" t="n">
        <v>0</v>
      </c>
      <c r="I391" t="n">
        <v>0</v>
      </c>
      <c r="J391" t="n">
        <v>0</v>
      </c>
      <c r="K391" t="n">
        <v>0</v>
      </c>
      <c r="L391" t="n">
        <v>0</v>
      </c>
      <c r="M391" t="n">
        <v>0</v>
      </c>
      <c r="N391" t="n">
        <v>0</v>
      </c>
      <c r="O391" t="n">
        <v>0</v>
      </c>
      <c r="P391" t="n">
        <v>0</v>
      </c>
      <c r="Q391" t="n">
        <v>0</v>
      </c>
      <c r="R391" s="2" t="inlineStr"/>
    </row>
    <row r="392" ht="15" customHeight="1">
      <c r="A392" t="inlineStr">
        <is>
          <t>A 47686-2025</t>
        </is>
      </c>
      <c r="B392" s="1" t="n">
        <v>45931</v>
      </c>
      <c r="C392" s="1" t="n">
        <v>46045</v>
      </c>
      <c r="D392" t="inlineStr">
        <is>
          <t>DALARNAS LÄN</t>
        </is>
      </c>
      <c r="E392" t="inlineStr">
        <is>
          <t>MORA</t>
        </is>
      </c>
      <c r="G392" t="n">
        <v>1.3</v>
      </c>
      <c r="H392" t="n">
        <v>0</v>
      </c>
      <c r="I392" t="n">
        <v>0</v>
      </c>
      <c r="J392" t="n">
        <v>0</v>
      </c>
      <c r="K392" t="n">
        <v>0</v>
      </c>
      <c r="L392" t="n">
        <v>0</v>
      </c>
      <c r="M392" t="n">
        <v>0</v>
      </c>
      <c r="N392" t="n">
        <v>0</v>
      </c>
      <c r="O392" t="n">
        <v>0</v>
      </c>
      <c r="P392" t="n">
        <v>0</v>
      </c>
      <c r="Q392" t="n">
        <v>0</v>
      </c>
      <c r="R392" s="2" t="inlineStr"/>
    </row>
    <row r="393" ht="15" customHeight="1">
      <c r="A393" t="inlineStr">
        <is>
          <t>A 54192-2023</t>
        </is>
      </c>
      <c r="B393" s="1" t="n">
        <v>45232.53052083333</v>
      </c>
      <c r="C393" s="1" t="n">
        <v>46045</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59404-2024</t>
        </is>
      </c>
      <c r="B394" s="1" t="n">
        <v>45638</v>
      </c>
      <c r="C394" s="1" t="n">
        <v>46045</v>
      </c>
      <c r="D394" t="inlineStr">
        <is>
          <t>DALARNAS LÄN</t>
        </is>
      </c>
      <c r="E394" t="inlineStr">
        <is>
          <t>MORA</t>
        </is>
      </c>
      <c r="G394" t="n">
        <v>2.6</v>
      </c>
      <c r="H394" t="n">
        <v>0</v>
      </c>
      <c r="I394" t="n">
        <v>0</v>
      </c>
      <c r="J394" t="n">
        <v>0</v>
      </c>
      <c r="K394" t="n">
        <v>0</v>
      </c>
      <c r="L394" t="n">
        <v>0</v>
      </c>
      <c r="M394" t="n">
        <v>0</v>
      </c>
      <c r="N394" t="n">
        <v>0</v>
      </c>
      <c r="O394" t="n">
        <v>0</v>
      </c>
      <c r="P394" t="n">
        <v>0</v>
      </c>
      <c r="Q394" t="n">
        <v>0</v>
      </c>
      <c r="R394" s="2" t="inlineStr"/>
    </row>
    <row r="395" ht="15" customHeight="1">
      <c r="A395" t="inlineStr">
        <is>
          <t>A 22185-2025</t>
        </is>
      </c>
      <c r="B395" s="1" t="n">
        <v>45785</v>
      </c>
      <c r="C395" s="1" t="n">
        <v>46045</v>
      </c>
      <c r="D395" t="inlineStr">
        <is>
          <t>DALARNAS LÄN</t>
        </is>
      </c>
      <c r="E395" t="inlineStr">
        <is>
          <t>MORA</t>
        </is>
      </c>
      <c r="G395" t="n">
        <v>2.4</v>
      </c>
      <c r="H395" t="n">
        <v>0</v>
      </c>
      <c r="I395" t="n">
        <v>0</v>
      </c>
      <c r="J395" t="n">
        <v>0</v>
      </c>
      <c r="K395" t="n">
        <v>0</v>
      </c>
      <c r="L395" t="n">
        <v>0</v>
      </c>
      <c r="M395" t="n">
        <v>0</v>
      </c>
      <c r="N395" t="n">
        <v>0</v>
      </c>
      <c r="O395" t="n">
        <v>0</v>
      </c>
      <c r="P395" t="n">
        <v>0</v>
      </c>
      <c r="Q395" t="n">
        <v>0</v>
      </c>
      <c r="R395" s="2" t="inlineStr"/>
    </row>
    <row r="396" ht="15" customHeight="1">
      <c r="A396" t="inlineStr">
        <is>
          <t>A 23368-2025</t>
        </is>
      </c>
      <c r="B396" s="1" t="n">
        <v>45791.70299768518</v>
      </c>
      <c r="C396" s="1" t="n">
        <v>46045</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56935-2024</t>
        </is>
      </c>
      <c r="B397" s="1" t="n">
        <v>45625</v>
      </c>
      <c r="C397" s="1" t="n">
        <v>46045</v>
      </c>
      <c r="D397" t="inlineStr">
        <is>
          <t>DALARNAS LÄN</t>
        </is>
      </c>
      <c r="E397" t="inlineStr">
        <is>
          <t>MORA</t>
        </is>
      </c>
      <c r="G397" t="n">
        <v>1.1</v>
      </c>
      <c r="H397" t="n">
        <v>0</v>
      </c>
      <c r="I397" t="n">
        <v>0</v>
      </c>
      <c r="J397" t="n">
        <v>0</v>
      </c>
      <c r="K397" t="n">
        <v>0</v>
      </c>
      <c r="L397" t="n">
        <v>0</v>
      </c>
      <c r="M397" t="n">
        <v>0</v>
      </c>
      <c r="N397" t="n">
        <v>0</v>
      </c>
      <c r="O397" t="n">
        <v>0</v>
      </c>
      <c r="P397" t="n">
        <v>0</v>
      </c>
      <c r="Q397" t="n">
        <v>0</v>
      </c>
      <c r="R397" s="2" t="inlineStr"/>
    </row>
    <row r="398" ht="15" customHeight="1">
      <c r="A398" t="inlineStr">
        <is>
          <t>A 23354-2022</t>
        </is>
      </c>
      <c r="B398" s="1" t="n">
        <v>44720</v>
      </c>
      <c r="C398" s="1" t="n">
        <v>46045</v>
      </c>
      <c r="D398" t="inlineStr">
        <is>
          <t>DALARNAS LÄN</t>
        </is>
      </c>
      <c r="E398" t="inlineStr">
        <is>
          <t>MORA</t>
        </is>
      </c>
      <c r="G398" t="n">
        <v>5.2</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44796.60479166666</v>
      </c>
      <c r="C399" s="1" t="n">
        <v>46045</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9461-2025</t>
        </is>
      </c>
      <c r="B400" s="1" t="n">
        <v>45715.45341435185</v>
      </c>
      <c r="C400" s="1" t="n">
        <v>46045</v>
      </c>
      <c r="D400" t="inlineStr">
        <is>
          <t>DALARNAS LÄN</t>
        </is>
      </c>
      <c r="E400" t="inlineStr">
        <is>
          <t>MORA</t>
        </is>
      </c>
      <c r="G400" t="n">
        <v>1.8</v>
      </c>
      <c r="H400" t="n">
        <v>0</v>
      </c>
      <c r="I400" t="n">
        <v>0</v>
      </c>
      <c r="J400" t="n">
        <v>0</v>
      </c>
      <c r="K400" t="n">
        <v>0</v>
      </c>
      <c r="L400" t="n">
        <v>0</v>
      </c>
      <c r="M400" t="n">
        <v>0</v>
      </c>
      <c r="N400" t="n">
        <v>0</v>
      </c>
      <c r="O400" t="n">
        <v>0</v>
      </c>
      <c r="P400" t="n">
        <v>0</v>
      </c>
      <c r="Q400" t="n">
        <v>0</v>
      </c>
      <c r="R400" s="2" t="inlineStr"/>
    </row>
    <row r="401" ht="15" customHeight="1">
      <c r="A401" t="inlineStr">
        <is>
          <t>A 24127-2025</t>
        </is>
      </c>
      <c r="B401" s="1" t="n">
        <v>45796.63137731481</v>
      </c>
      <c r="C401" s="1" t="n">
        <v>46045</v>
      </c>
      <c r="D401" t="inlineStr">
        <is>
          <t>DALARNAS LÄN</t>
        </is>
      </c>
      <c r="E401" t="inlineStr">
        <is>
          <t>MORA</t>
        </is>
      </c>
      <c r="G401" t="n">
        <v>1.2</v>
      </c>
      <c r="H401" t="n">
        <v>0</v>
      </c>
      <c r="I401" t="n">
        <v>0</v>
      </c>
      <c r="J401" t="n">
        <v>0</v>
      </c>
      <c r="K401" t="n">
        <v>0</v>
      </c>
      <c r="L401" t="n">
        <v>0</v>
      </c>
      <c r="M401" t="n">
        <v>0</v>
      </c>
      <c r="N401" t="n">
        <v>0</v>
      </c>
      <c r="O401" t="n">
        <v>0</v>
      </c>
      <c r="P401" t="n">
        <v>0</v>
      </c>
      <c r="Q401" t="n">
        <v>0</v>
      </c>
      <c r="R401" s="2" t="inlineStr"/>
    </row>
    <row r="402" ht="15" customHeight="1">
      <c r="A402" t="inlineStr">
        <is>
          <t>A 21410-2023</t>
        </is>
      </c>
      <c r="B402" s="1" t="n">
        <v>45063</v>
      </c>
      <c r="C402" s="1" t="n">
        <v>46045</v>
      </c>
      <c r="D402" t="inlineStr">
        <is>
          <t>DALARNAS LÄN</t>
        </is>
      </c>
      <c r="E402" t="inlineStr">
        <is>
          <t>MORA</t>
        </is>
      </c>
      <c r="G402" t="n">
        <v>7</v>
      </c>
      <c r="H402" t="n">
        <v>0</v>
      </c>
      <c r="I402" t="n">
        <v>0</v>
      </c>
      <c r="J402" t="n">
        <v>0</v>
      </c>
      <c r="K402" t="n">
        <v>0</v>
      </c>
      <c r="L402" t="n">
        <v>0</v>
      </c>
      <c r="M402" t="n">
        <v>0</v>
      </c>
      <c r="N402" t="n">
        <v>0</v>
      </c>
      <c r="O402" t="n">
        <v>0</v>
      </c>
      <c r="P402" t="n">
        <v>0</v>
      </c>
      <c r="Q402" t="n">
        <v>0</v>
      </c>
      <c r="R402" s="2" t="inlineStr"/>
    </row>
    <row r="403" ht="15" customHeight="1">
      <c r="A403" t="inlineStr">
        <is>
          <t>A 62854-2023</t>
        </is>
      </c>
      <c r="B403" s="1" t="n">
        <v>45272</v>
      </c>
      <c r="C403" s="1" t="n">
        <v>46045</v>
      </c>
      <c r="D403" t="inlineStr">
        <is>
          <t>DALARNAS LÄN</t>
        </is>
      </c>
      <c r="E403" t="inlineStr">
        <is>
          <t>MORA</t>
        </is>
      </c>
      <c r="G403" t="n">
        <v>11.3</v>
      </c>
      <c r="H403" t="n">
        <v>0</v>
      </c>
      <c r="I403" t="n">
        <v>0</v>
      </c>
      <c r="J403" t="n">
        <v>0</v>
      </c>
      <c r="K403" t="n">
        <v>0</v>
      </c>
      <c r="L403" t="n">
        <v>0</v>
      </c>
      <c r="M403" t="n">
        <v>0</v>
      </c>
      <c r="N403" t="n">
        <v>0</v>
      </c>
      <c r="O403" t="n">
        <v>0</v>
      </c>
      <c r="P403" t="n">
        <v>0</v>
      </c>
      <c r="Q403" t="n">
        <v>0</v>
      </c>
      <c r="R403" s="2" t="inlineStr"/>
    </row>
    <row r="404" ht="15" customHeight="1">
      <c r="A404" t="inlineStr">
        <is>
          <t>A 46801-2022</t>
        </is>
      </c>
      <c r="B404" s="1" t="n">
        <v>44851</v>
      </c>
      <c r="C404" s="1" t="n">
        <v>46045</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19286-2023</t>
        </is>
      </c>
      <c r="B405" s="1" t="n">
        <v>45049</v>
      </c>
      <c r="C405" s="1" t="n">
        <v>46045</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23229-2025</t>
        </is>
      </c>
      <c r="B406" s="1" t="n">
        <v>45791</v>
      </c>
      <c r="C406" s="1" t="n">
        <v>46045</v>
      </c>
      <c r="D406" t="inlineStr">
        <is>
          <t>DALARNAS LÄN</t>
        </is>
      </c>
      <c r="E406" t="inlineStr">
        <is>
          <t>MORA</t>
        </is>
      </c>
      <c r="G406" t="n">
        <v>2.2</v>
      </c>
      <c r="H406" t="n">
        <v>0</v>
      </c>
      <c r="I406" t="n">
        <v>0</v>
      </c>
      <c r="J406" t="n">
        <v>0</v>
      </c>
      <c r="K406" t="n">
        <v>0</v>
      </c>
      <c r="L406" t="n">
        <v>0</v>
      </c>
      <c r="M406" t="n">
        <v>0</v>
      </c>
      <c r="N406" t="n">
        <v>0</v>
      </c>
      <c r="O406" t="n">
        <v>0</v>
      </c>
      <c r="P406" t="n">
        <v>0</v>
      </c>
      <c r="Q406" t="n">
        <v>0</v>
      </c>
      <c r="R406" s="2" t="inlineStr"/>
    </row>
    <row r="407" ht="15" customHeight="1">
      <c r="A407" t="inlineStr">
        <is>
          <t>A 70141-2021</t>
        </is>
      </c>
      <c r="B407" s="1" t="n">
        <v>44533</v>
      </c>
      <c r="C407" s="1" t="n">
        <v>46045</v>
      </c>
      <c r="D407" t="inlineStr">
        <is>
          <t>DALARNAS LÄN</t>
        </is>
      </c>
      <c r="E407" t="inlineStr">
        <is>
          <t>MORA</t>
        </is>
      </c>
      <c r="G407" t="n">
        <v>4.1</v>
      </c>
      <c r="H407" t="n">
        <v>0</v>
      </c>
      <c r="I407" t="n">
        <v>0</v>
      </c>
      <c r="J407" t="n">
        <v>0</v>
      </c>
      <c r="K407" t="n">
        <v>0</v>
      </c>
      <c r="L407" t="n">
        <v>0</v>
      </c>
      <c r="M407" t="n">
        <v>0</v>
      </c>
      <c r="N407" t="n">
        <v>0</v>
      </c>
      <c r="O407" t="n">
        <v>0</v>
      </c>
      <c r="P407" t="n">
        <v>0</v>
      </c>
      <c r="Q407" t="n">
        <v>0</v>
      </c>
      <c r="R407" s="2" t="inlineStr"/>
    </row>
    <row r="408" ht="15" customHeight="1">
      <c r="A408" t="inlineStr">
        <is>
          <t>A 56767-2023</t>
        </is>
      </c>
      <c r="B408" s="1" t="n">
        <v>45244</v>
      </c>
      <c r="C408" s="1" t="n">
        <v>46045</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40949-2023</t>
        </is>
      </c>
      <c r="B409" s="1" t="n">
        <v>45173</v>
      </c>
      <c r="C409" s="1" t="n">
        <v>46045</v>
      </c>
      <c r="D409" t="inlineStr">
        <is>
          <t>DALARNAS LÄN</t>
        </is>
      </c>
      <c r="E409" t="inlineStr">
        <is>
          <t>MORA</t>
        </is>
      </c>
      <c r="F409" t="inlineStr">
        <is>
          <t>Kyrkan</t>
        </is>
      </c>
      <c r="G409" t="n">
        <v>0.5</v>
      </c>
      <c r="H409" t="n">
        <v>0</v>
      </c>
      <c r="I409" t="n">
        <v>0</v>
      </c>
      <c r="J409" t="n">
        <v>0</v>
      </c>
      <c r="K409" t="n">
        <v>0</v>
      </c>
      <c r="L409" t="n">
        <v>0</v>
      </c>
      <c r="M409" t="n">
        <v>0</v>
      </c>
      <c r="N409" t="n">
        <v>0</v>
      </c>
      <c r="O409" t="n">
        <v>0</v>
      </c>
      <c r="P409" t="n">
        <v>0</v>
      </c>
      <c r="Q409" t="n">
        <v>0</v>
      </c>
      <c r="R409" s="2" t="inlineStr"/>
    </row>
    <row r="410" ht="15" customHeight="1">
      <c r="A410" t="inlineStr">
        <is>
          <t>A 24280-2025</t>
        </is>
      </c>
      <c r="B410" s="1" t="n">
        <v>45797.45581018519</v>
      </c>
      <c r="C410" s="1" t="n">
        <v>46045</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66232-2021</t>
        </is>
      </c>
      <c r="B411" s="1" t="n">
        <v>44518.39234953704</v>
      </c>
      <c r="C411" s="1" t="n">
        <v>46045</v>
      </c>
      <c r="D411" t="inlineStr">
        <is>
          <t>DALARNAS LÄN</t>
        </is>
      </c>
      <c r="E411" t="inlineStr">
        <is>
          <t>MORA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24630-2025</t>
        </is>
      </c>
      <c r="B412" s="1" t="n">
        <v>45798.6003587963</v>
      </c>
      <c r="C412" s="1" t="n">
        <v>46045</v>
      </c>
      <c r="D412" t="inlineStr">
        <is>
          <t>DALARNAS LÄN</t>
        </is>
      </c>
      <c r="E412" t="inlineStr">
        <is>
          <t>MORA</t>
        </is>
      </c>
      <c r="F412" t="inlineStr">
        <is>
          <t>Bergvik skog väst AB</t>
        </is>
      </c>
      <c r="G412" t="n">
        <v>10.4</v>
      </c>
      <c r="H412" t="n">
        <v>0</v>
      </c>
      <c r="I412" t="n">
        <v>0</v>
      </c>
      <c r="J412" t="n">
        <v>0</v>
      </c>
      <c r="K412" t="n">
        <v>0</v>
      </c>
      <c r="L412" t="n">
        <v>0</v>
      </c>
      <c r="M412" t="n">
        <v>0</v>
      </c>
      <c r="N412" t="n">
        <v>0</v>
      </c>
      <c r="O412" t="n">
        <v>0</v>
      </c>
      <c r="P412" t="n">
        <v>0</v>
      </c>
      <c r="Q412" t="n">
        <v>0</v>
      </c>
      <c r="R412" s="2" t="inlineStr"/>
    </row>
    <row r="413" ht="15" customHeight="1">
      <c r="A413" t="inlineStr">
        <is>
          <t>A 19183-2025</t>
        </is>
      </c>
      <c r="B413" s="1" t="n">
        <v>45769</v>
      </c>
      <c r="C413" s="1" t="n">
        <v>46045</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52110-2025</t>
        </is>
      </c>
      <c r="B414" s="1" t="n">
        <v>45952.69306712963</v>
      </c>
      <c r="C414" s="1" t="n">
        <v>46045</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24642-2025</t>
        </is>
      </c>
      <c r="B415" s="1" t="n">
        <v>45798.62894675926</v>
      </c>
      <c r="C415" s="1" t="n">
        <v>46045</v>
      </c>
      <c r="D415" t="inlineStr">
        <is>
          <t>DALARNAS LÄN</t>
        </is>
      </c>
      <c r="E415" t="inlineStr">
        <is>
          <t>MORA</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51771-2025</t>
        </is>
      </c>
      <c r="B416" s="1" t="n">
        <v>45951.64653935185</v>
      </c>
      <c r="C416" s="1" t="n">
        <v>46045</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24249-2025</t>
        </is>
      </c>
      <c r="B417" s="1" t="n">
        <v>45797.40260416667</v>
      </c>
      <c r="C417" s="1" t="n">
        <v>46045</v>
      </c>
      <c r="D417" t="inlineStr">
        <is>
          <t>DALARNAS LÄN</t>
        </is>
      </c>
      <c r="E417" t="inlineStr">
        <is>
          <t>MORA</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24640-2025</t>
        </is>
      </c>
      <c r="B418" s="1" t="n">
        <v>45798.62243055556</v>
      </c>
      <c r="C418" s="1" t="n">
        <v>46045</v>
      </c>
      <c r="D418" t="inlineStr">
        <is>
          <t>DALARNAS LÄN</t>
        </is>
      </c>
      <c r="E418" t="inlineStr">
        <is>
          <t>MORA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24230-2025</t>
        </is>
      </c>
      <c r="B419" s="1" t="n">
        <v>45797.37607638889</v>
      </c>
      <c r="C419" s="1" t="n">
        <v>46045</v>
      </c>
      <c r="D419" t="inlineStr">
        <is>
          <t>DALARNAS LÄN</t>
        </is>
      </c>
      <c r="E419" t="inlineStr">
        <is>
          <t>MORA</t>
        </is>
      </c>
      <c r="G419" t="n">
        <v>6.8</v>
      </c>
      <c r="H419" t="n">
        <v>0</v>
      </c>
      <c r="I419" t="n">
        <v>0</v>
      </c>
      <c r="J419" t="n">
        <v>0</v>
      </c>
      <c r="K419" t="n">
        <v>0</v>
      </c>
      <c r="L419" t="n">
        <v>0</v>
      </c>
      <c r="M419" t="n">
        <v>0</v>
      </c>
      <c r="N419" t="n">
        <v>0</v>
      </c>
      <c r="O419" t="n">
        <v>0</v>
      </c>
      <c r="P419" t="n">
        <v>0</v>
      </c>
      <c r="Q419" t="n">
        <v>0</v>
      </c>
      <c r="R419" s="2" t="inlineStr"/>
    </row>
    <row r="420" ht="15" customHeight="1">
      <c r="A420" t="inlineStr">
        <is>
          <t>A 54398-2021</t>
        </is>
      </c>
      <c r="B420" s="1" t="n">
        <v>44473.39252314815</v>
      </c>
      <c r="C420" s="1" t="n">
        <v>46045</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52599-2025</t>
        </is>
      </c>
      <c r="B421" s="1" t="n">
        <v>45954.65564814815</v>
      </c>
      <c r="C421" s="1" t="n">
        <v>46045</v>
      </c>
      <c r="D421" t="inlineStr">
        <is>
          <t>DALARNAS LÄN</t>
        </is>
      </c>
      <c r="E421" t="inlineStr">
        <is>
          <t>MORA</t>
        </is>
      </c>
      <c r="G421" t="n">
        <v>10.8</v>
      </c>
      <c r="H421" t="n">
        <v>0</v>
      </c>
      <c r="I421" t="n">
        <v>0</v>
      </c>
      <c r="J421" t="n">
        <v>0</v>
      </c>
      <c r="K421" t="n">
        <v>0</v>
      </c>
      <c r="L421" t="n">
        <v>0</v>
      </c>
      <c r="M421" t="n">
        <v>0</v>
      </c>
      <c r="N421" t="n">
        <v>0</v>
      </c>
      <c r="O421" t="n">
        <v>0</v>
      </c>
      <c r="P421" t="n">
        <v>0</v>
      </c>
      <c r="Q421" t="n">
        <v>0</v>
      </c>
      <c r="R421" s="2" t="inlineStr"/>
    </row>
    <row r="422" ht="15" customHeight="1">
      <c r="A422" t="inlineStr">
        <is>
          <t>A 24960-2025</t>
        </is>
      </c>
      <c r="B422" s="1" t="n">
        <v>45799.57666666667</v>
      </c>
      <c r="C422" s="1" t="n">
        <v>46045</v>
      </c>
      <c r="D422" t="inlineStr">
        <is>
          <t>DALARNAS LÄN</t>
        </is>
      </c>
      <c r="E422" t="inlineStr">
        <is>
          <t>MORA</t>
        </is>
      </c>
      <c r="G422" t="n">
        <v>3.2</v>
      </c>
      <c r="H422" t="n">
        <v>0</v>
      </c>
      <c r="I422" t="n">
        <v>0</v>
      </c>
      <c r="J422" t="n">
        <v>0</v>
      </c>
      <c r="K422" t="n">
        <v>0</v>
      </c>
      <c r="L422" t="n">
        <v>0</v>
      </c>
      <c r="M422" t="n">
        <v>0</v>
      </c>
      <c r="N422" t="n">
        <v>0</v>
      </c>
      <c r="O422" t="n">
        <v>0</v>
      </c>
      <c r="P422" t="n">
        <v>0</v>
      </c>
      <c r="Q422" t="n">
        <v>0</v>
      </c>
      <c r="R422" s="2" t="inlineStr"/>
    </row>
    <row r="423" ht="15" customHeight="1">
      <c r="A423" t="inlineStr">
        <is>
          <t>A 44307-2021</t>
        </is>
      </c>
      <c r="B423" s="1" t="n">
        <v>44435</v>
      </c>
      <c r="C423" s="1" t="n">
        <v>46045</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34272-2024</t>
        </is>
      </c>
      <c r="B424" s="1" t="n">
        <v>45524.61752314815</v>
      </c>
      <c r="C424" s="1" t="n">
        <v>46045</v>
      </c>
      <c r="D424" t="inlineStr">
        <is>
          <t>DALARNAS LÄN</t>
        </is>
      </c>
      <c r="E424" t="inlineStr">
        <is>
          <t>MORA</t>
        </is>
      </c>
      <c r="G424" t="n">
        <v>1</v>
      </c>
      <c r="H424" t="n">
        <v>0</v>
      </c>
      <c r="I424" t="n">
        <v>0</v>
      </c>
      <c r="J424" t="n">
        <v>0</v>
      </c>
      <c r="K424" t="n">
        <v>0</v>
      </c>
      <c r="L424" t="n">
        <v>0</v>
      </c>
      <c r="M424" t="n">
        <v>0</v>
      </c>
      <c r="N424" t="n">
        <v>0</v>
      </c>
      <c r="O424" t="n">
        <v>0</v>
      </c>
      <c r="P424" t="n">
        <v>0</v>
      </c>
      <c r="Q424" t="n">
        <v>0</v>
      </c>
      <c r="R424" s="2" t="inlineStr"/>
    </row>
    <row r="425" ht="15" customHeight="1">
      <c r="A425" t="inlineStr">
        <is>
          <t>A 52804-2025</t>
        </is>
      </c>
      <c r="B425" s="1" t="n">
        <v>45957.44552083333</v>
      </c>
      <c r="C425" s="1" t="n">
        <v>46045</v>
      </c>
      <c r="D425" t="inlineStr">
        <is>
          <t>DALARNAS LÄN</t>
        </is>
      </c>
      <c r="E425" t="inlineStr">
        <is>
          <t>MORA</t>
        </is>
      </c>
      <c r="G425" t="n">
        <v>2.9</v>
      </c>
      <c r="H425" t="n">
        <v>0</v>
      </c>
      <c r="I425" t="n">
        <v>0</v>
      </c>
      <c r="J425" t="n">
        <v>0</v>
      </c>
      <c r="K425" t="n">
        <v>0</v>
      </c>
      <c r="L425" t="n">
        <v>0</v>
      </c>
      <c r="M425" t="n">
        <v>0</v>
      </c>
      <c r="N425" t="n">
        <v>0</v>
      </c>
      <c r="O425" t="n">
        <v>0</v>
      </c>
      <c r="P425" t="n">
        <v>0</v>
      </c>
      <c r="Q425" t="n">
        <v>0</v>
      </c>
      <c r="R425" s="2" t="inlineStr"/>
    </row>
    <row r="426" ht="15" customHeight="1">
      <c r="A426" t="inlineStr">
        <is>
          <t>A 24947-2025</t>
        </is>
      </c>
      <c r="B426" s="1" t="n">
        <v>45799.56524305556</v>
      </c>
      <c r="C426" s="1" t="n">
        <v>46045</v>
      </c>
      <c r="D426" t="inlineStr">
        <is>
          <t>DALARNAS LÄN</t>
        </is>
      </c>
      <c r="E426" t="inlineStr">
        <is>
          <t>MORA</t>
        </is>
      </c>
      <c r="G426" t="n">
        <v>2</v>
      </c>
      <c r="H426" t="n">
        <v>0</v>
      </c>
      <c r="I426" t="n">
        <v>0</v>
      </c>
      <c r="J426" t="n">
        <v>0</v>
      </c>
      <c r="K426" t="n">
        <v>0</v>
      </c>
      <c r="L426" t="n">
        <v>0</v>
      </c>
      <c r="M426" t="n">
        <v>0</v>
      </c>
      <c r="N426" t="n">
        <v>0</v>
      </c>
      <c r="O426" t="n">
        <v>0</v>
      </c>
      <c r="P426" t="n">
        <v>0</v>
      </c>
      <c r="Q426" t="n">
        <v>0</v>
      </c>
      <c r="R426" s="2" t="inlineStr"/>
    </row>
    <row r="427" ht="15" customHeight="1">
      <c r="A427" t="inlineStr">
        <is>
          <t>A 28131-2024</t>
        </is>
      </c>
      <c r="B427" s="1" t="n">
        <v>45476.68435185185</v>
      </c>
      <c r="C427" s="1" t="n">
        <v>46045</v>
      </c>
      <c r="D427" t="inlineStr">
        <is>
          <t>DALARNAS LÄN</t>
        </is>
      </c>
      <c r="E427" t="inlineStr">
        <is>
          <t>MORA</t>
        </is>
      </c>
      <c r="G427" t="n">
        <v>0.8</v>
      </c>
      <c r="H427" t="n">
        <v>0</v>
      </c>
      <c r="I427" t="n">
        <v>0</v>
      </c>
      <c r="J427" t="n">
        <v>0</v>
      </c>
      <c r="K427" t="n">
        <v>0</v>
      </c>
      <c r="L427" t="n">
        <v>0</v>
      </c>
      <c r="M427" t="n">
        <v>0</v>
      </c>
      <c r="N427" t="n">
        <v>0</v>
      </c>
      <c r="O427" t="n">
        <v>0</v>
      </c>
      <c r="P427" t="n">
        <v>0</v>
      </c>
      <c r="Q427" t="n">
        <v>0</v>
      </c>
      <c r="R427" s="2" t="inlineStr"/>
    </row>
    <row r="428" ht="15" customHeight="1">
      <c r="A428" t="inlineStr">
        <is>
          <t>A 28132-2024</t>
        </is>
      </c>
      <c r="B428" s="1" t="n">
        <v>45476.68616898148</v>
      </c>
      <c r="C428" s="1" t="n">
        <v>46045</v>
      </c>
      <c r="D428" t="inlineStr">
        <is>
          <t>DALARNAS LÄN</t>
        </is>
      </c>
      <c r="E428" t="inlineStr">
        <is>
          <t>MORA</t>
        </is>
      </c>
      <c r="G428" t="n">
        <v>0.2</v>
      </c>
      <c r="H428" t="n">
        <v>0</v>
      </c>
      <c r="I428" t="n">
        <v>0</v>
      </c>
      <c r="J428" t="n">
        <v>0</v>
      </c>
      <c r="K428" t="n">
        <v>0</v>
      </c>
      <c r="L428" t="n">
        <v>0</v>
      </c>
      <c r="M428" t="n">
        <v>0</v>
      </c>
      <c r="N428" t="n">
        <v>0</v>
      </c>
      <c r="O428" t="n">
        <v>0</v>
      </c>
      <c r="P428" t="n">
        <v>0</v>
      </c>
      <c r="Q428" t="n">
        <v>0</v>
      </c>
      <c r="R428" s="2" t="inlineStr"/>
    </row>
    <row r="429" ht="15" customHeight="1">
      <c r="A429" t="inlineStr">
        <is>
          <t>A 53150-2025</t>
        </is>
      </c>
      <c r="B429" s="1" t="n">
        <v>45958.48280092593</v>
      </c>
      <c r="C429" s="1" t="n">
        <v>46045</v>
      </c>
      <c r="D429" t="inlineStr">
        <is>
          <t>DALARNAS LÄN</t>
        </is>
      </c>
      <c r="E429" t="inlineStr">
        <is>
          <t>MORA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57608-2021</t>
        </is>
      </c>
      <c r="B430" s="1" t="n">
        <v>44484</v>
      </c>
      <c r="C430" s="1" t="n">
        <v>46045</v>
      </c>
      <c r="D430" t="inlineStr">
        <is>
          <t>DALARNAS LÄN</t>
        </is>
      </c>
      <c r="E430" t="inlineStr">
        <is>
          <t>MORA</t>
        </is>
      </c>
      <c r="G430" t="n">
        <v>6.3</v>
      </c>
      <c r="H430" t="n">
        <v>0</v>
      </c>
      <c r="I430" t="n">
        <v>0</v>
      </c>
      <c r="J430" t="n">
        <v>0</v>
      </c>
      <c r="K430" t="n">
        <v>0</v>
      </c>
      <c r="L430" t="n">
        <v>0</v>
      </c>
      <c r="M430" t="n">
        <v>0</v>
      </c>
      <c r="N430" t="n">
        <v>0</v>
      </c>
      <c r="O430" t="n">
        <v>0</v>
      </c>
      <c r="P430" t="n">
        <v>0</v>
      </c>
      <c r="Q430" t="n">
        <v>0</v>
      </c>
      <c r="R430" s="2" t="inlineStr"/>
    </row>
    <row r="431" ht="15" customHeight="1">
      <c r="A431" t="inlineStr">
        <is>
          <t>A 53151-2025</t>
        </is>
      </c>
      <c r="B431" s="1" t="n">
        <v>45958.48611111111</v>
      </c>
      <c r="C431" s="1" t="n">
        <v>46045</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53418-2025</t>
        </is>
      </c>
      <c r="B432" s="1" t="n">
        <v>45959</v>
      </c>
      <c r="C432" s="1" t="n">
        <v>46045</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53591-2025</t>
        </is>
      </c>
      <c r="B433" s="1" t="n">
        <v>45960.43893518519</v>
      </c>
      <c r="C433" s="1" t="n">
        <v>46045</v>
      </c>
      <c r="D433" t="inlineStr">
        <is>
          <t>DALARNAS LÄN</t>
        </is>
      </c>
      <c r="E433" t="inlineStr">
        <is>
          <t>MORA</t>
        </is>
      </c>
      <c r="G433" t="n">
        <v>3.8</v>
      </c>
      <c r="H433" t="n">
        <v>0</v>
      </c>
      <c r="I433" t="n">
        <v>0</v>
      </c>
      <c r="J433" t="n">
        <v>0</v>
      </c>
      <c r="K433" t="n">
        <v>0</v>
      </c>
      <c r="L433" t="n">
        <v>0</v>
      </c>
      <c r="M433" t="n">
        <v>0</v>
      </c>
      <c r="N433" t="n">
        <v>0</v>
      </c>
      <c r="O433" t="n">
        <v>0</v>
      </c>
      <c r="P433" t="n">
        <v>0</v>
      </c>
      <c r="Q433" t="n">
        <v>0</v>
      </c>
      <c r="R433" s="2" t="inlineStr"/>
    </row>
    <row r="434" ht="15" customHeight="1">
      <c r="A434" t="inlineStr">
        <is>
          <t>A 53632-2025</t>
        </is>
      </c>
      <c r="B434" s="1" t="n">
        <v>45960.49972222222</v>
      </c>
      <c r="C434" s="1" t="n">
        <v>46045</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23586-2023</t>
        </is>
      </c>
      <c r="B435" s="1" t="n">
        <v>45077</v>
      </c>
      <c r="C435" s="1" t="n">
        <v>46045</v>
      </c>
      <c r="D435" t="inlineStr">
        <is>
          <t>DALARNAS LÄN</t>
        </is>
      </c>
      <c r="E435" t="inlineStr">
        <is>
          <t>MORA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53565-2025</t>
        </is>
      </c>
      <c r="B436" s="1" t="n">
        <v>45960.40711805555</v>
      </c>
      <c r="C436" s="1" t="n">
        <v>46045</v>
      </c>
      <c r="D436" t="inlineStr">
        <is>
          <t>DALARNAS LÄN</t>
        </is>
      </c>
      <c r="E436" t="inlineStr">
        <is>
          <t>MORA</t>
        </is>
      </c>
      <c r="G436" t="n">
        <v>5.1</v>
      </c>
      <c r="H436" t="n">
        <v>0</v>
      </c>
      <c r="I436" t="n">
        <v>0</v>
      </c>
      <c r="J436" t="n">
        <v>0</v>
      </c>
      <c r="K436" t="n">
        <v>0</v>
      </c>
      <c r="L436" t="n">
        <v>0</v>
      </c>
      <c r="M436" t="n">
        <v>0</v>
      </c>
      <c r="N436" t="n">
        <v>0</v>
      </c>
      <c r="O436" t="n">
        <v>0</v>
      </c>
      <c r="P436" t="n">
        <v>0</v>
      </c>
      <c r="Q436" t="n">
        <v>0</v>
      </c>
      <c r="R436" s="2" t="inlineStr"/>
    </row>
    <row r="437" ht="15" customHeight="1">
      <c r="A437" t="inlineStr">
        <is>
          <t>A 53556-2025</t>
        </is>
      </c>
      <c r="B437" s="1" t="n">
        <v>45960.3921875</v>
      </c>
      <c r="C437" s="1" t="n">
        <v>46045</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53560-2025</t>
        </is>
      </c>
      <c r="B438" s="1" t="n">
        <v>45960.39960648148</v>
      </c>
      <c r="C438" s="1" t="n">
        <v>46045</v>
      </c>
      <c r="D438" t="inlineStr">
        <is>
          <t>DALARNAS LÄN</t>
        </is>
      </c>
      <c r="E438" t="inlineStr">
        <is>
          <t>MORA</t>
        </is>
      </c>
      <c r="G438" t="n">
        <v>5.2</v>
      </c>
      <c r="H438" t="n">
        <v>0</v>
      </c>
      <c r="I438" t="n">
        <v>0</v>
      </c>
      <c r="J438" t="n">
        <v>0</v>
      </c>
      <c r="K438" t="n">
        <v>0</v>
      </c>
      <c r="L438" t="n">
        <v>0</v>
      </c>
      <c r="M438" t="n">
        <v>0</v>
      </c>
      <c r="N438" t="n">
        <v>0</v>
      </c>
      <c r="O438" t="n">
        <v>0</v>
      </c>
      <c r="P438" t="n">
        <v>0</v>
      </c>
      <c r="Q438" t="n">
        <v>0</v>
      </c>
      <c r="R438" s="2" t="inlineStr"/>
    </row>
    <row r="439" ht="15" customHeight="1">
      <c r="A439" t="inlineStr">
        <is>
          <t>A 53562-2025</t>
        </is>
      </c>
      <c r="B439" s="1" t="n">
        <v>45960.40662037037</v>
      </c>
      <c r="C439" s="1" t="n">
        <v>46045</v>
      </c>
      <c r="D439" t="inlineStr">
        <is>
          <t>DALARNAS LÄN</t>
        </is>
      </c>
      <c r="E439" t="inlineStr">
        <is>
          <t>MORA</t>
        </is>
      </c>
      <c r="G439" t="n">
        <v>5.1</v>
      </c>
      <c r="H439" t="n">
        <v>0</v>
      </c>
      <c r="I439" t="n">
        <v>0</v>
      </c>
      <c r="J439" t="n">
        <v>0</v>
      </c>
      <c r="K439" t="n">
        <v>0</v>
      </c>
      <c r="L439" t="n">
        <v>0</v>
      </c>
      <c r="M439" t="n">
        <v>0</v>
      </c>
      <c r="N439" t="n">
        <v>0</v>
      </c>
      <c r="O439" t="n">
        <v>0</v>
      </c>
      <c r="P439" t="n">
        <v>0</v>
      </c>
      <c r="Q439" t="n">
        <v>0</v>
      </c>
      <c r="R439" s="2" t="inlineStr"/>
    </row>
    <row r="440" ht="15" customHeight="1">
      <c r="A440" t="inlineStr">
        <is>
          <t>A 62054-2025</t>
        </is>
      </c>
      <c r="B440" s="1" t="n">
        <v>46006.33462962963</v>
      </c>
      <c r="C440" s="1" t="n">
        <v>46045</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5644-2024</t>
        </is>
      </c>
      <c r="B441" s="1" t="n">
        <v>45334</v>
      </c>
      <c r="C441" s="1" t="n">
        <v>46045</v>
      </c>
      <c r="D441" t="inlineStr">
        <is>
          <t>DALARNAS LÄN</t>
        </is>
      </c>
      <c r="E441" t="inlineStr">
        <is>
          <t>MORA</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62055-2025</t>
        </is>
      </c>
      <c r="B442" s="1" t="n">
        <v>46006.3365625</v>
      </c>
      <c r="C442" s="1" t="n">
        <v>46045</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26647-2025</t>
        </is>
      </c>
      <c r="B443" s="1" t="n">
        <v>45810.38439814815</v>
      </c>
      <c r="C443" s="1" t="n">
        <v>46045</v>
      </c>
      <c r="D443" t="inlineStr">
        <is>
          <t>DALARNAS LÄN</t>
        </is>
      </c>
      <c r="E443" t="inlineStr">
        <is>
          <t>MORA</t>
        </is>
      </c>
      <c r="G443" t="n">
        <v>7.9</v>
      </c>
      <c r="H443" t="n">
        <v>0</v>
      </c>
      <c r="I443" t="n">
        <v>0</v>
      </c>
      <c r="J443" t="n">
        <v>0</v>
      </c>
      <c r="K443" t="n">
        <v>0</v>
      </c>
      <c r="L443" t="n">
        <v>0</v>
      </c>
      <c r="M443" t="n">
        <v>0</v>
      </c>
      <c r="N443" t="n">
        <v>0</v>
      </c>
      <c r="O443" t="n">
        <v>0</v>
      </c>
      <c r="P443" t="n">
        <v>0</v>
      </c>
      <c r="Q443" t="n">
        <v>0</v>
      </c>
      <c r="R443" s="2" t="inlineStr"/>
    </row>
    <row r="444" ht="15" customHeight="1">
      <c r="A444" t="inlineStr">
        <is>
          <t>A 54099-2025</t>
        </is>
      </c>
      <c r="B444" s="1" t="n">
        <v>45964.41665509259</v>
      </c>
      <c r="C444" s="1" t="n">
        <v>46045</v>
      </c>
      <c r="D444" t="inlineStr">
        <is>
          <t>DALARNAS LÄN</t>
        </is>
      </c>
      <c r="E444" t="inlineStr">
        <is>
          <t>MORA</t>
        </is>
      </c>
      <c r="G444" t="n">
        <v>5.3</v>
      </c>
      <c r="H444" t="n">
        <v>0</v>
      </c>
      <c r="I444" t="n">
        <v>0</v>
      </c>
      <c r="J444" t="n">
        <v>0</v>
      </c>
      <c r="K444" t="n">
        <v>0</v>
      </c>
      <c r="L444" t="n">
        <v>0</v>
      </c>
      <c r="M444" t="n">
        <v>0</v>
      </c>
      <c r="N444" t="n">
        <v>0</v>
      </c>
      <c r="O444" t="n">
        <v>0</v>
      </c>
      <c r="P444" t="n">
        <v>0</v>
      </c>
      <c r="Q444" t="n">
        <v>0</v>
      </c>
      <c r="R444" s="2" t="inlineStr"/>
    </row>
    <row r="445" ht="15" customHeight="1">
      <c r="A445" t="inlineStr">
        <is>
          <t>A 56425-2024</t>
        </is>
      </c>
      <c r="B445" s="1" t="n">
        <v>45625.38677083333</v>
      </c>
      <c r="C445" s="1" t="n">
        <v>46045</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61995-2025</t>
        </is>
      </c>
      <c r="B446" s="1" t="n">
        <v>46003.63954861111</v>
      </c>
      <c r="C446" s="1" t="n">
        <v>46045</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30819-2024</t>
        </is>
      </c>
      <c r="B447" s="1" t="n">
        <v>45497</v>
      </c>
      <c r="C447" s="1" t="n">
        <v>46045</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53982-2025</t>
        </is>
      </c>
      <c r="B448" s="1" t="n">
        <v>45961.57019675926</v>
      </c>
      <c r="C448" s="1" t="n">
        <v>46045</v>
      </c>
      <c r="D448" t="inlineStr">
        <is>
          <t>DALARNAS LÄN</t>
        </is>
      </c>
      <c r="E448" t="inlineStr">
        <is>
          <t>MORA</t>
        </is>
      </c>
      <c r="G448" t="n">
        <v>0.8</v>
      </c>
      <c r="H448" t="n">
        <v>0</v>
      </c>
      <c r="I448" t="n">
        <v>0</v>
      </c>
      <c r="J448" t="n">
        <v>0</v>
      </c>
      <c r="K448" t="n">
        <v>0</v>
      </c>
      <c r="L448" t="n">
        <v>0</v>
      </c>
      <c r="M448" t="n">
        <v>0</v>
      </c>
      <c r="N448" t="n">
        <v>0</v>
      </c>
      <c r="O448" t="n">
        <v>0</v>
      </c>
      <c r="P448" t="n">
        <v>0</v>
      </c>
      <c r="Q448" t="n">
        <v>0</v>
      </c>
      <c r="R448" s="2" t="inlineStr"/>
    </row>
    <row r="449" ht="15" customHeight="1">
      <c r="A449" t="inlineStr">
        <is>
          <t>A 26546-2025</t>
        </is>
      </c>
      <c r="B449" s="1" t="n">
        <v>45807</v>
      </c>
      <c r="C449" s="1" t="n">
        <v>46045</v>
      </c>
      <c r="D449" t="inlineStr">
        <is>
          <t>DALARNAS LÄN</t>
        </is>
      </c>
      <c r="E449" t="inlineStr">
        <is>
          <t>MORA</t>
        </is>
      </c>
      <c r="G449" t="n">
        <v>1</v>
      </c>
      <c r="H449" t="n">
        <v>0</v>
      </c>
      <c r="I449" t="n">
        <v>0</v>
      </c>
      <c r="J449" t="n">
        <v>0</v>
      </c>
      <c r="K449" t="n">
        <v>0</v>
      </c>
      <c r="L449" t="n">
        <v>0</v>
      </c>
      <c r="M449" t="n">
        <v>0</v>
      </c>
      <c r="N449" t="n">
        <v>0</v>
      </c>
      <c r="O449" t="n">
        <v>0</v>
      </c>
      <c r="P449" t="n">
        <v>0</v>
      </c>
      <c r="Q449" t="n">
        <v>0</v>
      </c>
      <c r="R449" s="2" t="inlineStr"/>
    </row>
    <row r="450" ht="15" customHeight="1">
      <c r="A450" t="inlineStr">
        <is>
          <t>A 26573-2025</t>
        </is>
      </c>
      <c r="B450" s="1" t="n">
        <v>45807</v>
      </c>
      <c r="C450" s="1" t="n">
        <v>46045</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26532-2025</t>
        </is>
      </c>
      <c r="B451" s="1" t="n">
        <v>45807</v>
      </c>
      <c r="C451" s="1" t="n">
        <v>46045</v>
      </c>
      <c r="D451" t="inlineStr">
        <is>
          <t>DALARNAS LÄN</t>
        </is>
      </c>
      <c r="E451" t="inlineStr">
        <is>
          <t>MORA</t>
        </is>
      </c>
      <c r="G451" t="n">
        <v>4.4</v>
      </c>
      <c r="H451" t="n">
        <v>0</v>
      </c>
      <c r="I451" t="n">
        <v>0</v>
      </c>
      <c r="J451" t="n">
        <v>0</v>
      </c>
      <c r="K451" t="n">
        <v>0</v>
      </c>
      <c r="L451" t="n">
        <v>0</v>
      </c>
      <c r="M451" t="n">
        <v>0</v>
      </c>
      <c r="N451" t="n">
        <v>0</v>
      </c>
      <c r="O451" t="n">
        <v>0</v>
      </c>
      <c r="P451" t="n">
        <v>0</v>
      </c>
      <c r="Q451" t="n">
        <v>0</v>
      </c>
      <c r="R451" s="2" t="inlineStr"/>
    </row>
    <row r="452" ht="15" customHeight="1">
      <c r="A452" t="inlineStr">
        <is>
          <t>A 26545-2025</t>
        </is>
      </c>
      <c r="B452" s="1" t="n">
        <v>45807</v>
      </c>
      <c r="C452" s="1" t="n">
        <v>46045</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54504-2025</t>
        </is>
      </c>
      <c r="B453" s="1" t="n">
        <v>45965.61686342592</v>
      </c>
      <c r="C453" s="1" t="n">
        <v>46045</v>
      </c>
      <c r="D453" t="inlineStr">
        <is>
          <t>DALARNAS LÄN</t>
        </is>
      </c>
      <c r="E453" t="inlineStr">
        <is>
          <t>MORA</t>
        </is>
      </c>
      <c r="G453" t="n">
        <v>0.9</v>
      </c>
      <c r="H453" t="n">
        <v>0</v>
      </c>
      <c r="I453" t="n">
        <v>0</v>
      </c>
      <c r="J453" t="n">
        <v>0</v>
      </c>
      <c r="K453" t="n">
        <v>0</v>
      </c>
      <c r="L453" t="n">
        <v>0</v>
      </c>
      <c r="M453" t="n">
        <v>0</v>
      </c>
      <c r="N453" t="n">
        <v>0</v>
      </c>
      <c r="O453" t="n">
        <v>0</v>
      </c>
      <c r="P453" t="n">
        <v>0</v>
      </c>
      <c r="Q453" t="n">
        <v>0</v>
      </c>
      <c r="R453" s="2" t="inlineStr"/>
    </row>
    <row r="454" ht="15" customHeight="1">
      <c r="A454" t="inlineStr">
        <is>
          <t>A 20885-2024</t>
        </is>
      </c>
      <c r="B454" s="1" t="n">
        <v>45439.45527777778</v>
      </c>
      <c r="C454" s="1" t="n">
        <v>46045</v>
      </c>
      <c r="D454" t="inlineStr">
        <is>
          <t>DALARNAS LÄN</t>
        </is>
      </c>
      <c r="E454" t="inlineStr">
        <is>
          <t>MORA</t>
        </is>
      </c>
      <c r="G454" t="n">
        <v>5</v>
      </c>
      <c r="H454" t="n">
        <v>0</v>
      </c>
      <c r="I454" t="n">
        <v>0</v>
      </c>
      <c r="J454" t="n">
        <v>0</v>
      </c>
      <c r="K454" t="n">
        <v>0</v>
      </c>
      <c r="L454" t="n">
        <v>0</v>
      </c>
      <c r="M454" t="n">
        <v>0</v>
      </c>
      <c r="N454" t="n">
        <v>0</v>
      </c>
      <c r="O454" t="n">
        <v>0</v>
      </c>
      <c r="P454" t="n">
        <v>0</v>
      </c>
      <c r="Q454" t="n">
        <v>0</v>
      </c>
      <c r="R454" s="2" t="inlineStr"/>
    </row>
    <row r="455" ht="15" customHeight="1">
      <c r="A455" t="inlineStr">
        <is>
          <t>A 26630-2025</t>
        </is>
      </c>
      <c r="B455" s="1" t="n">
        <v>45809</v>
      </c>
      <c r="C455" s="1" t="n">
        <v>46045</v>
      </c>
      <c r="D455" t="inlineStr">
        <is>
          <t>DALARNAS LÄN</t>
        </is>
      </c>
      <c r="E455" t="inlineStr">
        <is>
          <t>MORA</t>
        </is>
      </c>
      <c r="G455" t="n">
        <v>32.1</v>
      </c>
      <c r="H455" t="n">
        <v>0</v>
      </c>
      <c r="I455" t="n">
        <v>0</v>
      </c>
      <c r="J455" t="n">
        <v>0</v>
      </c>
      <c r="K455" t="n">
        <v>0</v>
      </c>
      <c r="L455" t="n">
        <v>0</v>
      </c>
      <c r="M455" t="n">
        <v>0</v>
      </c>
      <c r="N455" t="n">
        <v>0</v>
      </c>
      <c r="O455" t="n">
        <v>0</v>
      </c>
      <c r="P455" t="n">
        <v>0</v>
      </c>
      <c r="Q455" t="n">
        <v>0</v>
      </c>
      <c r="R455" s="2" t="inlineStr"/>
    </row>
    <row r="456" ht="15" customHeight="1">
      <c r="A456" t="inlineStr">
        <is>
          <t>A 54257-2023</t>
        </is>
      </c>
      <c r="B456" s="1" t="n">
        <v>45232.64195601852</v>
      </c>
      <c r="C456" s="1" t="n">
        <v>46045</v>
      </c>
      <c r="D456" t="inlineStr">
        <is>
          <t>DALARNAS LÄN</t>
        </is>
      </c>
      <c r="E456" t="inlineStr">
        <is>
          <t>MORA</t>
        </is>
      </c>
      <c r="G456" t="n">
        <v>4</v>
      </c>
      <c r="H456" t="n">
        <v>0</v>
      </c>
      <c r="I456" t="n">
        <v>0</v>
      </c>
      <c r="J456" t="n">
        <v>0</v>
      </c>
      <c r="K456" t="n">
        <v>0</v>
      </c>
      <c r="L456" t="n">
        <v>0</v>
      </c>
      <c r="M456" t="n">
        <v>0</v>
      </c>
      <c r="N456" t="n">
        <v>0</v>
      </c>
      <c r="O456" t="n">
        <v>0</v>
      </c>
      <c r="P456" t="n">
        <v>0</v>
      </c>
      <c r="Q456" t="n">
        <v>0</v>
      </c>
      <c r="R456" s="2" t="inlineStr"/>
    </row>
    <row r="457" ht="15" customHeight="1">
      <c r="A457" t="inlineStr">
        <is>
          <t>A 26577-2025</t>
        </is>
      </c>
      <c r="B457" s="1" t="n">
        <v>45807</v>
      </c>
      <c r="C457" s="1" t="n">
        <v>46045</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37385-2022</t>
        </is>
      </c>
      <c r="B458" s="1" t="n">
        <v>44806</v>
      </c>
      <c r="C458" s="1" t="n">
        <v>46045</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26854-2025</t>
        </is>
      </c>
      <c r="B459" s="1" t="n">
        <v>45810.67462962963</v>
      </c>
      <c r="C459" s="1" t="n">
        <v>46045</v>
      </c>
      <c r="D459" t="inlineStr">
        <is>
          <t>DALARNAS LÄN</t>
        </is>
      </c>
      <c r="E459" t="inlineStr">
        <is>
          <t>MORA</t>
        </is>
      </c>
      <c r="G459" t="n">
        <v>4.4</v>
      </c>
      <c r="H459" t="n">
        <v>0</v>
      </c>
      <c r="I459" t="n">
        <v>0</v>
      </c>
      <c r="J459" t="n">
        <v>0</v>
      </c>
      <c r="K459" t="n">
        <v>0</v>
      </c>
      <c r="L459" t="n">
        <v>0</v>
      </c>
      <c r="M459" t="n">
        <v>0</v>
      </c>
      <c r="N459" t="n">
        <v>0</v>
      </c>
      <c r="O459" t="n">
        <v>0</v>
      </c>
      <c r="P459" t="n">
        <v>0</v>
      </c>
      <c r="Q459" t="n">
        <v>0</v>
      </c>
      <c r="R459" s="2" t="inlineStr"/>
    </row>
    <row r="460" ht="15" customHeight="1">
      <c r="A460" t="inlineStr">
        <is>
          <t>A 54367-2025</t>
        </is>
      </c>
      <c r="B460" s="1" t="n">
        <v>45965.4031712963</v>
      </c>
      <c r="C460" s="1" t="n">
        <v>46045</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26731-2025</t>
        </is>
      </c>
      <c r="B461" s="1" t="n">
        <v>45810.50702546296</v>
      </c>
      <c r="C461" s="1" t="n">
        <v>46045</v>
      </c>
      <c r="D461" t="inlineStr">
        <is>
          <t>DALARNAS LÄN</t>
        </is>
      </c>
      <c r="E461" t="inlineStr">
        <is>
          <t>MORA</t>
        </is>
      </c>
      <c r="G461" t="n">
        <v>0.6</v>
      </c>
      <c r="H461" t="n">
        <v>0</v>
      </c>
      <c r="I461" t="n">
        <v>0</v>
      </c>
      <c r="J461" t="n">
        <v>0</v>
      </c>
      <c r="K461" t="n">
        <v>0</v>
      </c>
      <c r="L461" t="n">
        <v>0</v>
      </c>
      <c r="M461" t="n">
        <v>0</v>
      </c>
      <c r="N461" t="n">
        <v>0</v>
      </c>
      <c r="O461" t="n">
        <v>0</v>
      </c>
      <c r="P461" t="n">
        <v>0</v>
      </c>
      <c r="Q461" t="n">
        <v>0</v>
      </c>
      <c r="R461" s="2" t="inlineStr"/>
    </row>
    <row r="462" ht="15" customHeight="1">
      <c r="A462" t="inlineStr">
        <is>
          <t>A 62620-2025</t>
        </is>
      </c>
      <c r="B462" s="1" t="n">
        <v>46008.34148148148</v>
      </c>
      <c r="C462" s="1" t="n">
        <v>46045</v>
      </c>
      <c r="D462" t="inlineStr">
        <is>
          <t>DALARNAS LÄN</t>
        </is>
      </c>
      <c r="E462" t="inlineStr">
        <is>
          <t>MORA</t>
        </is>
      </c>
      <c r="G462" t="n">
        <v>3.3</v>
      </c>
      <c r="H462" t="n">
        <v>0</v>
      </c>
      <c r="I462" t="n">
        <v>0</v>
      </c>
      <c r="J462" t="n">
        <v>0</v>
      </c>
      <c r="K462" t="n">
        <v>0</v>
      </c>
      <c r="L462" t="n">
        <v>0</v>
      </c>
      <c r="M462" t="n">
        <v>0</v>
      </c>
      <c r="N462" t="n">
        <v>0</v>
      </c>
      <c r="O462" t="n">
        <v>0</v>
      </c>
      <c r="P462" t="n">
        <v>0</v>
      </c>
      <c r="Q462" t="n">
        <v>0</v>
      </c>
      <c r="R462" s="2" t="inlineStr"/>
    </row>
    <row r="463" ht="15" customHeight="1">
      <c r="A463" t="inlineStr">
        <is>
          <t>A 26711-2025</t>
        </is>
      </c>
      <c r="B463" s="1" t="n">
        <v>45810.46144675926</v>
      </c>
      <c r="C463" s="1" t="n">
        <v>46045</v>
      </c>
      <c r="D463" t="inlineStr">
        <is>
          <t>DALARNAS LÄN</t>
        </is>
      </c>
      <c r="E463" t="inlineStr">
        <is>
          <t>MORA</t>
        </is>
      </c>
      <c r="G463" t="n">
        <v>0.5</v>
      </c>
      <c r="H463" t="n">
        <v>0</v>
      </c>
      <c r="I463" t="n">
        <v>0</v>
      </c>
      <c r="J463" t="n">
        <v>0</v>
      </c>
      <c r="K463" t="n">
        <v>0</v>
      </c>
      <c r="L463" t="n">
        <v>0</v>
      </c>
      <c r="M463" t="n">
        <v>0</v>
      </c>
      <c r="N463" t="n">
        <v>0</v>
      </c>
      <c r="O463" t="n">
        <v>0</v>
      </c>
      <c r="P463" t="n">
        <v>0</v>
      </c>
      <c r="Q463" t="n">
        <v>0</v>
      </c>
      <c r="R463" s="2" t="inlineStr"/>
    </row>
    <row r="464" ht="15" customHeight="1">
      <c r="A464" t="inlineStr">
        <is>
          <t>A 61217-2023</t>
        </is>
      </c>
      <c r="B464" s="1" t="n">
        <v>45264.43802083333</v>
      </c>
      <c r="C464" s="1" t="n">
        <v>46045</v>
      </c>
      <c r="D464" t="inlineStr">
        <is>
          <t>DALARNAS LÄN</t>
        </is>
      </c>
      <c r="E464" t="inlineStr">
        <is>
          <t>MORA</t>
        </is>
      </c>
      <c r="F464" t="inlineStr">
        <is>
          <t>Allmännings- och besparingsskogar</t>
        </is>
      </c>
      <c r="G464" t="n">
        <v>2</v>
      </c>
      <c r="H464" t="n">
        <v>0</v>
      </c>
      <c r="I464" t="n">
        <v>0</v>
      </c>
      <c r="J464" t="n">
        <v>0</v>
      </c>
      <c r="K464" t="n">
        <v>0</v>
      </c>
      <c r="L464" t="n">
        <v>0</v>
      </c>
      <c r="M464" t="n">
        <v>0</v>
      </c>
      <c r="N464" t="n">
        <v>0</v>
      </c>
      <c r="O464" t="n">
        <v>0</v>
      </c>
      <c r="P464" t="n">
        <v>0</v>
      </c>
      <c r="Q464" t="n">
        <v>0</v>
      </c>
      <c r="R464" s="2" t="inlineStr"/>
    </row>
    <row r="465" ht="15" customHeight="1">
      <c r="A465" t="inlineStr">
        <is>
          <t>A 61218-2023</t>
        </is>
      </c>
      <c r="B465" s="1" t="n">
        <v>45264</v>
      </c>
      <c r="C465" s="1" t="n">
        <v>46045</v>
      </c>
      <c r="D465" t="inlineStr">
        <is>
          <t>DALARNAS LÄN</t>
        </is>
      </c>
      <c r="E465" t="inlineStr">
        <is>
          <t>MORA</t>
        </is>
      </c>
      <c r="F465" t="inlineStr">
        <is>
          <t>Allmännings- och besparingsskogar</t>
        </is>
      </c>
      <c r="G465" t="n">
        <v>2.6</v>
      </c>
      <c r="H465" t="n">
        <v>0</v>
      </c>
      <c r="I465" t="n">
        <v>0</v>
      </c>
      <c r="J465" t="n">
        <v>0</v>
      </c>
      <c r="K465" t="n">
        <v>0</v>
      </c>
      <c r="L465" t="n">
        <v>0</v>
      </c>
      <c r="M465" t="n">
        <v>0</v>
      </c>
      <c r="N465" t="n">
        <v>0</v>
      </c>
      <c r="O465" t="n">
        <v>0</v>
      </c>
      <c r="P465" t="n">
        <v>0</v>
      </c>
      <c r="Q465" t="n">
        <v>0</v>
      </c>
      <c r="R465" s="2" t="inlineStr"/>
    </row>
    <row r="466" ht="15" customHeight="1">
      <c r="A466" t="inlineStr">
        <is>
          <t>A 62548-2025</t>
        </is>
      </c>
      <c r="B466" s="1" t="n">
        <v>46007.66275462963</v>
      </c>
      <c r="C466" s="1" t="n">
        <v>46045</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43641-2022</t>
        </is>
      </c>
      <c r="B467" s="1" t="n">
        <v>44837</v>
      </c>
      <c r="C467" s="1" t="n">
        <v>46045</v>
      </c>
      <c r="D467" t="inlineStr">
        <is>
          <t>DALARNAS LÄN</t>
        </is>
      </c>
      <c r="E467" t="inlineStr">
        <is>
          <t>MORA</t>
        </is>
      </c>
      <c r="G467" t="n">
        <v>1.8</v>
      </c>
      <c r="H467" t="n">
        <v>0</v>
      </c>
      <c r="I467" t="n">
        <v>0</v>
      </c>
      <c r="J467" t="n">
        <v>0</v>
      </c>
      <c r="K467" t="n">
        <v>0</v>
      </c>
      <c r="L467" t="n">
        <v>0</v>
      </c>
      <c r="M467" t="n">
        <v>0</v>
      </c>
      <c r="N467" t="n">
        <v>0</v>
      </c>
      <c r="O467" t="n">
        <v>0</v>
      </c>
      <c r="P467" t="n">
        <v>0</v>
      </c>
      <c r="Q467" t="n">
        <v>0</v>
      </c>
      <c r="R467" s="2" t="inlineStr"/>
    </row>
    <row r="468" ht="15" customHeight="1">
      <c r="A468" t="inlineStr">
        <is>
          <t>A 25749-2023</t>
        </is>
      </c>
      <c r="B468" s="1" t="n">
        <v>45090</v>
      </c>
      <c r="C468" s="1" t="n">
        <v>46045</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35363-2024</t>
        </is>
      </c>
      <c r="B469" s="1" t="n">
        <v>45531.34050925926</v>
      </c>
      <c r="C469" s="1" t="n">
        <v>46045</v>
      </c>
      <c r="D469" t="inlineStr">
        <is>
          <t>DALARNAS LÄN</t>
        </is>
      </c>
      <c r="E469" t="inlineStr">
        <is>
          <t>MORA</t>
        </is>
      </c>
      <c r="G469" t="n">
        <v>2.5</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46045</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58972-2023</t>
        </is>
      </c>
      <c r="B471" s="1" t="n">
        <v>45252</v>
      </c>
      <c r="C471" s="1" t="n">
        <v>46045</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58171-2024</t>
        </is>
      </c>
      <c r="B472" s="1" t="n">
        <v>45632.46545138889</v>
      </c>
      <c r="C472" s="1" t="n">
        <v>46045</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27177-2025</t>
        </is>
      </c>
      <c r="B473" s="1" t="n">
        <v>45812.3533912037</v>
      </c>
      <c r="C473" s="1" t="n">
        <v>46045</v>
      </c>
      <c r="D473" t="inlineStr">
        <is>
          <t>DALARNAS LÄN</t>
        </is>
      </c>
      <c r="E473" t="inlineStr">
        <is>
          <t>MORA</t>
        </is>
      </c>
      <c r="F473" t="inlineStr">
        <is>
          <t>Bergvik skog öst AB</t>
        </is>
      </c>
      <c r="G473" t="n">
        <v>2.5</v>
      </c>
      <c r="H473" t="n">
        <v>0</v>
      </c>
      <c r="I473" t="n">
        <v>0</v>
      </c>
      <c r="J473" t="n">
        <v>0</v>
      </c>
      <c r="K473" t="n">
        <v>0</v>
      </c>
      <c r="L473" t="n">
        <v>0</v>
      </c>
      <c r="M473" t="n">
        <v>0</v>
      </c>
      <c r="N473" t="n">
        <v>0</v>
      </c>
      <c r="O473" t="n">
        <v>0</v>
      </c>
      <c r="P473" t="n">
        <v>0</v>
      </c>
      <c r="Q473" t="n">
        <v>0</v>
      </c>
      <c r="R473" s="2" t="inlineStr"/>
    </row>
    <row r="474" ht="15" customHeight="1">
      <c r="A474" t="inlineStr">
        <is>
          <t>A 27194-2025</t>
        </is>
      </c>
      <c r="B474" s="1" t="n">
        <v>45812.37965277778</v>
      </c>
      <c r="C474" s="1" t="n">
        <v>46045</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14611-2025</t>
        </is>
      </c>
      <c r="B475" s="1" t="n">
        <v>45742.38511574074</v>
      </c>
      <c r="C475" s="1" t="n">
        <v>46045</v>
      </c>
      <c r="D475" t="inlineStr">
        <is>
          <t>DALARNAS LÄN</t>
        </is>
      </c>
      <c r="E475" t="inlineStr">
        <is>
          <t>MORA</t>
        </is>
      </c>
      <c r="F475" t="inlineStr">
        <is>
          <t>Bergvik skog väst AB</t>
        </is>
      </c>
      <c r="G475" t="n">
        <v>2.9</v>
      </c>
      <c r="H475" t="n">
        <v>0</v>
      </c>
      <c r="I475" t="n">
        <v>0</v>
      </c>
      <c r="J475" t="n">
        <v>0</v>
      </c>
      <c r="K475" t="n">
        <v>0</v>
      </c>
      <c r="L475" t="n">
        <v>0</v>
      </c>
      <c r="M475" t="n">
        <v>0</v>
      </c>
      <c r="N475" t="n">
        <v>0</v>
      </c>
      <c r="O475" t="n">
        <v>0</v>
      </c>
      <c r="P475" t="n">
        <v>0</v>
      </c>
      <c r="Q475" t="n">
        <v>0</v>
      </c>
      <c r="R475" s="2" t="inlineStr"/>
    </row>
    <row r="476" ht="15" customHeight="1">
      <c r="A476" t="inlineStr">
        <is>
          <t>A 27175-2025</t>
        </is>
      </c>
      <c r="B476" s="1" t="n">
        <v>45812.35072916667</v>
      </c>
      <c r="C476" s="1" t="n">
        <v>46045</v>
      </c>
      <c r="D476" t="inlineStr">
        <is>
          <t>DALARNAS LÄN</t>
        </is>
      </c>
      <c r="E476" t="inlineStr">
        <is>
          <t>MORA</t>
        </is>
      </c>
      <c r="F476" t="inlineStr">
        <is>
          <t>Bergvik skog öst AB</t>
        </is>
      </c>
      <c r="G476" t="n">
        <v>4</v>
      </c>
      <c r="H476" t="n">
        <v>0</v>
      </c>
      <c r="I476" t="n">
        <v>0</v>
      </c>
      <c r="J476" t="n">
        <v>0</v>
      </c>
      <c r="K476" t="n">
        <v>0</v>
      </c>
      <c r="L476" t="n">
        <v>0</v>
      </c>
      <c r="M476" t="n">
        <v>0</v>
      </c>
      <c r="N476" t="n">
        <v>0</v>
      </c>
      <c r="O476" t="n">
        <v>0</v>
      </c>
      <c r="P476" t="n">
        <v>0</v>
      </c>
      <c r="Q476" t="n">
        <v>0</v>
      </c>
      <c r="R476" s="2" t="inlineStr"/>
    </row>
    <row r="477" ht="15" customHeight="1">
      <c r="A477" t="inlineStr">
        <is>
          <t>A 54508-2025</t>
        </is>
      </c>
      <c r="B477" s="1" t="n">
        <v>45965.61844907407</v>
      </c>
      <c r="C477" s="1" t="n">
        <v>46045</v>
      </c>
      <c r="D477" t="inlineStr">
        <is>
          <t>DALARNAS LÄN</t>
        </is>
      </c>
      <c r="E477" t="inlineStr">
        <is>
          <t>MORA</t>
        </is>
      </c>
      <c r="G477" t="n">
        <v>0.9</v>
      </c>
      <c r="H477" t="n">
        <v>0</v>
      </c>
      <c r="I477" t="n">
        <v>0</v>
      </c>
      <c r="J477" t="n">
        <v>0</v>
      </c>
      <c r="K477" t="n">
        <v>0</v>
      </c>
      <c r="L477" t="n">
        <v>0</v>
      </c>
      <c r="M477" t="n">
        <v>0</v>
      </c>
      <c r="N477" t="n">
        <v>0</v>
      </c>
      <c r="O477" t="n">
        <v>0</v>
      </c>
      <c r="P477" t="n">
        <v>0</v>
      </c>
      <c r="Q477" t="n">
        <v>0</v>
      </c>
      <c r="R477" s="2" t="inlineStr"/>
    </row>
    <row r="478" ht="15" customHeight="1">
      <c r="A478" t="inlineStr">
        <is>
          <t>A 62626-2025</t>
        </is>
      </c>
      <c r="B478" s="1" t="n">
        <v>46008.34541666666</v>
      </c>
      <c r="C478" s="1" t="n">
        <v>46045</v>
      </c>
      <c r="D478" t="inlineStr">
        <is>
          <t>DALARNAS LÄN</t>
        </is>
      </c>
      <c r="E478" t="inlineStr">
        <is>
          <t>MORA</t>
        </is>
      </c>
      <c r="G478" t="n">
        <v>6.7</v>
      </c>
      <c r="H478" t="n">
        <v>0</v>
      </c>
      <c r="I478" t="n">
        <v>0</v>
      </c>
      <c r="J478" t="n">
        <v>0</v>
      </c>
      <c r="K478" t="n">
        <v>0</v>
      </c>
      <c r="L478" t="n">
        <v>0</v>
      </c>
      <c r="M478" t="n">
        <v>0</v>
      </c>
      <c r="N478" t="n">
        <v>0</v>
      </c>
      <c r="O478" t="n">
        <v>0</v>
      </c>
      <c r="P478" t="n">
        <v>0</v>
      </c>
      <c r="Q478" t="n">
        <v>0</v>
      </c>
      <c r="R478" s="2" t="inlineStr"/>
    </row>
    <row r="479" ht="15" customHeight="1">
      <c r="A479" t="inlineStr">
        <is>
          <t>A 33513-2024</t>
        </is>
      </c>
      <c r="B479" s="1" t="n">
        <v>45519.644375</v>
      </c>
      <c r="C479" s="1" t="n">
        <v>46045</v>
      </c>
      <c r="D479" t="inlineStr">
        <is>
          <t>DALARNAS LÄN</t>
        </is>
      </c>
      <c r="E479" t="inlineStr">
        <is>
          <t>MORA</t>
        </is>
      </c>
      <c r="G479" t="n">
        <v>5.9</v>
      </c>
      <c r="H479" t="n">
        <v>0</v>
      </c>
      <c r="I479" t="n">
        <v>0</v>
      </c>
      <c r="J479" t="n">
        <v>0</v>
      </c>
      <c r="K479" t="n">
        <v>0</v>
      </c>
      <c r="L479" t="n">
        <v>0</v>
      </c>
      <c r="M479" t="n">
        <v>0</v>
      </c>
      <c r="N479" t="n">
        <v>0</v>
      </c>
      <c r="O479" t="n">
        <v>0</v>
      </c>
      <c r="P479" t="n">
        <v>0</v>
      </c>
      <c r="Q479" t="n">
        <v>0</v>
      </c>
      <c r="R479" s="2" t="inlineStr"/>
    </row>
    <row r="480" ht="15" customHeight="1">
      <c r="A480" t="inlineStr">
        <is>
          <t>A 7565-2025</t>
        </is>
      </c>
      <c r="B480" s="1" t="n">
        <v>45705.59269675926</v>
      </c>
      <c r="C480" s="1" t="n">
        <v>46045</v>
      </c>
      <c r="D480" t="inlineStr">
        <is>
          <t>DALARNAS LÄN</t>
        </is>
      </c>
      <c r="E480" t="inlineStr">
        <is>
          <t>MORA</t>
        </is>
      </c>
      <c r="G480" t="n">
        <v>3</v>
      </c>
      <c r="H480" t="n">
        <v>0</v>
      </c>
      <c r="I480" t="n">
        <v>0</v>
      </c>
      <c r="J480" t="n">
        <v>0</v>
      </c>
      <c r="K480" t="n">
        <v>0</v>
      </c>
      <c r="L480" t="n">
        <v>0</v>
      </c>
      <c r="M480" t="n">
        <v>0</v>
      </c>
      <c r="N480" t="n">
        <v>0</v>
      </c>
      <c r="O480" t="n">
        <v>0</v>
      </c>
      <c r="P480" t="n">
        <v>0</v>
      </c>
      <c r="Q480" t="n">
        <v>0</v>
      </c>
      <c r="R480" s="2" t="inlineStr"/>
    </row>
    <row r="481" ht="15" customHeight="1">
      <c r="A481" t="inlineStr">
        <is>
          <t>A 39856-2024</t>
        </is>
      </c>
      <c r="B481" s="1" t="n">
        <v>45553.44084490741</v>
      </c>
      <c r="C481" s="1" t="n">
        <v>46045</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62628-2025</t>
        </is>
      </c>
      <c r="B482" s="1" t="n">
        <v>46008.35011574074</v>
      </c>
      <c r="C482" s="1" t="n">
        <v>46045</v>
      </c>
      <c r="D482" t="inlineStr">
        <is>
          <t>DALARNAS LÄN</t>
        </is>
      </c>
      <c r="E482" t="inlineStr">
        <is>
          <t>MORA</t>
        </is>
      </c>
      <c r="G482" t="n">
        <v>5.7</v>
      </c>
      <c r="H482" t="n">
        <v>0</v>
      </c>
      <c r="I482" t="n">
        <v>0</v>
      </c>
      <c r="J482" t="n">
        <v>0</v>
      </c>
      <c r="K482" t="n">
        <v>0</v>
      </c>
      <c r="L482" t="n">
        <v>0</v>
      </c>
      <c r="M482" t="n">
        <v>0</v>
      </c>
      <c r="N482" t="n">
        <v>0</v>
      </c>
      <c r="O482" t="n">
        <v>0</v>
      </c>
      <c r="P482" t="n">
        <v>0</v>
      </c>
      <c r="Q482" t="n">
        <v>0</v>
      </c>
      <c r="R482" s="2" t="inlineStr"/>
    </row>
    <row r="483" ht="15" customHeight="1">
      <c r="A483" t="inlineStr">
        <is>
          <t>A 27184-2025</t>
        </is>
      </c>
      <c r="B483" s="1" t="n">
        <v>45812.36133101852</v>
      </c>
      <c r="C483" s="1" t="n">
        <v>46045</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17268-2025</t>
        </is>
      </c>
      <c r="B484" s="1" t="n">
        <v>45756</v>
      </c>
      <c r="C484" s="1" t="n">
        <v>46045</v>
      </c>
      <c r="D484" t="inlineStr">
        <is>
          <t>DALARNAS LÄN</t>
        </is>
      </c>
      <c r="E484" t="inlineStr">
        <is>
          <t>MORA</t>
        </is>
      </c>
      <c r="G484" t="n">
        <v>6.8</v>
      </c>
      <c r="H484" t="n">
        <v>0</v>
      </c>
      <c r="I484" t="n">
        <v>0</v>
      </c>
      <c r="J484" t="n">
        <v>0</v>
      </c>
      <c r="K484" t="n">
        <v>0</v>
      </c>
      <c r="L484" t="n">
        <v>0</v>
      </c>
      <c r="M484" t="n">
        <v>0</v>
      </c>
      <c r="N484" t="n">
        <v>0</v>
      </c>
      <c r="O484" t="n">
        <v>0</v>
      </c>
      <c r="P484" t="n">
        <v>0</v>
      </c>
      <c r="Q484" t="n">
        <v>0</v>
      </c>
      <c r="R484" s="2" t="inlineStr"/>
    </row>
    <row r="485" ht="15" customHeight="1">
      <c r="A485" t="inlineStr">
        <is>
          <t>A 62853-2025</t>
        </is>
      </c>
      <c r="B485" s="1" t="n">
        <v>46008.72493055555</v>
      </c>
      <c r="C485" s="1" t="n">
        <v>46045</v>
      </c>
      <c r="D485" t="inlineStr">
        <is>
          <t>DALARNAS LÄN</t>
        </is>
      </c>
      <c r="E485" t="inlineStr">
        <is>
          <t>MORA</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54518-2025</t>
        </is>
      </c>
      <c r="B486" s="1" t="n">
        <v>45965.62608796296</v>
      </c>
      <c r="C486" s="1" t="n">
        <v>46045</v>
      </c>
      <c r="D486" t="inlineStr">
        <is>
          <t>DALARNAS LÄN</t>
        </is>
      </c>
      <c r="E486" t="inlineStr">
        <is>
          <t>MORA</t>
        </is>
      </c>
      <c r="G486" t="n">
        <v>7.1</v>
      </c>
      <c r="H486" t="n">
        <v>0</v>
      </c>
      <c r="I486" t="n">
        <v>0</v>
      </c>
      <c r="J486" t="n">
        <v>0</v>
      </c>
      <c r="K486" t="n">
        <v>0</v>
      </c>
      <c r="L486" t="n">
        <v>0</v>
      </c>
      <c r="M486" t="n">
        <v>0</v>
      </c>
      <c r="N486" t="n">
        <v>0</v>
      </c>
      <c r="O486" t="n">
        <v>0</v>
      </c>
      <c r="P486" t="n">
        <v>0</v>
      </c>
      <c r="Q486" t="n">
        <v>0</v>
      </c>
      <c r="R486" s="2" t="inlineStr"/>
    </row>
    <row r="487" ht="15" customHeight="1">
      <c r="A487" t="inlineStr">
        <is>
          <t>A 55262-2025</t>
        </is>
      </c>
      <c r="B487" s="1" t="n">
        <v>45968.64847222222</v>
      </c>
      <c r="C487" s="1" t="n">
        <v>46045</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54919-2025</t>
        </is>
      </c>
      <c r="B488" s="1" t="n">
        <v>45967.38884259259</v>
      </c>
      <c r="C488" s="1" t="n">
        <v>46045</v>
      </c>
      <c r="D488" t="inlineStr">
        <is>
          <t>DALARNAS LÄN</t>
        </is>
      </c>
      <c r="E488" t="inlineStr">
        <is>
          <t>MORA</t>
        </is>
      </c>
      <c r="F488" t="inlineStr">
        <is>
          <t>Bergvik skog väst AB</t>
        </is>
      </c>
      <c r="G488" t="n">
        <v>5.6</v>
      </c>
      <c r="H488" t="n">
        <v>0</v>
      </c>
      <c r="I488" t="n">
        <v>0</v>
      </c>
      <c r="J488" t="n">
        <v>0</v>
      </c>
      <c r="K488" t="n">
        <v>0</v>
      </c>
      <c r="L488" t="n">
        <v>0</v>
      </c>
      <c r="M488" t="n">
        <v>0</v>
      </c>
      <c r="N488" t="n">
        <v>0</v>
      </c>
      <c r="O488" t="n">
        <v>0</v>
      </c>
      <c r="P488" t="n">
        <v>0</v>
      </c>
      <c r="Q488" t="n">
        <v>0</v>
      </c>
      <c r="R488" s="2" t="inlineStr"/>
    </row>
    <row r="489" ht="15" customHeight="1">
      <c r="A489" t="inlineStr">
        <is>
          <t>A 55124-2025</t>
        </is>
      </c>
      <c r="B489" s="1" t="n">
        <v>45968.40621527778</v>
      </c>
      <c r="C489" s="1" t="n">
        <v>46045</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59182-2023</t>
        </is>
      </c>
      <c r="B490" s="1" t="n">
        <v>45253</v>
      </c>
      <c r="C490" s="1" t="n">
        <v>46045</v>
      </c>
      <c r="D490" t="inlineStr">
        <is>
          <t>DALARNAS LÄN</t>
        </is>
      </c>
      <c r="E490" t="inlineStr">
        <is>
          <t>MORA</t>
        </is>
      </c>
      <c r="G490" t="n">
        <v>3.3</v>
      </c>
      <c r="H490" t="n">
        <v>0</v>
      </c>
      <c r="I490" t="n">
        <v>0</v>
      </c>
      <c r="J490" t="n">
        <v>0</v>
      </c>
      <c r="K490" t="n">
        <v>0</v>
      </c>
      <c r="L490" t="n">
        <v>0</v>
      </c>
      <c r="M490" t="n">
        <v>0</v>
      </c>
      <c r="N490" t="n">
        <v>0</v>
      </c>
      <c r="O490" t="n">
        <v>0</v>
      </c>
      <c r="P490" t="n">
        <v>0</v>
      </c>
      <c r="Q490" t="n">
        <v>0</v>
      </c>
      <c r="R490" s="2" t="inlineStr"/>
    </row>
    <row r="491" ht="15" customHeight="1">
      <c r="A491" t="inlineStr">
        <is>
          <t>A 55123-2025</t>
        </is>
      </c>
      <c r="B491" s="1" t="n">
        <v>45968.40056712963</v>
      </c>
      <c r="C491" s="1" t="n">
        <v>46045</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27642-2025</t>
        </is>
      </c>
      <c r="B492" s="1" t="n">
        <v>45813.59405092592</v>
      </c>
      <c r="C492" s="1" t="n">
        <v>46045</v>
      </c>
      <c r="D492" t="inlineStr">
        <is>
          <t>DALARNAS LÄN</t>
        </is>
      </c>
      <c r="E492" t="inlineStr">
        <is>
          <t>MORA</t>
        </is>
      </c>
      <c r="G492" t="n">
        <v>2.5</v>
      </c>
      <c r="H492" t="n">
        <v>0</v>
      </c>
      <c r="I492" t="n">
        <v>0</v>
      </c>
      <c r="J492" t="n">
        <v>0</v>
      </c>
      <c r="K492" t="n">
        <v>0</v>
      </c>
      <c r="L492" t="n">
        <v>0</v>
      </c>
      <c r="M492" t="n">
        <v>0</v>
      </c>
      <c r="N492" t="n">
        <v>0</v>
      </c>
      <c r="O492" t="n">
        <v>0</v>
      </c>
      <c r="P492" t="n">
        <v>0</v>
      </c>
      <c r="Q492" t="n">
        <v>0</v>
      </c>
      <c r="R492" s="2" t="inlineStr"/>
    </row>
    <row r="493" ht="15" customHeight="1">
      <c r="A493" t="inlineStr">
        <is>
          <t>A 54868-2025</t>
        </is>
      </c>
      <c r="B493" s="1" t="n">
        <v>45966.85649305556</v>
      </c>
      <c r="C493" s="1" t="n">
        <v>46045</v>
      </c>
      <c r="D493" t="inlineStr">
        <is>
          <t>DALARNAS LÄN</t>
        </is>
      </c>
      <c r="E493" t="inlineStr">
        <is>
          <t>MORA</t>
        </is>
      </c>
      <c r="F493" t="inlineStr">
        <is>
          <t>Bergvik skog väst AB</t>
        </is>
      </c>
      <c r="G493" t="n">
        <v>5.6</v>
      </c>
      <c r="H493" t="n">
        <v>0</v>
      </c>
      <c r="I493" t="n">
        <v>0</v>
      </c>
      <c r="J493" t="n">
        <v>0</v>
      </c>
      <c r="K493" t="n">
        <v>0</v>
      </c>
      <c r="L493" t="n">
        <v>0</v>
      </c>
      <c r="M493" t="n">
        <v>0</v>
      </c>
      <c r="N493" t="n">
        <v>0</v>
      </c>
      <c r="O493" t="n">
        <v>0</v>
      </c>
      <c r="P493" t="n">
        <v>0</v>
      </c>
      <c r="Q493" t="n">
        <v>0</v>
      </c>
      <c r="R493" s="2" t="inlineStr"/>
    </row>
    <row r="494" ht="15" customHeight="1">
      <c r="A494" t="inlineStr">
        <is>
          <t>A 62965-2025</t>
        </is>
      </c>
      <c r="B494" s="1" t="n">
        <v>46009.46129629629</v>
      </c>
      <c r="C494" s="1" t="n">
        <v>46045</v>
      </c>
      <c r="D494" t="inlineStr">
        <is>
          <t>DALARNAS LÄN</t>
        </is>
      </c>
      <c r="E494" t="inlineStr">
        <is>
          <t>MORA</t>
        </is>
      </c>
      <c r="G494" t="n">
        <v>9.1</v>
      </c>
      <c r="H494" t="n">
        <v>0</v>
      </c>
      <c r="I494" t="n">
        <v>0</v>
      </c>
      <c r="J494" t="n">
        <v>0</v>
      </c>
      <c r="K494" t="n">
        <v>0</v>
      </c>
      <c r="L494" t="n">
        <v>0</v>
      </c>
      <c r="M494" t="n">
        <v>0</v>
      </c>
      <c r="N494" t="n">
        <v>0</v>
      </c>
      <c r="O494" t="n">
        <v>0</v>
      </c>
      <c r="P494" t="n">
        <v>0</v>
      </c>
      <c r="Q494" t="n">
        <v>0</v>
      </c>
      <c r="R494" s="2" t="inlineStr"/>
    </row>
    <row r="495" ht="15" customHeight="1">
      <c r="A495" t="inlineStr">
        <is>
          <t>A 501-2024</t>
        </is>
      </c>
      <c r="B495" s="1" t="n">
        <v>45299</v>
      </c>
      <c r="C495" s="1" t="n">
        <v>46045</v>
      </c>
      <c r="D495" t="inlineStr">
        <is>
          <t>DALARNAS LÄN</t>
        </is>
      </c>
      <c r="E495" t="inlineStr">
        <is>
          <t>MORA</t>
        </is>
      </c>
      <c r="G495" t="n">
        <v>2.5</v>
      </c>
      <c r="H495" t="n">
        <v>0</v>
      </c>
      <c r="I495" t="n">
        <v>0</v>
      </c>
      <c r="J495" t="n">
        <v>0</v>
      </c>
      <c r="K495" t="n">
        <v>0</v>
      </c>
      <c r="L495" t="n">
        <v>0</v>
      </c>
      <c r="M495" t="n">
        <v>0</v>
      </c>
      <c r="N495" t="n">
        <v>0</v>
      </c>
      <c r="O495" t="n">
        <v>0</v>
      </c>
      <c r="P495" t="n">
        <v>0</v>
      </c>
      <c r="Q495" t="n">
        <v>0</v>
      </c>
      <c r="R495" s="2" t="inlineStr"/>
    </row>
    <row r="496" ht="15" customHeight="1">
      <c r="A496" t="inlineStr">
        <is>
          <t>A 28033-2025</t>
        </is>
      </c>
      <c r="B496" s="1" t="n">
        <v>45817.6325462963</v>
      </c>
      <c r="C496" s="1" t="n">
        <v>46045</v>
      </c>
      <c r="D496" t="inlineStr">
        <is>
          <t>DALARNAS LÄN</t>
        </is>
      </c>
      <c r="E496" t="inlineStr">
        <is>
          <t>MORA</t>
        </is>
      </c>
      <c r="F496" t="inlineStr">
        <is>
          <t>Bergvik skog öst AB</t>
        </is>
      </c>
      <c r="G496" t="n">
        <v>12.8</v>
      </c>
      <c r="H496" t="n">
        <v>0</v>
      </c>
      <c r="I496" t="n">
        <v>0</v>
      </c>
      <c r="J496" t="n">
        <v>0</v>
      </c>
      <c r="K496" t="n">
        <v>0</v>
      </c>
      <c r="L496" t="n">
        <v>0</v>
      </c>
      <c r="M496" t="n">
        <v>0</v>
      </c>
      <c r="N496" t="n">
        <v>0</v>
      </c>
      <c r="O496" t="n">
        <v>0</v>
      </c>
      <c r="P496" t="n">
        <v>0</v>
      </c>
      <c r="Q496" t="n">
        <v>0</v>
      </c>
      <c r="R496" s="2" t="inlineStr"/>
    </row>
    <row r="497" ht="15" customHeight="1">
      <c r="A497" t="inlineStr">
        <is>
          <t>A 54909-2025</t>
        </is>
      </c>
      <c r="B497" s="1" t="n">
        <v>45967.374375</v>
      </c>
      <c r="C497" s="1" t="n">
        <v>46045</v>
      </c>
      <c r="D497" t="inlineStr">
        <is>
          <t>DALARNAS LÄN</t>
        </is>
      </c>
      <c r="E497" t="inlineStr">
        <is>
          <t>MORA</t>
        </is>
      </c>
      <c r="G497" t="n">
        <v>1.7</v>
      </c>
      <c r="H497" t="n">
        <v>0</v>
      </c>
      <c r="I497" t="n">
        <v>0</v>
      </c>
      <c r="J497" t="n">
        <v>0</v>
      </c>
      <c r="K497" t="n">
        <v>0</v>
      </c>
      <c r="L497" t="n">
        <v>0</v>
      </c>
      <c r="M497" t="n">
        <v>0</v>
      </c>
      <c r="N497" t="n">
        <v>0</v>
      </c>
      <c r="O497" t="n">
        <v>0</v>
      </c>
      <c r="P497" t="n">
        <v>0</v>
      </c>
      <c r="Q497" t="n">
        <v>0</v>
      </c>
      <c r="R497" s="2" t="inlineStr"/>
    </row>
    <row r="498" ht="15" customHeight="1">
      <c r="A498" t="inlineStr">
        <is>
          <t>A 64327-2023</t>
        </is>
      </c>
      <c r="B498" s="1" t="n">
        <v>45280</v>
      </c>
      <c r="C498" s="1" t="n">
        <v>46045</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54905-2025</t>
        </is>
      </c>
      <c r="B499" s="1" t="n">
        <v>45967.3700462963</v>
      </c>
      <c r="C499" s="1" t="n">
        <v>46045</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54910-2025</t>
        </is>
      </c>
      <c r="B500" s="1" t="n">
        <v>45967.37679398148</v>
      </c>
      <c r="C500" s="1" t="n">
        <v>46045</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63030-2025</t>
        </is>
      </c>
      <c r="B501" s="1" t="n">
        <v>46009.60133101852</v>
      </c>
      <c r="C501" s="1" t="n">
        <v>46045</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54862-2025</t>
        </is>
      </c>
      <c r="B502" s="1" t="n">
        <v>45966.76542824074</v>
      </c>
      <c r="C502" s="1" t="n">
        <v>46045</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62959-2025</t>
        </is>
      </c>
      <c r="B503" s="1" t="n">
        <v>46009.45792824074</v>
      </c>
      <c r="C503" s="1" t="n">
        <v>46045</v>
      </c>
      <c r="D503" t="inlineStr">
        <is>
          <t>DALARNAS LÄN</t>
        </is>
      </c>
      <c r="E503" t="inlineStr">
        <is>
          <t>MORA</t>
        </is>
      </c>
      <c r="G503" t="n">
        <v>2.6</v>
      </c>
      <c r="H503" t="n">
        <v>0</v>
      </c>
      <c r="I503" t="n">
        <v>0</v>
      </c>
      <c r="J503" t="n">
        <v>0</v>
      </c>
      <c r="K503" t="n">
        <v>0</v>
      </c>
      <c r="L503" t="n">
        <v>0</v>
      </c>
      <c r="M503" t="n">
        <v>0</v>
      </c>
      <c r="N503" t="n">
        <v>0</v>
      </c>
      <c r="O503" t="n">
        <v>0</v>
      </c>
      <c r="P503" t="n">
        <v>0</v>
      </c>
      <c r="Q503" t="n">
        <v>0</v>
      </c>
      <c r="R503" s="2" t="inlineStr"/>
    </row>
    <row r="504" ht="15" customHeight="1">
      <c r="A504" t="inlineStr">
        <is>
          <t>A 17494-2025</t>
        </is>
      </c>
      <c r="B504" s="1" t="n">
        <v>45757.52033564815</v>
      </c>
      <c r="C504" s="1" t="n">
        <v>46045</v>
      </c>
      <c r="D504" t="inlineStr">
        <is>
          <t>DALARNAS LÄN</t>
        </is>
      </c>
      <c r="E504" t="inlineStr">
        <is>
          <t>MORA</t>
        </is>
      </c>
      <c r="G504" t="n">
        <v>5.3</v>
      </c>
      <c r="H504" t="n">
        <v>0</v>
      </c>
      <c r="I504" t="n">
        <v>0</v>
      </c>
      <c r="J504" t="n">
        <v>0</v>
      </c>
      <c r="K504" t="n">
        <v>0</v>
      </c>
      <c r="L504" t="n">
        <v>0</v>
      </c>
      <c r="M504" t="n">
        <v>0</v>
      </c>
      <c r="N504" t="n">
        <v>0</v>
      </c>
      <c r="O504" t="n">
        <v>0</v>
      </c>
      <c r="P504" t="n">
        <v>0</v>
      </c>
      <c r="Q504" t="n">
        <v>0</v>
      </c>
      <c r="R504" s="2" t="inlineStr"/>
    </row>
    <row r="505" ht="15" customHeight="1">
      <c r="A505" t="inlineStr">
        <is>
          <t>A 63431-2025</t>
        </is>
      </c>
      <c r="B505" s="1" t="n">
        <v>46013.36268518519</v>
      </c>
      <c r="C505" s="1" t="n">
        <v>46045</v>
      </c>
      <c r="D505" t="inlineStr">
        <is>
          <t>DALARNAS LÄN</t>
        </is>
      </c>
      <c r="E505" t="inlineStr">
        <is>
          <t>MORA</t>
        </is>
      </c>
      <c r="F505" t="inlineStr">
        <is>
          <t>Allmännings- och besparingsskogar</t>
        </is>
      </c>
      <c r="G505" t="n">
        <v>5.7</v>
      </c>
      <c r="H505" t="n">
        <v>0</v>
      </c>
      <c r="I505" t="n">
        <v>0</v>
      </c>
      <c r="J505" t="n">
        <v>0</v>
      </c>
      <c r="K505" t="n">
        <v>0</v>
      </c>
      <c r="L505" t="n">
        <v>0</v>
      </c>
      <c r="M505" t="n">
        <v>0</v>
      </c>
      <c r="N505" t="n">
        <v>0</v>
      </c>
      <c r="O505" t="n">
        <v>0</v>
      </c>
      <c r="P505" t="n">
        <v>0</v>
      </c>
      <c r="Q505" t="n">
        <v>0</v>
      </c>
      <c r="R505" s="2" t="inlineStr"/>
    </row>
    <row r="506" ht="15" customHeight="1">
      <c r="A506" t="inlineStr">
        <is>
          <t>A 63692-2025</t>
        </is>
      </c>
      <c r="B506" s="1" t="n">
        <v>46014.54496527778</v>
      </c>
      <c r="C506" s="1" t="n">
        <v>46045</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63689-2025</t>
        </is>
      </c>
      <c r="B507" s="1" t="n">
        <v>46014.539375</v>
      </c>
      <c r="C507" s="1" t="n">
        <v>46045</v>
      </c>
      <c r="D507" t="inlineStr">
        <is>
          <t>DALARNAS LÄN</t>
        </is>
      </c>
      <c r="E507" t="inlineStr">
        <is>
          <t>MORA</t>
        </is>
      </c>
      <c r="G507" t="n">
        <v>2.2</v>
      </c>
      <c r="H507" t="n">
        <v>0</v>
      </c>
      <c r="I507" t="n">
        <v>0</v>
      </c>
      <c r="J507" t="n">
        <v>0</v>
      </c>
      <c r="K507" t="n">
        <v>0</v>
      </c>
      <c r="L507" t="n">
        <v>0</v>
      </c>
      <c r="M507" t="n">
        <v>0</v>
      </c>
      <c r="N507" t="n">
        <v>0</v>
      </c>
      <c r="O507" t="n">
        <v>0</v>
      </c>
      <c r="P507" t="n">
        <v>0</v>
      </c>
      <c r="Q507" t="n">
        <v>0</v>
      </c>
      <c r="R507" s="2" t="inlineStr"/>
    </row>
    <row r="508" ht="15" customHeight="1">
      <c r="A508" t="inlineStr">
        <is>
          <t>A 28751-2025</t>
        </is>
      </c>
      <c r="B508" s="1" t="n">
        <v>45820.40034722222</v>
      </c>
      <c r="C508" s="1" t="n">
        <v>46045</v>
      </c>
      <c r="D508" t="inlineStr">
        <is>
          <t>DALARNAS LÄN</t>
        </is>
      </c>
      <c r="E508" t="inlineStr">
        <is>
          <t>MORA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58958-2022</t>
        </is>
      </c>
      <c r="B509" s="1" t="n">
        <v>44903.6605324074</v>
      </c>
      <c r="C509" s="1" t="n">
        <v>46045</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63434-2025</t>
        </is>
      </c>
      <c r="B510" s="1" t="n">
        <v>46013.36556712963</v>
      </c>
      <c r="C510" s="1" t="n">
        <v>46045</v>
      </c>
      <c r="D510" t="inlineStr">
        <is>
          <t>DALARNAS LÄN</t>
        </is>
      </c>
      <c r="E510" t="inlineStr">
        <is>
          <t>MORA</t>
        </is>
      </c>
      <c r="F510" t="inlineStr">
        <is>
          <t>Allmännings- och besparingsskogar</t>
        </is>
      </c>
      <c r="G510" t="n">
        <v>3.6</v>
      </c>
      <c r="H510" t="n">
        <v>0</v>
      </c>
      <c r="I510" t="n">
        <v>0</v>
      </c>
      <c r="J510" t="n">
        <v>0</v>
      </c>
      <c r="K510" t="n">
        <v>0</v>
      </c>
      <c r="L510" t="n">
        <v>0</v>
      </c>
      <c r="M510" t="n">
        <v>0</v>
      </c>
      <c r="N510" t="n">
        <v>0</v>
      </c>
      <c r="O510" t="n">
        <v>0</v>
      </c>
      <c r="P510" t="n">
        <v>0</v>
      </c>
      <c r="Q510" t="n">
        <v>0</v>
      </c>
      <c r="R510" s="2" t="inlineStr"/>
    </row>
    <row r="511" ht="15" customHeight="1">
      <c r="A511" t="inlineStr">
        <is>
          <t>A 12987-2024</t>
        </is>
      </c>
      <c r="B511" s="1" t="n">
        <v>45385.55375</v>
      </c>
      <c r="C511" s="1" t="n">
        <v>46045</v>
      </c>
      <c r="D511" t="inlineStr">
        <is>
          <t>DALARNAS LÄN</t>
        </is>
      </c>
      <c r="E511" t="inlineStr">
        <is>
          <t>MORA</t>
        </is>
      </c>
      <c r="G511" t="n">
        <v>1.3</v>
      </c>
      <c r="H511" t="n">
        <v>0</v>
      </c>
      <c r="I511" t="n">
        <v>0</v>
      </c>
      <c r="J511" t="n">
        <v>0</v>
      </c>
      <c r="K511" t="n">
        <v>0</v>
      </c>
      <c r="L511" t="n">
        <v>0</v>
      </c>
      <c r="M511" t="n">
        <v>0</v>
      </c>
      <c r="N511" t="n">
        <v>0</v>
      </c>
      <c r="O511" t="n">
        <v>0</v>
      </c>
      <c r="P511" t="n">
        <v>0</v>
      </c>
      <c r="Q511" t="n">
        <v>0</v>
      </c>
      <c r="R511" s="2" t="inlineStr"/>
    </row>
    <row r="512" ht="15" customHeight="1">
      <c r="A512" t="inlineStr">
        <is>
          <t>A 29188-2023</t>
        </is>
      </c>
      <c r="B512" s="1" t="n">
        <v>45105.54270833333</v>
      </c>
      <c r="C512" s="1" t="n">
        <v>46045</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63457-2025</t>
        </is>
      </c>
      <c r="B513" s="1" t="n">
        <v>46013.42269675926</v>
      </c>
      <c r="C513" s="1" t="n">
        <v>46045</v>
      </c>
      <c r="D513" t="inlineStr">
        <is>
          <t>DALARNAS LÄN</t>
        </is>
      </c>
      <c r="E513" t="inlineStr">
        <is>
          <t>MORA</t>
        </is>
      </c>
      <c r="F513" t="inlineStr">
        <is>
          <t>Allmännings- och besparingsskogar</t>
        </is>
      </c>
      <c r="G513" t="n">
        <v>34.4</v>
      </c>
      <c r="H513" t="n">
        <v>0</v>
      </c>
      <c r="I513" t="n">
        <v>0</v>
      </c>
      <c r="J513" t="n">
        <v>0</v>
      </c>
      <c r="K513" t="n">
        <v>0</v>
      </c>
      <c r="L513" t="n">
        <v>0</v>
      </c>
      <c r="M513" t="n">
        <v>0</v>
      </c>
      <c r="N513" t="n">
        <v>0</v>
      </c>
      <c r="O513" t="n">
        <v>0</v>
      </c>
      <c r="P513" t="n">
        <v>0</v>
      </c>
      <c r="Q513" t="n">
        <v>0</v>
      </c>
      <c r="R513" s="2" t="inlineStr"/>
    </row>
    <row r="514" ht="15" customHeight="1">
      <c r="A514" t="inlineStr">
        <is>
          <t>A 28925-2025</t>
        </is>
      </c>
      <c r="B514" s="1" t="n">
        <v>45820.67107638889</v>
      </c>
      <c r="C514" s="1" t="n">
        <v>46045</v>
      </c>
      <c r="D514" t="inlineStr">
        <is>
          <t>DALARNAS LÄN</t>
        </is>
      </c>
      <c r="E514" t="inlineStr">
        <is>
          <t>MORA</t>
        </is>
      </c>
      <c r="G514" t="n">
        <v>3.7</v>
      </c>
      <c r="H514" t="n">
        <v>0</v>
      </c>
      <c r="I514" t="n">
        <v>0</v>
      </c>
      <c r="J514" t="n">
        <v>0</v>
      </c>
      <c r="K514" t="n">
        <v>0</v>
      </c>
      <c r="L514" t="n">
        <v>0</v>
      </c>
      <c r="M514" t="n">
        <v>0</v>
      </c>
      <c r="N514" t="n">
        <v>0</v>
      </c>
      <c r="O514" t="n">
        <v>0</v>
      </c>
      <c r="P514" t="n">
        <v>0</v>
      </c>
      <c r="Q514" t="n">
        <v>0</v>
      </c>
      <c r="R514" s="2" t="inlineStr"/>
    </row>
    <row r="515" ht="15" customHeight="1">
      <c r="A515" t="inlineStr">
        <is>
          <t>A 28927-2025</t>
        </is>
      </c>
      <c r="B515" s="1" t="n">
        <v>45820.67221064815</v>
      </c>
      <c r="C515" s="1" t="n">
        <v>46045</v>
      </c>
      <c r="D515" t="inlineStr">
        <is>
          <t>DALARNAS LÄN</t>
        </is>
      </c>
      <c r="E515" t="inlineStr">
        <is>
          <t>MORA</t>
        </is>
      </c>
      <c r="G515" t="n">
        <v>0.4</v>
      </c>
      <c r="H515" t="n">
        <v>0</v>
      </c>
      <c r="I515" t="n">
        <v>0</v>
      </c>
      <c r="J515" t="n">
        <v>0</v>
      </c>
      <c r="K515" t="n">
        <v>0</v>
      </c>
      <c r="L515" t="n">
        <v>0</v>
      </c>
      <c r="M515" t="n">
        <v>0</v>
      </c>
      <c r="N515" t="n">
        <v>0</v>
      </c>
      <c r="O515" t="n">
        <v>0</v>
      </c>
      <c r="P515" t="n">
        <v>0</v>
      </c>
      <c r="Q515" t="n">
        <v>0</v>
      </c>
      <c r="R515" s="2" t="inlineStr"/>
    </row>
    <row r="516" ht="15" customHeight="1">
      <c r="A516" t="inlineStr">
        <is>
          <t>A 28924-2025</t>
        </is>
      </c>
      <c r="B516" s="1" t="n">
        <v>45820.66846064815</v>
      </c>
      <c r="C516" s="1" t="n">
        <v>46045</v>
      </c>
      <c r="D516" t="inlineStr">
        <is>
          <t>DALARNAS LÄN</t>
        </is>
      </c>
      <c r="E516" t="inlineStr">
        <is>
          <t>MORA</t>
        </is>
      </c>
      <c r="G516" t="n">
        <v>0.6</v>
      </c>
      <c r="H516" t="n">
        <v>0</v>
      </c>
      <c r="I516" t="n">
        <v>0</v>
      </c>
      <c r="J516" t="n">
        <v>0</v>
      </c>
      <c r="K516" t="n">
        <v>0</v>
      </c>
      <c r="L516" t="n">
        <v>0</v>
      </c>
      <c r="M516" t="n">
        <v>0</v>
      </c>
      <c r="N516" t="n">
        <v>0</v>
      </c>
      <c r="O516" t="n">
        <v>0</v>
      </c>
      <c r="P516" t="n">
        <v>0</v>
      </c>
      <c r="Q516" t="n">
        <v>0</v>
      </c>
      <c r="R516" s="2" t="inlineStr"/>
    </row>
    <row r="517" ht="15" customHeight="1">
      <c r="A517" t="inlineStr">
        <is>
          <t>A 55284-2025</t>
        </is>
      </c>
      <c r="B517" s="1" t="n">
        <v>45968.8227662037</v>
      </c>
      <c r="C517" s="1" t="n">
        <v>46045</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63596-2025</t>
        </is>
      </c>
      <c r="B518" s="1" t="n">
        <v>46013.96362268519</v>
      </c>
      <c r="C518" s="1" t="n">
        <v>46045</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442-2024</t>
        </is>
      </c>
      <c r="B519" s="1" t="n">
        <v>45296.60353009259</v>
      </c>
      <c r="C519" s="1" t="n">
        <v>46045</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15172-2025</t>
        </is>
      </c>
      <c r="B520" s="1" t="n">
        <v>45744.50722222222</v>
      </c>
      <c r="C520" s="1" t="n">
        <v>46045</v>
      </c>
      <c r="D520" t="inlineStr">
        <is>
          <t>DALARNAS LÄN</t>
        </is>
      </c>
      <c r="E520" t="inlineStr">
        <is>
          <t>MORA</t>
        </is>
      </c>
      <c r="G520" t="n">
        <v>3.2</v>
      </c>
      <c r="H520" t="n">
        <v>0</v>
      </c>
      <c r="I520" t="n">
        <v>0</v>
      </c>
      <c r="J520" t="n">
        <v>0</v>
      </c>
      <c r="K520" t="n">
        <v>0</v>
      </c>
      <c r="L520" t="n">
        <v>0</v>
      </c>
      <c r="M520" t="n">
        <v>0</v>
      </c>
      <c r="N520" t="n">
        <v>0</v>
      </c>
      <c r="O520" t="n">
        <v>0</v>
      </c>
      <c r="P520" t="n">
        <v>0</v>
      </c>
      <c r="Q520" t="n">
        <v>0</v>
      </c>
      <c r="R520" s="2" t="inlineStr"/>
    </row>
    <row r="521" ht="15" customHeight="1">
      <c r="A521" t="inlineStr">
        <is>
          <t>A 29425-2025</t>
        </is>
      </c>
      <c r="B521" s="1" t="n">
        <v>45824.64524305556</v>
      </c>
      <c r="C521" s="1" t="n">
        <v>46045</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28976-2025</t>
        </is>
      </c>
      <c r="B522" s="1" t="n">
        <v>45821.34855324074</v>
      </c>
      <c r="C522" s="1" t="n">
        <v>46045</v>
      </c>
      <c r="D522" t="inlineStr">
        <is>
          <t>DALARNAS LÄN</t>
        </is>
      </c>
      <c r="E522" t="inlineStr">
        <is>
          <t>MORA</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29440-2025</t>
        </is>
      </c>
      <c r="B523" s="1" t="n">
        <v>45824.65862268519</v>
      </c>
      <c r="C523" s="1" t="n">
        <v>46045</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29068-2025</t>
        </is>
      </c>
      <c r="B524" s="1" t="n">
        <v>45821.50900462963</v>
      </c>
      <c r="C524" s="1" t="n">
        <v>46045</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17278-2025</t>
        </is>
      </c>
      <c r="B525" s="1" t="n">
        <v>45756.56131944444</v>
      </c>
      <c r="C525" s="1" t="n">
        <v>46045</v>
      </c>
      <c r="D525" t="inlineStr">
        <is>
          <t>DALARNAS LÄN</t>
        </is>
      </c>
      <c r="E525" t="inlineStr">
        <is>
          <t>MORA</t>
        </is>
      </c>
      <c r="G525" t="n">
        <v>3</v>
      </c>
      <c r="H525" t="n">
        <v>0</v>
      </c>
      <c r="I525" t="n">
        <v>0</v>
      </c>
      <c r="J525" t="n">
        <v>0</v>
      </c>
      <c r="K525" t="n">
        <v>0</v>
      </c>
      <c r="L525" t="n">
        <v>0</v>
      </c>
      <c r="M525" t="n">
        <v>0</v>
      </c>
      <c r="N525" t="n">
        <v>0</v>
      </c>
      <c r="O525" t="n">
        <v>0</v>
      </c>
      <c r="P525" t="n">
        <v>0</v>
      </c>
      <c r="Q525" t="n">
        <v>0</v>
      </c>
      <c r="R525" s="2" t="inlineStr"/>
    </row>
    <row r="526" ht="15" customHeight="1">
      <c r="A526" t="inlineStr">
        <is>
          <t>A 33627-2024</t>
        </is>
      </c>
      <c r="B526" s="1" t="n">
        <v>45520</v>
      </c>
      <c r="C526" s="1" t="n">
        <v>46045</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29870-2025</t>
        </is>
      </c>
      <c r="B527" s="1" t="n">
        <v>45826.35716435185</v>
      </c>
      <c r="C527" s="1" t="n">
        <v>46045</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29873-2025</t>
        </is>
      </c>
      <c r="B528" s="1" t="n">
        <v>45826</v>
      </c>
      <c r="C528" s="1" t="n">
        <v>46045</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60674-2023</t>
        </is>
      </c>
      <c r="B529" s="1" t="n">
        <v>45260.46609953704</v>
      </c>
      <c r="C529" s="1" t="n">
        <v>46045</v>
      </c>
      <c r="D529" t="inlineStr">
        <is>
          <t>DALARNAS LÄN</t>
        </is>
      </c>
      <c r="E529" t="inlineStr">
        <is>
          <t>MORA</t>
        </is>
      </c>
      <c r="G529" t="n">
        <v>2.9</v>
      </c>
      <c r="H529" t="n">
        <v>0</v>
      </c>
      <c r="I529" t="n">
        <v>0</v>
      </c>
      <c r="J529" t="n">
        <v>0</v>
      </c>
      <c r="K529" t="n">
        <v>0</v>
      </c>
      <c r="L529" t="n">
        <v>0</v>
      </c>
      <c r="M529" t="n">
        <v>0</v>
      </c>
      <c r="N529" t="n">
        <v>0</v>
      </c>
      <c r="O529" t="n">
        <v>0</v>
      </c>
      <c r="P529" t="n">
        <v>0</v>
      </c>
      <c r="Q529" t="n">
        <v>0</v>
      </c>
      <c r="R529" s="2" t="inlineStr"/>
    </row>
    <row r="530" ht="15" customHeight="1">
      <c r="A530" t="inlineStr">
        <is>
          <t>A 61293-2022</t>
        </is>
      </c>
      <c r="B530" s="1" t="n">
        <v>44915.62751157407</v>
      </c>
      <c r="C530" s="1" t="n">
        <v>46045</v>
      </c>
      <c r="D530" t="inlineStr">
        <is>
          <t>DALARNAS LÄN</t>
        </is>
      </c>
      <c r="E530" t="inlineStr">
        <is>
          <t>MORA</t>
        </is>
      </c>
      <c r="G530" t="n">
        <v>0.3</v>
      </c>
      <c r="H530" t="n">
        <v>0</v>
      </c>
      <c r="I530" t="n">
        <v>0</v>
      </c>
      <c r="J530" t="n">
        <v>0</v>
      </c>
      <c r="K530" t="n">
        <v>0</v>
      </c>
      <c r="L530" t="n">
        <v>0</v>
      </c>
      <c r="M530" t="n">
        <v>0</v>
      </c>
      <c r="N530" t="n">
        <v>0</v>
      </c>
      <c r="O530" t="n">
        <v>0</v>
      </c>
      <c r="P530" t="n">
        <v>0</v>
      </c>
      <c r="Q530" t="n">
        <v>0</v>
      </c>
      <c r="R530" s="2" t="inlineStr"/>
    </row>
    <row r="531" ht="15" customHeight="1">
      <c r="A531" t="inlineStr">
        <is>
          <t>A 60360-2023</t>
        </is>
      </c>
      <c r="B531" s="1" t="n">
        <v>45259</v>
      </c>
      <c r="C531" s="1" t="n">
        <v>46045</v>
      </c>
      <c r="D531" t="inlineStr">
        <is>
          <t>DALARNAS LÄN</t>
        </is>
      </c>
      <c r="E531" t="inlineStr">
        <is>
          <t>MORA</t>
        </is>
      </c>
      <c r="G531" t="n">
        <v>2.9</v>
      </c>
      <c r="H531" t="n">
        <v>0</v>
      </c>
      <c r="I531" t="n">
        <v>0</v>
      </c>
      <c r="J531" t="n">
        <v>0</v>
      </c>
      <c r="K531" t="n">
        <v>0</v>
      </c>
      <c r="L531" t="n">
        <v>0</v>
      </c>
      <c r="M531" t="n">
        <v>0</v>
      </c>
      <c r="N531" t="n">
        <v>0</v>
      </c>
      <c r="O531" t="n">
        <v>0</v>
      </c>
      <c r="P531" t="n">
        <v>0</v>
      </c>
      <c r="Q531" t="n">
        <v>0</v>
      </c>
      <c r="R531" s="2" t="inlineStr"/>
    </row>
    <row r="532" ht="15" customHeight="1">
      <c r="A532" t="inlineStr">
        <is>
          <t>A 18139-2025</t>
        </is>
      </c>
      <c r="B532" s="1" t="n">
        <v>45761.60459490741</v>
      </c>
      <c r="C532" s="1" t="n">
        <v>46045</v>
      </c>
      <c r="D532" t="inlineStr">
        <is>
          <t>DALARNAS LÄN</t>
        </is>
      </c>
      <c r="E532" t="inlineStr">
        <is>
          <t>MORA</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25499-2024</t>
        </is>
      </c>
      <c r="B533" s="1" t="n">
        <v>45463</v>
      </c>
      <c r="C533" s="1" t="n">
        <v>46045</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29528-2025</t>
        </is>
      </c>
      <c r="B534" s="1" t="n">
        <v>45825.34322916667</v>
      </c>
      <c r="C534" s="1" t="n">
        <v>46045</v>
      </c>
      <c r="D534" t="inlineStr">
        <is>
          <t>DALARNAS LÄN</t>
        </is>
      </c>
      <c r="E534" t="inlineStr">
        <is>
          <t>MORA</t>
        </is>
      </c>
      <c r="G534" t="n">
        <v>2.2</v>
      </c>
      <c r="H534" t="n">
        <v>0</v>
      </c>
      <c r="I534" t="n">
        <v>0</v>
      </c>
      <c r="J534" t="n">
        <v>0</v>
      </c>
      <c r="K534" t="n">
        <v>0</v>
      </c>
      <c r="L534" t="n">
        <v>0</v>
      </c>
      <c r="M534" t="n">
        <v>0</v>
      </c>
      <c r="N534" t="n">
        <v>0</v>
      </c>
      <c r="O534" t="n">
        <v>0</v>
      </c>
      <c r="P534" t="n">
        <v>0</v>
      </c>
      <c r="Q534" t="n">
        <v>0</v>
      </c>
      <c r="R534" s="2" t="inlineStr"/>
    </row>
    <row r="535" ht="15" customHeight="1">
      <c r="A535" t="inlineStr">
        <is>
          <t>A 61405-2023</t>
        </is>
      </c>
      <c r="B535" s="1" t="n">
        <v>45264.65987268519</v>
      </c>
      <c r="C535" s="1" t="n">
        <v>46045</v>
      </c>
      <c r="D535" t="inlineStr">
        <is>
          <t>DALARNAS LÄN</t>
        </is>
      </c>
      <c r="E535" t="inlineStr">
        <is>
          <t>MORA</t>
        </is>
      </c>
      <c r="G535" t="n">
        <v>0.4</v>
      </c>
      <c r="H535" t="n">
        <v>0</v>
      </c>
      <c r="I535" t="n">
        <v>0</v>
      </c>
      <c r="J535" t="n">
        <v>0</v>
      </c>
      <c r="K535" t="n">
        <v>0</v>
      </c>
      <c r="L535" t="n">
        <v>0</v>
      </c>
      <c r="M535" t="n">
        <v>0</v>
      </c>
      <c r="N535" t="n">
        <v>0</v>
      </c>
      <c r="O535" t="n">
        <v>0</v>
      </c>
      <c r="P535" t="n">
        <v>0</v>
      </c>
      <c r="Q535" t="n">
        <v>0</v>
      </c>
      <c r="R535" s="2" t="inlineStr"/>
    </row>
    <row r="536" ht="15" customHeight="1">
      <c r="A536" t="inlineStr">
        <is>
          <t>A 30087-2025</t>
        </is>
      </c>
      <c r="B536" s="1" t="n">
        <v>45826.6575</v>
      </c>
      <c r="C536" s="1" t="n">
        <v>46045</v>
      </c>
      <c r="D536" t="inlineStr">
        <is>
          <t>DALARNAS LÄN</t>
        </is>
      </c>
      <c r="E536" t="inlineStr">
        <is>
          <t>MORA</t>
        </is>
      </c>
      <c r="G536" t="n">
        <v>1.6</v>
      </c>
      <c r="H536" t="n">
        <v>0</v>
      </c>
      <c r="I536" t="n">
        <v>0</v>
      </c>
      <c r="J536" t="n">
        <v>0</v>
      </c>
      <c r="K536" t="n">
        <v>0</v>
      </c>
      <c r="L536" t="n">
        <v>0</v>
      </c>
      <c r="M536" t="n">
        <v>0</v>
      </c>
      <c r="N536" t="n">
        <v>0</v>
      </c>
      <c r="O536" t="n">
        <v>0</v>
      </c>
      <c r="P536" t="n">
        <v>0</v>
      </c>
      <c r="Q536" t="n">
        <v>0</v>
      </c>
      <c r="R536" s="2" t="inlineStr"/>
    </row>
    <row r="537" ht="15" customHeight="1">
      <c r="A537" t="inlineStr">
        <is>
          <t>A 57475-2022</t>
        </is>
      </c>
      <c r="B537" s="1" t="n">
        <v>44896</v>
      </c>
      <c r="C537" s="1" t="n">
        <v>46045</v>
      </c>
      <c r="D537" t="inlineStr">
        <is>
          <t>DALARNAS LÄN</t>
        </is>
      </c>
      <c r="E537" t="inlineStr">
        <is>
          <t>MORA</t>
        </is>
      </c>
      <c r="G537" t="n">
        <v>5.7</v>
      </c>
      <c r="H537" t="n">
        <v>0</v>
      </c>
      <c r="I537" t="n">
        <v>0</v>
      </c>
      <c r="J537" t="n">
        <v>0</v>
      </c>
      <c r="K537" t="n">
        <v>0</v>
      </c>
      <c r="L537" t="n">
        <v>0</v>
      </c>
      <c r="M537" t="n">
        <v>0</v>
      </c>
      <c r="N537" t="n">
        <v>0</v>
      </c>
      <c r="O537" t="n">
        <v>0</v>
      </c>
      <c r="P537" t="n">
        <v>0</v>
      </c>
      <c r="Q537" t="n">
        <v>0</v>
      </c>
      <c r="R537" s="2" t="inlineStr"/>
    </row>
    <row r="538" ht="15" customHeight="1">
      <c r="A538" t="inlineStr">
        <is>
          <t>A 56702-2025</t>
        </is>
      </c>
      <c r="B538" s="1" t="n">
        <v>45977.45586805556</v>
      </c>
      <c r="C538" s="1" t="n">
        <v>46045</v>
      </c>
      <c r="D538" t="inlineStr">
        <is>
          <t>DALARNAS LÄN</t>
        </is>
      </c>
      <c r="E538" t="inlineStr">
        <is>
          <t>MORA</t>
        </is>
      </c>
      <c r="G538" t="n">
        <v>2.2</v>
      </c>
      <c r="H538" t="n">
        <v>0</v>
      </c>
      <c r="I538" t="n">
        <v>0</v>
      </c>
      <c r="J538" t="n">
        <v>0</v>
      </c>
      <c r="K538" t="n">
        <v>0</v>
      </c>
      <c r="L538" t="n">
        <v>0</v>
      </c>
      <c r="M538" t="n">
        <v>0</v>
      </c>
      <c r="N538" t="n">
        <v>0</v>
      </c>
      <c r="O538" t="n">
        <v>0</v>
      </c>
      <c r="P538" t="n">
        <v>0</v>
      </c>
      <c r="Q538" t="n">
        <v>0</v>
      </c>
      <c r="R538" s="2" t="inlineStr"/>
    </row>
    <row r="539" ht="15" customHeight="1">
      <c r="A539" t="inlineStr">
        <is>
          <t>A 57101-2025</t>
        </is>
      </c>
      <c r="B539" s="1" t="n">
        <v>45979.44006944444</v>
      </c>
      <c r="C539" s="1" t="n">
        <v>46045</v>
      </c>
      <c r="D539" t="inlineStr">
        <is>
          <t>DALARNAS LÄN</t>
        </is>
      </c>
      <c r="E539" t="inlineStr">
        <is>
          <t>MORA</t>
        </is>
      </c>
      <c r="G539" t="n">
        <v>7.5</v>
      </c>
      <c r="H539" t="n">
        <v>0</v>
      </c>
      <c r="I539" t="n">
        <v>0</v>
      </c>
      <c r="J539" t="n">
        <v>0</v>
      </c>
      <c r="K539" t="n">
        <v>0</v>
      </c>
      <c r="L539" t="n">
        <v>0</v>
      </c>
      <c r="M539" t="n">
        <v>0</v>
      </c>
      <c r="N539" t="n">
        <v>0</v>
      </c>
      <c r="O539" t="n">
        <v>0</v>
      </c>
      <c r="P539" t="n">
        <v>0</v>
      </c>
      <c r="Q539" t="n">
        <v>0</v>
      </c>
      <c r="R539" s="2" t="inlineStr"/>
    </row>
    <row r="540" ht="15" customHeight="1">
      <c r="A540" t="inlineStr">
        <is>
          <t>A 57453-2025</t>
        </is>
      </c>
      <c r="B540" s="1" t="n">
        <v>45980.5122337963</v>
      </c>
      <c r="C540" s="1" t="n">
        <v>46045</v>
      </c>
      <c r="D540" t="inlineStr">
        <is>
          <t>DALARNAS LÄN</t>
        </is>
      </c>
      <c r="E540" t="inlineStr">
        <is>
          <t>MORA</t>
        </is>
      </c>
      <c r="F540" t="inlineStr">
        <is>
          <t>Allmännings- och besparingsskogar</t>
        </is>
      </c>
      <c r="G540" t="n">
        <v>2.9</v>
      </c>
      <c r="H540" t="n">
        <v>0</v>
      </c>
      <c r="I540" t="n">
        <v>0</v>
      </c>
      <c r="J540" t="n">
        <v>0</v>
      </c>
      <c r="K540" t="n">
        <v>0</v>
      </c>
      <c r="L540" t="n">
        <v>0</v>
      </c>
      <c r="M540" t="n">
        <v>0</v>
      </c>
      <c r="N540" t="n">
        <v>0</v>
      </c>
      <c r="O540" t="n">
        <v>0</v>
      </c>
      <c r="P540" t="n">
        <v>0</v>
      </c>
      <c r="Q540" t="n">
        <v>0</v>
      </c>
      <c r="R540" s="2" t="inlineStr"/>
    </row>
    <row r="541" ht="15" customHeight="1">
      <c r="A541" t="inlineStr">
        <is>
          <t>A 57097-2025</t>
        </is>
      </c>
      <c r="B541" s="1" t="n">
        <v>45979.43388888889</v>
      </c>
      <c r="C541" s="1" t="n">
        <v>46045</v>
      </c>
      <c r="D541" t="inlineStr">
        <is>
          <t>DALARNAS LÄN</t>
        </is>
      </c>
      <c r="E541" t="inlineStr">
        <is>
          <t>MORA</t>
        </is>
      </c>
      <c r="G541" t="n">
        <v>7.5</v>
      </c>
      <c r="H541" t="n">
        <v>0</v>
      </c>
      <c r="I541" t="n">
        <v>0</v>
      </c>
      <c r="J541" t="n">
        <v>0</v>
      </c>
      <c r="K541" t="n">
        <v>0</v>
      </c>
      <c r="L541" t="n">
        <v>0</v>
      </c>
      <c r="M541" t="n">
        <v>0</v>
      </c>
      <c r="N541" t="n">
        <v>0</v>
      </c>
      <c r="O541" t="n">
        <v>0</v>
      </c>
      <c r="P541" t="n">
        <v>0</v>
      </c>
      <c r="Q541" t="n">
        <v>0</v>
      </c>
      <c r="R541" s="2" t="inlineStr"/>
    </row>
    <row r="542" ht="15" customHeight="1">
      <c r="A542" t="inlineStr">
        <is>
          <t>A 30166-2025</t>
        </is>
      </c>
      <c r="B542" s="1" t="n">
        <v>45827.33116898148</v>
      </c>
      <c r="C542" s="1" t="n">
        <v>46045</v>
      </c>
      <c r="D542" t="inlineStr">
        <is>
          <t>DALARNAS LÄN</t>
        </is>
      </c>
      <c r="E542" t="inlineStr">
        <is>
          <t>MORA</t>
        </is>
      </c>
      <c r="G542" t="n">
        <v>1.3</v>
      </c>
      <c r="H542" t="n">
        <v>0</v>
      </c>
      <c r="I542" t="n">
        <v>0</v>
      </c>
      <c r="J542" t="n">
        <v>0</v>
      </c>
      <c r="K542" t="n">
        <v>0</v>
      </c>
      <c r="L542" t="n">
        <v>0</v>
      </c>
      <c r="M542" t="n">
        <v>0</v>
      </c>
      <c r="N542" t="n">
        <v>0</v>
      </c>
      <c r="O542" t="n">
        <v>0</v>
      </c>
      <c r="P542" t="n">
        <v>0</v>
      </c>
      <c r="Q542" t="n">
        <v>0</v>
      </c>
      <c r="R542" s="2" t="inlineStr"/>
    </row>
    <row r="543" ht="15" customHeight="1">
      <c r="A543" t="inlineStr">
        <is>
          <t>A 46414-2024</t>
        </is>
      </c>
      <c r="B543" s="1" t="n">
        <v>45582.45226851852</v>
      </c>
      <c r="C543" s="1" t="n">
        <v>46045</v>
      </c>
      <c r="D543" t="inlineStr">
        <is>
          <t>DALARNAS LÄN</t>
        </is>
      </c>
      <c r="E543" t="inlineStr">
        <is>
          <t>MORA</t>
        </is>
      </c>
      <c r="G543" t="n">
        <v>0.6</v>
      </c>
      <c r="H543" t="n">
        <v>0</v>
      </c>
      <c r="I543" t="n">
        <v>0</v>
      </c>
      <c r="J543" t="n">
        <v>0</v>
      </c>
      <c r="K543" t="n">
        <v>0</v>
      </c>
      <c r="L543" t="n">
        <v>0</v>
      </c>
      <c r="M543" t="n">
        <v>0</v>
      </c>
      <c r="N543" t="n">
        <v>0</v>
      </c>
      <c r="O543" t="n">
        <v>0</v>
      </c>
      <c r="P543" t="n">
        <v>0</v>
      </c>
      <c r="Q543" t="n">
        <v>0</v>
      </c>
      <c r="R543" s="2" t="inlineStr"/>
    </row>
    <row r="544" ht="15" customHeight="1">
      <c r="A544" t="inlineStr">
        <is>
          <t>A 46417-2024</t>
        </is>
      </c>
      <c r="B544" s="1" t="n">
        <v>45582.45449074074</v>
      </c>
      <c r="C544" s="1" t="n">
        <v>46045</v>
      </c>
      <c r="D544" t="inlineStr">
        <is>
          <t>DALARNAS LÄN</t>
        </is>
      </c>
      <c r="E544" t="inlineStr">
        <is>
          <t>MORA</t>
        </is>
      </c>
      <c r="G544" t="n">
        <v>0.8</v>
      </c>
      <c r="H544" t="n">
        <v>0</v>
      </c>
      <c r="I544" t="n">
        <v>0</v>
      </c>
      <c r="J544" t="n">
        <v>0</v>
      </c>
      <c r="K544" t="n">
        <v>0</v>
      </c>
      <c r="L544" t="n">
        <v>0</v>
      </c>
      <c r="M544" t="n">
        <v>0</v>
      </c>
      <c r="N544" t="n">
        <v>0</v>
      </c>
      <c r="O544" t="n">
        <v>0</v>
      </c>
      <c r="P544" t="n">
        <v>0</v>
      </c>
      <c r="Q544" t="n">
        <v>0</v>
      </c>
      <c r="R544" s="2" t="inlineStr"/>
    </row>
    <row r="545" ht="15" customHeight="1">
      <c r="A545" t="inlineStr">
        <is>
          <t>A 17280-2025</t>
        </is>
      </c>
      <c r="B545" s="1" t="n">
        <v>45756</v>
      </c>
      <c r="C545" s="1" t="n">
        <v>46045</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57976-2025</t>
        </is>
      </c>
      <c r="B546" s="1" t="n">
        <v>45982.39435185185</v>
      </c>
      <c r="C546" s="1" t="n">
        <v>46045</v>
      </c>
      <c r="D546" t="inlineStr">
        <is>
          <t>DALARNAS LÄN</t>
        </is>
      </c>
      <c r="E546" t="inlineStr">
        <is>
          <t>MORA</t>
        </is>
      </c>
      <c r="G546" t="n">
        <v>7.4</v>
      </c>
      <c r="H546" t="n">
        <v>0</v>
      </c>
      <c r="I546" t="n">
        <v>0</v>
      </c>
      <c r="J546" t="n">
        <v>0</v>
      </c>
      <c r="K546" t="n">
        <v>0</v>
      </c>
      <c r="L546" t="n">
        <v>0</v>
      </c>
      <c r="M546" t="n">
        <v>0</v>
      </c>
      <c r="N546" t="n">
        <v>0</v>
      </c>
      <c r="O546" t="n">
        <v>0</v>
      </c>
      <c r="P546" t="n">
        <v>0</v>
      </c>
      <c r="Q546" t="n">
        <v>0</v>
      </c>
      <c r="R546" s="2" t="inlineStr"/>
    </row>
    <row r="547" ht="15" customHeight="1">
      <c r="A547" t="inlineStr">
        <is>
          <t>A 57647-2025</t>
        </is>
      </c>
      <c r="B547" s="1" t="n">
        <v>45981.37621527778</v>
      </c>
      <c r="C547" s="1" t="n">
        <v>46045</v>
      </c>
      <c r="D547" t="inlineStr">
        <is>
          <t>DALARNAS LÄN</t>
        </is>
      </c>
      <c r="E547" t="inlineStr">
        <is>
          <t>MORA</t>
        </is>
      </c>
      <c r="G547" t="n">
        <v>3.9</v>
      </c>
      <c r="H547" t="n">
        <v>0</v>
      </c>
      <c r="I547" t="n">
        <v>0</v>
      </c>
      <c r="J547" t="n">
        <v>0</v>
      </c>
      <c r="K547" t="n">
        <v>0</v>
      </c>
      <c r="L547" t="n">
        <v>0</v>
      </c>
      <c r="M547" t="n">
        <v>0</v>
      </c>
      <c r="N547" t="n">
        <v>0</v>
      </c>
      <c r="O547" t="n">
        <v>0</v>
      </c>
      <c r="P547" t="n">
        <v>0</v>
      </c>
      <c r="Q547" t="n">
        <v>0</v>
      </c>
      <c r="R547" s="2" t="inlineStr"/>
    </row>
    <row r="548" ht="15" customHeight="1">
      <c r="A548" t="inlineStr">
        <is>
          <t>A 61270-2024</t>
        </is>
      </c>
      <c r="B548" s="1" t="n">
        <v>45645.74694444444</v>
      </c>
      <c r="C548" s="1" t="n">
        <v>46045</v>
      </c>
      <c r="D548" t="inlineStr">
        <is>
          <t>DALARNAS LÄN</t>
        </is>
      </c>
      <c r="E548" t="inlineStr">
        <is>
          <t>MORA</t>
        </is>
      </c>
      <c r="G548" t="n">
        <v>5.1</v>
      </c>
      <c r="H548" t="n">
        <v>0</v>
      </c>
      <c r="I548" t="n">
        <v>0</v>
      </c>
      <c r="J548" t="n">
        <v>0</v>
      </c>
      <c r="K548" t="n">
        <v>0</v>
      </c>
      <c r="L548" t="n">
        <v>0</v>
      </c>
      <c r="M548" t="n">
        <v>0</v>
      </c>
      <c r="N548" t="n">
        <v>0</v>
      </c>
      <c r="O548" t="n">
        <v>0</v>
      </c>
      <c r="P548" t="n">
        <v>0</v>
      </c>
      <c r="Q548" t="n">
        <v>0</v>
      </c>
      <c r="R548" s="2" t="inlineStr"/>
    </row>
    <row r="549" ht="15" customHeight="1">
      <c r="A549" t="inlineStr">
        <is>
          <t>A 57843-2025</t>
        </is>
      </c>
      <c r="B549" s="1" t="n">
        <v>45981.62792824074</v>
      </c>
      <c r="C549" s="1" t="n">
        <v>46045</v>
      </c>
      <c r="D549" t="inlineStr">
        <is>
          <t>DALARNAS LÄN</t>
        </is>
      </c>
      <c r="E549" t="inlineStr">
        <is>
          <t>MORA</t>
        </is>
      </c>
      <c r="G549" t="n">
        <v>4.5</v>
      </c>
      <c r="H549" t="n">
        <v>0</v>
      </c>
      <c r="I549" t="n">
        <v>0</v>
      </c>
      <c r="J549" t="n">
        <v>0</v>
      </c>
      <c r="K549" t="n">
        <v>0</v>
      </c>
      <c r="L549" t="n">
        <v>0</v>
      </c>
      <c r="M549" t="n">
        <v>0</v>
      </c>
      <c r="N549" t="n">
        <v>0</v>
      </c>
      <c r="O549" t="n">
        <v>0</v>
      </c>
      <c r="P549" t="n">
        <v>0</v>
      </c>
      <c r="Q549" t="n">
        <v>0</v>
      </c>
      <c r="R549" s="2" t="inlineStr"/>
    </row>
    <row r="550" ht="15" customHeight="1">
      <c r="A550" t="inlineStr">
        <is>
          <t>A 30507-2025</t>
        </is>
      </c>
      <c r="B550" s="1" t="n">
        <v>45831.24760416667</v>
      </c>
      <c r="C550" s="1" t="n">
        <v>46045</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57659-2025</t>
        </is>
      </c>
      <c r="B551" s="1" t="n">
        <v>45981.41228009259</v>
      </c>
      <c r="C551" s="1" t="n">
        <v>46045</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58169-2025</t>
        </is>
      </c>
      <c r="B552" s="1" t="n">
        <v>45982.72690972222</v>
      </c>
      <c r="C552" s="1" t="n">
        <v>46045</v>
      </c>
      <c r="D552" t="inlineStr">
        <is>
          <t>DALARNAS LÄN</t>
        </is>
      </c>
      <c r="E552" t="inlineStr">
        <is>
          <t>MORA</t>
        </is>
      </c>
      <c r="F552" t="inlineStr">
        <is>
          <t>Bergvik skog väst AB</t>
        </is>
      </c>
      <c r="G552" t="n">
        <v>7.7</v>
      </c>
      <c r="H552" t="n">
        <v>0</v>
      </c>
      <c r="I552" t="n">
        <v>0</v>
      </c>
      <c r="J552" t="n">
        <v>0</v>
      </c>
      <c r="K552" t="n">
        <v>0</v>
      </c>
      <c r="L552" t="n">
        <v>0</v>
      </c>
      <c r="M552" t="n">
        <v>0</v>
      </c>
      <c r="N552" t="n">
        <v>0</v>
      </c>
      <c r="O552" t="n">
        <v>0</v>
      </c>
      <c r="P552" t="n">
        <v>0</v>
      </c>
      <c r="Q552" t="n">
        <v>0</v>
      </c>
      <c r="R552" s="2" t="inlineStr"/>
    </row>
    <row r="553" ht="15" customHeight="1">
      <c r="A553" t="inlineStr">
        <is>
          <t>A 58001-2025</t>
        </is>
      </c>
      <c r="B553" s="1" t="n">
        <v>45982.43615740741</v>
      </c>
      <c r="C553" s="1" t="n">
        <v>46045</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57855-2025</t>
        </is>
      </c>
      <c r="B554" s="1" t="n">
        <v>45981.63909722222</v>
      </c>
      <c r="C554" s="1" t="n">
        <v>46045</v>
      </c>
      <c r="D554" t="inlineStr">
        <is>
          <t>DALARNAS LÄN</t>
        </is>
      </c>
      <c r="E554" t="inlineStr">
        <is>
          <t>MORA</t>
        </is>
      </c>
      <c r="G554" t="n">
        <v>9.9</v>
      </c>
      <c r="H554" t="n">
        <v>0</v>
      </c>
      <c r="I554" t="n">
        <v>0</v>
      </c>
      <c r="J554" t="n">
        <v>0</v>
      </c>
      <c r="K554" t="n">
        <v>0</v>
      </c>
      <c r="L554" t="n">
        <v>0</v>
      </c>
      <c r="M554" t="n">
        <v>0</v>
      </c>
      <c r="N554" t="n">
        <v>0</v>
      </c>
      <c r="O554" t="n">
        <v>0</v>
      </c>
      <c r="P554" t="n">
        <v>0</v>
      </c>
      <c r="Q554" t="n">
        <v>0</v>
      </c>
      <c r="R554" s="2" t="inlineStr"/>
    </row>
    <row r="555" ht="15" customHeight="1">
      <c r="A555" t="inlineStr">
        <is>
          <t>A 30858-2025</t>
        </is>
      </c>
      <c r="B555" s="1" t="n">
        <v>45831.92416666666</v>
      </c>
      <c r="C555" s="1" t="n">
        <v>46045</v>
      </c>
      <c r="D555" t="inlineStr">
        <is>
          <t>DALARNAS LÄN</t>
        </is>
      </c>
      <c r="E555" t="inlineStr">
        <is>
          <t>MORA</t>
        </is>
      </c>
      <c r="G555" t="n">
        <v>2.9</v>
      </c>
      <c r="H555" t="n">
        <v>0</v>
      </c>
      <c r="I555" t="n">
        <v>0</v>
      </c>
      <c r="J555" t="n">
        <v>0</v>
      </c>
      <c r="K555" t="n">
        <v>0</v>
      </c>
      <c r="L555" t="n">
        <v>0</v>
      </c>
      <c r="M555" t="n">
        <v>0</v>
      </c>
      <c r="N555" t="n">
        <v>0</v>
      </c>
      <c r="O555" t="n">
        <v>0</v>
      </c>
      <c r="P555" t="n">
        <v>0</v>
      </c>
      <c r="Q555" t="n">
        <v>0</v>
      </c>
      <c r="R555" s="2" t="inlineStr"/>
    </row>
    <row r="556" ht="15" customHeight="1">
      <c r="A556" t="inlineStr">
        <is>
          <t>A 30859-2025</t>
        </is>
      </c>
      <c r="B556" s="1" t="n">
        <v>45831.93105324074</v>
      </c>
      <c r="C556" s="1" t="n">
        <v>46045</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30989-2025</t>
        </is>
      </c>
      <c r="B557" s="1" t="n">
        <v>45832.48185185185</v>
      </c>
      <c r="C557" s="1" t="n">
        <v>46045</v>
      </c>
      <c r="D557" t="inlineStr">
        <is>
          <t>DALARNAS LÄN</t>
        </is>
      </c>
      <c r="E557" t="inlineStr">
        <is>
          <t>MORA</t>
        </is>
      </c>
      <c r="F557" t="inlineStr">
        <is>
          <t>Bergvik skog öst AB</t>
        </is>
      </c>
      <c r="G557" t="n">
        <v>4.1</v>
      </c>
      <c r="H557" t="n">
        <v>0</v>
      </c>
      <c r="I557" t="n">
        <v>0</v>
      </c>
      <c r="J557" t="n">
        <v>0</v>
      </c>
      <c r="K557" t="n">
        <v>0</v>
      </c>
      <c r="L557" t="n">
        <v>0</v>
      </c>
      <c r="M557" t="n">
        <v>0</v>
      </c>
      <c r="N557" t="n">
        <v>0</v>
      </c>
      <c r="O557" t="n">
        <v>0</v>
      </c>
      <c r="P557" t="n">
        <v>0</v>
      </c>
      <c r="Q557" t="n">
        <v>0</v>
      </c>
      <c r="R557" s="2" t="inlineStr"/>
    </row>
    <row r="558" ht="15" customHeight="1">
      <c r="A558" t="inlineStr">
        <is>
          <t>A 30509-2025</t>
        </is>
      </c>
      <c r="B558" s="1" t="n">
        <v>45831.25519675926</v>
      </c>
      <c r="C558" s="1" t="n">
        <v>46045</v>
      </c>
      <c r="D558" t="inlineStr">
        <is>
          <t>DALARNAS LÄN</t>
        </is>
      </c>
      <c r="E558" t="inlineStr">
        <is>
          <t>MORA</t>
        </is>
      </c>
      <c r="G558" t="n">
        <v>1.7</v>
      </c>
      <c r="H558" t="n">
        <v>0</v>
      </c>
      <c r="I558" t="n">
        <v>0</v>
      </c>
      <c r="J558" t="n">
        <v>0</v>
      </c>
      <c r="K558" t="n">
        <v>0</v>
      </c>
      <c r="L558" t="n">
        <v>0</v>
      </c>
      <c r="M558" t="n">
        <v>0</v>
      </c>
      <c r="N558" t="n">
        <v>0</v>
      </c>
      <c r="O558" t="n">
        <v>0</v>
      </c>
      <c r="P558" t="n">
        <v>0</v>
      </c>
      <c r="Q558" t="n">
        <v>0</v>
      </c>
      <c r="R558" s="2" t="inlineStr"/>
    </row>
    <row r="559" ht="15" customHeight="1">
      <c r="A559" t="inlineStr">
        <is>
          <t>A 58473-2025</t>
        </is>
      </c>
      <c r="B559" s="1" t="n">
        <v>45985.63859953704</v>
      </c>
      <c r="C559" s="1" t="n">
        <v>46045</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31849-2025</t>
        </is>
      </c>
      <c r="B560" s="1" t="n">
        <v>45834.60525462963</v>
      </c>
      <c r="C560" s="1" t="n">
        <v>46045</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7116-2024</t>
        </is>
      </c>
      <c r="B561" s="1" t="n">
        <v>45343.95445601852</v>
      </c>
      <c r="C561" s="1" t="n">
        <v>46045</v>
      </c>
      <c r="D561" t="inlineStr">
        <is>
          <t>DALARNAS LÄN</t>
        </is>
      </c>
      <c r="E561" t="inlineStr">
        <is>
          <t>MORA</t>
        </is>
      </c>
      <c r="G561" t="n">
        <v>0.3</v>
      </c>
      <c r="H561" t="n">
        <v>0</v>
      </c>
      <c r="I561" t="n">
        <v>0</v>
      </c>
      <c r="J561" t="n">
        <v>0</v>
      </c>
      <c r="K561" t="n">
        <v>0</v>
      </c>
      <c r="L561" t="n">
        <v>0</v>
      </c>
      <c r="M561" t="n">
        <v>0</v>
      </c>
      <c r="N561" t="n">
        <v>0</v>
      </c>
      <c r="O561" t="n">
        <v>0</v>
      </c>
      <c r="P561" t="n">
        <v>0</v>
      </c>
      <c r="Q561" t="n">
        <v>0</v>
      </c>
      <c r="R561" s="2" t="inlineStr"/>
    </row>
    <row r="562" ht="15" customHeight="1">
      <c r="A562" t="inlineStr">
        <is>
          <t>A 59995-2023</t>
        </is>
      </c>
      <c r="B562" s="1" t="n">
        <v>45254</v>
      </c>
      <c r="C562" s="1" t="n">
        <v>46045</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13479-2024</t>
        </is>
      </c>
      <c r="B563" s="1" t="n">
        <v>45387.5900925926</v>
      </c>
      <c r="C563" s="1" t="n">
        <v>46045</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31846-2025</t>
        </is>
      </c>
      <c r="B564" s="1" t="n">
        <v>45834.60209490741</v>
      </c>
      <c r="C564" s="1" t="n">
        <v>46045</v>
      </c>
      <c r="D564" t="inlineStr">
        <is>
          <t>DALARNAS LÄN</t>
        </is>
      </c>
      <c r="E564" t="inlineStr">
        <is>
          <t>MORA</t>
        </is>
      </c>
      <c r="G564" t="n">
        <v>3.6</v>
      </c>
      <c r="H564" t="n">
        <v>0</v>
      </c>
      <c r="I564" t="n">
        <v>0</v>
      </c>
      <c r="J564" t="n">
        <v>0</v>
      </c>
      <c r="K564" t="n">
        <v>0</v>
      </c>
      <c r="L564" t="n">
        <v>0</v>
      </c>
      <c r="M564" t="n">
        <v>0</v>
      </c>
      <c r="N564" t="n">
        <v>0</v>
      </c>
      <c r="O564" t="n">
        <v>0</v>
      </c>
      <c r="P564" t="n">
        <v>0</v>
      </c>
      <c r="Q564" t="n">
        <v>0</v>
      </c>
      <c r="R564" s="2" t="inlineStr"/>
    </row>
    <row r="565" ht="15" customHeight="1">
      <c r="A565" t="inlineStr">
        <is>
          <t>A 41812-2024</t>
        </is>
      </c>
      <c r="B565" s="1" t="n">
        <v>45561.3771412037</v>
      </c>
      <c r="C565" s="1" t="n">
        <v>46045</v>
      </c>
      <c r="D565" t="inlineStr">
        <is>
          <t>DALARNAS LÄN</t>
        </is>
      </c>
      <c r="E565" t="inlineStr">
        <is>
          <t>MORA</t>
        </is>
      </c>
      <c r="G565" t="n">
        <v>2.2</v>
      </c>
      <c r="H565" t="n">
        <v>0</v>
      </c>
      <c r="I565" t="n">
        <v>0</v>
      </c>
      <c r="J565" t="n">
        <v>0</v>
      </c>
      <c r="K565" t="n">
        <v>0</v>
      </c>
      <c r="L565" t="n">
        <v>0</v>
      </c>
      <c r="M565" t="n">
        <v>0</v>
      </c>
      <c r="N565" t="n">
        <v>0</v>
      </c>
      <c r="O565" t="n">
        <v>0</v>
      </c>
      <c r="P565" t="n">
        <v>0</v>
      </c>
      <c r="Q565" t="n">
        <v>0</v>
      </c>
      <c r="R565" s="2" t="inlineStr"/>
    </row>
    <row r="566" ht="15" customHeight="1">
      <c r="A566" t="inlineStr">
        <is>
          <t>A 42085-2024</t>
        </is>
      </c>
      <c r="B566" s="1" t="n">
        <v>45562.33179398148</v>
      </c>
      <c r="C566" s="1" t="n">
        <v>46045</v>
      </c>
      <c r="D566" t="inlineStr">
        <is>
          <t>DALARNAS LÄN</t>
        </is>
      </c>
      <c r="E566" t="inlineStr">
        <is>
          <t>MORA</t>
        </is>
      </c>
      <c r="G566" t="n">
        <v>4.9</v>
      </c>
      <c r="H566" t="n">
        <v>0</v>
      </c>
      <c r="I566" t="n">
        <v>0</v>
      </c>
      <c r="J566" t="n">
        <v>0</v>
      </c>
      <c r="K566" t="n">
        <v>0</v>
      </c>
      <c r="L566" t="n">
        <v>0</v>
      </c>
      <c r="M566" t="n">
        <v>0</v>
      </c>
      <c r="N566" t="n">
        <v>0</v>
      </c>
      <c r="O566" t="n">
        <v>0</v>
      </c>
      <c r="P566" t="n">
        <v>0</v>
      </c>
      <c r="Q566" t="n">
        <v>0</v>
      </c>
      <c r="R566" s="2" t="inlineStr"/>
    </row>
    <row r="567" ht="15" customHeight="1">
      <c r="A567" t="inlineStr">
        <is>
          <t>A 31842-2025</t>
        </is>
      </c>
      <c r="B567" s="1" t="n">
        <v>45834.59822916667</v>
      </c>
      <c r="C567" s="1" t="n">
        <v>46045</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60465-2023</t>
        </is>
      </c>
      <c r="B568" s="1" t="n">
        <v>45259.57872685185</v>
      </c>
      <c r="C568" s="1" t="n">
        <v>46045</v>
      </c>
      <c r="D568" t="inlineStr">
        <is>
          <t>DALARNAS LÄN</t>
        </is>
      </c>
      <c r="E568" t="inlineStr">
        <is>
          <t>MORA</t>
        </is>
      </c>
      <c r="G568" t="n">
        <v>1.3</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45132.6291550926</v>
      </c>
      <c r="C569" s="1" t="n">
        <v>46045</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673-2026</t>
        </is>
      </c>
      <c r="B570" s="1" t="n">
        <v>46029</v>
      </c>
      <c r="C570" s="1" t="n">
        <v>46045</v>
      </c>
      <c r="D570" t="inlineStr">
        <is>
          <t>DALARNAS LÄN</t>
        </is>
      </c>
      <c r="E570" t="inlineStr">
        <is>
          <t>MORA</t>
        </is>
      </c>
      <c r="F570" t="inlineStr">
        <is>
          <t>Kommuner</t>
        </is>
      </c>
      <c r="G570" t="n">
        <v>25.8</v>
      </c>
      <c r="H570" t="n">
        <v>0</v>
      </c>
      <c r="I570" t="n">
        <v>0</v>
      </c>
      <c r="J570" t="n">
        <v>0</v>
      </c>
      <c r="K570" t="n">
        <v>0</v>
      </c>
      <c r="L570" t="n">
        <v>0</v>
      </c>
      <c r="M570" t="n">
        <v>0</v>
      </c>
      <c r="N570" t="n">
        <v>0</v>
      </c>
      <c r="O570" t="n">
        <v>0</v>
      </c>
      <c r="P570" t="n">
        <v>0</v>
      </c>
      <c r="Q570" t="n">
        <v>0</v>
      </c>
      <c r="R570" s="2" t="inlineStr"/>
    </row>
    <row r="571" ht="15" customHeight="1">
      <c r="A571" t="inlineStr">
        <is>
          <t>A 29193-2023</t>
        </is>
      </c>
      <c r="B571" s="1" t="n">
        <v>45105.54791666667</v>
      </c>
      <c r="C571" s="1" t="n">
        <v>46045</v>
      </c>
      <c r="D571" t="inlineStr">
        <is>
          <t>DALARNAS LÄN</t>
        </is>
      </c>
      <c r="E571" t="inlineStr">
        <is>
          <t>MORA</t>
        </is>
      </c>
      <c r="G571" t="n">
        <v>0.4</v>
      </c>
      <c r="H571" t="n">
        <v>0</v>
      </c>
      <c r="I571" t="n">
        <v>0</v>
      </c>
      <c r="J571" t="n">
        <v>0</v>
      </c>
      <c r="K571" t="n">
        <v>0</v>
      </c>
      <c r="L571" t="n">
        <v>0</v>
      </c>
      <c r="M571" t="n">
        <v>0</v>
      </c>
      <c r="N571" t="n">
        <v>0</v>
      </c>
      <c r="O571" t="n">
        <v>0</v>
      </c>
      <c r="P571" t="n">
        <v>0</v>
      </c>
      <c r="Q571" t="n">
        <v>0</v>
      </c>
      <c r="R571" s="2" t="inlineStr"/>
    </row>
    <row r="572" ht="15" customHeight="1">
      <c r="A572" t="inlineStr">
        <is>
          <t>A 35325-2024</t>
        </is>
      </c>
      <c r="B572" s="1" t="n">
        <v>45530.71158564815</v>
      </c>
      <c r="C572" s="1" t="n">
        <v>46045</v>
      </c>
      <c r="D572" t="inlineStr">
        <is>
          <t>DALARNAS LÄN</t>
        </is>
      </c>
      <c r="E572" t="inlineStr">
        <is>
          <t>MORA</t>
        </is>
      </c>
      <c r="G572" t="n">
        <v>5</v>
      </c>
      <c r="H572" t="n">
        <v>0</v>
      </c>
      <c r="I572" t="n">
        <v>0</v>
      </c>
      <c r="J572" t="n">
        <v>0</v>
      </c>
      <c r="K572" t="n">
        <v>0</v>
      </c>
      <c r="L572" t="n">
        <v>0</v>
      </c>
      <c r="M572" t="n">
        <v>0</v>
      </c>
      <c r="N572" t="n">
        <v>0</v>
      </c>
      <c r="O572" t="n">
        <v>0</v>
      </c>
      <c r="P572" t="n">
        <v>0</v>
      </c>
      <c r="Q572" t="n">
        <v>0</v>
      </c>
      <c r="R572" s="2" t="inlineStr"/>
    </row>
    <row r="573" ht="15" customHeight="1">
      <c r="A573" t="inlineStr">
        <is>
          <t>A 1068-2026</t>
        </is>
      </c>
      <c r="B573" s="1" t="n">
        <v>46030</v>
      </c>
      <c r="C573" s="1" t="n">
        <v>46045</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902-2026</t>
        </is>
      </c>
      <c r="B574" s="1" t="n">
        <v>46030.46954861111</v>
      </c>
      <c r="C574" s="1" t="n">
        <v>46045</v>
      </c>
      <c r="D574" t="inlineStr">
        <is>
          <t>DALARNAS LÄN</t>
        </is>
      </c>
      <c r="E574" t="inlineStr">
        <is>
          <t>MORA</t>
        </is>
      </c>
      <c r="G574" t="n">
        <v>4.2</v>
      </c>
      <c r="H574" t="n">
        <v>0</v>
      </c>
      <c r="I574" t="n">
        <v>0</v>
      </c>
      <c r="J574" t="n">
        <v>0</v>
      </c>
      <c r="K574" t="n">
        <v>0</v>
      </c>
      <c r="L574" t="n">
        <v>0</v>
      </c>
      <c r="M574" t="n">
        <v>0</v>
      </c>
      <c r="N574" t="n">
        <v>0</v>
      </c>
      <c r="O574" t="n">
        <v>0</v>
      </c>
      <c r="P574" t="n">
        <v>0</v>
      </c>
      <c r="Q574" t="n">
        <v>0</v>
      </c>
      <c r="R574" s="2" t="inlineStr"/>
    </row>
    <row r="575" ht="15" customHeight="1">
      <c r="A575" t="inlineStr">
        <is>
          <t>A 6371-2022</t>
        </is>
      </c>
      <c r="B575" s="1" t="n">
        <v>44600</v>
      </c>
      <c r="C575" s="1" t="n">
        <v>46045</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59094-2025</t>
        </is>
      </c>
      <c r="B576" s="1" t="n">
        <v>45988.45105324074</v>
      </c>
      <c r="C576" s="1" t="n">
        <v>46045</v>
      </c>
      <c r="D576" t="inlineStr">
        <is>
          <t>DALARNAS LÄN</t>
        </is>
      </c>
      <c r="E576" t="inlineStr">
        <is>
          <t>MORA</t>
        </is>
      </c>
      <c r="G576" t="n">
        <v>10</v>
      </c>
      <c r="H576" t="n">
        <v>0</v>
      </c>
      <c r="I576" t="n">
        <v>0</v>
      </c>
      <c r="J576" t="n">
        <v>0</v>
      </c>
      <c r="K576" t="n">
        <v>0</v>
      </c>
      <c r="L576" t="n">
        <v>0</v>
      </c>
      <c r="M576" t="n">
        <v>0</v>
      </c>
      <c r="N576" t="n">
        <v>0</v>
      </c>
      <c r="O576" t="n">
        <v>0</v>
      </c>
      <c r="P576" t="n">
        <v>0</v>
      </c>
      <c r="Q576" t="n">
        <v>0</v>
      </c>
      <c r="R576" s="2" t="inlineStr"/>
    </row>
    <row r="577" ht="15" customHeight="1">
      <c r="A577" t="inlineStr">
        <is>
          <t>A 32852-2025</t>
        </is>
      </c>
      <c r="B577" s="1" t="n">
        <v>45839.57559027777</v>
      </c>
      <c r="C577" s="1" t="n">
        <v>46045</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665-2026</t>
        </is>
      </c>
      <c r="B578" s="1" t="n">
        <v>46029.58813657407</v>
      </c>
      <c r="C578" s="1" t="n">
        <v>46045</v>
      </c>
      <c r="D578" t="inlineStr">
        <is>
          <t>DALARNAS LÄN</t>
        </is>
      </c>
      <c r="E578" t="inlineStr">
        <is>
          <t>MORA</t>
        </is>
      </c>
      <c r="F578" t="inlineStr">
        <is>
          <t>Kommuner</t>
        </is>
      </c>
      <c r="G578" t="n">
        <v>20.9</v>
      </c>
      <c r="H578" t="n">
        <v>0</v>
      </c>
      <c r="I578" t="n">
        <v>0</v>
      </c>
      <c r="J578" t="n">
        <v>0</v>
      </c>
      <c r="K578" t="n">
        <v>0</v>
      </c>
      <c r="L578" t="n">
        <v>0</v>
      </c>
      <c r="M578" t="n">
        <v>0</v>
      </c>
      <c r="N578" t="n">
        <v>0</v>
      </c>
      <c r="O578" t="n">
        <v>0</v>
      </c>
      <c r="P578" t="n">
        <v>0</v>
      </c>
      <c r="Q578" t="n">
        <v>0</v>
      </c>
      <c r="R578" s="2" t="inlineStr"/>
    </row>
    <row r="579" ht="15" customHeight="1">
      <c r="A579" t="inlineStr">
        <is>
          <t>A 64093-2023</t>
        </is>
      </c>
      <c r="B579" s="1" t="n">
        <v>45279</v>
      </c>
      <c r="C579" s="1" t="n">
        <v>46045</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33443-2025</t>
        </is>
      </c>
      <c r="B580" s="1" t="n">
        <v>45841</v>
      </c>
      <c r="C580" s="1" t="n">
        <v>46045</v>
      </c>
      <c r="D580" t="inlineStr">
        <is>
          <t>DALARNAS LÄN</t>
        </is>
      </c>
      <c r="E580" t="inlineStr">
        <is>
          <t>MORA</t>
        </is>
      </c>
      <c r="G580" t="n">
        <v>2.7</v>
      </c>
      <c r="H580" t="n">
        <v>0</v>
      </c>
      <c r="I580" t="n">
        <v>0</v>
      </c>
      <c r="J580" t="n">
        <v>0</v>
      </c>
      <c r="K580" t="n">
        <v>0</v>
      </c>
      <c r="L580" t="n">
        <v>0</v>
      </c>
      <c r="M580" t="n">
        <v>0</v>
      </c>
      <c r="N580" t="n">
        <v>0</v>
      </c>
      <c r="O580" t="n">
        <v>0</v>
      </c>
      <c r="P580" t="n">
        <v>0</v>
      </c>
      <c r="Q580" t="n">
        <v>0</v>
      </c>
      <c r="R580" s="2" t="inlineStr"/>
    </row>
    <row r="581" ht="15" customHeight="1">
      <c r="A581" t="inlineStr">
        <is>
          <t>A 28832-2023</t>
        </is>
      </c>
      <c r="B581" s="1" t="n">
        <v>45104.40493055555</v>
      </c>
      <c r="C581" s="1" t="n">
        <v>46045</v>
      </c>
      <c r="D581" t="inlineStr">
        <is>
          <t>DALARNAS LÄN</t>
        </is>
      </c>
      <c r="E581" t="inlineStr">
        <is>
          <t>MORA</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45159.59186342593</v>
      </c>
      <c r="C582" s="1" t="n">
        <v>46045</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27188-2023</t>
        </is>
      </c>
      <c r="B583" s="1" t="n">
        <v>45096</v>
      </c>
      <c r="C583" s="1" t="n">
        <v>46045</v>
      </c>
      <c r="D583" t="inlineStr">
        <is>
          <t>DALARNAS LÄN</t>
        </is>
      </c>
      <c r="E583" t="inlineStr">
        <is>
          <t>MORA</t>
        </is>
      </c>
      <c r="G583" t="n">
        <v>4.8</v>
      </c>
      <c r="H583" t="n">
        <v>0</v>
      </c>
      <c r="I583" t="n">
        <v>0</v>
      </c>
      <c r="J583" t="n">
        <v>0</v>
      </c>
      <c r="K583" t="n">
        <v>0</v>
      </c>
      <c r="L583" t="n">
        <v>0</v>
      </c>
      <c r="M583" t="n">
        <v>0</v>
      </c>
      <c r="N583" t="n">
        <v>0</v>
      </c>
      <c r="O583" t="n">
        <v>0</v>
      </c>
      <c r="P583" t="n">
        <v>0</v>
      </c>
      <c r="Q583" t="n">
        <v>0</v>
      </c>
      <c r="R583" s="2" t="inlineStr"/>
    </row>
    <row r="584" ht="15" customHeight="1">
      <c r="A584" t="inlineStr">
        <is>
          <t>A 31395-2024</t>
        </is>
      </c>
      <c r="B584" s="1" t="n">
        <v>45505.47716435185</v>
      </c>
      <c r="C584" s="1" t="n">
        <v>46045</v>
      </c>
      <c r="D584" t="inlineStr">
        <is>
          <t>DALARNAS LÄN</t>
        </is>
      </c>
      <c r="E584" t="inlineStr">
        <is>
          <t>MORA</t>
        </is>
      </c>
      <c r="F584" t="inlineStr">
        <is>
          <t>Bergvik skog öst AB</t>
        </is>
      </c>
      <c r="G584" t="n">
        <v>1.1</v>
      </c>
      <c r="H584" t="n">
        <v>0</v>
      </c>
      <c r="I584" t="n">
        <v>0</v>
      </c>
      <c r="J584" t="n">
        <v>0</v>
      </c>
      <c r="K584" t="n">
        <v>0</v>
      </c>
      <c r="L584" t="n">
        <v>0</v>
      </c>
      <c r="M584" t="n">
        <v>0</v>
      </c>
      <c r="N584" t="n">
        <v>0</v>
      </c>
      <c r="O584" t="n">
        <v>0</v>
      </c>
      <c r="P584" t="n">
        <v>0</v>
      </c>
      <c r="Q584" t="n">
        <v>0</v>
      </c>
      <c r="R584" s="2" t="inlineStr"/>
    </row>
    <row r="585" ht="15" customHeight="1">
      <c r="A585" t="inlineStr">
        <is>
          <t>A 59805-2025</t>
        </is>
      </c>
      <c r="B585" s="1" t="n">
        <v>45992.62635416666</v>
      </c>
      <c r="C585" s="1" t="n">
        <v>46045</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34005-2025</t>
        </is>
      </c>
      <c r="B586" s="1" t="n">
        <v>45844.58890046296</v>
      </c>
      <c r="C586" s="1" t="n">
        <v>46045</v>
      </c>
      <c r="D586" t="inlineStr">
        <is>
          <t>DALARNAS LÄN</t>
        </is>
      </c>
      <c r="E586" t="inlineStr">
        <is>
          <t>MORA</t>
        </is>
      </c>
      <c r="G586" t="n">
        <v>7.2</v>
      </c>
      <c r="H586" t="n">
        <v>0</v>
      </c>
      <c r="I586" t="n">
        <v>0</v>
      </c>
      <c r="J586" t="n">
        <v>0</v>
      </c>
      <c r="K586" t="n">
        <v>0</v>
      </c>
      <c r="L586" t="n">
        <v>0</v>
      </c>
      <c r="M586" t="n">
        <v>0</v>
      </c>
      <c r="N586" t="n">
        <v>0</v>
      </c>
      <c r="O586" t="n">
        <v>0</v>
      </c>
      <c r="P586" t="n">
        <v>0</v>
      </c>
      <c r="Q586" t="n">
        <v>0</v>
      </c>
      <c r="R586" s="2" t="inlineStr"/>
    </row>
    <row r="587" ht="15" customHeight="1">
      <c r="A587" t="inlineStr">
        <is>
          <t>A 59768-2025</t>
        </is>
      </c>
      <c r="B587" s="1" t="n">
        <v>45992</v>
      </c>
      <c r="C587" s="1" t="n">
        <v>46045</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55135-2025</t>
        </is>
      </c>
      <c r="B588" s="1" t="n">
        <v>45968.42591435185</v>
      </c>
      <c r="C588" s="1" t="n">
        <v>46045</v>
      </c>
      <c r="D588" t="inlineStr">
        <is>
          <t>DALARNAS LÄN</t>
        </is>
      </c>
      <c r="E588" t="inlineStr">
        <is>
          <t>MORA</t>
        </is>
      </c>
      <c r="G588" t="n">
        <v>5.1</v>
      </c>
      <c r="H588" t="n">
        <v>0</v>
      </c>
      <c r="I588" t="n">
        <v>0</v>
      </c>
      <c r="J588" t="n">
        <v>0</v>
      </c>
      <c r="K588" t="n">
        <v>0</v>
      </c>
      <c r="L588" t="n">
        <v>0</v>
      </c>
      <c r="M588" t="n">
        <v>0</v>
      </c>
      <c r="N588" t="n">
        <v>0</v>
      </c>
      <c r="O588" t="n">
        <v>0</v>
      </c>
      <c r="P588" t="n">
        <v>0</v>
      </c>
      <c r="Q588" t="n">
        <v>0</v>
      </c>
      <c r="R588" s="2" t="inlineStr"/>
    </row>
    <row r="589" ht="15" customHeight="1">
      <c r="A589" t="inlineStr">
        <is>
          <t>A 59669-2025</t>
        </is>
      </c>
      <c r="B589" s="1" t="n">
        <v>45992.45640046296</v>
      </c>
      <c r="C589" s="1" t="n">
        <v>46045</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63964-2025</t>
        </is>
      </c>
      <c r="B590" s="1" t="n">
        <v>46020</v>
      </c>
      <c r="C590" s="1" t="n">
        <v>46045</v>
      </c>
      <c r="D590" t="inlineStr">
        <is>
          <t>DALARNAS LÄN</t>
        </is>
      </c>
      <c r="E590" t="inlineStr">
        <is>
          <t>MORA</t>
        </is>
      </c>
      <c r="G590" t="n">
        <v>6.1</v>
      </c>
      <c r="H590" t="n">
        <v>0</v>
      </c>
      <c r="I590" t="n">
        <v>0</v>
      </c>
      <c r="J590" t="n">
        <v>0</v>
      </c>
      <c r="K590" t="n">
        <v>0</v>
      </c>
      <c r="L590" t="n">
        <v>0</v>
      </c>
      <c r="M590" t="n">
        <v>0</v>
      </c>
      <c r="N590" t="n">
        <v>0</v>
      </c>
      <c r="O590" t="n">
        <v>0</v>
      </c>
      <c r="P590" t="n">
        <v>0</v>
      </c>
      <c r="Q590" t="n">
        <v>0</v>
      </c>
      <c r="R590" s="2" t="inlineStr"/>
    </row>
    <row r="591" ht="15" customHeight="1">
      <c r="A591" t="inlineStr">
        <is>
          <t>A 54548-2025</t>
        </is>
      </c>
      <c r="B591" s="1" t="n">
        <v>45965.6534837963</v>
      </c>
      <c r="C591" s="1" t="n">
        <v>46045</v>
      </c>
      <c r="D591" t="inlineStr">
        <is>
          <t>DALARNAS LÄN</t>
        </is>
      </c>
      <c r="E591" t="inlineStr">
        <is>
          <t>MORA</t>
        </is>
      </c>
      <c r="G591" t="n">
        <v>2.3</v>
      </c>
      <c r="H591" t="n">
        <v>0</v>
      </c>
      <c r="I591" t="n">
        <v>0</v>
      </c>
      <c r="J591" t="n">
        <v>0</v>
      </c>
      <c r="K591" t="n">
        <v>0</v>
      </c>
      <c r="L591" t="n">
        <v>0</v>
      </c>
      <c r="M591" t="n">
        <v>0</v>
      </c>
      <c r="N591" t="n">
        <v>0</v>
      </c>
      <c r="O591" t="n">
        <v>0</v>
      </c>
      <c r="P591" t="n">
        <v>0</v>
      </c>
      <c r="Q591" t="n">
        <v>0</v>
      </c>
      <c r="R591" s="2" t="inlineStr"/>
    </row>
    <row r="592" ht="15" customHeight="1">
      <c r="A592" t="inlineStr">
        <is>
          <t>A 34382-2025</t>
        </is>
      </c>
      <c r="B592" s="1" t="n">
        <v>45846</v>
      </c>
      <c r="C592" s="1" t="n">
        <v>46045</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34182-2025</t>
        </is>
      </c>
      <c r="B593" s="1" t="n">
        <v>45845.60520833333</v>
      </c>
      <c r="C593" s="1" t="n">
        <v>46045</v>
      </c>
      <c r="D593" t="inlineStr">
        <is>
          <t>DALARNAS LÄN</t>
        </is>
      </c>
      <c r="E593" t="inlineStr">
        <is>
          <t>MORA</t>
        </is>
      </c>
      <c r="G593" t="n">
        <v>3.4</v>
      </c>
      <c r="H593" t="n">
        <v>0</v>
      </c>
      <c r="I593" t="n">
        <v>0</v>
      </c>
      <c r="J593" t="n">
        <v>0</v>
      </c>
      <c r="K593" t="n">
        <v>0</v>
      </c>
      <c r="L593" t="n">
        <v>0</v>
      </c>
      <c r="M593" t="n">
        <v>0</v>
      </c>
      <c r="N593" t="n">
        <v>0</v>
      </c>
      <c r="O593" t="n">
        <v>0</v>
      </c>
      <c r="P593" t="n">
        <v>0</v>
      </c>
      <c r="Q593" t="n">
        <v>0</v>
      </c>
      <c r="R593" s="2" t="inlineStr"/>
    </row>
    <row r="594" ht="15" customHeight="1">
      <c r="A594" t="inlineStr">
        <is>
          <t>A 34482-2025</t>
        </is>
      </c>
      <c r="B594" s="1" t="n">
        <v>45847.38469907407</v>
      </c>
      <c r="C594" s="1" t="n">
        <v>46045</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1102-2026</t>
        </is>
      </c>
      <c r="B595" s="1" t="n">
        <v>46030.66743055556</v>
      </c>
      <c r="C595" s="1" t="n">
        <v>46045</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38055-2024</t>
        </is>
      </c>
      <c r="B596" s="1" t="n">
        <v>45544</v>
      </c>
      <c r="C596" s="1" t="n">
        <v>46045</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1881-2026</t>
        </is>
      </c>
      <c r="B597" s="1" t="n">
        <v>46035.4731712963</v>
      </c>
      <c r="C597" s="1" t="n">
        <v>46045</v>
      </c>
      <c r="D597" t="inlineStr">
        <is>
          <t>DALARNAS LÄN</t>
        </is>
      </c>
      <c r="E597" t="inlineStr">
        <is>
          <t>MORA</t>
        </is>
      </c>
      <c r="G597" t="n">
        <v>5.2</v>
      </c>
      <c r="H597" t="n">
        <v>0</v>
      </c>
      <c r="I597" t="n">
        <v>0</v>
      </c>
      <c r="J597" t="n">
        <v>0</v>
      </c>
      <c r="K597" t="n">
        <v>0</v>
      </c>
      <c r="L597" t="n">
        <v>0</v>
      </c>
      <c r="M597" t="n">
        <v>0</v>
      </c>
      <c r="N597" t="n">
        <v>0</v>
      </c>
      <c r="O597" t="n">
        <v>0</v>
      </c>
      <c r="P597" t="n">
        <v>0</v>
      </c>
      <c r="Q597" t="n">
        <v>0</v>
      </c>
      <c r="R597" s="2" t="inlineStr"/>
    </row>
    <row r="598" ht="15" customHeight="1">
      <c r="A598" t="inlineStr">
        <is>
          <t>A 34933-2025</t>
        </is>
      </c>
      <c r="B598" s="1" t="n">
        <v>45849.57297453703</v>
      </c>
      <c r="C598" s="1" t="n">
        <v>46045</v>
      </c>
      <c r="D598" t="inlineStr">
        <is>
          <t>DALARNAS LÄN</t>
        </is>
      </c>
      <c r="E598" t="inlineStr">
        <is>
          <t>MORA</t>
        </is>
      </c>
      <c r="F598" t="inlineStr">
        <is>
          <t>Bergvik skog väst AB</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35327-2024</t>
        </is>
      </c>
      <c r="B599" s="1" t="n">
        <v>45530.71334490741</v>
      </c>
      <c r="C599" s="1" t="n">
        <v>46045</v>
      </c>
      <c r="D599" t="inlineStr">
        <is>
          <t>DALARNAS LÄN</t>
        </is>
      </c>
      <c r="E599" t="inlineStr">
        <is>
          <t>MORA</t>
        </is>
      </c>
      <c r="G599" t="n">
        <v>5</v>
      </c>
      <c r="H599" t="n">
        <v>0</v>
      </c>
      <c r="I599" t="n">
        <v>0</v>
      </c>
      <c r="J599" t="n">
        <v>0</v>
      </c>
      <c r="K599" t="n">
        <v>0</v>
      </c>
      <c r="L599" t="n">
        <v>0</v>
      </c>
      <c r="M599" t="n">
        <v>0</v>
      </c>
      <c r="N599" t="n">
        <v>0</v>
      </c>
      <c r="O599" t="n">
        <v>0</v>
      </c>
      <c r="P599" t="n">
        <v>0</v>
      </c>
      <c r="Q599" t="n">
        <v>0</v>
      </c>
      <c r="R599" s="2" t="inlineStr"/>
    </row>
    <row r="600" ht="15" customHeight="1">
      <c r="A600" t="inlineStr">
        <is>
          <t>A 2110-2026</t>
        </is>
      </c>
      <c r="B600" s="1" t="n">
        <v>46036.37797453703</v>
      </c>
      <c r="C600" s="1" t="n">
        <v>46045</v>
      </c>
      <c r="D600" t="inlineStr">
        <is>
          <t>DALARNAS LÄN</t>
        </is>
      </c>
      <c r="E600" t="inlineStr">
        <is>
          <t>MORA</t>
        </is>
      </c>
      <c r="G600" t="n">
        <v>7.2</v>
      </c>
      <c r="H600" t="n">
        <v>0</v>
      </c>
      <c r="I600" t="n">
        <v>0</v>
      </c>
      <c r="J600" t="n">
        <v>0</v>
      </c>
      <c r="K600" t="n">
        <v>0</v>
      </c>
      <c r="L600" t="n">
        <v>0</v>
      </c>
      <c r="M600" t="n">
        <v>0</v>
      </c>
      <c r="N600" t="n">
        <v>0</v>
      </c>
      <c r="O600" t="n">
        <v>0</v>
      </c>
      <c r="P600" t="n">
        <v>0</v>
      </c>
      <c r="Q600" t="n">
        <v>0</v>
      </c>
      <c r="R600" s="2" t="inlineStr"/>
    </row>
    <row r="601" ht="15" customHeight="1">
      <c r="A601" t="inlineStr">
        <is>
          <t>A 5486-2023</t>
        </is>
      </c>
      <c r="B601" s="1" t="n">
        <v>44957</v>
      </c>
      <c r="C601" s="1" t="n">
        <v>46045</v>
      </c>
      <c r="D601" t="inlineStr">
        <is>
          <t>DALARNAS LÄN</t>
        </is>
      </c>
      <c r="E601" t="inlineStr">
        <is>
          <t>MORA</t>
        </is>
      </c>
      <c r="G601" t="n">
        <v>3.2</v>
      </c>
      <c r="H601" t="n">
        <v>0</v>
      </c>
      <c r="I601" t="n">
        <v>0</v>
      </c>
      <c r="J601" t="n">
        <v>0</v>
      </c>
      <c r="K601" t="n">
        <v>0</v>
      </c>
      <c r="L601" t="n">
        <v>0</v>
      </c>
      <c r="M601" t="n">
        <v>0</v>
      </c>
      <c r="N601" t="n">
        <v>0</v>
      </c>
      <c r="O601" t="n">
        <v>0</v>
      </c>
      <c r="P601" t="n">
        <v>0</v>
      </c>
      <c r="Q601" t="n">
        <v>0</v>
      </c>
      <c r="R601" s="2" t="inlineStr"/>
    </row>
    <row r="602" ht="15" customHeight="1">
      <c r="A602" t="inlineStr">
        <is>
          <t>A 35121-2025</t>
        </is>
      </c>
      <c r="B602" s="1" t="n">
        <v>45852.60936342592</v>
      </c>
      <c r="C602" s="1" t="n">
        <v>46045</v>
      </c>
      <c r="D602" t="inlineStr">
        <is>
          <t>DALARNAS LÄN</t>
        </is>
      </c>
      <c r="E602" t="inlineStr">
        <is>
          <t>MORA</t>
        </is>
      </c>
      <c r="F602" t="inlineStr">
        <is>
          <t>Bergvik skog öst AB</t>
        </is>
      </c>
      <c r="G602" t="n">
        <v>15.9</v>
      </c>
      <c r="H602" t="n">
        <v>0</v>
      </c>
      <c r="I602" t="n">
        <v>0</v>
      </c>
      <c r="J602" t="n">
        <v>0</v>
      </c>
      <c r="K602" t="n">
        <v>0</v>
      </c>
      <c r="L602" t="n">
        <v>0</v>
      </c>
      <c r="M602" t="n">
        <v>0</v>
      </c>
      <c r="N602" t="n">
        <v>0</v>
      </c>
      <c r="O602" t="n">
        <v>0</v>
      </c>
      <c r="P602" t="n">
        <v>0</v>
      </c>
      <c r="Q602" t="n">
        <v>0</v>
      </c>
      <c r="R602" s="2" t="inlineStr"/>
    </row>
    <row r="603" ht="15" customHeight="1">
      <c r="A603" t="inlineStr">
        <is>
          <t>A 2521-2026</t>
        </is>
      </c>
      <c r="B603" s="1" t="n">
        <v>46037.42600694444</v>
      </c>
      <c r="C603" s="1" t="n">
        <v>46045</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35407-2025</t>
        </is>
      </c>
      <c r="B604" s="1" t="n">
        <v>45855.35989583333</v>
      </c>
      <c r="C604" s="1" t="n">
        <v>46045</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46129-2024</t>
        </is>
      </c>
      <c r="B605" s="1" t="n">
        <v>45581.43337962963</v>
      </c>
      <c r="C605" s="1" t="n">
        <v>46045</v>
      </c>
      <c r="D605" t="inlineStr">
        <is>
          <t>DALARNAS LÄN</t>
        </is>
      </c>
      <c r="E605" t="inlineStr">
        <is>
          <t>MORA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28934-2023</t>
        </is>
      </c>
      <c r="B606" s="1" t="n">
        <v>45104</v>
      </c>
      <c r="C606" s="1" t="n">
        <v>46045</v>
      </c>
      <c r="D606" t="inlineStr">
        <is>
          <t>DALARNAS LÄN</t>
        </is>
      </c>
      <c r="E606" t="inlineStr">
        <is>
          <t>MORA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31929-2024</t>
        </is>
      </c>
      <c r="B607" s="1" t="n">
        <v>45510.40587962963</v>
      </c>
      <c r="C607" s="1" t="n">
        <v>46045</v>
      </c>
      <c r="D607" t="inlineStr">
        <is>
          <t>DALARNAS LÄN</t>
        </is>
      </c>
      <c r="E607" t="inlineStr">
        <is>
          <t>MORA</t>
        </is>
      </c>
      <c r="G607" t="n">
        <v>10.8</v>
      </c>
      <c r="H607" t="n">
        <v>0</v>
      </c>
      <c r="I607" t="n">
        <v>0</v>
      </c>
      <c r="J607" t="n">
        <v>0</v>
      </c>
      <c r="K607" t="n">
        <v>0</v>
      </c>
      <c r="L607" t="n">
        <v>0</v>
      </c>
      <c r="M607" t="n">
        <v>0</v>
      </c>
      <c r="N607" t="n">
        <v>0</v>
      </c>
      <c r="O607" t="n">
        <v>0</v>
      </c>
      <c r="P607" t="n">
        <v>0</v>
      </c>
      <c r="Q607" t="n">
        <v>0</v>
      </c>
      <c r="R607" s="2" t="inlineStr"/>
    </row>
    <row r="608" ht="15" customHeight="1">
      <c r="A608" t="inlineStr">
        <is>
          <t>A 35611-2025</t>
        </is>
      </c>
      <c r="B608" s="1" t="n">
        <v>45859.35384259259</v>
      </c>
      <c r="C608" s="1" t="n">
        <v>46045</v>
      </c>
      <c r="D608" t="inlineStr">
        <is>
          <t>DALARNAS LÄN</t>
        </is>
      </c>
      <c r="E608" t="inlineStr">
        <is>
          <t>MORA</t>
        </is>
      </c>
      <c r="G608" t="n">
        <v>2.5</v>
      </c>
      <c r="H608" t="n">
        <v>0</v>
      </c>
      <c r="I608" t="n">
        <v>0</v>
      </c>
      <c r="J608" t="n">
        <v>0</v>
      </c>
      <c r="K608" t="n">
        <v>0</v>
      </c>
      <c r="L608" t="n">
        <v>0</v>
      </c>
      <c r="M608" t="n">
        <v>0</v>
      </c>
      <c r="N608" t="n">
        <v>0</v>
      </c>
      <c r="O608" t="n">
        <v>0</v>
      </c>
      <c r="P608" t="n">
        <v>0</v>
      </c>
      <c r="Q608" t="n">
        <v>0</v>
      </c>
      <c r="R608" s="2" t="inlineStr"/>
    </row>
    <row r="609" ht="15" customHeight="1">
      <c r="A609" t="inlineStr">
        <is>
          <t>A 35622-2025</t>
        </is>
      </c>
      <c r="B609" s="1" t="n">
        <v>45859</v>
      </c>
      <c r="C609" s="1" t="n">
        <v>46045</v>
      </c>
      <c r="D609" t="inlineStr">
        <is>
          <t>DALARNAS LÄN</t>
        </is>
      </c>
      <c r="E609" t="inlineStr">
        <is>
          <t>MORA</t>
        </is>
      </c>
      <c r="F609" t="inlineStr">
        <is>
          <t>Bergvik skog öst AB</t>
        </is>
      </c>
      <c r="G609" t="n">
        <v>5.8</v>
      </c>
      <c r="H609" t="n">
        <v>0</v>
      </c>
      <c r="I609" t="n">
        <v>0</v>
      </c>
      <c r="J609" t="n">
        <v>0</v>
      </c>
      <c r="K609" t="n">
        <v>0</v>
      </c>
      <c r="L609" t="n">
        <v>0</v>
      </c>
      <c r="M609" t="n">
        <v>0</v>
      </c>
      <c r="N609" t="n">
        <v>0</v>
      </c>
      <c r="O609" t="n">
        <v>0</v>
      </c>
      <c r="P609" t="n">
        <v>0</v>
      </c>
      <c r="Q609" t="n">
        <v>0</v>
      </c>
      <c r="R609" s="2" t="inlineStr"/>
    </row>
    <row r="610" ht="15" customHeight="1">
      <c r="A610" t="inlineStr">
        <is>
          <t>A 35734-2025</t>
        </is>
      </c>
      <c r="B610" s="1" t="n">
        <v>45860.471875</v>
      </c>
      <c r="C610" s="1" t="n">
        <v>46045</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9277-2024</t>
        </is>
      </c>
      <c r="B611" s="1" t="n">
        <v>45358.63265046296</v>
      </c>
      <c r="C611" s="1" t="n">
        <v>46045</v>
      </c>
      <c r="D611" t="inlineStr">
        <is>
          <t>DALARNAS LÄN</t>
        </is>
      </c>
      <c r="E611" t="inlineStr">
        <is>
          <t>MORA</t>
        </is>
      </c>
      <c r="G611" t="n">
        <v>1.7</v>
      </c>
      <c r="H611" t="n">
        <v>0</v>
      </c>
      <c r="I611" t="n">
        <v>0</v>
      </c>
      <c r="J611" t="n">
        <v>0</v>
      </c>
      <c r="K611" t="n">
        <v>0</v>
      </c>
      <c r="L611" t="n">
        <v>0</v>
      </c>
      <c r="M611" t="n">
        <v>0</v>
      </c>
      <c r="N611" t="n">
        <v>0</v>
      </c>
      <c r="O611" t="n">
        <v>0</v>
      </c>
      <c r="P611" t="n">
        <v>0</v>
      </c>
      <c r="Q611" t="n">
        <v>0</v>
      </c>
      <c r="R611" s="2" t="inlineStr"/>
    </row>
    <row r="612" ht="15" customHeight="1">
      <c r="A612" t="inlineStr">
        <is>
          <t>A 141-2026</t>
        </is>
      </c>
      <c r="B612" s="1" t="n">
        <v>46024.62364583334</v>
      </c>
      <c r="C612" s="1" t="n">
        <v>46045</v>
      </c>
      <c r="D612" t="inlineStr">
        <is>
          <t>DALARNAS LÄN</t>
        </is>
      </c>
      <c r="E612" t="inlineStr">
        <is>
          <t>MORA</t>
        </is>
      </c>
      <c r="G612" t="n">
        <v>4.4</v>
      </c>
      <c r="H612" t="n">
        <v>0</v>
      </c>
      <c r="I612" t="n">
        <v>0</v>
      </c>
      <c r="J612" t="n">
        <v>0</v>
      </c>
      <c r="K612" t="n">
        <v>0</v>
      </c>
      <c r="L612" t="n">
        <v>0</v>
      </c>
      <c r="M612" t="n">
        <v>0</v>
      </c>
      <c r="N612" t="n">
        <v>0</v>
      </c>
      <c r="O612" t="n">
        <v>0</v>
      </c>
      <c r="P612" t="n">
        <v>0</v>
      </c>
      <c r="Q612" t="n">
        <v>0</v>
      </c>
      <c r="R612" s="2" t="inlineStr"/>
    </row>
    <row r="613" ht="15" customHeight="1">
      <c r="A613" t="inlineStr">
        <is>
          <t>A 35623-2025</t>
        </is>
      </c>
      <c r="B613" s="1" t="n">
        <v>45859</v>
      </c>
      <c r="C613" s="1" t="n">
        <v>46045</v>
      </c>
      <c r="D613" t="inlineStr">
        <is>
          <t>DALARNAS LÄN</t>
        </is>
      </c>
      <c r="E613" t="inlineStr">
        <is>
          <t>MORA</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35624-2025</t>
        </is>
      </c>
      <c r="B614" s="1" t="n">
        <v>45859</v>
      </c>
      <c r="C614" s="1" t="n">
        <v>46045</v>
      </c>
      <c r="D614" t="inlineStr">
        <is>
          <t>DALARNAS LÄN</t>
        </is>
      </c>
      <c r="E614" t="inlineStr">
        <is>
          <t>MORA</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2762-2026</t>
        </is>
      </c>
      <c r="B615" s="1" t="n">
        <v>46036</v>
      </c>
      <c r="C615" s="1" t="n">
        <v>46045</v>
      </c>
      <c r="D615" t="inlineStr">
        <is>
          <t>DALARNAS LÄN</t>
        </is>
      </c>
      <c r="E615" t="inlineStr">
        <is>
          <t>MORA</t>
        </is>
      </c>
      <c r="G615" t="n">
        <v>5.7</v>
      </c>
      <c r="H615" t="n">
        <v>0</v>
      </c>
      <c r="I615" t="n">
        <v>0</v>
      </c>
      <c r="J615" t="n">
        <v>0</v>
      </c>
      <c r="K615" t="n">
        <v>0</v>
      </c>
      <c r="L615" t="n">
        <v>0</v>
      </c>
      <c r="M615" t="n">
        <v>0</v>
      </c>
      <c r="N615" t="n">
        <v>0</v>
      </c>
      <c r="O615" t="n">
        <v>0</v>
      </c>
      <c r="P615" t="n">
        <v>0</v>
      </c>
      <c r="Q615" t="n">
        <v>0</v>
      </c>
      <c r="R615" s="2" t="inlineStr"/>
    </row>
    <row r="616" ht="15" customHeight="1">
      <c r="A616" t="inlineStr">
        <is>
          <t>A 2786-2026</t>
        </is>
      </c>
      <c r="B616" s="1" t="n">
        <v>46038.39023148148</v>
      </c>
      <c r="C616" s="1" t="n">
        <v>46045</v>
      </c>
      <c r="D616" t="inlineStr">
        <is>
          <t>DALARNAS LÄN</t>
        </is>
      </c>
      <c r="E616" t="inlineStr">
        <is>
          <t>MORA</t>
        </is>
      </c>
      <c r="G616" t="n">
        <v>1.4</v>
      </c>
      <c r="H616" t="n">
        <v>0</v>
      </c>
      <c r="I616" t="n">
        <v>0</v>
      </c>
      <c r="J616" t="n">
        <v>0</v>
      </c>
      <c r="K616" t="n">
        <v>0</v>
      </c>
      <c r="L616" t="n">
        <v>0</v>
      </c>
      <c r="M616" t="n">
        <v>0</v>
      </c>
      <c r="N616" t="n">
        <v>0</v>
      </c>
      <c r="O616" t="n">
        <v>0</v>
      </c>
      <c r="P616" t="n">
        <v>0</v>
      </c>
      <c r="Q616" t="n">
        <v>0</v>
      </c>
      <c r="R616" s="2" t="inlineStr"/>
    </row>
    <row r="617" ht="15" customHeight="1">
      <c r="A617" t="inlineStr">
        <is>
          <t>A 239-2026</t>
        </is>
      </c>
      <c r="B617" s="1" t="n">
        <v>46027</v>
      </c>
      <c r="C617" s="1" t="n">
        <v>46045</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2729-2026</t>
        </is>
      </c>
      <c r="B618" s="1" t="n">
        <v>46037.84224537037</v>
      </c>
      <c r="C618" s="1" t="n">
        <v>46045</v>
      </c>
      <c r="D618" t="inlineStr">
        <is>
          <t>DALARNAS LÄN</t>
        </is>
      </c>
      <c r="E618" t="inlineStr">
        <is>
          <t>MORA</t>
        </is>
      </c>
      <c r="G618" t="n">
        <v>18.5</v>
      </c>
      <c r="H618" t="n">
        <v>0</v>
      </c>
      <c r="I618" t="n">
        <v>0</v>
      </c>
      <c r="J618" t="n">
        <v>0</v>
      </c>
      <c r="K618" t="n">
        <v>0</v>
      </c>
      <c r="L618" t="n">
        <v>0</v>
      </c>
      <c r="M618" t="n">
        <v>0</v>
      </c>
      <c r="N618" t="n">
        <v>0</v>
      </c>
      <c r="O618" t="n">
        <v>0</v>
      </c>
      <c r="P618" t="n">
        <v>0</v>
      </c>
      <c r="Q618" t="n">
        <v>0</v>
      </c>
      <c r="R618" s="2" t="inlineStr"/>
    </row>
    <row r="619" ht="15" customHeight="1">
      <c r="A619" t="inlineStr">
        <is>
          <t>A 2637-2026</t>
        </is>
      </c>
      <c r="B619" s="1" t="n">
        <v>46037.61490740741</v>
      </c>
      <c r="C619" s="1" t="n">
        <v>46045</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36041-2025</t>
        </is>
      </c>
      <c r="B620" s="1" t="n">
        <v>45866.34385416667</v>
      </c>
      <c r="C620" s="1" t="n">
        <v>46045</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2995-2026</t>
        </is>
      </c>
      <c r="B621" s="1" t="n">
        <v>46038</v>
      </c>
      <c r="C621" s="1" t="n">
        <v>46045</v>
      </c>
      <c r="D621" t="inlineStr">
        <is>
          <t>DALARNAS LÄN</t>
        </is>
      </c>
      <c r="E621" t="inlineStr">
        <is>
          <t>MORA</t>
        </is>
      </c>
      <c r="G621" t="n">
        <v>2.3</v>
      </c>
      <c r="H621" t="n">
        <v>0</v>
      </c>
      <c r="I621" t="n">
        <v>0</v>
      </c>
      <c r="J621" t="n">
        <v>0</v>
      </c>
      <c r="K621" t="n">
        <v>0</v>
      </c>
      <c r="L621" t="n">
        <v>0</v>
      </c>
      <c r="M621" t="n">
        <v>0</v>
      </c>
      <c r="N621" t="n">
        <v>0</v>
      </c>
      <c r="O621" t="n">
        <v>0</v>
      </c>
      <c r="P621" t="n">
        <v>0</v>
      </c>
      <c r="Q621" t="n">
        <v>0</v>
      </c>
      <c r="R621" s="2" t="inlineStr"/>
    </row>
    <row r="622" ht="15" customHeight="1">
      <c r="A622" t="inlineStr">
        <is>
          <t>A 60957-2025</t>
        </is>
      </c>
      <c r="B622" s="1" t="n">
        <v>45999.65799768519</v>
      </c>
      <c r="C622" s="1" t="n">
        <v>46045</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16174-2025</t>
        </is>
      </c>
      <c r="B623" s="1" t="n">
        <v>45750</v>
      </c>
      <c r="C623" s="1" t="n">
        <v>46045</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60962-2025</t>
        </is>
      </c>
      <c r="B624" s="1" t="n">
        <v>45999.66488425926</v>
      </c>
      <c r="C624" s="1" t="n">
        <v>46045</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36600-2023</t>
        </is>
      </c>
      <c r="B625" s="1" t="n">
        <v>45153</v>
      </c>
      <c r="C625" s="1" t="n">
        <v>46045</v>
      </c>
      <c r="D625" t="inlineStr">
        <is>
          <t>DALARNAS LÄN</t>
        </is>
      </c>
      <c r="E625" t="inlineStr">
        <is>
          <t>MORA</t>
        </is>
      </c>
      <c r="G625" t="n">
        <v>7.3</v>
      </c>
      <c r="H625" t="n">
        <v>0</v>
      </c>
      <c r="I625" t="n">
        <v>0</v>
      </c>
      <c r="J625" t="n">
        <v>0</v>
      </c>
      <c r="K625" t="n">
        <v>0</v>
      </c>
      <c r="L625" t="n">
        <v>0</v>
      </c>
      <c r="M625" t="n">
        <v>0</v>
      </c>
      <c r="N625" t="n">
        <v>0</v>
      </c>
      <c r="O625" t="n">
        <v>0</v>
      </c>
      <c r="P625" t="n">
        <v>0</v>
      </c>
      <c r="Q625" t="n">
        <v>0</v>
      </c>
      <c r="R625" s="2" t="inlineStr"/>
    </row>
    <row r="626" ht="15" customHeight="1">
      <c r="A626" t="inlineStr">
        <is>
          <t>A 42943-2024</t>
        </is>
      </c>
      <c r="B626" s="1" t="n">
        <v>45567.35359953704</v>
      </c>
      <c r="C626" s="1" t="n">
        <v>46045</v>
      </c>
      <c r="D626" t="inlineStr">
        <is>
          <t>DALARNAS LÄN</t>
        </is>
      </c>
      <c r="E626" t="inlineStr">
        <is>
          <t>MORA</t>
        </is>
      </c>
      <c r="G626" t="n">
        <v>0.5</v>
      </c>
      <c r="H626" t="n">
        <v>0</v>
      </c>
      <c r="I626" t="n">
        <v>0</v>
      </c>
      <c r="J626" t="n">
        <v>0</v>
      </c>
      <c r="K626" t="n">
        <v>0</v>
      </c>
      <c r="L626" t="n">
        <v>0</v>
      </c>
      <c r="M626" t="n">
        <v>0</v>
      </c>
      <c r="N626" t="n">
        <v>0</v>
      </c>
      <c r="O626" t="n">
        <v>0</v>
      </c>
      <c r="P626" t="n">
        <v>0</v>
      </c>
      <c r="Q626" t="n">
        <v>0</v>
      </c>
      <c r="R626" s="2" t="inlineStr"/>
    </row>
    <row r="627" ht="15" customHeight="1">
      <c r="A627" t="inlineStr">
        <is>
          <t>A 55691-2023</t>
        </is>
      </c>
      <c r="B627" s="1" t="n">
        <v>45239.36509259259</v>
      </c>
      <c r="C627" s="1" t="n">
        <v>46045</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63958-2023</t>
        </is>
      </c>
      <c r="B628" s="1" t="n">
        <v>45278</v>
      </c>
      <c r="C628" s="1" t="n">
        <v>46045</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48522-2024</t>
        </is>
      </c>
      <c r="B629" s="1" t="n">
        <v>45593.32924768519</v>
      </c>
      <c r="C629" s="1" t="n">
        <v>46045</v>
      </c>
      <c r="D629" t="inlineStr">
        <is>
          <t>DALARNAS LÄN</t>
        </is>
      </c>
      <c r="E629" t="inlineStr">
        <is>
          <t>MORA</t>
        </is>
      </c>
      <c r="G629" t="n">
        <v>1.2</v>
      </c>
      <c r="H629" t="n">
        <v>0</v>
      </c>
      <c r="I629" t="n">
        <v>0</v>
      </c>
      <c r="J629" t="n">
        <v>0</v>
      </c>
      <c r="K629" t="n">
        <v>0</v>
      </c>
      <c r="L629" t="n">
        <v>0</v>
      </c>
      <c r="M629" t="n">
        <v>0</v>
      </c>
      <c r="N629" t="n">
        <v>0</v>
      </c>
      <c r="O629" t="n">
        <v>0</v>
      </c>
      <c r="P629" t="n">
        <v>0</v>
      </c>
      <c r="Q629" t="n">
        <v>0</v>
      </c>
      <c r="R629" s="2" t="inlineStr"/>
    </row>
    <row r="630" ht="15" customHeight="1">
      <c r="A630" t="inlineStr">
        <is>
          <t>A 25494-2024</t>
        </is>
      </c>
      <c r="B630" s="1" t="n">
        <v>45463</v>
      </c>
      <c r="C630" s="1" t="n">
        <v>46045</v>
      </c>
      <c r="D630" t="inlineStr">
        <is>
          <t>DALARNAS LÄN</t>
        </is>
      </c>
      <c r="E630" t="inlineStr">
        <is>
          <t>MORA</t>
        </is>
      </c>
      <c r="G630" t="n">
        <v>4.9</v>
      </c>
      <c r="H630" t="n">
        <v>0</v>
      </c>
      <c r="I630" t="n">
        <v>0</v>
      </c>
      <c r="J630" t="n">
        <v>0</v>
      </c>
      <c r="K630" t="n">
        <v>0</v>
      </c>
      <c r="L630" t="n">
        <v>0</v>
      </c>
      <c r="M630" t="n">
        <v>0</v>
      </c>
      <c r="N630" t="n">
        <v>0</v>
      </c>
      <c r="O630" t="n">
        <v>0</v>
      </c>
      <c r="P630" t="n">
        <v>0</v>
      </c>
      <c r="Q630" t="n">
        <v>0</v>
      </c>
      <c r="R630" s="2" t="inlineStr"/>
    </row>
    <row r="631" ht="15" customHeight="1">
      <c r="A631" t="inlineStr">
        <is>
          <t>A 36586-2025</t>
        </is>
      </c>
      <c r="B631" s="1" t="n">
        <v>45869</v>
      </c>
      <c r="C631" s="1" t="n">
        <v>46045</v>
      </c>
      <c r="D631" t="inlineStr">
        <is>
          <t>DALARNAS LÄN</t>
        </is>
      </c>
      <c r="E631" t="inlineStr">
        <is>
          <t>MORA</t>
        </is>
      </c>
      <c r="G631" t="n">
        <v>1.8</v>
      </c>
      <c r="H631" t="n">
        <v>0</v>
      </c>
      <c r="I631" t="n">
        <v>0</v>
      </c>
      <c r="J631" t="n">
        <v>0</v>
      </c>
      <c r="K631" t="n">
        <v>0</v>
      </c>
      <c r="L631" t="n">
        <v>0</v>
      </c>
      <c r="M631" t="n">
        <v>0</v>
      </c>
      <c r="N631" t="n">
        <v>0</v>
      </c>
      <c r="O631" t="n">
        <v>0</v>
      </c>
      <c r="P631" t="n">
        <v>0</v>
      </c>
      <c r="Q631" t="n">
        <v>0</v>
      </c>
      <c r="R631" s="2" t="inlineStr"/>
    </row>
    <row r="632" ht="15" customHeight="1">
      <c r="A632" t="inlineStr">
        <is>
          <t>A 4489-2022</t>
        </is>
      </c>
      <c r="B632" s="1" t="n">
        <v>44589</v>
      </c>
      <c r="C632" s="1" t="n">
        <v>46045</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48342-2023</t>
        </is>
      </c>
      <c r="B633" s="1" t="n">
        <v>45205</v>
      </c>
      <c r="C633" s="1" t="n">
        <v>46045</v>
      </c>
      <c r="D633" t="inlineStr">
        <is>
          <t>DALARNAS LÄN</t>
        </is>
      </c>
      <c r="E633" t="inlineStr">
        <is>
          <t>MORA</t>
        </is>
      </c>
      <c r="G633" t="n">
        <v>1</v>
      </c>
      <c r="H633" t="n">
        <v>0</v>
      </c>
      <c r="I633" t="n">
        <v>0</v>
      </c>
      <c r="J633" t="n">
        <v>0</v>
      </c>
      <c r="K633" t="n">
        <v>0</v>
      </c>
      <c r="L633" t="n">
        <v>0</v>
      </c>
      <c r="M633" t="n">
        <v>0</v>
      </c>
      <c r="N633" t="n">
        <v>0</v>
      </c>
      <c r="O633" t="n">
        <v>0</v>
      </c>
      <c r="P633" t="n">
        <v>0</v>
      </c>
      <c r="Q633" t="n">
        <v>0</v>
      </c>
      <c r="R633" s="2" t="inlineStr"/>
    </row>
    <row r="634" ht="15" customHeight="1">
      <c r="A634" t="inlineStr">
        <is>
          <t>A 5418-2025</t>
        </is>
      </c>
      <c r="B634" s="1" t="n">
        <v>45692.68561342593</v>
      </c>
      <c r="C634" s="1" t="n">
        <v>46045</v>
      </c>
      <c r="D634" t="inlineStr">
        <is>
          <t>DALARNAS LÄN</t>
        </is>
      </c>
      <c r="E634" t="inlineStr">
        <is>
          <t>MORA</t>
        </is>
      </c>
      <c r="G634" t="n">
        <v>0.9</v>
      </c>
      <c r="H634" t="n">
        <v>0</v>
      </c>
      <c r="I634" t="n">
        <v>0</v>
      </c>
      <c r="J634" t="n">
        <v>0</v>
      </c>
      <c r="K634" t="n">
        <v>0</v>
      </c>
      <c r="L634" t="n">
        <v>0</v>
      </c>
      <c r="M634" t="n">
        <v>0</v>
      </c>
      <c r="N634" t="n">
        <v>0</v>
      </c>
      <c r="O634" t="n">
        <v>0</v>
      </c>
      <c r="P634" t="n">
        <v>0</v>
      </c>
      <c r="Q634" t="n">
        <v>0</v>
      </c>
      <c r="R634" s="2" t="inlineStr"/>
    </row>
    <row r="635" ht="15" customHeight="1">
      <c r="A635" t="inlineStr">
        <is>
          <t>A 36760-2025</t>
        </is>
      </c>
      <c r="B635" s="1" t="n">
        <v>45873.57319444444</v>
      </c>
      <c r="C635" s="1" t="n">
        <v>46045</v>
      </c>
      <c r="D635" t="inlineStr">
        <is>
          <t>DALARNAS LÄN</t>
        </is>
      </c>
      <c r="E635" t="inlineStr">
        <is>
          <t>MORA</t>
        </is>
      </c>
      <c r="G635" t="n">
        <v>4.6</v>
      </c>
      <c r="H635" t="n">
        <v>0</v>
      </c>
      <c r="I635" t="n">
        <v>0</v>
      </c>
      <c r="J635" t="n">
        <v>0</v>
      </c>
      <c r="K635" t="n">
        <v>0</v>
      </c>
      <c r="L635" t="n">
        <v>0</v>
      </c>
      <c r="M635" t="n">
        <v>0</v>
      </c>
      <c r="N635" t="n">
        <v>0</v>
      </c>
      <c r="O635" t="n">
        <v>0</v>
      </c>
      <c r="P635" t="n">
        <v>0</v>
      </c>
      <c r="Q635" t="n">
        <v>0</v>
      </c>
      <c r="R635" s="2" t="inlineStr"/>
    </row>
    <row r="636" ht="15" customHeight="1">
      <c r="A636" t="inlineStr">
        <is>
          <t>A 3440-2026</t>
        </is>
      </c>
      <c r="B636" s="1" t="n">
        <v>46042.475625</v>
      </c>
      <c r="C636" s="1" t="n">
        <v>46045</v>
      </c>
      <c r="D636" t="inlineStr">
        <is>
          <t>DALARNAS LÄN</t>
        </is>
      </c>
      <c r="E636" t="inlineStr">
        <is>
          <t>MORA</t>
        </is>
      </c>
      <c r="G636" t="n">
        <v>6.7</v>
      </c>
      <c r="H636" t="n">
        <v>0</v>
      </c>
      <c r="I636" t="n">
        <v>0</v>
      </c>
      <c r="J636" t="n">
        <v>0</v>
      </c>
      <c r="K636" t="n">
        <v>0</v>
      </c>
      <c r="L636" t="n">
        <v>0</v>
      </c>
      <c r="M636" t="n">
        <v>0</v>
      </c>
      <c r="N636" t="n">
        <v>0</v>
      </c>
      <c r="O636" t="n">
        <v>0</v>
      </c>
      <c r="P636" t="n">
        <v>0</v>
      </c>
      <c r="Q636" t="n">
        <v>0</v>
      </c>
      <c r="R636" s="2" t="inlineStr"/>
    </row>
    <row r="637" ht="15" customHeight="1">
      <c r="A637" t="inlineStr">
        <is>
          <t>A 19842-2025</t>
        </is>
      </c>
      <c r="B637" s="1" t="n">
        <v>45771.47938657407</v>
      </c>
      <c r="C637" s="1" t="n">
        <v>46045</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3149-2026</t>
        </is>
      </c>
      <c r="B638" s="1" t="n">
        <v>46041.42416666666</v>
      </c>
      <c r="C638" s="1" t="n">
        <v>46045</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3247-2026</t>
        </is>
      </c>
      <c r="B639" s="1" t="n">
        <v>46041</v>
      </c>
      <c r="C639" s="1" t="n">
        <v>46045</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3145-2026</t>
        </is>
      </c>
      <c r="B640" s="1" t="n">
        <v>46041.41971064815</v>
      </c>
      <c r="C640" s="1" t="n">
        <v>46045</v>
      </c>
      <c r="D640" t="inlineStr">
        <is>
          <t>DALARNAS LÄN</t>
        </is>
      </c>
      <c r="E640" t="inlineStr">
        <is>
          <t>MORA</t>
        </is>
      </c>
      <c r="G640" t="n">
        <v>4.3</v>
      </c>
      <c r="H640" t="n">
        <v>0</v>
      </c>
      <c r="I640" t="n">
        <v>0</v>
      </c>
      <c r="J640" t="n">
        <v>0</v>
      </c>
      <c r="K640" t="n">
        <v>0</v>
      </c>
      <c r="L640" t="n">
        <v>0</v>
      </c>
      <c r="M640" t="n">
        <v>0</v>
      </c>
      <c r="N640" t="n">
        <v>0</v>
      </c>
      <c r="O640" t="n">
        <v>0</v>
      </c>
      <c r="P640" t="n">
        <v>0</v>
      </c>
      <c r="Q640" t="n">
        <v>0</v>
      </c>
      <c r="R640" s="2" t="inlineStr"/>
    </row>
    <row r="641" ht="15" customHeight="1">
      <c r="A641" t="inlineStr">
        <is>
          <t>A 61455-2025</t>
        </is>
      </c>
      <c r="B641" s="1" t="n">
        <v>46001.58590277778</v>
      </c>
      <c r="C641" s="1" t="n">
        <v>46045</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22854-2023</t>
        </is>
      </c>
      <c r="B642" s="1" t="n">
        <v>45072</v>
      </c>
      <c r="C642" s="1" t="n">
        <v>46045</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18134-2025</t>
        </is>
      </c>
      <c r="B643" s="1" t="n">
        <v>45761.60189814815</v>
      </c>
      <c r="C643" s="1" t="n">
        <v>46045</v>
      </c>
      <c r="D643" t="inlineStr">
        <is>
          <t>DALARNAS LÄN</t>
        </is>
      </c>
      <c r="E643" t="inlineStr">
        <is>
          <t>MORA</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36846-2025</t>
        </is>
      </c>
      <c r="B644" s="1" t="n">
        <v>45874.38655092593</v>
      </c>
      <c r="C644" s="1" t="n">
        <v>46045</v>
      </c>
      <c r="D644" t="inlineStr">
        <is>
          <t>DALARNAS LÄN</t>
        </is>
      </c>
      <c r="E644" t="inlineStr">
        <is>
          <t>MORA</t>
        </is>
      </c>
      <c r="G644" t="n">
        <v>10.7</v>
      </c>
      <c r="H644" t="n">
        <v>0</v>
      </c>
      <c r="I644" t="n">
        <v>0</v>
      </c>
      <c r="J644" t="n">
        <v>0</v>
      </c>
      <c r="K644" t="n">
        <v>0</v>
      </c>
      <c r="L644" t="n">
        <v>0</v>
      </c>
      <c r="M644" t="n">
        <v>0</v>
      </c>
      <c r="N644" t="n">
        <v>0</v>
      </c>
      <c r="O644" t="n">
        <v>0</v>
      </c>
      <c r="P644" t="n">
        <v>0</v>
      </c>
      <c r="Q644" t="n">
        <v>0</v>
      </c>
      <c r="R644" s="2" t="inlineStr"/>
    </row>
    <row r="645" ht="15" customHeight="1">
      <c r="A645" t="inlineStr">
        <is>
          <t>A 61412-2025</t>
        </is>
      </c>
      <c r="B645" s="1" t="n">
        <v>46001.5266087963</v>
      </c>
      <c r="C645" s="1" t="n">
        <v>46045</v>
      </c>
      <c r="D645" t="inlineStr">
        <is>
          <t>DALARNAS LÄN</t>
        </is>
      </c>
      <c r="E645" t="inlineStr">
        <is>
          <t>MORA</t>
        </is>
      </c>
      <c r="G645" t="n">
        <v>2.9</v>
      </c>
      <c r="H645" t="n">
        <v>0</v>
      </c>
      <c r="I645" t="n">
        <v>0</v>
      </c>
      <c r="J645" t="n">
        <v>0</v>
      </c>
      <c r="K645" t="n">
        <v>0</v>
      </c>
      <c r="L645" t="n">
        <v>0</v>
      </c>
      <c r="M645" t="n">
        <v>0</v>
      </c>
      <c r="N645" t="n">
        <v>0</v>
      </c>
      <c r="O645" t="n">
        <v>0</v>
      </c>
      <c r="P645" t="n">
        <v>0</v>
      </c>
      <c r="Q645" t="n">
        <v>0</v>
      </c>
      <c r="R645" s="2" t="inlineStr"/>
    </row>
    <row r="646" ht="15" customHeight="1">
      <c r="A646" t="inlineStr">
        <is>
          <t>A 4213-2026</t>
        </is>
      </c>
      <c r="B646" s="1" t="n">
        <v>46044.741875</v>
      </c>
      <c r="C646" s="1" t="n">
        <v>46045</v>
      </c>
      <c r="D646" t="inlineStr">
        <is>
          <t>DALARNAS LÄN</t>
        </is>
      </c>
      <c r="E646" t="inlineStr">
        <is>
          <t>MORA</t>
        </is>
      </c>
      <c r="G646" t="n">
        <v>1.5</v>
      </c>
      <c r="H646" t="n">
        <v>0</v>
      </c>
      <c r="I646" t="n">
        <v>0</v>
      </c>
      <c r="J646" t="n">
        <v>0</v>
      </c>
      <c r="K646" t="n">
        <v>0</v>
      </c>
      <c r="L646" t="n">
        <v>0</v>
      </c>
      <c r="M646" t="n">
        <v>0</v>
      </c>
      <c r="N646" t="n">
        <v>0</v>
      </c>
      <c r="O646" t="n">
        <v>0</v>
      </c>
      <c r="P646" t="n">
        <v>0</v>
      </c>
      <c r="Q646" t="n">
        <v>0</v>
      </c>
      <c r="R646" s="2" t="inlineStr"/>
    </row>
    <row r="647" ht="15" customHeight="1">
      <c r="A647" t="inlineStr">
        <is>
          <t>A 3876-2026</t>
        </is>
      </c>
      <c r="B647" s="1" t="n">
        <v>46043.64811342592</v>
      </c>
      <c r="C647" s="1" t="n">
        <v>46045</v>
      </c>
      <c r="D647" t="inlineStr">
        <is>
          <t>DALARNAS LÄN</t>
        </is>
      </c>
      <c r="E647" t="inlineStr">
        <is>
          <t>MORA</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37268-2025</t>
        </is>
      </c>
      <c r="B648" s="1" t="n">
        <v>45876.46681712963</v>
      </c>
      <c r="C648" s="1" t="n">
        <v>46045</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37070-2025</t>
        </is>
      </c>
      <c r="B649" s="1" t="n">
        <v>45875.39822916667</v>
      </c>
      <c r="C649" s="1" t="n">
        <v>46045</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61620-2025</t>
        </is>
      </c>
      <c r="B650" s="1" t="n">
        <v>46002.39347222223</v>
      </c>
      <c r="C650" s="1" t="n">
        <v>46045</v>
      </c>
      <c r="D650" t="inlineStr">
        <is>
          <t>DALARNAS LÄN</t>
        </is>
      </c>
      <c r="E650" t="inlineStr">
        <is>
          <t>MORA</t>
        </is>
      </c>
      <c r="G650" t="n">
        <v>3</v>
      </c>
      <c r="H650" t="n">
        <v>0</v>
      </c>
      <c r="I650" t="n">
        <v>0</v>
      </c>
      <c r="J650" t="n">
        <v>0</v>
      </c>
      <c r="K650" t="n">
        <v>0</v>
      </c>
      <c r="L650" t="n">
        <v>0</v>
      </c>
      <c r="M650" t="n">
        <v>0</v>
      </c>
      <c r="N650" t="n">
        <v>0</v>
      </c>
      <c r="O650" t="n">
        <v>0</v>
      </c>
      <c r="P650" t="n">
        <v>0</v>
      </c>
      <c r="Q650" t="n">
        <v>0</v>
      </c>
      <c r="R650" s="2" t="inlineStr"/>
    </row>
    <row r="651" ht="15" customHeight="1">
      <c r="A651" t="inlineStr">
        <is>
          <t>A 61249-2023</t>
        </is>
      </c>
      <c r="B651" s="1" t="n">
        <v>45264</v>
      </c>
      <c r="C651" s="1" t="n">
        <v>46045</v>
      </c>
      <c r="D651" t="inlineStr">
        <is>
          <t>DALARNAS LÄN</t>
        </is>
      </c>
      <c r="E651" t="inlineStr">
        <is>
          <t>MORA</t>
        </is>
      </c>
      <c r="F651" t="inlineStr">
        <is>
          <t>Allmännings- och besparingsskogar</t>
        </is>
      </c>
      <c r="G651" t="n">
        <v>1.7</v>
      </c>
      <c r="H651" t="n">
        <v>0</v>
      </c>
      <c r="I651" t="n">
        <v>0</v>
      </c>
      <c r="J651" t="n">
        <v>0</v>
      </c>
      <c r="K651" t="n">
        <v>0</v>
      </c>
      <c r="L651" t="n">
        <v>0</v>
      </c>
      <c r="M651" t="n">
        <v>0</v>
      </c>
      <c r="N651" t="n">
        <v>0</v>
      </c>
      <c r="O651" t="n">
        <v>0</v>
      </c>
      <c r="P651" t="n">
        <v>0</v>
      </c>
      <c r="Q651" t="n">
        <v>0</v>
      </c>
      <c r="R651" s="2" t="inlineStr"/>
    </row>
    <row r="652" ht="15" customHeight="1">
      <c r="A652" t="inlineStr">
        <is>
          <t>A 4155-2026</t>
        </is>
      </c>
      <c r="B652" s="1" t="n">
        <v>46044.6533449074</v>
      </c>
      <c r="C652" s="1" t="n">
        <v>46045</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3669-2026</t>
        </is>
      </c>
      <c r="B653" s="1" t="n">
        <v>46043.41603009259</v>
      </c>
      <c r="C653" s="1" t="n">
        <v>46045</v>
      </c>
      <c r="D653" t="inlineStr">
        <is>
          <t>DALARNAS LÄN</t>
        </is>
      </c>
      <c r="E653" t="inlineStr">
        <is>
          <t>MORA</t>
        </is>
      </c>
      <c r="G653" t="n">
        <v>4.6</v>
      </c>
      <c r="H653" t="n">
        <v>0</v>
      </c>
      <c r="I653" t="n">
        <v>0</v>
      </c>
      <c r="J653" t="n">
        <v>0</v>
      </c>
      <c r="K653" t="n">
        <v>0</v>
      </c>
      <c r="L653" t="n">
        <v>0</v>
      </c>
      <c r="M653" t="n">
        <v>0</v>
      </c>
      <c r="N653" t="n">
        <v>0</v>
      </c>
      <c r="O653" t="n">
        <v>0</v>
      </c>
      <c r="P653" t="n">
        <v>0</v>
      </c>
      <c r="Q653" t="n">
        <v>0</v>
      </c>
      <c r="R653" s="2" t="inlineStr"/>
    </row>
    <row r="654" ht="15" customHeight="1">
      <c r="A654" t="inlineStr">
        <is>
          <t>A 3742-2026</t>
        </is>
      </c>
      <c r="B654" s="1" t="n">
        <v>46043</v>
      </c>
      <c r="C654" s="1" t="n">
        <v>46045</v>
      </c>
      <c r="D654" t="inlineStr">
        <is>
          <t>DALARNAS LÄN</t>
        </is>
      </c>
      <c r="E654" t="inlineStr">
        <is>
          <t>MORA</t>
        </is>
      </c>
      <c r="G654" t="n">
        <v>1.7</v>
      </c>
      <c r="H654" t="n">
        <v>0</v>
      </c>
      <c r="I654" t="n">
        <v>0</v>
      </c>
      <c r="J654" t="n">
        <v>0</v>
      </c>
      <c r="K654" t="n">
        <v>0</v>
      </c>
      <c r="L654" t="n">
        <v>0</v>
      </c>
      <c r="M654" t="n">
        <v>0</v>
      </c>
      <c r="N654" t="n">
        <v>0</v>
      </c>
      <c r="O654" t="n">
        <v>0</v>
      </c>
      <c r="P654" t="n">
        <v>0</v>
      </c>
      <c r="Q654" t="n">
        <v>0</v>
      </c>
      <c r="R654" s="2" t="inlineStr"/>
    </row>
    <row r="655" ht="15" customHeight="1">
      <c r="A655" t="inlineStr">
        <is>
          <t>A 61606-2025</t>
        </is>
      </c>
      <c r="B655" s="1" t="n">
        <v>46002.37662037037</v>
      </c>
      <c r="C655" s="1" t="n">
        <v>46045</v>
      </c>
      <c r="D655" t="inlineStr">
        <is>
          <t>DALARNAS LÄN</t>
        </is>
      </c>
      <c r="E655" t="inlineStr">
        <is>
          <t>MORA</t>
        </is>
      </c>
      <c r="G655" t="n">
        <v>6.1</v>
      </c>
      <c r="H655" t="n">
        <v>0</v>
      </c>
      <c r="I655" t="n">
        <v>0</v>
      </c>
      <c r="J655" t="n">
        <v>0</v>
      </c>
      <c r="K655" t="n">
        <v>0</v>
      </c>
      <c r="L655" t="n">
        <v>0</v>
      </c>
      <c r="M655" t="n">
        <v>0</v>
      </c>
      <c r="N655" t="n">
        <v>0</v>
      </c>
      <c r="O655" t="n">
        <v>0</v>
      </c>
      <c r="P655" t="n">
        <v>0</v>
      </c>
      <c r="Q655" t="n">
        <v>0</v>
      </c>
      <c r="R655" s="2" t="inlineStr"/>
    </row>
    <row r="656" ht="15" customHeight="1">
      <c r="A656" t="inlineStr">
        <is>
          <t>A 61624-2025</t>
        </is>
      </c>
      <c r="B656" s="1" t="n">
        <v>46002.39755787037</v>
      </c>
      <c r="C656" s="1" t="n">
        <v>46045</v>
      </c>
      <c r="D656" t="inlineStr">
        <is>
          <t>DALARNAS LÄN</t>
        </is>
      </c>
      <c r="E656" t="inlineStr">
        <is>
          <t>MORA</t>
        </is>
      </c>
      <c r="G656" t="n">
        <v>0.6</v>
      </c>
      <c r="H656" t="n">
        <v>0</v>
      </c>
      <c r="I656" t="n">
        <v>0</v>
      </c>
      <c r="J656" t="n">
        <v>0</v>
      </c>
      <c r="K656" t="n">
        <v>0</v>
      </c>
      <c r="L656" t="n">
        <v>0</v>
      </c>
      <c r="M656" t="n">
        <v>0</v>
      </c>
      <c r="N656" t="n">
        <v>0</v>
      </c>
      <c r="O656" t="n">
        <v>0</v>
      </c>
      <c r="P656" t="n">
        <v>0</v>
      </c>
      <c r="Q656" t="n">
        <v>0</v>
      </c>
      <c r="R656" s="2" t="inlineStr"/>
    </row>
    <row r="657" ht="15" customHeight="1">
      <c r="A657" t="inlineStr">
        <is>
          <t>A 16733-2024</t>
        </is>
      </c>
      <c r="B657" s="1" t="n">
        <v>45410.78502314815</v>
      </c>
      <c r="C657" s="1" t="n">
        <v>46045</v>
      </c>
      <c r="D657" t="inlineStr">
        <is>
          <t>DALARNAS LÄN</t>
        </is>
      </c>
      <c r="E657" t="inlineStr">
        <is>
          <t>MORA</t>
        </is>
      </c>
      <c r="G657" t="n">
        <v>6.3</v>
      </c>
      <c r="H657" t="n">
        <v>0</v>
      </c>
      <c r="I657" t="n">
        <v>0</v>
      </c>
      <c r="J657" t="n">
        <v>0</v>
      </c>
      <c r="K657" t="n">
        <v>0</v>
      </c>
      <c r="L657" t="n">
        <v>0</v>
      </c>
      <c r="M657" t="n">
        <v>0</v>
      </c>
      <c r="N657" t="n">
        <v>0</v>
      </c>
      <c r="O657" t="n">
        <v>0</v>
      </c>
      <c r="P657" t="n">
        <v>0</v>
      </c>
      <c r="Q657" t="n">
        <v>0</v>
      </c>
      <c r="R657" s="2" t="inlineStr"/>
    </row>
    <row r="658" ht="15" customHeight="1">
      <c r="A658" t="inlineStr">
        <is>
          <t>A 3854-2026</t>
        </is>
      </c>
      <c r="B658" s="1" t="n">
        <v>46043.61261574074</v>
      </c>
      <c r="C658" s="1" t="n">
        <v>46045</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53159-2024</t>
        </is>
      </c>
      <c r="B659" s="1" t="n">
        <v>45611.63849537037</v>
      </c>
      <c r="C659" s="1" t="n">
        <v>46045</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38073-2025</t>
        </is>
      </c>
      <c r="B660" s="1" t="n">
        <v>45882</v>
      </c>
      <c r="C660" s="1" t="n">
        <v>46045</v>
      </c>
      <c r="D660" t="inlineStr">
        <is>
          <t>DALARNAS LÄN</t>
        </is>
      </c>
      <c r="E660" t="inlineStr">
        <is>
          <t>MORA</t>
        </is>
      </c>
      <c r="G660" t="n">
        <v>2.5</v>
      </c>
      <c r="H660" t="n">
        <v>0</v>
      </c>
      <c r="I660" t="n">
        <v>0</v>
      </c>
      <c r="J660" t="n">
        <v>0</v>
      </c>
      <c r="K660" t="n">
        <v>0</v>
      </c>
      <c r="L660" t="n">
        <v>0</v>
      </c>
      <c r="M660" t="n">
        <v>0</v>
      </c>
      <c r="N660" t="n">
        <v>0</v>
      </c>
      <c r="O660" t="n">
        <v>0</v>
      </c>
      <c r="P660" t="n">
        <v>0</v>
      </c>
      <c r="Q660" t="n">
        <v>0</v>
      </c>
      <c r="R660" s="2" t="inlineStr"/>
    </row>
    <row r="661" ht="15" customHeight="1">
      <c r="A661" t="inlineStr">
        <is>
          <t>A 60187-2024</t>
        </is>
      </c>
      <c r="B661" s="1" t="n">
        <v>45642.64803240741</v>
      </c>
      <c r="C661" s="1" t="n">
        <v>46045</v>
      </c>
      <c r="D661" t="inlineStr">
        <is>
          <t>DALARNAS LÄN</t>
        </is>
      </c>
      <c r="E661" t="inlineStr">
        <is>
          <t>MORA</t>
        </is>
      </c>
      <c r="F661" t="inlineStr">
        <is>
          <t>Allmännings- och besparingsskogar</t>
        </is>
      </c>
      <c r="G661" t="n">
        <v>24.6</v>
      </c>
      <c r="H661" t="n">
        <v>0</v>
      </c>
      <c r="I661" t="n">
        <v>0</v>
      </c>
      <c r="J661" t="n">
        <v>0</v>
      </c>
      <c r="K661" t="n">
        <v>0</v>
      </c>
      <c r="L661" t="n">
        <v>0</v>
      </c>
      <c r="M661" t="n">
        <v>0</v>
      </c>
      <c r="N661" t="n">
        <v>0</v>
      </c>
      <c r="O661" t="n">
        <v>0</v>
      </c>
      <c r="P661" t="n">
        <v>0</v>
      </c>
      <c r="Q661" t="n">
        <v>0</v>
      </c>
      <c r="R661" s="2" t="inlineStr"/>
    </row>
    <row r="662" ht="15" customHeight="1">
      <c r="A662" t="inlineStr">
        <is>
          <t>A 38086-2025</t>
        </is>
      </c>
      <c r="B662" s="1" t="n">
        <v>45882.47625</v>
      </c>
      <c r="C662" s="1" t="n">
        <v>46045</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15435-2024</t>
        </is>
      </c>
      <c r="B663" s="1" t="n">
        <v>45401.40806712963</v>
      </c>
      <c r="C663" s="1" t="n">
        <v>46045</v>
      </c>
      <c r="D663" t="inlineStr">
        <is>
          <t>DALARNAS LÄN</t>
        </is>
      </c>
      <c r="E663" t="inlineStr">
        <is>
          <t>MORA</t>
        </is>
      </c>
      <c r="G663" t="n">
        <v>2.1</v>
      </c>
      <c r="H663" t="n">
        <v>0</v>
      </c>
      <c r="I663" t="n">
        <v>0</v>
      </c>
      <c r="J663" t="n">
        <v>0</v>
      </c>
      <c r="K663" t="n">
        <v>0</v>
      </c>
      <c r="L663" t="n">
        <v>0</v>
      </c>
      <c r="M663" t="n">
        <v>0</v>
      </c>
      <c r="N663" t="n">
        <v>0</v>
      </c>
      <c r="O663" t="n">
        <v>0</v>
      </c>
      <c r="P663" t="n">
        <v>0</v>
      </c>
      <c r="Q663" t="n">
        <v>0</v>
      </c>
      <c r="R663" s="2" t="inlineStr"/>
    </row>
    <row r="664" ht="15" customHeight="1">
      <c r="A664" t="inlineStr">
        <is>
          <t>A 51965-2024</t>
        </is>
      </c>
      <c r="B664" s="1" t="n">
        <v>45607.65123842593</v>
      </c>
      <c r="C664" s="1" t="n">
        <v>46045</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37879-2025</t>
        </is>
      </c>
      <c r="B665" s="1" t="n">
        <v>45881.48791666667</v>
      </c>
      <c r="C665" s="1" t="n">
        <v>46045</v>
      </c>
      <c r="D665" t="inlineStr">
        <is>
          <t>DALARNAS LÄN</t>
        </is>
      </c>
      <c r="E665" t="inlineStr">
        <is>
          <t>MORA</t>
        </is>
      </c>
      <c r="G665" t="n">
        <v>1.4</v>
      </c>
      <c r="H665" t="n">
        <v>0</v>
      </c>
      <c r="I665" t="n">
        <v>0</v>
      </c>
      <c r="J665" t="n">
        <v>0</v>
      </c>
      <c r="K665" t="n">
        <v>0</v>
      </c>
      <c r="L665" t="n">
        <v>0</v>
      </c>
      <c r="M665" t="n">
        <v>0</v>
      </c>
      <c r="N665" t="n">
        <v>0</v>
      </c>
      <c r="O665" t="n">
        <v>0</v>
      </c>
      <c r="P665" t="n">
        <v>0</v>
      </c>
      <c r="Q665" t="n">
        <v>0</v>
      </c>
      <c r="R665" s="2" t="inlineStr"/>
    </row>
    <row r="666" ht="15" customHeight="1">
      <c r="A666" t="inlineStr">
        <is>
          <t>A 53527-2024</t>
        </is>
      </c>
      <c r="B666" s="1" t="n">
        <v>45614.61569444444</v>
      </c>
      <c r="C666" s="1" t="n">
        <v>46045</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61278-2024</t>
        </is>
      </c>
      <c r="B667" s="1" t="n">
        <v>45645.76561342592</v>
      </c>
      <c r="C667" s="1" t="n">
        <v>46045</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row r="668" ht="15" customHeight="1">
      <c r="A668" t="inlineStr">
        <is>
          <t>A 42391-2023</t>
        </is>
      </c>
      <c r="B668" s="1" t="n">
        <v>45180</v>
      </c>
      <c r="C668" s="1" t="n">
        <v>46045</v>
      </c>
      <c r="D668" t="inlineStr">
        <is>
          <t>DALARNAS LÄN</t>
        </is>
      </c>
      <c r="E668" t="inlineStr">
        <is>
          <t>MORA</t>
        </is>
      </c>
      <c r="F668" t="inlineStr">
        <is>
          <t>Kommuner</t>
        </is>
      </c>
      <c r="G668" t="n">
        <v>0.3</v>
      </c>
      <c r="H668" t="n">
        <v>0</v>
      </c>
      <c r="I668" t="n">
        <v>0</v>
      </c>
      <c r="J668" t="n">
        <v>0</v>
      </c>
      <c r="K668" t="n">
        <v>0</v>
      </c>
      <c r="L668" t="n">
        <v>0</v>
      </c>
      <c r="M668" t="n">
        <v>0</v>
      </c>
      <c r="N668" t="n">
        <v>0</v>
      </c>
      <c r="O668" t="n">
        <v>0</v>
      </c>
      <c r="P668" t="n">
        <v>0</v>
      </c>
      <c r="Q668" t="n">
        <v>0</v>
      </c>
      <c r="R668" s="2" t="inlineStr"/>
    </row>
    <row r="669" ht="15" customHeight="1">
      <c r="A669" t="inlineStr">
        <is>
          <t>A 2865-2022</t>
        </is>
      </c>
      <c r="B669" s="1" t="n">
        <v>44581</v>
      </c>
      <c r="C669" s="1" t="n">
        <v>46045</v>
      </c>
      <c r="D669" t="inlineStr">
        <is>
          <t>DALARNAS LÄN</t>
        </is>
      </c>
      <c r="E669" t="inlineStr">
        <is>
          <t>MORA</t>
        </is>
      </c>
      <c r="G669" t="n">
        <v>2</v>
      </c>
      <c r="H669" t="n">
        <v>0</v>
      </c>
      <c r="I669" t="n">
        <v>0</v>
      </c>
      <c r="J669" t="n">
        <v>0</v>
      </c>
      <c r="K669" t="n">
        <v>0</v>
      </c>
      <c r="L669" t="n">
        <v>0</v>
      </c>
      <c r="M669" t="n">
        <v>0</v>
      </c>
      <c r="N669" t="n">
        <v>0</v>
      </c>
      <c r="O669" t="n">
        <v>0</v>
      </c>
      <c r="P669" t="n">
        <v>0</v>
      </c>
      <c r="Q669" t="n">
        <v>0</v>
      </c>
      <c r="R669" s="2" t="inlineStr"/>
    </row>
    <row r="670" ht="15" customHeight="1">
      <c r="A670" t="inlineStr">
        <is>
          <t>A 45349-2024</t>
        </is>
      </c>
      <c r="B670" s="1" t="n">
        <v>45576</v>
      </c>
      <c r="C670" s="1" t="n">
        <v>46045</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57408-2024</t>
        </is>
      </c>
      <c r="B671" s="1" t="n">
        <v>45629</v>
      </c>
      <c r="C671" s="1" t="n">
        <v>46045</v>
      </c>
      <c r="D671" t="inlineStr">
        <is>
          <t>DALARNAS LÄN</t>
        </is>
      </c>
      <c r="E671" t="inlineStr">
        <is>
          <t>MORA</t>
        </is>
      </c>
      <c r="F671" t="inlineStr">
        <is>
          <t>Allmännings- och besparingsskogar</t>
        </is>
      </c>
      <c r="G671" t="n">
        <v>2.5</v>
      </c>
      <c r="H671" t="n">
        <v>0</v>
      </c>
      <c r="I671" t="n">
        <v>0</v>
      </c>
      <c r="J671" t="n">
        <v>0</v>
      </c>
      <c r="K671" t="n">
        <v>0</v>
      </c>
      <c r="L671" t="n">
        <v>0</v>
      </c>
      <c r="M671" t="n">
        <v>0</v>
      </c>
      <c r="N671" t="n">
        <v>0</v>
      </c>
      <c r="O671" t="n">
        <v>0</v>
      </c>
      <c r="P671" t="n">
        <v>0</v>
      </c>
      <c r="Q671" t="n">
        <v>0</v>
      </c>
      <c r="R671" s="2" t="inlineStr"/>
    </row>
    <row r="672" ht="15" customHeight="1">
      <c r="A672" t="inlineStr">
        <is>
          <t>A 46412-2024</t>
        </is>
      </c>
      <c r="B672" s="1" t="n">
        <v>45582.44894675926</v>
      </c>
      <c r="C672" s="1" t="n">
        <v>46045</v>
      </c>
      <c r="D672" t="inlineStr">
        <is>
          <t>DALARNAS LÄN</t>
        </is>
      </c>
      <c r="E672" t="inlineStr">
        <is>
          <t>MORA</t>
        </is>
      </c>
      <c r="G672" t="n">
        <v>4.1</v>
      </c>
      <c r="H672" t="n">
        <v>0</v>
      </c>
      <c r="I672" t="n">
        <v>0</v>
      </c>
      <c r="J672" t="n">
        <v>0</v>
      </c>
      <c r="K672" t="n">
        <v>0</v>
      </c>
      <c r="L672" t="n">
        <v>0</v>
      </c>
      <c r="M672" t="n">
        <v>0</v>
      </c>
      <c r="N672" t="n">
        <v>0</v>
      </c>
      <c r="O672" t="n">
        <v>0</v>
      </c>
      <c r="P672" t="n">
        <v>0</v>
      </c>
      <c r="Q672" t="n">
        <v>0</v>
      </c>
      <c r="R672" s="2" t="inlineStr"/>
    </row>
    <row r="673" ht="15" customHeight="1">
      <c r="A673" t="inlineStr">
        <is>
          <t>A 50685-2023</t>
        </is>
      </c>
      <c r="B673" s="1" t="n">
        <v>45210</v>
      </c>
      <c r="C673" s="1" t="n">
        <v>46045</v>
      </c>
      <c r="D673" t="inlineStr">
        <is>
          <t>DALARNAS LÄN</t>
        </is>
      </c>
      <c r="E673" t="inlineStr">
        <is>
          <t>MORA</t>
        </is>
      </c>
      <c r="G673" t="n">
        <v>1.7</v>
      </c>
      <c r="H673" t="n">
        <v>0</v>
      </c>
      <c r="I673" t="n">
        <v>0</v>
      </c>
      <c r="J673" t="n">
        <v>0</v>
      </c>
      <c r="K673" t="n">
        <v>0</v>
      </c>
      <c r="L673" t="n">
        <v>0</v>
      </c>
      <c r="M673" t="n">
        <v>0</v>
      </c>
      <c r="N673" t="n">
        <v>0</v>
      </c>
      <c r="O673" t="n">
        <v>0</v>
      </c>
      <c r="P673" t="n">
        <v>0</v>
      </c>
      <c r="Q673" t="n">
        <v>0</v>
      </c>
      <c r="R673" s="2" t="inlineStr"/>
    </row>
    <row r="674" ht="15" customHeight="1">
      <c r="A674" t="inlineStr">
        <is>
          <t>A 43964-2024</t>
        </is>
      </c>
      <c r="B674" s="1" t="n">
        <v>45572.48407407408</v>
      </c>
      <c r="C674" s="1" t="n">
        <v>46045</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39511-2024</t>
        </is>
      </c>
      <c r="B675" s="1" t="n">
        <v>45551.68347222222</v>
      </c>
      <c r="C675" s="1" t="n">
        <v>46045</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37695-2024</t>
        </is>
      </c>
      <c r="B676" s="1" t="n">
        <v>45541.61094907407</v>
      </c>
      <c r="C676" s="1" t="n">
        <v>46045</v>
      </c>
      <c r="D676" t="inlineStr">
        <is>
          <t>DALARNAS LÄN</t>
        </is>
      </c>
      <c r="E676" t="inlineStr">
        <is>
          <t>MORA</t>
        </is>
      </c>
      <c r="G676" t="n">
        <v>19.7</v>
      </c>
      <c r="H676" t="n">
        <v>0</v>
      </c>
      <c r="I676" t="n">
        <v>0</v>
      </c>
      <c r="J676" t="n">
        <v>0</v>
      </c>
      <c r="K676" t="n">
        <v>0</v>
      </c>
      <c r="L676" t="n">
        <v>0</v>
      </c>
      <c r="M676" t="n">
        <v>0</v>
      </c>
      <c r="N676" t="n">
        <v>0</v>
      </c>
      <c r="O676" t="n">
        <v>0</v>
      </c>
      <c r="P676" t="n">
        <v>0</v>
      </c>
      <c r="Q676" t="n">
        <v>0</v>
      </c>
      <c r="R676" s="2" t="inlineStr"/>
    </row>
    <row r="677" ht="15" customHeight="1">
      <c r="A677" t="inlineStr">
        <is>
          <t>A 56834-2024</t>
        </is>
      </c>
      <c r="B677" s="1" t="n">
        <v>45628.49931712963</v>
      </c>
      <c r="C677" s="1" t="n">
        <v>46045</v>
      </c>
      <c r="D677" t="inlineStr">
        <is>
          <t>DALARNAS LÄN</t>
        </is>
      </c>
      <c r="E677" t="inlineStr">
        <is>
          <t>MORA</t>
        </is>
      </c>
      <c r="G677" t="n">
        <v>0.4</v>
      </c>
      <c r="H677" t="n">
        <v>0</v>
      </c>
      <c r="I677" t="n">
        <v>0</v>
      </c>
      <c r="J677" t="n">
        <v>0</v>
      </c>
      <c r="K677" t="n">
        <v>0</v>
      </c>
      <c r="L677" t="n">
        <v>0</v>
      </c>
      <c r="M677" t="n">
        <v>0</v>
      </c>
      <c r="N677" t="n">
        <v>0</v>
      </c>
      <c r="O677" t="n">
        <v>0</v>
      </c>
      <c r="P677" t="n">
        <v>0</v>
      </c>
      <c r="Q677" t="n">
        <v>0</v>
      </c>
      <c r="R677" s="2" t="inlineStr"/>
    </row>
    <row r="678" ht="15" customHeight="1">
      <c r="A678" t="inlineStr">
        <is>
          <t>A 8068-2024</t>
        </is>
      </c>
      <c r="B678" s="1" t="n">
        <v>45351.41524305556</v>
      </c>
      <c r="C678" s="1" t="n">
        <v>46045</v>
      </c>
      <c r="D678" t="inlineStr">
        <is>
          <t>DALARNAS LÄN</t>
        </is>
      </c>
      <c r="E678" t="inlineStr">
        <is>
          <t>MORA</t>
        </is>
      </c>
      <c r="G678" t="n">
        <v>6.4</v>
      </c>
      <c r="H678" t="n">
        <v>0</v>
      </c>
      <c r="I678" t="n">
        <v>0</v>
      </c>
      <c r="J678" t="n">
        <v>0</v>
      </c>
      <c r="K678" t="n">
        <v>0</v>
      </c>
      <c r="L678" t="n">
        <v>0</v>
      </c>
      <c r="M678" t="n">
        <v>0</v>
      </c>
      <c r="N678" t="n">
        <v>0</v>
      </c>
      <c r="O678" t="n">
        <v>0</v>
      </c>
      <c r="P678" t="n">
        <v>0</v>
      </c>
      <c r="Q678" t="n">
        <v>0</v>
      </c>
      <c r="R678" s="2" t="inlineStr"/>
    </row>
    <row r="679" ht="15" customHeight="1">
      <c r="A679" t="inlineStr">
        <is>
          <t>A 43863-2023</t>
        </is>
      </c>
      <c r="B679" s="1" t="n">
        <v>45187.62532407408</v>
      </c>
      <c r="C679" s="1" t="n">
        <v>46045</v>
      </c>
      <c r="D679" t="inlineStr">
        <is>
          <t>DALARNAS LÄN</t>
        </is>
      </c>
      <c r="E679" t="inlineStr">
        <is>
          <t>MORA</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35521-2023</t>
        </is>
      </c>
      <c r="B680" s="1" t="n">
        <v>45147.33251157407</v>
      </c>
      <c r="C680" s="1" t="n">
        <v>46045</v>
      </c>
      <c r="D680" t="inlineStr">
        <is>
          <t>DALARNAS LÄN</t>
        </is>
      </c>
      <c r="E680" t="inlineStr">
        <is>
          <t>MORA</t>
        </is>
      </c>
      <c r="G680" t="n">
        <v>3.7</v>
      </c>
      <c r="H680" t="n">
        <v>0</v>
      </c>
      <c r="I680" t="n">
        <v>0</v>
      </c>
      <c r="J680" t="n">
        <v>0</v>
      </c>
      <c r="K680" t="n">
        <v>0</v>
      </c>
      <c r="L680" t="n">
        <v>0</v>
      </c>
      <c r="M680" t="n">
        <v>0</v>
      </c>
      <c r="N680" t="n">
        <v>0</v>
      </c>
      <c r="O680" t="n">
        <v>0</v>
      </c>
      <c r="P680" t="n">
        <v>0</v>
      </c>
      <c r="Q680" t="n">
        <v>0</v>
      </c>
      <c r="R680" s="2" t="inlineStr"/>
    </row>
    <row r="681" ht="15" customHeight="1">
      <c r="A681" t="inlineStr">
        <is>
          <t>A 31112-2024</t>
        </is>
      </c>
      <c r="B681" s="1" t="n">
        <v>45502.55185185185</v>
      </c>
      <c r="C681" s="1" t="n">
        <v>46045</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44205-2023</t>
        </is>
      </c>
      <c r="B682" s="1" t="n">
        <v>45188</v>
      </c>
      <c r="C682" s="1" t="n">
        <v>46045</v>
      </c>
      <c r="D682" t="inlineStr">
        <is>
          <t>DALARNAS LÄN</t>
        </is>
      </c>
      <c r="E682" t="inlineStr">
        <is>
          <t>MORA</t>
        </is>
      </c>
      <c r="G682" t="n">
        <v>0.7</v>
      </c>
      <c r="H682" t="n">
        <v>0</v>
      </c>
      <c r="I682" t="n">
        <v>0</v>
      </c>
      <c r="J682" t="n">
        <v>0</v>
      </c>
      <c r="K682" t="n">
        <v>0</v>
      </c>
      <c r="L682" t="n">
        <v>0</v>
      </c>
      <c r="M682" t="n">
        <v>0</v>
      </c>
      <c r="N682" t="n">
        <v>0</v>
      </c>
      <c r="O682" t="n">
        <v>0</v>
      </c>
      <c r="P682" t="n">
        <v>0</v>
      </c>
      <c r="Q682" t="n">
        <v>0</v>
      </c>
      <c r="R682" s="2" t="inlineStr"/>
    </row>
    <row r="683" ht="15" customHeight="1">
      <c r="A683" t="inlineStr">
        <is>
          <t>A 51168-2024</t>
        </is>
      </c>
      <c r="B683" s="1" t="n">
        <v>45603.58619212963</v>
      </c>
      <c r="C683" s="1" t="n">
        <v>46045</v>
      </c>
      <c r="D683" t="inlineStr">
        <is>
          <t>DALARNAS LÄN</t>
        </is>
      </c>
      <c r="E683" t="inlineStr">
        <is>
          <t>MORA</t>
        </is>
      </c>
      <c r="G683" t="n">
        <v>3</v>
      </c>
      <c r="H683" t="n">
        <v>0</v>
      </c>
      <c r="I683" t="n">
        <v>0</v>
      </c>
      <c r="J683" t="n">
        <v>0</v>
      </c>
      <c r="K683" t="n">
        <v>0</v>
      </c>
      <c r="L683" t="n">
        <v>0</v>
      </c>
      <c r="M683" t="n">
        <v>0</v>
      </c>
      <c r="N683" t="n">
        <v>0</v>
      </c>
      <c r="O683" t="n">
        <v>0</v>
      </c>
      <c r="P683" t="n">
        <v>0</v>
      </c>
      <c r="Q683" t="n">
        <v>0</v>
      </c>
      <c r="R683" s="2" t="inlineStr"/>
    </row>
    <row r="684" ht="15" customHeight="1">
      <c r="A684" t="inlineStr">
        <is>
          <t>A 18214-2024</t>
        </is>
      </c>
      <c r="B684" s="1" t="n">
        <v>45420</v>
      </c>
      <c r="C684" s="1" t="n">
        <v>46045</v>
      </c>
      <c r="D684" t="inlineStr">
        <is>
          <t>DALARNAS LÄN</t>
        </is>
      </c>
      <c r="E684" t="inlineStr">
        <is>
          <t>MORA</t>
        </is>
      </c>
      <c r="G684" t="n">
        <v>1</v>
      </c>
      <c r="H684" t="n">
        <v>0</v>
      </c>
      <c r="I684" t="n">
        <v>0</v>
      </c>
      <c r="J684" t="n">
        <v>0</v>
      </c>
      <c r="K684" t="n">
        <v>0</v>
      </c>
      <c r="L684" t="n">
        <v>0</v>
      </c>
      <c r="M684" t="n">
        <v>0</v>
      </c>
      <c r="N684" t="n">
        <v>0</v>
      </c>
      <c r="O684" t="n">
        <v>0</v>
      </c>
      <c r="P684" t="n">
        <v>0</v>
      </c>
      <c r="Q684" t="n">
        <v>0</v>
      </c>
      <c r="R684" s="2" t="inlineStr"/>
    </row>
    <row r="685" ht="15" customHeight="1">
      <c r="A685" t="inlineStr">
        <is>
          <t>A 16522-2024</t>
        </is>
      </c>
      <c r="B685" s="1" t="n">
        <v>45408.41166666667</v>
      </c>
      <c r="C685" s="1" t="n">
        <v>46045</v>
      </c>
      <c r="D685" t="inlineStr">
        <is>
          <t>DALARNAS LÄN</t>
        </is>
      </c>
      <c r="E685" t="inlineStr">
        <is>
          <t>MORA</t>
        </is>
      </c>
      <c r="G685" t="n">
        <v>11.2</v>
      </c>
      <c r="H685" t="n">
        <v>0</v>
      </c>
      <c r="I685" t="n">
        <v>0</v>
      </c>
      <c r="J685" t="n">
        <v>0</v>
      </c>
      <c r="K685" t="n">
        <v>0</v>
      </c>
      <c r="L685" t="n">
        <v>0</v>
      </c>
      <c r="M685" t="n">
        <v>0</v>
      </c>
      <c r="N685" t="n">
        <v>0</v>
      </c>
      <c r="O685" t="n">
        <v>0</v>
      </c>
      <c r="P685" t="n">
        <v>0</v>
      </c>
      <c r="Q685" t="n">
        <v>0</v>
      </c>
      <c r="R685" s="2" t="inlineStr"/>
    </row>
    <row r="686" ht="15" customHeight="1">
      <c r="A686" t="inlineStr">
        <is>
          <t>A 55120-2024</t>
        </is>
      </c>
      <c r="B686" s="1" t="n">
        <v>45621.45765046297</v>
      </c>
      <c r="C686" s="1" t="n">
        <v>46045</v>
      </c>
      <c r="D686" t="inlineStr">
        <is>
          <t>DALARNAS LÄN</t>
        </is>
      </c>
      <c r="E686" t="inlineStr">
        <is>
          <t>MORA</t>
        </is>
      </c>
      <c r="G686" t="n">
        <v>1.9</v>
      </c>
      <c r="H686" t="n">
        <v>0</v>
      </c>
      <c r="I686" t="n">
        <v>0</v>
      </c>
      <c r="J686" t="n">
        <v>0</v>
      </c>
      <c r="K686" t="n">
        <v>0</v>
      </c>
      <c r="L686" t="n">
        <v>0</v>
      </c>
      <c r="M686" t="n">
        <v>0</v>
      </c>
      <c r="N686" t="n">
        <v>0</v>
      </c>
      <c r="O686" t="n">
        <v>0</v>
      </c>
      <c r="P686" t="n">
        <v>0</v>
      </c>
      <c r="Q686" t="n">
        <v>0</v>
      </c>
      <c r="R686" s="2" t="inlineStr"/>
    </row>
    <row r="687" ht="15" customHeight="1">
      <c r="A687" t="inlineStr">
        <is>
          <t>A 43873-2024</t>
        </is>
      </c>
      <c r="B687" s="1" t="n">
        <v>45572.38429398148</v>
      </c>
      <c r="C687" s="1" t="n">
        <v>46045</v>
      </c>
      <c r="D687" t="inlineStr">
        <is>
          <t>DALARNAS LÄN</t>
        </is>
      </c>
      <c r="E687" t="inlineStr">
        <is>
          <t>MORA</t>
        </is>
      </c>
      <c r="G687" t="n">
        <v>4.1</v>
      </c>
      <c r="H687" t="n">
        <v>0</v>
      </c>
      <c r="I687" t="n">
        <v>0</v>
      </c>
      <c r="J687" t="n">
        <v>0</v>
      </c>
      <c r="K687" t="n">
        <v>0</v>
      </c>
      <c r="L687" t="n">
        <v>0</v>
      </c>
      <c r="M687" t="n">
        <v>0</v>
      </c>
      <c r="N687" t="n">
        <v>0</v>
      </c>
      <c r="O687" t="n">
        <v>0</v>
      </c>
      <c r="P687" t="n">
        <v>0</v>
      </c>
      <c r="Q687" t="n">
        <v>0</v>
      </c>
      <c r="R687" s="2" t="inlineStr"/>
    </row>
    <row r="688" ht="15" customHeight="1">
      <c r="A688" t="inlineStr">
        <is>
          <t>A 46152-2023</t>
        </is>
      </c>
      <c r="B688" s="1" t="n">
        <v>45196.58278935185</v>
      </c>
      <c r="C688" s="1" t="n">
        <v>46045</v>
      </c>
      <c r="D688" t="inlineStr">
        <is>
          <t>DALARNAS LÄN</t>
        </is>
      </c>
      <c r="E688" t="inlineStr">
        <is>
          <t>MORA</t>
        </is>
      </c>
      <c r="G688" t="n">
        <v>2</v>
      </c>
      <c r="H688" t="n">
        <v>0</v>
      </c>
      <c r="I688" t="n">
        <v>0</v>
      </c>
      <c r="J688" t="n">
        <v>0</v>
      </c>
      <c r="K688" t="n">
        <v>0</v>
      </c>
      <c r="L688" t="n">
        <v>0</v>
      </c>
      <c r="M688" t="n">
        <v>0</v>
      </c>
      <c r="N688" t="n">
        <v>0</v>
      </c>
      <c r="O688" t="n">
        <v>0</v>
      </c>
      <c r="P688" t="n">
        <v>0</v>
      </c>
      <c r="Q688" t="n">
        <v>0</v>
      </c>
      <c r="R688" s="2" t="inlineStr"/>
    </row>
    <row r="689" ht="15" customHeight="1">
      <c r="A689" t="inlineStr">
        <is>
          <t>A 42035-2022</t>
        </is>
      </c>
      <c r="B689" s="1" t="n">
        <v>44830</v>
      </c>
      <c r="C689" s="1" t="n">
        <v>46045</v>
      </c>
      <c r="D689" t="inlineStr">
        <is>
          <t>DALARNAS LÄN</t>
        </is>
      </c>
      <c r="E689" t="inlineStr">
        <is>
          <t>MORA</t>
        </is>
      </c>
      <c r="G689" t="n">
        <v>2.7</v>
      </c>
      <c r="H689" t="n">
        <v>0</v>
      </c>
      <c r="I689" t="n">
        <v>0</v>
      </c>
      <c r="J689" t="n">
        <v>0</v>
      </c>
      <c r="K689" t="n">
        <v>0</v>
      </c>
      <c r="L689" t="n">
        <v>0</v>
      </c>
      <c r="M689" t="n">
        <v>0</v>
      </c>
      <c r="N689" t="n">
        <v>0</v>
      </c>
      <c r="O689" t="n">
        <v>0</v>
      </c>
      <c r="P689" t="n">
        <v>0</v>
      </c>
      <c r="Q689" t="n">
        <v>0</v>
      </c>
      <c r="R689" s="2" t="inlineStr"/>
    </row>
    <row r="690" ht="15" customHeight="1">
      <c r="A690" t="inlineStr">
        <is>
          <t>A 5980-2025</t>
        </is>
      </c>
      <c r="B690" s="1" t="n">
        <v>45695.54651620371</v>
      </c>
      <c r="C690" s="1" t="n">
        <v>46045</v>
      </c>
      <c r="D690" t="inlineStr">
        <is>
          <t>DALARNAS LÄN</t>
        </is>
      </c>
      <c r="E690" t="inlineStr">
        <is>
          <t>MORA</t>
        </is>
      </c>
      <c r="G690" t="n">
        <v>2.7</v>
      </c>
      <c r="H690" t="n">
        <v>0</v>
      </c>
      <c r="I690" t="n">
        <v>0</v>
      </c>
      <c r="J690" t="n">
        <v>0</v>
      </c>
      <c r="K690" t="n">
        <v>0</v>
      </c>
      <c r="L690" t="n">
        <v>0</v>
      </c>
      <c r="M690" t="n">
        <v>0</v>
      </c>
      <c r="N690" t="n">
        <v>0</v>
      </c>
      <c r="O690" t="n">
        <v>0</v>
      </c>
      <c r="P690" t="n">
        <v>0</v>
      </c>
      <c r="Q690" t="n">
        <v>0</v>
      </c>
      <c r="R690" s="2" t="inlineStr"/>
    </row>
    <row r="691" ht="15" customHeight="1">
      <c r="A691" t="inlineStr">
        <is>
          <t>A 9599-2022</t>
        </is>
      </c>
      <c r="B691" s="1" t="n">
        <v>44617.48909722222</v>
      </c>
      <c r="C691" s="1" t="n">
        <v>46045</v>
      </c>
      <c r="D691" t="inlineStr">
        <is>
          <t>DALARNAS LÄN</t>
        </is>
      </c>
      <c r="E691" t="inlineStr">
        <is>
          <t>MORA</t>
        </is>
      </c>
      <c r="G691" t="n">
        <v>2.1</v>
      </c>
      <c r="H691" t="n">
        <v>0</v>
      </c>
      <c r="I691" t="n">
        <v>0</v>
      </c>
      <c r="J691" t="n">
        <v>0</v>
      </c>
      <c r="K691" t="n">
        <v>0</v>
      </c>
      <c r="L691" t="n">
        <v>0</v>
      </c>
      <c r="M691" t="n">
        <v>0</v>
      </c>
      <c r="N691" t="n">
        <v>0</v>
      </c>
      <c r="O691" t="n">
        <v>0</v>
      </c>
      <c r="P691" t="n">
        <v>0</v>
      </c>
      <c r="Q691" t="n">
        <v>0</v>
      </c>
      <c r="R691" s="2" t="inlineStr"/>
    </row>
    <row r="692" ht="15" customHeight="1">
      <c r="A692" t="inlineStr">
        <is>
          <t>A 51883-2024</t>
        </is>
      </c>
      <c r="B692" s="1" t="n">
        <v>45607</v>
      </c>
      <c r="C692" s="1" t="n">
        <v>46045</v>
      </c>
      <c r="D692" t="inlineStr">
        <is>
          <t>DALARNAS LÄN</t>
        </is>
      </c>
      <c r="E692" t="inlineStr">
        <is>
          <t>MORA</t>
        </is>
      </c>
      <c r="G692" t="n">
        <v>0.2</v>
      </c>
      <c r="H692" t="n">
        <v>0</v>
      </c>
      <c r="I692" t="n">
        <v>0</v>
      </c>
      <c r="J692" t="n">
        <v>0</v>
      </c>
      <c r="K692" t="n">
        <v>0</v>
      </c>
      <c r="L692" t="n">
        <v>0</v>
      </c>
      <c r="M692" t="n">
        <v>0</v>
      </c>
      <c r="N692" t="n">
        <v>0</v>
      </c>
      <c r="O692" t="n">
        <v>0</v>
      </c>
      <c r="P692" t="n">
        <v>0</v>
      </c>
      <c r="Q692" t="n">
        <v>0</v>
      </c>
      <c r="R692" s="2" t="inlineStr"/>
    </row>
    <row r="693" ht="15" customHeight="1">
      <c r="A693" t="inlineStr">
        <is>
          <t>A 51888-2024</t>
        </is>
      </c>
      <c r="B693" s="1" t="n">
        <v>45607.57142361111</v>
      </c>
      <c r="C693" s="1" t="n">
        <v>46045</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38627-2023</t>
        </is>
      </c>
      <c r="B694" s="1" t="n">
        <v>45162.68787037037</v>
      </c>
      <c r="C694" s="1" t="n">
        <v>46045</v>
      </c>
      <c r="D694" t="inlineStr">
        <is>
          <t>DALARNAS LÄN</t>
        </is>
      </c>
      <c r="E694" t="inlineStr">
        <is>
          <t>MORA</t>
        </is>
      </c>
      <c r="G694" t="n">
        <v>6.5</v>
      </c>
      <c r="H694" t="n">
        <v>0</v>
      </c>
      <c r="I694" t="n">
        <v>0</v>
      </c>
      <c r="J694" t="n">
        <v>0</v>
      </c>
      <c r="K694" t="n">
        <v>0</v>
      </c>
      <c r="L694" t="n">
        <v>0</v>
      </c>
      <c r="M694" t="n">
        <v>0</v>
      </c>
      <c r="N694" t="n">
        <v>0</v>
      </c>
      <c r="O694" t="n">
        <v>0</v>
      </c>
      <c r="P694" t="n">
        <v>0</v>
      </c>
      <c r="Q694" t="n">
        <v>0</v>
      </c>
      <c r="R694" s="2" t="inlineStr"/>
    </row>
    <row r="695" ht="15" customHeight="1">
      <c r="A695" t="inlineStr">
        <is>
          <t>A 16637-2025</t>
        </is>
      </c>
      <c r="B695" s="1" t="n">
        <v>45754.36738425926</v>
      </c>
      <c r="C695" s="1" t="n">
        <v>46045</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48570-2022</t>
        </is>
      </c>
      <c r="B696" s="1" t="n">
        <v>44859</v>
      </c>
      <c r="C696" s="1" t="n">
        <v>46045</v>
      </c>
      <c r="D696" t="inlineStr">
        <is>
          <t>DALARNAS LÄN</t>
        </is>
      </c>
      <c r="E696" t="inlineStr">
        <is>
          <t>MORA</t>
        </is>
      </c>
      <c r="G696" t="n">
        <v>6.2</v>
      </c>
      <c r="H696" t="n">
        <v>0</v>
      </c>
      <c r="I696" t="n">
        <v>0</v>
      </c>
      <c r="J696" t="n">
        <v>0</v>
      </c>
      <c r="K696" t="n">
        <v>0</v>
      </c>
      <c r="L696" t="n">
        <v>0</v>
      </c>
      <c r="M696" t="n">
        <v>0</v>
      </c>
      <c r="N696" t="n">
        <v>0</v>
      </c>
      <c r="O696" t="n">
        <v>0</v>
      </c>
      <c r="P696" t="n">
        <v>0</v>
      </c>
      <c r="Q696" t="n">
        <v>0</v>
      </c>
      <c r="R696" s="2" t="inlineStr"/>
    </row>
    <row r="697" ht="15" customHeight="1">
      <c r="A697" t="inlineStr">
        <is>
          <t>A 49991-2023</t>
        </is>
      </c>
      <c r="B697" s="1" t="n">
        <v>45215.43879629629</v>
      </c>
      <c r="C697" s="1" t="n">
        <v>46045</v>
      </c>
      <c r="D697" t="inlineStr">
        <is>
          <t>DALARNAS LÄN</t>
        </is>
      </c>
      <c r="E697" t="inlineStr">
        <is>
          <t>MORA</t>
        </is>
      </c>
      <c r="G697" t="n">
        <v>1.8</v>
      </c>
      <c r="H697" t="n">
        <v>0</v>
      </c>
      <c r="I697" t="n">
        <v>0</v>
      </c>
      <c r="J697" t="n">
        <v>0</v>
      </c>
      <c r="K697" t="n">
        <v>0</v>
      </c>
      <c r="L697" t="n">
        <v>0</v>
      </c>
      <c r="M697" t="n">
        <v>0</v>
      </c>
      <c r="N697" t="n">
        <v>0</v>
      </c>
      <c r="O697" t="n">
        <v>0</v>
      </c>
      <c r="P697" t="n">
        <v>0</v>
      </c>
      <c r="Q697" t="n">
        <v>0</v>
      </c>
      <c r="R697" s="2" t="inlineStr"/>
    </row>
    <row r="698" ht="15" customHeight="1">
      <c r="A698" t="inlineStr">
        <is>
          <t>A 20401-2022</t>
        </is>
      </c>
      <c r="B698" s="1" t="n">
        <v>44699</v>
      </c>
      <c r="C698" s="1" t="n">
        <v>46045</v>
      </c>
      <c r="D698" t="inlineStr">
        <is>
          <t>DALARNAS LÄN</t>
        </is>
      </c>
      <c r="E698" t="inlineStr">
        <is>
          <t>MORA</t>
        </is>
      </c>
      <c r="G698" t="n">
        <v>3.2</v>
      </c>
      <c r="H698" t="n">
        <v>0</v>
      </c>
      <c r="I698" t="n">
        <v>0</v>
      </c>
      <c r="J698" t="n">
        <v>0</v>
      </c>
      <c r="K698" t="n">
        <v>0</v>
      </c>
      <c r="L698" t="n">
        <v>0</v>
      </c>
      <c r="M698" t="n">
        <v>0</v>
      </c>
      <c r="N698" t="n">
        <v>0</v>
      </c>
      <c r="O698" t="n">
        <v>0</v>
      </c>
      <c r="P698" t="n">
        <v>0</v>
      </c>
      <c r="Q698" t="n">
        <v>0</v>
      </c>
      <c r="R698" s="2" t="inlineStr"/>
    </row>
    <row r="699" ht="15" customHeight="1">
      <c r="A699" t="inlineStr">
        <is>
          <t>A 18120-2025</t>
        </is>
      </c>
      <c r="B699" s="1" t="n">
        <v>45761</v>
      </c>
      <c r="C699" s="1" t="n">
        <v>46045</v>
      </c>
      <c r="D699" t="inlineStr">
        <is>
          <t>DALARNAS LÄN</t>
        </is>
      </c>
      <c r="E699" t="inlineStr">
        <is>
          <t>MORA</t>
        </is>
      </c>
      <c r="F699" t="inlineStr">
        <is>
          <t>Bergvik skog väst AB</t>
        </is>
      </c>
      <c r="G699" t="n">
        <v>6.4</v>
      </c>
      <c r="H699" t="n">
        <v>0</v>
      </c>
      <c r="I699" t="n">
        <v>0</v>
      </c>
      <c r="J699" t="n">
        <v>0</v>
      </c>
      <c r="K699" t="n">
        <v>0</v>
      </c>
      <c r="L699" t="n">
        <v>0</v>
      </c>
      <c r="M699" t="n">
        <v>0</v>
      </c>
      <c r="N699" t="n">
        <v>0</v>
      </c>
      <c r="O699" t="n">
        <v>0</v>
      </c>
      <c r="P699" t="n">
        <v>0</v>
      </c>
      <c r="Q699" t="n">
        <v>0</v>
      </c>
      <c r="R699" s="2" t="inlineStr"/>
    </row>
    <row r="700" ht="15" customHeight="1">
      <c r="A700" t="inlineStr">
        <is>
          <t>A 18127-2025</t>
        </is>
      </c>
      <c r="B700" s="1" t="n">
        <v>45761.59523148148</v>
      </c>
      <c r="C700" s="1" t="n">
        <v>46045</v>
      </c>
      <c r="D700" t="inlineStr">
        <is>
          <t>DALARNAS LÄN</t>
        </is>
      </c>
      <c r="E700" t="inlineStr">
        <is>
          <t>MORA</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25887-2023</t>
        </is>
      </c>
      <c r="B701" s="1" t="n">
        <v>45090.62493055555</v>
      </c>
      <c r="C701" s="1" t="n">
        <v>46045</v>
      </c>
      <c r="D701" t="inlineStr">
        <is>
          <t>DALARNAS LÄN</t>
        </is>
      </c>
      <c r="E701" t="inlineStr">
        <is>
          <t>MORA</t>
        </is>
      </c>
      <c r="G701" t="n">
        <v>1</v>
      </c>
      <c r="H701" t="n">
        <v>0</v>
      </c>
      <c r="I701" t="n">
        <v>0</v>
      </c>
      <c r="J701" t="n">
        <v>0</v>
      </c>
      <c r="K701" t="n">
        <v>0</v>
      </c>
      <c r="L701" t="n">
        <v>0</v>
      </c>
      <c r="M701" t="n">
        <v>0</v>
      </c>
      <c r="N701" t="n">
        <v>0</v>
      </c>
      <c r="O701" t="n">
        <v>0</v>
      </c>
      <c r="P701" t="n">
        <v>0</v>
      </c>
      <c r="Q701" t="n">
        <v>0</v>
      </c>
      <c r="R701" s="2" t="inlineStr"/>
    </row>
    <row r="702" ht="15" customHeight="1">
      <c r="A702" t="inlineStr">
        <is>
          <t>A 20544-2025</t>
        </is>
      </c>
      <c r="B702" s="1" t="n">
        <v>45775.63119212963</v>
      </c>
      <c r="C702" s="1" t="n">
        <v>46045</v>
      </c>
      <c r="D702" t="inlineStr">
        <is>
          <t>DALARNAS LÄN</t>
        </is>
      </c>
      <c r="E702" t="inlineStr">
        <is>
          <t>MORA</t>
        </is>
      </c>
      <c r="G702" t="n">
        <v>3.6</v>
      </c>
      <c r="H702" t="n">
        <v>0</v>
      </c>
      <c r="I702" t="n">
        <v>0</v>
      </c>
      <c r="J702" t="n">
        <v>0</v>
      </c>
      <c r="K702" t="n">
        <v>0</v>
      </c>
      <c r="L702" t="n">
        <v>0</v>
      </c>
      <c r="M702" t="n">
        <v>0</v>
      </c>
      <c r="N702" t="n">
        <v>0</v>
      </c>
      <c r="O702" t="n">
        <v>0</v>
      </c>
      <c r="P702" t="n">
        <v>0</v>
      </c>
      <c r="Q702" t="n">
        <v>0</v>
      </c>
      <c r="R702" s="2" t="inlineStr"/>
    </row>
    <row r="703" ht="15" customHeight="1">
      <c r="A703" t="inlineStr">
        <is>
          <t>A 36740-2023</t>
        </is>
      </c>
      <c r="B703" s="1" t="n">
        <v>45153</v>
      </c>
      <c r="C703" s="1" t="n">
        <v>46045</v>
      </c>
      <c r="D703" t="inlineStr">
        <is>
          <t>DALARNAS LÄN</t>
        </is>
      </c>
      <c r="E703" t="inlineStr">
        <is>
          <t>MORA</t>
        </is>
      </c>
      <c r="G703" t="n">
        <v>0.2</v>
      </c>
      <c r="H703" t="n">
        <v>0</v>
      </c>
      <c r="I703" t="n">
        <v>0</v>
      </c>
      <c r="J703" t="n">
        <v>0</v>
      </c>
      <c r="K703" t="n">
        <v>0</v>
      </c>
      <c r="L703" t="n">
        <v>0</v>
      </c>
      <c r="M703" t="n">
        <v>0</v>
      </c>
      <c r="N703" t="n">
        <v>0</v>
      </c>
      <c r="O703" t="n">
        <v>0</v>
      </c>
      <c r="P703" t="n">
        <v>0</v>
      </c>
      <c r="Q703" t="n">
        <v>0</v>
      </c>
      <c r="R703" s="2" t="inlineStr"/>
    </row>
    <row r="704" ht="15" customHeight="1">
      <c r="A704" t="inlineStr">
        <is>
          <t>A 17393-2025</t>
        </is>
      </c>
      <c r="B704" s="1" t="n">
        <v>45757.34350694445</v>
      </c>
      <c r="C704" s="1" t="n">
        <v>46045</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14936-2025</t>
        </is>
      </c>
      <c r="B705" s="1" t="n">
        <v>45743.55756944444</v>
      </c>
      <c r="C705" s="1" t="n">
        <v>46045</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35381-2024</t>
        </is>
      </c>
      <c r="B706" s="1" t="n">
        <v>45531.38372685185</v>
      </c>
      <c r="C706" s="1" t="n">
        <v>46045</v>
      </c>
      <c r="D706" t="inlineStr">
        <is>
          <t>DALARNAS LÄN</t>
        </is>
      </c>
      <c r="E706" t="inlineStr">
        <is>
          <t>MORA</t>
        </is>
      </c>
      <c r="G706" t="n">
        <v>3.7</v>
      </c>
      <c r="H706" t="n">
        <v>0</v>
      </c>
      <c r="I706" t="n">
        <v>0</v>
      </c>
      <c r="J706" t="n">
        <v>0</v>
      </c>
      <c r="K706" t="n">
        <v>0</v>
      </c>
      <c r="L706" t="n">
        <v>0</v>
      </c>
      <c r="M706" t="n">
        <v>0</v>
      </c>
      <c r="N706" t="n">
        <v>0</v>
      </c>
      <c r="O706" t="n">
        <v>0</v>
      </c>
      <c r="P706" t="n">
        <v>0</v>
      </c>
      <c r="Q706" t="n">
        <v>0</v>
      </c>
      <c r="R706" s="2" t="inlineStr"/>
    </row>
    <row r="707" ht="15" customHeight="1">
      <c r="A707" t="inlineStr">
        <is>
          <t>A 15817-2024</t>
        </is>
      </c>
      <c r="B707" s="1" t="n">
        <v>45404.67387731482</v>
      </c>
      <c r="C707" s="1" t="n">
        <v>46045</v>
      </c>
      <c r="D707" t="inlineStr">
        <is>
          <t>DALARNAS LÄN</t>
        </is>
      </c>
      <c r="E707" t="inlineStr">
        <is>
          <t>MORA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46755-2023</t>
        </is>
      </c>
      <c r="B708" s="1" t="n">
        <v>45198.61314814815</v>
      </c>
      <c r="C708" s="1" t="n">
        <v>46045</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14372-2025</t>
        </is>
      </c>
      <c r="B709" s="1" t="n">
        <v>45741.4050462963</v>
      </c>
      <c r="C709" s="1" t="n">
        <v>46045</v>
      </c>
      <c r="D709" t="inlineStr">
        <is>
          <t>DALARNAS LÄN</t>
        </is>
      </c>
      <c r="E709" t="inlineStr">
        <is>
          <t>MORA</t>
        </is>
      </c>
      <c r="G709" t="n">
        <v>5.1</v>
      </c>
      <c r="H709" t="n">
        <v>0</v>
      </c>
      <c r="I709" t="n">
        <v>0</v>
      </c>
      <c r="J709" t="n">
        <v>0</v>
      </c>
      <c r="K709" t="n">
        <v>0</v>
      </c>
      <c r="L709" t="n">
        <v>0</v>
      </c>
      <c r="M709" t="n">
        <v>0</v>
      </c>
      <c r="N709" t="n">
        <v>0</v>
      </c>
      <c r="O709" t="n">
        <v>0</v>
      </c>
      <c r="P709" t="n">
        <v>0</v>
      </c>
      <c r="Q709" t="n">
        <v>0</v>
      </c>
      <c r="R709" s="2" t="inlineStr"/>
    </row>
    <row r="710" ht="15" customHeight="1">
      <c r="A710" t="inlineStr">
        <is>
          <t>A 14378-2025</t>
        </is>
      </c>
      <c r="B710" s="1" t="n">
        <v>45741</v>
      </c>
      <c r="C710" s="1" t="n">
        <v>46045</v>
      </c>
      <c r="D710" t="inlineStr">
        <is>
          <t>DALARNAS LÄN</t>
        </is>
      </c>
      <c r="E710" t="inlineStr">
        <is>
          <t>MORA</t>
        </is>
      </c>
      <c r="G710" t="n">
        <v>5.2</v>
      </c>
      <c r="H710" t="n">
        <v>0</v>
      </c>
      <c r="I710" t="n">
        <v>0</v>
      </c>
      <c r="J710" t="n">
        <v>0</v>
      </c>
      <c r="K710" t="n">
        <v>0</v>
      </c>
      <c r="L710" t="n">
        <v>0</v>
      </c>
      <c r="M710" t="n">
        <v>0</v>
      </c>
      <c r="N710" t="n">
        <v>0</v>
      </c>
      <c r="O710" t="n">
        <v>0</v>
      </c>
      <c r="P710" t="n">
        <v>0</v>
      </c>
      <c r="Q710" t="n">
        <v>0</v>
      </c>
      <c r="R710" s="2" t="inlineStr"/>
    </row>
    <row r="711" ht="15" customHeight="1">
      <c r="A711" t="inlineStr">
        <is>
          <t>A 44177-2023</t>
        </is>
      </c>
      <c r="B711" s="1" t="n">
        <v>45188.51439814815</v>
      </c>
      <c r="C711" s="1" t="n">
        <v>46045</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44201-2023</t>
        </is>
      </c>
      <c r="B712" s="1" t="n">
        <v>45188</v>
      </c>
      <c r="C712" s="1" t="n">
        <v>46045</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45237.60775462963</v>
      </c>
      <c r="C713" s="1" t="n">
        <v>46045</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31177-2021</t>
        </is>
      </c>
      <c r="B714" s="1" t="n">
        <v>44368</v>
      </c>
      <c r="C714" s="1" t="n">
        <v>46045</v>
      </c>
      <c r="D714" t="inlineStr">
        <is>
          <t>DALARNAS LÄN</t>
        </is>
      </c>
      <c r="E714" t="inlineStr">
        <is>
          <t>MORA</t>
        </is>
      </c>
      <c r="G714" t="n">
        <v>1.6</v>
      </c>
      <c r="H714" t="n">
        <v>0</v>
      </c>
      <c r="I714" t="n">
        <v>0</v>
      </c>
      <c r="J714" t="n">
        <v>0</v>
      </c>
      <c r="K714" t="n">
        <v>0</v>
      </c>
      <c r="L714" t="n">
        <v>0</v>
      </c>
      <c r="M714" t="n">
        <v>0</v>
      </c>
      <c r="N714" t="n">
        <v>0</v>
      </c>
      <c r="O714" t="n">
        <v>0</v>
      </c>
      <c r="P714" t="n">
        <v>0</v>
      </c>
      <c r="Q714" t="n">
        <v>0</v>
      </c>
      <c r="R714" s="2" t="inlineStr"/>
    </row>
    <row r="715" ht="15" customHeight="1">
      <c r="A715" t="inlineStr">
        <is>
          <t>A 51570-2023</t>
        </is>
      </c>
      <c r="B715" s="1" t="n">
        <v>45222</v>
      </c>
      <c r="C715" s="1" t="n">
        <v>46045</v>
      </c>
      <c r="D715" t="inlineStr">
        <is>
          <t>DALARNAS LÄN</t>
        </is>
      </c>
      <c r="E715" t="inlineStr">
        <is>
          <t>MORA</t>
        </is>
      </c>
      <c r="G715" t="n">
        <v>10.1</v>
      </c>
      <c r="H715" t="n">
        <v>0</v>
      </c>
      <c r="I715" t="n">
        <v>0</v>
      </c>
      <c r="J715" t="n">
        <v>0</v>
      </c>
      <c r="K715" t="n">
        <v>0</v>
      </c>
      <c r="L715" t="n">
        <v>0</v>
      </c>
      <c r="M715" t="n">
        <v>0</v>
      </c>
      <c r="N715" t="n">
        <v>0</v>
      </c>
      <c r="O715" t="n">
        <v>0</v>
      </c>
      <c r="P715" t="n">
        <v>0</v>
      </c>
      <c r="Q715" t="n">
        <v>0</v>
      </c>
      <c r="R715" s="2" t="inlineStr"/>
    </row>
    <row r="716" ht="15" customHeight="1">
      <c r="A716" t="inlineStr">
        <is>
          <t>A 32261-2022</t>
        </is>
      </c>
      <c r="B716" s="1" t="n">
        <v>44781.5350925926</v>
      </c>
      <c r="C716" s="1" t="n">
        <v>46045</v>
      </c>
      <c r="D716" t="inlineStr">
        <is>
          <t>DALARNAS LÄN</t>
        </is>
      </c>
      <c r="E716" t="inlineStr">
        <is>
          <t>MORA</t>
        </is>
      </c>
      <c r="G716" t="n">
        <v>2.7</v>
      </c>
      <c r="H716" t="n">
        <v>0</v>
      </c>
      <c r="I716" t="n">
        <v>0</v>
      </c>
      <c r="J716" t="n">
        <v>0</v>
      </c>
      <c r="K716" t="n">
        <v>0</v>
      </c>
      <c r="L716" t="n">
        <v>0</v>
      </c>
      <c r="M716" t="n">
        <v>0</v>
      </c>
      <c r="N716" t="n">
        <v>0</v>
      </c>
      <c r="O716" t="n">
        <v>0</v>
      </c>
      <c r="P716" t="n">
        <v>0</v>
      </c>
      <c r="Q716" t="n">
        <v>0</v>
      </c>
      <c r="R716" s="2" t="inlineStr"/>
    </row>
    <row r="717" ht="15" customHeight="1">
      <c r="A717" t="inlineStr">
        <is>
          <t>A 48825-2023</t>
        </is>
      </c>
      <c r="B717" s="1" t="n">
        <v>45203</v>
      </c>
      <c r="C717" s="1" t="n">
        <v>46045</v>
      </c>
      <c r="D717" t="inlineStr">
        <is>
          <t>DALARNAS LÄN</t>
        </is>
      </c>
      <c r="E717" t="inlineStr">
        <is>
          <t>MORA</t>
        </is>
      </c>
      <c r="G717" t="n">
        <v>7.9</v>
      </c>
      <c r="H717" t="n">
        <v>0</v>
      </c>
      <c r="I717" t="n">
        <v>0</v>
      </c>
      <c r="J717" t="n">
        <v>0</v>
      </c>
      <c r="K717" t="n">
        <v>0</v>
      </c>
      <c r="L717" t="n">
        <v>0</v>
      </c>
      <c r="M717" t="n">
        <v>0</v>
      </c>
      <c r="N717" t="n">
        <v>0</v>
      </c>
      <c r="O717" t="n">
        <v>0</v>
      </c>
      <c r="P717" t="n">
        <v>0</v>
      </c>
      <c r="Q717" t="n">
        <v>0</v>
      </c>
      <c r="R717" s="2" t="inlineStr"/>
    </row>
    <row r="718" ht="15" customHeight="1">
      <c r="A718" t="inlineStr">
        <is>
          <t>A 18806-2025</t>
        </is>
      </c>
      <c r="B718" s="1" t="n">
        <v>45764.35269675926</v>
      </c>
      <c r="C718" s="1" t="n">
        <v>46045</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17163-2025</t>
        </is>
      </c>
      <c r="B719" s="1" t="n">
        <v>45756.35998842592</v>
      </c>
      <c r="C719" s="1" t="n">
        <v>46045</v>
      </c>
      <c r="D719" t="inlineStr">
        <is>
          <t>DALARNAS LÄN</t>
        </is>
      </c>
      <c r="E719" t="inlineStr">
        <is>
          <t>MORA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10777-2025</t>
        </is>
      </c>
      <c r="B720" s="1" t="n">
        <v>45722.47743055555</v>
      </c>
      <c r="C720" s="1" t="n">
        <v>46045</v>
      </c>
      <c r="D720" t="inlineStr">
        <is>
          <t>DALARNAS LÄN</t>
        </is>
      </c>
      <c r="E720" t="inlineStr">
        <is>
          <t>MORA</t>
        </is>
      </c>
      <c r="G720" t="n">
        <v>9.9</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45232.63217592592</v>
      </c>
      <c r="C721" s="1" t="n">
        <v>46045</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44817-2023</t>
        </is>
      </c>
      <c r="B722" s="1" t="n">
        <v>45190.51887731482</v>
      </c>
      <c r="C722" s="1" t="n">
        <v>46045</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17865-2025</t>
        </is>
      </c>
      <c r="B723" s="1" t="n">
        <v>45758.62951388889</v>
      </c>
      <c r="C723" s="1" t="n">
        <v>46045</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17167-2025</t>
        </is>
      </c>
      <c r="B724" s="1" t="n">
        <v>45756.36844907407</v>
      </c>
      <c r="C724" s="1" t="n">
        <v>46045</v>
      </c>
      <c r="D724" t="inlineStr">
        <is>
          <t>DALARNAS LÄN</t>
        </is>
      </c>
      <c r="E724" t="inlineStr">
        <is>
          <t>MORA</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17176-2025</t>
        </is>
      </c>
      <c r="B725" s="1" t="n">
        <v>45756.37520833333</v>
      </c>
      <c r="C725" s="1" t="n">
        <v>46045</v>
      </c>
      <c r="D725" t="inlineStr">
        <is>
          <t>DALARNAS LÄN</t>
        </is>
      </c>
      <c r="E725" t="inlineStr">
        <is>
          <t>MORA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57999-2023</t>
        </is>
      </c>
      <c r="B726" s="1" t="n">
        <v>45247</v>
      </c>
      <c r="C726" s="1" t="n">
        <v>46045</v>
      </c>
      <c r="D726" t="inlineStr">
        <is>
          <t>DALARNAS LÄN</t>
        </is>
      </c>
      <c r="E726" t="inlineStr">
        <is>
          <t>MORA</t>
        </is>
      </c>
      <c r="G726" t="n">
        <v>0.4</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45245.64877314815</v>
      </c>
      <c r="C727" s="1" t="n">
        <v>46045</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62853-2023</t>
        </is>
      </c>
      <c r="B728" s="1" t="n">
        <v>45272</v>
      </c>
      <c r="C728" s="1" t="n">
        <v>46045</v>
      </c>
      <c r="D728" t="inlineStr">
        <is>
          <t>DALARNAS LÄN</t>
        </is>
      </c>
      <c r="E728" t="inlineStr">
        <is>
          <t>MORA</t>
        </is>
      </c>
      <c r="G728" t="n">
        <v>13.6</v>
      </c>
      <c r="H728" t="n">
        <v>0</v>
      </c>
      <c r="I728" t="n">
        <v>0</v>
      </c>
      <c r="J728" t="n">
        <v>0</v>
      </c>
      <c r="K728" t="n">
        <v>0</v>
      </c>
      <c r="L728" t="n">
        <v>0</v>
      </c>
      <c r="M728" t="n">
        <v>0</v>
      </c>
      <c r="N728" t="n">
        <v>0</v>
      </c>
      <c r="O728" t="n">
        <v>0</v>
      </c>
      <c r="P728" t="n">
        <v>0</v>
      </c>
      <c r="Q728" t="n">
        <v>0</v>
      </c>
      <c r="R728" s="2" t="inlineStr"/>
    </row>
    <row r="729" ht="15" customHeight="1">
      <c r="A729" t="inlineStr">
        <is>
          <t>A 43826-2022</t>
        </is>
      </c>
      <c r="B729" s="1" t="n">
        <v>44838</v>
      </c>
      <c r="C729" s="1" t="n">
        <v>46045</v>
      </c>
      <c r="D729" t="inlineStr">
        <is>
          <t>DALARNAS LÄN</t>
        </is>
      </c>
      <c r="E729" t="inlineStr">
        <is>
          <t>MORA</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29754-2022</t>
        </is>
      </c>
      <c r="B730" s="1" t="n">
        <v>44755.59188657408</v>
      </c>
      <c r="C730" s="1" t="n">
        <v>46045</v>
      </c>
      <c r="D730" t="inlineStr">
        <is>
          <t>DALARNAS LÄN</t>
        </is>
      </c>
      <c r="E730" t="inlineStr">
        <is>
          <t>MORA</t>
        </is>
      </c>
      <c r="G730" t="n">
        <v>1.6</v>
      </c>
      <c r="H730" t="n">
        <v>0</v>
      </c>
      <c r="I730" t="n">
        <v>0</v>
      </c>
      <c r="J730" t="n">
        <v>0</v>
      </c>
      <c r="K730" t="n">
        <v>0</v>
      </c>
      <c r="L730" t="n">
        <v>0</v>
      </c>
      <c r="M730" t="n">
        <v>0</v>
      </c>
      <c r="N730" t="n">
        <v>0</v>
      </c>
      <c r="O730" t="n">
        <v>0</v>
      </c>
      <c r="P730" t="n">
        <v>0</v>
      </c>
      <c r="Q730" t="n">
        <v>0</v>
      </c>
      <c r="R730" s="2" t="inlineStr"/>
    </row>
    <row r="731" ht="15" customHeight="1">
      <c r="A731" t="inlineStr">
        <is>
          <t>A 36579-2022</t>
        </is>
      </c>
      <c r="B731" s="1" t="n">
        <v>44804.61636574074</v>
      </c>
      <c r="C731" s="1" t="n">
        <v>46045</v>
      </c>
      <c r="D731" t="inlineStr">
        <is>
          <t>DALARNAS LÄN</t>
        </is>
      </c>
      <c r="E731" t="inlineStr">
        <is>
          <t>MORA</t>
        </is>
      </c>
      <c r="G731" t="n">
        <v>2.3</v>
      </c>
      <c r="H731" t="n">
        <v>0</v>
      </c>
      <c r="I731" t="n">
        <v>0</v>
      </c>
      <c r="J731" t="n">
        <v>0</v>
      </c>
      <c r="K731" t="n">
        <v>0</v>
      </c>
      <c r="L731" t="n">
        <v>0</v>
      </c>
      <c r="M731" t="n">
        <v>0</v>
      </c>
      <c r="N731" t="n">
        <v>0</v>
      </c>
      <c r="O731" t="n">
        <v>0</v>
      </c>
      <c r="P731" t="n">
        <v>0</v>
      </c>
      <c r="Q731" t="n">
        <v>0</v>
      </c>
      <c r="R731" s="2" t="inlineStr"/>
    </row>
    <row r="732" ht="15" customHeight="1">
      <c r="A732" t="inlineStr">
        <is>
          <t>A 3531-2024</t>
        </is>
      </c>
      <c r="B732" s="1" t="n">
        <v>45320</v>
      </c>
      <c r="C732" s="1" t="n">
        <v>46045</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c r="U732">
        <f>HYPERLINK("https://klasma.github.io/Logging_2062/knärot/A 3531-2024 karta knärot.png", "A 3531-2024")</f>
        <v/>
      </c>
      <c r="V732">
        <f>HYPERLINK("https://klasma.github.io/Logging_2062/klagomål/A 3531-2024 FSC-klagomål.docx", "A 3531-2024")</f>
        <v/>
      </c>
      <c r="W732">
        <f>HYPERLINK("https://klasma.github.io/Logging_2062/klagomålsmail/A 3531-2024 FSC-klagomål mail.docx", "A 3531-2024")</f>
        <v/>
      </c>
      <c r="X732">
        <f>HYPERLINK("https://klasma.github.io/Logging_2062/tillsyn/A 3531-2024 tillsynsbegäran.docx", "A 3531-2024")</f>
        <v/>
      </c>
      <c r="Y732">
        <f>HYPERLINK("https://klasma.github.io/Logging_2062/tillsynsmail/A 3531-2024 tillsynsbegäran mail.docx", "A 3531-2024")</f>
        <v/>
      </c>
    </row>
    <row r="733" ht="15" customHeight="1">
      <c r="A733" t="inlineStr">
        <is>
          <t>A 39009-2023</t>
        </is>
      </c>
      <c r="B733" s="1" t="n">
        <v>45162</v>
      </c>
      <c r="C733" s="1" t="n">
        <v>46045</v>
      </c>
      <c r="D733" t="inlineStr">
        <is>
          <t>DALARNAS LÄN</t>
        </is>
      </c>
      <c r="E733" t="inlineStr">
        <is>
          <t>MORA</t>
        </is>
      </c>
      <c r="G733" t="n">
        <v>1.9</v>
      </c>
      <c r="H733" t="n">
        <v>0</v>
      </c>
      <c r="I733" t="n">
        <v>0</v>
      </c>
      <c r="J733" t="n">
        <v>0</v>
      </c>
      <c r="K733" t="n">
        <v>0</v>
      </c>
      <c r="L733" t="n">
        <v>0</v>
      </c>
      <c r="M733" t="n">
        <v>0</v>
      </c>
      <c r="N733" t="n">
        <v>0</v>
      </c>
      <c r="O733" t="n">
        <v>0</v>
      </c>
      <c r="P733" t="n">
        <v>0</v>
      </c>
      <c r="Q733" t="n">
        <v>0</v>
      </c>
      <c r="R733" s="2" t="inlineStr"/>
    </row>
    <row r="734" ht="15" customHeight="1">
      <c r="A734" t="inlineStr">
        <is>
          <t>A 44769-2021</t>
        </is>
      </c>
      <c r="B734" s="1" t="n">
        <v>44438</v>
      </c>
      <c r="C734" s="1" t="n">
        <v>46045</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28487-2024</t>
        </is>
      </c>
      <c r="B735" s="1" t="n">
        <v>45477.75744212963</v>
      </c>
      <c r="C735" s="1" t="n">
        <v>46045</v>
      </c>
      <c r="D735" t="inlineStr">
        <is>
          <t>DALARNAS LÄN</t>
        </is>
      </c>
      <c r="E735" t="inlineStr">
        <is>
          <t>MORA</t>
        </is>
      </c>
      <c r="G735" t="n">
        <v>3.1</v>
      </c>
      <c r="H735" t="n">
        <v>0</v>
      </c>
      <c r="I735" t="n">
        <v>0</v>
      </c>
      <c r="J735" t="n">
        <v>0</v>
      </c>
      <c r="K735" t="n">
        <v>0</v>
      </c>
      <c r="L735" t="n">
        <v>0</v>
      </c>
      <c r="M735" t="n">
        <v>0</v>
      </c>
      <c r="N735" t="n">
        <v>0</v>
      </c>
      <c r="O735" t="n">
        <v>0</v>
      </c>
      <c r="P735" t="n">
        <v>0</v>
      </c>
      <c r="Q735" t="n">
        <v>0</v>
      </c>
      <c r="R735" s="2" t="inlineStr"/>
    </row>
    <row r="736" ht="15" customHeight="1">
      <c r="A736" t="inlineStr">
        <is>
          <t>A 48728-2022</t>
        </is>
      </c>
      <c r="B736" s="1" t="n">
        <v>44859.52145833334</v>
      </c>
      <c r="C736" s="1" t="n">
        <v>46045</v>
      </c>
      <c r="D736" t="inlineStr">
        <is>
          <t>DALARNAS LÄN</t>
        </is>
      </c>
      <c r="E736" t="inlineStr">
        <is>
          <t>MORA</t>
        </is>
      </c>
      <c r="G736" t="n">
        <v>0.6</v>
      </c>
      <c r="H736" t="n">
        <v>0</v>
      </c>
      <c r="I736" t="n">
        <v>0</v>
      </c>
      <c r="J736" t="n">
        <v>0</v>
      </c>
      <c r="K736" t="n">
        <v>0</v>
      </c>
      <c r="L736" t="n">
        <v>0</v>
      </c>
      <c r="M736" t="n">
        <v>0</v>
      </c>
      <c r="N736" t="n">
        <v>0</v>
      </c>
      <c r="O736" t="n">
        <v>0</v>
      </c>
      <c r="P736" t="n">
        <v>0</v>
      </c>
      <c r="Q736" t="n">
        <v>0</v>
      </c>
      <c r="R736" s="2" t="inlineStr"/>
    </row>
    <row r="737" ht="15" customHeight="1">
      <c r="A737" t="inlineStr">
        <is>
          <t>A 61222-2023</t>
        </is>
      </c>
      <c r="B737" s="1" t="n">
        <v>45264</v>
      </c>
      <c r="C737" s="1" t="n">
        <v>46045</v>
      </c>
      <c r="D737" t="inlineStr">
        <is>
          <t>DALARNAS LÄN</t>
        </is>
      </c>
      <c r="E737" t="inlineStr">
        <is>
          <t>MORA</t>
        </is>
      </c>
      <c r="F737" t="inlineStr">
        <is>
          <t>Allmännings- och besparingsskogar</t>
        </is>
      </c>
      <c r="G737" t="n">
        <v>1.1</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46045</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52908-2023</t>
        </is>
      </c>
      <c r="B739" s="1" t="n">
        <v>45226.49950231481</v>
      </c>
      <c r="C739" s="1" t="n">
        <v>46045</v>
      </c>
      <c r="D739" t="inlineStr">
        <is>
          <t>DALARNAS LÄN</t>
        </is>
      </c>
      <c r="E739" t="inlineStr">
        <is>
          <t>MORA</t>
        </is>
      </c>
      <c r="G739" t="n">
        <v>3.3</v>
      </c>
      <c r="H739" t="n">
        <v>0</v>
      </c>
      <c r="I739" t="n">
        <v>0</v>
      </c>
      <c r="J739" t="n">
        <v>0</v>
      </c>
      <c r="K739" t="n">
        <v>0</v>
      </c>
      <c r="L739" t="n">
        <v>0</v>
      </c>
      <c r="M739" t="n">
        <v>0</v>
      </c>
      <c r="N739" t="n">
        <v>0</v>
      </c>
      <c r="O739" t="n">
        <v>0</v>
      </c>
      <c r="P739" t="n">
        <v>0</v>
      </c>
      <c r="Q739" t="n">
        <v>0</v>
      </c>
      <c r="R739" s="2" t="inlineStr"/>
    </row>
    <row r="740" ht="15" customHeight="1">
      <c r="A740" t="inlineStr">
        <is>
          <t>A 19896-2021</t>
        </is>
      </c>
      <c r="B740" s="1" t="n">
        <v>44313.54942129629</v>
      </c>
      <c r="C740" s="1" t="n">
        <v>46045</v>
      </c>
      <c r="D740" t="inlineStr">
        <is>
          <t>DALARNAS LÄN</t>
        </is>
      </c>
      <c r="E740" t="inlineStr">
        <is>
          <t>MORA</t>
        </is>
      </c>
      <c r="G740" t="n">
        <v>1.8</v>
      </c>
      <c r="H740" t="n">
        <v>0</v>
      </c>
      <c r="I740" t="n">
        <v>0</v>
      </c>
      <c r="J740" t="n">
        <v>0</v>
      </c>
      <c r="K740" t="n">
        <v>0</v>
      </c>
      <c r="L740" t="n">
        <v>0</v>
      </c>
      <c r="M740" t="n">
        <v>0</v>
      </c>
      <c r="N740" t="n">
        <v>0</v>
      </c>
      <c r="O740" t="n">
        <v>0</v>
      </c>
      <c r="P740" t="n">
        <v>0</v>
      </c>
      <c r="Q740" t="n">
        <v>0</v>
      </c>
      <c r="R740" s="2" t="inlineStr"/>
    </row>
    <row r="741" ht="15" customHeight="1">
      <c r="A741" t="inlineStr">
        <is>
          <t>A 51253-2023</t>
        </is>
      </c>
      <c r="B741" s="1" t="n">
        <v>45219</v>
      </c>
      <c r="C741" s="1" t="n">
        <v>46045</v>
      </c>
      <c r="D741" t="inlineStr">
        <is>
          <t>DALARNAS LÄN</t>
        </is>
      </c>
      <c r="E741" t="inlineStr">
        <is>
          <t>MORA</t>
        </is>
      </c>
      <c r="G741" t="n">
        <v>5</v>
      </c>
      <c r="H741" t="n">
        <v>0</v>
      </c>
      <c r="I741" t="n">
        <v>0</v>
      </c>
      <c r="J741" t="n">
        <v>0</v>
      </c>
      <c r="K741" t="n">
        <v>0</v>
      </c>
      <c r="L741" t="n">
        <v>0</v>
      </c>
      <c r="M741" t="n">
        <v>0</v>
      </c>
      <c r="N741" t="n">
        <v>0</v>
      </c>
      <c r="O741" t="n">
        <v>0</v>
      </c>
      <c r="P741" t="n">
        <v>0</v>
      </c>
      <c r="Q741" t="n">
        <v>0</v>
      </c>
      <c r="R741" s="2" t="inlineStr"/>
    </row>
    <row r="742" ht="15" customHeight="1">
      <c r="A742" t="inlineStr">
        <is>
          <t>A 58116-2022</t>
        </is>
      </c>
      <c r="B742" s="1" t="n">
        <v>44900.65716435185</v>
      </c>
      <c r="C742" s="1" t="n">
        <v>46045</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33666-2024</t>
        </is>
      </c>
      <c r="B743" s="1" t="n">
        <v>45520.48304398148</v>
      </c>
      <c r="C743" s="1" t="n">
        <v>46045</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42941-2024</t>
        </is>
      </c>
      <c r="B744" s="1" t="n">
        <v>45567.3515162037</v>
      </c>
      <c r="C744" s="1" t="n">
        <v>46045</v>
      </c>
      <c r="D744" t="inlineStr">
        <is>
          <t>DALARNAS LÄN</t>
        </is>
      </c>
      <c r="E744" t="inlineStr">
        <is>
          <t>MORA</t>
        </is>
      </c>
      <c r="G744" t="n">
        <v>1.6</v>
      </c>
      <c r="H744" t="n">
        <v>0</v>
      </c>
      <c r="I744" t="n">
        <v>0</v>
      </c>
      <c r="J744" t="n">
        <v>0</v>
      </c>
      <c r="K744" t="n">
        <v>0</v>
      </c>
      <c r="L744" t="n">
        <v>0</v>
      </c>
      <c r="M744" t="n">
        <v>0</v>
      </c>
      <c r="N744" t="n">
        <v>0</v>
      </c>
      <c r="O744" t="n">
        <v>0</v>
      </c>
      <c r="P744" t="n">
        <v>0</v>
      </c>
      <c r="Q744" t="n">
        <v>0</v>
      </c>
      <c r="R744" s="2" t="inlineStr"/>
    </row>
    <row r="745" ht="15" customHeight="1">
      <c r="A745" t="inlineStr">
        <is>
          <t>A 39674-2023</t>
        </is>
      </c>
      <c r="B745" s="1" t="n">
        <v>45167</v>
      </c>
      <c r="C745" s="1" t="n">
        <v>46045</v>
      </c>
      <c r="D745" t="inlineStr">
        <is>
          <t>DALARNAS LÄN</t>
        </is>
      </c>
      <c r="E745" t="inlineStr">
        <is>
          <t>MORA</t>
        </is>
      </c>
      <c r="G745" t="n">
        <v>2.4</v>
      </c>
      <c r="H745" t="n">
        <v>0</v>
      </c>
      <c r="I745" t="n">
        <v>0</v>
      </c>
      <c r="J745" t="n">
        <v>0</v>
      </c>
      <c r="K745" t="n">
        <v>0</v>
      </c>
      <c r="L745" t="n">
        <v>0</v>
      </c>
      <c r="M745" t="n">
        <v>0</v>
      </c>
      <c r="N745" t="n">
        <v>0</v>
      </c>
      <c r="O745" t="n">
        <v>0</v>
      </c>
      <c r="P745" t="n">
        <v>0</v>
      </c>
      <c r="Q745" t="n">
        <v>0</v>
      </c>
      <c r="R745" s="2" t="inlineStr"/>
    </row>
    <row r="746" ht="15" customHeight="1">
      <c r="A746" t="inlineStr">
        <is>
          <t>A 53341-2023</t>
        </is>
      </c>
      <c r="B746" s="1" t="n">
        <v>45229</v>
      </c>
      <c r="C746" s="1" t="n">
        <v>46045</v>
      </c>
      <c r="D746" t="inlineStr">
        <is>
          <t>DALARNAS LÄN</t>
        </is>
      </c>
      <c r="E746" t="inlineStr">
        <is>
          <t>MORA</t>
        </is>
      </c>
      <c r="G746" t="n">
        <v>2.1</v>
      </c>
      <c r="H746" t="n">
        <v>0</v>
      </c>
      <c r="I746" t="n">
        <v>0</v>
      </c>
      <c r="J746" t="n">
        <v>0</v>
      </c>
      <c r="K746" t="n">
        <v>0</v>
      </c>
      <c r="L746" t="n">
        <v>0</v>
      </c>
      <c r="M746" t="n">
        <v>0</v>
      </c>
      <c r="N746" t="n">
        <v>0</v>
      </c>
      <c r="O746" t="n">
        <v>0</v>
      </c>
      <c r="P746" t="n">
        <v>0</v>
      </c>
      <c r="Q746" t="n">
        <v>0</v>
      </c>
      <c r="R746" s="2" t="inlineStr"/>
    </row>
    <row r="747" ht="15" customHeight="1">
      <c r="A747" t="inlineStr">
        <is>
          <t>A 5001-2025</t>
        </is>
      </c>
      <c r="B747" s="1" t="n">
        <v>45691.36403935185</v>
      </c>
      <c r="C747" s="1" t="n">
        <v>46045</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54903-2024</t>
        </is>
      </c>
      <c r="B748" s="1" t="n">
        <v>45618</v>
      </c>
      <c r="C748" s="1" t="n">
        <v>46045</v>
      </c>
      <c r="D748" t="inlineStr">
        <is>
          <t>DALARNAS LÄN</t>
        </is>
      </c>
      <c r="E748" t="inlineStr">
        <is>
          <t>MORA</t>
        </is>
      </c>
      <c r="G748" t="n">
        <v>28.2</v>
      </c>
      <c r="H748" t="n">
        <v>0</v>
      </c>
      <c r="I748" t="n">
        <v>0</v>
      </c>
      <c r="J748" t="n">
        <v>0</v>
      </c>
      <c r="K748" t="n">
        <v>0</v>
      </c>
      <c r="L748" t="n">
        <v>0</v>
      </c>
      <c r="M748" t="n">
        <v>0</v>
      </c>
      <c r="N748" t="n">
        <v>0</v>
      </c>
      <c r="O748" t="n">
        <v>0</v>
      </c>
      <c r="P748" t="n">
        <v>0</v>
      </c>
      <c r="Q748" t="n">
        <v>0</v>
      </c>
      <c r="R748" s="2" t="inlineStr"/>
    </row>
    <row r="749" ht="15" customHeight="1">
      <c r="A749" t="inlineStr">
        <is>
          <t>A 14040-2023</t>
        </is>
      </c>
      <c r="B749" s="1" t="n">
        <v>45008.64575231481</v>
      </c>
      <c r="C749" s="1" t="n">
        <v>46045</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55331-2022</t>
        </is>
      </c>
      <c r="B750" s="1" t="n">
        <v>44887.43714120371</v>
      </c>
      <c r="C750" s="1" t="n">
        <v>46045</v>
      </c>
      <c r="D750" t="inlineStr">
        <is>
          <t>DALARNAS LÄN</t>
        </is>
      </c>
      <c r="E750" t="inlineStr">
        <is>
          <t>MORA</t>
        </is>
      </c>
      <c r="F750" t="inlineStr">
        <is>
          <t>Bergvik skog väst AB</t>
        </is>
      </c>
      <c r="G750" t="n">
        <v>2.2</v>
      </c>
      <c r="H750" t="n">
        <v>0</v>
      </c>
      <c r="I750" t="n">
        <v>0</v>
      </c>
      <c r="J750" t="n">
        <v>0</v>
      </c>
      <c r="K750" t="n">
        <v>0</v>
      </c>
      <c r="L750" t="n">
        <v>0</v>
      </c>
      <c r="M750" t="n">
        <v>0</v>
      </c>
      <c r="N750" t="n">
        <v>0</v>
      </c>
      <c r="O750" t="n">
        <v>0</v>
      </c>
      <c r="P750" t="n">
        <v>0</v>
      </c>
      <c r="Q750" t="n">
        <v>0</v>
      </c>
      <c r="R750" s="2" t="inlineStr"/>
    </row>
    <row r="751" ht="15" customHeight="1">
      <c r="A751" t="inlineStr">
        <is>
          <t>A 45475-2023</t>
        </is>
      </c>
      <c r="B751" s="1" t="n">
        <v>45188</v>
      </c>
      <c r="C751" s="1" t="n">
        <v>46045</v>
      </c>
      <c r="D751" t="inlineStr">
        <is>
          <t>DALARNAS LÄN</t>
        </is>
      </c>
      <c r="E751" t="inlineStr">
        <is>
          <t>MORA</t>
        </is>
      </c>
      <c r="G751" t="n">
        <v>1.1</v>
      </c>
      <c r="H751" t="n">
        <v>0</v>
      </c>
      <c r="I751" t="n">
        <v>0</v>
      </c>
      <c r="J751" t="n">
        <v>0</v>
      </c>
      <c r="K751" t="n">
        <v>0</v>
      </c>
      <c r="L751" t="n">
        <v>0</v>
      </c>
      <c r="M751" t="n">
        <v>0</v>
      </c>
      <c r="N751" t="n">
        <v>0</v>
      </c>
      <c r="O751" t="n">
        <v>0</v>
      </c>
      <c r="P751" t="n">
        <v>0</v>
      </c>
      <c r="Q751" t="n">
        <v>0</v>
      </c>
      <c r="R751" s="2" t="inlineStr"/>
    </row>
    <row r="752" ht="15" customHeight="1">
      <c r="A752" t="inlineStr">
        <is>
          <t>A 11919-2024</t>
        </is>
      </c>
      <c r="B752" s="1" t="n">
        <v>45376.61019675926</v>
      </c>
      <c r="C752" s="1" t="n">
        <v>46045</v>
      </c>
      <c r="D752" t="inlineStr">
        <is>
          <t>DALARNAS LÄN</t>
        </is>
      </c>
      <c r="E752" t="inlineStr">
        <is>
          <t>MORA</t>
        </is>
      </c>
      <c r="G752" t="n">
        <v>3.5</v>
      </c>
      <c r="H752" t="n">
        <v>0</v>
      </c>
      <c r="I752" t="n">
        <v>0</v>
      </c>
      <c r="J752" t="n">
        <v>0</v>
      </c>
      <c r="K752" t="n">
        <v>0</v>
      </c>
      <c r="L752" t="n">
        <v>0</v>
      </c>
      <c r="M752" t="n">
        <v>0</v>
      </c>
      <c r="N752" t="n">
        <v>0</v>
      </c>
      <c r="O752" t="n">
        <v>0</v>
      </c>
      <c r="P752" t="n">
        <v>0</v>
      </c>
      <c r="Q752" t="n">
        <v>0</v>
      </c>
      <c r="R752" s="2" t="inlineStr"/>
    </row>
    <row r="753" ht="15" customHeight="1">
      <c r="A753" t="inlineStr">
        <is>
          <t>A 45315-2024</t>
        </is>
      </c>
      <c r="B753" s="1" t="n">
        <v>45576.43782407408</v>
      </c>
      <c r="C753" s="1" t="n">
        <v>46045</v>
      </c>
      <c r="D753" t="inlineStr">
        <is>
          <t>DALARNAS LÄN</t>
        </is>
      </c>
      <c r="E753" t="inlineStr">
        <is>
          <t>MORA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17529-2023</t>
        </is>
      </c>
      <c r="B754" s="1" t="n">
        <v>45036.46804398148</v>
      </c>
      <c r="C754" s="1" t="n">
        <v>46045</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4209-2023</t>
        </is>
      </c>
      <c r="B755" s="1" t="n">
        <v>44953</v>
      </c>
      <c r="C755" s="1" t="n">
        <v>46045</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8146-2021</t>
        </is>
      </c>
      <c r="B756" s="1" t="n">
        <v>44244</v>
      </c>
      <c r="C756" s="1" t="n">
        <v>46045</v>
      </c>
      <c r="D756" t="inlineStr">
        <is>
          <t>DALARNAS LÄN</t>
        </is>
      </c>
      <c r="E756" t="inlineStr">
        <is>
          <t>MORA</t>
        </is>
      </c>
      <c r="G756" t="n">
        <v>2.1</v>
      </c>
      <c r="H756" t="n">
        <v>0</v>
      </c>
      <c r="I756" t="n">
        <v>0</v>
      </c>
      <c r="J756" t="n">
        <v>0</v>
      </c>
      <c r="K756" t="n">
        <v>0</v>
      </c>
      <c r="L756" t="n">
        <v>0</v>
      </c>
      <c r="M756" t="n">
        <v>0</v>
      </c>
      <c r="N756" t="n">
        <v>0</v>
      </c>
      <c r="O756" t="n">
        <v>0</v>
      </c>
      <c r="P756" t="n">
        <v>0</v>
      </c>
      <c r="Q756" t="n">
        <v>0</v>
      </c>
      <c r="R756" s="2" t="inlineStr"/>
    </row>
    <row r="757" ht="15" customHeight="1">
      <c r="A757" t="inlineStr">
        <is>
          <t>A 39344-2024</t>
        </is>
      </c>
      <c r="B757" s="1" t="n">
        <v>45551.44503472222</v>
      </c>
      <c r="C757" s="1" t="n">
        <v>46045</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26314-2021</t>
        </is>
      </c>
      <c r="B758" s="1" t="n">
        <v>44347</v>
      </c>
      <c r="C758" s="1" t="n">
        <v>46045</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c r="A759" t="inlineStr">
        <is>
          <t>A 60051-2022</t>
        </is>
      </c>
      <c r="B759" s="1" t="n">
        <v>44909.52385416667</v>
      </c>
      <c r="C759" s="1" t="n">
        <v>46045</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2026-01-23T10:56:44Z</dcterms:created>
  <dcterms:modified xmlns:dcterms="http://purl.org/dc/terms/" xmlns:xsi="http://www.w3.org/2001/XMLSchema-instance" xsi:type="dcterms:W3CDTF">2026-01-23T10:56:44Z</dcterms:modified>
</cp:coreProperties>
</file>