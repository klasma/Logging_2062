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46200</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46200</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46200</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46200</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46200</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46200</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46200</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46200</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46200</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46200</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46200</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46200</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46200</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46200</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46200</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46200</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48348-2024</t>
        </is>
      </c>
      <c r="B18" s="1" t="n">
        <v>45590</v>
      </c>
      <c r="C18" s="1" t="n">
        <v>46200</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46200</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35485-2025</t>
        </is>
      </c>
      <c r="B20" s="1" t="n">
        <v>45855</v>
      </c>
      <c r="C20" s="1" t="n">
        <v>46200</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46200</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46200</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50759-2023</t>
        </is>
      </c>
      <c r="B23" s="1" t="n">
        <v>45217</v>
      </c>
      <c r="C23" s="1" t="n">
        <v>46200</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46200</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46200</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41022-2021</t>
        </is>
      </c>
      <c r="B26" s="1" t="n">
        <v>44421</v>
      </c>
      <c r="C26" s="1" t="n">
        <v>46200</v>
      </c>
      <c r="D26" t="inlineStr">
        <is>
          <t>DALARNAS LÄN</t>
        </is>
      </c>
      <c r="E26" t="inlineStr">
        <is>
          <t>MORA</t>
        </is>
      </c>
      <c r="G26" t="n">
        <v>11.9</v>
      </c>
      <c r="H26" t="n">
        <v>3</v>
      </c>
      <c r="I26" t="n">
        <v>1</v>
      </c>
      <c r="J26" t="n">
        <v>6</v>
      </c>
      <c r="K26" t="n">
        <v>1</v>
      </c>
      <c r="L26" t="n">
        <v>0</v>
      </c>
      <c r="M26" t="n">
        <v>0</v>
      </c>
      <c r="N26" t="n">
        <v>0</v>
      </c>
      <c r="O26" t="n">
        <v>7</v>
      </c>
      <c r="P26" t="n">
        <v>1</v>
      </c>
      <c r="Q26" t="n">
        <v>12</v>
      </c>
      <c r="R26" s="2" t="inlineStr">
        <is>
          <t>Garnlav
Dropptaggsvamp
Mörk kolflarnlav
Talltagel
Vedflamlav
Vedskivlav
Violettgrå tagellav
Mindre märgborre
Spillkråka
Timmerticka
Tjäder
Tofsmes</t>
        </is>
      </c>
      <c r="S26">
        <f>HYPERLINK("https://klasma.github.io/Logging_2062/artfynd/A 41022-2021 artfynd.xlsx", "A 41022-2021")</f>
        <v/>
      </c>
      <c r="T26">
        <f>HYPERLINK("https://klasma.github.io/Logging_2062/kartor/A 41022-2021 karta.png", "A 41022-2021")</f>
        <v/>
      </c>
      <c r="V26">
        <f>HYPERLINK("https://klasma.github.io/Logging_2062/klagomål/A 41022-2021 FSC-klagomål.docx", "A 41022-2021")</f>
        <v/>
      </c>
      <c r="W26">
        <f>HYPERLINK("https://klasma.github.io/Logging_2062/klagomålsmail/A 41022-2021 FSC-klagomål mail.docx", "A 41022-2021")</f>
        <v/>
      </c>
      <c r="X26">
        <f>HYPERLINK("https://klasma.github.io/Logging_2062/tillsyn/A 41022-2021 tillsynsbegäran.docx", "A 41022-2021")</f>
        <v/>
      </c>
      <c r="Y26">
        <f>HYPERLINK("https://klasma.github.io/Logging_2062/tillsynsmail/A 41022-2021 tillsynsbegäran mail.docx", "A 41022-2021")</f>
        <v/>
      </c>
      <c r="Z26">
        <f>HYPERLINK("https://klasma.github.io/Logging_2062/fåglar/A 41022-2021 prioriterade fågelarter.docx", "A 41022-2021")</f>
        <v/>
      </c>
    </row>
    <row r="27" ht="15" customHeight="1">
      <c r="A27" t="inlineStr">
        <is>
          <t>A 34714-2025</t>
        </is>
      </c>
      <c r="B27" s="1" t="n">
        <v>45848</v>
      </c>
      <c r="C27" s="1" t="n">
        <v>46200</v>
      </c>
      <c r="D27" t="inlineStr">
        <is>
          <t>DALARNAS LÄN</t>
        </is>
      </c>
      <c r="E27" t="inlineStr">
        <is>
          <t>MORA</t>
        </is>
      </c>
      <c r="G27" t="n">
        <v>8.199999999999999</v>
      </c>
      <c r="H27" t="n">
        <v>7</v>
      </c>
      <c r="I27" t="n">
        <v>3</v>
      </c>
      <c r="J27" t="n">
        <v>4</v>
      </c>
      <c r="K27" t="n">
        <v>2</v>
      </c>
      <c r="L27" t="n">
        <v>0</v>
      </c>
      <c r="M27" t="n">
        <v>0</v>
      </c>
      <c r="N27" t="n">
        <v>0</v>
      </c>
      <c r="O27" t="n">
        <v>6</v>
      </c>
      <c r="P27" t="n">
        <v>2</v>
      </c>
      <c r="Q27" t="n">
        <v>12</v>
      </c>
      <c r="R27" s="2" t="inlineStr">
        <is>
          <t>Garnlav
Knärot
Dvärgbägarlav
Kolflarnlav
Mörk kolflarnlav
Tretåig hackspett
Korallrot
Mindre märgborre
Spindelblomster
Tjäder
Större vattensalamander
Mindre vattensalamander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35486-2025</t>
        </is>
      </c>
      <c r="B28" s="1" t="n">
        <v>45855</v>
      </c>
      <c r="C28" s="1" t="n">
        <v>46200</v>
      </c>
      <c r="D28" t="inlineStr">
        <is>
          <t>DALARNAS LÄN</t>
        </is>
      </c>
      <c r="E28" t="inlineStr">
        <is>
          <t>MORA</t>
        </is>
      </c>
      <c r="F28" t="inlineStr">
        <is>
          <t>Allmännings- och besparingsskogar</t>
        </is>
      </c>
      <c r="G28" t="n">
        <v>3.9</v>
      </c>
      <c r="H28" t="n">
        <v>3</v>
      </c>
      <c r="I28" t="n">
        <v>2</v>
      </c>
      <c r="J28" t="n">
        <v>8</v>
      </c>
      <c r="K28" t="n">
        <v>1</v>
      </c>
      <c r="L28" t="n">
        <v>0</v>
      </c>
      <c r="M28" t="n">
        <v>0</v>
      </c>
      <c r="N28" t="n">
        <v>0</v>
      </c>
      <c r="O28" t="n">
        <v>9</v>
      </c>
      <c r="P28" t="n">
        <v>1</v>
      </c>
      <c r="Q28" t="n">
        <v>12</v>
      </c>
      <c r="R28" s="2" t="inlineStr">
        <is>
          <t>Garnlav
Dropptaggsvamp
Dvärgbägarlav
Kötticka
Talltagel
Talltita
Tretåig hackspett
Ullticka
Vedskivlav
Mindre märgborre
Svavelriska
Spillkråka</t>
        </is>
      </c>
      <c r="S28">
        <f>HYPERLINK("https://klasma.github.io/Logging_2062/artfynd/A 35486-2025 artfynd.xlsx", "A 35486-2025")</f>
        <v/>
      </c>
      <c r="T28">
        <f>HYPERLINK("https://klasma.github.io/Logging_2062/kartor/A 35486-2025 karta.png", "A 35486-2025")</f>
        <v/>
      </c>
      <c r="V28">
        <f>HYPERLINK("https://klasma.github.io/Logging_2062/klagomål/A 35486-2025 FSC-klagomål.docx", "A 35486-2025")</f>
        <v/>
      </c>
      <c r="W28">
        <f>HYPERLINK("https://klasma.github.io/Logging_2062/klagomålsmail/A 35486-2025 FSC-klagomål mail.docx", "A 35486-2025")</f>
        <v/>
      </c>
      <c r="X28">
        <f>HYPERLINK("https://klasma.github.io/Logging_2062/tillsyn/A 35486-2025 tillsynsbegäran.docx", "A 35486-2025")</f>
        <v/>
      </c>
      <c r="Y28">
        <f>HYPERLINK("https://klasma.github.io/Logging_2062/tillsynsmail/A 35486-2025 tillsynsbegäran mail.docx", "A 35486-2025")</f>
        <v/>
      </c>
      <c r="Z28">
        <f>HYPERLINK("https://klasma.github.io/Logging_2062/fåglar/A 35486-2025 prioriterade fågelarter.docx", "A 35486-2025")</f>
        <v/>
      </c>
    </row>
    <row r="29" ht="15" customHeight="1">
      <c r="A29" t="inlineStr">
        <is>
          <t>A 29934-2025</t>
        </is>
      </c>
      <c r="B29" s="1" t="n">
        <v>45826</v>
      </c>
      <c r="C29" s="1" t="n">
        <v>46200</v>
      </c>
      <c r="D29" t="inlineStr">
        <is>
          <t>DALARNAS LÄN</t>
        </is>
      </c>
      <c r="E29" t="inlineStr">
        <is>
          <t>MORA</t>
        </is>
      </c>
      <c r="G29" t="n">
        <v>5.6</v>
      </c>
      <c r="H29" t="n">
        <v>3</v>
      </c>
      <c r="I29" t="n">
        <v>2</v>
      </c>
      <c r="J29" t="n">
        <v>8</v>
      </c>
      <c r="K29" t="n">
        <v>1</v>
      </c>
      <c r="L29" t="n">
        <v>0</v>
      </c>
      <c r="M29" t="n">
        <v>0</v>
      </c>
      <c r="N29" t="n">
        <v>0</v>
      </c>
      <c r="O29" t="n">
        <v>9</v>
      </c>
      <c r="P29" t="n">
        <v>1</v>
      </c>
      <c r="Q29" t="n">
        <v>12</v>
      </c>
      <c r="R29" s="2" t="inlineStr">
        <is>
          <t>Garnlav
Kolflarnlav
Ladusvala
Mörk kolflarnlav
Talltagel
Vedflamlav
Vedskivlav
Violettgrå tagellav
Vitgrynig nållav
Mindre märgborre
Plattlummer
Spillkråka</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25556-2026</t>
        </is>
      </c>
      <c r="B30" s="1" t="n">
        <v>46177</v>
      </c>
      <c r="C30" s="1" t="n">
        <v>46200</v>
      </c>
      <c r="D30" t="inlineStr">
        <is>
          <t>DALARNAS LÄN</t>
        </is>
      </c>
      <c r="E30" t="inlineStr">
        <is>
          <t>MORA</t>
        </is>
      </c>
      <c r="G30" t="n">
        <v>12</v>
      </c>
      <c r="H30" t="n">
        <v>3</v>
      </c>
      <c r="I30" t="n">
        <v>1</v>
      </c>
      <c r="J30" t="n">
        <v>6</v>
      </c>
      <c r="K30" t="n">
        <v>1</v>
      </c>
      <c r="L30" t="n">
        <v>0</v>
      </c>
      <c r="M30" t="n">
        <v>0</v>
      </c>
      <c r="N30" t="n">
        <v>0</v>
      </c>
      <c r="O30" t="n">
        <v>7</v>
      </c>
      <c r="P30" t="n">
        <v>1</v>
      </c>
      <c r="Q30" t="n">
        <v>12</v>
      </c>
      <c r="R30" s="2" t="inlineStr">
        <is>
          <t>Garnlav
Dropptaggsvamp
Mörk kolflarnlav
Talltagel
Vedflamlav
Vedskivlav
Violettgrå tagellav
Mindre märgborre
Spillkråka
Timmerticka
Tjäder
Tofsmes</t>
        </is>
      </c>
      <c r="S30">
        <f>HYPERLINK("https://klasma.github.io/Logging_2062/artfynd/A 25556-2026 artfynd.xlsx", "A 25556-2026")</f>
        <v/>
      </c>
      <c r="T30">
        <f>HYPERLINK("https://klasma.github.io/Logging_2062/kartor/A 25556-2026 karta.png", "A 25556-2026")</f>
        <v/>
      </c>
      <c r="V30">
        <f>HYPERLINK("https://klasma.github.io/Logging_2062/klagomål/A 25556-2026 FSC-klagomål.docx", "A 25556-2026")</f>
        <v/>
      </c>
      <c r="W30">
        <f>HYPERLINK("https://klasma.github.io/Logging_2062/klagomålsmail/A 25556-2026 FSC-klagomål mail.docx", "A 25556-2026")</f>
        <v/>
      </c>
      <c r="X30">
        <f>HYPERLINK("https://klasma.github.io/Logging_2062/tillsyn/A 25556-2026 tillsynsbegäran.docx", "A 25556-2026")</f>
        <v/>
      </c>
      <c r="Y30">
        <f>HYPERLINK("https://klasma.github.io/Logging_2062/tillsynsmail/A 25556-2026 tillsynsbegäran mail.docx", "A 25556-2026")</f>
        <v/>
      </c>
      <c r="Z30">
        <f>HYPERLINK("https://klasma.github.io/Logging_2062/fåglar/A 25556-2026 prioriterade fågelarter.docx", "A 25556-2026")</f>
        <v/>
      </c>
    </row>
    <row r="31" ht="15" customHeight="1">
      <c r="A31" t="inlineStr">
        <is>
          <t>A 61943-2024</t>
        </is>
      </c>
      <c r="B31" s="1" t="n">
        <v>45653</v>
      </c>
      <c r="C31" s="1" t="n">
        <v>46200</v>
      </c>
      <c r="D31" t="inlineStr">
        <is>
          <t>DALARNAS LÄN</t>
        </is>
      </c>
      <c r="E31" t="inlineStr">
        <is>
          <t>MORA</t>
        </is>
      </c>
      <c r="G31" t="n">
        <v>4.3</v>
      </c>
      <c r="H31" t="n">
        <v>2</v>
      </c>
      <c r="I31" t="n">
        <v>1</v>
      </c>
      <c r="J31" t="n">
        <v>7</v>
      </c>
      <c r="K31" t="n">
        <v>1</v>
      </c>
      <c r="L31" t="n">
        <v>0</v>
      </c>
      <c r="M31" t="n">
        <v>0</v>
      </c>
      <c r="N31" t="n">
        <v>0</v>
      </c>
      <c r="O31" t="n">
        <v>8</v>
      </c>
      <c r="P31" t="n">
        <v>1</v>
      </c>
      <c r="Q31" t="n">
        <v>11</v>
      </c>
      <c r="R31" s="2" t="inlineStr">
        <is>
          <t>Garnlav
Dvärgbägarlav
Lunglav
Mörk kolflarnlav
Tallticka
Vedskivlav
Violettgrå tagellav
Vitgrynig nållav
Mindre märgborre
Spillkråka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30904-2025</t>
        </is>
      </c>
      <c r="B32" s="1" t="n">
        <v>45832</v>
      </c>
      <c r="C32" s="1" t="n">
        <v>46200</v>
      </c>
      <c r="D32" t="inlineStr">
        <is>
          <t>DALARNAS LÄN</t>
        </is>
      </c>
      <c r="E32" t="inlineStr">
        <is>
          <t>MORA</t>
        </is>
      </c>
      <c r="G32" t="n">
        <v>6.6</v>
      </c>
      <c r="H32" t="n">
        <v>4</v>
      </c>
      <c r="I32" t="n">
        <v>2</v>
      </c>
      <c r="J32" t="n">
        <v>5</v>
      </c>
      <c r="K32" t="n">
        <v>1</v>
      </c>
      <c r="L32" t="n">
        <v>0</v>
      </c>
      <c r="M32" t="n">
        <v>0</v>
      </c>
      <c r="N32" t="n">
        <v>0</v>
      </c>
      <c r="O32" t="n">
        <v>6</v>
      </c>
      <c r="P32" t="n">
        <v>1</v>
      </c>
      <c r="Q32" t="n">
        <v>11</v>
      </c>
      <c r="R32" s="2" t="inlineStr">
        <is>
          <t>Garnlav
Talltagel
Tallticka
Talltita
Vedflamlav
Vedskivlav
Mindre märgborre
Vågbandad barkbock
Spillkråka
Tjäder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56940-2025</t>
        </is>
      </c>
      <c r="B33" s="1" t="n">
        <v>45978</v>
      </c>
      <c r="C33" s="1" t="n">
        <v>46200</v>
      </c>
      <c r="D33" t="inlineStr">
        <is>
          <t>DALARNAS LÄN</t>
        </is>
      </c>
      <c r="E33" t="inlineStr">
        <is>
          <t>MORA</t>
        </is>
      </c>
      <c r="G33" t="n">
        <v>18.1</v>
      </c>
      <c r="H33" t="n">
        <v>0</v>
      </c>
      <c r="I33" t="n">
        <v>2</v>
      </c>
      <c r="J33" t="n">
        <v>7</v>
      </c>
      <c r="K33" t="n">
        <v>2</v>
      </c>
      <c r="L33" t="n">
        <v>0</v>
      </c>
      <c r="M33" t="n">
        <v>0</v>
      </c>
      <c r="N33" t="n">
        <v>0</v>
      </c>
      <c r="O33" t="n">
        <v>9</v>
      </c>
      <c r="P33" t="n">
        <v>2</v>
      </c>
      <c r="Q33" t="n">
        <v>11</v>
      </c>
      <c r="R33" s="2" t="inlineStr">
        <is>
          <t>Fläckporing
Garnlav
Blågrå svartspik
Dropptaggsvamp
Kolflarnlav
Mörk kolflarnlav
Tallticka
Vaddporing
Vedflamlav
Bronshjon
Mindre märgborre</t>
        </is>
      </c>
      <c r="S33">
        <f>HYPERLINK("https://klasma.github.io/Logging_2062/artfynd/A 56940-2025 artfynd.xlsx", "A 56940-2025")</f>
        <v/>
      </c>
      <c r="T33">
        <f>HYPERLINK("https://klasma.github.io/Logging_2062/kartor/A 56940-2025 karta.png", "A 56940-2025")</f>
        <v/>
      </c>
      <c r="V33">
        <f>HYPERLINK("https://klasma.github.io/Logging_2062/klagomål/A 56940-2025 FSC-klagomål.docx", "A 56940-2025")</f>
        <v/>
      </c>
      <c r="W33">
        <f>HYPERLINK("https://klasma.github.io/Logging_2062/klagomålsmail/A 56940-2025 FSC-klagomål mail.docx", "A 56940-2025")</f>
        <v/>
      </c>
      <c r="X33">
        <f>HYPERLINK("https://klasma.github.io/Logging_2062/tillsyn/A 56940-2025 tillsynsbegäran.docx", "A 56940-2025")</f>
        <v/>
      </c>
      <c r="Y33">
        <f>HYPERLINK("https://klasma.github.io/Logging_2062/tillsynsmail/A 56940-2025 tillsynsbegäran mail.docx", "A 56940-2025")</f>
        <v/>
      </c>
    </row>
    <row r="34" ht="15" customHeight="1">
      <c r="A34" t="inlineStr">
        <is>
          <t>A 31562-2025</t>
        </is>
      </c>
      <c r="B34" s="1" t="n">
        <v>45833</v>
      </c>
      <c r="C34" s="1" t="n">
        <v>46200</v>
      </c>
      <c r="D34" t="inlineStr">
        <is>
          <t>DALARNAS LÄN</t>
        </is>
      </c>
      <c r="E34" t="inlineStr">
        <is>
          <t>MORA</t>
        </is>
      </c>
      <c r="G34" t="n">
        <v>12.4</v>
      </c>
      <c r="H34" t="n">
        <v>4</v>
      </c>
      <c r="I34" t="n">
        <v>3</v>
      </c>
      <c r="J34" t="n">
        <v>5</v>
      </c>
      <c r="K34" t="n">
        <v>2</v>
      </c>
      <c r="L34" t="n">
        <v>0</v>
      </c>
      <c r="M34" t="n">
        <v>0</v>
      </c>
      <c r="N34" t="n">
        <v>0</v>
      </c>
      <c r="O34" t="n">
        <v>7</v>
      </c>
      <c r="P34" t="n">
        <v>2</v>
      </c>
      <c r="Q34" t="n">
        <v>11</v>
      </c>
      <c r="R34" s="2" t="inlineStr">
        <is>
          <t>Garnlav
Knärot
Kattfotslav
Tallticka
Talltita
Tretåig hackspett
Vitgrynig nållav
Mindre märgborre
Nästlav
Thomsons trägnagare
Fläcknycklar</t>
        </is>
      </c>
      <c r="S34">
        <f>HYPERLINK("https://klasma.github.io/Logging_2062/artfynd/A 31562-2025 artfynd.xlsx", "A 31562-2025")</f>
        <v/>
      </c>
      <c r="T34">
        <f>HYPERLINK("https://klasma.github.io/Logging_2062/kartor/A 31562-2025 karta.png", "A 31562-2025")</f>
        <v/>
      </c>
      <c r="U34">
        <f>HYPERLINK("https://klasma.github.io/Logging_2062/knärot/A 31562-2025 karta knärot.png", "A 31562-2025")</f>
        <v/>
      </c>
      <c r="V34">
        <f>HYPERLINK("https://klasma.github.io/Logging_2062/klagomål/A 31562-2025 FSC-klagomål.docx", "A 31562-2025")</f>
        <v/>
      </c>
      <c r="W34">
        <f>HYPERLINK("https://klasma.github.io/Logging_2062/klagomålsmail/A 31562-2025 FSC-klagomål mail.docx", "A 31562-2025")</f>
        <v/>
      </c>
      <c r="X34">
        <f>HYPERLINK("https://klasma.github.io/Logging_2062/tillsyn/A 31562-2025 tillsynsbegäran.docx", "A 31562-2025")</f>
        <v/>
      </c>
      <c r="Y34">
        <f>HYPERLINK("https://klasma.github.io/Logging_2062/tillsynsmail/A 31562-2025 tillsynsbegäran mail.docx", "A 31562-2025")</f>
        <v/>
      </c>
      <c r="Z34">
        <f>HYPERLINK("https://klasma.github.io/Logging_2062/fåglar/A 31562-2025 prioriterade fågelarter.docx", "A 31562-2025")</f>
        <v/>
      </c>
    </row>
    <row r="35" ht="15" customHeight="1">
      <c r="A35" t="inlineStr">
        <is>
          <t>A 35944-2024</t>
        </is>
      </c>
      <c r="B35" s="1" t="n">
        <v>45533</v>
      </c>
      <c r="C35" s="1" t="n">
        <v>46200</v>
      </c>
      <c r="D35" t="inlineStr">
        <is>
          <t>DALARNAS LÄN</t>
        </is>
      </c>
      <c r="E35" t="inlineStr">
        <is>
          <t>MORA</t>
        </is>
      </c>
      <c r="G35" t="n">
        <v>1.7</v>
      </c>
      <c r="H35" t="n">
        <v>2</v>
      </c>
      <c r="I35" t="n">
        <v>4</v>
      </c>
      <c r="J35" t="n">
        <v>4</v>
      </c>
      <c r="K35" t="n">
        <v>1</v>
      </c>
      <c r="L35" t="n">
        <v>0</v>
      </c>
      <c r="M35" t="n">
        <v>0</v>
      </c>
      <c r="N35" t="n">
        <v>0</v>
      </c>
      <c r="O35" t="n">
        <v>5</v>
      </c>
      <c r="P35" t="n">
        <v>1</v>
      </c>
      <c r="Q35" t="n">
        <v>10</v>
      </c>
      <c r="R35" s="2" t="inlineStr">
        <is>
          <t>Garnlav
Kortskaftad ärgspik
Talltita
Ullticka
Vedtrappmossa
Bronshjon
Mindre märgborre
Thomsons trägnagare
Vedticka
Spillkråka</t>
        </is>
      </c>
      <c r="S35">
        <f>HYPERLINK("https://klasma.github.io/Logging_2062/artfynd/A 35944-2024 artfynd.xlsx", "A 35944-2024")</f>
        <v/>
      </c>
      <c r="T35">
        <f>HYPERLINK("https://klasma.github.io/Logging_2062/kartor/A 35944-2024 karta.png", "A 35944-2024")</f>
        <v/>
      </c>
      <c r="V35">
        <f>HYPERLINK("https://klasma.github.io/Logging_2062/klagomål/A 35944-2024 FSC-klagomål.docx", "A 35944-2024")</f>
        <v/>
      </c>
      <c r="W35">
        <f>HYPERLINK("https://klasma.github.io/Logging_2062/klagomålsmail/A 35944-2024 FSC-klagomål mail.docx", "A 35944-2024")</f>
        <v/>
      </c>
      <c r="X35">
        <f>HYPERLINK("https://klasma.github.io/Logging_2062/tillsyn/A 35944-2024 tillsynsbegäran.docx", "A 35944-2024")</f>
        <v/>
      </c>
      <c r="Y35">
        <f>HYPERLINK("https://klasma.github.io/Logging_2062/tillsynsmail/A 35944-2024 tillsynsbegäran mail.docx", "A 35944-2024")</f>
        <v/>
      </c>
      <c r="Z35">
        <f>HYPERLINK("https://klasma.github.io/Logging_2062/fåglar/A 35944-2024 prioriterade fågelarter.docx", "A 35944-2024")</f>
        <v/>
      </c>
    </row>
    <row r="36" ht="15" customHeight="1">
      <c r="A36" t="inlineStr">
        <is>
          <t>A 40313-2025</t>
        </is>
      </c>
      <c r="B36" s="1" t="n">
        <v>45895</v>
      </c>
      <c r="C36" s="1" t="n">
        <v>46200</v>
      </c>
      <c r="D36" t="inlineStr">
        <is>
          <t>DALARNAS LÄN</t>
        </is>
      </c>
      <c r="E36" t="inlineStr">
        <is>
          <t>MORA</t>
        </is>
      </c>
      <c r="G36" t="n">
        <v>16</v>
      </c>
      <c r="H36" t="n">
        <v>3</v>
      </c>
      <c r="I36" t="n">
        <v>2</v>
      </c>
      <c r="J36" t="n">
        <v>4</v>
      </c>
      <c r="K36" t="n">
        <v>1</v>
      </c>
      <c r="L36" t="n">
        <v>0</v>
      </c>
      <c r="M36" t="n">
        <v>0</v>
      </c>
      <c r="N36" t="n">
        <v>0</v>
      </c>
      <c r="O36" t="n">
        <v>5</v>
      </c>
      <c r="P36" t="n">
        <v>1</v>
      </c>
      <c r="Q36" t="n">
        <v>9</v>
      </c>
      <c r="R36" s="2" t="inlineStr">
        <is>
          <t>Garnlav
Dropptaggsvamp
Mörk kolflarnlav
Tallticka
Tretåig hackspett
Bollvitmossa
Mindre märgborre
Spillkråka
Tjäder</t>
        </is>
      </c>
      <c r="S36">
        <f>HYPERLINK("https://klasma.github.io/Logging_2062/artfynd/A 40313-2025 artfynd.xlsx", "A 40313-2025")</f>
        <v/>
      </c>
      <c r="T36">
        <f>HYPERLINK("https://klasma.github.io/Logging_2062/kartor/A 40313-2025 karta.png", "A 40313-2025")</f>
        <v/>
      </c>
      <c r="V36">
        <f>HYPERLINK("https://klasma.github.io/Logging_2062/klagomål/A 40313-2025 FSC-klagomål.docx", "A 40313-2025")</f>
        <v/>
      </c>
      <c r="W36">
        <f>HYPERLINK("https://klasma.github.io/Logging_2062/klagomålsmail/A 40313-2025 FSC-klagomål mail.docx", "A 40313-2025")</f>
        <v/>
      </c>
      <c r="X36">
        <f>HYPERLINK("https://klasma.github.io/Logging_2062/tillsyn/A 40313-2025 tillsynsbegäran.docx", "A 40313-2025")</f>
        <v/>
      </c>
      <c r="Y36">
        <f>HYPERLINK("https://klasma.github.io/Logging_2062/tillsynsmail/A 40313-2025 tillsynsbegäran mail.docx", "A 40313-2025")</f>
        <v/>
      </c>
      <c r="Z36">
        <f>HYPERLINK("https://klasma.github.io/Logging_2062/fåglar/A 40313-2025 prioriterade fågelarter.docx", "A 40313-2025")</f>
        <v/>
      </c>
    </row>
    <row r="37" ht="15" customHeight="1">
      <c r="A37" t="inlineStr">
        <is>
          <t>A 46450-2025</t>
        </is>
      </c>
      <c r="B37" s="1" t="n">
        <v>45925</v>
      </c>
      <c r="C37" s="1" t="n">
        <v>46200</v>
      </c>
      <c r="D37" t="inlineStr">
        <is>
          <t>DALARNAS LÄN</t>
        </is>
      </c>
      <c r="E37" t="inlineStr">
        <is>
          <t>MORA</t>
        </is>
      </c>
      <c r="G37" t="n">
        <v>4.2</v>
      </c>
      <c r="H37" t="n">
        <v>3</v>
      </c>
      <c r="I37" t="n">
        <v>1</v>
      </c>
      <c r="J37" t="n">
        <v>6</v>
      </c>
      <c r="K37" t="n">
        <v>1</v>
      </c>
      <c r="L37" t="n">
        <v>0</v>
      </c>
      <c r="M37" t="n">
        <v>0</v>
      </c>
      <c r="N37" t="n">
        <v>0</v>
      </c>
      <c r="O37" t="n">
        <v>7</v>
      </c>
      <c r="P37" t="n">
        <v>1</v>
      </c>
      <c r="Q37" t="n">
        <v>9</v>
      </c>
      <c r="R37" s="2" t="inlineStr">
        <is>
          <t>Garnlav
Dropptaggsvamp
Kolflarnlav
Talltita
Tretåig hackspett
Vedflamlav
Vedskivlav
Mindre märgborre
Spillkråka</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57661-2025</t>
        </is>
      </c>
      <c r="B38" s="1" t="n">
        <v>45981</v>
      </c>
      <c r="C38" s="1" t="n">
        <v>46200</v>
      </c>
      <c r="D38" t="inlineStr">
        <is>
          <t>DALARNAS LÄN</t>
        </is>
      </c>
      <c r="E38" t="inlineStr">
        <is>
          <t>MORA</t>
        </is>
      </c>
      <c r="G38" t="n">
        <v>6.3</v>
      </c>
      <c r="H38" t="n">
        <v>0</v>
      </c>
      <c r="I38" t="n">
        <v>2</v>
      </c>
      <c r="J38" t="n">
        <v>6</v>
      </c>
      <c r="K38" t="n">
        <v>1</v>
      </c>
      <c r="L38" t="n">
        <v>0</v>
      </c>
      <c r="M38" t="n">
        <v>0</v>
      </c>
      <c r="N38" t="n">
        <v>0</v>
      </c>
      <c r="O38" t="n">
        <v>7</v>
      </c>
      <c r="P38" t="n">
        <v>1</v>
      </c>
      <c r="Q38" t="n">
        <v>9</v>
      </c>
      <c r="R38" s="2" t="inlineStr">
        <is>
          <t>Garnlav
Dvärgbägarlav
Skarp dropptaggsvamp
Tallticka
Vedskivlav
Vedtrappmossa
Vitgrynig nållav
Bronshjon
Mindre märgborre</t>
        </is>
      </c>
      <c r="S38">
        <f>HYPERLINK("https://klasma.github.io/Logging_2062/artfynd/A 57661-2025 artfynd.xlsx", "A 57661-2025")</f>
        <v/>
      </c>
      <c r="T38">
        <f>HYPERLINK("https://klasma.github.io/Logging_2062/kartor/A 57661-2025 karta.png", "A 57661-2025")</f>
        <v/>
      </c>
      <c r="V38">
        <f>HYPERLINK("https://klasma.github.io/Logging_2062/klagomål/A 57661-2025 FSC-klagomål.docx", "A 57661-2025")</f>
        <v/>
      </c>
      <c r="W38">
        <f>HYPERLINK("https://klasma.github.io/Logging_2062/klagomålsmail/A 57661-2025 FSC-klagomål mail.docx", "A 57661-2025")</f>
        <v/>
      </c>
      <c r="X38">
        <f>HYPERLINK("https://klasma.github.io/Logging_2062/tillsyn/A 57661-2025 tillsynsbegäran.docx", "A 57661-2025")</f>
        <v/>
      </c>
      <c r="Y38">
        <f>HYPERLINK("https://klasma.github.io/Logging_2062/tillsynsmail/A 57661-2025 tillsynsbegäran mail.docx", "A 57661-2025")</f>
        <v/>
      </c>
    </row>
    <row r="39" ht="15" customHeight="1">
      <c r="A39" t="inlineStr">
        <is>
          <t>A 41794-2025</t>
        </is>
      </c>
      <c r="B39" s="1" t="n">
        <v>45902</v>
      </c>
      <c r="C39" s="1" t="n">
        <v>46200</v>
      </c>
      <c r="D39" t="inlineStr">
        <is>
          <t>DALARNAS LÄN</t>
        </is>
      </c>
      <c r="E39" t="inlineStr">
        <is>
          <t>MORA</t>
        </is>
      </c>
      <c r="G39" t="n">
        <v>14.4</v>
      </c>
      <c r="H39" t="n">
        <v>4</v>
      </c>
      <c r="I39" t="n">
        <v>1</v>
      </c>
      <c r="J39" t="n">
        <v>4</v>
      </c>
      <c r="K39" t="n">
        <v>1</v>
      </c>
      <c r="L39" t="n">
        <v>0</v>
      </c>
      <c r="M39" t="n">
        <v>0</v>
      </c>
      <c r="N39" t="n">
        <v>0</v>
      </c>
      <c r="O39" t="n">
        <v>5</v>
      </c>
      <c r="P39" t="n">
        <v>1</v>
      </c>
      <c r="Q39" t="n">
        <v>9</v>
      </c>
      <c r="R39" s="2" t="inlineStr">
        <is>
          <t>Garnlav
Motaggsvamp
Rödvingetrast
Tallticka
Vedskivlav
Mindre märgborre
Spillkråka
Kungsfågel
Revlummer</t>
        </is>
      </c>
      <c r="S39">
        <f>HYPERLINK("https://klasma.github.io/Logging_2062/artfynd/A 41794-2025 artfynd.xlsx", "A 41794-2025")</f>
        <v/>
      </c>
      <c r="T39">
        <f>HYPERLINK("https://klasma.github.io/Logging_2062/kartor/A 41794-2025 karta.png", "A 41794-2025")</f>
        <v/>
      </c>
      <c r="V39">
        <f>HYPERLINK("https://klasma.github.io/Logging_2062/klagomål/A 41794-2025 FSC-klagomål.docx", "A 41794-2025")</f>
        <v/>
      </c>
      <c r="W39">
        <f>HYPERLINK("https://klasma.github.io/Logging_2062/klagomålsmail/A 41794-2025 FSC-klagomål mail.docx", "A 41794-2025")</f>
        <v/>
      </c>
      <c r="X39">
        <f>HYPERLINK("https://klasma.github.io/Logging_2062/tillsyn/A 41794-2025 tillsynsbegäran.docx", "A 41794-2025")</f>
        <v/>
      </c>
      <c r="Y39">
        <f>HYPERLINK("https://klasma.github.io/Logging_2062/tillsynsmail/A 41794-2025 tillsynsbegäran mail.docx", "A 41794-2025")</f>
        <v/>
      </c>
      <c r="Z39">
        <f>HYPERLINK("https://klasma.github.io/Logging_2062/fåglar/A 41794-2025 prioriterade fågelarter.docx", "A 41794-2025")</f>
        <v/>
      </c>
    </row>
    <row r="40" ht="15" customHeight="1">
      <c r="A40" t="inlineStr">
        <is>
          <t>A 61259-2023</t>
        </is>
      </c>
      <c r="B40" s="1" t="n">
        <v>45264</v>
      </c>
      <c r="C40" s="1" t="n">
        <v>46200</v>
      </c>
      <c r="D40" t="inlineStr">
        <is>
          <t>DALARNAS LÄN</t>
        </is>
      </c>
      <c r="E40" t="inlineStr">
        <is>
          <t>MORA</t>
        </is>
      </c>
      <c r="F40" t="inlineStr">
        <is>
          <t>Allmännings- och besparingsskogar</t>
        </is>
      </c>
      <c r="G40" t="n">
        <v>1</v>
      </c>
      <c r="H40" t="n">
        <v>1</v>
      </c>
      <c r="I40" t="n">
        <v>4</v>
      </c>
      <c r="J40" t="n">
        <v>2</v>
      </c>
      <c r="K40" t="n">
        <v>2</v>
      </c>
      <c r="L40" t="n">
        <v>0</v>
      </c>
      <c r="M40" t="n">
        <v>0</v>
      </c>
      <c r="N40" t="n">
        <v>0</v>
      </c>
      <c r="O40" t="n">
        <v>4</v>
      </c>
      <c r="P40" t="n">
        <v>2</v>
      </c>
      <c r="Q40" t="n">
        <v>8</v>
      </c>
      <c r="R40" s="2" t="inlineStr">
        <is>
          <t>Garnlav
Knärot
Brunpudrad nållav
Vitgrynig nållav
Bollvitmossa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33380-2025</t>
        </is>
      </c>
      <c r="B41" s="1" t="n">
        <v>45841</v>
      </c>
      <c r="C41" s="1" t="n">
        <v>46200</v>
      </c>
      <c r="D41" t="inlineStr">
        <is>
          <t>DALARNAS LÄN</t>
        </is>
      </c>
      <c r="E41" t="inlineStr">
        <is>
          <t>MORA</t>
        </is>
      </c>
      <c r="G41" t="n">
        <v>6.6</v>
      </c>
      <c r="H41" t="n">
        <v>5</v>
      </c>
      <c r="I41" t="n">
        <v>1</v>
      </c>
      <c r="J41" t="n">
        <v>4</v>
      </c>
      <c r="K41" t="n">
        <v>1</v>
      </c>
      <c r="L41" t="n">
        <v>0</v>
      </c>
      <c r="M41" t="n">
        <v>0</v>
      </c>
      <c r="N41" t="n">
        <v>0</v>
      </c>
      <c r="O41" t="n">
        <v>5</v>
      </c>
      <c r="P41" t="n">
        <v>1</v>
      </c>
      <c r="Q41" t="n">
        <v>8</v>
      </c>
      <c r="R41" s="2" t="inlineStr">
        <is>
          <t>Garnlav
Rödvingetrast
Talltita
Tretåig hackspett
Ullticka
Mindre märgborre
Spillkråka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2762-2026</t>
        </is>
      </c>
      <c r="B42" s="1" t="n">
        <v>46036</v>
      </c>
      <c r="C42" s="1" t="n">
        <v>46200</v>
      </c>
      <c r="D42" t="inlineStr">
        <is>
          <t>DALARNAS LÄN</t>
        </is>
      </c>
      <c r="E42" t="inlineStr">
        <is>
          <t>MORA</t>
        </is>
      </c>
      <c r="G42" t="n">
        <v>5.7</v>
      </c>
      <c r="H42" t="n">
        <v>2</v>
      </c>
      <c r="I42" t="n">
        <v>1</v>
      </c>
      <c r="J42" t="n">
        <v>5</v>
      </c>
      <c r="K42" t="n">
        <v>1</v>
      </c>
      <c r="L42" t="n">
        <v>0</v>
      </c>
      <c r="M42" t="n">
        <v>0</v>
      </c>
      <c r="N42" t="n">
        <v>0</v>
      </c>
      <c r="O42" t="n">
        <v>6</v>
      </c>
      <c r="P42" t="n">
        <v>1</v>
      </c>
      <c r="Q42" t="n">
        <v>8</v>
      </c>
      <c r="R42" s="2" t="inlineStr">
        <is>
          <t>Garnlav
Kolflarnlav
Mörk kolflarnlav
Tretåig hackspett
Vedflamlav
Vedskivlav
Mindre märgborre
Spillkråka</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62154-2025</t>
        </is>
      </c>
      <c r="B43" s="1" t="n">
        <v>46006</v>
      </c>
      <c r="C43" s="1" t="n">
        <v>46200</v>
      </c>
      <c r="D43" t="inlineStr">
        <is>
          <t>DALARNAS LÄN</t>
        </is>
      </c>
      <c r="E43" t="inlineStr">
        <is>
          <t>MORA</t>
        </is>
      </c>
      <c r="G43" t="n">
        <v>7.2</v>
      </c>
      <c r="H43" t="n">
        <v>4</v>
      </c>
      <c r="I43" t="n">
        <v>3</v>
      </c>
      <c r="J43" t="n">
        <v>2</v>
      </c>
      <c r="K43" t="n">
        <v>1</v>
      </c>
      <c r="L43" t="n">
        <v>0</v>
      </c>
      <c r="M43" t="n">
        <v>0</v>
      </c>
      <c r="N43" t="n">
        <v>0</v>
      </c>
      <c r="O43" t="n">
        <v>3</v>
      </c>
      <c r="P43" t="n">
        <v>1</v>
      </c>
      <c r="Q43" t="n">
        <v>8</v>
      </c>
      <c r="R43" s="2" t="inlineStr">
        <is>
          <t>Garnlav
Talltita
Tretåig hackspett
Bronshjon
Mindre märgborre
Vågbandad barkbock
Spillkråka
Tjäder</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34447-2024</t>
        </is>
      </c>
      <c r="B44" s="1" t="n">
        <v>45525</v>
      </c>
      <c r="C44" s="1" t="n">
        <v>46200</v>
      </c>
      <c r="D44" t="inlineStr">
        <is>
          <t>DALARNAS LÄN</t>
        </is>
      </c>
      <c r="E44" t="inlineStr">
        <is>
          <t>MORA</t>
        </is>
      </c>
      <c r="G44" t="n">
        <v>8.300000000000001</v>
      </c>
      <c r="H44" t="n">
        <v>0</v>
      </c>
      <c r="I44" t="n">
        <v>0</v>
      </c>
      <c r="J44" t="n">
        <v>6</v>
      </c>
      <c r="K44" t="n">
        <v>1</v>
      </c>
      <c r="L44" t="n">
        <v>0</v>
      </c>
      <c r="M44" t="n">
        <v>0</v>
      </c>
      <c r="N44" t="n">
        <v>0</v>
      </c>
      <c r="O44" t="n">
        <v>7</v>
      </c>
      <c r="P44" t="n">
        <v>1</v>
      </c>
      <c r="Q44" t="n">
        <v>7</v>
      </c>
      <c r="R44" s="2" t="inlineStr">
        <is>
          <t>Garnlav
Blanksvart spiklav
Dvärgbägarlav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46200</v>
      </c>
      <c r="D45" t="inlineStr">
        <is>
          <t>DALARNAS LÄN</t>
        </is>
      </c>
      <c r="E45" t="inlineStr">
        <is>
          <t>MORA</t>
        </is>
      </c>
      <c r="G45" t="n">
        <v>1.9</v>
      </c>
      <c r="H45" t="n">
        <v>2</v>
      </c>
      <c r="I45" t="n">
        <v>1</v>
      </c>
      <c r="J45" t="n">
        <v>3</v>
      </c>
      <c r="K45" t="n">
        <v>1</v>
      </c>
      <c r="L45" t="n">
        <v>0</v>
      </c>
      <c r="M45" t="n">
        <v>0</v>
      </c>
      <c r="N45" t="n">
        <v>0</v>
      </c>
      <c r="O45" t="n">
        <v>4</v>
      </c>
      <c r="P45" t="n">
        <v>1</v>
      </c>
      <c r="Q45" t="n">
        <v>6</v>
      </c>
      <c r="R45" s="2" t="inlineStr">
        <is>
          <t>Garnlav
Dvärgbägarlav
Tallticka
Tretåig hackspett
Mindre märgborre
Spillkråka</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10693-2026</t>
        </is>
      </c>
      <c r="B46" s="1" t="n">
        <v>46078</v>
      </c>
      <c r="C46" s="1" t="n">
        <v>46200</v>
      </c>
      <c r="D46" t="inlineStr">
        <is>
          <t>DALARNAS LÄN</t>
        </is>
      </c>
      <c r="E46" t="inlineStr">
        <is>
          <t>MORA</t>
        </is>
      </c>
      <c r="G46" t="n">
        <v>1.2</v>
      </c>
      <c r="H46" t="n">
        <v>2</v>
      </c>
      <c r="I46" t="n">
        <v>3</v>
      </c>
      <c r="J46" t="n">
        <v>1</v>
      </c>
      <c r="K46" t="n">
        <v>2</v>
      </c>
      <c r="L46" t="n">
        <v>0</v>
      </c>
      <c r="M46" t="n">
        <v>0</v>
      </c>
      <c r="N46" t="n">
        <v>0</v>
      </c>
      <c r="O46" t="n">
        <v>3</v>
      </c>
      <c r="P46" t="n">
        <v>2</v>
      </c>
      <c r="Q46" t="n">
        <v>6</v>
      </c>
      <c r="R46" s="2" t="inlineStr">
        <is>
          <t>Garnlav
Knärot
Tretåig hackspett
Bronshjon
Mindre märgborre
Nästlav</t>
        </is>
      </c>
      <c r="S46">
        <f>HYPERLINK("https://klasma.github.io/Logging_2062/artfynd/A 10693-2026 artfynd.xlsx", "A 10693-2026")</f>
        <v/>
      </c>
      <c r="T46">
        <f>HYPERLINK("https://klasma.github.io/Logging_2062/kartor/A 10693-2026 karta.png", "A 10693-2026")</f>
        <v/>
      </c>
      <c r="U46">
        <f>HYPERLINK("https://klasma.github.io/Logging_2062/knärot/A 10693-2026 karta knärot.png", "A 10693-2026")</f>
        <v/>
      </c>
      <c r="V46">
        <f>HYPERLINK("https://klasma.github.io/Logging_2062/klagomål/A 10693-2026 FSC-klagomål.docx", "A 10693-2026")</f>
        <v/>
      </c>
      <c r="W46">
        <f>HYPERLINK("https://klasma.github.io/Logging_2062/klagomålsmail/A 10693-2026 FSC-klagomål mail.docx", "A 10693-2026")</f>
        <v/>
      </c>
      <c r="X46">
        <f>HYPERLINK("https://klasma.github.io/Logging_2062/tillsyn/A 10693-2026 tillsynsbegäran.docx", "A 10693-2026")</f>
        <v/>
      </c>
      <c r="Y46">
        <f>HYPERLINK("https://klasma.github.io/Logging_2062/tillsynsmail/A 10693-2026 tillsynsbegäran mail.docx", "A 10693-2026")</f>
        <v/>
      </c>
      <c r="Z46">
        <f>HYPERLINK("https://klasma.github.io/Logging_2062/fåglar/A 10693-2026 prioriterade fågelarter.docx", "A 10693-2026")</f>
        <v/>
      </c>
    </row>
    <row r="47" ht="15" customHeight="1">
      <c r="A47" t="inlineStr">
        <is>
          <t>A 58169-2025</t>
        </is>
      </c>
      <c r="B47" s="1" t="n">
        <v>45982</v>
      </c>
      <c r="C47" s="1" t="n">
        <v>46200</v>
      </c>
      <c r="D47" t="inlineStr">
        <is>
          <t>DALARNAS LÄN</t>
        </is>
      </c>
      <c r="E47" t="inlineStr">
        <is>
          <t>MORA</t>
        </is>
      </c>
      <c r="F47" t="inlineStr">
        <is>
          <t>Bergvik skog väst AB</t>
        </is>
      </c>
      <c r="G47" t="n">
        <v>7.7</v>
      </c>
      <c r="H47" t="n">
        <v>2</v>
      </c>
      <c r="I47" t="n">
        <v>1</v>
      </c>
      <c r="J47" t="n">
        <v>3</v>
      </c>
      <c r="K47" t="n">
        <v>1</v>
      </c>
      <c r="L47" t="n">
        <v>0</v>
      </c>
      <c r="M47" t="n">
        <v>0</v>
      </c>
      <c r="N47" t="n">
        <v>0</v>
      </c>
      <c r="O47" t="n">
        <v>4</v>
      </c>
      <c r="P47" t="n">
        <v>1</v>
      </c>
      <c r="Q47" t="n">
        <v>6</v>
      </c>
      <c r="R47" s="2" t="inlineStr">
        <is>
          <t>Garnlav
Tretåig hackspett
Vedflamlav
Vedskivlav
Mindre märgborre
Spillkråka</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62628-2025</t>
        </is>
      </c>
      <c r="B48" s="1" t="n">
        <v>46008</v>
      </c>
      <c r="C48" s="1" t="n">
        <v>46200</v>
      </c>
      <c r="D48" t="inlineStr">
        <is>
          <t>DALARNAS LÄN</t>
        </is>
      </c>
      <c r="E48" t="inlineStr">
        <is>
          <t>MORA</t>
        </is>
      </c>
      <c r="G48" t="n">
        <v>5.7</v>
      </c>
      <c r="H48" t="n">
        <v>3</v>
      </c>
      <c r="I48" t="n">
        <v>0</v>
      </c>
      <c r="J48" t="n">
        <v>2</v>
      </c>
      <c r="K48" t="n">
        <v>0</v>
      </c>
      <c r="L48" t="n">
        <v>0</v>
      </c>
      <c r="M48" t="n">
        <v>0</v>
      </c>
      <c r="N48" t="n">
        <v>0</v>
      </c>
      <c r="O48" t="n">
        <v>2</v>
      </c>
      <c r="P48" t="n">
        <v>0</v>
      </c>
      <c r="Q48" t="n">
        <v>5</v>
      </c>
      <c r="R48" s="2" t="inlineStr">
        <is>
          <t>Dvärgbägarlav
Skrovellav
Järpe
Tjäder
Fläcknycklar</t>
        </is>
      </c>
      <c r="S48">
        <f>HYPERLINK("https://klasma.github.io/Logging_2062/artfynd/A 62628-2025 artfynd.xlsx", "A 62628-2025")</f>
        <v/>
      </c>
      <c r="T48">
        <f>HYPERLINK("https://klasma.github.io/Logging_2062/kartor/A 62628-2025 karta.png", "A 62628-2025")</f>
        <v/>
      </c>
      <c r="V48">
        <f>HYPERLINK("https://klasma.github.io/Logging_2062/klagomål/A 62628-2025 FSC-klagomål.docx", "A 62628-2025")</f>
        <v/>
      </c>
      <c r="W48">
        <f>HYPERLINK("https://klasma.github.io/Logging_2062/klagomålsmail/A 62628-2025 FSC-klagomål mail.docx", "A 62628-2025")</f>
        <v/>
      </c>
      <c r="X48">
        <f>HYPERLINK("https://klasma.github.io/Logging_2062/tillsyn/A 62628-2025 tillsynsbegäran.docx", "A 62628-2025")</f>
        <v/>
      </c>
      <c r="Y48">
        <f>HYPERLINK("https://klasma.github.io/Logging_2062/tillsynsmail/A 62628-2025 tillsynsbegäran mail.docx", "A 62628-2025")</f>
        <v/>
      </c>
      <c r="Z48">
        <f>HYPERLINK("https://klasma.github.io/Logging_2062/fåglar/A 62628-2025 prioriterade fågelarter.docx", "A 62628-2025")</f>
        <v/>
      </c>
    </row>
    <row r="49" ht="15" customHeight="1">
      <c r="A49" t="inlineStr">
        <is>
          <t>A 35487-2025</t>
        </is>
      </c>
      <c r="B49" s="1" t="n">
        <v>45855</v>
      </c>
      <c r="C49" s="1" t="n">
        <v>46200</v>
      </c>
      <c r="D49" t="inlineStr">
        <is>
          <t>DALARNAS LÄN</t>
        </is>
      </c>
      <c r="E49" t="inlineStr">
        <is>
          <t>MORA</t>
        </is>
      </c>
      <c r="F49" t="inlineStr">
        <is>
          <t>Allmännings- och besparingsskogar</t>
        </is>
      </c>
      <c r="G49" t="n">
        <v>0.7</v>
      </c>
      <c r="H49" t="n">
        <v>2</v>
      </c>
      <c r="I49" t="n">
        <v>0</v>
      </c>
      <c r="J49" t="n">
        <v>2</v>
      </c>
      <c r="K49" t="n">
        <v>1</v>
      </c>
      <c r="L49" t="n">
        <v>0</v>
      </c>
      <c r="M49" t="n">
        <v>0</v>
      </c>
      <c r="N49" t="n">
        <v>0</v>
      </c>
      <c r="O49" t="n">
        <v>3</v>
      </c>
      <c r="P49" t="n">
        <v>1</v>
      </c>
      <c r="Q49" t="n">
        <v>5</v>
      </c>
      <c r="R49" s="2" t="inlineStr">
        <is>
          <t>Garnlav
Dvärgbägarlav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61770-2025</t>
        </is>
      </c>
      <c r="B50" s="1" t="n">
        <v>46002</v>
      </c>
      <c r="C50" s="1" t="n">
        <v>46200</v>
      </c>
      <c r="D50" t="inlineStr">
        <is>
          <t>DALARNAS LÄN</t>
        </is>
      </c>
      <c r="E50" t="inlineStr">
        <is>
          <t>MORA</t>
        </is>
      </c>
      <c r="G50" t="n">
        <v>10.2</v>
      </c>
      <c r="H50" t="n">
        <v>2</v>
      </c>
      <c r="I50" t="n">
        <v>1</v>
      </c>
      <c r="J50" t="n">
        <v>2</v>
      </c>
      <c r="K50" t="n">
        <v>1</v>
      </c>
      <c r="L50" t="n">
        <v>0</v>
      </c>
      <c r="M50" t="n">
        <v>0</v>
      </c>
      <c r="N50" t="n">
        <v>0</v>
      </c>
      <c r="O50" t="n">
        <v>3</v>
      </c>
      <c r="P50" t="n">
        <v>1</v>
      </c>
      <c r="Q50" t="n">
        <v>5</v>
      </c>
      <c r="R50" s="2" t="inlineStr">
        <is>
          <t>Garnlav
Talltagel
Tretåig hackspett
Mindre märgborre
Spillkråka</t>
        </is>
      </c>
      <c r="S50">
        <f>HYPERLINK("https://klasma.github.io/Logging_2062/artfynd/A 61770-2025 artfynd.xlsx", "A 61770-2025")</f>
        <v/>
      </c>
      <c r="T50">
        <f>HYPERLINK("https://klasma.github.io/Logging_2062/kartor/A 61770-2025 karta.png", "A 61770-2025")</f>
        <v/>
      </c>
      <c r="V50">
        <f>HYPERLINK("https://klasma.github.io/Logging_2062/klagomål/A 61770-2025 FSC-klagomål.docx", "A 61770-2025")</f>
        <v/>
      </c>
      <c r="W50">
        <f>HYPERLINK("https://klasma.github.io/Logging_2062/klagomålsmail/A 61770-2025 FSC-klagomål mail.docx", "A 61770-2025")</f>
        <v/>
      </c>
      <c r="X50">
        <f>HYPERLINK("https://klasma.github.io/Logging_2062/tillsyn/A 61770-2025 tillsynsbegäran.docx", "A 61770-2025")</f>
        <v/>
      </c>
      <c r="Y50">
        <f>HYPERLINK("https://klasma.github.io/Logging_2062/tillsynsmail/A 61770-2025 tillsynsbegäran mail.docx", "A 61770-2025")</f>
        <v/>
      </c>
      <c r="Z50">
        <f>HYPERLINK("https://klasma.github.io/Logging_2062/fåglar/A 61770-2025 prioriterade fågelarter.docx", "A 61770-2025")</f>
        <v/>
      </c>
    </row>
    <row r="51" ht="15" customHeight="1">
      <c r="A51" t="inlineStr">
        <is>
          <t>A 15203-2026</t>
        </is>
      </c>
      <c r="B51" s="1" t="n">
        <v>46105</v>
      </c>
      <c r="C51" s="1" t="n">
        <v>46200</v>
      </c>
      <c r="D51" t="inlineStr">
        <is>
          <t>DALARNAS LÄN</t>
        </is>
      </c>
      <c r="E51" t="inlineStr">
        <is>
          <t>MORA</t>
        </is>
      </c>
      <c r="G51" t="n">
        <v>2.5</v>
      </c>
      <c r="H51" t="n">
        <v>1</v>
      </c>
      <c r="I51" t="n">
        <v>1</v>
      </c>
      <c r="J51" t="n">
        <v>2</v>
      </c>
      <c r="K51" t="n">
        <v>1</v>
      </c>
      <c r="L51" t="n">
        <v>0</v>
      </c>
      <c r="M51" t="n">
        <v>0</v>
      </c>
      <c r="N51" t="n">
        <v>0</v>
      </c>
      <c r="O51" t="n">
        <v>3</v>
      </c>
      <c r="P51" t="n">
        <v>1</v>
      </c>
      <c r="Q51" t="n">
        <v>5</v>
      </c>
      <c r="R51" s="2" t="inlineStr">
        <is>
          <t>Garnlav
Talltagel
Tallticka
Mindre märgborre
Spillkråka</t>
        </is>
      </c>
      <c r="S51">
        <f>HYPERLINK("https://klasma.github.io/Logging_2062/artfynd/A 15203-2026 artfynd.xlsx", "A 15203-2026")</f>
        <v/>
      </c>
      <c r="T51">
        <f>HYPERLINK("https://klasma.github.io/Logging_2062/kartor/A 15203-2026 karta.png", "A 15203-2026")</f>
        <v/>
      </c>
      <c r="V51">
        <f>HYPERLINK("https://klasma.github.io/Logging_2062/klagomål/A 15203-2026 FSC-klagomål.docx", "A 15203-2026")</f>
        <v/>
      </c>
      <c r="W51">
        <f>HYPERLINK("https://klasma.github.io/Logging_2062/klagomålsmail/A 15203-2026 FSC-klagomål mail.docx", "A 15203-2026")</f>
        <v/>
      </c>
      <c r="X51">
        <f>HYPERLINK("https://klasma.github.io/Logging_2062/tillsyn/A 15203-2026 tillsynsbegäran.docx", "A 15203-2026")</f>
        <v/>
      </c>
      <c r="Y51">
        <f>HYPERLINK("https://klasma.github.io/Logging_2062/tillsynsmail/A 15203-2026 tillsynsbegäran mail.docx", "A 15203-2026")</f>
        <v/>
      </c>
      <c r="Z51">
        <f>HYPERLINK("https://klasma.github.io/Logging_2062/fåglar/A 15203-2026 prioriterade fågelarter.docx", "A 15203-2026")</f>
        <v/>
      </c>
    </row>
    <row r="52" ht="15" customHeight="1">
      <c r="A52" t="inlineStr">
        <is>
          <t>A 58478-2025</t>
        </is>
      </c>
      <c r="B52" s="1" t="n">
        <v>45985</v>
      </c>
      <c r="C52" s="1" t="n">
        <v>46200</v>
      </c>
      <c r="D52" t="inlineStr">
        <is>
          <t>DALARNAS LÄN</t>
        </is>
      </c>
      <c r="E52" t="inlineStr">
        <is>
          <t>MORA</t>
        </is>
      </c>
      <c r="G52" t="n">
        <v>6</v>
      </c>
      <c r="H52" t="n">
        <v>2</v>
      </c>
      <c r="I52" t="n">
        <v>1</v>
      </c>
      <c r="J52" t="n">
        <v>2</v>
      </c>
      <c r="K52" t="n">
        <v>1</v>
      </c>
      <c r="L52" t="n">
        <v>0</v>
      </c>
      <c r="M52" t="n">
        <v>0</v>
      </c>
      <c r="N52" t="n">
        <v>0</v>
      </c>
      <c r="O52" t="n">
        <v>3</v>
      </c>
      <c r="P52" t="n">
        <v>1</v>
      </c>
      <c r="Q52" t="n">
        <v>5</v>
      </c>
      <c r="R52" s="2" t="inlineStr">
        <is>
          <t>Garnlav
Skogshare
Tretåig hackspett
Mindre märgborre
Spillkråka</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46200</v>
      </c>
      <c r="D53" t="inlineStr">
        <is>
          <t>DALARNAS LÄN</t>
        </is>
      </c>
      <c r="E53" t="inlineStr">
        <is>
          <t>MORA</t>
        </is>
      </c>
      <c r="G53" t="n">
        <v>5.3</v>
      </c>
      <c r="H53" t="n">
        <v>2</v>
      </c>
      <c r="I53" t="n">
        <v>1</v>
      </c>
      <c r="J53" t="n">
        <v>3</v>
      </c>
      <c r="K53" t="n">
        <v>1</v>
      </c>
      <c r="L53" t="n">
        <v>0</v>
      </c>
      <c r="M53" t="n">
        <v>0</v>
      </c>
      <c r="N53" t="n">
        <v>0</v>
      </c>
      <c r="O53" t="n">
        <v>4</v>
      </c>
      <c r="P53" t="n">
        <v>1</v>
      </c>
      <c r="Q53" t="n">
        <v>5</v>
      </c>
      <c r="R53" s="2" t="inlineStr">
        <is>
          <t>Knärot
Kattfotslav
Tallticka
Talltita
Bollvitmossa</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32222-2025</t>
        </is>
      </c>
      <c r="B54" s="1" t="n">
        <v>45835</v>
      </c>
      <c r="C54" s="1" t="n">
        <v>46200</v>
      </c>
      <c r="D54" t="inlineStr">
        <is>
          <t>DALARNAS LÄN</t>
        </is>
      </c>
      <c r="E54" t="inlineStr">
        <is>
          <t>MORA</t>
        </is>
      </c>
      <c r="G54" t="n">
        <v>11.5</v>
      </c>
      <c r="H54" t="n">
        <v>1</v>
      </c>
      <c r="I54" t="n">
        <v>0</v>
      </c>
      <c r="J54" t="n">
        <v>3</v>
      </c>
      <c r="K54" t="n">
        <v>1</v>
      </c>
      <c r="L54" t="n">
        <v>0</v>
      </c>
      <c r="M54" t="n">
        <v>0</v>
      </c>
      <c r="N54" t="n">
        <v>0</v>
      </c>
      <c r="O54" t="n">
        <v>4</v>
      </c>
      <c r="P54" t="n">
        <v>1</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17648-2024</t>
        </is>
      </c>
      <c r="B55" s="1" t="n">
        <v>45418</v>
      </c>
      <c r="C55" s="1" t="n">
        <v>46200</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39481-2025</t>
        </is>
      </c>
      <c r="B56" s="1" t="n">
        <v>45890</v>
      </c>
      <c r="C56" s="1" t="n">
        <v>46200</v>
      </c>
      <c r="D56" t="inlineStr">
        <is>
          <t>DALARNAS LÄN</t>
        </is>
      </c>
      <c r="E56" t="inlineStr">
        <is>
          <t>MORA</t>
        </is>
      </c>
      <c r="G56" t="n">
        <v>0.6</v>
      </c>
      <c r="H56" t="n">
        <v>2</v>
      </c>
      <c r="I56" t="n">
        <v>0</v>
      </c>
      <c r="J56" t="n">
        <v>2</v>
      </c>
      <c r="K56" t="n">
        <v>1</v>
      </c>
      <c r="L56" t="n">
        <v>0</v>
      </c>
      <c r="M56" t="n">
        <v>0</v>
      </c>
      <c r="N56" t="n">
        <v>0</v>
      </c>
      <c r="O56" t="n">
        <v>3</v>
      </c>
      <c r="P56" t="n">
        <v>1</v>
      </c>
      <c r="Q56" t="n">
        <v>4</v>
      </c>
      <c r="R56" s="2" t="inlineStr">
        <is>
          <t>Garnlav
Tretåig hackspett
Vedskivlav
Spillkråka</t>
        </is>
      </c>
      <c r="S56">
        <f>HYPERLINK("https://klasma.github.io/Logging_2062/artfynd/A 39481-2025 artfynd.xlsx", "A 39481-2025")</f>
        <v/>
      </c>
      <c r="T56">
        <f>HYPERLINK("https://klasma.github.io/Logging_2062/kartor/A 39481-2025 karta.png", "A 39481-2025")</f>
        <v/>
      </c>
      <c r="V56">
        <f>HYPERLINK("https://klasma.github.io/Logging_2062/klagomål/A 39481-2025 FSC-klagomål.docx", "A 39481-2025")</f>
        <v/>
      </c>
      <c r="W56">
        <f>HYPERLINK("https://klasma.github.io/Logging_2062/klagomålsmail/A 39481-2025 FSC-klagomål mail.docx", "A 39481-2025")</f>
        <v/>
      </c>
      <c r="X56">
        <f>HYPERLINK("https://klasma.github.io/Logging_2062/tillsyn/A 39481-2025 tillsynsbegäran.docx", "A 39481-2025")</f>
        <v/>
      </c>
      <c r="Y56">
        <f>HYPERLINK("https://klasma.github.io/Logging_2062/tillsynsmail/A 39481-2025 tillsynsbegäran mail.docx", "A 39481-2025")</f>
        <v/>
      </c>
      <c r="Z56">
        <f>HYPERLINK("https://klasma.github.io/Logging_2062/fåglar/A 39481-2025 prioriterade fågelarter.docx", "A 39481-2025")</f>
        <v/>
      </c>
    </row>
    <row r="57" ht="15" customHeight="1">
      <c r="A57" t="inlineStr">
        <is>
          <t>A 28964-2024</t>
        </is>
      </c>
      <c r="B57" s="1" t="n">
        <v>45481</v>
      </c>
      <c r="C57" s="1" t="n">
        <v>46200</v>
      </c>
      <c r="D57" t="inlineStr">
        <is>
          <t>DALARNAS LÄN</t>
        </is>
      </c>
      <c r="E57" t="inlineStr">
        <is>
          <t>MORA</t>
        </is>
      </c>
      <c r="G57" t="n">
        <v>1.3</v>
      </c>
      <c r="H57" t="n">
        <v>0</v>
      </c>
      <c r="I57" t="n">
        <v>0</v>
      </c>
      <c r="J57" t="n">
        <v>2</v>
      </c>
      <c r="K57" t="n">
        <v>2</v>
      </c>
      <c r="L57" t="n">
        <v>0</v>
      </c>
      <c r="M57" t="n">
        <v>0</v>
      </c>
      <c r="N57" t="n">
        <v>0</v>
      </c>
      <c r="O57" t="n">
        <v>4</v>
      </c>
      <c r="P57" t="n">
        <v>2</v>
      </c>
      <c r="Q57" t="n">
        <v>4</v>
      </c>
      <c r="R57" s="2" t="inlineStr">
        <is>
          <t>Lammticka
Tallgråticka
Kötticka
Tallfingersvamp</t>
        </is>
      </c>
      <c r="S57">
        <f>HYPERLINK("https://klasma.github.io/Logging_2062/artfynd/A 28964-2024 artfynd.xlsx", "A 28964-2024")</f>
        <v/>
      </c>
      <c r="T57">
        <f>HYPERLINK("https://klasma.github.io/Logging_2062/kartor/A 28964-2024 karta.png", "A 28964-2024")</f>
        <v/>
      </c>
      <c r="V57">
        <f>HYPERLINK("https://klasma.github.io/Logging_2062/klagomål/A 28964-2024 FSC-klagomål.docx", "A 28964-2024")</f>
        <v/>
      </c>
      <c r="W57">
        <f>HYPERLINK("https://klasma.github.io/Logging_2062/klagomålsmail/A 28964-2024 FSC-klagomål mail.docx", "A 28964-2024")</f>
        <v/>
      </c>
      <c r="X57">
        <f>HYPERLINK("https://klasma.github.io/Logging_2062/tillsyn/A 28964-2024 tillsynsbegäran.docx", "A 28964-2024")</f>
        <v/>
      </c>
      <c r="Y57">
        <f>HYPERLINK("https://klasma.github.io/Logging_2062/tillsynsmail/A 28964-2024 tillsynsbegäran mail.docx", "A 28964-2024")</f>
        <v/>
      </c>
    </row>
    <row r="58" ht="15" customHeight="1">
      <c r="A58" t="inlineStr">
        <is>
          <t>A 11973-2026</t>
        </is>
      </c>
      <c r="B58" s="1" t="n">
        <v>46085</v>
      </c>
      <c r="C58" s="1" t="n">
        <v>46200</v>
      </c>
      <c r="D58" t="inlineStr">
        <is>
          <t>DALARNAS LÄN</t>
        </is>
      </c>
      <c r="E58" t="inlineStr">
        <is>
          <t>MORA</t>
        </is>
      </c>
      <c r="G58" t="n">
        <v>5.4</v>
      </c>
      <c r="H58" t="n">
        <v>1</v>
      </c>
      <c r="I58" t="n">
        <v>1</v>
      </c>
      <c r="J58" t="n">
        <v>1</v>
      </c>
      <c r="K58" t="n">
        <v>1</v>
      </c>
      <c r="L58" t="n">
        <v>0</v>
      </c>
      <c r="M58" t="n">
        <v>0</v>
      </c>
      <c r="N58" t="n">
        <v>0</v>
      </c>
      <c r="O58" t="n">
        <v>2</v>
      </c>
      <c r="P58" t="n">
        <v>1</v>
      </c>
      <c r="Q58" t="n">
        <v>4</v>
      </c>
      <c r="R58" s="2" t="inlineStr">
        <is>
          <t>Garnlav
Mörk kolflarnlav
Mindre märgborre
Spillkråka</t>
        </is>
      </c>
      <c r="S58">
        <f>HYPERLINK("https://klasma.github.io/Logging_2062/artfynd/A 11973-2026 artfynd.xlsx", "A 11973-2026")</f>
        <v/>
      </c>
      <c r="T58">
        <f>HYPERLINK("https://klasma.github.io/Logging_2062/kartor/A 11973-2026 karta.png", "A 11973-2026")</f>
        <v/>
      </c>
      <c r="V58">
        <f>HYPERLINK("https://klasma.github.io/Logging_2062/klagomål/A 11973-2026 FSC-klagomål.docx", "A 11973-2026")</f>
        <v/>
      </c>
      <c r="W58">
        <f>HYPERLINK("https://klasma.github.io/Logging_2062/klagomålsmail/A 11973-2026 FSC-klagomål mail.docx", "A 11973-2026")</f>
        <v/>
      </c>
      <c r="X58">
        <f>HYPERLINK("https://klasma.github.io/Logging_2062/tillsyn/A 11973-2026 tillsynsbegäran.docx", "A 11973-2026")</f>
        <v/>
      </c>
      <c r="Y58">
        <f>HYPERLINK("https://klasma.github.io/Logging_2062/tillsynsmail/A 11973-2026 tillsynsbegäran mail.docx", "A 11973-2026")</f>
        <v/>
      </c>
      <c r="Z58">
        <f>HYPERLINK("https://klasma.github.io/Logging_2062/fåglar/A 11973-2026 prioriterade fågelarter.docx", "A 11973-2026")</f>
        <v/>
      </c>
    </row>
    <row r="59" ht="15" customHeight="1">
      <c r="A59" t="inlineStr">
        <is>
          <t>A 34715-2025</t>
        </is>
      </c>
      <c r="B59" s="1" t="n">
        <v>45848</v>
      </c>
      <c r="C59" s="1" t="n">
        <v>46200</v>
      </c>
      <c r="D59" t="inlineStr">
        <is>
          <t>DALARNAS LÄN</t>
        </is>
      </c>
      <c r="E59" t="inlineStr">
        <is>
          <t>MORA</t>
        </is>
      </c>
      <c r="G59" t="n">
        <v>8.5</v>
      </c>
      <c r="H59" t="n">
        <v>2</v>
      </c>
      <c r="I59" t="n">
        <v>0</v>
      </c>
      <c r="J59" t="n">
        <v>2</v>
      </c>
      <c r="K59" t="n">
        <v>2</v>
      </c>
      <c r="L59" t="n">
        <v>0</v>
      </c>
      <c r="M59" t="n">
        <v>0</v>
      </c>
      <c r="N59" t="n">
        <v>0</v>
      </c>
      <c r="O59" t="n">
        <v>4</v>
      </c>
      <c r="P59" t="n">
        <v>2</v>
      </c>
      <c r="Q59" t="n">
        <v>4</v>
      </c>
      <c r="R59" s="2" t="inlineStr">
        <is>
          <t>Garnlav
Knärot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38769-2021</t>
        </is>
      </c>
      <c r="B60" s="1" t="n">
        <v>44410</v>
      </c>
      <c r="C60" s="1" t="n">
        <v>46200</v>
      </c>
      <c r="D60" t="inlineStr">
        <is>
          <t>DALARNAS LÄN</t>
        </is>
      </c>
      <c r="E60" t="inlineStr">
        <is>
          <t>MORA</t>
        </is>
      </c>
      <c r="G60" t="n">
        <v>0.8</v>
      </c>
      <c r="H60" t="n">
        <v>3</v>
      </c>
      <c r="I60" t="n">
        <v>0</v>
      </c>
      <c r="J60" t="n">
        <v>0</v>
      </c>
      <c r="K60" t="n">
        <v>0</v>
      </c>
      <c r="L60" t="n">
        <v>0</v>
      </c>
      <c r="M60" t="n">
        <v>0</v>
      </c>
      <c r="N60" t="n">
        <v>0</v>
      </c>
      <c r="O60" t="n">
        <v>0</v>
      </c>
      <c r="P60" t="n">
        <v>0</v>
      </c>
      <c r="Q60" t="n">
        <v>3</v>
      </c>
      <c r="R60" s="2" t="inlineStr">
        <is>
          <t>Gråspett
Tjäder
Trana</t>
        </is>
      </c>
      <c r="S60">
        <f>HYPERLINK("https://klasma.github.io/Logging_2062/artfynd/A 38769-2021 artfynd.xlsx", "A 38769-2021")</f>
        <v/>
      </c>
      <c r="T60">
        <f>HYPERLINK("https://klasma.github.io/Logging_2062/kartor/A 38769-2021 karta.png", "A 38769-2021")</f>
        <v/>
      </c>
      <c r="V60">
        <f>HYPERLINK("https://klasma.github.io/Logging_2062/klagomål/A 38769-2021 FSC-klagomål.docx", "A 38769-2021")</f>
        <v/>
      </c>
      <c r="W60">
        <f>HYPERLINK("https://klasma.github.io/Logging_2062/klagomålsmail/A 38769-2021 FSC-klagomål mail.docx", "A 38769-2021")</f>
        <v/>
      </c>
      <c r="X60">
        <f>HYPERLINK("https://klasma.github.io/Logging_2062/tillsyn/A 38769-2021 tillsynsbegäran.docx", "A 38769-2021")</f>
        <v/>
      </c>
      <c r="Y60">
        <f>HYPERLINK("https://klasma.github.io/Logging_2062/tillsynsmail/A 38769-2021 tillsynsbegäran mail.docx", "A 38769-2021")</f>
        <v/>
      </c>
      <c r="Z60">
        <f>HYPERLINK("https://klasma.github.io/Logging_2062/fåglar/A 38769-2021 prioriterade fågelarter.docx", "A 38769-2021")</f>
        <v/>
      </c>
    </row>
    <row r="61" ht="15" customHeight="1">
      <c r="A61" t="inlineStr">
        <is>
          <t>A 72780-2021</t>
        </is>
      </c>
      <c r="B61" s="1" t="n">
        <v>44545</v>
      </c>
      <c r="C61" s="1" t="n">
        <v>46200</v>
      </c>
      <c r="D61" t="inlineStr">
        <is>
          <t>DALARNAS LÄN</t>
        </is>
      </c>
      <c r="E61" t="inlineStr">
        <is>
          <t>MORA</t>
        </is>
      </c>
      <c r="F61" t="inlineStr">
        <is>
          <t>Allmännings- och besparingsskogar</t>
        </is>
      </c>
      <c r="G61" t="n">
        <v>1</v>
      </c>
      <c r="H61" t="n">
        <v>3</v>
      </c>
      <c r="I61" t="n">
        <v>0</v>
      </c>
      <c r="J61" t="n">
        <v>0</v>
      </c>
      <c r="K61" t="n">
        <v>0</v>
      </c>
      <c r="L61" t="n">
        <v>1</v>
      </c>
      <c r="M61" t="n">
        <v>0</v>
      </c>
      <c r="N61" t="n">
        <v>0</v>
      </c>
      <c r="O61" t="n">
        <v>1</v>
      </c>
      <c r="P61" t="n">
        <v>1</v>
      </c>
      <c r="Q61" t="n">
        <v>3</v>
      </c>
      <c r="R61" s="2" t="inlineStr">
        <is>
          <t>Mosippa
Nattskärra
Skogsödla</t>
        </is>
      </c>
      <c r="S61">
        <f>HYPERLINK("https://klasma.github.io/Logging_2062/artfynd/A 72780-2021 artfynd.xlsx", "A 72780-2021")</f>
        <v/>
      </c>
      <c r="T61">
        <f>HYPERLINK("https://klasma.github.io/Logging_2062/kartor/A 72780-2021 karta.png", "A 72780-2021")</f>
        <v/>
      </c>
      <c r="V61">
        <f>HYPERLINK("https://klasma.github.io/Logging_2062/klagomål/A 72780-2021 FSC-klagomål.docx", "A 72780-2021")</f>
        <v/>
      </c>
      <c r="W61">
        <f>HYPERLINK("https://klasma.github.io/Logging_2062/klagomålsmail/A 72780-2021 FSC-klagomål mail.docx", "A 72780-2021")</f>
        <v/>
      </c>
      <c r="X61">
        <f>HYPERLINK("https://klasma.github.io/Logging_2062/tillsyn/A 72780-2021 tillsynsbegäran.docx", "A 72780-2021")</f>
        <v/>
      </c>
      <c r="Y61">
        <f>HYPERLINK("https://klasma.github.io/Logging_2062/tillsynsmail/A 72780-2021 tillsynsbegäran mail.docx", "A 72780-2021")</f>
        <v/>
      </c>
      <c r="Z61">
        <f>HYPERLINK("https://klasma.github.io/Logging_2062/fåglar/A 72780-2021 prioriterade fågelarter.docx", "A 72780-2021")</f>
        <v/>
      </c>
    </row>
    <row r="62" ht="15" customHeight="1">
      <c r="A62" t="inlineStr">
        <is>
          <t>A 54868-2025</t>
        </is>
      </c>
      <c r="B62" s="1" t="n">
        <v>45966</v>
      </c>
      <c r="C62" s="1" t="n">
        <v>46200</v>
      </c>
      <c r="D62" t="inlineStr">
        <is>
          <t>DALARNAS LÄN</t>
        </is>
      </c>
      <c r="E62" t="inlineStr">
        <is>
          <t>MORA</t>
        </is>
      </c>
      <c r="F62" t="inlineStr">
        <is>
          <t>Bergvik skog väst AB</t>
        </is>
      </c>
      <c r="G62" t="n">
        <v>5.6</v>
      </c>
      <c r="H62" t="n">
        <v>0</v>
      </c>
      <c r="I62" t="n">
        <v>0</v>
      </c>
      <c r="J62" t="n">
        <v>2</v>
      </c>
      <c r="K62" t="n">
        <v>1</v>
      </c>
      <c r="L62" t="n">
        <v>0</v>
      </c>
      <c r="M62" t="n">
        <v>0</v>
      </c>
      <c r="N62" t="n">
        <v>0</v>
      </c>
      <c r="O62" t="n">
        <v>3</v>
      </c>
      <c r="P62" t="n">
        <v>1</v>
      </c>
      <c r="Q62" t="n">
        <v>3</v>
      </c>
      <c r="R62" s="2" t="inlineStr">
        <is>
          <t>Gräddporing
Nordtagging
Vedskivlav</t>
        </is>
      </c>
      <c r="S62">
        <f>HYPERLINK("https://klasma.github.io/Logging_2062/artfynd/A 54868-2025 artfynd.xlsx", "A 54868-2025")</f>
        <v/>
      </c>
      <c r="T62">
        <f>HYPERLINK("https://klasma.github.io/Logging_2062/kartor/A 54868-2025 karta.png", "A 54868-2025")</f>
        <v/>
      </c>
      <c r="V62">
        <f>HYPERLINK("https://klasma.github.io/Logging_2062/klagomål/A 54868-2025 FSC-klagomål.docx", "A 54868-2025")</f>
        <v/>
      </c>
      <c r="W62">
        <f>HYPERLINK("https://klasma.github.io/Logging_2062/klagomålsmail/A 54868-2025 FSC-klagomål mail.docx", "A 54868-2025")</f>
        <v/>
      </c>
      <c r="X62">
        <f>HYPERLINK("https://klasma.github.io/Logging_2062/tillsyn/A 54868-2025 tillsynsbegäran.docx", "A 54868-2025")</f>
        <v/>
      </c>
      <c r="Y62">
        <f>HYPERLINK("https://klasma.github.io/Logging_2062/tillsynsmail/A 54868-2025 tillsynsbegäran mail.docx", "A 54868-2025")</f>
        <v/>
      </c>
    </row>
    <row r="63" ht="15" customHeight="1">
      <c r="A63" t="inlineStr">
        <is>
          <t>A 54919-2025</t>
        </is>
      </c>
      <c r="B63" s="1" t="n">
        <v>45967</v>
      </c>
      <c r="C63" s="1" t="n">
        <v>46200</v>
      </c>
      <c r="D63" t="inlineStr">
        <is>
          <t>DALARNAS LÄN</t>
        </is>
      </c>
      <c r="E63" t="inlineStr">
        <is>
          <t>MORA</t>
        </is>
      </c>
      <c r="F63" t="inlineStr">
        <is>
          <t>Bergvik skog väst AB</t>
        </is>
      </c>
      <c r="G63" t="n">
        <v>5.6</v>
      </c>
      <c r="H63" t="n">
        <v>0</v>
      </c>
      <c r="I63" t="n">
        <v>0</v>
      </c>
      <c r="J63" t="n">
        <v>2</v>
      </c>
      <c r="K63" t="n">
        <v>1</v>
      </c>
      <c r="L63" t="n">
        <v>0</v>
      </c>
      <c r="M63" t="n">
        <v>0</v>
      </c>
      <c r="N63" t="n">
        <v>0</v>
      </c>
      <c r="O63" t="n">
        <v>3</v>
      </c>
      <c r="P63" t="n">
        <v>1</v>
      </c>
      <c r="Q63" t="n">
        <v>3</v>
      </c>
      <c r="R63" s="2" t="inlineStr">
        <is>
          <t>Gräddporing
Nordtagging
Vedskivlav</t>
        </is>
      </c>
      <c r="S63">
        <f>HYPERLINK("https://klasma.github.io/Logging_2062/artfynd/A 54919-2025 artfynd.xlsx", "A 54919-2025")</f>
        <v/>
      </c>
      <c r="T63">
        <f>HYPERLINK("https://klasma.github.io/Logging_2062/kartor/A 54919-2025 karta.png", "A 54919-2025")</f>
        <v/>
      </c>
      <c r="V63">
        <f>HYPERLINK("https://klasma.github.io/Logging_2062/klagomål/A 54919-2025 FSC-klagomål.docx", "A 54919-2025")</f>
        <v/>
      </c>
      <c r="W63">
        <f>HYPERLINK("https://klasma.github.io/Logging_2062/klagomålsmail/A 54919-2025 FSC-klagomål mail.docx", "A 54919-2025")</f>
        <v/>
      </c>
      <c r="X63">
        <f>HYPERLINK("https://klasma.github.io/Logging_2062/tillsyn/A 54919-2025 tillsynsbegäran.docx", "A 54919-2025")</f>
        <v/>
      </c>
      <c r="Y63">
        <f>HYPERLINK("https://klasma.github.io/Logging_2062/tillsynsmail/A 54919-2025 tillsynsbegäran mail.docx", "A 54919-2025")</f>
        <v/>
      </c>
    </row>
    <row r="64" ht="15" customHeight="1">
      <c r="A64" t="inlineStr">
        <is>
          <t>A 62620-2025</t>
        </is>
      </c>
      <c r="B64" s="1" t="n">
        <v>46008</v>
      </c>
      <c r="C64" s="1" t="n">
        <v>46200</v>
      </c>
      <c r="D64" t="inlineStr">
        <is>
          <t>DALARNAS LÄN</t>
        </is>
      </c>
      <c r="E64" t="inlineStr">
        <is>
          <t>MORA</t>
        </is>
      </c>
      <c r="G64" t="n">
        <v>3.3</v>
      </c>
      <c r="H64" t="n">
        <v>1</v>
      </c>
      <c r="I64" t="n">
        <v>1</v>
      </c>
      <c r="J64" t="n">
        <v>1</v>
      </c>
      <c r="K64" t="n">
        <v>1</v>
      </c>
      <c r="L64" t="n">
        <v>0</v>
      </c>
      <c r="M64" t="n">
        <v>0</v>
      </c>
      <c r="N64" t="n">
        <v>0</v>
      </c>
      <c r="O64" t="n">
        <v>2</v>
      </c>
      <c r="P64" t="n">
        <v>1</v>
      </c>
      <c r="Q64" t="n">
        <v>3</v>
      </c>
      <c r="R64" s="2" t="inlineStr">
        <is>
          <t>Garnlav
Tretåig hackspett
Mindre märgborre</t>
        </is>
      </c>
      <c r="S64">
        <f>HYPERLINK("https://klasma.github.io/Logging_2062/artfynd/A 62620-2025 artfynd.xlsx", "A 62620-2025")</f>
        <v/>
      </c>
      <c r="T64">
        <f>HYPERLINK("https://klasma.github.io/Logging_2062/kartor/A 62620-2025 karta.png", "A 62620-2025")</f>
        <v/>
      </c>
      <c r="V64">
        <f>HYPERLINK("https://klasma.github.io/Logging_2062/klagomål/A 62620-2025 FSC-klagomål.docx", "A 62620-2025")</f>
        <v/>
      </c>
      <c r="W64">
        <f>HYPERLINK("https://klasma.github.io/Logging_2062/klagomålsmail/A 62620-2025 FSC-klagomål mail.docx", "A 62620-2025")</f>
        <v/>
      </c>
      <c r="X64">
        <f>HYPERLINK("https://klasma.github.io/Logging_2062/tillsyn/A 62620-2025 tillsynsbegäran.docx", "A 62620-2025")</f>
        <v/>
      </c>
      <c r="Y64">
        <f>HYPERLINK("https://klasma.github.io/Logging_2062/tillsynsmail/A 62620-2025 tillsynsbegäran mail.docx", "A 62620-2025")</f>
        <v/>
      </c>
      <c r="Z64">
        <f>HYPERLINK("https://klasma.github.io/Logging_2062/fåglar/A 62620-2025 prioriterade fågelarter.docx", "A 62620-2025")</f>
        <v/>
      </c>
    </row>
    <row r="65" ht="15" customHeight="1">
      <c r="A65" t="inlineStr">
        <is>
          <t>A 23163-2025</t>
        </is>
      </c>
      <c r="B65" s="1" t="n">
        <v>45791</v>
      </c>
      <c r="C65" s="1" t="n">
        <v>46200</v>
      </c>
      <c r="D65" t="inlineStr">
        <is>
          <t>DALARNAS LÄN</t>
        </is>
      </c>
      <c r="E65" t="inlineStr">
        <is>
          <t>MORA</t>
        </is>
      </c>
      <c r="G65" t="n">
        <v>4.2</v>
      </c>
      <c r="H65" t="n">
        <v>2</v>
      </c>
      <c r="I65" t="n">
        <v>0</v>
      </c>
      <c r="J65" t="n">
        <v>1</v>
      </c>
      <c r="K65" t="n">
        <v>1</v>
      </c>
      <c r="L65" t="n">
        <v>0</v>
      </c>
      <c r="M65" t="n">
        <v>0</v>
      </c>
      <c r="N65" t="n">
        <v>0</v>
      </c>
      <c r="O65" t="n">
        <v>2</v>
      </c>
      <c r="P65" t="n">
        <v>1</v>
      </c>
      <c r="Q65" t="n">
        <v>3</v>
      </c>
      <c r="R65" s="2" t="inlineStr">
        <is>
          <t>Garnlav
Talltita
Spillkråka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36058-2024</t>
        </is>
      </c>
      <c r="B66" s="1" t="n">
        <v>45533</v>
      </c>
      <c r="C66" s="1" t="n">
        <v>46200</v>
      </c>
      <c r="D66" t="inlineStr">
        <is>
          <t>DALARNAS LÄN</t>
        </is>
      </c>
      <c r="E66" t="inlineStr">
        <is>
          <t>MORA</t>
        </is>
      </c>
      <c r="G66" t="n">
        <v>1</v>
      </c>
      <c r="H66" t="n">
        <v>0</v>
      </c>
      <c r="I66" t="n">
        <v>1</v>
      </c>
      <c r="J66" t="n">
        <v>0</v>
      </c>
      <c r="K66" t="n">
        <v>1</v>
      </c>
      <c r="L66" t="n">
        <v>0</v>
      </c>
      <c r="M66" t="n">
        <v>0</v>
      </c>
      <c r="N66" t="n">
        <v>0</v>
      </c>
      <c r="O66" t="n">
        <v>1</v>
      </c>
      <c r="P66" t="n">
        <v>1</v>
      </c>
      <c r="Q66" t="n">
        <v>2</v>
      </c>
      <c r="R66" s="2" t="inlineStr">
        <is>
          <t>Garnlav
Mindre märgborre</t>
        </is>
      </c>
      <c r="S66">
        <f>HYPERLINK("https://klasma.github.io/Logging_2062/artfynd/A 36058-2024 artfynd.xlsx", "A 36058-2024")</f>
        <v/>
      </c>
      <c r="T66">
        <f>HYPERLINK("https://klasma.github.io/Logging_2062/kartor/A 36058-2024 karta.png", "A 36058-2024")</f>
        <v/>
      </c>
      <c r="V66">
        <f>HYPERLINK("https://klasma.github.io/Logging_2062/klagomål/A 36058-2024 FSC-klagomål.docx", "A 36058-2024")</f>
        <v/>
      </c>
      <c r="W66">
        <f>HYPERLINK("https://klasma.github.io/Logging_2062/klagomålsmail/A 36058-2024 FSC-klagomål mail.docx", "A 36058-2024")</f>
        <v/>
      </c>
      <c r="X66">
        <f>HYPERLINK("https://klasma.github.io/Logging_2062/tillsyn/A 36058-2024 tillsynsbegäran.docx", "A 36058-2024")</f>
        <v/>
      </c>
      <c r="Y66">
        <f>HYPERLINK("https://klasma.github.io/Logging_2062/tillsynsmail/A 36058-2024 tillsynsbegäran mail.docx", "A 36058-2024")</f>
        <v/>
      </c>
    </row>
    <row r="67" ht="15" customHeight="1">
      <c r="A67" t="inlineStr">
        <is>
          <t>A 37552-2023</t>
        </is>
      </c>
      <c r="B67" s="1" t="n">
        <v>45159</v>
      </c>
      <c r="C67" s="1" t="n">
        <v>46200</v>
      </c>
      <c r="D67" t="inlineStr">
        <is>
          <t>DALARNAS LÄN</t>
        </is>
      </c>
      <c r="E67" t="inlineStr">
        <is>
          <t>MORA</t>
        </is>
      </c>
      <c r="G67" t="n">
        <v>4</v>
      </c>
      <c r="H67" t="n">
        <v>0</v>
      </c>
      <c r="I67" t="n">
        <v>0</v>
      </c>
      <c r="J67" t="n">
        <v>1</v>
      </c>
      <c r="K67" t="n">
        <v>1</v>
      </c>
      <c r="L67" t="n">
        <v>0</v>
      </c>
      <c r="M67" t="n">
        <v>0</v>
      </c>
      <c r="N67" t="n">
        <v>0</v>
      </c>
      <c r="O67" t="n">
        <v>2</v>
      </c>
      <c r="P67" t="n">
        <v>1</v>
      </c>
      <c r="Q67" t="n">
        <v>2</v>
      </c>
      <c r="R67" s="2" t="inlineStr">
        <is>
          <t>Garnlav
Tallticka</t>
        </is>
      </c>
      <c r="S67">
        <f>HYPERLINK("https://klasma.github.io/Logging_2062/artfynd/A 37552-2023 artfynd.xlsx", "A 37552-2023")</f>
        <v/>
      </c>
      <c r="T67">
        <f>HYPERLINK("https://klasma.github.io/Logging_2062/kartor/A 37552-2023 karta.png", "A 37552-2023")</f>
        <v/>
      </c>
      <c r="V67">
        <f>HYPERLINK("https://klasma.github.io/Logging_2062/klagomål/A 37552-2023 FSC-klagomål.docx", "A 37552-2023")</f>
        <v/>
      </c>
      <c r="W67">
        <f>HYPERLINK("https://klasma.github.io/Logging_2062/klagomålsmail/A 37552-2023 FSC-klagomål mail.docx", "A 37552-2023")</f>
        <v/>
      </c>
      <c r="X67">
        <f>HYPERLINK("https://klasma.github.io/Logging_2062/tillsyn/A 37552-2023 tillsynsbegäran.docx", "A 37552-2023")</f>
        <v/>
      </c>
      <c r="Y67">
        <f>HYPERLINK("https://klasma.github.io/Logging_2062/tillsynsmail/A 37552-2023 tillsynsbegäran mail.docx", "A 37552-2023")</f>
        <v/>
      </c>
    </row>
    <row r="68" ht="15" customHeight="1">
      <c r="A68" t="inlineStr">
        <is>
          <t>A 51253-2023</t>
        </is>
      </c>
      <c r="B68" s="1" t="n">
        <v>45219</v>
      </c>
      <c r="C68" s="1" t="n">
        <v>46200</v>
      </c>
      <c r="D68" t="inlineStr">
        <is>
          <t>DALARNAS LÄN</t>
        </is>
      </c>
      <c r="E68" t="inlineStr">
        <is>
          <t>MORA</t>
        </is>
      </c>
      <c r="G68" t="n">
        <v>5</v>
      </c>
      <c r="H68" t="n">
        <v>0</v>
      </c>
      <c r="I68" t="n">
        <v>1</v>
      </c>
      <c r="J68" t="n">
        <v>0</v>
      </c>
      <c r="K68" t="n">
        <v>1</v>
      </c>
      <c r="L68" t="n">
        <v>0</v>
      </c>
      <c r="M68" t="n">
        <v>0</v>
      </c>
      <c r="N68" t="n">
        <v>0</v>
      </c>
      <c r="O68" t="n">
        <v>1</v>
      </c>
      <c r="P68" t="n">
        <v>1</v>
      </c>
      <c r="Q68" t="n">
        <v>2</v>
      </c>
      <c r="R68" s="2" t="inlineStr">
        <is>
          <t>Garnlav
Mindre märgborre</t>
        </is>
      </c>
      <c r="S68">
        <f>HYPERLINK("https://klasma.github.io/Logging_2062/artfynd/A 51253-2023 artfynd.xlsx", "A 51253-2023")</f>
        <v/>
      </c>
      <c r="T68">
        <f>HYPERLINK("https://klasma.github.io/Logging_2062/kartor/A 51253-2023 karta.png", "A 51253-2023")</f>
        <v/>
      </c>
      <c r="V68">
        <f>HYPERLINK("https://klasma.github.io/Logging_2062/klagomål/A 51253-2023 FSC-klagomål.docx", "A 51253-2023")</f>
        <v/>
      </c>
      <c r="W68">
        <f>HYPERLINK("https://klasma.github.io/Logging_2062/klagomålsmail/A 51253-2023 FSC-klagomål mail.docx", "A 51253-2023")</f>
        <v/>
      </c>
      <c r="X68">
        <f>HYPERLINK("https://klasma.github.io/Logging_2062/tillsyn/A 51253-2023 tillsynsbegäran.docx", "A 51253-2023")</f>
        <v/>
      </c>
      <c r="Y68">
        <f>HYPERLINK("https://klasma.github.io/Logging_2062/tillsynsmail/A 51253-2023 tillsynsbegäran mail.docx", "A 51253-2023")</f>
        <v/>
      </c>
    </row>
    <row r="69" ht="15" customHeight="1">
      <c r="A69" t="inlineStr">
        <is>
          <t>A 42391-2023</t>
        </is>
      </c>
      <c r="B69" s="1" t="n">
        <v>45180</v>
      </c>
      <c r="C69" s="1" t="n">
        <v>46200</v>
      </c>
      <c r="D69" t="inlineStr">
        <is>
          <t>DALARNAS LÄN</t>
        </is>
      </c>
      <c r="E69" t="inlineStr">
        <is>
          <t>MORA</t>
        </is>
      </c>
      <c r="F69" t="inlineStr">
        <is>
          <t>Kommuner</t>
        </is>
      </c>
      <c r="G69" t="n">
        <v>0.3</v>
      </c>
      <c r="H69" t="n">
        <v>0</v>
      </c>
      <c r="I69" t="n">
        <v>2</v>
      </c>
      <c r="J69" t="n">
        <v>0</v>
      </c>
      <c r="K69" t="n">
        <v>0</v>
      </c>
      <c r="L69" t="n">
        <v>0</v>
      </c>
      <c r="M69" t="n">
        <v>0</v>
      </c>
      <c r="N69" t="n">
        <v>0</v>
      </c>
      <c r="O69" t="n">
        <v>0</v>
      </c>
      <c r="P69" t="n">
        <v>0</v>
      </c>
      <c r="Q69" t="n">
        <v>2</v>
      </c>
      <c r="R69" s="2" t="inlineStr">
        <is>
          <t>Grön jordtunga
Sotriska</t>
        </is>
      </c>
      <c r="S69">
        <f>HYPERLINK("https://klasma.github.io/Logging_2062/artfynd/A 42391-2023 artfynd.xlsx", "A 42391-2023")</f>
        <v/>
      </c>
      <c r="T69">
        <f>HYPERLINK("https://klasma.github.io/Logging_2062/kartor/A 42391-2023 karta.png", "A 42391-2023")</f>
        <v/>
      </c>
      <c r="V69">
        <f>HYPERLINK("https://klasma.github.io/Logging_2062/klagomål/A 42391-2023 FSC-klagomål.docx", "A 42391-2023")</f>
        <v/>
      </c>
      <c r="W69">
        <f>HYPERLINK("https://klasma.github.io/Logging_2062/klagomålsmail/A 42391-2023 FSC-klagomål mail.docx", "A 42391-2023")</f>
        <v/>
      </c>
      <c r="X69">
        <f>HYPERLINK("https://klasma.github.io/Logging_2062/tillsyn/A 42391-2023 tillsynsbegäran.docx", "A 42391-2023")</f>
        <v/>
      </c>
      <c r="Y69">
        <f>HYPERLINK("https://klasma.github.io/Logging_2062/tillsynsmail/A 42391-2023 tillsynsbegäran mail.docx", "A 42391-2023")</f>
        <v/>
      </c>
    </row>
    <row r="70" ht="15" customHeight="1">
      <c r="A70" t="inlineStr">
        <is>
          <t>A 3531-2024</t>
        </is>
      </c>
      <c r="B70" s="1" t="n">
        <v>45320</v>
      </c>
      <c r="C70" s="1" t="n">
        <v>46200</v>
      </c>
      <c r="D70" t="inlineStr">
        <is>
          <t>DALARNAS LÄN</t>
        </is>
      </c>
      <c r="E70" t="inlineStr">
        <is>
          <t>MORA</t>
        </is>
      </c>
      <c r="G70" t="n">
        <v>1.4</v>
      </c>
      <c r="H70" t="n">
        <v>2</v>
      </c>
      <c r="I70" t="n">
        <v>0</v>
      </c>
      <c r="J70" t="n">
        <v>0</v>
      </c>
      <c r="K70" t="n">
        <v>1</v>
      </c>
      <c r="L70" t="n">
        <v>1</v>
      </c>
      <c r="M70" t="n">
        <v>0</v>
      </c>
      <c r="N70" t="n">
        <v>0</v>
      </c>
      <c r="O70" t="n">
        <v>2</v>
      </c>
      <c r="P70" t="n">
        <v>2</v>
      </c>
      <c r="Q70" t="n">
        <v>2</v>
      </c>
      <c r="R70" s="2" t="inlineStr">
        <is>
          <t>Mosippa
Knärot</t>
        </is>
      </c>
      <c r="S70">
        <f>HYPERLINK("https://klasma.github.io/Logging_2062/artfynd/A 3531-2024 artfynd.xlsx", "A 3531-2024")</f>
        <v/>
      </c>
      <c r="T70">
        <f>HYPERLINK("https://klasma.github.io/Logging_2062/kartor/A 3531-2024 karta.png", "A 3531-2024")</f>
        <v/>
      </c>
      <c r="U70">
        <f>HYPERLINK("https://klasma.github.io/Logging_2062/knärot/A 3531-2024 karta knärot.png", "A 3531-2024")</f>
        <v/>
      </c>
      <c r="V70">
        <f>HYPERLINK("https://klasma.github.io/Logging_2062/klagomål/A 3531-2024 FSC-klagomål.docx", "A 3531-2024")</f>
        <v/>
      </c>
      <c r="W70">
        <f>HYPERLINK("https://klasma.github.io/Logging_2062/klagomålsmail/A 3531-2024 FSC-klagomål mail.docx", "A 3531-2024")</f>
        <v/>
      </c>
      <c r="X70">
        <f>HYPERLINK("https://klasma.github.io/Logging_2062/tillsyn/A 3531-2024 tillsynsbegäran.docx", "A 3531-2024")</f>
        <v/>
      </c>
      <c r="Y70">
        <f>HYPERLINK("https://klasma.github.io/Logging_2062/tillsynsmail/A 3531-2024 tillsynsbegäran mail.docx", "A 3531-2024")</f>
        <v/>
      </c>
    </row>
    <row r="71" ht="15" customHeight="1">
      <c r="A71" t="inlineStr">
        <is>
          <t>A 13717-2023</t>
        </is>
      </c>
      <c r="B71" s="1" t="n">
        <v>45007</v>
      </c>
      <c r="C71" s="1" t="n">
        <v>46200</v>
      </c>
      <c r="D71" t="inlineStr">
        <is>
          <t>DALARNAS LÄN</t>
        </is>
      </c>
      <c r="E71" t="inlineStr">
        <is>
          <t>MORA</t>
        </is>
      </c>
      <c r="G71" t="n">
        <v>5.6</v>
      </c>
      <c r="H71" t="n">
        <v>1</v>
      </c>
      <c r="I71" t="n">
        <v>0</v>
      </c>
      <c r="J71" t="n">
        <v>1</v>
      </c>
      <c r="K71" t="n">
        <v>1</v>
      </c>
      <c r="L71" t="n">
        <v>0</v>
      </c>
      <c r="M71" t="n">
        <v>0</v>
      </c>
      <c r="N71" t="n">
        <v>0</v>
      </c>
      <c r="O71" t="n">
        <v>2</v>
      </c>
      <c r="P71" t="n">
        <v>1</v>
      </c>
      <c r="Q71" t="n">
        <v>2</v>
      </c>
      <c r="R71" s="2" t="inlineStr">
        <is>
          <t>Knärot
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25749-2023</t>
        </is>
      </c>
      <c r="B72" s="1" t="n">
        <v>45090</v>
      </c>
      <c r="C72" s="1" t="n">
        <v>46200</v>
      </c>
      <c r="D72" t="inlineStr">
        <is>
          <t>DALARNAS LÄN</t>
        </is>
      </c>
      <c r="E72" t="inlineStr">
        <is>
          <t>MORA</t>
        </is>
      </c>
      <c r="G72" t="n">
        <v>2.4</v>
      </c>
      <c r="H72" t="n">
        <v>0</v>
      </c>
      <c r="I72" t="n">
        <v>0</v>
      </c>
      <c r="J72" t="n">
        <v>2</v>
      </c>
      <c r="K72" t="n">
        <v>0</v>
      </c>
      <c r="L72" t="n">
        <v>0</v>
      </c>
      <c r="M72" t="n">
        <v>0</v>
      </c>
      <c r="N72" t="n">
        <v>0</v>
      </c>
      <c r="O72" t="n">
        <v>2</v>
      </c>
      <c r="P72" t="n">
        <v>0</v>
      </c>
      <c r="Q72" t="n">
        <v>2</v>
      </c>
      <c r="R72" s="2" t="inlineStr">
        <is>
          <t>Blå taggsvamp
Orange taggsvamp</t>
        </is>
      </c>
      <c r="S72">
        <f>HYPERLINK("https://klasma.github.io/Logging_2062/artfynd/A 25749-2023 artfynd.xlsx", "A 25749-2023")</f>
        <v/>
      </c>
      <c r="T72">
        <f>HYPERLINK("https://klasma.github.io/Logging_2062/kartor/A 25749-2023 karta.png", "A 25749-2023")</f>
        <v/>
      </c>
      <c r="V72">
        <f>HYPERLINK("https://klasma.github.io/Logging_2062/klagomål/A 25749-2023 FSC-klagomål.docx", "A 25749-2023")</f>
        <v/>
      </c>
      <c r="W72">
        <f>HYPERLINK("https://klasma.github.io/Logging_2062/klagomålsmail/A 25749-2023 FSC-klagomål mail.docx", "A 25749-2023")</f>
        <v/>
      </c>
      <c r="X72">
        <f>HYPERLINK("https://klasma.github.io/Logging_2062/tillsyn/A 25749-2023 tillsynsbegäran.docx", "A 25749-2023")</f>
        <v/>
      </c>
      <c r="Y72">
        <f>HYPERLINK("https://klasma.github.io/Logging_2062/tillsynsmail/A 25749-2023 tillsynsbegäran mail.docx", "A 25749-2023")</f>
        <v/>
      </c>
    </row>
    <row r="73" ht="15" customHeight="1">
      <c r="A73" t="inlineStr">
        <is>
          <t>A 20538-2025</t>
        </is>
      </c>
      <c r="B73" s="1" t="n">
        <v>45775</v>
      </c>
      <c r="C73" s="1" t="n">
        <v>46200</v>
      </c>
      <c r="D73" t="inlineStr">
        <is>
          <t>DALARNAS LÄN</t>
        </is>
      </c>
      <c r="E73" t="inlineStr">
        <is>
          <t>MORA</t>
        </is>
      </c>
      <c r="G73" t="n">
        <v>0.9</v>
      </c>
      <c r="H73" t="n">
        <v>0</v>
      </c>
      <c r="I73" t="n">
        <v>1</v>
      </c>
      <c r="J73" t="n">
        <v>0</v>
      </c>
      <c r="K73" t="n">
        <v>1</v>
      </c>
      <c r="L73" t="n">
        <v>0</v>
      </c>
      <c r="M73" t="n">
        <v>0</v>
      </c>
      <c r="N73" t="n">
        <v>0</v>
      </c>
      <c r="O73" t="n">
        <v>1</v>
      </c>
      <c r="P73" t="n">
        <v>1</v>
      </c>
      <c r="Q73" t="n">
        <v>2</v>
      </c>
      <c r="R73" s="2" t="inlineStr">
        <is>
          <t>Garnlav
Mindre märgborre</t>
        </is>
      </c>
      <c r="S73">
        <f>HYPERLINK("https://klasma.github.io/Logging_2062/artfynd/A 20538-2025 artfynd.xlsx", "A 20538-2025")</f>
        <v/>
      </c>
      <c r="T73">
        <f>HYPERLINK("https://klasma.github.io/Logging_2062/kartor/A 20538-2025 karta.png", "A 20538-2025")</f>
        <v/>
      </c>
      <c r="V73">
        <f>HYPERLINK("https://klasma.github.io/Logging_2062/klagomål/A 20538-2025 FSC-klagomål.docx", "A 20538-2025")</f>
        <v/>
      </c>
      <c r="W73">
        <f>HYPERLINK("https://klasma.github.io/Logging_2062/klagomålsmail/A 20538-2025 FSC-klagomål mail.docx", "A 20538-2025")</f>
        <v/>
      </c>
      <c r="X73">
        <f>HYPERLINK("https://klasma.github.io/Logging_2062/tillsyn/A 20538-2025 tillsynsbegäran.docx", "A 20538-2025")</f>
        <v/>
      </c>
      <c r="Y73">
        <f>HYPERLINK("https://klasma.github.io/Logging_2062/tillsynsmail/A 20538-2025 tillsynsbegäran mail.docx", "A 20538-2025")</f>
        <v/>
      </c>
    </row>
    <row r="74" ht="15" customHeight="1">
      <c r="A74" t="inlineStr">
        <is>
          <t>A 17163-2025</t>
        </is>
      </c>
      <c r="B74" s="1" t="n">
        <v>45756</v>
      </c>
      <c r="C74" s="1" t="n">
        <v>46200</v>
      </c>
      <c r="D74" t="inlineStr">
        <is>
          <t>DALARNAS LÄN</t>
        </is>
      </c>
      <c r="E74" t="inlineStr">
        <is>
          <t>MORA</t>
        </is>
      </c>
      <c r="F74" t="inlineStr">
        <is>
          <t>Bergvik skog öst AB</t>
        </is>
      </c>
      <c r="G74" t="n">
        <v>0.5</v>
      </c>
      <c r="H74" t="n">
        <v>0</v>
      </c>
      <c r="I74" t="n">
        <v>1</v>
      </c>
      <c r="J74" t="n">
        <v>0</v>
      </c>
      <c r="K74" t="n">
        <v>1</v>
      </c>
      <c r="L74" t="n">
        <v>0</v>
      </c>
      <c r="M74" t="n">
        <v>0</v>
      </c>
      <c r="N74" t="n">
        <v>0</v>
      </c>
      <c r="O74" t="n">
        <v>1</v>
      </c>
      <c r="P74" t="n">
        <v>1</v>
      </c>
      <c r="Q74" t="n">
        <v>2</v>
      </c>
      <c r="R74" s="2" t="inlineStr">
        <is>
          <t>Garnlav
Bronshjon</t>
        </is>
      </c>
      <c r="S74">
        <f>HYPERLINK("https://klasma.github.io/Logging_2062/artfynd/A 17163-2025 artfynd.xlsx", "A 17163-2025")</f>
        <v/>
      </c>
      <c r="T74">
        <f>HYPERLINK("https://klasma.github.io/Logging_2062/kartor/A 17163-2025 karta.png", "A 17163-2025")</f>
        <v/>
      </c>
      <c r="V74">
        <f>HYPERLINK("https://klasma.github.io/Logging_2062/klagomål/A 17163-2025 FSC-klagomål.docx", "A 17163-2025")</f>
        <v/>
      </c>
      <c r="W74">
        <f>HYPERLINK("https://klasma.github.io/Logging_2062/klagomålsmail/A 17163-2025 FSC-klagomål mail.docx", "A 17163-2025")</f>
        <v/>
      </c>
      <c r="X74">
        <f>HYPERLINK("https://klasma.github.io/Logging_2062/tillsyn/A 17163-2025 tillsynsbegäran.docx", "A 17163-2025")</f>
        <v/>
      </c>
      <c r="Y74">
        <f>HYPERLINK("https://klasma.github.io/Logging_2062/tillsynsmail/A 17163-2025 tillsynsbegäran mail.docx", "A 17163-2025")</f>
        <v/>
      </c>
    </row>
    <row r="75" ht="15" customHeight="1">
      <c r="A75" t="inlineStr">
        <is>
          <t>A 35068-2025</t>
        </is>
      </c>
      <c r="B75" s="1" t="n">
        <v>45852</v>
      </c>
      <c r="C75" s="1" t="n">
        <v>46200</v>
      </c>
      <c r="D75" t="inlineStr">
        <is>
          <t>DALARNAS LÄN</t>
        </is>
      </c>
      <c r="E75" t="inlineStr">
        <is>
          <t>MORA</t>
        </is>
      </c>
      <c r="G75" t="n">
        <v>0.7</v>
      </c>
      <c r="H75" t="n">
        <v>0</v>
      </c>
      <c r="I75" t="n">
        <v>1</v>
      </c>
      <c r="J75" t="n">
        <v>0</v>
      </c>
      <c r="K75" t="n">
        <v>1</v>
      </c>
      <c r="L75" t="n">
        <v>0</v>
      </c>
      <c r="M75" t="n">
        <v>0</v>
      </c>
      <c r="N75" t="n">
        <v>0</v>
      </c>
      <c r="O75" t="n">
        <v>1</v>
      </c>
      <c r="P75" t="n">
        <v>1</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23261-2026</t>
        </is>
      </c>
      <c r="B76" s="1" t="n">
        <v>46162</v>
      </c>
      <c r="C76" s="1" t="n">
        <v>46200</v>
      </c>
      <c r="D76" t="inlineStr">
        <is>
          <t>DALARNAS LÄN</t>
        </is>
      </c>
      <c r="E76" t="inlineStr">
        <is>
          <t>MORA</t>
        </is>
      </c>
      <c r="G76" t="n">
        <v>4.1</v>
      </c>
      <c r="H76" t="n">
        <v>0</v>
      </c>
      <c r="I76" t="n">
        <v>0</v>
      </c>
      <c r="J76" t="n">
        <v>1</v>
      </c>
      <c r="K76" t="n">
        <v>1</v>
      </c>
      <c r="L76" t="n">
        <v>0</v>
      </c>
      <c r="M76" t="n">
        <v>0</v>
      </c>
      <c r="N76" t="n">
        <v>0</v>
      </c>
      <c r="O76" t="n">
        <v>2</v>
      </c>
      <c r="P76" t="n">
        <v>1</v>
      </c>
      <c r="Q76" t="n">
        <v>2</v>
      </c>
      <c r="R76" s="2" t="inlineStr">
        <is>
          <t>Garnlav
Tallticka</t>
        </is>
      </c>
      <c r="S76">
        <f>HYPERLINK("https://klasma.github.io/Logging_2062/artfynd/A 23261-2026 artfynd.xlsx", "A 23261-2026")</f>
        <v/>
      </c>
      <c r="T76">
        <f>HYPERLINK("https://klasma.github.io/Logging_2062/kartor/A 23261-2026 karta.png", "A 23261-2026")</f>
        <v/>
      </c>
      <c r="V76">
        <f>HYPERLINK("https://klasma.github.io/Logging_2062/klagomål/A 23261-2026 FSC-klagomål.docx", "A 23261-2026")</f>
        <v/>
      </c>
      <c r="W76">
        <f>HYPERLINK("https://klasma.github.io/Logging_2062/klagomålsmail/A 23261-2026 FSC-klagomål mail.docx", "A 23261-2026")</f>
        <v/>
      </c>
      <c r="X76">
        <f>HYPERLINK("https://klasma.github.io/Logging_2062/tillsyn/A 23261-2026 tillsynsbegäran.docx", "A 23261-2026")</f>
        <v/>
      </c>
      <c r="Y76">
        <f>HYPERLINK("https://klasma.github.io/Logging_2062/tillsynsmail/A 23261-2026 tillsynsbegäran mail.docx", "A 23261-2026")</f>
        <v/>
      </c>
    </row>
    <row r="77" ht="15" customHeight="1">
      <c r="A77" t="inlineStr">
        <is>
          <t>A 25724-2026</t>
        </is>
      </c>
      <c r="B77" s="1" t="n">
        <v>46178</v>
      </c>
      <c r="C77" s="1" t="n">
        <v>46200</v>
      </c>
      <c r="D77" t="inlineStr">
        <is>
          <t>DALARNAS LÄN</t>
        </is>
      </c>
      <c r="E77" t="inlineStr">
        <is>
          <t>MORA</t>
        </is>
      </c>
      <c r="F77" t="inlineStr">
        <is>
          <t>Bergvik skog öst AB</t>
        </is>
      </c>
      <c r="G77" t="n">
        <v>1.7</v>
      </c>
      <c r="H77" t="n">
        <v>0</v>
      </c>
      <c r="I77" t="n">
        <v>0</v>
      </c>
      <c r="J77" t="n">
        <v>2</v>
      </c>
      <c r="K77" t="n">
        <v>0</v>
      </c>
      <c r="L77" t="n">
        <v>0</v>
      </c>
      <c r="M77" t="n">
        <v>0</v>
      </c>
      <c r="N77" t="n">
        <v>0</v>
      </c>
      <c r="O77" t="n">
        <v>2</v>
      </c>
      <c r="P77" t="n">
        <v>0</v>
      </c>
      <c r="Q77" t="n">
        <v>2</v>
      </c>
      <c r="R77" s="2" t="inlineStr">
        <is>
          <t>Kortskaftad ärgspik
Vedflamlav</t>
        </is>
      </c>
      <c r="S77">
        <f>HYPERLINK("https://klasma.github.io/Logging_2062/artfynd/A 25724-2026 artfynd.xlsx", "A 25724-2026")</f>
        <v/>
      </c>
      <c r="T77">
        <f>HYPERLINK("https://klasma.github.io/Logging_2062/kartor/A 25724-2026 karta.png", "A 25724-2026")</f>
        <v/>
      </c>
      <c r="V77">
        <f>HYPERLINK("https://klasma.github.io/Logging_2062/klagomål/A 25724-2026 FSC-klagomål.docx", "A 25724-2026")</f>
        <v/>
      </c>
      <c r="W77">
        <f>HYPERLINK("https://klasma.github.io/Logging_2062/klagomålsmail/A 25724-2026 FSC-klagomål mail.docx", "A 25724-2026")</f>
        <v/>
      </c>
      <c r="X77">
        <f>HYPERLINK("https://klasma.github.io/Logging_2062/tillsyn/A 25724-2026 tillsynsbegäran.docx", "A 25724-2026")</f>
        <v/>
      </c>
      <c r="Y77">
        <f>HYPERLINK("https://klasma.github.io/Logging_2062/tillsynsmail/A 25724-2026 tillsynsbegäran mail.docx", "A 25724-2026")</f>
        <v/>
      </c>
    </row>
    <row r="78" ht="15" customHeight="1">
      <c r="A78" t="inlineStr">
        <is>
          <t>A 34897-2022</t>
        </is>
      </c>
      <c r="B78" s="1" t="n">
        <v>44796</v>
      </c>
      <c r="C78" s="1" t="n">
        <v>46200</v>
      </c>
      <c r="D78" t="inlineStr">
        <is>
          <t>DALARNAS LÄN</t>
        </is>
      </c>
      <c r="E78" t="inlineStr">
        <is>
          <t>MORA</t>
        </is>
      </c>
      <c r="F78" t="inlineStr">
        <is>
          <t>Bergvik skog väst AB</t>
        </is>
      </c>
      <c r="G78" t="n">
        <v>8</v>
      </c>
      <c r="H78" t="n">
        <v>1</v>
      </c>
      <c r="I78" t="n">
        <v>0</v>
      </c>
      <c r="J78" t="n">
        <v>1</v>
      </c>
      <c r="K78" t="n">
        <v>0</v>
      </c>
      <c r="L78" t="n">
        <v>0</v>
      </c>
      <c r="M78" t="n">
        <v>0</v>
      </c>
      <c r="N78" t="n">
        <v>0</v>
      </c>
      <c r="O78" t="n">
        <v>1</v>
      </c>
      <c r="P78" t="n">
        <v>0</v>
      </c>
      <c r="Q78" t="n">
        <v>1</v>
      </c>
      <c r="R78" s="2" t="inlineStr">
        <is>
          <t>Lavskrika</t>
        </is>
      </c>
      <c r="S78">
        <f>HYPERLINK("https://klasma.github.io/Logging_2062/artfynd/A 34897-2022 artfynd.xlsx", "A 34897-2022")</f>
        <v/>
      </c>
      <c r="T78">
        <f>HYPERLINK("https://klasma.github.io/Logging_2062/kartor/A 34897-2022 karta.png", "A 34897-2022")</f>
        <v/>
      </c>
      <c r="V78">
        <f>HYPERLINK("https://klasma.github.io/Logging_2062/klagomål/A 34897-2022 FSC-klagomål.docx", "A 34897-2022")</f>
        <v/>
      </c>
      <c r="W78">
        <f>HYPERLINK("https://klasma.github.io/Logging_2062/klagomålsmail/A 34897-2022 FSC-klagomål mail.docx", "A 34897-2022")</f>
        <v/>
      </c>
      <c r="X78">
        <f>HYPERLINK("https://klasma.github.io/Logging_2062/tillsyn/A 34897-2022 tillsynsbegäran.docx", "A 34897-2022")</f>
        <v/>
      </c>
      <c r="Y78">
        <f>HYPERLINK("https://klasma.github.io/Logging_2062/tillsynsmail/A 34897-2022 tillsynsbegäran mail.docx", "A 34897-2022")</f>
        <v/>
      </c>
      <c r="Z78">
        <f>HYPERLINK("https://klasma.github.io/Logging_2062/fåglar/A 34897-2022 prioriterade fågelarter.docx", "A 34897-2022")</f>
        <v/>
      </c>
    </row>
    <row r="79" ht="15" customHeight="1">
      <c r="A79" t="inlineStr">
        <is>
          <t>A 54239-2021</t>
        </is>
      </c>
      <c r="B79" s="1" t="n">
        <v>44470</v>
      </c>
      <c r="C79" s="1" t="n">
        <v>46200</v>
      </c>
      <c r="D79" t="inlineStr">
        <is>
          <t>DALARNAS LÄN</t>
        </is>
      </c>
      <c r="E79" t="inlineStr">
        <is>
          <t>MORA</t>
        </is>
      </c>
      <c r="G79" t="n">
        <v>0.6</v>
      </c>
      <c r="H79" t="n">
        <v>0</v>
      </c>
      <c r="I79" t="n">
        <v>1</v>
      </c>
      <c r="J79" t="n">
        <v>0</v>
      </c>
      <c r="K79" t="n">
        <v>0</v>
      </c>
      <c r="L79" t="n">
        <v>0</v>
      </c>
      <c r="M79" t="n">
        <v>0</v>
      </c>
      <c r="N79" t="n">
        <v>0</v>
      </c>
      <c r="O79" t="n">
        <v>0</v>
      </c>
      <c r="P79" t="n">
        <v>0</v>
      </c>
      <c r="Q79" t="n">
        <v>1</v>
      </c>
      <c r="R79" s="2" t="inlineStr">
        <is>
          <t>Mindre märgborre</t>
        </is>
      </c>
      <c r="S79">
        <f>HYPERLINK("https://klasma.github.io/Logging_2062/artfynd/A 54239-2021 artfynd.xlsx", "A 54239-2021")</f>
        <v/>
      </c>
      <c r="T79">
        <f>HYPERLINK("https://klasma.github.io/Logging_2062/kartor/A 54239-2021 karta.png", "A 54239-2021")</f>
        <v/>
      </c>
      <c r="V79">
        <f>HYPERLINK("https://klasma.github.io/Logging_2062/klagomål/A 54239-2021 FSC-klagomål.docx", "A 54239-2021")</f>
        <v/>
      </c>
      <c r="W79">
        <f>HYPERLINK("https://klasma.github.io/Logging_2062/klagomålsmail/A 54239-2021 FSC-klagomål mail.docx", "A 54239-2021")</f>
        <v/>
      </c>
      <c r="X79">
        <f>HYPERLINK("https://klasma.github.io/Logging_2062/tillsyn/A 54239-2021 tillsynsbegäran.docx", "A 54239-2021")</f>
        <v/>
      </c>
      <c r="Y79">
        <f>HYPERLINK("https://klasma.github.io/Logging_2062/tillsynsmail/A 54239-2021 tillsynsbegäran mail.docx", "A 54239-2021")</f>
        <v/>
      </c>
    </row>
    <row r="80" ht="15" customHeight="1">
      <c r="A80" t="inlineStr">
        <is>
          <t>A 36038-2024</t>
        </is>
      </c>
      <c r="B80" s="1" t="n">
        <v>45533</v>
      </c>
      <c r="C80" s="1" t="n">
        <v>46200</v>
      </c>
      <c r="D80" t="inlineStr">
        <is>
          <t>DALARNAS LÄN</t>
        </is>
      </c>
      <c r="E80" t="inlineStr">
        <is>
          <t>MORA</t>
        </is>
      </c>
      <c r="G80" t="n">
        <v>5.1</v>
      </c>
      <c r="H80" t="n">
        <v>0</v>
      </c>
      <c r="I80" t="n">
        <v>0</v>
      </c>
      <c r="J80" t="n">
        <v>0</v>
      </c>
      <c r="K80" t="n">
        <v>1</v>
      </c>
      <c r="L80" t="n">
        <v>0</v>
      </c>
      <c r="M80" t="n">
        <v>0</v>
      </c>
      <c r="N80" t="n">
        <v>0</v>
      </c>
      <c r="O80" t="n">
        <v>1</v>
      </c>
      <c r="P80" t="n">
        <v>1</v>
      </c>
      <c r="Q80" t="n">
        <v>1</v>
      </c>
      <c r="R80" s="2" t="inlineStr">
        <is>
          <t>Garnlav</t>
        </is>
      </c>
      <c r="S80">
        <f>HYPERLINK("https://klasma.github.io/Logging_2062/artfynd/A 36038-2024 artfynd.xlsx", "A 36038-2024")</f>
        <v/>
      </c>
      <c r="T80">
        <f>HYPERLINK("https://klasma.github.io/Logging_2062/kartor/A 36038-2024 karta.png", "A 36038-2024")</f>
        <v/>
      </c>
      <c r="V80">
        <f>HYPERLINK("https://klasma.github.io/Logging_2062/klagomål/A 36038-2024 FSC-klagomål.docx", "A 36038-2024")</f>
        <v/>
      </c>
      <c r="W80">
        <f>HYPERLINK("https://klasma.github.io/Logging_2062/klagomålsmail/A 36038-2024 FSC-klagomål mail.docx", "A 36038-2024")</f>
        <v/>
      </c>
      <c r="X80">
        <f>HYPERLINK("https://klasma.github.io/Logging_2062/tillsyn/A 36038-2024 tillsynsbegäran.docx", "A 36038-2024")</f>
        <v/>
      </c>
      <c r="Y80">
        <f>HYPERLINK("https://klasma.github.io/Logging_2062/tillsynsmail/A 36038-2024 tillsynsbegäran mail.docx", "A 36038-2024")</f>
        <v/>
      </c>
    </row>
    <row r="81" ht="15" customHeight="1">
      <c r="A81" t="inlineStr">
        <is>
          <t>A 44307-2021</t>
        </is>
      </c>
      <c r="B81" s="1" t="n">
        <v>44435</v>
      </c>
      <c r="C81" s="1" t="n">
        <v>46200</v>
      </c>
      <c r="D81" t="inlineStr">
        <is>
          <t>DALARNAS LÄN</t>
        </is>
      </c>
      <c r="E81" t="inlineStr">
        <is>
          <t>MORA</t>
        </is>
      </c>
      <c r="G81" t="n">
        <v>1.2</v>
      </c>
      <c r="H81" t="n">
        <v>0</v>
      </c>
      <c r="I81" t="n">
        <v>0</v>
      </c>
      <c r="J81" t="n">
        <v>1</v>
      </c>
      <c r="K81" t="n">
        <v>0</v>
      </c>
      <c r="L81" t="n">
        <v>0</v>
      </c>
      <c r="M81" t="n">
        <v>0</v>
      </c>
      <c r="N81" t="n">
        <v>0</v>
      </c>
      <c r="O81" t="n">
        <v>1</v>
      </c>
      <c r="P81" t="n">
        <v>0</v>
      </c>
      <c r="Q81" t="n">
        <v>1</v>
      </c>
      <c r="R81" s="2" t="inlineStr">
        <is>
          <t>Grentaggsvamp</t>
        </is>
      </c>
      <c r="S81">
        <f>HYPERLINK("https://klasma.github.io/Logging_2062/artfynd/A 44307-2021 artfynd.xlsx", "A 44307-2021")</f>
        <v/>
      </c>
      <c r="T81">
        <f>HYPERLINK("https://klasma.github.io/Logging_2062/kartor/A 44307-2021 karta.png", "A 44307-2021")</f>
        <v/>
      </c>
      <c r="V81">
        <f>HYPERLINK("https://klasma.github.io/Logging_2062/klagomål/A 44307-2021 FSC-klagomål.docx", "A 44307-2021")</f>
        <v/>
      </c>
      <c r="W81">
        <f>HYPERLINK("https://klasma.github.io/Logging_2062/klagomålsmail/A 44307-2021 FSC-klagomål mail.docx", "A 44307-2021")</f>
        <v/>
      </c>
      <c r="X81">
        <f>HYPERLINK("https://klasma.github.io/Logging_2062/tillsyn/A 44307-2021 tillsynsbegäran.docx", "A 44307-2021")</f>
        <v/>
      </c>
      <c r="Y81">
        <f>HYPERLINK("https://klasma.github.io/Logging_2062/tillsynsmail/A 44307-2021 tillsynsbegäran mail.docx", "A 44307-2021")</f>
        <v/>
      </c>
    </row>
    <row r="82" ht="15" customHeight="1">
      <c r="A82" t="inlineStr">
        <is>
          <t>A 56460-2022</t>
        </is>
      </c>
      <c r="B82" s="1" t="n">
        <v>44893</v>
      </c>
      <c r="C82" s="1" t="n">
        <v>46200</v>
      </c>
      <c r="D82" t="inlineStr">
        <is>
          <t>DALARNAS LÄN</t>
        </is>
      </c>
      <c r="E82" t="inlineStr">
        <is>
          <t>MORA</t>
        </is>
      </c>
      <c r="G82" t="n">
        <v>2.2</v>
      </c>
      <c r="H82" t="n">
        <v>0</v>
      </c>
      <c r="I82" t="n">
        <v>0</v>
      </c>
      <c r="J82" t="n">
        <v>1</v>
      </c>
      <c r="K82" t="n">
        <v>0</v>
      </c>
      <c r="L82" t="n">
        <v>0</v>
      </c>
      <c r="M82" t="n">
        <v>0</v>
      </c>
      <c r="N82" t="n">
        <v>0</v>
      </c>
      <c r="O82" t="n">
        <v>1</v>
      </c>
      <c r="P82" t="n">
        <v>0</v>
      </c>
      <c r="Q82" t="n">
        <v>1</v>
      </c>
      <c r="R82" s="2" t="inlineStr">
        <is>
          <t>Slåtterfibbla</t>
        </is>
      </c>
      <c r="S82">
        <f>HYPERLINK("https://klasma.github.io/Logging_2062/artfynd/A 56460-2022 artfynd.xlsx", "A 56460-2022")</f>
        <v/>
      </c>
      <c r="T82">
        <f>HYPERLINK("https://klasma.github.io/Logging_2062/kartor/A 56460-2022 karta.png", "A 56460-2022")</f>
        <v/>
      </c>
      <c r="V82">
        <f>HYPERLINK("https://klasma.github.io/Logging_2062/klagomål/A 56460-2022 FSC-klagomål.docx", "A 56460-2022")</f>
        <v/>
      </c>
      <c r="W82">
        <f>HYPERLINK("https://klasma.github.io/Logging_2062/klagomålsmail/A 56460-2022 FSC-klagomål mail.docx", "A 56460-2022")</f>
        <v/>
      </c>
      <c r="X82">
        <f>HYPERLINK("https://klasma.github.io/Logging_2062/tillsyn/A 56460-2022 tillsynsbegäran.docx", "A 56460-2022")</f>
        <v/>
      </c>
      <c r="Y82">
        <f>HYPERLINK("https://klasma.github.io/Logging_2062/tillsynsmail/A 56460-2022 tillsynsbegäran mail.docx", "A 56460-2022")</f>
        <v/>
      </c>
    </row>
    <row r="83" ht="15" customHeight="1">
      <c r="A83" t="inlineStr">
        <is>
          <t>A 68415-2021</t>
        </is>
      </c>
      <c r="B83" s="1" t="n">
        <v>44529</v>
      </c>
      <c r="C83" s="1" t="n">
        <v>46200</v>
      </c>
      <c r="D83" t="inlineStr">
        <is>
          <t>DALARNAS LÄN</t>
        </is>
      </c>
      <c r="E83" t="inlineStr">
        <is>
          <t>MORA</t>
        </is>
      </c>
      <c r="G83" t="n">
        <v>1.2</v>
      </c>
      <c r="H83" t="n">
        <v>1</v>
      </c>
      <c r="I83" t="n">
        <v>0</v>
      </c>
      <c r="J83" t="n">
        <v>1</v>
      </c>
      <c r="K83" t="n">
        <v>0</v>
      </c>
      <c r="L83" t="n">
        <v>0</v>
      </c>
      <c r="M83" t="n">
        <v>0</v>
      </c>
      <c r="N83" t="n">
        <v>0</v>
      </c>
      <c r="O83" t="n">
        <v>1</v>
      </c>
      <c r="P83" t="n">
        <v>0</v>
      </c>
      <c r="Q83" t="n">
        <v>1</v>
      </c>
      <c r="R83" s="2" t="inlineStr">
        <is>
          <t>Sparvuggla</t>
        </is>
      </c>
      <c r="S83">
        <f>HYPERLINK("https://klasma.github.io/Logging_2062/artfynd/A 68415-2021 artfynd.xlsx", "A 68415-2021")</f>
        <v/>
      </c>
      <c r="T83">
        <f>HYPERLINK("https://klasma.github.io/Logging_2062/kartor/A 68415-2021 karta.png", "A 68415-2021")</f>
        <v/>
      </c>
      <c r="V83">
        <f>HYPERLINK("https://klasma.github.io/Logging_2062/klagomål/A 68415-2021 FSC-klagomål.docx", "A 68415-2021")</f>
        <v/>
      </c>
      <c r="W83">
        <f>HYPERLINK("https://klasma.github.io/Logging_2062/klagomålsmail/A 68415-2021 FSC-klagomål mail.docx", "A 68415-2021")</f>
        <v/>
      </c>
      <c r="X83">
        <f>HYPERLINK("https://klasma.github.io/Logging_2062/tillsyn/A 68415-2021 tillsynsbegäran.docx", "A 68415-2021")</f>
        <v/>
      </c>
      <c r="Y83">
        <f>HYPERLINK("https://klasma.github.io/Logging_2062/tillsynsmail/A 68415-2021 tillsynsbegäran mail.docx", "A 68415-2021")</f>
        <v/>
      </c>
      <c r="Z83">
        <f>HYPERLINK("https://klasma.github.io/Logging_2062/fåglar/A 68415-2021 prioriterade fågelarter.docx", "A 68415-2021")</f>
        <v/>
      </c>
    </row>
    <row r="84" ht="15" customHeight="1">
      <c r="A84" t="inlineStr">
        <is>
          <t>A 37471-2024</t>
        </is>
      </c>
      <c r="B84" s="1" t="n">
        <v>45540</v>
      </c>
      <c r="C84" s="1" t="n">
        <v>46200</v>
      </c>
      <c r="D84" t="inlineStr">
        <is>
          <t>DALARNAS LÄN</t>
        </is>
      </c>
      <c r="E84" t="inlineStr">
        <is>
          <t>MORA</t>
        </is>
      </c>
      <c r="G84" t="n">
        <v>3.5</v>
      </c>
      <c r="H84" t="n">
        <v>1</v>
      </c>
      <c r="I84" t="n">
        <v>0</v>
      </c>
      <c r="J84" t="n">
        <v>1</v>
      </c>
      <c r="K84" t="n">
        <v>0</v>
      </c>
      <c r="L84" t="n">
        <v>0</v>
      </c>
      <c r="M84" t="n">
        <v>0</v>
      </c>
      <c r="N84" t="n">
        <v>0</v>
      </c>
      <c r="O84" t="n">
        <v>1</v>
      </c>
      <c r="P84" t="n">
        <v>0</v>
      </c>
      <c r="Q84" t="n">
        <v>1</v>
      </c>
      <c r="R84" s="2" t="inlineStr">
        <is>
          <t>Talltita</t>
        </is>
      </c>
      <c r="S84">
        <f>HYPERLINK("https://klasma.github.io/Logging_2062/artfynd/A 37471-2024 artfynd.xlsx", "A 37471-2024")</f>
        <v/>
      </c>
      <c r="T84">
        <f>HYPERLINK("https://klasma.github.io/Logging_2062/kartor/A 37471-2024 karta.png", "A 37471-2024")</f>
        <v/>
      </c>
      <c r="V84">
        <f>HYPERLINK("https://klasma.github.io/Logging_2062/klagomål/A 37471-2024 FSC-klagomål.docx", "A 37471-2024")</f>
        <v/>
      </c>
      <c r="W84">
        <f>HYPERLINK("https://klasma.github.io/Logging_2062/klagomålsmail/A 37471-2024 FSC-klagomål mail.docx", "A 37471-2024")</f>
        <v/>
      </c>
      <c r="X84">
        <f>HYPERLINK("https://klasma.github.io/Logging_2062/tillsyn/A 37471-2024 tillsynsbegäran.docx", "A 37471-2024")</f>
        <v/>
      </c>
      <c r="Y84">
        <f>HYPERLINK("https://klasma.github.io/Logging_2062/tillsynsmail/A 37471-2024 tillsynsbegäran mail.docx", "A 37471-2024")</f>
        <v/>
      </c>
      <c r="Z84">
        <f>HYPERLINK("https://klasma.github.io/Logging_2062/fåglar/A 37471-2024 prioriterade fågelarter.docx", "A 37471-2024")</f>
        <v/>
      </c>
    </row>
    <row r="85" ht="15" customHeight="1">
      <c r="A85" t="inlineStr">
        <is>
          <t>A 57669-2022</t>
        </is>
      </c>
      <c r="B85" s="1" t="n">
        <v>44897</v>
      </c>
      <c r="C85" s="1" t="n">
        <v>46200</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23736-2023</t>
        </is>
      </c>
      <c r="B86" s="1" t="n">
        <v>45077</v>
      </c>
      <c r="C86" s="1" t="n">
        <v>46200</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27113-2024</t>
        </is>
      </c>
      <c r="B87" s="1" t="n">
        <v>45471</v>
      </c>
      <c r="C87" s="1" t="n">
        <v>46200</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4209-2023</t>
        </is>
      </c>
      <c r="B88" s="1" t="n">
        <v>44953</v>
      </c>
      <c r="C88" s="1" t="n">
        <v>46200</v>
      </c>
      <c r="D88" t="inlineStr">
        <is>
          <t>DALARNAS LÄN</t>
        </is>
      </c>
      <c r="E88" t="inlineStr">
        <is>
          <t>MORA</t>
        </is>
      </c>
      <c r="G88" t="n">
        <v>1</v>
      </c>
      <c r="H88" t="n">
        <v>1</v>
      </c>
      <c r="I88" t="n">
        <v>0</v>
      </c>
      <c r="J88" t="n">
        <v>0</v>
      </c>
      <c r="K88" t="n">
        <v>0</v>
      </c>
      <c r="L88" t="n">
        <v>0</v>
      </c>
      <c r="M88" t="n">
        <v>0</v>
      </c>
      <c r="N88" t="n">
        <v>0</v>
      </c>
      <c r="O88" t="n">
        <v>0</v>
      </c>
      <c r="P88" t="n">
        <v>0</v>
      </c>
      <c r="Q88" t="n">
        <v>1</v>
      </c>
      <c r="R88" s="2" t="inlineStr">
        <is>
          <t>Utter</t>
        </is>
      </c>
      <c r="S88">
        <f>HYPERLINK("https://klasma.github.io/Logging_2062/artfynd/A 4209-2023 artfynd.xlsx", "A 4209-2023")</f>
        <v/>
      </c>
      <c r="T88">
        <f>HYPERLINK("https://klasma.github.io/Logging_2062/kartor/A 4209-2023 karta.png", "A 4209-2023")</f>
        <v/>
      </c>
      <c r="V88">
        <f>HYPERLINK("https://klasma.github.io/Logging_2062/klagomål/A 4209-2023 FSC-klagomål.docx", "A 4209-2023")</f>
        <v/>
      </c>
      <c r="W88">
        <f>HYPERLINK("https://klasma.github.io/Logging_2062/klagomålsmail/A 4209-2023 FSC-klagomål mail.docx", "A 4209-2023")</f>
        <v/>
      </c>
      <c r="X88">
        <f>HYPERLINK("https://klasma.github.io/Logging_2062/tillsyn/A 4209-2023 tillsynsbegäran.docx", "A 4209-2023")</f>
        <v/>
      </c>
      <c r="Y88">
        <f>HYPERLINK("https://klasma.github.io/Logging_2062/tillsynsmail/A 4209-2023 tillsynsbegäran mail.docx", "A 4209-2023")</f>
        <v/>
      </c>
    </row>
    <row r="89" ht="15" customHeight="1">
      <c r="A89" t="inlineStr">
        <is>
          <t>A 30087-2025</t>
        </is>
      </c>
      <c r="B89" s="1" t="n">
        <v>45826</v>
      </c>
      <c r="C89" s="1" t="n">
        <v>46200</v>
      </c>
      <c r="D89" t="inlineStr">
        <is>
          <t>DALARNAS LÄN</t>
        </is>
      </c>
      <c r="E89" t="inlineStr">
        <is>
          <t>MORA</t>
        </is>
      </c>
      <c r="G89" t="n">
        <v>1.6</v>
      </c>
      <c r="H89" t="n">
        <v>1</v>
      </c>
      <c r="I89" t="n">
        <v>0</v>
      </c>
      <c r="J89" t="n">
        <v>0</v>
      </c>
      <c r="K89" t="n">
        <v>0</v>
      </c>
      <c r="L89" t="n">
        <v>0</v>
      </c>
      <c r="M89" t="n">
        <v>0</v>
      </c>
      <c r="N89" t="n">
        <v>0</v>
      </c>
      <c r="O89" t="n">
        <v>0</v>
      </c>
      <c r="P89" t="n">
        <v>0</v>
      </c>
      <c r="Q89" t="n">
        <v>1</v>
      </c>
      <c r="R89" s="2" t="inlineStr">
        <is>
          <t>Slaguggla</t>
        </is>
      </c>
      <c r="S89">
        <f>HYPERLINK("https://klasma.github.io/Logging_2062/artfynd/A 30087-2025 artfynd.xlsx", "A 30087-2025")</f>
        <v/>
      </c>
      <c r="T89">
        <f>HYPERLINK("https://klasma.github.io/Logging_2062/kartor/A 30087-2025 karta.png", "A 30087-2025")</f>
        <v/>
      </c>
      <c r="V89">
        <f>HYPERLINK("https://klasma.github.io/Logging_2062/klagomål/A 30087-2025 FSC-klagomål.docx", "A 30087-2025")</f>
        <v/>
      </c>
      <c r="W89">
        <f>HYPERLINK("https://klasma.github.io/Logging_2062/klagomålsmail/A 30087-2025 FSC-klagomål mail.docx", "A 30087-2025")</f>
        <v/>
      </c>
      <c r="X89">
        <f>HYPERLINK("https://klasma.github.io/Logging_2062/tillsyn/A 30087-2025 tillsynsbegäran.docx", "A 30087-2025")</f>
        <v/>
      </c>
      <c r="Y89">
        <f>HYPERLINK("https://klasma.github.io/Logging_2062/tillsynsmail/A 30087-2025 tillsynsbegäran mail.docx", "A 30087-2025")</f>
        <v/>
      </c>
      <c r="Z89">
        <f>HYPERLINK("https://klasma.github.io/Logging_2062/fåglar/A 30087-2025 prioriterade fågelarter.docx", "A 30087-2025")</f>
        <v/>
      </c>
    </row>
    <row r="90" ht="15" customHeight="1">
      <c r="A90" t="inlineStr">
        <is>
          <t>A 11463-2024</t>
        </is>
      </c>
      <c r="B90" s="1" t="n">
        <v>45372</v>
      </c>
      <c r="C90" s="1" t="n">
        <v>46200</v>
      </c>
      <c r="D90" t="inlineStr">
        <is>
          <t>DALARNAS LÄN</t>
        </is>
      </c>
      <c r="E90" t="inlineStr">
        <is>
          <t>MORA</t>
        </is>
      </c>
      <c r="F90" t="inlineStr">
        <is>
          <t>Bergvik skog väst AB</t>
        </is>
      </c>
      <c r="G90" t="n">
        <v>1.8</v>
      </c>
      <c r="H90" t="n">
        <v>0</v>
      </c>
      <c r="I90" t="n">
        <v>0</v>
      </c>
      <c r="J90" t="n">
        <v>1</v>
      </c>
      <c r="K90" t="n">
        <v>0</v>
      </c>
      <c r="L90" t="n">
        <v>0</v>
      </c>
      <c r="M90" t="n">
        <v>0</v>
      </c>
      <c r="N90" t="n">
        <v>0</v>
      </c>
      <c r="O90" t="n">
        <v>1</v>
      </c>
      <c r="P90" t="n">
        <v>0</v>
      </c>
      <c r="Q90" t="n">
        <v>1</v>
      </c>
      <c r="R90" s="2" t="inlineStr">
        <is>
          <t>Älg</t>
        </is>
      </c>
      <c r="S90">
        <f>HYPERLINK("https://klasma.github.io/Logging_2062/artfynd/A 11463-2024 artfynd.xlsx", "A 11463-2024")</f>
        <v/>
      </c>
      <c r="T90">
        <f>HYPERLINK("https://klasma.github.io/Logging_2062/kartor/A 11463-2024 karta.png", "A 11463-2024")</f>
        <v/>
      </c>
      <c r="V90">
        <f>HYPERLINK("https://klasma.github.io/Logging_2062/klagomål/A 11463-2024 FSC-klagomål.docx", "A 11463-2024")</f>
        <v/>
      </c>
      <c r="W90">
        <f>HYPERLINK("https://klasma.github.io/Logging_2062/klagomålsmail/A 11463-2024 FSC-klagomål mail.docx", "A 11463-2024")</f>
        <v/>
      </c>
      <c r="X90">
        <f>HYPERLINK("https://klasma.github.io/Logging_2062/tillsyn/A 11463-2024 tillsynsbegäran.docx", "A 11463-2024")</f>
        <v/>
      </c>
      <c r="Y90">
        <f>HYPERLINK("https://klasma.github.io/Logging_2062/tillsynsmail/A 11463-2024 tillsynsbegäran mail.docx", "A 11463-2024")</f>
        <v/>
      </c>
    </row>
    <row r="91" ht="15" customHeight="1">
      <c r="A91" t="inlineStr">
        <is>
          <t>A 54903-2024</t>
        </is>
      </c>
      <c r="B91" s="1" t="n">
        <v>45618</v>
      </c>
      <c r="C91" s="1" t="n">
        <v>46200</v>
      </c>
      <c r="D91" t="inlineStr">
        <is>
          <t>DALARNAS LÄN</t>
        </is>
      </c>
      <c r="E91" t="inlineStr">
        <is>
          <t>MORA</t>
        </is>
      </c>
      <c r="G91" t="n">
        <v>28.2</v>
      </c>
      <c r="H91" t="n">
        <v>0</v>
      </c>
      <c r="I91" t="n">
        <v>0</v>
      </c>
      <c r="J91" t="n">
        <v>0</v>
      </c>
      <c r="K91" t="n">
        <v>1</v>
      </c>
      <c r="L91" t="n">
        <v>0</v>
      </c>
      <c r="M91" t="n">
        <v>0</v>
      </c>
      <c r="N91" t="n">
        <v>0</v>
      </c>
      <c r="O91" t="n">
        <v>1</v>
      </c>
      <c r="P91" t="n">
        <v>1</v>
      </c>
      <c r="Q91" t="n">
        <v>1</v>
      </c>
      <c r="R91" s="2" t="inlineStr">
        <is>
          <t>Igelkott</t>
        </is>
      </c>
      <c r="S91">
        <f>HYPERLINK("https://klasma.github.io/Logging_2062/artfynd/A 54903-2024 artfynd.xlsx", "A 54903-2024")</f>
        <v/>
      </c>
      <c r="T91">
        <f>HYPERLINK("https://klasma.github.io/Logging_2062/kartor/A 54903-2024 karta.png", "A 54903-2024")</f>
        <v/>
      </c>
      <c r="V91">
        <f>HYPERLINK("https://klasma.github.io/Logging_2062/klagomål/A 54903-2024 FSC-klagomål.docx", "A 54903-2024")</f>
        <v/>
      </c>
      <c r="W91">
        <f>HYPERLINK("https://klasma.github.io/Logging_2062/klagomålsmail/A 54903-2024 FSC-klagomål mail.docx", "A 54903-2024")</f>
        <v/>
      </c>
      <c r="X91">
        <f>HYPERLINK("https://klasma.github.io/Logging_2062/tillsyn/A 54903-2024 tillsynsbegäran.docx", "A 54903-2024")</f>
        <v/>
      </c>
      <c r="Y91">
        <f>HYPERLINK("https://klasma.github.io/Logging_2062/tillsynsmail/A 54903-2024 tillsynsbegäran mail.docx", "A 54903-2024")</f>
        <v/>
      </c>
    </row>
    <row r="92" ht="15" customHeight="1">
      <c r="A92" t="inlineStr">
        <is>
          <t>A 27975-2023</t>
        </is>
      </c>
      <c r="B92" s="1" t="n">
        <v>45098</v>
      </c>
      <c r="C92" s="1" t="n">
        <v>46200</v>
      </c>
      <c r="D92" t="inlineStr">
        <is>
          <t>DALARNAS LÄN</t>
        </is>
      </c>
      <c r="E92" t="inlineStr">
        <is>
          <t>MORA</t>
        </is>
      </c>
      <c r="G92" t="n">
        <v>1.1</v>
      </c>
      <c r="H92" t="n">
        <v>0</v>
      </c>
      <c r="I92" t="n">
        <v>0</v>
      </c>
      <c r="J92" t="n">
        <v>1</v>
      </c>
      <c r="K92" t="n">
        <v>0</v>
      </c>
      <c r="L92" t="n">
        <v>0</v>
      </c>
      <c r="M92" t="n">
        <v>0</v>
      </c>
      <c r="N92" t="n">
        <v>0</v>
      </c>
      <c r="O92" t="n">
        <v>1</v>
      </c>
      <c r="P92" t="n">
        <v>0</v>
      </c>
      <c r="Q92" t="n">
        <v>1</v>
      </c>
      <c r="R92" s="2" t="inlineStr">
        <is>
          <t>Tallticka</t>
        </is>
      </c>
      <c r="S92">
        <f>HYPERLINK("https://klasma.github.io/Logging_2062/artfynd/A 27975-2023 artfynd.xlsx", "A 27975-2023")</f>
        <v/>
      </c>
      <c r="T92">
        <f>HYPERLINK("https://klasma.github.io/Logging_2062/kartor/A 27975-2023 karta.png", "A 27975-2023")</f>
        <v/>
      </c>
      <c r="V92">
        <f>HYPERLINK("https://klasma.github.io/Logging_2062/klagomål/A 27975-2023 FSC-klagomål.docx", "A 27975-2023")</f>
        <v/>
      </c>
      <c r="W92">
        <f>HYPERLINK("https://klasma.github.io/Logging_2062/klagomålsmail/A 27975-2023 FSC-klagomål mail.docx", "A 27975-2023")</f>
        <v/>
      </c>
      <c r="X92">
        <f>HYPERLINK("https://klasma.github.io/Logging_2062/tillsyn/A 27975-2023 tillsynsbegäran.docx", "A 27975-2023")</f>
        <v/>
      </c>
      <c r="Y92">
        <f>HYPERLINK("https://klasma.github.io/Logging_2062/tillsynsmail/A 27975-2023 tillsynsbegäran mail.docx", "A 27975-2023")</f>
        <v/>
      </c>
    </row>
    <row r="93" ht="15" customHeight="1">
      <c r="A93" t="inlineStr">
        <is>
          <t>A 45344-2024</t>
        </is>
      </c>
      <c r="B93" s="1" t="n">
        <v>45576</v>
      </c>
      <c r="C93" s="1" t="n">
        <v>46200</v>
      </c>
      <c r="D93" t="inlineStr">
        <is>
          <t>DALARNAS LÄN</t>
        </is>
      </c>
      <c r="E93" t="inlineStr">
        <is>
          <t>MORA</t>
        </is>
      </c>
      <c r="G93" t="n">
        <v>0.9</v>
      </c>
      <c r="H93" t="n">
        <v>0</v>
      </c>
      <c r="I93" t="n">
        <v>0</v>
      </c>
      <c r="J93" t="n">
        <v>0</v>
      </c>
      <c r="K93" t="n">
        <v>1</v>
      </c>
      <c r="L93" t="n">
        <v>0</v>
      </c>
      <c r="M93" t="n">
        <v>0</v>
      </c>
      <c r="N93" t="n">
        <v>0</v>
      </c>
      <c r="O93" t="n">
        <v>1</v>
      </c>
      <c r="P93" t="n">
        <v>1</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5304-2023</t>
        </is>
      </c>
      <c r="B94" s="1" t="n">
        <v>44959</v>
      </c>
      <c r="C94" s="1" t="n">
        <v>46200</v>
      </c>
      <c r="D94" t="inlineStr">
        <is>
          <t>DALARNAS LÄN</t>
        </is>
      </c>
      <c r="E94" t="inlineStr">
        <is>
          <t>MORA</t>
        </is>
      </c>
      <c r="F94" t="inlineStr">
        <is>
          <t>Bergvik skog väst AB</t>
        </is>
      </c>
      <c r="G94" t="n">
        <v>7.3</v>
      </c>
      <c r="H94" t="n">
        <v>0</v>
      </c>
      <c r="I94" t="n">
        <v>0</v>
      </c>
      <c r="J94" t="n">
        <v>1</v>
      </c>
      <c r="K94" t="n">
        <v>0</v>
      </c>
      <c r="L94" t="n">
        <v>0</v>
      </c>
      <c r="M94" t="n">
        <v>0</v>
      </c>
      <c r="N94" t="n">
        <v>0</v>
      </c>
      <c r="O94" t="n">
        <v>1</v>
      </c>
      <c r="P94" t="n">
        <v>0</v>
      </c>
      <c r="Q94" t="n">
        <v>1</v>
      </c>
      <c r="R94" s="2" t="inlineStr">
        <is>
          <t>Backruta</t>
        </is>
      </c>
      <c r="S94">
        <f>HYPERLINK("https://klasma.github.io/Logging_2062/artfynd/A 5304-2023 artfynd.xlsx", "A 5304-2023")</f>
        <v/>
      </c>
      <c r="T94">
        <f>HYPERLINK("https://klasma.github.io/Logging_2062/kartor/A 5304-2023 karta.png", "A 5304-2023")</f>
        <v/>
      </c>
      <c r="V94">
        <f>HYPERLINK("https://klasma.github.io/Logging_2062/klagomål/A 5304-2023 FSC-klagomål.docx", "A 5304-2023")</f>
        <v/>
      </c>
      <c r="W94">
        <f>HYPERLINK("https://klasma.github.io/Logging_2062/klagomålsmail/A 5304-2023 FSC-klagomål mail.docx", "A 5304-2023")</f>
        <v/>
      </c>
      <c r="X94">
        <f>HYPERLINK("https://klasma.github.io/Logging_2062/tillsyn/A 5304-2023 tillsynsbegäran.docx", "A 5304-2023")</f>
        <v/>
      </c>
      <c r="Y94">
        <f>HYPERLINK("https://klasma.github.io/Logging_2062/tillsynsmail/A 5304-2023 tillsynsbegäran mail.docx", "A 5304-2023")</f>
        <v/>
      </c>
    </row>
    <row r="95" ht="15" customHeight="1">
      <c r="A95" t="inlineStr">
        <is>
          <t>A 62096-2025</t>
        </is>
      </c>
      <c r="B95" s="1" t="n">
        <v>46006</v>
      </c>
      <c r="C95" s="1" t="n">
        <v>46200</v>
      </c>
      <c r="D95" t="inlineStr">
        <is>
          <t>DALARNAS LÄN</t>
        </is>
      </c>
      <c r="E95" t="inlineStr">
        <is>
          <t>MORA</t>
        </is>
      </c>
      <c r="G95" t="n">
        <v>4.1</v>
      </c>
      <c r="H95" t="n">
        <v>0</v>
      </c>
      <c r="I95" t="n">
        <v>0</v>
      </c>
      <c r="J95" t="n">
        <v>0</v>
      </c>
      <c r="K95" t="n">
        <v>1</v>
      </c>
      <c r="L95" t="n">
        <v>0</v>
      </c>
      <c r="M95" t="n">
        <v>0</v>
      </c>
      <c r="N95" t="n">
        <v>0</v>
      </c>
      <c r="O95" t="n">
        <v>1</v>
      </c>
      <c r="P95" t="n">
        <v>1</v>
      </c>
      <c r="Q95" t="n">
        <v>1</v>
      </c>
      <c r="R95" s="2" t="inlineStr">
        <is>
          <t>Garnlav</t>
        </is>
      </c>
      <c r="S95">
        <f>HYPERLINK("https://klasma.github.io/Logging_2062/artfynd/A 62096-2025 artfynd.xlsx", "A 62096-2025")</f>
        <v/>
      </c>
      <c r="T95">
        <f>HYPERLINK("https://klasma.github.io/Logging_2062/kartor/A 62096-2025 karta.png", "A 62096-2025")</f>
        <v/>
      </c>
      <c r="V95">
        <f>HYPERLINK("https://klasma.github.io/Logging_2062/klagomål/A 62096-2025 FSC-klagomål.docx", "A 62096-2025")</f>
        <v/>
      </c>
      <c r="W95">
        <f>HYPERLINK("https://klasma.github.io/Logging_2062/klagomålsmail/A 62096-2025 FSC-klagomål mail.docx", "A 62096-2025")</f>
        <v/>
      </c>
      <c r="X95">
        <f>HYPERLINK("https://klasma.github.io/Logging_2062/tillsyn/A 62096-2025 tillsynsbegäran.docx", "A 62096-2025")</f>
        <v/>
      </c>
      <c r="Y95">
        <f>HYPERLINK("https://klasma.github.io/Logging_2062/tillsynsmail/A 62096-2025 tillsynsbegäran mail.docx", "A 62096-2025")</f>
        <v/>
      </c>
    </row>
    <row r="96" ht="15" customHeight="1">
      <c r="A96" t="inlineStr">
        <is>
          <t>A 665-2026</t>
        </is>
      </c>
      <c r="B96" s="1" t="n">
        <v>46029</v>
      </c>
      <c r="C96" s="1" t="n">
        <v>46200</v>
      </c>
      <c r="D96" t="inlineStr">
        <is>
          <t>DALARNAS LÄN</t>
        </is>
      </c>
      <c r="E96" t="inlineStr">
        <is>
          <t>MORA</t>
        </is>
      </c>
      <c r="F96" t="inlineStr">
        <is>
          <t>Kommuner</t>
        </is>
      </c>
      <c r="G96" t="n">
        <v>20.9</v>
      </c>
      <c r="H96" t="n">
        <v>1</v>
      </c>
      <c r="I96" t="n">
        <v>0</v>
      </c>
      <c r="J96" t="n">
        <v>0</v>
      </c>
      <c r="K96" t="n">
        <v>0</v>
      </c>
      <c r="L96" t="n">
        <v>0</v>
      </c>
      <c r="M96" t="n">
        <v>0</v>
      </c>
      <c r="N96" t="n">
        <v>0</v>
      </c>
      <c r="O96" t="n">
        <v>0</v>
      </c>
      <c r="P96" t="n">
        <v>0</v>
      </c>
      <c r="Q96" t="n">
        <v>1</v>
      </c>
      <c r="R96" s="2" t="inlineStr">
        <is>
          <t>Fläcknycklar</t>
        </is>
      </c>
      <c r="S96">
        <f>HYPERLINK("https://klasma.github.io/Logging_2062/artfynd/A 665-2026 artfynd.xlsx", "A 665-2026")</f>
        <v/>
      </c>
      <c r="T96">
        <f>HYPERLINK("https://klasma.github.io/Logging_2062/kartor/A 665-2026 karta.png", "A 665-2026")</f>
        <v/>
      </c>
      <c r="V96">
        <f>HYPERLINK("https://klasma.github.io/Logging_2062/klagomål/A 665-2026 FSC-klagomål.docx", "A 665-2026")</f>
        <v/>
      </c>
      <c r="W96">
        <f>HYPERLINK("https://klasma.github.io/Logging_2062/klagomålsmail/A 665-2026 FSC-klagomål mail.docx", "A 665-2026")</f>
        <v/>
      </c>
      <c r="X96">
        <f>HYPERLINK("https://klasma.github.io/Logging_2062/tillsyn/A 665-2026 tillsynsbegäran.docx", "A 665-2026")</f>
        <v/>
      </c>
      <c r="Y96">
        <f>HYPERLINK("https://klasma.github.io/Logging_2062/tillsynsmail/A 665-2026 tillsynsbegäran mail.docx", "A 665-2026")</f>
        <v/>
      </c>
    </row>
    <row r="97" ht="15" customHeight="1">
      <c r="A97" t="inlineStr">
        <is>
          <t>A 18984-2026</t>
        </is>
      </c>
      <c r="B97" s="1" t="n">
        <v>46129</v>
      </c>
      <c r="C97" s="1" t="n">
        <v>46200</v>
      </c>
      <c r="D97" t="inlineStr">
        <is>
          <t>DALARNAS LÄN</t>
        </is>
      </c>
      <c r="E97" t="inlineStr">
        <is>
          <t>MORA</t>
        </is>
      </c>
      <c r="F97" t="inlineStr">
        <is>
          <t>Bergvik skog öst AB</t>
        </is>
      </c>
      <c r="G97" t="n">
        <v>9.5</v>
      </c>
      <c r="H97" t="n">
        <v>1</v>
      </c>
      <c r="I97" t="n">
        <v>0</v>
      </c>
      <c r="J97" t="n">
        <v>0</v>
      </c>
      <c r="K97" t="n">
        <v>0</v>
      </c>
      <c r="L97" t="n">
        <v>0</v>
      </c>
      <c r="M97" t="n">
        <v>0</v>
      </c>
      <c r="N97" t="n">
        <v>0</v>
      </c>
      <c r="O97" t="n">
        <v>0</v>
      </c>
      <c r="P97" t="n">
        <v>0</v>
      </c>
      <c r="Q97" t="n">
        <v>1</v>
      </c>
      <c r="R97" s="2" t="inlineStr">
        <is>
          <t>Tjäder</t>
        </is>
      </c>
      <c r="S97">
        <f>HYPERLINK("https://klasma.github.io/Logging_2062/artfynd/A 18984-2026 artfynd.xlsx", "A 18984-2026")</f>
        <v/>
      </c>
      <c r="T97">
        <f>HYPERLINK("https://klasma.github.io/Logging_2062/kartor/A 18984-2026 karta.png", "A 18984-2026")</f>
        <v/>
      </c>
      <c r="V97">
        <f>HYPERLINK("https://klasma.github.io/Logging_2062/klagomål/A 18984-2026 FSC-klagomål.docx", "A 18984-2026")</f>
        <v/>
      </c>
      <c r="W97">
        <f>HYPERLINK("https://klasma.github.io/Logging_2062/klagomålsmail/A 18984-2026 FSC-klagomål mail.docx", "A 18984-2026")</f>
        <v/>
      </c>
      <c r="X97">
        <f>HYPERLINK("https://klasma.github.io/Logging_2062/tillsyn/A 18984-2026 tillsynsbegäran.docx", "A 18984-2026")</f>
        <v/>
      </c>
      <c r="Y97">
        <f>HYPERLINK("https://klasma.github.io/Logging_2062/tillsynsmail/A 18984-2026 tillsynsbegäran mail.docx", "A 18984-2026")</f>
        <v/>
      </c>
      <c r="Z97">
        <f>HYPERLINK("https://klasma.github.io/Logging_2062/fåglar/A 18984-2026 prioriterade fågelarter.docx", "A 18984-2026")</f>
        <v/>
      </c>
    </row>
    <row r="98" ht="15" customHeight="1">
      <c r="A98" t="inlineStr">
        <is>
          <t>A 73930-2021</t>
        </is>
      </c>
      <c r="B98" s="1" t="n">
        <v>44553</v>
      </c>
      <c r="C98" s="1" t="n">
        <v>46200</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42505-2021</t>
        </is>
      </c>
      <c r="B99" s="1" t="n">
        <v>44427</v>
      </c>
      <c r="C99" s="1" t="n">
        <v>46200</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46200</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46200</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v>
      </c>
      <c r="C102" s="1" t="n">
        <v>46200</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72648-2021</t>
        </is>
      </c>
      <c r="B103" s="1" t="n">
        <v>44546</v>
      </c>
      <c r="C103" s="1" t="n">
        <v>46200</v>
      </c>
      <c r="D103" t="inlineStr">
        <is>
          <t>DALARNAS LÄN</t>
        </is>
      </c>
      <c r="E103" t="inlineStr">
        <is>
          <t>MORA</t>
        </is>
      </c>
      <c r="G103" t="n">
        <v>0.2</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46200</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v>
      </c>
      <c r="C105" s="1" t="n">
        <v>46200</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21273-2022</t>
        </is>
      </c>
      <c r="B106" s="1" t="n">
        <v>44705</v>
      </c>
      <c r="C106" s="1" t="n">
        <v>46200</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43944-2022</t>
        </is>
      </c>
      <c r="B107" s="1" t="n">
        <v>44838</v>
      </c>
      <c r="C107" s="1" t="n">
        <v>46200</v>
      </c>
      <c r="D107" t="inlineStr">
        <is>
          <t>DALARNAS LÄN</t>
        </is>
      </c>
      <c r="E107" t="inlineStr">
        <is>
          <t>MORA</t>
        </is>
      </c>
      <c r="F107" t="inlineStr">
        <is>
          <t>Bergvik skog öst AB</t>
        </is>
      </c>
      <c r="G107" t="n">
        <v>1.1</v>
      </c>
      <c r="H107" t="n">
        <v>0</v>
      </c>
      <c r="I107" t="n">
        <v>0</v>
      </c>
      <c r="J107" t="n">
        <v>0</v>
      </c>
      <c r="K107" t="n">
        <v>0</v>
      </c>
      <c r="L107" t="n">
        <v>0</v>
      </c>
      <c r="M107" t="n">
        <v>0</v>
      </c>
      <c r="N107" t="n">
        <v>0</v>
      </c>
      <c r="O107" t="n">
        <v>0</v>
      </c>
      <c r="P107" t="n">
        <v>0</v>
      </c>
      <c r="Q107" t="n">
        <v>0</v>
      </c>
      <c r="R107" s="2" t="inlineStr"/>
    </row>
    <row r="108" ht="15" customHeight="1">
      <c r="A108" t="inlineStr">
        <is>
          <t>A 49583-2021</t>
        </is>
      </c>
      <c r="B108" s="1" t="n">
        <v>44455</v>
      </c>
      <c r="C108" s="1" t="n">
        <v>46200</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41032-2021</t>
        </is>
      </c>
      <c r="B109" s="1" t="n">
        <v>44421</v>
      </c>
      <c r="C109" s="1" t="n">
        <v>46200</v>
      </c>
      <c r="D109" t="inlineStr">
        <is>
          <t>DALARNAS LÄN</t>
        </is>
      </c>
      <c r="E109" t="inlineStr">
        <is>
          <t>MORA</t>
        </is>
      </c>
      <c r="G109" t="n">
        <v>4.1</v>
      </c>
      <c r="H109" t="n">
        <v>0</v>
      </c>
      <c r="I109" t="n">
        <v>0</v>
      </c>
      <c r="J109" t="n">
        <v>0</v>
      </c>
      <c r="K109" t="n">
        <v>0</v>
      </c>
      <c r="L109" t="n">
        <v>0</v>
      </c>
      <c r="M109" t="n">
        <v>0</v>
      </c>
      <c r="N109" t="n">
        <v>0</v>
      </c>
      <c r="O109" t="n">
        <v>0</v>
      </c>
      <c r="P109" t="n">
        <v>0</v>
      </c>
      <c r="Q109" t="n">
        <v>0</v>
      </c>
      <c r="R109" s="2" t="inlineStr"/>
    </row>
    <row r="110" ht="15" customHeight="1">
      <c r="A110" t="inlineStr">
        <is>
          <t>A 65527-2021</t>
        </is>
      </c>
      <c r="B110" s="1" t="n">
        <v>44516</v>
      </c>
      <c r="C110" s="1" t="n">
        <v>46200</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39672-2021</t>
        </is>
      </c>
      <c r="B111" s="1" t="n">
        <v>44417</v>
      </c>
      <c r="C111" s="1" t="n">
        <v>46200</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46200</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43458-2021</t>
        </is>
      </c>
      <c r="B113" s="1" t="n">
        <v>44432</v>
      </c>
      <c r="C113" s="1" t="n">
        <v>46200</v>
      </c>
      <c r="D113" t="inlineStr">
        <is>
          <t>DALARNAS LÄN</t>
        </is>
      </c>
      <c r="E113" t="inlineStr">
        <is>
          <t>MORA</t>
        </is>
      </c>
      <c r="G113" t="n">
        <v>2.4</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46200</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v>
      </c>
      <c r="C115" s="1" t="n">
        <v>46200</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v>
      </c>
      <c r="C116" s="1" t="n">
        <v>46200</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52573-2021</t>
        </is>
      </c>
      <c r="B117" s="1" t="n">
        <v>44466</v>
      </c>
      <c r="C117" s="1" t="n">
        <v>46200</v>
      </c>
      <c r="D117" t="inlineStr">
        <is>
          <t>DALARNAS LÄN</t>
        </is>
      </c>
      <c r="E117" t="inlineStr">
        <is>
          <t>MORA</t>
        </is>
      </c>
      <c r="G117" t="n">
        <v>0.8</v>
      </c>
      <c r="H117" t="n">
        <v>0</v>
      </c>
      <c r="I117" t="n">
        <v>0</v>
      </c>
      <c r="J117" t="n">
        <v>0</v>
      </c>
      <c r="K117" t="n">
        <v>0</v>
      </c>
      <c r="L117" t="n">
        <v>0</v>
      </c>
      <c r="M117" t="n">
        <v>0</v>
      </c>
      <c r="N117" t="n">
        <v>0</v>
      </c>
      <c r="O117" t="n">
        <v>0</v>
      </c>
      <c r="P117" t="n">
        <v>0</v>
      </c>
      <c r="Q117" t="n">
        <v>0</v>
      </c>
      <c r="R117" s="2" t="inlineStr"/>
    </row>
    <row r="118" ht="15" customHeight="1">
      <c r="A118" t="inlineStr">
        <is>
          <t>A 16706-2022</t>
        </is>
      </c>
      <c r="B118" s="1" t="n">
        <v>44673</v>
      </c>
      <c r="C118" s="1" t="n">
        <v>46200</v>
      </c>
      <c r="D118" t="inlineStr">
        <is>
          <t>DALARNAS LÄN</t>
        </is>
      </c>
      <c r="E118" t="inlineStr">
        <is>
          <t>MORA</t>
        </is>
      </c>
      <c r="G118" t="n">
        <v>9.1</v>
      </c>
      <c r="H118" t="n">
        <v>0</v>
      </c>
      <c r="I118" t="n">
        <v>0</v>
      </c>
      <c r="J118" t="n">
        <v>0</v>
      </c>
      <c r="K118" t="n">
        <v>0</v>
      </c>
      <c r="L118" t="n">
        <v>0</v>
      </c>
      <c r="M118" t="n">
        <v>0</v>
      </c>
      <c r="N118" t="n">
        <v>0</v>
      </c>
      <c r="O118" t="n">
        <v>0</v>
      </c>
      <c r="P118" t="n">
        <v>0</v>
      </c>
      <c r="Q118" t="n">
        <v>0</v>
      </c>
      <c r="R118" s="2" t="inlineStr"/>
    </row>
    <row r="119" ht="15" customHeight="1">
      <c r="A119" t="inlineStr">
        <is>
          <t>A 41763-2021</t>
        </is>
      </c>
      <c r="B119" s="1" t="n">
        <v>44425</v>
      </c>
      <c r="C119" s="1" t="n">
        <v>46200</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v>
      </c>
      <c r="C120" s="1" t="n">
        <v>46200</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46200</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v>
      </c>
      <c r="C122" s="1" t="n">
        <v>46200</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46200</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v>
      </c>
      <c r="C124" s="1" t="n">
        <v>46200</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27461-2022</t>
        </is>
      </c>
      <c r="B125" s="1" t="n">
        <v>44742</v>
      </c>
      <c r="C125" s="1" t="n">
        <v>46200</v>
      </c>
      <c r="D125" t="inlineStr">
        <is>
          <t>DALARNAS LÄN</t>
        </is>
      </c>
      <c r="E125" t="inlineStr">
        <is>
          <t>MORA</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v>
      </c>
      <c r="C126" s="1" t="n">
        <v>46200</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58690-2021</t>
        </is>
      </c>
      <c r="B127" s="1" t="n">
        <v>44489</v>
      </c>
      <c r="C127" s="1" t="n">
        <v>46200</v>
      </c>
      <c r="D127" t="inlineStr">
        <is>
          <t>DALARNAS LÄN</t>
        </is>
      </c>
      <c r="E127" t="inlineStr">
        <is>
          <t>MORA</t>
        </is>
      </c>
      <c r="F127" t="inlineStr">
        <is>
          <t>Bergvik skog öst AB</t>
        </is>
      </c>
      <c r="G127" t="n">
        <v>2.6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v>
      </c>
      <c r="C128" s="1" t="n">
        <v>46200</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46200</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v>
      </c>
      <c r="C130" s="1" t="n">
        <v>46200</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46200</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46200</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46200</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v>
      </c>
      <c r="C134" s="1" t="n">
        <v>46200</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v>
      </c>
      <c r="C135" s="1" t="n">
        <v>46200</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34927-2022</t>
        </is>
      </c>
      <c r="B136" s="1" t="n">
        <v>44796</v>
      </c>
      <c r="C136" s="1" t="n">
        <v>46200</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48456-2022</t>
        </is>
      </c>
      <c r="B137" s="1" t="n">
        <v>44858</v>
      </c>
      <c r="C137" s="1" t="n">
        <v>46200</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37771-2022</t>
        </is>
      </c>
      <c r="B138" s="1" t="n">
        <v>44810</v>
      </c>
      <c r="C138" s="1" t="n">
        <v>46200</v>
      </c>
      <c r="D138" t="inlineStr">
        <is>
          <t>DALARNAS LÄN</t>
        </is>
      </c>
      <c r="E138" t="inlineStr">
        <is>
          <t>MORA</t>
        </is>
      </c>
      <c r="G138" t="n">
        <v>0.9</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46200</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46200</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19910-2024</t>
        </is>
      </c>
      <c r="B141" s="1" t="n">
        <v>45433</v>
      </c>
      <c r="C141" s="1" t="n">
        <v>46200</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23300-2024</t>
        </is>
      </c>
      <c r="B142" s="1" t="n">
        <v>45453</v>
      </c>
      <c r="C142" s="1" t="n">
        <v>46200</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v>
      </c>
      <c r="C143" s="1" t="n">
        <v>46200</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9599-2022</t>
        </is>
      </c>
      <c r="B144" s="1" t="n">
        <v>44617</v>
      </c>
      <c r="C144" s="1" t="n">
        <v>46200</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v>
      </c>
      <c r="C145" s="1" t="n">
        <v>46200</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54257-2023</t>
        </is>
      </c>
      <c r="B146" s="1" t="n">
        <v>45232</v>
      </c>
      <c r="C146" s="1" t="n">
        <v>46200</v>
      </c>
      <c r="D146" t="inlineStr">
        <is>
          <t>DALARNAS LÄN</t>
        </is>
      </c>
      <c r="E146" t="inlineStr">
        <is>
          <t>MORA</t>
        </is>
      </c>
      <c r="G146" t="n">
        <v>4</v>
      </c>
      <c r="H146" t="n">
        <v>0</v>
      </c>
      <c r="I146" t="n">
        <v>0</v>
      </c>
      <c r="J146" t="n">
        <v>0</v>
      </c>
      <c r="K146" t="n">
        <v>0</v>
      </c>
      <c r="L146" t="n">
        <v>0</v>
      </c>
      <c r="M146" t="n">
        <v>0</v>
      </c>
      <c r="N146" t="n">
        <v>0</v>
      </c>
      <c r="O146" t="n">
        <v>0</v>
      </c>
      <c r="P146" t="n">
        <v>0</v>
      </c>
      <c r="Q146" t="n">
        <v>0</v>
      </c>
      <c r="R146" s="2" t="inlineStr"/>
    </row>
    <row r="147" ht="15" customHeight="1">
      <c r="A147" t="inlineStr">
        <is>
          <t>A 35287-2024</t>
        </is>
      </c>
      <c r="B147" s="1" t="n">
        <v>45530</v>
      </c>
      <c r="C147" s="1" t="n">
        <v>46200</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8068-2024</t>
        </is>
      </c>
      <c r="B148" s="1" t="n">
        <v>45351</v>
      </c>
      <c r="C148" s="1" t="n">
        <v>46200</v>
      </c>
      <c r="D148" t="inlineStr">
        <is>
          <t>DALARNAS LÄN</t>
        </is>
      </c>
      <c r="E148" t="inlineStr">
        <is>
          <t>MORA</t>
        </is>
      </c>
      <c r="G148" t="n">
        <v>6.4</v>
      </c>
      <c r="H148" t="n">
        <v>0</v>
      </c>
      <c r="I148" t="n">
        <v>0</v>
      </c>
      <c r="J148" t="n">
        <v>0</v>
      </c>
      <c r="K148" t="n">
        <v>0</v>
      </c>
      <c r="L148" t="n">
        <v>0</v>
      </c>
      <c r="M148" t="n">
        <v>0</v>
      </c>
      <c r="N148" t="n">
        <v>0</v>
      </c>
      <c r="O148" t="n">
        <v>0</v>
      </c>
      <c r="P148" t="n">
        <v>0</v>
      </c>
      <c r="Q148" t="n">
        <v>0</v>
      </c>
      <c r="R148" s="2" t="inlineStr"/>
    </row>
    <row r="149" ht="15" customHeight="1">
      <c r="A149" t="inlineStr">
        <is>
          <t>A 8100-2024</t>
        </is>
      </c>
      <c r="B149" s="1" t="n">
        <v>45351</v>
      </c>
      <c r="C149" s="1" t="n">
        <v>46200</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25499-2024</t>
        </is>
      </c>
      <c r="B150" s="1" t="n">
        <v>45463</v>
      </c>
      <c r="C150" s="1" t="n">
        <v>46200</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58958-2022</t>
        </is>
      </c>
      <c r="B151" s="1" t="n">
        <v>44903</v>
      </c>
      <c r="C151" s="1" t="n">
        <v>46200</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v>
      </c>
      <c r="C152" s="1" t="n">
        <v>46200</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5418-2025</t>
        </is>
      </c>
      <c r="B153" s="1" t="n">
        <v>45692</v>
      </c>
      <c r="C153" s="1" t="n">
        <v>46200</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17176-2025</t>
        </is>
      </c>
      <c r="B154" s="1" t="n">
        <v>45756</v>
      </c>
      <c r="C154" s="1" t="n">
        <v>46200</v>
      </c>
      <c r="D154" t="inlineStr">
        <is>
          <t>DALARNAS LÄN</t>
        </is>
      </c>
      <c r="E154" t="inlineStr">
        <is>
          <t>MORA</t>
        </is>
      </c>
      <c r="F154" t="inlineStr">
        <is>
          <t>Bergvik skog öst AB</t>
        </is>
      </c>
      <c r="G154" t="n">
        <v>1.7</v>
      </c>
      <c r="H154" t="n">
        <v>0</v>
      </c>
      <c r="I154" t="n">
        <v>0</v>
      </c>
      <c r="J154" t="n">
        <v>0</v>
      </c>
      <c r="K154" t="n">
        <v>0</v>
      </c>
      <c r="L154" t="n">
        <v>0</v>
      </c>
      <c r="M154" t="n">
        <v>0</v>
      </c>
      <c r="N154" t="n">
        <v>0</v>
      </c>
      <c r="O154" t="n">
        <v>0</v>
      </c>
      <c r="P154" t="n">
        <v>0</v>
      </c>
      <c r="Q154" t="n">
        <v>0</v>
      </c>
      <c r="R154" s="2" t="inlineStr"/>
    </row>
    <row r="155" ht="15" customHeight="1">
      <c r="A155" t="inlineStr">
        <is>
          <t>A 35040-2023</t>
        </is>
      </c>
      <c r="B155" s="1" t="n">
        <v>45145</v>
      </c>
      <c r="C155" s="1" t="n">
        <v>46200</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14744-2022</t>
        </is>
      </c>
      <c r="B156" s="1" t="n">
        <v>44656</v>
      </c>
      <c r="C156" s="1" t="n">
        <v>46200</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18214-2024</t>
        </is>
      </c>
      <c r="B157" s="1" t="n">
        <v>45420</v>
      </c>
      <c r="C157" s="1" t="n">
        <v>46200</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8546-2022</t>
        </is>
      </c>
      <c r="B158" s="1" t="n">
        <v>44613</v>
      </c>
      <c r="C158" s="1" t="n">
        <v>46200</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11442-2022</t>
        </is>
      </c>
      <c r="B159" s="1" t="n">
        <v>44630</v>
      </c>
      <c r="C159" s="1" t="n">
        <v>46200</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52525-2022</t>
        </is>
      </c>
      <c r="B160" s="1" t="n">
        <v>44874</v>
      </c>
      <c r="C160" s="1" t="n">
        <v>46200</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v>
      </c>
      <c r="C161" s="1" t="n">
        <v>46200</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60465-2023</t>
        </is>
      </c>
      <c r="B162" s="1" t="n">
        <v>45259</v>
      </c>
      <c r="C162" s="1" t="n">
        <v>46200</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61654-2024</t>
        </is>
      </c>
      <c r="B163" s="1" t="n">
        <v>45646</v>
      </c>
      <c r="C163" s="1" t="n">
        <v>46200</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60428-2023</t>
        </is>
      </c>
      <c r="B164" s="1" t="n">
        <v>45259</v>
      </c>
      <c r="C164" s="1" t="n">
        <v>46200</v>
      </c>
      <c r="D164" t="inlineStr">
        <is>
          <t>DALARNAS LÄN</t>
        </is>
      </c>
      <c r="E164" t="inlineStr">
        <is>
          <t>MORA</t>
        </is>
      </c>
      <c r="G164" t="n">
        <v>4.9</v>
      </c>
      <c r="H164" t="n">
        <v>0</v>
      </c>
      <c r="I164" t="n">
        <v>0</v>
      </c>
      <c r="J164" t="n">
        <v>0</v>
      </c>
      <c r="K164" t="n">
        <v>0</v>
      </c>
      <c r="L164" t="n">
        <v>0</v>
      </c>
      <c r="M164" t="n">
        <v>0</v>
      </c>
      <c r="N164" t="n">
        <v>0</v>
      </c>
      <c r="O164" t="n">
        <v>0</v>
      </c>
      <c r="P164" t="n">
        <v>0</v>
      </c>
      <c r="Q164" t="n">
        <v>0</v>
      </c>
      <c r="R164" s="2" t="inlineStr"/>
    </row>
    <row r="165" ht="15" customHeight="1">
      <c r="A165" t="inlineStr">
        <is>
          <t>A 2308-2023</t>
        </is>
      </c>
      <c r="B165" s="1" t="n">
        <v>44942</v>
      </c>
      <c r="C165" s="1" t="n">
        <v>46200</v>
      </c>
      <c r="D165" t="inlineStr">
        <is>
          <t>DALARNAS LÄN</t>
        </is>
      </c>
      <c r="E165" t="inlineStr">
        <is>
          <t>MORA</t>
        </is>
      </c>
      <c r="G165" t="n">
        <v>2.2</v>
      </c>
      <c r="H165" t="n">
        <v>0</v>
      </c>
      <c r="I165" t="n">
        <v>0</v>
      </c>
      <c r="J165" t="n">
        <v>0</v>
      </c>
      <c r="K165" t="n">
        <v>0</v>
      </c>
      <c r="L165" t="n">
        <v>0</v>
      </c>
      <c r="M165" t="n">
        <v>0</v>
      </c>
      <c r="N165" t="n">
        <v>0</v>
      </c>
      <c r="O165" t="n">
        <v>0</v>
      </c>
      <c r="P165" t="n">
        <v>0</v>
      </c>
      <c r="Q165" t="n">
        <v>0</v>
      </c>
      <c r="R165" s="2" t="inlineStr"/>
    </row>
    <row r="166" ht="15" customHeight="1">
      <c r="A166" t="inlineStr">
        <is>
          <t>A 43874-2024</t>
        </is>
      </c>
      <c r="B166" s="1" t="n">
        <v>45572</v>
      </c>
      <c r="C166" s="1" t="n">
        <v>46200</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60099-2024</t>
        </is>
      </c>
      <c r="B167" s="1" t="n">
        <v>45642</v>
      </c>
      <c r="C167" s="1" t="n">
        <v>46200</v>
      </c>
      <c r="D167" t="inlineStr">
        <is>
          <t>DALARNAS LÄN</t>
        </is>
      </c>
      <c r="E167" t="inlineStr">
        <is>
          <t>MORA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53159-2024</t>
        </is>
      </c>
      <c r="B168" s="1" t="n">
        <v>45611</v>
      </c>
      <c r="C168" s="1" t="n">
        <v>46200</v>
      </c>
      <c r="D168" t="inlineStr">
        <is>
          <t>DALARNAS LÄN</t>
        </is>
      </c>
      <c r="E168" t="inlineStr">
        <is>
          <t>MORA</t>
        </is>
      </c>
      <c r="G168" t="n">
        <v>3.3</v>
      </c>
      <c r="H168" t="n">
        <v>0</v>
      </c>
      <c r="I168" t="n">
        <v>0</v>
      </c>
      <c r="J168" t="n">
        <v>0</v>
      </c>
      <c r="K168" t="n">
        <v>0</v>
      </c>
      <c r="L168" t="n">
        <v>0</v>
      </c>
      <c r="M168" t="n">
        <v>0</v>
      </c>
      <c r="N168" t="n">
        <v>0</v>
      </c>
      <c r="O168" t="n">
        <v>0</v>
      </c>
      <c r="P168" t="n">
        <v>0</v>
      </c>
      <c r="Q168" t="n">
        <v>0</v>
      </c>
      <c r="R168" s="2" t="inlineStr"/>
    </row>
    <row r="169" ht="15" customHeight="1">
      <c r="A169" t="inlineStr">
        <is>
          <t>A 29754-2022</t>
        </is>
      </c>
      <c r="B169" s="1" t="n">
        <v>44755</v>
      </c>
      <c r="C169" s="1" t="n">
        <v>46200</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44595-2024</t>
        </is>
      </c>
      <c r="B170" s="1" t="n">
        <v>45574</v>
      </c>
      <c r="C170" s="1" t="n">
        <v>46200</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1252-2025</t>
        </is>
      </c>
      <c r="B171" s="1" t="n">
        <v>45667</v>
      </c>
      <c r="C171" s="1" t="n">
        <v>46200</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31929-2024</t>
        </is>
      </c>
      <c r="B172" s="1" t="n">
        <v>45510</v>
      </c>
      <c r="C172" s="1" t="n">
        <v>46200</v>
      </c>
      <c r="D172" t="inlineStr">
        <is>
          <t>DALARNAS LÄN</t>
        </is>
      </c>
      <c r="E172" t="inlineStr">
        <is>
          <t>MORA</t>
        </is>
      </c>
      <c r="G172" t="n">
        <v>10.8</v>
      </c>
      <c r="H172" t="n">
        <v>0</v>
      </c>
      <c r="I172" t="n">
        <v>0</v>
      </c>
      <c r="J172" t="n">
        <v>0</v>
      </c>
      <c r="K172" t="n">
        <v>0</v>
      </c>
      <c r="L172" t="n">
        <v>0</v>
      </c>
      <c r="M172" t="n">
        <v>0</v>
      </c>
      <c r="N172" t="n">
        <v>0</v>
      </c>
      <c r="O172" t="n">
        <v>0</v>
      </c>
      <c r="P172" t="n">
        <v>0</v>
      </c>
      <c r="Q172" t="n">
        <v>0</v>
      </c>
      <c r="R172" s="2" t="inlineStr"/>
    </row>
    <row r="173" ht="15" customHeight="1">
      <c r="A173" t="inlineStr">
        <is>
          <t>A 61293-2022</t>
        </is>
      </c>
      <c r="B173" s="1" t="n">
        <v>44915</v>
      </c>
      <c r="C173" s="1" t="n">
        <v>46200</v>
      </c>
      <c r="D173" t="inlineStr">
        <is>
          <t>DALARNAS LÄN</t>
        </is>
      </c>
      <c r="E173" t="inlineStr">
        <is>
          <t>MORA</t>
        </is>
      </c>
      <c r="G173" t="n">
        <v>0.3</v>
      </c>
      <c r="H173" t="n">
        <v>0</v>
      </c>
      <c r="I173" t="n">
        <v>0</v>
      </c>
      <c r="J173" t="n">
        <v>0</v>
      </c>
      <c r="K173" t="n">
        <v>0</v>
      </c>
      <c r="L173" t="n">
        <v>0</v>
      </c>
      <c r="M173" t="n">
        <v>0</v>
      </c>
      <c r="N173" t="n">
        <v>0</v>
      </c>
      <c r="O173" t="n">
        <v>0</v>
      </c>
      <c r="P173" t="n">
        <v>0</v>
      </c>
      <c r="Q173" t="n">
        <v>0</v>
      </c>
      <c r="R173" s="2" t="inlineStr"/>
    </row>
    <row r="174" ht="15" customHeight="1">
      <c r="A174" t="inlineStr">
        <is>
          <t>A 61405-2023</t>
        </is>
      </c>
      <c r="B174" s="1" t="n">
        <v>45264</v>
      </c>
      <c r="C174" s="1" t="n">
        <v>46200</v>
      </c>
      <c r="D174" t="inlineStr">
        <is>
          <t>DALARNAS LÄN</t>
        </is>
      </c>
      <c r="E174" t="inlineStr">
        <is>
          <t>MORA</t>
        </is>
      </c>
      <c r="G174" t="n">
        <v>0.4</v>
      </c>
      <c r="H174" t="n">
        <v>0</v>
      </c>
      <c r="I174" t="n">
        <v>0</v>
      </c>
      <c r="J174" t="n">
        <v>0</v>
      </c>
      <c r="K174" t="n">
        <v>0</v>
      </c>
      <c r="L174" t="n">
        <v>0</v>
      </c>
      <c r="M174" t="n">
        <v>0</v>
      </c>
      <c r="N174" t="n">
        <v>0</v>
      </c>
      <c r="O174" t="n">
        <v>0</v>
      </c>
      <c r="P174" t="n">
        <v>0</v>
      </c>
      <c r="Q174" t="n">
        <v>0</v>
      </c>
      <c r="R174" s="2" t="inlineStr"/>
    </row>
    <row r="175" ht="15" customHeight="1">
      <c r="A175" t="inlineStr">
        <is>
          <t>A 14832-2025</t>
        </is>
      </c>
      <c r="B175" s="1" t="n">
        <v>45743</v>
      </c>
      <c r="C175" s="1" t="n">
        <v>46200</v>
      </c>
      <c r="D175" t="inlineStr">
        <is>
          <t>DALARNAS LÄN</t>
        </is>
      </c>
      <c r="E175" t="inlineStr">
        <is>
          <t>MORA</t>
        </is>
      </c>
      <c r="G175" t="n">
        <v>9.1</v>
      </c>
      <c r="H175" t="n">
        <v>0</v>
      </c>
      <c r="I175" t="n">
        <v>0</v>
      </c>
      <c r="J175" t="n">
        <v>0</v>
      </c>
      <c r="K175" t="n">
        <v>0</v>
      </c>
      <c r="L175" t="n">
        <v>0</v>
      </c>
      <c r="M175" t="n">
        <v>0</v>
      </c>
      <c r="N175" t="n">
        <v>0</v>
      </c>
      <c r="O175" t="n">
        <v>0</v>
      </c>
      <c r="P175" t="n">
        <v>0</v>
      </c>
      <c r="Q175" t="n">
        <v>0</v>
      </c>
      <c r="R175" s="2" t="inlineStr"/>
    </row>
    <row r="176" ht="15" customHeight="1">
      <c r="A176" t="inlineStr">
        <is>
          <t>A 571-2024</t>
        </is>
      </c>
      <c r="B176" s="1" t="n">
        <v>45299</v>
      </c>
      <c r="C176" s="1" t="n">
        <v>46200</v>
      </c>
      <c r="D176" t="inlineStr">
        <is>
          <t>DALARNAS LÄN</t>
        </is>
      </c>
      <c r="E176" t="inlineStr">
        <is>
          <t>MORA</t>
        </is>
      </c>
      <c r="G176" t="n">
        <v>3.3</v>
      </c>
      <c r="H176" t="n">
        <v>0</v>
      </c>
      <c r="I176" t="n">
        <v>0</v>
      </c>
      <c r="J176" t="n">
        <v>0</v>
      </c>
      <c r="K176" t="n">
        <v>0</v>
      </c>
      <c r="L176" t="n">
        <v>0</v>
      </c>
      <c r="M176" t="n">
        <v>0</v>
      </c>
      <c r="N176" t="n">
        <v>0</v>
      </c>
      <c r="O176" t="n">
        <v>0</v>
      </c>
      <c r="P176" t="n">
        <v>0</v>
      </c>
      <c r="Q176" t="n">
        <v>0</v>
      </c>
      <c r="R176" s="2" t="inlineStr"/>
    </row>
    <row r="177" ht="15" customHeight="1">
      <c r="A177" t="inlineStr">
        <is>
          <t>A 57091-2021</t>
        </is>
      </c>
      <c r="B177" s="1" t="n">
        <v>44482</v>
      </c>
      <c r="C177" s="1" t="n">
        <v>46200</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50685-2023</t>
        </is>
      </c>
      <c r="B178" s="1" t="n">
        <v>45210</v>
      </c>
      <c r="C178" s="1" t="n">
        <v>46200</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36740-2023</t>
        </is>
      </c>
      <c r="B179" s="1" t="n">
        <v>45153</v>
      </c>
      <c r="C179" s="1" t="n">
        <v>46200</v>
      </c>
      <c r="D179" t="inlineStr">
        <is>
          <t>DALARNAS LÄN</t>
        </is>
      </c>
      <c r="E179" t="inlineStr">
        <is>
          <t>MORA</t>
        </is>
      </c>
      <c r="G179" t="n">
        <v>0.2</v>
      </c>
      <c r="H179" t="n">
        <v>0</v>
      </c>
      <c r="I179" t="n">
        <v>0</v>
      </c>
      <c r="J179" t="n">
        <v>0</v>
      </c>
      <c r="K179" t="n">
        <v>0</v>
      </c>
      <c r="L179" t="n">
        <v>0</v>
      </c>
      <c r="M179" t="n">
        <v>0</v>
      </c>
      <c r="N179" t="n">
        <v>0</v>
      </c>
      <c r="O179" t="n">
        <v>0</v>
      </c>
      <c r="P179" t="n">
        <v>0</v>
      </c>
      <c r="Q179" t="n">
        <v>0</v>
      </c>
      <c r="R179" s="2" t="inlineStr"/>
    </row>
    <row r="180" ht="15" customHeight="1">
      <c r="A180" t="inlineStr">
        <is>
          <t>A 39674-2023</t>
        </is>
      </c>
      <c r="B180" s="1" t="n">
        <v>45167</v>
      </c>
      <c r="C180" s="1" t="n">
        <v>46200</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20549-2025</t>
        </is>
      </c>
      <c r="B181" s="1" t="n">
        <v>45775</v>
      </c>
      <c r="C181" s="1" t="n">
        <v>46200</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53743-2024</t>
        </is>
      </c>
      <c r="B182" s="1" t="n">
        <v>45615</v>
      </c>
      <c r="C182" s="1" t="n">
        <v>46200</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65186-2021</t>
        </is>
      </c>
      <c r="B183" s="1" t="n">
        <v>44515</v>
      </c>
      <c r="C183" s="1" t="n">
        <v>46200</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43432-2024</t>
        </is>
      </c>
      <c r="B184" s="1" t="n">
        <v>45568</v>
      </c>
      <c r="C184" s="1" t="n">
        <v>46200</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18806-2025</t>
        </is>
      </c>
      <c r="B185" s="1" t="n">
        <v>45764</v>
      </c>
      <c r="C185" s="1" t="n">
        <v>46200</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54628-2024</t>
        </is>
      </c>
      <c r="B186" s="1" t="n">
        <v>45617</v>
      </c>
      <c r="C186" s="1" t="n">
        <v>46200</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55671-2024</t>
        </is>
      </c>
      <c r="B187" s="1" t="n">
        <v>45622</v>
      </c>
      <c r="C187" s="1" t="n">
        <v>46200</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69483-2021</t>
        </is>
      </c>
      <c r="B188" s="1" t="n">
        <v>44531</v>
      </c>
      <c r="C188" s="1" t="n">
        <v>46200</v>
      </c>
      <c r="D188" t="inlineStr">
        <is>
          <t>DALARNAS LÄN</t>
        </is>
      </c>
      <c r="E188" t="inlineStr">
        <is>
          <t>MORA</t>
        </is>
      </c>
      <c r="G188" t="n">
        <v>1.5</v>
      </c>
      <c r="H188" t="n">
        <v>0</v>
      </c>
      <c r="I188" t="n">
        <v>0</v>
      </c>
      <c r="J188" t="n">
        <v>0</v>
      </c>
      <c r="K188" t="n">
        <v>0</v>
      </c>
      <c r="L188" t="n">
        <v>0</v>
      </c>
      <c r="M188" t="n">
        <v>0</v>
      </c>
      <c r="N188" t="n">
        <v>0</v>
      </c>
      <c r="O188" t="n">
        <v>0</v>
      </c>
      <c r="P188" t="n">
        <v>0</v>
      </c>
      <c r="Q188" t="n">
        <v>0</v>
      </c>
      <c r="R188" s="2" t="inlineStr"/>
    </row>
    <row r="189" ht="15" customHeight="1">
      <c r="A189" t="inlineStr">
        <is>
          <t>A 58171-2024</t>
        </is>
      </c>
      <c r="B189" s="1" t="n">
        <v>45632</v>
      </c>
      <c r="C189" s="1" t="n">
        <v>46200</v>
      </c>
      <c r="D189" t="inlineStr">
        <is>
          <t>DALARNAS LÄN</t>
        </is>
      </c>
      <c r="E189" t="inlineStr">
        <is>
          <t>MORA</t>
        </is>
      </c>
      <c r="G189" t="n">
        <v>0.5</v>
      </c>
      <c r="H189" t="n">
        <v>0</v>
      </c>
      <c r="I189" t="n">
        <v>0</v>
      </c>
      <c r="J189" t="n">
        <v>0</v>
      </c>
      <c r="K189" t="n">
        <v>0</v>
      </c>
      <c r="L189" t="n">
        <v>0</v>
      </c>
      <c r="M189" t="n">
        <v>0</v>
      </c>
      <c r="N189" t="n">
        <v>0</v>
      </c>
      <c r="O189" t="n">
        <v>0</v>
      </c>
      <c r="P189" t="n">
        <v>0</v>
      </c>
      <c r="Q189" t="n">
        <v>0</v>
      </c>
      <c r="R189" s="2" t="inlineStr"/>
    </row>
    <row r="190" ht="15" customHeight="1">
      <c r="A190" t="inlineStr">
        <is>
          <t>A 59448-2022</t>
        </is>
      </c>
      <c r="B190" s="1" t="n">
        <v>44907</v>
      </c>
      <c r="C190" s="1" t="n">
        <v>46200</v>
      </c>
      <c r="D190" t="inlineStr">
        <is>
          <t>DALARNAS LÄN</t>
        </is>
      </c>
      <c r="E190" t="inlineStr">
        <is>
          <t>MORA</t>
        </is>
      </c>
      <c r="G190" t="n">
        <v>35.7</v>
      </c>
      <c r="H190" t="n">
        <v>0</v>
      </c>
      <c r="I190" t="n">
        <v>0</v>
      </c>
      <c r="J190" t="n">
        <v>0</v>
      </c>
      <c r="K190" t="n">
        <v>0</v>
      </c>
      <c r="L190" t="n">
        <v>0</v>
      </c>
      <c r="M190" t="n">
        <v>0</v>
      </c>
      <c r="N190" t="n">
        <v>0</v>
      </c>
      <c r="O190" t="n">
        <v>0</v>
      </c>
      <c r="P190" t="n">
        <v>0</v>
      </c>
      <c r="Q190" t="n">
        <v>0</v>
      </c>
      <c r="R190" s="2" t="inlineStr"/>
    </row>
    <row r="191" ht="15" customHeight="1">
      <c r="A191" t="inlineStr">
        <is>
          <t>A 57319-2023</t>
        </is>
      </c>
      <c r="B191" s="1" t="n">
        <v>45245</v>
      </c>
      <c r="C191" s="1" t="n">
        <v>46200</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17494-2025</t>
        </is>
      </c>
      <c r="B192" s="1" t="n">
        <v>45757</v>
      </c>
      <c r="C192" s="1" t="n">
        <v>46200</v>
      </c>
      <c r="D192" t="inlineStr">
        <is>
          <t>DALARNAS LÄN</t>
        </is>
      </c>
      <c r="E192" t="inlineStr">
        <is>
          <t>MORA</t>
        </is>
      </c>
      <c r="G192" t="n">
        <v>5.3</v>
      </c>
      <c r="H192" t="n">
        <v>0</v>
      </c>
      <c r="I192" t="n">
        <v>0</v>
      </c>
      <c r="J192" t="n">
        <v>0</v>
      </c>
      <c r="K192" t="n">
        <v>0</v>
      </c>
      <c r="L192" t="n">
        <v>0</v>
      </c>
      <c r="M192" t="n">
        <v>0</v>
      </c>
      <c r="N192" t="n">
        <v>0</v>
      </c>
      <c r="O192" t="n">
        <v>0</v>
      </c>
      <c r="P192" t="n">
        <v>0</v>
      </c>
      <c r="Q192" t="n">
        <v>0</v>
      </c>
      <c r="R192" s="2" t="inlineStr"/>
    </row>
    <row r="193" ht="15" customHeight="1">
      <c r="A193" t="inlineStr">
        <is>
          <t>A 32261-2022</t>
        </is>
      </c>
      <c r="B193" s="1" t="n">
        <v>44781</v>
      </c>
      <c r="C193" s="1" t="n">
        <v>46200</v>
      </c>
      <c r="D193" t="inlineStr">
        <is>
          <t>DALARNAS LÄN</t>
        </is>
      </c>
      <c r="E193" t="inlineStr">
        <is>
          <t>MORA</t>
        </is>
      </c>
      <c r="G193" t="n">
        <v>2.7</v>
      </c>
      <c r="H193" t="n">
        <v>0</v>
      </c>
      <c r="I193" t="n">
        <v>0</v>
      </c>
      <c r="J193" t="n">
        <v>0</v>
      </c>
      <c r="K193" t="n">
        <v>0</v>
      </c>
      <c r="L193" t="n">
        <v>0</v>
      </c>
      <c r="M193" t="n">
        <v>0</v>
      </c>
      <c r="N193" t="n">
        <v>0</v>
      </c>
      <c r="O193" t="n">
        <v>0</v>
      </c>
      <c r="P193" t="n">
        <v>0</v>
      </c>
      <c r="Q193" t="n">
        <v>0</v>
      </c>
      <c r="R193" s="2" t="inlineStr"/>
    </row>
    <row r="194" ht="15" customHeight="1">
      <c r="A194" t="inlineStr">
        <is>
          <t>A 35381-2024</t>
        </is>
      </c>
      <c r="B194" s="1" t="n">
        <v>45531</v>
      </c>
      <c r="C194" s="1" t="n">
        <v>46200</v>
      </c>
      <c r="D194" t="inlineStr">
        <is>
          <t>DALARNAS LÄN</t>
        </is>
      </c>
      <c r="E194" t="inlineStr">
        <is>
          <t>MORA</t>
        </is>
      </c>
      <c r="G194" t="n">
        <v>3.7</v>
      </c>
      <c r="H194" t="n">
        <v>0</v>
      </c>
      <c r="I194" t="n">
        <v>0</v>
      </c>
      <c r="J194" t="n">
        <v>0</v>
      </c>
      <c r="K194" t="n">
        <v>0</v>
      </c>
      <c r="L194" t="n">
        <v>0</v>
      </c>
      <c r="M194" t="n">
        <v>0</v>
      </c>
      <c r="N194" t="n">
        <v>0</v>
      </c>
      <c r="O194" t="n">
        <v>0</v>
      </c>
      <c r="P194" t="n">
        <v>0</v>
      </c>
      <c r="Q194" t="n">
        <v>0</v>
      </c>
      <c r="R194" s="2" t="inlineStr"/>
    </row>
    <row r="195" ht="15" customHeight="1">
      <c r="A195" t="inlineStr">
        <is>
          <t>A 13479-2024</t>
        </is>
      </c>
      <c r="B195" s="1" t="n">
        <v>45387</v>
      </c>
      <c r="C195" s="1" t="n">
        <v>46200</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30998-2022</t>
        </is>
      </c>
      <c r="B196" s="1" t="n">
        <v>44768</v>
      </c>
      <c r="C196" s="1" t="n">
        <v>46200</v>
      </c>
      <c r="D196" t="inlineStr">
        <is>
          <t>DALARNAS LÄN</t>
        </is>
      </c>
      <c r="E196" t="inlineStr">
        <is>
          <t>MORA</t>
        </is>
      </c>
      <c r="G196" t="n">
        <v>1.7</v>
      </c>
      <c r="H196" t="n">
        <v>0</v>
      </c>
      <c r="I196" t="n">
        <v>0</v>
      </c>
      <c r="J196" t="n">
        <v>0</v>
      </c>
      <c r="K196" t="n">
        <v>0</v>
      </c>
      <c r="L196" t="n">
        <v>0</v>
      </c>
      <c r="M196" t="n">
        <v>0</v>
      </c>
      <c r="N196" t="n">
        <v>0</v>
      </c>
      <c r="O196" t="n">
        <v>0</v>
      </c>
      <c r="P196" t="n">
        <v>0</v>
      </c>
      <c r="Q196" t="n">
        <v>0</v>
      </c>
      <c r="R196" s="2" t="inlineStr"/>
    </row>
    <row r="197" ht="15" customHeight="1">
      <c r="A197" t="inlineStr">
        <is>
          <t>A 47143-2022</t>
        </is>
      </c>
      <c r="B197" s="1" t="n">
        <v>44852</v>
      </c>
      <c r="C197" s="1" t="n">
        <v>46200</v>
      </c>
      <c r="D197" t="inlineStr">
        <is>
          <t>DALARNAS LÄN</t>
        </is>
      </c>
      <c r="E197" t="inlineStr">
        <is>
          <t>MORA</t>
        </is>
      </c>
      <c r="G197" t="n">
        <v>3.9</v>
      </c>
      <c r="H197" t="n">
        <v>0</v>
      </c>
      <c r="I197" t="n">
        <v>0</v>
      </c>
      <c r="J197" t="n">
        <v>0</v>
      </c>
      <c r="K197" t="n">
        <v>0</v>
      </c>
      <c r="L197" t="n">
        <v>0</v>
      </c>
      <c r="M197" t="n">
        <v>0</v>
      </c>
      <c r="N197" t="n">
        <v>0</v>
      </c>
      <c r="O197" t="n">
        <v>0</v>
      </c>
      <c r="P197" t="n">
        <v>0</v>
      </c>
      <c r="Q197" t="n">
        <v>0</v>
      </c>
      <c r="R197" s="2" t="inlineStr"/>
    </row>
    <row r="198" ht="15" customHeight="1">
      <c r="A198" t="inlineStr">
        <is>
          <t>A 17167-2025</t>
        </is>
      </c>
      <c r="B198" s="1" t="n">
        <v>45756</v>
      </c>
      <c r="C198" s="1" t="n">
        <v>46200</v>
      </c>
      <c r="D198" t="inlineStr">
        <is>
          <t>DALARNAS LÄN</t>
        </is>
      </c>
      <c r="E198" t="inlineStr">
        <is>
          <t>MORA</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20504-2023</t>
        </is>
      </c>
      <c r="B199" s="1" t="n">
        <v>45057</v>
      </c>
      <c r="C199" s="1" t="n">
        <v>46200</v>
      </c>
      <c r="D199" t="inlineStr">
        <is>
          <t>DALARNAS LÄN</t>
        </is>
      </c>
      <c r="E199" t="inlineStr">
        <is>
          <t>MORA</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50911-2024</t>
        </is>
      </c>
      <c r="B200" s="1" t="n">
        <v>45602</v>
      </c>
      <c r="C200" s="1" t="n">
        <v>46200</v>
      </c>
      <c r="D200" t="inlineStr">
        <is>
          <t>DALARNAS LÄN</t>
        </is>
      </c>
      <c r="E200" t="inlineStr">
        <is>
          <t>MORA</t>
        </is>
      </c>
      <c r="G200" t="n">
        <v>1.7</v>
      </c>
      <c r="H200" t="n">
        <v>0</v>
      </c>
      <c r="I200" t="n">
        <v>0</v>
      </c>
      <c r="J200" t="n">
        <v>0</v>
      </c>
      <c r="K200" t="n">
        <v>0</v>
      </c>
      <c r="L200" t="n">
        <v>0</v>
      </c>
      <c r="M200" t="n">
        <v>0</v>
      </c>
      <c r="N200" t="n">
        <v>0</v>
      </c>
      <c r="O200" t="n">
        <v>0</v>
      </c>
      <c r="P200" t="n">
        <v>0</v>
      </c>
      <c r="Q200" t="n">
        <v>0</v>
      </c>
      <c r="R200" s="2" t="inlineStr"/>
    </row>
    <row r="201" ht="15" customHeight="1">
      <c r="A201" t="inlineStr">
        <is>
          <t>A 24393-2022</t>
        </is>
      </c>
      <c r="B201" s="1" t="n">
        <v>44726</v>
      </c>
      <c r="C201" s="1" t="n">
        <v>46200</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36184-2021</t>
        </is>
      </c>
      <c r="B202" s="1" t="n">
        <v>44389</v>
      </c>
      <c r="C202" s="1" t="n">
        <v>46200</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17529-2023</t>
        </is>
      </c>
      <c r="B203" s="1" t="n">
        <v>45036</v>
      </c>
      <c r="C203" s="1" t="n">
        <v>46200</v>
      </c>
      <c r="D203" t="inlineStr">
        <is>
          <t>DALARNAS LÄN</t>
        </is>
      </c>
      <c r="E203" t="inlineStr">
        <is>
          <t>MORA</t>
        </is>
      </c>
      <c r="G203" t="n">
        <v>6</v>
      </c>
      <c r="H203" t="n">
        <v>0</v>
      </c>
      <c r="I203" t="n">
        <v>0</v>
      </c>
      <c r="J203" t="n">
        <v>0</v>
      </c>
      <c r="K203" t="n">
        <v>0</v>
      </c>
      <c r="L203" t="n">
        <v>0</v>
      </c>
      <c r="M203" t="n">
        <v>0</v>
      </c>
      <c r="N203" t="n">
        <v>0</v>
      </c>
      <c r="O203" t="n">
        <v>0</v>
      </c>
      <c r="P203" t="n">
        <v>0</v>
      </c>
      <c r="Q203" t="n">
        <v>0</v>
      </c>
      <c r="R203" s="2" t="inlineStr"/>
    </row>
    <row r="204" ht="15" customHeight="1">
      <c r="A204" t="inlineStr">
        <is>
          <t>A 44201-2023</t>
        </is>
      </c>
      <c r="B204" s="1" t="n">
        <v>45188</v>
      </c>
      <c r="C204" s="1" t="n">
        <v>46200</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2865-2022</t>
        </is>
      </c>
      <c r="B205" s="1" t="n">
        <v>44581</v>
      </c>
      <c r="C205" s="1" t="n">
        <v>46200</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56834-2024</t>
        </is>
      </c>
      <c r="B206" s="1" t="n">
        <v>45628</v>
      </c>
      <c r="C206" s="1" t="n">
        <v>46200</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47036-2023</t>
        </is>
      </c>
      <c r="B207" s="1" t="n">
        <v>45196</v>
      </c>
      <c r="C207" s="1" t="n">
        <v>46200</v>
      </c>
      <c r="D207" t="inlineStr">
        <is>
          <t>DALARNAS LÄN</t>
        </is>
      </c>
      <c r="E207" t="inlineStr">
        <is>
          <t>MORA</t>
        </is>
      </c>
      <c r="G207" t="n">
        <v>2.7</v>
      </c>
      <c r="H207" t="n">
        <v>0</v>
      </c>
      <c r="I207" t="n">
        <v>0</v>
      </c>
      <c r="J207" t="n">
        <v>0</v>
      </c>
      <c r="K207" t="n">
        <v>0</v>
      </c>
      <c r="L207" t="n">
        <v>0</v>
      </c>
      <c r="M207" t="n">
        <v>0</v>
      </c>
      <c r="N207" t="n">
        <v>0</v>
      </c>
      <c r="O207" t="n">
        <v>0</v>
      </c>
      <c r="P207" t="n">
        <v>0</v>
      </c>
      <c r="Q207" t="n">
        <v>0</v>
      </c>
      <c r="R207" s="2" t="inlineStr"/>
    </row>
    <row r="208" ht="15" customHeight="1">
      <c r="A208" t="inlineStr">
        <is>
          <t>A 20544-2025</t>
        </is>
      </c>
      <c r="B208" s="1" t="n">
        <v>45775</v>
      </c>
      <c r="C208" s="1" t="n">
        <v>46200</v>
      </c>
      <c r="D208" t="inlineStr">
        <is>
          <t>DALARNAS LÄN</t>
        </is>
      </c>
      <c r="E208" t="inlineStr">
        <is>
          <t>MORA</t>
        </is>
      </c>
      <c r="G208" t="n">
        <v>3.6</v>
      </c>
      <c r="H208" t="n">
        <v>0</v>
      </c>
      <c r="I208" t="n">
        <v>0</v>
      </c>
      <c r="J208" t="n">
        <v>0</v>
      </c>
      <c r="K208" t="n">
        <v>0</v>
      </c>
      <c r="L208" t="n">
        <v>0</v>
      </c>
      <c r="M208" t="n">
        <v>0</v>
      </c>
      <c r="N208" t="n">
        <v>0</v>
      </c>
      <c r="O208" t="n">
        <v>0</v>
      </c>
      <c r="P208" t="n">
        <v>0</v>
      </c>
      <c r="Q208" t="n">
        <v>0</v>
      </c>
      <c r="R208" s="2" t="inlineStr"/>
    </row>
    <row r="209" ht="15" customHeight="1">
      <c r="A209" t="inlineStr">
        <is>
          <t>A 28487-2024</t>
        </is>
      </c>
      <c r="B209" s="1" t="n">
        <v>45477</v>
      </c>
      <c r="C209" s="1" t="n">
        <v>46200</v>
      </c>
      <c r="D209" t="inlineStr">
        <is>
          <t>DALARNAS LÄN</t>
        </is>
      </c>
      <c r="E209" t="inlineStr">
        <is>
          <t>MORA</t>
        </is>
      </c>
      <c r="G209" t="n">
        <v>3.1</v>
      </c>
      <c r="H209" t="n">
        <v>0</v>
      </c>
      <c r="I209" t="n">
        <v>0</v>
      </c>
      <c r="J209" t="n">
        <v>0</v>
      </c>
      <c r="K209" t="n">
        <v>0</v>
      </c>
      <c r="L209" t="n">
        <v>0</v>
      </c>
      <c r="M209" t="n">
        <v>0</v>
      </c>
      <c r="N209" t="n">
        <v>0</v>
      </c>
      <c r="O209" t="n">
        <v>0</v>
      </c>
      <c r="P209" t="n">
        <v>0</v>
      </c>
      <c r="Q209" t="n">
        <v>0</v>
      </c>
      <c r="R209" s="2" t="inlineStr"/>
    </row>
    <row r="210" ht="15" customHeight="1">
      <c r="A210" t="inlineStr">
        <is>
          <t>A 23586-2023</t>
        </is>
      </c>
      <c r="B210" s="1" t="n">
        <v>45077</v>
      </c>
      <c r="C210" s="1" t="n">
        <v>46200</v>
      </c>
      <c r="D210" t="inlineStr">
        <is>
          <t>DALARNAS LÄN</t>
        </is>
      </c>
      <c r="E210" t="inlineStr">
        <is>
          <t>MORA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58972-2023</t>
        </is>
      </c>
      <c r="B211" s="1" t="n">
        <v>45252</v>
      </c>
      <c r="C211" s="1" t="n">
        <v>46200</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57475-2022</t>
        </is>
      </c>
      <c r="B212" s="1" t="n">
        <v>44896</v>
      </c>
      <c r="C212" s="1" t="n">
        <v>46200</v>
      </c>
      <c r="D212" t="inlineStr">
        <is>
          <t>DALARNAS LÄN</t>
        </is>
      </c>
      <c r="E212" t="inlineStr">
        <is>
          <t>MORA</t>
        </is>
      </c>
      <c r="G212" t="n">
        <v>5.7</v>
      </c>
      <c r="H212" t="n">
        <v>0</v>
      </c>
      <c r="I212" t="n">
        <v>0</v>
      </c>
      <c r="J212" t="n">
        <v>0</v>
      </c>
      <c r="K212" t="n">
        <v>0</v>
      </c>
      <c r="L212" t="n">
        <v>0</v>
      </c>
      <c r="M212" t="n">
        <v>0</v>
      </c>
      <c r="N212" t="n">
        <v>0</v>
      </c>
      <c r="O212" t="n">
        <v>0</v>
      </c>
      <c r="P212" t="n">
        <v>0</v>
      </c>
      <c r="Q212" t="n">
        <v>0</v>
      </c>
      <c r="R212" s="2" t="inlineStr"/>
    </row>
    <row r="213" ht="15" customHeight="1">
      <c r="A213" t="inlineStr">
        <is>
          <t>A 39897-2022</t>
        </is>
      </c>
      <c r="B213" s="1" t="n">
        <v>44819</v>
      </c>
      <c r="C213" s="1" t="n">
        <v>46200</v>
      </c>
      <c r="D213" t="inlineStr">
        <is>
          <t>DALARNAS LÄN</t>
        </is>
      </c>
      <c r="E213" t="inlineStr">
        <is>
          <t>MORA</t>
        </is>
      </c>
      <c r="G213" t="n">
        <v>15.8</v>
      </c>
      <c r="H213" t="n">
        <v>0</v>
      </c>
      <c r="I213" t="n">
        <v>0</v>
      </c>
      <c r="J213" t="n">
        <v>0</v>
      </c>
      <c r="K213" t="n">
        <v>0</v>
      </c>
      <c r="L213" t="n">
        <v>0</v>
      </c>
      <c r="M213" t="n">
        <v>0</v>
      </c>
      <c r="N213" t="n">
        <v>0</v>
      </c>
      <c r="O213" t="n">
        <v>0</v>
      </c>
      <c r="P213" t="n">
        <v>0</v>
      </c>
      <c r="Q213" t="n">
        <v>0</v>
      </c>
      <c r="R213" s="2" t="inlineStr"/>
    </row>
    <row r="214" ht="15" customHeight="1">
      <c r="A214" t="inlineStr">
        <is>
          <t>A 46188-2022</t>
        </is>
      </c>
      <c r="B214" s="1" t="n">
        <v>44847</v>
      </c>
      <c r="C214" s="1" t="n">
        <v>46200</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5922-2025</t>
        </is>
      </c>
      <c r="B215" s="1" t="n">
        <v>45695</v>
      </c>
      <c r="C215" s="1" t="n">
        <v>46200</v>
      </c>
      <c r="D215" t="inlineStr">
        <is>
          <t>DALARNAS LÄN</t>
        </is>
      </c>
      <c r="E215" t="inlineStr">
        <is>
          <t>MORA</t>
        </is>
      </c>
      <c r="G215" t="n">
        <v>1.2</v>
      </c>
      <c r="H215" t="n">
        <v>0</v>
      </c>
      <c r="I215" t="n">
        <v>0</v>
      </c>
      <c r="J215" t="n">
        <v>0</v>
      </c>
      <c r="K215" t="n">
        <v>0</v>
      </c>
      <c r="L215" t="n">
        <v>0</v>
      </c>
      <c r="M215" t="n">
        <v>0</v>
      </c>
      <c r="N215" t="n">
        <v>0</v>
      </c>
      <c r="O215" t="n">
        <v>0</v>
      </c>
      <c r="P215" t="n">
        <v>0</v>
      </c>
      <c r="Q215" t="n">
        <v>0</v>
      </c>
      <c r="R215" s="2" t="inlineStr"/>
    </row>
    <row r="216" ht="15" customHeight="1">
      <c r="A216" t="inlineStr">
        <is>
          <t>A 42035-2022</t>
        </is>
      </c>
      <c r="B216" s="1" t="n">
        <v>44830</v>
      </c>
      <c r="C216" s="1" t="n">
        <v>46200</v>
      </c>
      <c r="D216" t="inlineStr">
        <is>
          <t>DALARNAS LÄN</t>
        </is>
      </c>
      <c r="E216" t="inlineStr">
        <is>
          <t>MORA</t>
        </is>
      </c>
      <c r="G216" t="n">
        <v>2.7</v>
      </c>
      <c r="H216" t="n">
        <v>0</v>
      </c>
      <c r="I216" t="n">
        <v>0</v>
      </c>
      <c r="J216" t="n">
        <v>0</v>
      </c>
      <c r="K216" t="n">
        <v>0</v>
      </c>
      <c r="L216" t="n">
        <v>0</v>
      </c>
      <c r="M216" t="n">
        <v>0</v>
      </c>
      <c r="N216" t="n">
        <v>0</v>
      </c>
      <c r="O216" t="n">
        <v>0</v>
      </c>
      <c r="P216" t="n">
        <v>0</v>
      </c>
      <c r="Q216" t="n">
        <v>0</v>
      </c>
      <c r="R216" s="2" t="inlineStr"/>
    </row>
    <row r="217" ht="15" customHeight="1">
      <c r="A217" t="inlineStr">
        <is>
          <t>A 43533-2023</t>
        </is>
      </c>
      <c r="B217" s="1" t="n">
        <v>45184</v>
      </c>
      <c r="C217" s="1" t="n">
        <v>46200</v>
      </c>
      <c r="D217" t="inlineStr">
        <is>
          <t>DALARNAS LÄN</t>
        </is>
      </c>
      <c r="E217" t="inlineStr">
        <is>
          <t>MORA</t>
        </is>
      </c>
      <c r="F217" t="inlineStr">
        <is>
          <t>Bergvik skog väst AB</t>
        </is>
      </c>
      <c r="G217" t="n">
        <v>10.3</v>
      </c>
      <c r="H217" t="n">
        <v>0</v>
      </c>
      <c r="I217" t="n">
        <v>0</v>
      </c>
      <c r="J217" t="n">
        <v>0</v>
      </c>
      <c r="K217" t="n">
        <v>0</v>
      </c>
      <c r="L217" t="n">
        <v>0</v>
      </c>
      <c r="M217" t="n">
        <v>0</v>
      </c>
      <c r="N217" t="n">
        <v>0</v>
      </c>
      <c r="O217" t="n">
        <v>0</v>
      </c>
      <c r="P217" t="n">
        <v>0</v>
      </c>
      <c r="Q217" t="n">
        <v>0</v>
      </c>
      <c r="R217" s="2" t="inlineStr"/>
    </row>
    <row r="218" ht="15" customHeight="1">
      <c r="A218" t="inlineStr">
        <is>
          <t>A 37774-2022</t>
        </is>
      </c>
      <c r="B218" s="1" t="n">
        <v>44810</v>
      </c>
      <c r="C218" s="1" t="n">
        <v>46200</v>
      </c>
      <c r="D218" t="inlineStr">
        <is>
          <t>DALARNAS LÄN</t>
        </is>
      </c>
      <c r="E218" t="inlineStr">
        <is>
          <t>MORA</t>
        </is>
      </c>
      <c r="F218" t="inlineStr">
        <is>
          <t>Bergvik skog väst AB</t>
        </is>
      </c>
      <c r="G218" t="n">
        <v>8.5</v>
      </c>
      <c r="H218" t="n">
        <v>0</v>
      </c>
      <c r="I218" t="n">
        <v>0</v>
      </c>
      <c r="J218" t="n">
        <v>0</v>
      </c>
      <c r="K218" t="n">
        <v>0</v>
      </c>
      <c r="L218" t="n">
        <v>0</v>
      </c>
      <c r="M218" t="n">
        <v>0</v>
      </c>
      <c r="N218" t="n">
        <v>0</v>
      </c>
      <c r="O218" t="n">
        <v>0</v>
      </c>
      <c r="P218" t="n">
        <v>0</v>
      </c>
      <c r="Q218" t="n">
        <v>0</v>
      </c>
      <c r="R218" s="2" t="inlineStr"/>
    </row>
    <row r="219" ht="15" customHeight="1">
      <c r="A219" t="inlineStr">
        <is>
          <t>A 20401-2022</t>
        </is>
      </c>
      <c r="B219" s="1" t="n">
        <v>44699</v>
      </c>
      <c r="C219" s="1" t="n">
        <v>46200</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64327-2023</t>
        </is>
      </c>
      <c r="B220" s="1" t="n">
        <v>45280</v>
      </c>
      <c r="C220" s="1" t="n">
        <v>46200</v>
      </c>
      <c r="D220" t="inlineStr">
        <is>
          <t>DALARNAS LÄN</t>
        </is>
      </c>
      <c r="E220" t="inlineStr">
        <is>
          <t>MORA</t>
        </is>
      </c>
      <c r="G220" t="n">
        <v>0.8</v>
      </c>
      <c r="H220" t="n">
        <v>0</v>
      </c>
      <c r="I220" t="n">
        <v>0</v>
      </c>
      <c r="J220" t="n">
        <v>0</v>
      </c>
      <c r="K220" t="n">
        <v>0</v>
      </c>
      <c r="L220" t="n">
        <v>0</v>
      </c>
      <c r="M220" t="n">
        <v>0</v>
      </c>
      <c r="N220" t="n">
        <v>0</v>
      </c>
      <c r="O220" t="n">
        <v>0</v>
      </c>
      <c r="P220" t="n">
        <v>0</v>
      </c>
      <c r="Q220" t="n">
        <v>0</v>
      </c>
      <c r="R220" s="2" t="inlineStr"/>
    </row>
    <row r="221" ht="15" customHeight="1">
      <c r="A221" t="inlineStr">
        <is>
          <t>A 17145-2024</t>
        </is>
      </c>
      <c r="B221" s="1" t="n">
        <v>45412</v>
      </c>
      <c r="C221" s="1" t="n">
        <v>46200</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62853-2023</t>
        </is>
      </c>
      <c r="B222" s="1" t="n">
        <v>45272</v>
      </c>
      <c r="C222" s="1" t="n">
        <v>46200</v>
      </c>
      <c r="D222" t="inlineStr">
        <is>
          <t>DALARNAS LÄN</t>
        </is>
      </c>
      <c r="E222" t="inlineStr">
        <is>
          <t>MORA</t>
        </is>
      </c>
      <c r="G222" t="n">
        <v>13.6</v>
      </c>
      <c r="H222" t="n">
        <v>0</v>
      </c>
      <c r="I222" t="n">
        <v>0</v>
      </c>
      <c r="J222" t="n">
        <v>0</v>
      </c>
      <c r="K222" t="n">
        <v>0</v>
      </c>
      <c r="L222" t="n">
        <v>0</v>
      </c>
      <c r="M222" t="n">
        <v>0</v>
      </c>
      <c r="N222" t="n">
        <v>0</v>
      </c>
      <c r="O222" t="n">
        <v>0</v>
      </c>
      <c r="P222" t="n">
        <v>0</v>
      </c>
      <c r="Q222" t="n">
        <v>0</v>
      </c>
      <c r="R222" s="2" t="inlineStr"/>
    </row>
    <row r="223" ht="15" customHeight="1">
      <c r="A223" t="inlineStr">
        <is>
          <t>A 48728-2022</t>
        </is>
      </c>
      <c r="B223" s="1" t="n">
        <v>44859</v>
      </c>
      <c r="C223" s="1" t="n">
        <v>46200</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15817-2024</t>
        </is>
      </c>
      <c r="B224" s="1" t="n">
        <v>45404</v>
      </c>
      <c r="C224" s="1" t="n">
        <v>46200</v>
      </c>
      <c r="D224" t="inlineStr">
        <is>
          <t>DALARNAS LÄN</t>
        </is>
      </c>
      <c r="E224" t="inlineStr">
        <is>
          <t>MORA</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58116-2022</t>
        </is>
      </c>
      <c r="B225" s="1" t="n">
        <v>44900</v>
      </c>
      <c r="C225" s="1" t="n">
        <v>46200</v>
      </c>
      <c r="D225" t="inlineStr">
        <is>
          <t>DALARNAS LÄN</t>
        </is>
      </c>
      <c r="E225" t="inlineStr">
        <is>
          <t>MORA</t>
        </is>
      </c>
      <c r="G225" t="n">
        <v>2.9</v>
      </c>
      <c r="H225" t="n">
        <v>0</v>
      </c>
      <c r="I225" t="n">
        <v>0</v>
      </c>
      <c r="J225" t="n">
        <v>0</v>
      </c>
      <c r="K225" t="n">
        <v>0</v>
      </c>
      <c r="L225" t="n">
        <v>0</v>
      </c>
      <c r="M225" t="n">
        <v>0</v>
      </c>
      <c r="N225" t="n">
        <v>0</v>
      </c>
      <c r="O225" t="n">
        <v>0</v>
      </c>
      <c r="P225" t="n">
        <v>0</v>
      </c>
      <c r="Q225" t="n">
        <v>0</v>
      </c>
      <c r="R225" s="2" t="inlineStr"/>
    </row>
    <row r="226" ht="15" customHeight="1">
      <c r="A226" t="inlineStr">
        <is>
          <t>A 60647-2022</t>
        </is>
      </c>
      <c r="B226" s="1" t="n">
        <v>44911</v>
      </c>
      <c r="C226" s="1" t="n">
        <v>46200</v>
      </c>
      <c r="D226" t="inlineStr">
        <is>
          <t>DALARNAS LÄN</t>
        </is>
      </c>
      <c r="E226" t="inlineStr">
        <is>
          <t>MORA</t>
        </is>
      </c>
      <c r="G226" t="n">
        <v>4.8</v>
      </c>
      <c r="H226" t="n">
        <v>0</v>
      </c>
      <c r="I226" t="n">
        <v>0</v>
      </c>
      <c r="J226" t="n">
        <v>0</v>
      </c>
      <c r="K226" t="n">
        <v>0</v>
      </c>
      <c r="L226" t="n">
        <v>0</v>
      </c>
      <c r="M226" t="n">
        <v>0</v>
      </c>
      <c r="N226" t="n">
        <v>0</v>
      </c>
      <c r="O226" t="n">
        <v>0</v>
      </c>
      <c r="P226" t="n">
        <v>0</v>
      </c>
      <c r="Q226" t="n">
        <v>0</v>
      </c>
      <c r="R226" s="2" t="inlineStr"/>
    </row>
    <row r="227" ht="15" customHeight="1">
      <c r="A227" t="inlineStr">
        <is>
          <t>A 15993-2025</t>
        </is>
      </c>
      <c r="B227" s="1" t="n">
        <v>45749</v>
      </c>
      <c r="C227" s="1" t="n">
        <v>46200</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57110-2021</t>
        </is>
      </c>
      <c r="B228" s="1" t="n">
        <v>44482</v>
      </c>
      <c r="C228" s="1" t="n">
        <v>46200</v>
      </c>
      <c r="D228" t="inlineStr">
        <is>
          <t>DALARNAS LÄN</t>
        </is>
      </c>
      <c r="E228" t="inlineStr">
        <is>
          <t>MORA</t>
        </is>
      </c>
      <c r="G228" t="n">
        <v>5.4</v>
      </c>
      <c r="H228" t="n">
        <v>0</v>
      </c>
      <c r="I228" t="n">
        <v>0</v>
      </c>
      <c r="J228" t="n">
        <v>0</v>
      </c>
      <c r="K228" t="n">
        <v>0</v>
      </c>
      <c r="L228" t="n">
        <v>0</v>
      </c>
      <c r="M228" t="n">
        <v>0</v>
      </c>
      <c r="N228" t="n">
        <v>0</v>
      </c>
      <c r="O228" t="n">
        <v>0</v>
      </c>
      <c r="P228" t="n">
        <v>0</v>
      </c>
      <c r="Q228" t="n">
        <v>0</v>
      </c>
      <c r="R228" s="2" t="inlineStr"/>
    </row>
    <row r="229" ht="15" customHeight="1">
      <c r="A229" t="inlineStr">
        <is>
          <t>A 11857-2023</t>
        </is>
      </c>
      <c r="B229" s="1" t="n">
        <v>44995</v>
      </c>
      <c r="C229" s="1" t="n">
        <v>46200</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11919-2024</t>
        </is>
      </c>
      <c r="B230" s="1" t="n">
        <v>45376</v>
      </c>
      <c r="C230" s="1" t="n">
        <v>46200</v>
      </c>
      <c r="D230" t="inlineStr">
        <is>
          <t>DALARNAS LÄN</t>
        </is>
      </c>
      <c r="E230" t="inlineStr">
        <is>
          <t>MORA</t>
        </is>
      </c>
      <c r="G230" t="n">
        <v>3.5</v>
      </c>
      <c r="H230" t="n">
        <v>0</v>
      </c>
      <c r="I230" t="n">
        <v>0</v>
      </c>
      <c r="J230" t="n">
        <v>0</v>
      </c>
      <c r="K230" t="n">
        <v>0</v>
      </c>
      <c r="L230" t="n">
        <v>0</v>
      </c>
      <c r="M230" t="n">
        <v>0</v>
      </c>
      <c r="N230" t="n">
        <v>0</v>
      </c>
      <c r="O230" t="n">
        <v>0</v>
      </c>
      <c r="P230" t="n">
        <v>0</v>
      </c>
      <c r="Q230" t="n">
        <v>0</v>
      </c>
      <c r="R230" s="2" t="inlineStr"/>
    </row>
    <row r="231" ht="15" customHeight="1">
      <c r="A231" t="inlineStr">
        <is>
          <t>A 1897-2023</t>
        </is>
      </c>
      <c r="B231" s="1" t="n">
        <v>44937</v>
      </c>
      <c r="C231" s="1" t="n">
        <v>46200</v>
      </c>
      <c r="D231" t="inlineStr">
        <is>
          <t>DALARNAS LÄN</t>
        </is>
      </c>
      <c r="E231" t="inlineStr">
        <is>
          <t>MORA</t>
        </is>
      </c>
      <c r="G231" t="n">
        <v>0.8</v>
      </c>
      <c r="H231" t="n">
        <v>0</v>
      </c>
      <c r="I231" t="n">
        <v>0</v>
      </c>
      <c r="J231" t="n">
        <v>0</v>
      </c>
      <c r="K231" t="n">
        <v>0</v>
      </c>
      <c r="L231" t="n">
        <v>0</v>
      </c>
      <c r="M231" t="n">
        <v>0</v>
      </c>
      <c r="N231" t="n">
        <v>0</v>
      </c>
      <c r="O231" t="n">
        <v>0</v>
      </c>
      <c r="P231" t="n">
        <v>0</v>
      </c>
      <c r="Q231" t="n">
        <v>0</v>
      </c>
      <c r="R231" s="2" t="inlineStr"/>
    </row>
    <row r="232" ht="15" customHeight="1">
      <c r="A232" t="inlineStr">
        <is>
          <t>A 56012-2023</t>
        </is>
      </c>
      <c r="B232" s="1" t="n">
        <v>45240</v>
      </c>
      <c r="C232" s="1" t="n">
        <v>46200</v>
      </c>
      <c r="D232" t="inlineStr">
        <is>
          <t>DALARNAS LÄN</t>
        </is>
      </c>
      <c r="E232" t="inlineStr">
        <is>
          <t>MORA</t>
        </is>
      </c>
      <c r="G232" t="n">
        <v>0.3</v>
      </c>
      <c r="H232" t="n">
        <v>0</v>
      </c>
      <c r="I232" t="n">
        <v>0</v>
      </c>
      <c r="J232" t="n">
        <v>0</v>
      </c>
      <c r="K232" t="n">
        <v>0</v>
      </c>
      <c r="L232" t="n">
        <v>0</v>
      </c>
      <c r="M232" t="n">
        <v>0</v>
      </c>
      <c r="N232" t="n">
        <v>0</v>
      </c>
      <c r="O232" t="n">
        <v>0</v>
      </c>
      <c r="P232" t="n">
        <v>0</v>
      </c>
      <c r="Q232" t="n">
        <v>0</v>
      </c>
      <c r="R232" s="2" t="inlineStr"/>
    </row>
    <row r="233" ht="15" customHeight="1">
      <c r="A233" t="inlineStr">
        <is>
          <t>A 37385-2022</t>
        </is>
      </c>
      <c r="B233" s="1" t="n">
        <v>44806</v>
      </c>
      <c r="C233" s="1" t="n">
        <v>46200</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437-2024</t>
        </is>
      </c>
      <c r="B234" s="1" t="n">
        <v>45296</v>
      </c>
      <c r="C234" s="1" t="n">
        <v>46200</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38627-2023</t>
        </is>
      </c>
      <c r="B235" s="1" t="n">
        <v>45162</v>
      </c>
      <c r="C235" s="1" t="n">
        <v>46200</v>
      </c>
      <c r="D235" t="inlineStr">
        <is>
          <t>DALARNAS LÄN</t>
        </is>
      </c>
      <c r="E235" t="inlineStr">
        <is>
          <t>MORA</t>
        </is>
      </c>
      <c r="G235" t="n">
        <v>6.5</v>
      </c>
      <c r="H235" t="n">
        <v>0</v>
      </c>
      <c r="I235" t="n">
        <v>0</v>
      </c>
      <c r="J235" t="n">
        <v>0</v>
      </c>
      <c r="K235" t="n">
        <v>0</v>
      </c>
      <c r="L235" t="n">
        <v>0</v>
      </c>
      <c r="M235" t="n">
        <v>0</v>
      </c>
      <c r="N235" t="n">
        <v>0</v>
      </c>
      <c r="O235" t="n">
        <v>0</v>
      </c>
      <c r="P235" t="n">
        <v>0</v>
      </c>
      <c r="Q235" t="n">
        <v>0</v>
      </c>
      <c r="R235" s="2" t="inlineStr"/>
    </row>
    <row r="236" ht="15" customHeight="1">
      <c r="A236" t="inlineStr">
        <is>
          <t>A 64088-2023</t>
        </is>
      </c>
      <c r="B236" s="1" t="n">
        <v>45279</v>
      </c>
      <c r="C236" s="1" t="n">
        <v>46200</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5298-2023</t>
        </is>
      </c>
      <c r="B237" s="1" t="n">
        <v>44959</v>
      </c>
      <c r="C237" s="1" t="n">
        <v>46200</v>
      </c>
      <c r="D237" t="inlineStr">
        <is>
          <t>DALARNAS LÄN</t>
        </is>
      </c>
      <c r="E237" t="inlineStr">
        <is>
          <t>MORA</t>
        </is>
      </c>
      <c r="F237" t="inlineStr">
        <is>
          <t>Bergvik skog väst AB</t>
        </is>
      </c>
      <c r="G237" t="n">
        <v>6.2</v>
      </c>
      <c r="H237" t="n">
        <v>0</v>
      </c>
      <c r="I237" t="n">
        <v>0</v>
      </c>
      <c r="J237" t="n">
        <v>0</v>
      </c>
      <c r="K237" t="n">
        <v>0</v>
      </c>
      <c r="L237" t="n">
        <v>0</v>
      </c>
      <c r="M237" t="n">
        <v>0</v>
      </c>
      <c r="N237" t="n">
        <v>0</v>
      </c>
      <c r="O237" t="n">
        <v>0</v>
      </c>
      <c r="P237" t="n">
        <v>0</v>
      </c>
      <c r="Q237" t="n">
        <v>0</v>
      </c>
      <c r="R237" s="2" t="inlineStr"/>
    </row>
    <row r="238" ht="15" customHeight="1">
      <c r="A238" t="inlineStr">
        <is>
          <t>A 57859-2022</t>
        </is>
      </c>
      <c r="B238" s="1" t="n">
        <v>44898</v>
      </c>
      <c r="C238" s="1" t="n">
        <v>46200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25935-2023</t>
        </is>
      </c>
      <c r="B239" s="1" t="n">
        <v>45090</v>
      </c>
      <c r="C239" s="1" t="n">
        <v>46200</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31395-2024</t>
        </is>
      </c>
      <c r="B240" s="1" t="n">
        <v>45505</v>
      </c>
      <c r="C240" s="1" t="n">
        <v>46200</v>
      </c>
      <c r="D240" t="inlineStr">
        <is>
          <t>DALARNAS LÄN</t>
        </is>
      </c>
      <c r="E240" t="inlineStr">
        <is>
          <t>MORA</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70141-2021</t>
        </is>
      </c>
      <c r="B241" s="1" t="n">
        <v>44533</v>
      </c>
      <c r="C241" s="1" t="n">
        <v>46200</v>
      </c>
      <c r="D241" t="inlineStr">
        <is>
          <t>DALARNAS LÄN</t>
        </is>
      </c>
      <c r="E241" t="inlineStr">
        <is>
          <t>MORA</t>
        </is>
      </c>
      <c r="G241" t="n">
        <v>4.1</v>
      </c>
      <c r="H241" t="n">
        <v>0</v>
      </c>
      <c r="I241" t="n">
        <v>0</v>
      </c>
      <c r="J241" t="n">
        <v>0</v>
      </c>
      <c r="K241" t="n">
        <v>0</v>
      </c>
      <c r="L241" t="n">
        <v>0</v>
      </c>
      <c r="M241" t="n">
        <v>0</v>
      </c>
      <c r="N241" t="n">
        <v>0</v>
      </c>
      <c r="O241" t="n">
        <v>0</v>
      </c>
      <c r="P241" t="n">
        <v>0</v>
      </c>
      <c r="Q241" t="n">
        <v>0</v>
      </c>
      <c r="R241" s="2" t="inlineStr"/>
    </row>
    <row r="242" ht="15" customHeight="1">
      <c r="A242" t="inlineStr">
        <is>
          <t>A 59182-2023</t>
        </is>
      </c>
      <c r="B242" s="1" t="n">
        <v>45253</v>
      </c>
      <c r="C242" s="1" t="n">
        <v>46200</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64093-2023</t>
        </is>
      </c>
      <c r="B243" s="1" t="n">
        <v>45279</v>
      </c>
      <c r="C243" s="1" t="n">
        <v>46200</v>
      </c>
      <c r="D243" t="inlineStr">
        <is>
          <t>DALARNAS LÄN</t>
        </is>
      </c>
      <c r="E243" t="inlineStr">
        <is>
          <t>MORA</t>
        </is>
      </c>
      <c r="G243" t="n">
        <v>0.9</v>
      </c>
      <c r="H243" t="n">
        <v>0</v>
      </c>
      <c r="I243" t="n">
        <v>0</v>
      </c>
      <c r="J243" t="n">
        <v>0</v>
      </c>
      <c r="K243" t="n">
        <v>0</v>
      </c>
      <c r="L243" t="n">
        <v>0</v>
      </c>
      <c r="M243" t="n">
        <v>0</v>
      </c>
      <c r="N243" t="n">
        <v>0</v>
      </c>
      <c r="O243" t="n">
        <v>0</v>
      </c>
      <c r="P243" t="n">
        <v>0</v>
      </c>
      <c r="Q243" t="n">
        <v>0</v>
      </c>
      <c r="R243" s="2" t="inlineStr"/>
    </row>
    <row r="244" ht="15" customHeight="1">
      <c r="A244" t="inlineStr">
        <is>
          <t>A 60847-2021</t>
        </is>
      </c>
      <c r="B244" s="1" t="n">
        <v>44497</v>
      </c>
      <c r="C244" s="1" t="n">
        <v>46200</v>
      </c>
      <c r="D244" t="inlineStr">
        <is>
          <t>DALARNAS LÄN</t>
        </is>
      </c>
      <c r="E244" t="inlineStr">
        <is>
          <t>MORA</t>
        </is>
      </c>
      <c r="G244" t="n">
        <v>1</v>
      </c>
      <c r="H244" t="n">
        <v>0</v>
      </c>
      <c r="I244" t="n">
        <v>0</v>
      </c>
      <c r="J244" t="n">
        <v>0</v>
      </c>
      <c r="K244" t="n">
        <v>0</v>
      </c>
      <c r="L244" t="n">
        <v>0</v>
      </c>
      <c r="M244" t="n">
        <v>0</v>
      </c>
      <c r="N244" t="n">
        <v>0</v>
      </c>
      <c r="O244" t="n">
        <v>0</v>
      </c>
      <c r="P244" t="n">
        <v>0</v>
      </c>
      <c r="Q244" t="n">
        <v>0</v>
      </c>
      <c r="R244" s="2" t="inlineStr"/>
    </row>
    <row r="245" ht="15" customHeight="1">
      <c r="A245" t="inlineStr">
        <is>
          <t>A 2830-2023</t>
        </is>
      </c>
      <c r="B245" s="1" t="n">
        <v>44945</v>
      </c>
      <c r="C245" s="1" t="n">
        <v>46200</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43566-2023</t>
        </is>
      </c>
      <c r="B246" s="1" t="n">
        <v>45184</v>
      </c>
      <c r="C246" s="1" t="n">
        <v>46200</v>
      </c>
      <c r="D246" t="inlineStr">
        <is>
          <t>DALARNAS LÄN</t>
        </is>
      </c>
      <c r="E246" t="inlineStr">
        <is>
          <t>MORA</t>
        </is>
      </c>
      <c r="F246" t="inlineStr">
        <is>
          <t>Bergvik skog väst AB</t>
        </is>
      </c>
      <c r="G246" t="n">
        <v>4.3</v>
      </c>
      <c r="H246" t="n">
        <v>0</v>
      </c>
      <c r="I246" t="n">
        <v>0</v>
      </c>
      <c r="J246" t="n">
        <v>0</v>
      </c>
      <c r="K246" t="n">
        <v>0</v>
      </c>
      <c r="L246" t="n">
        <v>0</v>
      </c>
      <c r="M246" t="n">
        <v>0</v>
      </c>
      <c r="N246" t="n">
        <v>0</v>
      </c>
      <c r="O246" t="n">
        <v>0</v>
      </c>
      <c r="P246" t="n">
        <v>0</v>
      </c>
      <c r="Q246" t="n">
        <v>0</v>
      </c>
      <c r="R246" s="2" t="inlineStr"/>
    </row>
    <row r="247" ht="15" customHeight="1">
      <c r="A247" t="inlineStr">
        <is>
          <t>A 31085-2024</t>
        </is>
      </c>
      <c r="B247" s="1" t="n">
        <v>45502</v>
      </c>
      <c r="C247" s="1" t="n">
        <v>46200</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60051-2022</t>
        </is>
      </c>
      <c r="B248" s="1" t="n">
        <v>44909</v>
      </c>
      <c r="C248" s="1" t="n">
        <v>46200</v>
      </c>
      <c r="D248" t="inlineStr">
        <is>
          <t>DALARNAS LÄN</t>
        </is>
      </c>
      <c r="E248" t="inlineStr">
        <is>
          <t>MORA</t>
        </is>
      </c>
      <c r="G248" t="n">
        <v>0.9</v>
      </c>
      <c r="H248" t="n">
        <v>0</v>
      </c>
      <c r="I248" t="n">
        <v>0</v>
      </c>
      <c r="J248" t="n">
        <v>0</v>
      </c>
      <c r="K248" t="n">
        <v>0</v>
      </c>
      <c r="L248" t="n">
        <v>0</v>
      </c>
      <c r="M248" t="n">
        <v>0</v>
      </c>
      <c r="N248" t="n">
        <v>0</v>
      </c>
      <c r="O248" t="n">
        <v>0</v>
      </c>
      <c r="P248" t="n">
        <v>0</v>
      </c>
      <c r="Q248" t="n">
        <v>0</v>
      </c>
      <c r="R248" s="2" t="inlineStr"/>
    </row>
    <row r="249" ht="15" customHeight="1">
      <c r="A249" t="inlineStr">
        <is>
          <t>A 13262-2022</t>
        </is>
      </c>
      <c r="B249" s="1" t="n">
        <v>44644</v>
      </c>
      <c r="C249" s="1" t="n">
        <v>46200</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66232-2021</t>
        </is>
      </c>
      <c r="B250" s="1" t="n">
        <v>44518</v>
      </c>
      <c r="C250" s="1" t="n">
        <v>46200</v>
      </c>
      <c r="D250" t="inlineStr">
        <is>
          <t>DALARNAS LÄN</t>
        </is>
      </c>
      <c r="E250" t="inlineStr">
        <is>
          <t>MORA</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45562-2023</t>
        </is>
      </c>
      <c r="B251" s="1" t="n">
        <v>45194</v>
      </c>
      <c r="C251" s="1" t="n">
        <v>46200</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50056-2022</t>
        </is>
      </c>
      <c r="B252" s="1" t="n">
        <v>44865</v>
      </c>
      <c r="C252" s="1" t="n">
        <v>46200</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15643-2025</t>
        </is>
      </c>
      <c r="B253" s="1" t="n">
        <v>45748</v>
      </c>
      <c r="C253" s="1" t="n">
        <v>46200</v>
      </c>
      <c r="D253" t="inlineStr">
        <is>
          <t>DALARNAS LÄN</t>
        </is>
      </c>
      <c r="E253" t="inlineStr">
        <is>
          <t>MORA</t>
        </is>
      </c>
      <c r="G253" t="n">
        <v>7.6</v>
      </c>
      <c r="H253" t="n">
        <v>0</v>
      </c>
      <c r="I253" t="n">
        <v>0</v>
      </c>
      <c r="J253" t="n">
        <v>0</v>
      </c>
      <c r="K253" t="n">
        <v>0</v>
      </c>
      <c r="L253" t="n">
        <v>0</v>
      </c>
      <c r="M253" t="n">
        <v>0</v>
      </c>
      <c r="N253" t="n">
        <v>0</v>
      </c>
      <c r="O253" t="n">
        <v>0</v>
      </c>
      <c r="P253" t="n">
        <v>0</v>
      </c>
      <c r="Q253" t="n">
        <v>0</v>
      </c>
      <c r="R253" s="2" t="inlineStr"/>
    </row>
    <row r="254" ht="15" customHeight="1">
      <c r="A254" t="inlineStr">
        <is>
          <t>A 46755-2023</t>
        </is>
      </c>
      <c r="B254" s="1" t="n">
        <v>45198</v>
      </c>
      <c r="C254" s="1" t="n">
        <v>46200</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18122-2025</t>
        </is>
      </c>
      <c r="B255" s="1" t="n">
        <v>45761</v>
      </c>
      <c r="C255" s="1" t="n">
        <v>46200</v>
      </c>
      <c r="D255" t="inlineStr">
        <is>
          <t>DALARNAS LÄN</t>
        </is>
      </c>
      <c r="E255" t="inlineStr">
        <is>
          <t>MORA</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5491-2023</t>
        </is>
      </c>
      <c r="B256" s="1" t="n">
        <v>44957</v>
      </c>
      <c r="C256" s="1" t="n">
        <v>46200</v>
      </c>
      <c r="D256" t="inlineStr">
        <is>
          <t>DALARNAS LÄN</t>
        </is>
      </c>
      <c r="E256" t="inlineStr">
        <is>
          <t>MORA</t>
        </is>
      </c>
      <c r="G256" t="n">
        <v>3.5</v>
      </c>
      <c r="H256" t="n">
        <v>0</v>
      </c>
      <c r="I256" t="n">
        <v>0</v>
      </c>
      <c r="J256" t="n">
        <v>0</v>
      </c>
      <c r="K256" t="n">
        <v>0</v>
      </c>
      <c r="L256" t="n">
        <v>0</v>
      </c>
      <c r="M256" t="n">
        <v>0</v>
      </c>
      <c r="N256" t="n">
        <v>0</v>
      </c>
      <c r="O256" t="n">
        <v>0</v>
      </c>
      <c r="P256" t="n">
        <v>0</v>
      </c>
      <c r="Q256" t="n">
        <v>0</v>
      </c>
      <c r="R256" s="2" t="inlineStr"/>
    </row>
    <row r="257" ht="15" customHeight="1">
      <c r="A257" t="inlineStr">
        <is>
          <t>A 5493-2023</t>
        </is>
      </c>
      <c r="B257" s="1" t="n">
        <v>44957</v>
      </c>
      <c r="C257" s="1" t="n">
        <v>46200</v>
      </c>
      <c r="D257" t="inlineStr">
        <is>
          <t>DALARNAS LÄN</t>
        </is>
      </c>
      <c r="E257" t="inlineStr">
        <is>
          <t>MORA</t>
        </is>
      </c>
      <c r="F257" t="inlineStr">
        <is>
          <t>Allmännings- och besparingsskogar</t>
        </is>
      </c>
      <c r="G257" t="n">
        <v>14.9</v>
      </c>
      <c r="H257" t="n">
        <v>0</v>
      </c>
      <c r="I257" t="n">
        <v>0</v>
      </c>
      <c r="J257" t="n">
        <v>0</v>
      </c>
      <c r="K257" t="n">
        <v>0</v>
      </c>
      <c r="L257" t="n">
        <v>0</v>
      </c>
      <c r="M257" t="n">
        <v>0</v>
      </c>
      <c r="N257" t="n">
        <v>0</v>
      </c>
      <c r="O257" t="n">
        <v>0</v>
      </c>
      <c r="P257" t="n">
        <v>0</v>
      </c>
      <c r="Q257" t="n">
        <v>0</v>
      </c>
      <c r="R257" s="2" t="inlineStr"/>
    </row>
    <row r="258" ht="15" customHeight="1">
      <c r="A258" t="inlineStr">
        <is>
          <t>A 48825-2023</t>
        </is>
      </c>
      <c r="B258" s="1" t="n">
        <v>45203</v>
      </c>
      <c r="C258" s="1" t="n">
        <v>46200</v>
      </c>
      <c r="D258" t="inlineStr">
        <is>
          <t>DALARNAS LÄN</t>
        </is>
      </c>
      <c r="E258" t="inlineStr">
        <is>
          <t>MORA</t>
        </is>
      </c>
      <c r="G258" t="n">
        <v>7.9</v>
      </c>
      <c r="H258" t="n">
        <v>0</v>
      </c>
      <c r="I258" t="n">
        <v>0</v>
      </c>
      <c r="J258" t="n">
        <v>0</v>
      </c>
      <c r="K258" t="n">
        <v>0</v>
      </c>
      <c r="L258" t="n">
        <v>0</v>
      </c>
      <c r="M258" t="n">
        <v>0</v>
      </c>
      <c r="N258" t="n">
        <v>0</v>
      </c>
      <c r="O258" t="n">
        <v>0</v>
      </c>
      <c r="P258" t="n">
        <v>0</v>
      </c>
      <c r="Q258" t="n">
        <v>0</v>
      </c>
      <c r="R258" s="2" t="inlineStr"/>
    </row>
    <row r="259" ht="15" customHeight="1">
      <c r="A259" t="inlineStr">
        <is>
          <t>A 44817-2023</t>
        </is>
      </c>
      <c r="B259" s="1" t="n">
        <v>45190</v>
      </c>
      <c r="C259" s="1" t="n">
        <v>46200</v>
      </c>
      <c r="D259" t="inlineStr">
        <is>
          <t>DALARNAS LÄN</t>
        </is>
      </c>
      <c r="E259" t="inlineStr">
        <is>
          <t>MORA</t>
        </is>
      </c>
      <c r="G259" t="n">
        <v>1.6</v>
      </c>
      <c r="H259" t="n">
        <v>0</v>
      </c>
      <c r="I259" t="n">
        <v>0</v>
      </c>
      <c r="J259" t="n">
        <v>0</v>
      </c>
      <c r="K259" t="n">
        <v>0</v>
      </c>
      <c r="L259" t="n">
        <v>0</v>
      </c>
      <c r="M259" t="n">
        <v>0</v>
      </c>
      <c r="N259" t="n">
        <v>0</v>
      </c>
      <c r="O259" t="n">
        <v>0</v>
      </c>
      <c r="P259" t="n">
        <v>0</v>
      </c>
      <c r="Q259" t="n">
        <v>0</v>
      </c>
      <c r="R259" s="2" t="inlineStr"/>
    </row>
    <row r="260" ht="15" customHeight="1">
      <c r="A260" t="inlineStr">
        <is>
          <t>A 20930-2024</t>
        </is>
      </c>
      <c r="B260" s="1" t="n">
        <v>45439</v>
      </c>
      <c r="C260" s="1" t="n">
        <v>46200</v>
      </c>
      <c r="D260" t="inlineStr">
        <is>
          <t>DALARNAS LÄN</t>
        </is>
      </c>
      <c r="E260" t="inlineStr">
        <is>
          <t>MORA</t>
        </is>
      </c>
      <c r="F260" t="inlineStr">
        <is>
          <t>Bergvik skog väst AB</t>
        </is>
      </c>
      <c r="G260" t="n">
        <v>5.3</v>
      </c>
      <c r="H260" t="n">
        <v>0</v>
      </c>
      <c r="I260" t="n">
        <v>0</v>
      </c>
      <c r="J260" t="n">
        <v>0</v>
      </c>
      <c r="K260" t="n">
        <v>0</v>
      </c>
      <c r="L260" t="n">
        <v>0</v>
      </c>
      <c r="M260" t="n">
        <v>0</v>
      </c>
      <c r="N260" t="n">
        <v>0</v>
      </c>
      <c r="O260" t="n">
        <v>0</v>
      </c>
      <c r="P260" t="n">
        <v>0</v>
      </c>
      <c r="Q260" t="n">
        <v>0</v>
      </c>
      <c r="R260" s="2" t="inlineStr"/>
    </row>
    <row r="261" ht="15" customHeight="1">
      <c r="A261" t="inlineStr">
        <is>
          <t>A 42611-2022</t>
        </is>
      </c>
      <c r="B261" s="1" t="n">
        <v>44831</v>
      </c>
      <c r="C261" s="1" t="n">
        <v>46200</v>
      </c>
      <c r="D261" t="inlineStr">
        <is>
          <t>DALARNAS LÄN</t>
        </is>
      </c>
      <c r="E261" t="inlineStr">
        <is>
          <t>MORA</t>
        </is>
      </c>
      <c r="G261" t="n">
        <v>2.1</v>
      </c>
      <c r="H261" t="n">
        <v>0</v>
      </c>
      <c r="I261" t="n">
        <v>0</v>
      </c>
      <c r="J261" t="n">
        <v>0</v>
      </c>
      <c r="K261" t="n">
        <v>0</v>
      </c>
      <c r="L261" t="n">
        <v>0</v>
      </c>
      <c r="M261" t="n">
        <v>0</v>
      </c>
      <c r="N261" t="n">
        <v>0</v>
      </c>
      <c r="O261" t="n">
        <v>0</v>
      </c>
      <c r="P261" t="n">
        <v>0</v>
      </c>
      <c r="Q261" t="n">
        <v>0</v>
      </c>
      <c r="R261" s="2" t="inlineStr"/>
    </row>
    <row r="262" ht="15" customHeight="1">
      <c r="A262" t="inlineStr">
        <is>
          <t>A 39511-2024</t>
        </is>
      </c>
      <c r="B262" s="1" t="n">
        <v>45551</v>
      </c>
      <c r="C262" s="1" t="n">
        <v>46200</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57797-2022</t>
        </is>
      </c>
      <c r="B263" s="1" t="n">
        <v>44897</v>
      </c>
      <c r="C263" s="1" t="n">
        <v>46200</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27125-2024</t>
        </is>
      </c>
      <c r="B264" s="1" t="n">
        <v>45471</v>
      </c>
      <c r="C264" s="1" t="n">
        <v>46200</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30822-2024</t>
        </is>
      </c>
      <c r="B265" s="1" t="n">
        <v>45497</v>
      </c>
      <c r="C265" s="1" t="n">
        <v>46200</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33676-2023</t>
        </is>
      </c>
      <c r="B266" s="1" t="n">
        <v>45132</v>
      </c>
      <c r="C266" s="1" t="n">
        <v>46200</v>
      </c>
      <c r="D266" t="inlineStr">
        <is>
          <t>DALARNAS LÄN</t>
        </is>
      </c>
      <c r="E266" t="inlineStr">
        <is>
          <t>MORA</t>
        </is>
      </c>
      <c r="F266" t="inlineStr">
        <is>
          <t>Bergvik skog öst AB</t>
        </is>
      </c>
      <c r="G266" t="n">
        <v>2.7</v>
      </c>
      <c r="H266" t="n">
        <v>0</v>
      </c>
      <c r="I266" t="n">
        <v>0</v>
      </c>
      <c r="J266" t="n">
        <v>0</v>
      </c>
      <c r="K266" t="n">
        <v>0</v>
      </c>
      <c r="L266" t="n">
        <v>0</v>
      </c>
      <c r="M266" t="n">
        <v>0</v>
      </c>
      <c r="N266" t="n">
        <v>0</v>
      </c>
      <c r="O266" t="n">
        <v>0</v>
      </c>
      <c r="P266" t="n">
        <v>0</v>
      </c>
      <c r="Q266" t="n">
        <v>0</v>
      </c>
      <c r="R266" s="2" t="inlineStr"/>
    </row>
    <row r="267" ht="15" customHeight="1">
      <c r="A267" t="inlineStr">
        <is>
          <t>A 61188-2024</t>
        </is>
      </c>
      <c r="B267" s="1" t="n">
        <v>45645</v>
      </c>
      <c r="C267" s="1" t="n">
        <v>46200</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6371-2022</t>
        </is>
      </c>
      <c r="B268" s="1" t="n">
        <v>44600</v>
      </c>
      <c r="C268" s="1" t="n">
        <v>46200</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37710-2023</t>
        </is>
      </c>
      <c r="B269" s="1" t="n">
        <v>45159</v>
      </c>
      <c r="C269" s="1" t="n">
        <v>46200</v>
      </c>
      <c r="D269" t="inlineStr">
        <is>
          <t>DALARNAS LÄN</t>
        </is>
      </c>
      <c r="E269" t="inlineStr">
        <is>
          <t>MORA</t>
        </is>
      </c>
      <c r="G269" t="n">
        <v>1.9</v>
      </c>
      <c r="H269" t="n">
        <v>0</v>
      </c>
      <c r="I269" t="n">
        <v>0</v>
      </c>
      <c r="J269" t="n">
        <v>0</v>
      </c>
      <c r="K269" t="n">
        <v>0</v>
      </c>
      <c r="L269" t="n">
        <v>0</v>
      </c>
      <c r="M269" t="n">
        <v>0</v>
      </c>
      <c r="N269" t="n">
        <v>0</v>
      </c>
      <c r="O269" t="n">
        <v>0</v>
      </c>
      <c r="P269" t="n">
        <v>0</v>
      </c>
      <c r="Q269" t="n">
        <v>0</v>
      </c>
      <c r="R269" s="2" t="inlineStr"/>
    </row>
    <row r="270" ht="15" customHeight="1">
      <c r="A270" t="inlineStr">
        <is>
          <t>A 53344-2023</t>
        </is>
      </c>
      <c r="B270" s="1" t="n">
        <v>45229</v>
      </c>
      <c r="C270" s="1" t="n">
        <v>46200</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28934-2023</t>
        </is>
      </c>
      <c r="B271" s="1" t="n">
        <v>45104</v>
      </c>
      <c r="C271" s="1" t="n">
        <v>46200</v>
      </c>
      <c r="D271" t="inlineStr">
        <is>
          <t>DALARNAS LÄN</t>
        </is>
      </c>
      <c r="E271" t="inlineStr">
        <is>
          <t>MORA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29193-2023</t>
        </is>
      </c>
      <c r="B272" s="1" t="n">
        <v>45105</v>
      </c>
      <c r="C272" s="1" t="n">
        <v>46200</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18444-2024</t>
        </is>
      </c>
      <c r="B273" s="1" t="n">
        <v>45425</v>
      </c>
      <c r="C273" s="1" t="n">
        <v>46200</v>
      </c>
      <c r="D273" t="inlineStr">
        <is>
          <t>DALARNAS LÄN</t>
        </is>
      </c>
      <c r="E273" t="inlineStr">
        <is>
          <t>MORA</t>
        </is>
      </c>
      <c r="G273" t="n">
        <v>5</v>
      </c>
      <c r="H273" t="n">
        <v>0</v>
      </c>
      <c r="I273" t="n">
        <v>0</v>
      </c>
      <c r="J273" t="n">
        <v>0</v>
      </c>
      <c r="K273" t="n">
        <v>0</v>
      </c>
      <c r="L273" t="n">
        <v>0</v>
      </c>
      <c r="M273" t="n">
        <v>0</v>
      </c>
      <c r="N273" t="n">
        <v>0</v>
      </c>
      <c r="O273" t="n">
        <v>0</v>
      </c>
      <c r="P273" t="n">
        <v>0</v>
      </c>
      <c r="Q273" t="n">
        <v>0</v>
      </c>
      <c r="R273" s="2" t="inlineStr"/>
    </row>
    <row r="274" ht="15" customHeight="1">
      <c r="A274" t="inlineStr">
        <is>
          <t>A 27420-2024</t>
        </is>
      </c>
      <c r="B274" s="1" t="n">
        <v>45474</v>
      </c>
      <c r="C274" s="1" t="n">
        <v>46200</v>
      </c>
      <c r="D274" t="inlineStr">
        <is>
          <t>DALARNAS LÄN</t>
        </is>
      </c>
      <c r="E274" t="inlineStr">
        <is>
          <t>MORA</t>
        </is>
      </c>
      <c r="G274" t="n">
        <v>7.3</v>
      </c>
      <c r="H274" t="n">
        <v>0</v>
      </c>
      <c r="I274" t="n">
        <v>0</v>
      </c>
      <c r="J274" t="n">
        <v>0</v>
      </c>
      <c r="K274" t="n">
        <v>0</v>
      </c>
      <c r="L274" t="n">
        <v>0</v>
      </c>
      <c r="M274" t="n">
        <v>0</v>
      </c>
      <c r="N274" t="n">
        <v>0</v>
      </c>
      <c r="O274" t="n">
        <v>0</v>
      </c>
      <c r="P274" t="n">
        <v>0</v>
      </c>
      <c r="Q274" t="n">
        <v>0</v>
      </c>
      <c r="R274" s="2" t="inlineStr"/>
    </row>
    <row r="275" ht="15" customHeight="1">
      <c r="A275" t="inlineStr">
        <is>
          <t>A 15416-2023</t>
        </is>
      </c>
      <c r="B275" s="1" t="n">
        <v>45019</v>
      </c>
      <c r="C275" s="1" t="n">
        <v>46200</v>
      </c>
      <c r="D275" t="inlineStr">
        <is>
          <t>DALARNAS LÄN</t>
        </is>
      </c>
      <c r="E275" t="inlineStr">
        <is>
          <t>MORA</t>
        </is>
      </c>
      <c r="G275" t="n">
        <v>2</v>
      </c>
      <c r="H275" t="n">
        <v>0</v>
      </c>
      <c r="I275" t="n">
        <v>0</v>
      </c>
      <c r="J275" t="n">
        <v>0</v>
      </c>
      <c r="K275" t="n">
        <v>0</v>
      </c>
      <c r="L275" t="n">
        <v>0</v>
      </c>
      <c r="M275" t="n">
        <v>0</v>
      </c>
      <c r="N275" t="n">
        <v>0</v>
      </c>
      <c r="O275" t="n">
        <v>0</v>
      </c>
      <c r="P275" t="n">
        <v>0</v>
      </c>
      <c r="Q275" t="n">
        <v>0</v>
      </c>
      <c r="R275" s="2" t="inlineStr"/>
    </row>
    <row r="276" ht="15" customHeight="1">
      <c r="A276" t="inlineStr">
        <is>
          <t>A 39344-2024</t>
        </is>
      </c>
      <c r="B276" s="1" t="n">
        <v>45551</v>
      </c>
      <c r="C276" s="1" t="n">
        <v>46200</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54253-2023</t>
        </is>
      </c>
      <c r="B277" s="1" t="n">
        <v>45232</v>
      </c>
      <c r="C277" s="1" t="n">
        <v>46200</v>
      </c>
      <c r="D277" t="inlineStr">
        <is>
          <t>DALARNAS LÄN</t>
        </is>
      </c>
      <c r="E277" t="inlineStr">
        <is>
          <t>MORA</t>
        </is>
      </c>
      <c r="G277" t="n">
        <v>4.5</v>
      </c>
      <c r="H277" t="n">
        <v>0</v>
      </c>
      <c r="I277" t="n">
        <v>0</v>
      </c>
      <c r="J277" t="n">
        <v>0</v>
      </c>
      <c r="K277" t="n">
        <v>0</v>
      </c>
      <c r="L277" t="n">
        <v>0</v>
      </c>
      <c r="M277" t="n">
        <v>0</v>
      </c>
      <c r="N277" t="n">
        <v>0</v>
      </c>
      <c r="O277" t="n">
        <v>0</v>
      </c>
      <c r="P277" t="n">
        <v>0</v>
      </c>
      <c r="Q277" t="n">
        <v>0</v>
      </c>
      <c r="R277" s="2" t="inlineStr"/>
    </row>
    <row r="278" ht="15" customHeight="1">
      <c r="A278" t="inlineStr">
        <is>
          <t>A 24590-2024</t>
        </is>
      </c>
      <c r="B278" s="1" t="n">
        <v>45460</v>
      </c>
      <c r="C278" s="1" t="n">
        <v>46200</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57608-2021</t>
        </is>
      </c>
      <c r="B279" s="1" t="n">
        <v>44484</v>
      </c>
      <c r="C279" s="1" t="n">
        <v>46200</v>
      </c>
      <c r="D279" t="inlineStr">
        <is>
          <t>DALARNAS LÄN</t>
        </is>
      </c>
      <c r="E279" t="inlineStr">
        <is>
          <t>MORA</t>
        </is>
      </c>
      <c r="G279" t="n">
        <v>6.3</v>
      </c>
      <c r="H279" t="n">
        <v>0</v>
      </c>
      <c r="I279" t="n">
        <v>0</v>
      </c>
      <c r="J279" t="n">
        <v>0</v>
      </c>
      <c r="K279" t="n">
        <v>0</v>
      </c>
      <c r="L279" t="n">
        <v>0</v>
      </c>
      <c r="M279" t="n">
        <v>0</v>
      </c>
      <c r="N279" t="n">
        <v>0</v>
      </c>
      <c r="O279" t="n">
        <v>0</v>
      </c>
      <c r="P279" t="n">
        <v>0</v>
      </c>
      <c r="Q279" t="n">
        <v>0</v>
      </c>
      <c r="R279" s="2" t="inlineStr"/>
    </row>
    <row r="280" ht="15" customHeight="1">
      <c r="A280" t="inlineStr">
        <is>
          <t>A 24169-2022</t>
        </is>
      </c>
      <c r="B280" s="1" t="n">
        <v>44725</v>
      </c>
      <c r="C280" s="1" t="n">
        <v>46200</v>
      </c>
      <c r="D280" t="inlineStr">
        <is>
          <t>DALARNAS LÄN</t>
        </is>
      </c>
      <c r="E280" t="inlineStr">
        <is>
          <t>MORA</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35551-2023</t>
        </is>
      </c>
      <c r="B281" s="1" t="n">
        <v>45147</v>
      </c>
      <c r="C281" s="1" t="n">
        <v>46200</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59174-2023</t>
        </is>
      </c>
      <c r="B282" s="1" t="n">
        <v>45253</v>
      </c>
      <c r="C282" s="1" t="n">
        <v>46200</v>
      </c>
      <c r="D282" t="inlineStr">
        <is>
          <t>DALARNAS LÄN</t>
        </is>
      </c>
      <c r="E282" t="inlineStr">
        <is>
          <t>MORA</t>
        </is>
      </c>
      <c r="G282" t="n">
        <v>2.5</v>
      </c>
      <c r="H282" t="n">
        <v>0</v>
      </c>
      <c r="I282" t="n">
        <v>0</v>
      </c>
      <c r="J282" t="n">
        <v>0</v>
      </c>
      <c r="K282" t="n">
        <v>0</v>
      </c>
      <c r="L282" t="n">
        <v>0</v>
      </c>
      <c r="M282" t="n">
        <v>0</v>
      </c>
      <c r="N282" t="n">
        <v>0</v>
      </c>
      <c r="O282" t="n">
        <v>0</v>
      </c>
      <c r="P282" t="n">
        <v>0</v>
      </c>
      <c r="Q282" t="n">
        <v>0</v>
      </c>
      <c r="R282" s="2" t="inlineStr"/>
    </row>
    <row r="283" ht="15" customHeight="1">
      <c r="A283" t="inlineStr">
        <is>
          <t>A 43641-2022</t>
        </is>
      </c>
      <c r="B283" s="1" t="n">
        <v>44837</v>
      </c>
      <c r="C283" s="1" t="n">
        <v>46200</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53750-2024</t>
        </is>
      </c>
      <c r="B284" s="1" t="n">
        <v>45615</v>
      </c>
      <c r="C284" s="1" t="n">
        <v>46200</v>
      </c>
      <c r="D284" t="inlineStr">
        <is>
          <t>DALARNAS LÄN</t>
        </is>
      </c>
      <c r="E284" t="inlineStr">
        <is>
          <t>MORA</t>
        </is>
      </c>
      <c r="G284" t="n">
        <v>2.3</v>
      </c>
      <c r="H284" t="n">
        <v>0</v>
      </c>
      <c r="I284" t="n">
        <v>0</v>
      </c>
      <c r="J284" t="n">
        <v>0</v>
      </c>
      <c r="K284" t="n">
        <v>0</v>
      </c>
      <c r="L284" t="n">
        <v>0</v>
      </c>
      <c r="M284" t="n">
        <v>0</v>
      </c>
      <c r="N284" t="n">
        <v>0</v>
      </c>
      <c r="O284" t="n">
        <v>0</v>
      </c>
      <c r="P284" t="n">
        <v>0</v>
      </c>
      <c r="Q284" t="n">
        <v>0</v>
      </c>
      <c r="R284" s="2" t="inlineStr"/>
    </row>
    <row r="285" ht="15" customHeight="1">
      <c r="A285" t="inlineStr">
        <is>
          <t>A 53754-2024</t>
        </is>
      </c>
      <c r="B285" s="1" t="n">
        <v>45615</v>
      </c>
      <c r="C285" s="1" t="n">
        <v>46200</v>
      </c>
      <c r="D285" t="inlineStr">
        <is>
          <t>DALARNAS LÄN</t>
        </is>
      </c>
      <c r="E285" t="inlineStr">
        <is>
          <t>MORA</t>
        </is>
      </c>
      <c r="G285" t="n">
        <v>4.8</v>
      </c>
      <c r="H285" t="n">
        <v>0</v>
      </c>
      <c r="I285" t="n">
        <v>0</v>
      </c>
      <c r="J285" t="n">
        <v>0</v>
      </c>
      <c r="K285" t="n">
        <v>0</v>
      </c>
      <c r="L285" t="n">
        <v>0</v>
      </c>
      <c r="M285" t="n">
        <v>0</v>
      </c>
      <c r="N285" t="n">
        <v>0</v>
      </c>
      <c r="O285" t="n">
        <v>0</v>
      </c>
      <c r="P285" t="n">
        <v>0</v>
      </c>
      <c r="Q285" t="n">
        <v>0</v>
      </c>
      <c r="R285" s="2" t="inlineStr"/>
    </row>
    <row r="286" ht="15" customHeight="1">
      <c r="A286" t="inlineStr">
        <is>
          <t>A 55331-2022</t>
        </is>
      </c>
      <c r="B286" s="1" t="n">
        <v>44887</v>
      </c>
      <c r="C286" s="1" t="n">
        <v>46200</v>
      </c>
      <c r="D286" t="inlineStr">
        <is>
          <t>DALARNAS LÄN</t>
        </is>
      </c>
      <c r="E286" t="inlineStr">
        <is>
          <t>MORA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14040-2023</t>
        </is>
      </c>
      <c r="B287" s="1" t="n">
        <v>45008</v>
      </c>
      <c r="C287" s="1" t="n">
        <v>46200</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18120-2025</t>
        </is>
      </c>
      <c r="B288" s="1" t="n">
        <v>45761</v>
      </c>
      <c r="C288" s="1" t="n">
        <v>46200</v>
      </c>
      <c r="D288" t="inlineStr">
        <is>
          <t>DALARNAS LÄN</t>
        </is>
      </c>
      <c r="E288" t="inlineStr">
        <is>
          <t>MORA</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18127-2025</t>
        </is>
      </c>
      <c r="B289" s="1" t="n">
        <v>45761</v>
      </c>
      <c r="C289" s="1" t="n">
        <v>46200</v>
      </c>
      <c r="D289" t="inlineStr">
        <is>
          <t>DALARNAS LÄN</t>
        </is>
      </c>
      <c r="E289" t="inlineStr">
        <is>
          <t>MORA</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25887-2023</t>
        </is>
      </c>
      <c r="B290" s="1" t="n">
        <v>45090</v>
      </c>
      <c r="C290" s="1" t="n">
        <v>46200</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4489-2022</t>
        </is>
      </c>
      <c r="B291" s="1" t="n">
        <v>44589</v>
      </c>
      <c r="C291" s="1" t="n">
        <v>46200</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45574-2023</t>
        </is>
      </c>
      <c r="B292" s="1" t="n">
        <v>45194</v>
      </c>
      <c r="C292" s="1" t="n">
        <v>46200</v>
      </c>
      <c r="D292" t="inlineStr">
        <is>
          <t>DALARNAS LÄN</t>
        </is>
      </c>
      <c r="E292" t="inlineStr">
        <is>
          <t>MORA</t>
        </is>
      </c>
      <c r="G292" t="n">
        <v>6.3</v>
      </c>
      <c r="H292" t="n">
        <v>0</v>
      </c>
      <c r="I292" t="n">
        <v>0</v>
      </c>
      <c r="J292" t="n">
        <v>0</v>
      </c>
      <c r="K292" t="n">
        <v>0</v>
      </c>
      <c r="L292" t="n">
        <v>0</v>
      </c>
      <c r="M292" t="n">
        <v>0</v>
      </c>
      <c r="N292" t="n">
        <v>0</v>
      </c>
      <c r="O292" t="n">
        <v>0</v>
      </c>
      <c r="P292" t="n">
        <v>0</v>
      </c>
      <c r="Q292" t="n">
        <v>0</v>
      </c>
      <c r="R292" s="2" t="inlineStr"/>
    </row>
    <row r="293" ht="15" customHeight="1">
      <c r="A293" t="inlineStr">
        <is>
          <t>A 64099-2023</t>
        </is>
      </c>
      <c r="B293" s="1" t="n">
        <v>45279</v>
      </c>
      <c r="C293" s="1" t="n">
        <v>46200</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19842-2025</t>
        </is>
      </c>
      <c r="B294" s="1" t="n">
        <v>45771</v>
      </c>
      <c r="C294" s="1" t="n">
        <v>46200</v>
      </c>
      <c r="D294" t="inlineStr">
        <is>
          <t>DALARNAS LÄN</t>
        </is>
      </c>
      <c r="E294" t="inlineStr">
        <is>
          <t>MORA</t>
        </is>
      </c>
      <c r="G294" t="n">
        <v>1.9</v>
      </c>
      <c r="H294" t="n">
        <v>0</v>
      </c>
      <c r="I294" t="n">
        <v>0</v>
      </c>
      <c r="J294" t="n">
        <v>0</v>
      </c>
      <c r="K294" t="n">
        <v>0</v>
      </c>
      <c r="L294" t="n">
        <v>0</v>
      </c>
      <c r="M294" t="n">
        <v>0</v>
      </c>
      <c r="N294" t="n">
        <v>0</v>
      </c>
      <c r="O294" t="n">
        <v>0</v>
      </c>
      <c r="P294" t="n">
        <v>0</v>
      </c>
      <c r="Q294" t="n">
        <v>0</v>
      </c>
      <c r="R294" s="2" t="inlineStr"/>
    </row>
    <row r="295" ht="15" customHeight="1">
      <c r="A295" t="inlineStr">
        <is>
          <t>A 30819-2024</t>
        </is>
      </c>
      <c r="B295" s="1" t="n">
        <v>45497</v>
      </c>
      <c r="C295" s="1" t="n">
        <v>46200</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26731-2025</t>
        </is>
      </c>
      <c r="B296" s="1" t="n">
        <v>45810</v>
      </c>
      <c r="C296" s="1" t="n">
        <v>46200</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20885-2024</t>
        </is>
      </c>
      <c r="B297" s="1" t="n">
        <v>45439</v>
      </c>
      <c r="C297" s="1" t="n">
        <v>46200</v>
      </c>
      <c r="D297" t="inlineStr">
        <is>
          <t>DALARNAS LÄN</t>
        </is>
      </c>
      <c r="E297" t="inlineStr">
        <is>
          <t>MORA</t>
        </is>
      </c>
      <c r="G297" t="n">
        <v>5</v>
      </c>
      <c r="H297" t="n">
        <v>0</v>
      </c>
      <c r="I297" t="n">
        <v>0</v>
      </c>
      <c r="J297" t="n">
        <v>0</v>
      </c>
      <c r="K297" t="n">
        <v>0</v>
      </c>
      <c r="L297" t="n">
        <v>0</v>
      </c>
      <c r="M297" t="n">
        <v>0</v>
      </c>
      <c r="N297" t="n">
        <v>0</v>
      </c>
      <c r="O297" t="n">
        <v>0</v>
      </c>
      <c r="P297" t="n">
        <v>0</v>
      </c>
      <c r="Q297" t="n">
        <v>0</v>
      </c>
      <c r="R297" s="2" t="inlineStr"/>
    </row>
    <row r="298" ht="15" customHeight="1">
      <c r="A298" t="inlineStr">
        <is>
          <t>A 56425-2024</t>
        </is>
      </c>
      <c r="B298" s="1" t="n">
        <v>45625</v>
      </c>
      <c r="C298" s="1" t="n">
        <v>46200</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26711-2025</t>
        </is>
      </c>
      <c r="B299" s="1" t="n">
        <v>45810</v>
      </c>
      <c r="C299" s="1" t="n">
        <v>46200</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40949-2023</t>
        </is>
      </c>
      <c r="B300" s="1" t="n">
        <v>45173</v>
      </c>
      <c r="C300" s="1" t="n">
        <v>46200</v>
      </c>
      <c r="D300" t="inlineStr">
        <is>
          <t>DALARNAS LÄN</t>
        </is>
      </c>
      <c r="E300" t="inlineStr">
        <is>
          <t>MORA</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7565-2025</t>
        </is>
      </c>
      <c r="B301" s="1" t="n">
        <v>45705</v>
      </c>
      <c r="C301" s="1" t="n">
        <v>46200</v>
      </c>
      <c r="D301" t="inlineStr">
        <is>
          <t>DALARNAS LÄN</t>
        </is>
      </c>
      <c r="E301" t="inlineStr">
        <is>
          <t>MORA</t>
        </is>
      </c>
      <c r="G301" t="n">
        <v>3</v>
      </c>
      <c r="H301" t="n">
        <v>0</v>
      </c>
      <c r="I301" t="n">
        <v>0</v>
      </c>
      <c r="J301" t="n">
        <v>0</v>
      </c>
      <c r="K301" t="n">
        <v>0</v>
      </c>
      <c r="L301" t="n">
        <v>0</v>
      </c>
      <c r="M301" t="n">
        <v>0</v>
      </c>
      <c r="N301" t="n">
        <v>0</v>
      </c>
      <c r="O301" t="n">
        <v>0</v>
      </c>
      <c r="P301" t="n">
        <v>0</v>
      </c>
      <c r="Q301" t="n">
        <v>0</v>
      </c>
      <c r="R301" s="2" t="inlineStr"/>
    </row>
    <row r="302" ht="15" customHeight="1">
      <c r="A302" t="inlineStr">
        <is>
          <t>A 5216-2025</t>
        </is>
      </c>
      <c r="B302" s="1" t="n">
        <v>45691</v>
      </c>
      <c r="C302" s="1" t="n">
        <v>46200</v>
      </c>
      <c r="D302" t="inlineStr">
        <is>
          <t>DALARNAS LÄN</t>
        </is>
      </c>
      <c r="E302" t="inlineStr">
        <is>
          <t>MORA</t>
        </is>
      </c>
      <c r="G302" t="n">
        <v>2.5</v>
      </c>
      <c r="H302" t="n">
        <v>0</v>
      </c>
      <c r="I302" t="n">
        <v>0</v>
      </c>
      <c r="J302" t="n">
        <v>0</v>
      </c>
      <c r="K302" t="n">
        <v>0</v>
      </c>
      <c r="L302" t="n">
        <v>0</v>
      </c>
      <c r="M302" t="n">
        <v>0</v>
      </c>
      <c r="N302" t="n">
        <v>0</v>
      </c>
      <c r="O302" t="n">
        <v>0</v>
      </c>
      <c r="P302" t="n">
        <v>0</v>
      </c>
      <c r="Q302" t="n">
        <v>0</v>
      </c>
      <c r="R302" s="2" t="inlineStr"/>
    </row>
    <row r="303" ht="15" customHeight="1">
      <c r="A303" t="inlineStr">
        <is>
          <t>A 26647-2025</t>
        </is>
      </c>
      <c r="B303" s="1" t="n">
        <v>45810</v>
      </c>
      <c r="C303" s="1" t="n">
        <v>46200</v>
      </c>
      <c r="D303" t="inlineStr">
        <is>
          <t>DALARNAS LÄN</t>
        </is>
      </c>
      <c r="E303" t="inlineStr">
        <is>
          <t>MORA</t>
        </is>
      </c>
      <c r="G303" t="n">
        <v>7.9</v>
      </c>
      <c r="H303" t="n">
        <v>0</v>
      </c>
      <c r="I303" t="n">
        <v>0</v>
      </c>
      <c r="J303" t="n">
        <v>0</v>
      </c>
      <c r="K303" t="n">
        <v>0</v>
      </c>
      <c r="L303" t="n">
        <v>0</v>
      </c>
      <c r="M303" t="n">
        <v>0</v>
      </c>
      <c r="N303" t="n">
        <v>0</v>
      </c>
      <c r="O303" t="n">
        <v>0</v>
      </c>
      <c r="P303" t="n">
        <v>0</v>
      </c>
      <c r="Q303" t="n">
        <v>0</v>
      </c>
      <c r="R303" s="2" t="inlineStr"/>
    </row>
    <row r="304" ht="15" customHeight="1">
      <c r="A304" t="inlineStr">
        <is>
          <t>A 18134-2025</t>
        </is>
      </c>
      <c r="B304" s="1" t="n">
        <v>45761</v>
      </c>
      <c r="C304" s="1" t="n">
        <v>46200</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17172-2025</t>
        </is>
      </c>
      <c r="B305" s="1" t="n">
        <v>45756</v>
      </c>
      <c r="C305" s="1" t="n">
        <v>46200</v>
      </c>
      <c r="D305" t="inlineStr">
        <is>
          <t>DALARNAS LÄN</t>
        </is>
      </c>
      <c r="E305" t="inlineStr">
        <is>
          <t>MORA</t>
        </is>
      </c>
      <c r="F305" t="inlineStr">
        <is>
          <t>Bergvik skog öst AB</t>
        </is>
      </c>
      <c r="G305" t="n">
        <v>0.5</v>
      </c>
      <c r="H305" t="n">
        <v>0</v>
      </c>
      <c r="I305" t="n">
        <v>0</v>
      </c>
      <c r="J305" t="n">
        <v>0</v>
      </c>
      <c r="K305" t="n">
        <v>0</v>
      </c>
      <c r="L305" t="n">
        <v>0</v>
      </c>
      <c r="M305" t="n">
        <v>0</v>
      </c>
      <c r="N305" t="n">
        <v>0</v>
      </c>
      <c r="O305" t="n">
        <v>0</v>
      </c>
      <c r="P305" t="n">
        <v>0</v>
      </c>
      <c r="Q305" t="n">
        <v>0</v>
      </c>
      <c r="R305" s="2" t="inlineStr"/>
    </row>
    <row r="306" ht="15" customHeight="1">
      <c r="A306" t="inlineStr">
        <is>
          <t>A 39009-2023</t>
        </is>
      </c>
      <c r="B306" s="1" t="n">
        <v>45162</v>
      </c>
      <c r="C306" s="1" t="n">
        <v>46200</v>
      </c>
      <c r="D306" t="inlineStr">
        <is>
          <t>DALARNAS LÄN</t>
        </is>
      </c>
      <c r="E306" t="inlineStr">
        <is>
          <t>MORA</t>
        </is>
      </c>
      <c r="G306" t="n">
        <v>1.9</v>
      </c>
      <c r="H306" t="n">
        <v>0</v>
      </c>
      <c r="I306" t="n">
        <v>0</v>
      </c>
      <c r="J306" t="n">
        <v>0</v>
      </c>
      <c r="K306" t="n">
        <v>0</v>
      </c>
      <c r="L306" t="n">
        <v>0</v>
      </c>
      <c r="M306" t="n">
        <v>0</v>
      </c>
      <c r="N306" t="n">
        <v>0</v>
      </c>
      <c r="O306" t="n">
        <v>0</v>
      </c>
      <c r="P306" t="n">
        <v>0</v>
      </c>
      <c r="Q306" t="n">
        <v>0</v>
      </c>
      <c r="R306" s="2" t="inlineStr"/>
    </row>
    <row r="307" ht="15" customHeight="1">
      <c r="A307" t="inlineStr">
        <is>
          <t>A 45674-2024</t>
        </is>
      </c>
      <c r="B307" s="1" t="n">
        <v>45573</v>
      </c>
      <c r="C307" s="1" t="n">
        <v>46200</v>
      </c>
      <c r="D307" t="inlineStr">
        <is>
          <t>DALARNAS LÄN</t>
        </is>
      </c>
      <c r="E307" t="inlineStr">
        <is>
          <t>MORA</t>
        </is>
      </c>
      <c r="G307" t="n">
        <v>3.2</v>
      </c>
      <c r="H307" t="n">
        <v>0</v>
      </c>
      <c r="I307" t="n">
        <v>0</v>
      </c>
      <c r="J307" t="n">
        <v>0</v>
      </c>
      <c r="K307" t="n">
        <v>0</v>
      </c>
      <c r="L307" t="n">
        <v>0</v>
      </c>
      <c r="M307" t="n">
        <v>0</v>
      </c>
      <c r="N307" t="n">
        <v>0</v>
      </c>
      <c r="O307" t="n">
        <v>0</v>
      </c>
      <c r="P307" t="n">
        <v>0</v>
      </c>
      <c r="Q307" t="n">
        <v>0</v>
      </c>
      <c r="R307" s="2" t="inlineStr"/>
    </row>
    <row r="308" ht="15" customHeight="1">
      <c r="A308" t="inlineStr">
        <is>
          <t>A 27642-2025</t>
        </is>
      </c>
      <c r="B308" s="1" t="n">
        <v>45813</v>
      </c>
      <c r="C308" s="1" t="n">
        <v>46200</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60360-2023</t>
        </is>
      </c>
      <c r="B309" s="1" t="n">
        <v>45259</v>
      </c>
      <c r="C309" s="1" t="n">
        <v>46200</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27184-2025</t>
        </is>
      </c>
      <c r="B310" s="1" t="n">
        <v>45812</v>
      </c>
      <c r="C310" s="1" t="n">
        <v>46200</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17164-2025</t>
        </is>
      </c>
      <c r="B311" s="1" t="n">
        <v>45756</v>
      </c>
      <c r="C311" s="1" t="n">
        <v>46200</v>
      </c>
      <c r="D311" t="inlineStr">
        <is>
          <t>DALARNAS LÄN</t>
        </is>
      </c>
      <c r="E311" t="inlineStr">
        <is>
          <t>MORA</t>
        </is>
      </c>
      <c r="F311" t="inlineStr">
        <is>
          <t>Bergvik skog öst AB</t>
        </is>
      </c>
      <c r="G311" t="n">
        <v>0.3</v>
      </c>
      <c r="H311" t="n">
        <v>0</v>
      </c>
      <c r="I311" t="n">
        <v>0</v>
      </c>
      <c r="J311" t="n">
        <v>0</v>
      </c>
      <c r="K311" t="n">
        <v>0</v>
      </c>
      <c r="L311" t="n">
        <v>0</v>
      </c>
      <c r="M311" t="n">
        <v>0</v>
      </c>
      <c r="N311" t="n">
        <v>0</v>
      </c>
      <c r="O311" t="n">
        <v>0</v>
      </c>
      <c r="P311" t="n">
        <v>0</v>
      </c>
      <c r="Q311" t="n">
        <v>0</v>
      </c>
      <c r="R311" s="2" t="inlineStr"/>
    </row>
    <row r="312" ht="15" customHeight="1">
      <c r="A312" t="inlineStr">
        <is>
          <t>A 14611-2025</t>
        </is>
      </c>
      <c r="B312" s="1" t="n">
        <v>45742</v>
      </c>
      <c r="C312" s="1" t="n">
        <v>46200</v>
      </c>
      <c r="D312" t="inlineStr">
        <is>
          <t>DALARNAS LÄN</t>
        </is>
      </c>
      <c r="E312" t="inlineStr">
        <is>
          <t>MORA</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18139-2025</t>
        </is>
      </c>
      <c r="B313" s="1" t="n">
        <v>45761</v>
      </c>
      <c r="C313" s="1" t="n">
        <v>46200</v>
      </c>
      <c r="D313" t="inlineStr">
        <is>
          <t>DALARNAS LÄN</t>
        </is>
      </c>
      <c r="E313" t="inlineStr">
        <is>
          <t>MORA</t>
        </is>
      </c>
      <c r="F313" t="inlineStr">
        <is>
          <t>Bergvik skog öst AB</t>
        </is>
      </c>
      <c r="G313" t="n">
        <v>3</v>
      </c>
      <c r="H313" t="n">
        <v>0</v>
      </c>
      <c r="I313" t="n">
        <v>0</v>
      </c>
      <c r="J313" t="n">
        <v>0</v>
      </c>
      <c r="K313" t="n">
        <v>0</v>
      </c>
      <c r="L313" t="n">
        <v>0</v>
      </c>
      <c r="M313" t="n">
        <v>0</v>
      </c>
      <c r="N313" t="n">
        <v>0</v>
      </c>
      <c r="O313" t="n">
        <v>0</v>
      </c>
      <c r="P313" t="n">
        <v>0</v>
      </c>
      <c r="Q313" t="n">
        <v>0</v>
      </c>
      <c r="R313" s="2" t="inlineStr"/>
    </row>
    <row r="314" ht="15" customHeight="1">
      <c r="A314" t="inlineStr">
        <is>
          <t>A 35327-2024</t>
        </is>
      </c>
      <c r="B314" s="1" t="n">
        <v>45530</v>
      </c>
      <c r="C314" s="1" t="n">
        <v>46200</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31112-2024</t>
        </is>
      </c>
      <c r="B315" s="1" t="n">
        <v>45502</v>
      </c>
      <c r="C315" s="1" t="n">
        <v>46200</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57999-2023</t>
        </is>
      </c>
      <c r="B316" s="1" t="n">
        <v>45247</v>
      </c>
      <c r="C316" s="1" t="n">
        <v>46200</v>
      </c>
      <c r="D316" t="inlineStr">
        <is>
          <t>DALARNAS LÄN</t>
        </is>
      </c>
      <c r="E316" t="inlineStr">
        <is>
          <t>MORA</t>
        </is>
      </c>
      <c r="G316" t="n">
        <v>0.4</v>
      </c>
      <c r="H316" t="n">
        <v>0</v>
      </c>
      <c r="I316" t="n">
        <v>0</v>
      </c>
      <c r="J316" t="n">
        <v>0</v>
      </c>
      <c r="K316" t="n">
        <v>0</v>
      </c>
      <c r="L316" t="n">
        <v>0</v>
      </c>
      <c r="M316" t="n">
        <v>0</v>
      </c>
      <c r="N316" t="n">
        <v>0</v>
      </c>
      <c r="O316" t="n">
        <v>0</v>
      </c>
      <c r="P316" t="n">
        <v>0</v>
      </c>
      <c r="Q316" t="n">
        <v>0</v>
      </c>
      <c r="R316" s="2" t="inlineStr"/>
    </row>
    <row r="317" ht="15" customHeight="1">
      <c r="A317" t="inlineStr">
        <is>
          <t>A 442-2024</t>
        </is>
      </c>
      <c r="B317" s="1" t="n">
        <v>45296</v>
      </c>
      <c r="C317" s="1" t="n">
        <v>46200</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501-2024</t>
        </is>
      </c>
      <c r="B318" s="1" t="n">
        <v>45299</v>
      </c>
      <c r="C318" s="1" t="n">
        <v>46200</v>
      </c>
      <c r="D318" t="inlineStr">
        <is>
          <t>DALARNAS LÄN</t>
        </is>
      </c>
      <c r="E318" t="inlineStr">
        <is>
          <t>MORA</t>
        </is>
      </c>
      <c r="G318" t="n">
        <v>2.5</v>
      </c>
      <c r="H318" t="n">
        <v>0</v>
      </c>
      <c r="I318" t="n">
        <v>0</v>
      </c>
      <c r="J318" t="n">
        <v>0</v>
      </c>
      <c r="K318" t="n">
        <v>0</v>
      </c>
      <c r="L318" t="n">
        <v>0</v>
      </c>
      <c r="M318" t="n">
        <v>0</v>
      </c>
      <c r="N318" t="n">
        <v>0</v>
      </c>
      <c r="O318" t="n">
        <v>0</v>
      </c>
      <c r="P318" t="n">
        <v>0</v>
      </c>
      <c r="Q318" t="n">
        <v>0</v>
      </c>
      <c r="R318" s="2" t="inlineStr"/>
    </row>
    <row r="319" ht="15" customHeight="1">
      <c r="A319" t="inlineStr">
        <is>
          <t>A 24335-2022</t>
        </is>
      </c>
      <c r="B319" s="1" t="n">
        <v>44725</v>
      </c>
      <c r="C319" s="1" t="n">
        <v>46200</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48570-2022</t>
        </is>
      </c>
      <c r="B320" s="1" t="n">
        <v>44859</v>
      </c>
      <c r="C320" s="1" t="n">
        <v>46200</v>
      </c>
      <c r="D320" t="inlineStr">
        <is>
          <t>DALARNAS LÄN</t>
        </is>
      </c>
      <c r="E320" t="inlineStr">
        <is>
          <t>MORA</t>
        </is>
      </c>
      <c r="G320" t="n">
        <v>6.2</v>
      </c>
      <c r="H320" t="n">
        <v>0</v>
      </c>
      <c r="I320" t="n">
        <v>0</v>
      </c>
      <c r="J320" t="n">
        <v>0</v>
      </c>
      <c r="K320" t="n">
        <v>0</v>
      </c>
      <c r="L320" t="n">
        <v>0</v>
      </c>
      <c r="M320" t="n">
        <v>0</v>
      </c>
      <c r="N320" t="n">
        <v>0</v>
      </c>
      <c r="O320" t="n">
        <v>0</v>
      </c>
      <c r="P320" t="n">
        <v>0</v>
      </c>
      <c r="Q320" t="n">
        <v>0</v>
      </c>
      <c r="R320" s="2" t="inlineStr"/>
    </row>
    <row r="321" ht="15" customHeight="1">
      <c r="A321" t="inlineStr">
        <is>
          <t>A 19814-2025</t>
        </is>
      </c>
      <c r="B321" s="1" t="n">
        <v>45771</v>
      </c>
      <c r="C321" s="1" t="n">
        <v>46200</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44205-2023</t>
        </is>
      </c>
      <c r="B322" s="1" t="n">
        <v>45188</v>
      </c>
      <c r="C322" s="1" t="n">
        <v>46200</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60526-2023</t>
        </is>
      </c>
      <c r="B323" s="1" t="n">
        <v>45259</v>
      </c>
      <c r="C323" s="1" t="n">
        <v>46200</v>
      </c>
      <c r="D323" t="inlineStr">
        <is>
          <t>DALARNAS LÄN</t>
        </is>
      </c>
      <c r="E323" t="inlineStr">
        <is>
          <t>MORA</t>
        </is>
      </c>
      <c r="G323" t="n">
        <v>6.7</v>
      </c>
      <c r="H323" t="n">
        <v>0</v>
      </c>
      <c r="I323" t="n">
        <v>0</v>
      </c>
      <c r="J323" t="n">
        <v>0</v>
      </c>
      <c r="K323" t="n">
        <v>0</v>
      </c>
      <c r="L323" t="n">
        <v>0</v>
      </c>
      <c r="M323" t="n">
        <v>0</v>
      </c>
      <c r="N323" t="n">
        <v>0</v>
      </c>
      <c r="O323" t="n">
        <v>0</v>
      </c>
      <c r="P323" t="n">
        <v>0</v>
      </c>
      <c r="Q323" t="n">
        <v>0</v>
      </c>
      <c r="R323" s="2" t="inlineStr"/>
    </row>
    <row r="324" ht="15" customHeight="1">
      <c r="A324" t="inlineStr">
        <is>
          <t>A 34660-2021</t>
        </is>
      </c>
      <c r="B324" s="1" t="n">
        <v>44382</v>
      </c>
      <c r="C324" s="1" t="n">
        <v>46200</v>
      </c>
      <c r="D324" t="inlineStr">
        <is>
          <t>DALARNAS LÄN</t>
        </is>
      </c>
      <c r="E324" t="inlineStr">
        <is>
          <t>MORA</t>
        </is>
      </c>
      <c r="G324" t="n">
        <v>7.5</v>
      </c>
      <c r="H324" t="n">
        <v>0</v>
      </c>
      <c r="I324" t="n">
        <v>0</v>
      </c>
      <c r="J324" t="n">
        <v>0</v>
      </c>
      <c r="K324" t="n">
        <v>0</v>
      </c>
      <c r="L324" t="n">
        <v>0</v>
      </c>
      <c r="M324" t="n">
        <v>0</v>
      </c>
      <c r="N324" t="n">
        <v>0</v>
      </c>
      <c r="O324" t="n">
        <v>0</v>
      </c>
      <c r="P324" t="n">
        <v>0</v>
      </c>
      <c r="Q324" t="n">
        <v>0</v>
      </c>
      <c r="R324" s="2" t="inlineStr"/>
    </row>
    <row r="325" ht="15" customHeight="1">
      <c r="A325" t="inlineStr">
        <is>
          <t>A 22732-2024</t>
        </is>
      </c>
      <c r="B325" s="1" t="n">
        <v>45448</v>
      </c>
      <c r="C325" s="1" t="n">
        <v>46200</v>
      </c>
      <c r="D325" t="inlineStr">
        <is>
          <t>DALARNAS LÄN</t>
        </is>
      </c>
      <c r="E325" t="inlineStr">
        <is>
          <t>MORA</t>
        </is>
      </c>
      <c r="G325" t="n">
        <v>3.6</v>
      </c>
      <c r="H325" t="n">
        <v>0</v>
      </c>
      <c r="I325" t="n">
        <v>0</v>
      </c>
      <c r="J325" t="n">
        <v>0</v>
      </c>
      <c r="K325" t="n">
        <v>0</v>
      </c>
      <c r="L325" t="n">
        <v>0</v>
      </c>
      <c r="M325" t="n">
        <v>0</v>
      </c>
      <c r="N325" t="n">
        <v>0</v>
      </c>
      <c r="O325" t="n">
        <v>0</v>
      </c>
      <c r="P325" t="n">
        <v>0</v>
      </c>
      <c r="Q325" t="n">
        <v>0</v>
      </c>
      <c r="R325" s="2" t="inlineStr"/>
    </row>
    <row r="326" ht="15" customHeight="1">
      <c r="A326" t="inlineStr">
        <is>
          <t>A 19756-2022</t>
        </is>
      </c>
      <c r="B326" s="1" t="n">
        <v>44694</v>
      </c>
      <c r="C326" s="1" t="n">
        <v>46200</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28976-2025</t>
        </is>
      </c>
      <c r="B327" s="1" t="n">
        <v>45821</v>
      </c>
      <c r="C327" s="1" t="n">
        <v>46200</v>
      </c>
      <c r="D327" t="inlineStr">
        <is>
          <t>DALARNAS LÄN</t>
        </is>
      </c>
      <c r="E327" t="inlineStr">
        <is>
          <t>MORA</t>
        </is>
      </c>
      <c r="F327" t="inlineStr">
        <is>
          <t>Bergvik skog öst AB</t>
        </is>
      </c>
      <c r="G327" t="n">
        <v>1.2</v>
      </c>
      <c r="H327" t="n">
        <v>0</v>
      </c>
      <c r="I327" t="n">
        <v>0</v>
      </c>
      <c r="J327" t="n">
        <v>0</v>
      </c>
      <c r="K327" t="n">
        <v>0</v>
      </c>
      <c r="L327" t="n">
        <v>0</v>
      </c>
      <c r="M327" t="n">
        <v>0</v>
      </c>
      <c r="N327" t="n">
        <v>0</v>
      </c>
      <c r="O327" t="n">
        <v>0</v>
      </c>
      <c r="P327" t="n">
        <v>0</v>
      </c>
      <c r="Q327" t="n">
        <v>0</v>
      </c>
      <c r="R327" s="2" t="inlineStr"/>
    </row>
    <row r="328" ht="15" customHeight="1">
      <c r="A328" t="inlineStr">
        <is>
          <t>A 28927-2025</t>
        </is>
      </c>
      <c r="B328" s="1" t="n">
        <v>45820</v>
      </c>
      <c r="C328" s="1" t="n">
        <v>46200</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28924-2025</t>
        </is>
      </c>
      <c r="B329" s="1" t="n">
        <v>45820</v>
      </c>
      <c r="C329" s="1" t="n">
        <v>46200</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28751-2025</t>
        </is>
      </c>
      <c r="B330" s="1" t="n">
        <v>45820</v>
      </c>
      <c r="C330" s="1" t="n">
        <v>46200</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53341-2023</t>
        </is>
      </c>
      <c r="B331" s="1" t="n">
        <v>45229</v>
      </c>
      <c r="C331" s="1" t="n">
        <v>46200</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12828-2023</t>
        </is>
      </c>
      <c r="B332" s="1" t="n">
        <v>45001</v>
      </c>
      <c r="C332" s="1" t="n">
        <v>46200</v>
      </c>
      <c r="D332" t="inlineStr">
        <is>
          <t>DALARNAS LÄN</t>
        </is>
      </c>
      <c r="E332" t="inlineStr">
        <is>
          <t>MORA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46801-2022</t>
        </is>
      </c>
      <c r="B333" s="1" t="n">
        <v>44851</v>
      </c>
      <c r="C333" s="1" t="n">
        <v>46200</v>
      </c>
      <c r="D333" t="inlineStr">
        <is>
          <t>DALARNAS LÄN</t>
        </is>
      </c>
      <c r="E333" t="inlineStr">
        <is>
          <t>MORA</t>
        </is>
      </c>
      <c r="G333" t="n">
        <v>1.5</v>
      </c>
      <c r="H333" t="n">
        <v>0</v>
      </c>
      <c r="I333" t="n">
        <v>0</v>
      </c>
      <c r="J333" t="n">
        <v>0</v>
      </c>
      <c r="K333" t="n">
        <v>0</v>
      </c>
      <c r="L333" t="n">
        <v>0</v>
      </c>
      <c r="M333" t="n">
        <v>0</v>
      </c>
      <c r="N333" t="n">
        <v>0</v>
      </c>
      <c r="O333" t="n">
        <v>0</v>
      </c>
      <c r="P333" t="n">
        <v>0</v>
      </c>
      <c r="Q333" t="n">
        <v>0</v>
      </c>
      <c r="R333" s="2" t="inlineStr"/>
    </row>
    <row r="334" ht="15" customHeight="1">
      <c r="A334" t="inlineStr">
        <is>
          <t>A 5644-2024</t>
        </is>
      </c>
      <c r="B334" s="1" t="n">
        <v>45334</v>
      </c>
      <c r="C334" s="1" t="n">
        <v>46200</v>
      </c>
      <c r="D334" t="inlineStr">
        <is>
          <t>DALARNAS LÄN</t>
        </is>
      </c>
      <c r="E334" t="inlineStr">
        <is>
          <t>MORA</t>
        </is>
      </c>
      <c r="F334" t="inlineStr">
        <is>
          <t>Bergvik skog väst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42934-2024</t>
        </is>
      </c>
      <c r="B335" s="1" t="n">
        <v>45567</v>
      </c>
      <c r="C335" s="1" t="n">
        <v>46200</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17516-2024</t>
        </is>
      </c>
      <c r="B336" s="1" t="n">
        <v>45415</v>
      </c>
      <c r="C336" s="1" t="n">
        <v>46200</v>
      </c>
      <c r="D336" t="inlineStr">
        <is>
          <t>DALARNAS LÄN</t>
        </is>
      </c>
      <c r="E336" t="inlineStr">
        <is>
          <t>MORA</t>
        </is>
      </c>
      <c r="G336" t="n">
        <v>1.4</v>
      </c>
      <c r="H336" t="n">
        <v>0</v>
      </c>
      <c r="I336" t="n">
        <v>0</v>
      </c>
      <c r="J336" t="n">
        <v>0</v>
      </c>
      <c r="K336" t="n">
        <v>0</v>
      </c>
      <c r="L336" t="n">
        <v>0</v>
      </c>
      <c r="M336" t="n">
        <v>0</v>
      </c>
      <c r="N336" t="n">
        <v>0</v>
      </c>
      <c r="O336" t="n">
        <v>0</v>
      </c>
      <c r="P336" t="n">
        <v>0</v>
      </c>
      <c r="Q336" t="n">
        <v>0</v>
      </c>
      <c r="R336" s="2" t="inlineStr"/>
    </row>
    <row r="337" ht="15" customHeight="1">
      <c r="A337" t="inlineStr">
        <is>
          <t>A 33627-2024</t>
        </is>
      </c>
      <c r="B337" s="1" t="n">
        <v>45520</v>
      </c>
      <c r="C337" s="1" t="n">
        <v>46200</v>
      </c>
      <c r="D337" t="inlineStr">
        <is>
          <t>DALARNAS LÄN</t>
        </is>
      </c>
      <c r="E337" t="inlineStr">
        <is>
          <t>MORA</t>
        </is>
      </c>
      <c r="G337" t="n">
        <v>1.1</v>
      </c>
      <c r="H337" t="n">
        <v>0</v>
      </c>
      <c r="I337" t="n">
        <v>0</v>
      </c>
      <c r="J337" t="n">
        <v>0</v>
      </c>
      <c r="K337" t="n">
        <v>0</v>
      </c>
      <c r="L337" t="n">
        <v>0</v>
      </c>
      <c r="M337" t="n">
        <v>0</v>
      </c>
      <c r="N337" t="n">
        <v>0</v>
      </c>
      <c r="O337" t="n">
        <v>0</v>
      </c>
      <c r="P337" t="n">
        <v>0</v>
      </c>
      <c r="Q337" t="n">
        <v>0</v>
      </c>
      <c r="R337" s="2" t="inlineStr"/>
    </row>
    <row r="338" ht="15" customHeight="1">
      <c r="A338" t="inlineStr">
        <is>
          <t>A 49159-2023</t>
        </is>
      </c>
      <c r="B338" s="1" t="n">
        <v>45210</v>
      </c>
      <c r="C338" s="1" t="n">
        <v>46200</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29528-2025</t>
        </is>
      </c>
      <c r="B339" s="1" t="n">
        <v>45825</v>
      </c>
      <c r="C339" s="1" t="n">
        <v>46200</v>
      </c>
      <c r="D339" t="inlineStr">
        <is>
          <t>DALARNAS LÄN</t>
        </is>
      </c>
      <c r="E339" t="inlineStr">
        <is>
          <t>MORA</t>
        </is>
      </c>
      <c r="G339" t="n">
        <v>2.2</v>
      </c>
      <c r="H339" t="n">
        <v>0</v>
      </c>
      <c r="I339" t="n">
        <v>0</v>
      </c>
      <c r="J339" t="n">
        <v>0</v>
      </c>
      <c r="K339" t="n">
        <v>0</v>
      </c>
      <c r="L339" t="n">
        <v>0</v>
      </c>
      <c r="M339" t="n">
        <v>0</v>
      </c>
      <c r="N339" t="n">
        <v>0</v>
      </c>
      <c r="O339" t="n">
        <v>0</v>
      </c>
      <c r="P339" t="n">
        <v>0</v>
      </c>
      <c r="Q339" t="n">
        <v>0</v>
      </c>
      <c r="R339" s="2" t="inlineStr"/>
    </row>
    <row r="340" ht="15" customHeight="1">
      <c r="A340" t="inlineStr">
        <is>
          <t>A 29188-2023</t>
        </is>
      </c>
      <c r="B340" s="1" t="n">
        <v>45105</v>
      </c>
      <c r="C340" s="1" t="n">
        <v>46200</v>
      </c>
      <c r="D340" t="inlineStr">
        <is>
          <t>DALARNAS LÄN</t>
        </is>
      </c>
      <c r="E340" t="inlineStr">
        <is>
          <t>MORA</t>
        </is>
      </c>
      <c r="G340" t="n">
        <v>0.8</v>
      </c>
      <c r="H340" t="n">
        <v>0</v>
      </c>
      <c r="I340" t="n">
        <v>0</v>
      </c>
      <c r="J340" t="n">
        <v>0</v>
      </c>
      <c r="K340" t="n">
        <v>0</v>
      </c>
      <c r="L340" t="n">
        <v>0</v>
      </c>
      <c r="M340" t="n">
        <v>0</v>
      </c>
      <c r="N340" t="n">
        <v>0</v>
      </c>
      <c r="O340" t="n">
        <v>0</v>
      </c>
      <c r="P340" t="n">
        <v>0</v>
      </c>
      <c r="Q340" t="n">
        <v>0</v>
      </c>
      <c r="R340" s="2" t="inlineStr"/>
    </row>
    <row r="341" ht="15" customHeight="1">
      <c r="A341" t="inlineStr">
        <is>
          <t>A 33666-2024</t>
        </is>
      </c>
      <c r="B341" s="1" t="n">
        <v>45520</v>
      </c>
      <c r="C341" s="1" t="n">
        <v>46200</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21410-2023</t>
        </is>
      </c>
      <c r="B342" s="1" t="n">
        <v>45063</v>
      </c>
      <c r="C342" s="1" t="n">
        <v>46200</v>
      </c>
      <c r="D342" t="inlineStr">
        <is>
          <t>DALARNAS LÄN</t>
        </is>
      </c>
      <c r="E342" t="inlineStr">
        <is>
          <t>MORA</t>
        </is>
      </c>
      <c r="G342" t="n">
        <v>7</v>
      </c>
      <c r="H342" t="n">
        <v>0</v>
      </c>
      <c r="I342" t="n">
        <v>0</v>
      </c>
      <c r="J342" t="n">
        <v>0</v>
      </c>
      <c r="K342" t="n">
        <v>0</v>
      </c>
      <c r="L342" t="n">
        <v>0</v>
      </c>
      <c r="M342" t="n">
        <v>0</v>
      </c>
      <c r="N342" t="n">
        <v>0</v>
      </c>
      <c r="O342" t="n">
        <v>0</v>
      </c>
      <c r="P342" t="n">
        <v>0</v>
      </c>
      <c r="Q342" t="n">
        <v>0</v>
      </c>
      <c r="R342" s="2" t="inlineStr"/>
    </row>
    <row r="343" ht="15" customHeight="1">
      <c r="A343" t="inlineStr">
        <is>
          <t>A 41812-2024</t>
        </is>
      </c>
      <c r="B343" s="1" t="n">
        <v>45561</v>
      </c>
      <c r="C343" s="1" t="n">
        <v>46200</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29870-2025</t>
        </is>
      </c>
      <c r="B344" s="1" t="n">
        <v>45826</v>
      </c>
      <c r="C344" s="1" t="n">
        <v>46200</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29873-2025</t>
        </is>
      </c>
      <c r="B345" s="1" t="n">
        <v>45826</v>
      </c>
      <c r="C345" s="1" t="n">
        <v>46200</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30985-2024</t>
        </is>
      </c>
      <c r="B346" s="1" t="n">
        <v>45499</v>
      </c>
      <c r="C346" s="1" t="n">
        <v>46200</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30507-2025</t>
        </is>
      </c>
      <c r="B347" s="1" t="n">
        <v>45831</v>
      </c>
      <c r="C347" s="1" t="n">
        <v>46200</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30509-2025</t>
        </is>
      </c>
      <c r="B348" s="1" t="n">
        <v>45831</v>
      </c>
      <c r="C348" s="1" t="n">
        <v>46200</v>
      </c>
      <c r="D348" t="inlineStr">
        <is>
          <t>DALARNAS LÄN</t>
        </is>
      </c>
      <c r="E348" t="inlineStr">
        <is>
          <t>MORA</t>
        </is>
      </c>
      <c r="G348" t="n">
        <v>1.7</v>
      </c>
      <c r="H348" t="n">
        <v>0</v>
      </c>
      <c r="I348" t="n">
        <v>0</v>
      </c>
      <c r="J348" t="n">
        <v>0</v>
      </c>
      <c r="K348" t="n">
        <v>0</v>
      </c>
      <c r="L348" t="n">
        <v>0</v>
      </c>
      <c r="M348" t="n">
        <v>0</v>
      </c>
      <c r="N348" t="n">
        <v>0</v>
      </c>
      <c r="O348" t="n">
        <v>0</v>
      </c>
      <c r="P348" t="n">
        <v>0</v>
      </c>
      <c r="Q348" t="n">
        <v>0</v>
      </c>
      <c r="R348" s="2" t="inlineStr"/>
    </row>
    <row r="349" ht="15" customHeight="1">
      <c r="A349" t="inlineStr">
        <is>
          <t>A 45475-2023</t>
        </is>
      </c>
      <c r="B349" s="1" t="n">
        <v>45188</v>
      </c>
      <c r="C349" s="1" t="n">
        <v>46200</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44071-2024</t>
        </is>
      </c>
      <c r="B350" s="1" t="n">
        <v>45572</v>
      </c>
      <c r="C350" s="1" t="n">
        <v>46200</v>
      </c>
      <c r="D350" t="inlineStr">
        <is>
          <t>DALARNAS LÄN</t>
        </is>
      </c>
      <c r="E350" t="inlineStr">
        <is>
          <t>MORA</t>
        </is>
      </c>
      <c r="G350" t="n">
        <v>4.5</v>
      </c>
      <c r="H350" t="n">
        <v>0</v>
      </c>
      <c r="I350" t="n">
        <v>0</v>
      </c>
      <c r="J350" t="n">
        <v>0</v>
      </c>
      <c r="K350" t="n">
        <v>0</v>
      </c>
      <c r="L350" t="n">
        <v>0</v>
      </c>
      <c r="M350" t="n">
        <v>0</v>
      </c>
      <c r="N350" t="n">
        <v>0</v>
      </c>
      <c r="O350" t="n">
        <v>0</v>
      </c>
      <c r="P350" t="n">
        <v>0</v>
      </c>
      <c r="Q350" t="n">
        <v>0</v>
      </c>
      <c r="R350" s="2" t="inlineStr"/>
    </row>
    <row r="351" ht="15" customHeight="1">
      <c r="A351" t="inlineStr">
        <is>
          <t>A 18202-2024</t>
        </is>
      </c>
      <c r="B351" s="1" t="n">
        <v>45420</v>
      </c>
      <c r="C351" s="1" t="n">
        <v>46200</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40286-2024</t>
        </is>
      </c>
      <c r="B352" s="1" t="n">
        <v>45554</v>
      </c>
      <c r="C352" s="1" t="n">
        <v>46200</v>
      </c>
      <c r="D352" t="inlineStr">
        <is>
          <t>DALARNAS LÄN</t>
        </is>
      </c>
      <c r="E352" t="inlineStr">
        <is>
          <t>MORA</t>
        </is>
      </c>
      <c r="G352" t="n">
        <v>0.4</v>
      </c>
      <c r="H352" t="n">
        <v>0</v>
      </c>
      <c r="I352" t="n">
        <v>0</v>
      </c>
      <c r="J352" t="n">
        <v>0</v>
      </c>
      <c r="K352" t="n">
        <v>0</v>
      </c>
      <c r="L352" t="n">
        <v>0</v>
      </c>
      <c r="M352" t="n">
        <v>0</v>
      </c>
      <c r="N352" t="n">
        <v>0</v>
      </c>
      <c r="O352" t="n">
        <v>0</v>
      </c>
      <c r="P352" t="n">
        <v>0</v>
      </c>
      <c r="Q352" t="n">
        <v>0</v>
      </c>
      <c r="R352" s="2" t="inlineStr"/>
    </row>
    <row r="353" ht="15" customHeight="1">
      <c r="A353" t="inlineStr">
        <is>
          <t>A 41169-2023</t>
        </is>
      </c>
      <c r="B353" s="1" t="n">
        <v>45174</v>
      </c>
      <c r="C353" s="1" t="n">
        <v>46200</v>
      </c>
      <c r="D353" t="inlineStr">
        <is>
          <t>DALARNAS LÄN</t>
        </is>
      </c>
      <c r="E353" t="inlineStr">
        <is>
          <t>MORA</t>
        </is>
      </c>
      <c r="G353" t="n">
        <v>3</v>
      </c>
      <c r="H353" t="n">
        <v>0</v>
      </c>
      <c r="I353" t="n">
        <v>0</v>
      </c>
      <c r="J353" t="n">
        <v>0</v>
      </c>
      <c r="K353" t="n">
        <v>0</v>
      </c>
      <c r="L353" t="n">
        <v>0</v>
      </c>
      <c r="M353" t="n">
        <v>0</v>
      </c>
      <c r="N353" t="n">
        <v>0</v>
      </c>
      <c r="O353" t="n">
        <v>0</v>
      </c>
      <c r="P353" t="n">
        <v>0</v>
      </c>
      <c r="Q353" t="n">
        <v>0</v>
      </c>
      <c r="R353" s="2" t="inlineStr"/>
    </row>
    <row r="354" ht="15" customHeight="1">
      <c r="A354" t="inlineStr">
        <is>
          <t>A 57903-2022</t>
        </is>
      </c>
      <c r="B354" s="1" t="n">
        <v>44900</v>
      </c>
      <c r="C354" s="1" t="n">
        <v>46200</v>
      </c>
      <c r="D354" t="inlineStr">
        <is>
          <t>DALARNAS LÄN</t>
        </is>
      </c>
      <c r="E354" t="inlineStr">
        <is>
          <t>MORA</t>
        </is>
      </c>
      <c r="G354" t="n">
        <v>4.3</v>
      </c>
      <c r="H354" t="n">
        <v>0</v>
      </c>
      <c r="I354" t="n">
        <v>0</v>
      </c>
      <c r="J354" t="n">
        <v>0</v>
      </c>
      <c r="K354" t="n">
        <v>0</v>
      </c>
      <c r="L354" t="n">
        <v>0</v>
      </c>
      <c r="M354" t="n">
        <v>0</v>
      </c>
      <c r="N354" t="n">
        <v>0</v>
      </c>
      <c r="O354" t="n">
        <v>0</v>
      </c>
      <c r="P354" t="n">
        <v>0</v>
      </c>
      <c r="Q354" t="n">
        <v>0</v>
      </c>
      <c r="R354" s="2" t="inlineStr"/>
    </row>
    <row r="355" ht="15" customHeight="1">
      <c r="A355" t="inlineStr">
        <is>
          <t>A 30858-2025</t>
        </is>
      </c>
      <c r="B355" s="1" t="n">
        <v>45831</v>
      </c>
      <c r="C355" s="1" t="n">
        <v>46200</v>
      </c>
      <c r="D355" t="inlineStr">
        <is>
          <t>DALARNAS LÄN</t>
        </is>
      </c>
      <c r="E355" t="inlineStr">
        <is>
          <t>MORA</t>
        </is>
      </c>
      <c r="G355" t="n">
        <v>2.9</v>
      </c>
      <c r="H355" t="n">
        <v>0</v>
      </c>
      <c r="I355" t="n">
        <v>0</v>
      </c>
      <c r="J355" t="n">
        <v>0</v>
      </c>
      <c r="K355" t="n">
        <v>0</v>
      </c>
      <c r="L355" t="n">
        <v>0</v>
      </c>
      <c r="M355" t="n">
        <v>0</v>
      </c>
      <c r="N355" t="n">
        <v>0</v>
      </c>
      <c r="O355" t="n">
        <v>0</v>
      </c>
      <c r="P355" t="n">
        <v>0</v>
      </c>
      <c r="Q355" t="n">
        <v>0</v>
      </c>
      <c r="R355" s="2" t="inlineStr"/>
    </row>
    <row r="356" ht="15" customHeight="1">
      <c r="A356" t="inlineStr">
        <is>
          <t>A 30859-2025</t>
        </is>
      </c>
      <c r="B356" s="1" t="n">
        <v>45831</v>
      </c>
      <c r="C356" s="1" t="n">
        <v>46200</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19193-2025</t>
        </is>
      </c>
      <c r="B357" s="1" t="n">
        <v>45769</v>
      </c>
      <c r="C357" s="1" t="n">
        <v>46200</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6183-2024</t>
        </is>
      </c>
      <c r="B358" s="1" t="n">
        <v>45337</v>
      </c>
      <c r="C358" s="1" t="n">
        <v>46200</v>
      </c>
      <c r="D358" t="inlineStr">
        <is>
          <t>DALARNAS LÄN</t>
        </is>
      </c>
      <c r="E358" t="inlineStr">
        <is>
          <t>MORA</t>
        </is>
      </c>
      <c r="G358" t="n">
        <v>7.9</v>
      </c>
      <c r="H358" t="n">
        <v>0</v>
      </c>
      <c r="I358" t="n">
        <v>0</v>
      </c>
      <c r="J358" t="n">
        <v>0</v>
      </c>
      <c r="K358" t="n">
        <v>0</v>
      </c>
      <c r="L358" t="n">
        <v>0</v>
      </c>
      <c r="M358" t="n">
        <v>0</v>
      </c>
      <c r="N358" t="n">
        <v>0</v>
      </c>
      <c r="O358" t="n">
        <v>0</v>
      </c>
      <c r="P358" t="n">
        <v>0</v>
      </c>
      <c r="Q358" t="n">
        <v>0</v>
      </c>
      <c r="R358" s="2" t="inlineStr"/>
    </row>
    <row r="359" ht="15" customHeight="1">
      <c r="A359" t="inlineStr">
        <is>
          <t>A 43964-2024</t>
        </is>
      </c>
      <c r="B359" s="1" t="n">
        <v>45572</v>
      </c>
      <c r="C359" s="1" t="n">
        <v>46200</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51883-2024</t>
        </is>
      </c>
      <c r="B360" s="1" t="n">
        <v>45607</v>
      </c>
      <c r="C360" s="1" t="n">
        <v>46200</v>
      </c>
      <c r="D360" t="inlineStr">
        <is>
          <t>DALARNAS LÄN</t>
        </is>
      </c>
      <c r="E360" t="inlineStr">
        <is>
          <t>MORA</t>
        </is>
      </c>
      <c r="G360" t="n">
        <v>0.2</v>
      </c>
      <c r="H360" t="n">
        <v>0</v>
      </c>
      <c r="I360" t="n">
        <v>0</v>
      </c>
      <c r="J360" t="n">
        <v>0</v>
      </c>
      <c r="K360" t="n">
        <v>0</v>
      </c>
      <c r="L360" t="n">
        <v>0</v>
      </c>
      <c r="M360" t="n">
        <v>0</v>
      </c>
      <c r="N360" t="n">
        <v>0</v>
      </c>
      <c r="O360" t="n">
        <v>0</v>
      </c>
      <c r="P360" t="n">
        <v>0</v>
      </c>
      <c r="Q360" t="n">
        <v>0</v>
      </c>
      <c r="R360" s="2" t="inlineStr"/>
    </row>
    <row r="361" ht="15" customHeight="1">
      <c r="A361" t="inlineStr">
        <is>
          <t>A 42941-2024</t>
        </is>
      </c>
      <c r="B361" s="1" t="n">
        <v>45567</v>
      </c>
      <c r="C361" s="1" t="n">
        <v>46200</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43826-2022</t>
        </is>
      </c>
      <c r="B362" s="1" t="n">
        <v>44838</v>
      </c>
      <c r="C362" s="1" t="n">
        <v>46200</v>
      </c>
      <c r="D362" t="inlineStr">
        <is>
          <t>DALARNAS LÄN</t>
        </is>
      </c>
      <c r="E362" t="inlineStr">
        <is>
          <t>MORA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46152-2023</t>
        </is>
      </c>
      <c r="B363" s="1" t="n">
        <v>45196</v>
      </c>
      <c r="C363" s="1" t="n">
        <v>46200</v>
      </c>
      <c r="D363" t="inlineStr">
        <is>
          <t>DALARNAS LÄN</t>
        </is>
      </c>
      <c r="E363" t="inlineStr">
        <is>
          <t>MORA</t>
        </is>
      </c>
      <c r="G363" t="n">
        <v>2</v>
      </c>
      <c r="H363" t="n">
        <v>0</v>
      </c>
      <c r="I363" t="n">
        <v>0</v>
      </c>
      <c r="J363" t="n">
        <v>0</v>
      </c>
      <c r="K363" t="n">
        <v>0</v>
      </c>
      <c r="L363" t="n">
        <v>0</v>
      </c>
      <c r="M363" t="n">
        <v>0</v>
      </c>
      <c r="N363" t="n">
        <v>0</v>
      </c>
      <c r="O363" t="n">
        <v>0</v>
      </c>
      <c r="P363" t="n">
        <v>0</v>
      </c>
      <c r="Q363" t="n">
        <v>0</v>
      </c>
      <c r="R363" s="2" t="inlineStr"/>
    </row>
    <row r="364" ht="15" customHeight="1">
      <c r="A364" t="inlineStr">
        <is>
          <t>A 5980-2025</t>
        </is>
      </c>
      <c r="B364" s="1" t="n">
        <v>45695</v>
      </c>
      <c r="C364" s="1" t="n">
        <v>46200</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34382-2025</t>
        </is>
      </c>
      <c r="B365" s="1" t="n">
        <v>45846</v>
      </c>
      <c r="C365" s="1" t="n">
        <v>46200</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48824-2023</t>
        </is>
      </c>
      <c r="B366" s="1" t="n">
        <v>45203</v>
      </c>
      <c r="C366" s="1" t="n">
        <v>46200</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34272-2024</t>
        </is>
      </c>
      <c r="B367" s="1" t="n">
        <v>45524</v>
      </c>
      <c r="C367" s="1" t="n">
        <v>46200</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16733-2024</t>
        </is>
      </c>
      <c r="B368" s="1" t="n">
        <v>45410</v>
      </c>
      <c r="C368" s="1" t="n">
        <v>46200</v>
      </c>
      <c r="D368" t="inlineStr">
        <is>
          <t>DALARNAS LÄN</t>
        </is>
      </c>
      <c r="E368" t="inlineStr">
        <is>
          <t>MORA</t>
        </is>
      </c>
      <c r="G368" t="n">
        <v>6.3</v>
      </c>
      <c r="H368" t="n">
        <v>0</v>
      </c>
      <c r="I368" t="n">
        <v>0</v>
      </c>
      <c r="J368" t="n">
        <v>0</v>
      </c>
      <c r="K368" t="n">
        <v>0</v>
      </c>
      <c r="L368" t="n">
        <v>0</v>
      </c>
      <c r="M368" t="n">
        <v>0</v>
      </c>
      <c r="N368" t="n">
        <v>0</v>
      </c>
      <c r="O368" t="n">
        <v>0</v>
      </c>
      <c r="P368" t="n">
        <v>0</v>
      </c>
      <c r="Q368" t="n">
        <v>0</v>
      </c>
      <c r="R368" s="2" t="inlineStr"/>
    </row>
    <row r="369" ht="15" customHeight="1">
      <c r="A369" t="inlineStr">
        <is>
          <t>A 35407-2025</t>
        </is>
      </c>
      <c r="B369" s="1" t="n">
        <v>45855</v>
      </c>
      <c r="C369" s="1" t="n">
        <v>46200</v>
      </c>
      <c r="D369" t="inlineStr">
        <is>
          <t>DALARNAS LÄN</t>
        </is>
      </c>
      <c r="E369" t="inlineStr">
        <is>
          <t>MORA</t>
        </is>
      </c>
      <c r="G369" t="n">
        <v>1.4</v>
      </c>
      <c r="H369" t="n">
        <v>0</v>
      </c>
      <c r="I369" t="n">
        <v>0</v>
      </c>
      <c r="J369" t="n">
        <v>0</v>
      </c>
      <c r="K369" t="n">
        <v>0</v>
      </c>
      <c r="L369" t="n">
        <v>0</v>
      </c>
      <c r="M369" t="n">
        <v>0</v>
      </c>
      <c r="N369" t="n">
        <v>0</v>
      </c>
      <c r="O369" t="n">
        <v>0</v>
      </c>
      <c r="P369" t="n">
        <v>0</v>
      </c>
      <c r="Q369" t="n">
        <v>0</v>
      </c>
      <c r="R369" s="2" t="inlineStr"/>
    </row>
    <row r="370" ht="15" customHeight="1">
      <c r="A370" t="inlineStr">
        <is>
          <t>A 36579-2022</t>
        </is>
      </c>
      <c r="B370" s="1" t="n">
        <v>44804</v>
      </c>
      <c r="C370" s="1" t="n">
        <v>46200</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61217-2023</t>
        </is>
      </c>
      <c r="B371" s="1" t="n">
        <v>45264</v>
      </c>
      <c r="C371" s="1" t="n">
        <v>46200</v>
      </c>
      <c r="D371" t="inlineStr">
        <is>
          <t>DALARNAS LÄN</t>
        </is>
      </c>
      <c r="E371" t="inlineStr">
        <is>
          <t>MORA</t>
        </is>
      </c>
      <c r="F371" t="inlineStr">
        <is>
          <t>Allmännings- och besparingsskogar</t>
        </is>
      </c>
      <c r="G371" t="n">
        <v>2</v>
      </c>
      <c r="H371" t="n">
        <v>0</v>
      </c>
      <c r="I371" t="n">
        <v>0</v>
      </c>
      <c r="J371" t="n">
        <v>0</v>
      </c>
      <c r="K371" t="n">
        <v>0</v>
      </c>
      <c r="L371" t="n">
        <v>0</v>
      </c>
      <c r="M371" t="n">
        <v>0</v>
      </c>
      <c r="N371" t="n">
        <v>0</v>
      </c>
      <c r="O371" t="n">
        <v>0</v>
      </c>
      <c r="P371" t="n">
        <v>0</v>
      </c>
      <c r="Q371" t="n">
        <v>0</v>
      </c>
      <c r="R371" s="2" t="inlineStr"/>
    </row>
    <row r="372" ht="15" customHeight="1">
      <c r="A372" t="inlineStr">
        <is>
          <t>A 61218-2023</t>
        </is>
      </c>
      <c r="B372" s="1" t="n">
        <v>45264</v>
      </c>
      <c r="C372" s="1" t="n">
        <v>46200</v>
      </c>
      <c r="D372" t="inlineStr">
        <is>
          <t>DALARNAS LÄN</t>
        </is>
      </c>
      <c r="E372" t="inlineStr">
        <is>
          <t>MORA</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9277-2024</t>
        </is>
      </c>
      <c r="B373" s="1" t="n">
        <v>45358</v>
      </c>
      <c r="C373" s="1" t="n">
        <v>46200</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35734-2025</t>
        </is>
      </c>
      <c r="B374" s="1" t="n">
        <v>45860</v>
      </c>
      <c r="C374" s="1" t="n">
        <v>46200</v>
      </c>
      <c r="D374" t="inlineStr">
        <is>
          <t>DALARNAS LÄN</t>
        </is>
      </c>
      <c r="E374" t="inlineStr">
        <is>
          <t>MORA</t>
        </is>
      </c>
      <c r="G374" t="n">
        <v>1.3</v>
      </c>
      <c r="H374" t="n">
        <v>0</v>
      </c>
      <c r="I374" t="n">
        <v>0</v>
      </c>
      <c r="J374" t="n">
        <v>0</v>
      </c>
      <c r="K374" t="n">
        <v>0</v>
      </c>
      <c r="L374" t="n">
        <v>0</v>
      </c>
      <c r="M374" t="n">
        <v>0</v>
      </c>
      <c r="N374" t="n">
        <v>0</v>
      </c>
      <c r="O374" t="n">
        <v>0</v>
      </c>
      <c r="P374" t="n">
        <v>0</v>
      </c>
      <c r="Q374" t="n">
        <v>0</v>
      </c>
      <c r="R374" s="2" t="inlineStr"/>
    </row>
    <row r="375" ht="15" customHeight="1">
      <c r="A375" t="inlineStr">
        <is>
          <t>A 5527-2024</t>
        </is>
      </c>
      <c r="B375" s="1" t="n">
        <v>45334</v>
      </c>
      <c r="C375" s="1" t="n">
        <v>46200</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36041-2025</t>
        </is>
      </c>
      <c r="B376" s="1" t="n">
        <v>45866</v>
      </c>
      <c r="C376" s="1" t="n">
        <v>46200</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43879-2022</t>
        </is>
      </c>
      <c r="B377" s="1" t="n">
        <v>44838</v>
      </c>
      <c r="C377" s="1" t="n">
        <v>46200</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51780-2023</t>
        </is>
      </c>
      <c r="B378" s="1" t="n">
        <v>45222</v>
      </c>
      <c r="C378" s="1" t="n">
        <v>46200</v>
      </c>
      <c r="D378" t="inlineStr">
        <is>
          <t>DALARNAS LÄN</t>
        </is>
      </c>
      <c r="E378" t="inlineStr">
        <is>
          <t>MORA</t>
        </is>
      </c>
      <c r="G378" t="n">
        <v>9.9</v>
      </c>
      <c r="H378" t="n">
        <v>0</v>
      </c>
      <c r="I378" t="n">
        <v>0</v>
      </c>
      <c r="J378" t="n">
        <v>0</v>
      </c>
      <c r="K378" t="n">
        <v>0</v>
      </c>
      <c r="L378" t="n">
        <v>0</v>
      </c>
      <c r="M378" t="n">
        <v>0</v>
      </c>
      <c r="N378" t="n">
        <v>0</v>
      </c>
      <c r="O378" t="n">
        <v>0</v>
      </c>
      <c r="P378" t="n">
        <v>0</v>
      </c>
      <c r="Q378" t="n">
        <v>0</v>
      </c>
      <c r="R378" s="2" t="inlineStr"/>
    </row>
    <row r="379" ht="15" customHeight="1">
      <c r="A379" t="inlineStr">
        <is>
          <t>A 15818-2024</t>
        </is>
      </c>
      <c r="B379" s="1" t="n">
        <v>45404</v>
      </c>
      <c r="C379" s="1" t="n">
        <v>46200</v>
      </c>
      <c r="D379" t="inlineStr">
        <is>
          <t>DALARNAS LÄN</t>
        </is>
      </c>
      <c r="E379" t="inlineStr">
        <is>
          <t>MORA</t>
        </is>
      </c>
      <c r="G379" t="n">
        <v>7</v>
      </c>
      <c r="H379" t="n">
        <v>0</v>
      </c>
      <c r="I379" t="n">
        <v>0</v>
      </c>
      <c r="J379" t="n">
        <v>0</v>
      </c>
      <c r="K379" t="n">
        <v>0</v>
      </c>
      <c r="L379" t="n">
        <v>0</v>
      </c>
      <c r="M379" t="n">
        <v>0</v>
      </c>
      <c r="N379" t="n">
        <v>0</v>
      </c>
      <c r="O379" t="n">
        <v>0</v>
      </c>
      <c r="P379" t="n">
        <v>0</v>
      </c>
      <c r="Q379" t="n">
        <v>0</v>
      </c>
      <c r="R379" s="2" t="inlineStr"/>
    </row>
    <row r="380" ht="15" customHeight="1">
      <c r="A380" t="inlineStr">
        <is>
          <t>A 39348-2024</t>
        </is>
      </c>
      <c r="B380" s="1" t="n">
        <v>45551</v>
      </c>
      <c r="C380" s="1" t="n">
        <v>46200</v>
      </c>
      <c r="D380" t="inlineStr">
        <is>
          <t>DALARNAS LÄN</t>
        </is>
      </c>
      <c r="E380" t="inlineStr">
        <is>
          <t>MORA</t>
        </is>
      </c>
      <c r="G380" t="n">
        <v>0.5</v>
      </c>
      <c r="H380" t="n">
        <v>0</v>
      </c>
      <c r="I380" t="n">
        <v>0</v>
      </c>
      <c r="J380" t="n">
        <v>0</v>
      </c>
      <c r="K380" t="n">
        <v>0</v>
      </c>
      <c r="L380" t="n">
        <v>0</v>
      </c>
      <c r="M380" t="n">
        <v>0</v>
      </c>
      <c r="N380" t="n">
        <v>0</v>
      </c>
      <c r="O380" t="n">
        <v>0</v>
      </c>
      <c r="P380" t="n">
        <v>0</v>
      </c>
      <c r="Q380" t="n">
        <v>0</v>
      </c>
      <c r="R380" s="2" t="inlineStr"/>
    </row>
    <row r="381" ht="15" customHeight="1">
      <c r="A381" t="inlineStr">
        <is>
          <t>A 12920-2022</t>
        </is>
      </c>
      <c r="B381" s="1" t="n">
        <v>44642</v>
      </c>
      <c r="C381" s="1" t="n">
        <v>46200</v>
      </c>
      <c r="D381" t="inlineStr">
        <is>
          <t>DALARNAS LÄN</t>
        </is>
      </c>
      <c r="E381" t="inlineStr">
        <is>
          <t>MORA</t>
        </is>
      </c>
      <c r="G381" t="n">
        <v>0.8</v>
      </c>
      <c r="H381" t="n">
        <v>0</v>
      </c>
      <c r="I381" t="n">
        <v>0</v>
      </c>
      <c r="J381" t="n">
        <v>0</v>
      </c>
      <c r="K381" t="n">
        <v>0</v>
      </c>
      <c r="L381" t="n">
        <v>0</v>
      </c>
      <c r="M381" t="n">
        <v>0</v>
      </c>
      <c r="N381" t="n">
        <v>0</v>
      </c>
      <c r="O381" t="n">
        <v>0</v>
      </c>
      <c r="P381" t="n">
        <v>0</v>
      </c>
      <c r="Q381" t="n">
        <v>0</v>
      </c>
      <c r="R381" s="2" t="inlineStr"/>
    </row>
    <row r="382" ht="15" customHeight="1">
      <c r="A382" t="inlineStr">
        <is>
          <t>A 36846-2025</t>
        </is>
      </c>
      <c r="B382" s="1" t="n">
        <v>45874</v>
      </c>
      <c r="C382" s="1" t="n">
        <v>46200</v>
      </c>
      <c r="D382" t="inlineStr">
        <is>
          <t>DALARNAS LÄN</t>
        </is>
      </c>
      <c r="E382" t="inlineStr">
        <is>
          <t>MORA</t>
        </is>
      </c>
      <c r="G382" t="n">
        <v>10.7</v>
      </c>
      <c r="H382" t="n">
        <v>0</v>
      </c>
      <c r="I382" t="n">
        <v>0</v>
      </c>
      <c r="J382" t="n">
        <v>0</v>
      </c>
      <c r="K382" t="n">
        <v>0</v>
      </c>
      <c r="L382" t="n">
        <v>0</v>
      </c>
      <c r="M382" t="n">
        <v>0</v>
      </c>
      <c r="N382" t="n">
        <v>0</v>
      </c>
      <c r="O382" t="n">
        <v>0</v>
      </c>
      <c r="P382" t="n">
        <v>0</v>
      </c>
      <c r="Q382" t="n">
        <v>0</v>
      </c>
      <c r="R382" s="2" t="inlineStr"/>
    </row>
    <row r="383" ht="15" customHeight="1">
      <c r="A383" t="inlineStr">
        <is>
          <t>A 22854-2023</t>
        </is>
      </c>
      <c r="B383" s="1" t="n">
        <v>45072</v>
      </c>
      <c r="C383" s="1" t="n">
        <v>46200</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37268-2025</t>
        </is>
      </c>
      <c r="B384" s="1" t="n">
        <v>45876</v>
      </c>
      <c r="C384" s="1" t="n">
        <v>46200</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17280-2025</t>
        </is>
      </c>
      <c r="B385" s="1" t="n">
        <v>45756</v>
      </c>
      <c r="C385" s="1" t="n">
        <v>46200</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34282-2024</t>
        </is>
      </c>
      <c r="B386" s="1" t="n">
        <v>45524</v>
      </c>
      <c r="C386" s="1" t="n">
        <v>46200</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37879-2025</t>
        </is>
      </c>
      <c r="B387" s="1" t="n">
        <v>45881</v>
      </c>
      <c r="C387" s="1" t="n">
        <v>46200</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38055-2024</t>
        </is>
      </c>
      <c r="B388" s="1" t="n">
        <v>45544</v>
      </c>
      <c r="C388" s="1" t="n">
        <v>46200</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7116-2024</t>
        </is>
      </c>
      <c r="B389" s="1" t="n">
        <v>45343</v>
      </c>
      <c r="C389" s="1" t="n">
        <v>46200</v>
      </c>
      <c r="D389" t="inlineStr">
        <is>
          <t>DALARNAS LÄN</t>
        </is>
      </c>
      <c r="E389" t="inlineStr">
        <is>
          <t>MORA</t>
        </is>
      </c>
      <c r="G389" t="n">
        <v>0.3</v>
      </c>
      <c r="H389" t="n">
        <v>0</v>
      </c>
      <c r="I389" t="n">
        <v>0</v>
      </c>
      <c r="J389" t="n">
        <v>0</v>
      </c>
      <c r="K389" t="n">
        <v>0</v>
      </c>
      <c r="L389" t="n">
        <v>0</v>
      </c>
      <c r="M389" t="n">
        <v>0</v>
      </c>
      <c r="N389" t="n">
        <v>0</v>
      </c>
      <c r="O389" t="n">
        <v>0</v>
      </c>
      <c r="P389" t="n">
        <v>0</v>
      </c>
      <c r="Q389" t="n">
        <v>0</v>
      </c>
      <c r="R389" s="2" t="inlineStr"/>
    </row>
    <row r="390" ht="15" customHeight="1">
      <c r="A390" t="inlineStr">
        <is>
          <t>A 53527-2024</t>
        </is>
      </c>
      <c r="B390" s="1" t="n">
        <v>45614</v>
      </c>
      <c r="C390" s="1" t="n">
        <v>46200</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22785-2023</t>
        </is>
      </c>
      <c r="B391" s="1" t="n">
        <v>45072</v>
      </c>
      <c r="C391" s="1" t="n">
        <v>46200</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16573-2024</t>
        </is>
      </c>
      <c r="B392" s="1" t="n">
        <v>45408</v>
      </c>
      <c r="C392" s="1" t="n">
        <v>46200</v>
      </c>
      <c r="D392" t="inlineStr">
        <is>
          <t>DALARNAS LÄN</t>
        </is>
      </c>
      <c r="E392" t="inlineStr">
        <is>
          <t>MORA</t>
        </is>
      </c>
      <c r="G392" t="n">
        <v>4.5</v>
      </c>
      <c r="H392" t="n">
        <v>0</v>
      </c>
      <c r="I392" t="n">
        <v>0</v>
      </c>
      <c r="J392" t="n">
        <v>0</v>
      </c>
      <c r="K392" t="n">
        <v>0</v>
      </c>
      <c r="L392" t="n">
        <v>0</v>
      </c>
      <c r="M392" t="n">
        <v>0</v>
      </c>
      <c r="N392" t="n">
        <v>0</v>
      </c>
      <c r="O392" t="n">
        <v>0</v>
      </c>
      <c r="P392" t="n">
        <v>0</v>
      </c>
      <c r="Q392" t="n">
        <v>0</v>
      </c>
      <c r="R392" s="2" t="inlineStr"/>
    </row>
    <row r="393" ht="15" customHeight="1">
      <c r="A393" t="inlineStr">
        <is>
          <t>A 16967-2025</t>
        </is>
      </c>
      <c r="B393" s="1" t="n">
        <v>45755</v>
      </c>
      <c r="C393" s="1" t="n">
        <v>46200</v>
      </c>
      <c r="D393" t="inlineStr">
        <is>
          <t>DALARNAS LÄN</t>
        </is>
      </c>
      <c r="E393" t="inlineStr">
        <is>
          <t>MORA</t>
        </is>
      </c>
      <c r="F393" t="inlineStr">
        <is>
          <t>Bergvik skog öst AB</t>
        </is>
      </c>
      <c r="G393" t="n">
        <v>2.9</v>
      </c>
      <c r="H393" t="n">
        <v>0</v>
      </c>
      <c r="I393" t="n">
        <v>0</v>
      </c>
      <c r="J393" t="n">
        <v>0</v>
      </c>
      <c r="K393" t="n">
        <v>0</v>
      </c>
      <c r="L393" t="n">
        <v>0</v>
      </c>
      <c r="M393" t="n">
        <v>0</v>
      </c>
      <c r="N393" t="n">
        <v>0</v>
      </c>
      <c r="O393" t="n">
        <v>0</v>
      </c>
      <c r="P393" t="n">
        <v>0</v>
      </c>
      <c r="Q393" t="n">
        <v>0</v>
      </c>
      <c r="R393" s="2" t="inlineStr"/>
    </row>
    <row r="394" ht="15" customHeight="1">
      <c r="A394" t="inlineStr">
        <is>
          <t>A 61278-2024</t>
        </is>
      </c>
      <c r="B394" s="1" t="n">
        <v>45645</v>
      </c>
      <c r="C394" s="1" t="n">
        <v>46200</v>
      </c>
      <c r="D394" t="inlineStr">
        <is>
          <t>DALARNAS LÄN</t>
        </is>
      </c>
      <c r="E394" t="inlineStr">
        <is>
          <t>MORA</t>
        </is>
      </c>
      <c r="G394" t="n">
        <v>1.1</v>
      </c>
      <c r="H394" t="n">
        <v>0</v>
      </c>
      <c r="I394" t="n">
        <v>0</v>
      </c>
      <c r="J394" t="n">
        <v>0</v>
      </c>
      <c r="K394" t="n">
        <v>0</v>
      </c>
      <c r="L394" t="n">
        <v>0</v>
      </c>
      <c r="M394" t="n">
        <v>0</v>
      </c>
      <c r="N394" t="n">
        <v>0</v>
      </c>
      <c r="O394" t="n">
        <v>0</v>
      </c>
      <c r="P394" t="n">
        <v>0</v>
      </c>
      <c r="Q394" t="n">
        <v>0</v>
      </c>
      <c r="R394" s="2" t="inlineStr"/>
    </row>
    <row r="395" ht="15" customHeight="1">
      <c r="A395" t="inlineStr">
        <is>
          <t>A 21895-2025</t>
        </is>
      </c>
      <c r="B395" s="1" t="n">
        <v>45784</v>
      </c>
      <c r="C395" s="1" t="n">
        <v>46200</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16637-2025</t>
        </is>
      </c>
      <c r="B396" s="1" t="n">
        <v>45754</v>
      </c>
      <c r="C396" s="1" t="n">
        <v>46200</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47716-2025</t>
        </is>
      </c>
      <c r="B397" s="1" t="n">
        <v>45931</v>
      </c>
      <c r="C397" s="1" t="n">
        <v>46200</v>
      </c>
      <c r="D397" t="inlineStr">
        <is>
          <t>DALARNAS LÄN</t>
        </is>
      </c>
      <c r="E397" t="inlineStr">
        <is>
          <t>MORA</t>
        </is>
      </c>
      <c r="G397" t="n">
        <v>8.9</v>
      </c>
      <c r="H397" t="n">
        <v>0</v>
      </c>
      <c r="I397" t="n">
        <v>0</v>
      </c>
      <c r="J397" t="n">
        <v>0</v>
      </c>
      <c r="K397" t="n">
        <v>0</v>
      </c>
      <c r="L397" t="n">
        <v>0</v>
      </c>
      <c r="M397" t="n">
        <v>0</v>
      </c>
      <c r="N397" t="n">
        <v>0</v>
      </c>
      <c r="O397" t="n">
        <v>0</v>
      </c>
      <c r="P397" t="n">
        <v>0</v>
      </c>
      <c r="Q397" t="n">
        <v>0</v>
      </c>
      <c r="R397" s="2" t="inlineStr"/>
    </row>
    <row r="398" ht="15" customHeight="1">
      <c r="A398" t="inlineStr">
        <is>
          <t>A 48927-2025</t>
        </is>
      </c>
      <c r="B398" s="1" t="n">
        <v>45931</v>
      </c>
      <c r="C398" s="1" t="n">
        <v>46200</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48926-2025</t>
        </is>
      </c>
      <c r="B399" s="1" t="n">
        <v>45937</v>
      </c>
      <c r="C399" s="1" t="n">
        <v>46200</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48929-2025</t>
        </is>
      </c>
      <c r="B400" s="1" t="n">
        <v>45937</v>
      </c>
      <c r="C400" s="1" t="n">
        <v>46200</v>
      </c>
      <c r="D400" t="inlineStr">
        <is>
          <t>DALARNAS LÄN</t>
        </is>
      </c>
      <c r="E400" t="inlineStr">
        <is>
          <t>MORA</t>
        </is>
      </c>
      <c r="G400" t="n">
        <v>0.5</v>
      </c>
      <c r="H400" t="n">
        <v>0</v>
      </c>
      <c r="I400" t="n">
        <v>0</v>
      </c>
      <c r="J400" t="n">
        <v>0</v>
      </c>
      <c r="K400" t="n">
        <v>0</v>
      </c>
      <c r="L400" t="n">
        <v>0</v>
      </c>
      <c r="M400" t="n">
        <v>0</v>
      </c>
      <c r="N400" t="n">
        <v>0</v>
      </c>
      <c r="O400" t="n">
        <v>0</v>
      </c>
      <c r="P400" t="n">
        <v>0</v>
      </c>
      <c r="Q400" t="n">
        <v>0</v>
      </c>
      <c r="R400" s="2" t="inlineStr"/>
    </row>
    <row r="401" ht="15" customHeight="1">
      <c r="A401" t="inlineStr">
        <is>
          <t>A 49404-2025</t>
        </is>
      </c>
      <c r="B401" s="1" t="n">
        <v>45938</v>
      </c>
      <c r="C401" s="1" t="n">
        <v>46200</v>
      </c>
      <c r="D401" t="inlineStr">
        <is>
          <t>DALARNAS LÄN</t>
        </is>
      </c>
      <c r="E401" t="inlineStr">
        <is>
          <t>MORA</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49401-2025</t>
        </is>
      </c>
      <c r="B402" s="1" t="n">
        <v>45938</v>
      </c>
      <c r="C402" s="1" t="n">
        <v>46200</v>
      </c>
      <c r="D402" t="inlineStr">
        <is>
          <t>DALARNAS LÄN</t>
        </is>
      </c>
      <c r="E402" t="inlineStr">
        <is>
          <t>MORA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49991-2023</t>
        </is>
      </c>
      <c r="B403" s="1" t="n">
        <v>45215</v>
      </c>
      <c r="C403" s="1" t="n">
        <v>46200</v>
      </c>
      <c r="D403" t="inlineStr">
        <is>
          <t>DALARNAS LÄN</t>
        </is>
      </c>
      <c r="E403" t="inlineStr">
        <is>
          <t>MORA</t>
        </is>
      </c>
      <c r="G403" t="n">
        <v>1.8</v>
      </c>
      <c r="H403" t="n">
        <v>0</v>
      </c>
      <c r="I403" t="n">
        <v>0</v>
      </c>
      <c r="J403" t="n">
        <v>0</v>
      </c>
      <c r="K403" t="n">
        <v>0</v>
      </c>
      <c r="L403" t="n">
        <v>0</v>
      </c>
      <c r="M403" t="n">
        <v>0</v>
      </c>
      <c r="N403" t="n">
        <v>0</v>
      </c>
      <c r="O403" t="n">
        <v>0</v>
      </c>
      <c r="P403" t="n">
        <v>0</v>
      </c>
      <c r="Q403" t="n">
        <v>0</v>
      </c>
      <c r="R403" s="2" t="inlineStr"/>
    </row>
    <row r="404" ht="15" customHeight="1">
      <c r="A404" t="inlineStr">
        <is>
          <t>A 28131-2024</t>
        </is>
      </c>
      <c r="B404" s="1" t="n">
        <v>45476</v>
      </c>
      <c r="C404" s="1" t="n">
        <v>46200</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28132-2024</t>
        </is>
      </c>
      <c r="B405" s="1" t="n">
        <v>45476</v>
      </c>
      <c r="C405" s="1" t="n">
        <v>46200</v>
      </c>
      <c r="D405" t="inlineStr">
        <is>
          <t>DALARNAS LÄN</t>
        </is>
      </c>
      <c r="E405" t="inlineStr">
        <is>
          <t>MORA</t>
        </is>
      </c>
      <c r="G405" t="n">
        <v>0.2</v>
      </c>
      <c r="H405" t="n">
        <v>0</v>
      </c>
      <c r="I405" t="n">
        <v>0</v>
      </c>
      <c r="J405" t="n">
        <v>0</v>
      </c>
      <c r="K405" t="n">
        <v>0</v>
      </c>
      <c r="L405" t="n">
        <v>0</v>
      </c>
      <c r="M405" t="n">
        <v>0</v>
      </c>
      <c r="N405" t="n">
        <v>0</v>
      </c>
      <c r="O405" t="n">
        <v>0</v>
      </c>
      <c r="P405" t="n">
        <v>0</v>
      </c>
      <c r="Q405" t="n">
        <v>0</v>
      </c>
      <c r="R405" s="2" t="inlineStr"/>
    </row>
    <row r="406" ht="15" customHeight="1">
      <c r="A406" t="inlineStr">
        <is>
          <t>A 39824-2025</t>
        </is>
      </c>
      <c r="B406" s="1" t="n">
        <v>45891</v>
      </c>
      <c r="C406" s="1" t="n">
        <v>46200</v>
      </c>
      <c r="D406" t="inlineStr">
        <is>
          <t>DALARNAS LÄN</t>
        </is>
      </c>
      <c r="E406" t="inlineStr">
        <is>
          <t>MORA</t>
        </is>
      </c>
      <c r="G406" t="n">
        <v>2</v>
      </c>
      <c r="H406" t="n">
        <v>0</v>
      </c>
      <c r="I406" t="n">
        <v>0</v>
      </c>
      <c r="J406" t="n">
        <v>0</v>
      </c>
      <c r="K406" t="n">
        <v>0</v>
      </c>
      <c r="L406" t="n">
        <v>0</v>
      </c>
      <c r="M406" t="n">
        <v>0</v>
      </c>
      <c r="N406" t="n">
        <v>0</v>
      </c>
      <c r="O406" t="n">
        <v>0</v>
      </c>
      <c r="P406" t="n">
        <v>0</v>
      </c>
      <c r="Q406" t="n">
        <v>0</v>
      </c>
      <c r="R406" s="2" t="inlineStr"/>
    </row>
    <row r="407" ht="15" customHeight="1">
      <c r="A407" t="inlineStr">
        <is>
          <t>A 39787-2025</t>
        </is>
      </c>
      <c r="B407" s="1" t="n">
        <v>45891</v>
      </c>
      <c r="C407" s="1" t="n">
        <v>46200</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25737-2025</t>
        </is>
      </c>
      <c r="B408" s="1" t="n">
        <v>45800</v>
      </c>
      <c r="C408" s="1" t="n">
        <v>46200</v>
      </c>
      <c r="D408" t="inlineStr">
        <is>
          <t>DALARNAS LÄN</t>
        </is>
      </c>
      <c r="E408" t="inlineStr">
        <is>
          <t>MORA</t>
        </is>
      </c>
      <c r="G408" t="n">
        <v>9.6</v>
      </c>
      <c r="H408" t="n">
        <v>0</v>
      </c>
      <c r="I408" t="n">
        <v>0</v>
      </c>
      <c r="J408" t="n">
        <v>0</v>
      </c>
      <c r="K408" t="n">
        <v>0</v>
      </c>
      <c r="L408" t="n">
        <v>0</v>
      </c>
      <c r="M408" t="n">
        <v>0</v>
      </c>
      <c r="N408" t="n">
        <v>0</v>
      </c>
      <c r="O408" t="n">
        <v>0</v>
      </c>
      <c r="P408" t="n">
        <v>0</v>
      </c>
      <c r="Q408" t="n">
        <v>0</v>
      </c>
      <c r="R408" s="2" t="inlineStr"/>
    </row>
    <row r="409" ht="15" customHeight="1">
      <c r="A409" t="inlineStr">
        <is>
          <t>A 40142-2025</t>
        </is>
      </c>
      <c r="B409" s="1" t="n">
        <v>45894</v>
      </c>
      <c r="C409" s="1" t="n">
        <v>46200</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40147-2025</t>
        </is>
      </c>
      <c r="B410" s="1" t="n">
        <v>45894</v>
      </c>
      <c r="C410" s="1" t="n">
        <v>46200</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40660-2025</t>
        </is>
      </c>
      <c r="B411" s="1" t="n">
        <v>45896</v>
      </c>
      <c r="C411" s="1" t="n">
        <v>46200</v>
      </c>
      <c r="D411" t="inlineStr">
        <is>
          <t>DALARNAS LÄN</t>
        </is>
      </c>
      <c r="E411" t="inlineStr">
        <is>
          <t>MORA</t>
        </is>
      </c>
      <c r="F411" t="inlineStr">
        <is>
          <t>Bergvik skog väst AB</t>
        </is>
      </c>
      <c r="G411" t="n">
        <v>5.4</v>
      </c>
      <c r="H411" t="n">
        <v>0</v>
      </c>
      <c r="I411" t="n">
        <v>0</v>
      </c>
      <c r="J411" t="n">
        <v>0</v>
      </c>
      <c r="K411" t="n">
        <v>0</v>
      </c>
      <c r="L411" t="n">
        <v>0</v>
      </c>
      <c r="M411" t="n">
        <v>0</v>
      </c>
      <c r="N411" t="n">
        <v>0</v>
      </c>
      <c r="O411" t="n">
        <v>0</v>
      </c>
      <c r="P411" t="n">
        <v>0</v>
      </c>
      <c r="Q411" t="n">
        <v>0</v>
      </c>
      <c r="R411" s="2" t="inlineStr"/>
    </row>
    <row r="412" ht="15" customHeight="1">
      <c r="A412" t="inlineStr">
        <is>
          <t>A 40805-2025</t>
        </is>
      </c>
      <c r="B412" s="1" t="n">
        <v>45897</v>
      </c>
      <c r="C412" s="1" t="n">
        <v>46200</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25345-2025</t>
        </is>
      </c>
      <c r="B413" s="1" t="n">
        <v>45799</v>
      </c>
      <c r="C413" s="1" t="n">
        <v>46200</v>
      </c>
      <c r="D413" t="inlineStr">
        <is>
          <t>DALARNAS LÄN</t>
        </is>
      </c>
      <c r="E413" t="inlineStr">
        <is>
          <t>MORA</t>
        </is>
      </c>
      <c r="G413" t="n">
        <v>3.1</v>
      </c>
      <c r="H413" t="n">
        <v>0</v>
      </c>
      <c r="I413" t="n">
        <v>0</v>
      </c>
      <c r="J413" t="n">
        <v>0</v>
      </c>
      <c r="K413" t="n">
        <v>0</v>
      </c>
      <c r="L413" t="n">
        <v>0</v>
      </c>
      <c r="M413" t="n">
        <v>0</v>
      </c>
      <c r="N413" t="n">
        <v>0</v>
      </c>
      <c r="O413" t="n">
        <v>0</v>
      </c>
      <c r="P413" t="n">
        <v>0</v>
      </c>
      <c r="Q413" t="n">
        <v>0</v>
      </c>
      <c r="R413" s="2" t="inlineStr"/>
    </row>
    <row r="414" ht="15" customHeight="1">
      <c r="A414" t="inlineStr">
        <is>
          <t>A 5309-2023</t>
        </is>
      </c>
      <c r="B414" s="1" t="n">
        <v>44956</v>
      </c>
      <c r="C414" s="1" t="n">
        <v>46200</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41175-2025</t>
        </is>
      </c>
      <c r="B415" s="1" t="n">
        <v>45898</v>
      </c>
      <c r="C415" s="1" t="n">
        <v>46200</v>
      </c>
      <c r="D415" t="inlineStr">
        <is>
          <t>DALARNAS LÄN</t>
        </is>
      </c>
      <c r="E415" t="inlineStr">
        <is>
          <t>MORA</t>
        </is>
      </c>
      <c r="G415" t="n">
        <v>4.5</v>
      </c>
      <c r="H415" t="n">
        <v>0</v>
      </c>
      <c r="I415" t="n">
        <v>0</v>
      </c>
      <c r="J415" t="n">
        <v>0</v>
      </c>
      <c r="K415" t="n">
        <v>0</v>
      </c>
      <c r="L415" t="n">
        <v>0</v>
      </c>
      <c r="M415" t="n">
        <v>0</v>
      </c>
      <c r="N415" t="n">
        <v>0</v>
      </c>
      <c r="O415" t="n">
        <v>0</v>
      </c>
      <c r="P415" t="n">
        <v>0</v>
      </c>
      <c r="Q415" t="n">
        <v>0</v>
      </c>
      <c r="R415" s="2" t="inlineStr"/>
    </row>
    <row r="416" ht="15" customHeight="1">
      <c r="A416" t="inlineStr">
        <is>
          <t>A 41614-2025</t>
        </is>
      </c>
      <c r="B416" s="1" t="n">
        <v>45901</v>
      </c>
      <c r="C416" s="1" t="n">
        <v>46200</v>
      </c>
      <c r="D416" t="inlineStr">
        <is>
          <t>DALARNAS LÄN</t>
        </is>
      </c>
      <c r="E416" t="inlineStr">
        <is>
          <t>MORA</t>
        </is>
      </c>
      <c r="F416" t="inlineStr">
        <is>
          <t>Bergvik skog väst AB</t>
        </is>
      </c>
      <c r="G416" t="n">
        <v>13.8</v>
      </c>
      <c r="H416" t="n">
        <v>0</v>
      </c>
      <c r="I416" t="n">
        <v>0</v>
      </c>
      <c r="J416" t="n">
        <v>0</v>
      </c>
      <c r="K416" t="n">
        <v>0</v>
      </c>
      <c r="L416" t="n">
        <v>0</v>
      </c>
      <c r="M416" t="n">
        <v>0</v>
      </c>
      <c r="N416" t="n">
        <v>0</v>
      </c>
      <c r="O416" t="n">
        <v>0</v>
      </c>
      <c r="P416" t="n">
        <v>0</v>
      </c>
      <c r="Q416" t="n">
        <v>0</v>
      </c>
      <c r="R416" s="2" t="inlineStr"/>
    </row>
    <row r="417" ht="15" customHeight="1">
      <c r="A417" t="inlineStr">
        <is>
          <t>A 2879-2022</t>
        </is>
      </c>
      <c r="B417" s="1" t="n">
        <v>44581</v>
      </c>
      <c r="C417" s="1" t="n">
        <v>46200</v>
      </c>
      <c r="D417" t="inlineStr">
        <is>
          <t>DALARNAS LÄN</t>
        </is>
      </c>
      <c r="E417" t="inlineStr">
        <is>
          <t>MORA</t>
        </is>
      </c>
      <c r="G417" t="n">
        <v>2.3</v>
      </c>
      <c r="H417" t="n">
        <v>0</v>
      </c>
      <c r="I417" t="n">
        <v>0</v>
      </c>
      <c r="J417" t="n">
        <v>0</v>
      </c>
      <c r="K417" t="n">
        <v>0</v>
      </c>
      <c r="L417" t="n">
        <v>0</v>
      </c>
      <c r="M417" t="n">
        <v>0</v>
      </c>
      <c r="N417" t="n">
        <v>0</v>
      </c>
      <c r="O417" t="n">
        <v>0</v>
      </c>
      <c r="P417" t="n">
        <v>0</v>
      </c>
      <c r="Q417" t="n">
        <v>0</v>
      </c>
      <c r="R417" s="2" t="inlineStr"/>
    </row>
    <row r="418" ht="15" customHeight="1">
      <c r="A418" t="inlineStr">
        <is>
          <t>A 41783-2025</t>
        </is>
      </c>
      <c r="B418" s="1" t="n">
        <v>45902</v>
      </c>
      <c r="C418" s="1" t="n">
        <v>46200</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52110-2025</t>
        </is>
      </c>
      <c r="B419" s="1" t="n">
        <v>45952</v>
      </c>
      <c r="C419" s="1" t="n">
        <v>46200</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24772-2024</t>
        </is>
      </c>
      <c r="B420" s="1" t="n">
        <v>45460</v>
      </c>
      <c r="C420" s="1" t="n">
        <v>46200</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41855-2025</t>
        </is>
      </c>
      <c r="B421" s="1" t="n">
        <v>45902</v>
      </c>
      <c r="C421" s="1" t="n">
        <v>46200</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42112-2025</t>
        </is>
      </c>
      <c r="B422" s="1" t="n">
        <v>45904</v>
      </c>
      <c r="C422" s="1" t="n">
        <v>46200</v>
      </c>
      <c r="D422" t="inlineStr">
        <is>
          <t>DALARNAS LÄN</t>
        </is>
      </c>
      <c r="E422" t="inlineStr">
        <is>
          <t>MORA</t>
        </is>
      </c>
      <c r="G422" t="n">
        <v>1.1</v>
      </c>
      <c r="H422" t="n">
        <v>0</v>
      </c>
      <c r="I422" t="n">
        <v>0</v>
      </c>
      <c r="J422" t="n">
        <v>0</v>
      </c>
      <c r="K422" t="n">
        <v>0</v>
      </c>
      <c r="L422" t="n">
        <v>0</v>
      </c>
      <c r="M422" t="n">
        <v>0</v>
      </c>
      <c r="N422" t="n">
        <v>0</v>
      </c>
      <c r="O422" t="n">
        <v>0</v>
      </c>
      <c r="P422" t="n">
        <v>0</v>
      </c>
      <c r="Q422" t="n">
        <v>0</v>
      </c>
      <c r="R422" s="2" t="inlineStr"/>
    </row>
    <row r="423" ht="15" customHeight="1">
      <c r="A423" t="inlineStr">
        <is>
          <t>A 5486-2023</t>
        </is>
      </c>
      <c r="B423" s="1" t="n">
        <v>44957</v>
      </c>
      <c r="C423" s="1" t="n">
        <v>46200</v>
      </c>
      <c r="D423" t="inlineStr">
        <is>
          <t>DALARNAS LÄN</t>
        </is>
      </c>
      <c r="E423" t="inlineStr">
        <is>
          <t>MORA</t>
        </is>
      </c>
      <c r="G423" t="n">
        <v>3.2</v>
      </c>
      <c r="H423" t="n">
        <v>0</v>
      </c>
      <c r="I423" t="n">
        <v>0</v>
      </c>
      <c r="J423" t="n">
        <v>0</v>
      </c>
      <c r="K423" t="n">
        <v>0</v>
      </c>
      <c r="L423" t="n">
        <v>0</v>
      </c>
      <c r="M423" t="n">
        <v>0</v>
      </c>
      <c r="N423" t="n">
        <v>0</v>
      </c>
      <c r="O423" t="n">
        <v>0</v>
      </c>
      <c r="P423" t="n">
        <v>0</v>
      </c>
      <c r="Q423" t="n">
        <v>0</v>
      </c>
      <c r="R423" s="2" t="inlineStr"/>
    </row>
    <row r="424" ht="15" customHeight="1">
      <c r="A424" t="inlineStr">
        <is>
          <t>A 42943-2024</t>
        </is>
      </c>
      <c r="B424" s="1" t="n">
        <v>45567</v>
      </c>
      <c r="C424" s="1" t="n">
        <v>46200</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9855-2024</t>
        </is>
      </c>
      <c r="B425" s="1" t="n">
        <v>45363</v>
      </c>
      <c r="C425" s="1" t="n">
        <v>46200</v>
      </c>
      <c r="D425" t="inlineStr">
        <is>
          <t>DALARNAS LÄN</t>
        </is>
      </c>
      <c r="E425" t="inlineStr">
        <is>
          <t>MORA</t>
        </is>
      </c>
      <c r="G425" t="n">
        <v>8.6</v>
      </c>
      <c r="H425" t="n">
        <v>0</v>
      </c>
      <c r="I425" t="n">
        <v>0</v>
      </c>
      <c r="J425" t="n">
        <v>0</v>
      </c>
      <c r="K425" t="n">
        <v>0</v>
      </c>
      <c r="L425" t="n">
        <v>0</v>
      </c>
      <c r="M425" t="n">
        <v>0</v>
      </c>
      <c r="N425" t="n">
        <v>0</v>
      </c>
      <c r="O425" t="n">
        <v>0</v>
      </c>
      <c r="P425" t="n">
        <v>0</v>
      </c>
      <c r="Q425" t="n">
        <v>0</v>
      </c>
      <c r="R425" s="2" t="inlineStr"/>
    </row>
    <row r="426" ht="15" customHeight="1">
      <c r="A426" t="inlineStr">
        <is>
          <t>A 56935-2024</t>
        </is>
      </c>
      <c r="B426" s="1" t="n">
        <v>45625</v>
      </c>
      <c r="C426" s="1" t="n">
        <v>46200</v>
      </c>
      <c r="D426" t="inlineStr">
        <is>
          <t>DALARNAS LÄN</t>
        </is>
      </c>
      <c r="E426" t="inlineStr">
        <is>
          <t>MORA</t>
        </is>
      </c>
      <c r="G426" t="n">
        <v>1.1</v>
      </c>
      <c r="H426" t="n">
        <v>0</v>
      </c>
      <c r="I426" t="n">
        <v>0</v>
      </c>
      <c r="J426" t="n">
        <v>0</v>
      </c>
      <c r="K426" t="n">
        <v>0</v>
      </c>
      <c r="L426" t="n">
        <v>0</v>
      </c>
      <c r="M426" t="n">
        <v>0</v>
      </c>
      <c r="N426" t="n">
        <v>0</v>
      </c>
      <c r="O426" t="n">
        <v>0</v>
      </c>
      <c r="P426" t="n">
        <v>0</v>
      </c>
      <c r="Q426" t="n">
        <v>0</v>
      </c>
      <c r="R426" s="2" t="inlineStr"/>
    </row>
    <row r="427" ht="15" customHeight="1">
      <c r="A427" t="inlineStr">
        <is>
          <t>A 56927-2024</t>
        </is>
      </c>
      <c r="B427" s="1" t="n">
        <v>45625</v>
      </c>
      <c r="C427" s="1" t="n">
        <v>46200</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22185-2025</t>
        </is>
      </c>
      <c r="B428" s="1" t="n">
        <v>45785</v>
      </c>
      <c r="C428" s="1" t="n">
        <v>46200</v>
      </c>
      <c r="D428" t="inlineStr">
        <is>
          <t>DALARNAS LÄN</t>
        </is>
      </c>
      <c r="E428" t="inlineStr">
        <is>
          <t>MORA</t>
        </is>
      </c>
      <c r="G428" t="n">
        <v>2.4</v>
      </c>
      <c r="H428" t="n">
        <v>0</v>
      </c>
      <c r="I428" t="n">
        <v>0</v>
      </c>
      <c r="J428" t="n">
        <v>0</v>
      </c>
      <c r="K428" t="n">
        <v>0</v>
      </c>
      <c r="L428" t="n">
        <v>0</v>
      </c>
      <c r="M428" t="n">
        <v>0</v>
      </c>
      <c r="N428" t="n">
        <v>0</v>
      </c>
      <c r="O428" t="n">
        <v>0</v>
      </c>
      <c r="P428" t="n">
        <v>0</v>
      </c>
      <c r="Q428" t="n">
        <v>0</v>
      </c>
      <c r="R428" s="2" t="inlineStr"/>
    </row>
    <row r="429" ht="15" customHeight="1">
      <c r="A429" t="inlineStr">
        <is>
          <t>A 53151-2025</t>
        </is>
      </c>
      <c r="B429" s="1" t="n">
        <v>45958</v>
      </c>
      <c r="C429" s="1" t="n">
        <v>46200</v>
      </c>
      <c r="D429" t="inlineStr">
        <is>
          <t>DALARNAS LÄN</t>
        </is>
      </c>
      <c r="E429" t="inlineStr">
        <is>
          <t>MORA</t>
        </is>
      </c>
      <c r="F429" t="inlineStr">
        <is>
          <t>Bergvik skog öst AB</t>
        </is>
      </c>
      <c r="G429" t="n">
        <v>0.8</v>
      </c>
      <c r="H429" t="n">
        <v>0</v>
      </c>
      <c r="I429" t="n">
        <v>0</v>
      </c>
      <c r="J429" t="n">
        <v>0</v>
      </c>
      <c r="K429" t="n">
        <v>0</v>
      </c>
      <c r="L429" t="n">
        <v>0</v>
      </c>
      <c r="M429" t="n">
        <v>0</v>
      </c>
      <c r="N429" t="n">
        <v>0</v>
      </c>
      <c r="O429" t="n">
        <v>0</v>
      </c>
      <c r="P429" t="n">
        <v>0</v>
      </c>
      <c r="Q429" t="n">
        <v>0</v>
      </c>
      <c r="R429" s="2" t="inlineStr"/>
    </row>
    <row r="430" ht="15" customHeight="1">
      <c r="A430" t="inlineStr">
        <is>
          <t>A 53150-2025</t>
        </is>
      </c>
      <c r="B430" s="1" t="n">
        <v>45958</v>
      </c>
      <c r="C430" s="1" t="n">
        <v>46200</v>
      </c>
      <c r="D430" t="inlineStr">
        <is>
          <t>DALARNAS LÄN</t>
        </is>
      </c>
      <c r="E430" t="inlineStr">
        <is>
          <t>MORA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21244-2024</t>
        </is>
      </c>
      <c r="B431" s="1" t="n">
        <v>45440</v>
      </c>
      <c r="C431" s="1" t="n">
        <v>46200</v>
      </c>
      <c r="D431" t="inlineStr">
        <is>
          <t>DALARNAS LÄN</t>
        </is>
      </c>
      <c r="E431" t="inlineStr">
        <is>
          <t>MORA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59404-2024</t>
        </is>
      </c>
      <c r="B432" s="1" t="n">
        <v>45638</v>
      </c>
      <c r="C432" s="1" t="n">
        <v>46200</v>
      </c>
      <c r="D432" t="inlineStr">
        <is>
          <t>DALARNAS LÄN</t>
        </is>
      </c>
      <c r="E432" t="inlineStr">
        <is>
          <t>MORA</t>
        </is>
      </c>
      <c r="G432" t="n">
        <v>2.6</v>
      </c>
      <c r="H432" t="n">
        <v>0</v>
      </c>
      <c r="I432" t="n">
        <v>0</v>
      </c>
      <c r="J432" t="n">
        <v>0</v>
      </c>
      <c r="K432" t="n">
        <v>0</v>
      </c>
      <c r="L432" t="n">
        <v>0</v>
      </c>
      <c r="M432" t="n">
        <v>0</v>
      </c>
      <c r="N432" t="n">
        <v>0</v>
      </c>
      <c r="O432" t="n">
        <v>0</v>
      </c>
      <c r="P432" t="n">
        <v>0</v>
      </c>
      <c r="Q432" t="n">
        <v>0</v>
      </c>
      <c r="R432" s="2" t="inlineStr"/>
    </row>
    <row r="433" ht="15" customHeight="1">
      <c r="A433" t="inlineStr">
        <is>
          <t>A 53982-2025</t>
        </is>
      </c>
      <c r="B433" s="1" t="n">
        <v>45961</v>
      </c>
      <c r="C433" s="1" t="n">
        <v>46200</v>
      </c>
      <c r="D433" t="inlineStr">
        <is>
          <t>DALARNAS LÄN</t>
        </is>
      </c>
      <c r="E433" t="inlineStr">
        <is>
          <t>MORA</t>
        </is>
      </c>
      <c r="G433" t="n">
        <v>0.8</v>
      </c>
      <c r="H433" t="n">
        <v>0</v>
      </c>
      <c r="I433" t="n">
        <v>0</v>
      </c>
      <c r="J433" t="n">
        <v>0</v>
      </c>
      <c r="K433" t="n">
        <v>0</v>
      </c>
      <c r="L433" t="n">
        <v>0</v>
      </c>
      <c r="M433" t="n">
        <v>0</v>
      </c>
      <c r="N433" t="n">
        <v>0</v>
      </c>
      <c r="O433" t="n">
        <v>0</v>
      </c>
      <c r="P433" t="n">
        <v>0</v>
      </c>
      <c r="Q433" t="n">
        <v>0</v>
      </c>
      <c r="R433" s="2" t="inlineStr"/>
    </row>
    <row r="434" ht="15" customHeight="1">
      <c r="A434" t="inlineStr">
        <is>
          <t>A 53565-2025</t>
        </is>
      </c>
      <c r="B434" s="1" t="n">
        <v>45960</v>
      </c>
      <c r="C434" s="1" t="n">
        <v>46200</v>
      </c>
      <c r="D434" t="inlineStr">
        <is>
          <t>DALARNAS LÄN</t>
        </is>
      </c>
      <c r="E434" t="inlineStr">
        <is>
          <t>MORA</t>
        </is>
      </c>
      <c r="G434" t="n">
        <v>5.1</v>
      </c>
      <c r="H434" t="n">
        <v>0</v>
      </c>
      <c r="I434" t="n">
        <v>0</v>
      </c>
      <c r="J434" t="n">
        <v>0</v>
      </c>
      <c r="K434" t="n">
        <v>0</v>
      </c>
      <c r="L434" t="n">
        <v>0</v>
      </c>
      <c r="M434" t="n">
        <v>0</v>
      </c>
      <c r="N434" t="n">
        <v>0</v>
      </c>
      <c r="O434" t="n">
        <v>0</v>
      </c>
      <c r="P434" t="n">
        <v>0</v>
      </c>
      <c r="Q434" t="n">
        <v>0</v>
      </c>
      <c r="R434" s="2" t="inlineStr"/>
    </row>
    <row r="435" ht="15" customHeight="1">
      <c r="A435" t="inlineStr">
        <is>
          <t>A 53632-2025</t>
        </is>
      </c>
      <c r="B435" s="1" t="n">
        <v>45960</v>
      </c>
      <c r="C435" s="1" t="n">
        <v>46200</v>
      </c>
      <c r="D435" t="inlineStr">
        <is>
          <t>DALARNAS LÄN</t>
        </is>
      </c>
      <c r="E435" t="inlineStr">
        <is>
          <t>MORA</t>
        </is>
      </c>
      <c r="G435" t="n">
        <v>3.1</v>
      </c>
      <c r="H435" t="n">
        <v>0</v>
      </c>
      <c r="I435" t="n">
        <v>0</v>
      </c>
      <c r="J435" t="n">
        <v>0</v>
      </c>
      <c r="K435" t="n">
        <v>0</v>
      </c>
      <c r="L435" t="n">
        <v>0</v>
      </c>
      <c r="M435" t="n">
        <v>0</v>
      </c>
      <c r="N435" t="n">
        <v>0</v>
      </c>
      <c r="O435" t="n">
        <v>0</v>
      </c>
      <c r="P435" t="n">
        <v>0</v>
      </c>
      <c r="Q435" t="n">
        <v>0</v>
      </c>
      <c r="R435" s="2" t="inlineStr"/>
    </row>
    <row r="436" ht="15" customHeight="1">
      <c r="A436" t="inlineStr">
        <is>
          <t>A 43474-2025</t>
        </is>
      </c>
      <c r="B436" s="1" t="n">
        <v>45911</v>
      </c>
      <c r="C436" s="1" t="n">
        <v>46200</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58177-2024</t>
        </is>
      </c>
      <c r="B437" s="1" t="n">
        <v>45632</v>
      </c>
      <c r="C437" s="1" t="n">
        <v>46200</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11193-2025</t>
        </is>
      </c>
      <c r="B438" s="1" t="n">
        <v>45725</v>
      </c>
      <c r="C438" s="1" t="n">
        <v>46200</v>
      </c>
      <c r="D438" t="inlineStr">
        <is>
          <t>DALARNAS LÄN</t>
        </is>
      </c>
      <c r="E438" t="inlineStr">
        <is>
          <t>MORA</t>
        </is>
      </c>
      <c r="G438" t="n">
        <v>4.1</v>
      </c>
      <c r="H438" t="n">
        <v>0</v>
      </c>
      <c r="I438" t="n">
        <v>0</v>
      </c>
      <c r="J438" t="n">
        <v>0</v>
      </c>
      <c r="K438" t="n">
        <v>0</v>
      </c>
      <c r="L438" t="n">
        <v>0</v>
      </c>
      <c r="M438" t="n">
        <v>0</v>
      </c>
      <c r="N438" t="n">
        <v>0</v>
      </c>
      <c r="O438" t="n">
        <v>0</v>
      </c>
      <c r="P438" t="n">
        <v>0</v>
      </c>
      <c r="Q438" t="n">
        <v>0</v>
      </c>
      <c r="R438" s="2" t="inlineStr"/>
    </row>
    <row r="439" ht="15" customHeight="1">
      <c r="A439" t="inlineStr">
        <is>
          <t>A 53560-2025</t>
        </is>
      </c>
      <c r="B439" s="1" t="n">
        <v>45960</v>
      </c>
      <c r="C439" s="1" t="n">
        <v>46200</v>
      </c>
      <c r="D439" t="inlineStr">
        <is>
          <t>DALARNAS LÄN</t>
        </is>
      </c>
      <c r="E439" t="inlineStr">
        <is>
          <t>MORA</t>
        </is>
      </c>
      <c r="G439" t="n">
        <v>5.2</v>
      </c>
      <c r="H439" t="n">
        <v>0</v>
      </c>
      <c r="I439" t="n">
        <v>0</v>
      </c>
      <c r="J439" t="n">
        <v>0</v>
      </c>
      <c r="K439" t="n">
        <v>0</v>
      </c>
      <c r="L439" t="n">
        <v>0</v>
      </c>
      <c r="M439" t="n">
        <v>0</v>
      </c>
      <c r="N439" t="n">
        <v>0</v>
      </c>
      <c r="O439" t="n">
        <v>0</v>
      </c>
      <c r="P439" t="n">
        <v>0</v>
      </c>
      <c r="Q439" t="n">
        <v>0</v>
      </c>
      <c r="R439" s="2" t="inlineStr"/>
    </row>
    <row r="440" ht="15" customHeight="1">
      <c r="A440" t="inlineStr">
        <is>
          <t>A 56900-2024</t>
        </is>
      </c>
      <c r="B440" s="1" t="n">
        <v>45625</v>
      </c>
      <c r="C440" s="1" t="n">
        <v>46200</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53562-2025</t>
        </is>
      </c>
      <c r="B441" s="1" t="n">
        <v>45960</v>
      </c>
      <c r="C441" s="1" t="n">
        <v>46200</v>
      </c>
      <c r="D441" t="inlineStr">
        <is>
          <t>DALARNAS LÄN</t>
        </is>
      </c>
      <c r="E441" t="inlineStr">
        <is>
          <t>MORA</t>
        </is>
      </c>
      <c r="G441" t="n">
        <v>5.1</v>
      </c>
      <c r="H441" t="n">
        <v>0</v>
      </c>
      <c r="I441" t="n">
        <v>0</v>
      </c>
      <c r="J441" t="n">
        <v>0</v>
      </c>
      <c r="K441" t="n">
        <v>0</v>
      </c>
      <c r="L441" t="n">
        <v>0</v>
      </c>
      <c r="M441" t="n">
        <v>0</v>
      </c>
      <c r="N441" t="n">
        <v>0</v>
      </c>
      <c r="O441" t="n">
        <v>0</v>
      </c>
      <c r="P441" t="n">
        <v>0</v>
      </c>
      <c r="Q441" t="n">
        <v>0</v>
      </c>
      <c r="R441" s="2" t="inlineStr"/>
    </row>
    <row r="442" ht="15" customHeight="1">
      <c r="A442" t="inlineStr">
        <is>
          <t>A 53591-2025</t>
        </is>
      </c>
      <c r="B442" s="1" t="n">
        <v>45960</v>
      </c>
      <c r="C442" s="1" t="n">
        <v>46200</v>
      </c>
      <c r="D442" t="inlineStr">
        <is>
          <t>DALARNAS LÄN</t>
        </is>
      </c>
      <c r="E442" t="inlineStr">
        <is>
          <t>MORA</t>
        </is>
      </c>
      <c r="G442" t="n">
        <v>3.8</v>
      </c>
      <c r="H442" t="n">
        <v>0</v>
      </c>
      <c r="I442" t="n">
        <v>0</v>
      </c>
      <c r="J442" t="n">
        <v>0</v>
      </c>
      <c r="K442" t="n">
        <v>0</v>
      </c>
      <c r="L442" t="n">
        <v>0</v>
      </c>
      <c r="M442" t="n">
        <v>0</v>
      </c>
      <c r="N442" t="n">
        <v>0</v>
      </c>
      <c r="O442" t="n">
        <v>0</v>
      </c>
      <c r="P442" t="n">
        <v>0</v>
      </c>
      <c r="Q442" t="n">
        <v>0</v>
      </c>
      <c r="R442" s="2" t="inlineStr"/>
    </row>
    <row r="443" ht="15" customHeight="1">
      <c r="A443" t="inlineStr">
        <is>
          <t>A 43811-2025</t>
        </is>
      </c>
      <c r="B443" s="1" t="n">
        <v>45912</v>
      </c>
      <c r="C443" s="1" t="n">
        <v>46200</v>
      </c>
      <c r="D443" t="inlineStr">
        <is>
          <t>DALARNAS LÄN</t>
        </is>
      </c>
      <c r="E443" t="inlineStr">
        <is>
          <t>MORA</t>
        </is>
      </c>
      <c r="G443" t="n">
        <v>1</v>
      </c>
      <c r="H443" t="n">
        <v>0</v>
      </c>
      <c r="I443" t="n">
        <v>0</v>
      </c>
      <c r="J443" t="n">
        <v>0</v>
      </c>
      <c r="K443" t="n">
        <v>0</v>
      </c>
      <c r="L443" t="n">
        <v>0</v>
      </c>
      <c r="M443" t="n">
        <v>0</v>
      </c>
      <c r="N443" t="n">
        <v>0</v>
      </c>
      <c r="O443" t="n">
        <v>0</v>
      </c>
      <c r="P443" t="n">
        <v>0</v>
      </c>
      <c r="Q443" t="n">
        <v>0</v>
      </c>
      <c r="R443" s="2" t="inlineStr"/>
    </row>
    <row r="444" ht="15" customHeight="1">
      <c r="A444" t="inlineStr">
        <is>
          <t>A 23354-2022</t>
        </is>
      </c>
      <c r="B444" s="1" t="n">
        <v>44720</v>
      </c>
      <c r="C444" s="1" t="n">
        <v>46200</v>
      </c>
      <c r="D444" t="inlineStr">
        <is>
          <t>DALARNAS LÄN</t>
        </is>
      </c>
      <c r="E444" t="inlineStr">
        <is>
          <t>MORA</t>
        </is>
      </c>
      <c r="G444" t="n">
        <v>5.2</v>
      </c>
      <c r="H444" t="n">
        <v>0</v>
      </c>
      <c r="I444" t="n">
        <v>0</v>
      </c>
      <c r="J444" t="n">
        <v>0</v>
      </c>
      <c r="K444" t="n">
        <v>0</v>
      </c>
      <c r="L444" t="n">
        <v>0</v>
      </c>
      <c r="M444" t="n">
        <v>0</v>
      </c>
      <c r="N444" t="n">
        <v>0</v>
      </c>
      <c r="O444" t="n">
        <v>0</v>
      </c>
      <c r="P444" t="n">
        <v>0</v>
      </c>
      <c r="Q444" t="n">
        <v>0</v>
      </c>
      <c r="R444" s="2" t="inlineStr"/>
    </row>
    <row r="445" ht="15" customHeight="1">
      <c r="A445" t="inlineStr">
        <is>
          <t>A 44384-2025</t>
        </is>
      </c>
      <c r="B445" s="1" t="n">
        <v>45916</v>
      </c>
      <c r="C445" s="1" t="n">
        <v>46200</v>
      </c>
      <c r="D445" t="inlineStr">
        <is>
          <t>DALARNAS LÄN</t>
        </is>
      </c>
      <c r="E445" t="inlineStr">
        <is>
          <t>MORA</t>
        </is>
      </c>
      <c r="F445" t="inlineStr">
        <is>
          <t>Kyrkan</t>
        </is>
      </c>
      <c r="G445" t="n">
        <v>5.1</v>
      </c>
      <c r="H445" t="n">
        <v>0</v>
      </c>
      <c r="I445" t="n">
        <v>0</v>
      </c>
      <c r="J445" t="n">
        <v>0</v>
      </c>
      <c r="K445" t="n">
        <v>0</v>
      </c>
      <c r="L445" t="n">
        <v>0</v>
      </c>
      <c r="M445" t="n">
        <v>0</v>
      </c>
      <c r="N445" t="n">
        <v>0</v>
      </c>
      <c r="O445" t="n">
        <v>0</v>
      </c>
      <c r="P445" t="n">
        <v>0</v>
      </c>
      <c r="Q445" t="n">
        <v>0</v>
      </c>
      <c r="R445" s="2" t="inlineStr"/>
    </row>
    <row r="446" ht="15" customHeight="1">
      <c r="A446" t="inlineStr">
        <is>
          <t>A 53556-2025</t>
        </is>
      </c>
      <c r="B446" s="1" t="n">
        <v>45960</v>
      </c>
      <c r="C446" s="1" t="n">
        <v>46200</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54192-2023</t>
        </is>
      </c>
      <c r="B447" s="1" t="n">
        <v>45232</v>
      </c>
      <c r="C447" s="1" t="n">
        <v>46200</v>
      </c>
      <c r="D447" t="inlineStr">
        <is>
          <t>DALARNAS LÄN</t>
        </is>
      </c>
      <c r="E447" t="inlineStr">
        <is>
          <t>MORA</t>
        </is>
      </c>
      <c r="G447" t="n">
        <v>3.4</v>
      </c>
      <c r="H447" t="n">
        <v>0</v>
      </c>
      <c r="I447" t="n">
        <v>0</v>
      </c>
      <c r="J447" t="n">
        <v>0</v>
      </c>
      <c r="K447" t="n">
        <v>0</v>
      </c>
      <c r="L447" t="n">
        <v>0</v>
      </c>
      <c r="M447" t="n">
        <v>0</v>
      </c>
      <c r="N447" t="n">
        <v>0</v>
      </c>
      <c r="O447" t="n">
        <v>0</v>
      </c>
      <c r="P447" t="n">
        <v>0</v>
      </c>
      <c r="Q447" t="n">
        <v>0</v>
      </c>
      <c r="R447" s="2" t="inlineStr"/>
    </row>
    <row r="448" ht="15" customHeight="1">
      <c r="A448" t="inlineStr">
        <is>
          <t>A 45390-2024</t>
        </is>
      </c>
      <c r="B448" s="1" t="n">
        <v>45576</v>
      </c>
      <c r="C448" s="1" t="n">
        <v>46200</v>
      </c>
      <c r="D448" t="inlineStr">
        <is>
          <t>DALARNAS LÄN</t>
        </is>
      </c>
      <c r="E448" t="inlineStr">
        <is>
          <t>MORA</t>
        </is>
      </c>
      <c r="F448" t="inlineStr">
        <is>
          <t>Bergvik skog väst AB</t>
        </is>
      </c>
      <c r="G448" t="n">
        <v>5.6</v>
      </c>
      <c r="H448" t="n">
        <v>0</v>
      </c>
      <c r="I448" t="n">
        <v>0</v>
      </c>
      <c r="J448" t="n">
        <v>0</v>
      </c>
      <c r="K448" t="n">
        <v>0</v>
      </c>
      <c r="L448" t="n">
        <v>0</v>
      </c>
      <c r="M448" t="n">
        <v>0</v>
      </c>
      <c r="N448" t="n">
        <v>0</v>
      </c>
      <c r="O448" t="n">
        <v>0</v>
      </c>
      <c r="P448" t="n">
        <v>0</v>
      </c>
      <c r="Q448" t="n">
        <v>0</v>
      </c>
      <c r="R448" s="2" t="inlineStr"/>
    </row>
    <row r="449" ht="15" customHeight="1">
      <c r="A449" t="inlineStr">
        <is>
          <t>A 58089-2024</t>
        </is>
      </c>
      <c r="B449" s="1" t="n">
        <v>45632</v>
      </c>
      <c r="C449" s="1" t="n">
        <v>46200</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23229-2025</t>
        </is>
      </c>
      <c r="B450" s="1" t="n">
        <v>45791</v>
      </c>
      <c r="C450" s="1" t="n">
        <v>46200</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62854-2023</t>
        </is>
      </c>
      <c r="B451" s="1" t="n">
        <v>45272</v>
      </c>
      <c r="C451" s="1" t="n">
        <v>46200</v>
      </c>
      <c r="D451" t="inlineStr">
        <is>
          <t>DALARNAS LÄN</t>
        </is>
      </c>
      <c r="E451" t="inlineStr">
        <is>
          <t>MORA</t>
        </is>
      </c>
      <c r="G451" t="n">
        <v>11.3</v>
      </c>
      <c r="H451" t="n">
        <v>0</v>
      </c>
      <c r="I451" t="n">
        <v>0</v>
      </c>
      <c r="J451" t="n">
        <v>0</v>
      </c>
      <c r="K451" t="n">
        <v>0</v>
      </c>
      <c r="L451" t="n">
        <v>0</v>
      </c>
      <c r="M451" t="n">
        <v>0</v>
      </c>
      <c r="N451" t="n">
        <v>0</v>
      </c>
      <c r="O451" t="n">
        <v>0</v>
      </c>
      <c r="P451" t="n">
        <v>0</v>
      </c>
      <c r="Q451" t="n">
        <v>0</v>
      </c>
      <c r="R451" s="2" t="inlineStr"/>
    </row>
    <row r="452" ht="15" customHeight="1">
      <c r="A452" t="inlineStr">
        <is>
          <t>A 44621-2025</t>
        </is>
      </c>
      <c r="B452" s="1" t="n">
        <v>45917</v>
      </c>
      <c r="C452" s="1" t="n">
        <v>46200</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4208-2023</t>
        </is>
      </c>
      <c r="B453" s="1" t="n">
        <v>44953</v>
      </c>
      <c r="C453" s="1" t="n">
        <v>46200</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4210-2023</t>
        </is>
      </c>
      <c r="B454" s="1" t="n">
        <v>44953</v>
      </c>
      <c r="C454" s="1" t="n">
        <v>46200</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24249-2025</t>
        </is>
      </c>
      <c r="B455" s="1" t="n">
        <v>45797</v>
      </c>
      <c r="C455" s="1" t="n">
        <v>46200</v>
      </c>
      <c r="D455" t="inlineStr">
        <is>
          <t>DALARNAS LÄN</t>
        </is>
      </c>
      <c r="E455" t="inlineStr">
        <is>
          <t>MORA</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54367-2025</t>
        </is>
      </c>
      <c r="B456" s="1" t="n">
        <v>45965</v>
      </c>
      <c r="C456" s="1" t="n">
        <v>46200</v>
      </c>
      <c r="D456" t="inlineStr">
        <is>
          <t>DALARNAS LÄN</t>
        </is>
      </c>
      <c r="E456" t="inlineStr">
        <is>
          <t>MORA</t>
        </is>
      </c>
      <c r="G456" t="n">
        <v>7</v>
      </c>
      <c r="H456" t="n">
        <v>0</v>
      </c>
      <c r="I456" t="n">
        <v>0</v>
      </c>
      <c r="J456" t="n">
        <v>0</v>
      </c>
      <c r="K456" t="n">
        <v>0</v>
      </c>
      <c r="L456" t="n">
        <v>0</v>
      </c>
      <c r="M456" t="n">
        <v>0</v>
      </c>
      <c r="N456" t="n">
        <v>0</v>
      </c>
      <c r="O456" t="n">
        <v>0</v>
      </c>
      <c r="P456" t="n">
        <v>0</v>
      </c>
      <c r="Q456" t="n">
        <v>0</v>
      </c>
      <c r="R456" s="2" t="inlineStr"/>
    </row>
    <row r="457" ht="15" customHeight="1">
      <c r="A457" t="inlineStr">
        <is>
          <t>A 44769-2021</t>
        </is>
      </c>
      <c r="B457" s="1" t="n">
        <v>44438</v>
      </c>
      <c r="C457" s="1" t="n">
        <v>46200</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54504-2025</t>
        </is>
      </c>
      <c r="B458" s="1" t="n">
        <v>45965</v>
      </c>
      <c r="C458" s="1" t="n">
        <v>46200</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58036-2024</t>
        </is>
      </c>
      <c r="B459" s="1" t="n">
        <v>45631</v>
      </c>
      <c r="C459" s="1" t="n">
        <v>46200</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45191-2025</t>
        </is>
      </c>
      <c r="B460" s="1" t="n">
        <v>45919</v>
      </c>
      <c r="C460" s="1" t="n">
        <v>46200</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54862-2025</t>
        </is>
      </c>
      <c r="B461" s="1" t="n">
        <v>45966</v>
      </c>
      <c r="C461" s="1" t="n">
        <v>46200</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9461-2025</t>
        </is>
      </c>
      <c r="B462" s="1" t="n">
        <v>45715</v>
      </c>
      <c r="C462" s="1" t="n">
        <v>46200</v>
      </c>
      <c r="D462" t="inlineStr">
        <is>
          <t>DALARNAS LÄN</t>
        </is>
      </c>
      <c r="E462" t="inlineStr">
        <is>
          <t>MORA</t>
        </is>
      </c>
      <c r="G462" t="n">
        <v>1.8</v>
      </c>
      <c r="H462" t="n">
        <v>0</v>
      </c>
      <c r="I462" t="n">
        <v>0</v>
      </c>
      <c r="J462" t="n">
        <v>0</v>
      </c>
      <c r="K462" t="n">
        <v>0</v>
      </c>
      <c r="L462" t="n">
        <v>0</v>
      </c>
      <c r="M462" t="n">
        <v>0</v>
      </c>
      <c r="N462" t="n">
        <v>0</v>
      </c>
      <c r="O462" t="n">
        <v>0</v>
      </c>
      <c r="P462" t="n">
        <v>0</v>
      </c>
      <c r="Q462" t="n">
        <v>0</v>
      </c>
      <c r="R462" s="2" t="inlineStr"/>
    </row>
    <row r="463" ht="15" customHeight="1">
      <c r="A463" t="inlineStr">
        <is>
          <t>A 34928-2022</t>
        </is>
      </c>
      <c r="B463" s="1" t="n">
        <v>44796</v>
      </c>
      <c r="C463" s="1" t="n">
        <v>46200</v>
      </c>
      <c r="D463" t="inlineStr">
        <is>
          <t>DALARNAS LÄN</t>
        </is>
      </c>
      <c r="E463" t="inlineStr">
        <is>
          <t>MORA</t>
        </is>
      </c>
      <c r="G463" t="n">
        <v>1.2</v>
      </c>
      <c r="H463" t="n">
        <v>0</v>
      </c>
      <c r="I463" t="n">
        <v>0</v>
      </c>
      <c r="J463" t="n">
        <v>0</v>
      </c>
      <c r="K463" t="n">
        <v>0</v>
      </c>
      <c r="L463" t="n">
        <v>0</v>
      </c>
      <c r="M463" t="n">
        <v>0</v>
      </c>
      <c r="N463" t="n">
        <v>0</v>
      </c>
      <c r="O463" t="n">
        <v>0</v>
      </c>
      <c r="P463" t="n">
        <v>0</v>
      </c>
      <c r="Q463" t="n">
        <v>0</v>
      </c>
      <c r="R463" s="2" t="inlineStr"/>
    </row>
    <row r="464" ht="15" customHeight="1">
      <c r="A464" t="inlineStr">
        <is>
          <t>A 19286-2023</t>
        </is>
      </c>
      <c r="B464" s="1" t="n">
        <v>45049</v>
      </c>
      <c r="C464" s="1" t="n">
        <v>46200</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54909-2025</t>
        </is>
      </c>
      <c r="B465" s="1" t="n">
        <v>45967</v>
      </c>
      <c r="C465" s="1" t="n">
        <v>46200</v>
      </c>
      <c r="D465" t="inlineStr">
        <is>
          <t>DALARNAS LÄN</t>
        </is>
      </c>
      <c r="E465" t="inlineStr">
        <is>
          <t>MORA</t>
        </is>
      </c>
      <c r="G465" t="n">
        <v>1.7</v>
      </c>
      <c r="H465" t="n">
        <v>0</v>
      </c>
      <c r="I465" t="n">
        <v>0</v>
      </c>
      <c r="J465" t="n">
        <v>0</v>
      </c>
      <c r="K465" t="n">
        <v>0</v>
      </c>
      <c r="L465" t="n">
        <v>0</v>
      </c>
      <c r="M465" t="n">
        <v>0</v>
      </c>
      <c r="N465" t="n">
        <v>0</v>
      </c>
      <c r="O465" t="n">
        <v>0</v>
      </c>
      <c r="P465" t="n">
        <v>0</v>
      </c>
      <c r="Q465" t="n">
        <v>0</v>
      </c>
      <c r="R465" s="2" t="inlineStr"/>
    </row>
    <row r="466" ht="15" customHeight="1">
      <c r="A466" t="inlineStr">
        <is>
          <t>A 54905-2025</t>
        </is>
      </c>
      <c r="B466" s="1" t="n">
        <v>45967</v>
      </c>
      <c r="C466" s="1" t="n">
        <v>46200</v>
      </c>
      <c r="D466" t="inlineStr">
        <is>
          <t>DALARNAS LÄN</t>
        </is>
      </c>
      <c r="E466" t="inlineStr">
        <is>
          <t>MORA</t>
        </is>
      </c>
      <c r="G466" t="n">
        <v>0.4</v>
      </c>
      <c r="H466" t="n">
        <v>0</v>
      </c>
      <c r="I466" t="n">
        <v>0</v>
      </c>
      <c r="J466" t="n">
        <v>0</v>
      </c>
      <c r="K466" t="n">
        <v>0</v>
      </c>
      <c r="L466" t="n">
        <v>0</v>
      </c>
      <c r="M466" t="n">
        <v>0</v>
      </c>
      <c r="N466" t="n">
        <v>0</v>
      </c>
      <c r="O466" t="n">
        <v>0</v>
      </c>
      <c r="P466" t="n">
        <v>0</v>
      </c>
      <c r="Q466" t="n">
        <v>0</v>
      </c>
      <c r="R466" s="2" t="inlineStr"/>
    </row>
    <row r="467" ht="15" customHeight="1">
      <c r="A467" t="inlineStr">
        <is>
          <t>A 46091-2025</t>
        </is>
      </c>
      <c r="B467" s="1" t="n">
        <v>45924</v>
      </c>
      <c r="C467" s="1" t="n">
        <v>46200</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55124-2025</t>
        </is>
      </c>
      <c r="B468" s="1" t="n">
        <v>45968</v>
      </c>
      <c r="C468" s="1" t="n">
        <v>46200</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46283-2025</t>
        </is>
      </c>
      <c r="B469" s="1" t="n">
        <v>45925</v>
      </c>
      <c r="C469" s="1" t="n">
        <v>46200</v>
      </c>
      <c r="D469" t="inlineStr">
        <is>
          <t>DALARNAS LÄN</t>
        </is>
      </c>
      <c r="E469" t="inlineStr">
        <is>
          <t>MORA</t>
        </is>
      </c>
      <c r="G469" t="n">
        <v>0.5</v>
      </c>
      <c r="H469" t="n">
        <v>0</v>
      </c>
      <c r="I469" t="n">
        <v>0</v>
      </c>
      <c r="J469" t="n">
        <v>0</v>
      </c>
      <c r="K469" t="n">
        <v>0</v>
      </c>
      <c r="L469" t="n">
        <v>0</v>
      </c>
      <c r="M469" t="n">
        <v>0</v>
      </c>
      <c r="N469" t="n">
        <v>0</v>
      </c>
      <c r="O469" t="n">
        <v>0</v>
      </c>
      <c r="P469" t="n">
        <v>0</v>
      </c>
      <c r="Q469" t="n">
        <v>0</v>
      </c>
      <c r="R469" s="2" t="inlineStr"/>
    </row>
    <row r="470" ht="15" customHeight="1">
      <c r="A470" t="inlineStr">
        <is>
          <t>A 47055-2025</t>
        </is>
      </c>
      <c r="B470" s="1" t="n">
        <v>45929</v>
      </c>
      <c r="C470" s="1" t="n">
        <v>46200</v>
      </c>
      <c r="D470" t="inlineStr">
        <is>
          <t>DALARNAS LÄN</t>
        </is>
      </c>
      <c r="E470" t="inlineStr">
        <is>
          <t>MORA</t>
        </is>
      </c>
      <c r="G470" t="n">
        <v>28.1</v>
      </c>
      <c r="H470" t="n">
        <v>0</v>
      </c>
      <c r="I470" t="n">
        <v>0</v>
      </c>
      <c r="J470" t="n">
        <v>0</v>
      </c>
      <c r="K470" t="n">
        <v>0</v>
      </c>
      <c r="L470" t="n">
        <v>0</v>
      </c>
      <c r="M470" t="n">
        <v>0</v>
      </c>
      <c r="N470" t="n">
        <v>0</v>
      </c>
      <c r="O470" t="n">
        <v>0</v>
      </c>
      <c r="P470" t="n">
        <v>0</v>
      </c>
      <c r="Q470" t="n">
        <v>0</v>
      </c>
      <c r="R470" s="2" t="inlineStr"/>
    </row>
    <row r="471" ht="15" customHeight="1">
      <c r="A471" t="inlineStr">
        <is>
          <t>A 47072-2025</t>
        </is>
      </c>
      <c r="B471" s="1" t="n">
        <v>45929</v>
      </c>
      <c r="C471" s="1" t="n">
        <v>46200</v>
      </c>
      <c r="D471" t="inlineStr">
        <is>
          <t>DALARNAS LÄN</t>
        </is>
      </c>
      <c r="E471" t="inlineStr">
        <is>
          <t>MORA</t>
        </is>
      </c>
      <c r="G471" t="n">
        <v>3.4</v>
      </c>
      <c r="H471" t="n">
        <v>0</v>
      </c>
      <c r="I471" t="n">
        <v>0</v>
      </c>
      <c r="J471" t="n">
        <v>0</v>
      </c>
      <c r="K471" t="n">
        <v>0</v>
      </c>
      <c r="L471" t="n">
        <v>0</v>
      </c>
      <c r="M471" t="n">
        <v>0</v>
      </c>
      <c r="N471" t="n">
        <v>0</v>
      </c>
      <c r="O471" t="n">
        <v>0</v>
      </c>
      <c r="P471" t="n">
        <v>0</v>
      </c>
      <c r="Q471" t="n">
        <v>0</v>
      </c>
      <c r="R471" s="2" t="inlineStr"/>
    </row>
    <row r="472" ht="15" customHeight="1">
      <c r="A472" t="inlineStr">
        <is>
          <t>A 56702-2025</t>
        </is>
      </c>
      <c r="B472" s="1" t="n">
        <v>45977</v>
      </c>
      <c r="C472" s="1" t="n">
        <v>46200</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57097-2025</t>
        </is>
      </c>
      <c r="B473" s="1" t="n">
        <v>45979</v>
      </c>
      <c r="C473" s="1" t="n">
        <v>46200</v>
      </c>
      <c r="D473" t="inlineStr">
        <is>
          <t>DALARNAS LÄN</t>
        </is>
      </c>
      <c r="E473" t="inlineStr">
        <is>
          <t>MORA</t>
        </is>
      </c>
      <c r="G473" t="n">
        <v>7.5</v>
      </c>
      <c r="H473" t="n">
        <v>0</v>
      </c>
      <c r="I473" t="n">
        <v>0</v>
      </c>
      <c r="J473" t="n">
        <v>0</v>
      </c>
      <c r="K473" t="n">
        <v>0</v>
      </c>
      <c r="L473" t="n">
        <v>0</v>
      </c>
      <c r="M473" t="n">
        <v>0</v>
      </c>
      <c r="N473" t="n">
        <v>0</v>
      </c>
      <c r="O473" t="n">
        <v>0</v>
      </c>
      <c r="P473" t="n">
        <v>0</v>
      </c>
      <c r="Q473" t="n">
        <v>0</v>
      </c>
      <c r="R473" s="2" t="inlineStr"/>
    </row>
    <row r="474" ht="15" customHeight="1">
      <c r="A474" t="inlineStr">
        <is>
          <t>A 57101-2025</t>
        </is>
      </c>
      <c r="B474" s="1" t="n">
        <v>45979</v>
      </c>
      <c r="C474" s="1" t="n">
        <v>46200</v>
      </c>
      <c r="D474" t="inlineStr">
        <is>
          <t>DALARNAS LÄN</t>
        </is>
      </c>
      <c r="E474" t="inlineStr">
        <is>
          <t>MORA</t>
        </is>
      </c>
      <c r="G474" t="n">
        <v>7.5</v>
      </c>
      <c r="H474" t="n">
        <v>0</v>
      </c>
      <c r="I474" t="n">
        <v>0</v>
      </c>
      <c r="J474" t="n">
        <v>0</v>
      </c>
      <c r="K474" t="n">
        <v>0</v>
      </c>
      <c r="L474" t="n">
        <v>0</v>
      </c>
      <c r="M474" t="n">
        <v>0</v>
      </c>
      <c r="N474" t="n">
        <v>0</v>
      </c>
      <c r="O474" t="n">
        <v>0</v>
      </c>
      <c r="P474" t="n">
        <v>0</v>
      </c>
      <c r="Q474" t="n">
        <v>0</v>
      </c>
      <c r="R474" s="2" t="inlineStr"/>
    </row>
    <row r="475" ht="15" customHeight="1">
      <c r="A475" t="inlineStr">
        <is>
          <t>A 24640-2025</t>
        </is>
      </c>
      <c r="B475" s="1" t="n">
        <v>45798</v>
      </c>
      <c r="C475" s="1" t="n">
        <v>46200</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47414-2025</t>
        </is>
      </c>
      <c r="B476" s="1" t="n">
        <v>45930</v>
      </c>
      <c r="C476" s="1" t="n">
        <v>46200</v>
      </c>
      <c r="D476" t="inlineStr">
        <is>
          <t>DALARNAS LÄN</t>
        </is>
      </c>
      <c r="E476" t="inlineStr">
        <is>
          <t>MORA</t>
        </is>
      </c>
      <c r="G476" t="n">
        <v>6.1</v>
      </c>
      <c r="H476" t="n">
        <v>0</v>
      </c>
      <c r="I476" t="n">
        <v>0</v>
      </c>
      <c r="J476" t="n">
        <v>0</v>
      </c>
      <c r="K476" t="n">
        <v>0</v>
      </c>
      <c r="L476" t="n">
        <v>0</v>
      </c>
      <c r="M476" t="n">
        <v>0</v>
      </c>
      <c r="N476" t="n">
        <v>0</v>
      </c>
      <c r="O476" t="n">
        <v>0</v>
      </c>
      <c r="P476" t="n">
        <v>0</v>
      </c>
      <c r="Q476" t="n">
        <v>0</v>
      </c>
      <c r="R476" s="2" t="inlineStr"/>
    </row>
    <row r="477" ht="15" customHeight="1">
      <c r="A477" t="inlineStr">
        <is>
          <t>A 47765-2025</t>
        </is>
      </c>
      <c r="B477" s="1" t="n">
        <v>45931</v>
      </c>
      <c r="C477" s="1" t="n">
        <v>46200</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57659-2025</t>
        </is>
      </c>
      <c r="B478" s="1" t="n">
        <v>45981</v>
      </c>
      <c r="C478" s="1" t="n">
        <v>46200</v>
      </c>
      <c r="D478" t="inlineStr">
        <is>
          <t>DALARNAS LÄN</t>
        </is>
      </c>
      <c r="E478" t="inlineStr">
        <is>
          <t>MORA</t>
        </is>
      </c>
      <c r="G478" t="n">
        <v>1.8</v>
      </c>
      <c r="H478" t="n">
        <v>0</v>
      </c>
      <c r="I478" t="n">
        <v>0</v>
      </c>
      <c r="J478" t="n">
        <v>0</v>
      </c>
      <c r="K478" t="n">
        <v>0</v>
      </c>
      <c r="L478" t="n">
        <v>0</v>
      </c>
      <c r="M478" t="n">
        <v>0</v>
      </c>
      <c r="N478" t="n">
        <v>0</v>
      </c>
      <c r="O478" t="n">
        <v>0</v>
      </c>
      <c r="P478" t="n">
        <v>0</v>
      </c>
      <c r="Q478" t="n">
        <v>0</v>
      </c>
      <c r="R478" s="2" t="inlineStr"/>
    </row>
    <row r="479" ht="15" customHeight="1">
      <c r="A479" t="inlineStr">
        <is>
          <t>A 57647-2025</t>
        </is>
      </c>
      <c r="B479" s="1" t="n">
        <v>45981</v>
      </c>
      <c r="C479" s="1" t="n">
        <v>46200</v>
      </c>
      <c r="D479" t="inlineStr">
        <is>
          <t>DALARNAS LÄN</t>
        </is>
      </c>
      <c r="E479" t="inlineStr">
        <is>
          <t>MORA</t>
        </is>
      </c>
      <c r="G479" t="n">
        <v>3.9</v>
      </c>
      <c r="H479" t="n">
        <v>0</v>
      </c>
      <c r="I479" t="n">
        <v>0</v>
      </c>
      <c r="J479" t="n">
        <v>0</v>
      </c>
      <c r="K479" t="n">
        <v>0</v>
      </c>
      <c r="L479" t="n">
        <v>0</v>
      </c>
      <c r="M479" t="n">
        <v>0</v>
      </c>
      <c r="N479" t="n">
        <v>0</v>
      </c>
      <c r="O479" t="n">
        <v>0</v>
      </c>
      <c r="P479" t="n">
        <v>0</v>
      </c>
      <c r="Q479" t="n">
        <v>0</v>
      </c>
      <c r="R479" s="2" t="inlineStr"/>
    </row>
    <row r="480" ht="15" customHeight="1">
      <c r="A480" t="inlineStr">
        <is>
          <t>A 57453-2025</t>
        </is>
      </c>
      <c r="B480" s="1" t="n">
        <v>45980</v>
      </c>
      <c r="C480" s="1" t="n">
        <v>46200</v>
      </c>
      <c r="D480" t="inlineStr">
        <is>
          <t>DALARNAS LÄN</t>
        </is>
      </c>
      <c r="E480" t="inlineStr">
        <is>
          <t>MORA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57976-2025</t>
        </is>
      </c>
      <c r="B481" s="1" t="n">
        <v>45982</v>
      </c>
      <c r="C481" s="1" t="n">
        <v>46200</v>
      </c>
      <c r="D481" t="inlineStr">
        <is>
          <t>DALARNAS LÄN</t>
        </is>
      </c>
      <c r="E481" t="inlineStr">
        <is>
          <t>MORA</t>
        </is>
      </c>
      <c r="G481" t="n">
        <v>7.4</v>
      </c>
      <c r="H481" t="n">
        <v>0</v>
      </c>
      <c r="I481" t="n">
        <v>0</v>
      </c>
      <c r="J481" t="n">
        <v>0</v>
      </c>
      <c r="K481" t="n">
        <v>0</v>
      </c>
      <c r="L481" t="n">
        <v>0</v>
      </c>
      <c r="M481" t="n">
        <v>0</v>
      </c>
      <c r="N481" t="n">
        <v>0</v>
      </c>
      <c r="O481" t="n">
        <v>0</v>
      </c>
      <c r="P481" t="n">
        <v>0</v>
      </c>
      <c r="Q481" t="n">
        <v>0</v>
      </c>
      <c r="R481" s="2" t="inlineStr"/>
    </row>
    <row r="482" ht="15" customHeight="1">
      <c r="A482" t="inlineStr">
        <is>
          <t>A 24642-2025</t>
        </is>
      </c>
      <c r="B482" s="1" t="n">
        <v>45798</v>
      </c>
      <c r="C482" s="1" t="n">
        <v>46200</v>
      </c>
      <c r="D482" t="inlineStr">
        <is>
          <t>DALARNAS LÄN</t>
        </is>
      </c>
      <c r="E482" t="inlineStr">
        <is>
          <t>MORA</t>
        </is>
      </c>
      <c r="F482" t="inlineStr">
        <is>
          <t>Bergvik skog väst AB</t>
        </is>
      </c>
      <c r="G482" t="n">
        <v>1.7</v>
      </c>
      <c r="H482" t="n">
        <v>0</v>
      </c>
      <c r="I482" t="n">
        <v>0</v>
      </c>
      <c r="J482" t="n">
        <v>0</v>
      </c>
      <c r="K482" t="n">
        <v>0</v>
      </c>
      <c r="L482" t="n">
        <v>0</v>
      </c>
      <c r="M482" t="n">
        <v>0</v>
      </c>
      <c r="N482" t="n">
        <v>0</v>
      </c>
      <c r="O482" t="n">
        <v>0</v>
      </c>
      <c r="P482" t="n">
        <v>0</v>
      </c>
      <c r="Q482" t="n">
        <v>0</v>
      </c>
      <c r="R482" s="2" t="inlineStr"/>
    </row>
    <row r="483" ht="15" customHeight="1">
      <c r="A483" t="inlineStr">
        <is>
          <t>A 55135-2025</t>
        </is>
      </c>
      <c r="B483" s="1" t="n">
        <v>45968</v>
      </c>
      <c r="C483" s="1" t="n">
        <v>46200</v>
      </c>
      <c r="D483" t="inlineStr">
        <is>
          <t>DALARNAS LÄN</t>
        </is>
      </c>
      <c r="E483" t="inlineStr">
        <is>
          <t>MORA</t>
        </is>
      </c>
      <c r="G483" t="n">
        <v>5.1</v>
      </c>
      <c r="H483" t="n">
        <v>0</v>
      </c>
      <c r="I483" t="n">
        <v>0</v>
      </c>
      <c r="J483" t="n">
        <v>0</v>
      </c>
      <c r="K483" t="n">
        <v>0</v>
      </c>
      <c r="L483" t="n">
        <v>0</v>
      </c>
      <c r="M483" t="n">
        <v>0</v>
      </c>
      <c r="N483" t="n">
        <v>0</v>
      </c>
      <c r="O483" t="n">
        <v>0</v>
      </c>
      <c r="P483" t="n">
        <v>0</v>
      </c>
      <c r="Q483" t="n">
        <v>0</v>
      </c>
      <c r="R483" s="2" t="inlineStr"/>
    </row>
    <row r="484" ht="15" customHeight="1">
      <c r="A484" t="inlineStr">
        <is>
          <t>A 59094-2025</t>
        </is>
      </c>
      <c r="B484" s="1" t="n">
        <v>45988</v>
      </c>
      <c r="C484" s="1" t="n">
        <v>46200</v>
      </c>
      <c r="D484" t="inlineStr">
        <is>
          <t>DALARNAS LÄN</t>
        </is>
      </c>
      <c r="E484" t="inlineStr">
        <is>
          <t>MORA</t>
        </is>
      </c>
      <c r="G484" t="n">
        <v>10</v>
      </c>
      <c r="H484" t="n">
        <v>0</v>
      </c>
      <c r="I484" t="n">
        <v>0</v>
      </c>
      <c r="J484" t="n">
        <v>0</v>
      </c>
      <c r="K484" t="n">
        <v>0</v>
      </c>
      <c r="L484" t="n">
        <v>0</v>
      </c>
      <c r="M484" t="n">
        <v>0</v>
      </c>
      <c r="N484" t="n">
        <v>0</v>
      </c>
      <c r="O484" t="n">
        <v>0</v>
      </c>
      <c r="P484" t="n">
        <v>0</v>
      </c>
      <c r="Q484" t="n">
        <v>0</v>
      </c>
      <c r="R484" s="2" t="inlineStr"/>
    </row>
    <row r="485" ht="15" customHeight="1">
      <c r="A485" t="inlineStr">
        <is>
          <t>A 59805-2025</t>
        </is>
      </c>
      <c r="B485" s="1" t="n">
        <v>45992</v>
      </c>
      <c r="C485" s="1" t="n">
        <v>46200</v>
      </c>
      <c r="D485" t="inlineStr">
        <is>
          <t>DALARNAS LÄN</t>
        </is>
      </c>
      <c r="E485" t="inlineStr">
        <is>
          <t>MORA</t>
        </is>
      </c>
      <c r="G485" t="n">
        <v>4.2</v>
      </c>
      <c r="H485" t="n">
        <v>0</v>
      </c>
      <c r="I485" t="n">
        <v>0</v>
      </c>
      <c r="J485" t="n">
        <v>0</v>
      </c>
      <c r="K485" t="n">
        <v>0</v>
      </c>
      <c r="L485" t="n">
        <v>0</v>
      </c>
      <c r="M485" t="n">
        <v>0</v>
      </c>
      <c r="N485" t="n">
        <v>0</v>
      </c>
      <c r="O485" t="n">
        <v>0</v>
      </c>
      <c r="P485" t="n">
        <v>0</v>
      </c>
      <c r="Q485" t="n">
        <v>0</v>
      </c>
      <c r="R485" s="2" t="inlineStr"/>
    </row>
    <row r="486" ht="15" customHeight="1">
      <c r="A486" t="inlineStr">
        <is>
          <t>A 59768-2025</t>
        </is>
      </c>
      <c r="B486" s="1" t="n">
        <v>45992</v>
      </c>
      <c r="C486" s="1" t="n">
        <v>46200</v>
      </c>
      <c r="D486" t="inlineStr">
        <is>
          <t>DALARNAS LÄN</t>
        </is>
      </c>
      <c r="E486" t="inlineStr">
        <is>
          <t>MORA</t>
        </is>
      </c>
      <c r="G486" t="n">
        <v>4</v>
      </c>
      <c r="H486" t="n">
        <v>0</v>
      </c>
      <c r="I486" t="n">
        <v>0</v>
      </c>
      <c r="J486" t="n">
        <v>0</v>
      </c>
      <c r="K486" t="n">
        <v>0</v>
      </c>
      <c r="L486" t="n">
        <v>0</v>
      </c>
      <c r="M486" t="n">
        <v>0</v>
      </c>
      <c r="N486" t="n">
        <v>0</v>
      </c>
      <c r="O486" t="n">
        <v>0</v>
      </c>
      <c r="P486" t="n">
        <v>0</v>
      </c>
      <c r="Q486" t="n">
        <v>0</v>
      </c>
      <c r="R486" s="2" t="inlineStr"/>
    </row>
    <row r="487" ht="15" customHeight="1">
      <c r="A487" t="inlineStr">
        <is>
          <t>A 59669-2025</t>
        </is>
      </c>
      <c r="B487" s="1" t="n">
        <v>45992</v>
      </c>
      <c r="C487" s="1" t="n">
        <v>46200</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54398-2021</t>
        </is>
      </c>
      <c r="B488" s="1" t="n">
        <v>44473</v>
      </c>
      <c r="C488" s="1" t="n">
        <v>46200</v>
      </c>
      <c r="D488" t="inlineStr">
        <is>
          <t>DALARNAS LÄN</t>
        </is>
      </c>
      <c r="E488" t="inlineStr">
        <is>
          <t>MORA</t>
        </is>
      </c>
      <c r="G488" t="n">
        <v>0.9</v>
      </c>
      <c r="H488" t="n">
        <v>0</v>
      </c>
      <c r="I488" t="n">
        <v>0</v>
      </c>
      <c r="J488" t="n">
        <v>0</v>
      </c>
      <c r="K488" t="n">
        <v>0</v>
      </c>
      <c r="L488" t="n">
        <v>0</v>
      </c>
      <c r="M488" t="n">
        <v>0</v>
      </c>
      <c r="N488" t="n">
        <v>0</v>
      </c>
      <c r="O488" t="n">
        <v>0</v>
      </c>
      <c r="P488" t="n">
        <v>0</v>
      </c>
      <c r="Q488" t="n">
        <v>0</v>
      </c>
      <c r="R488" s="2" t="inlineStr"/>
    </row>
    <row r="489" ht="15" customHeight="1">
      <c r="A489" t="inlineStr">
        <is>
          <t>A 48522-2024</t>
        </is>
      </c>
      <c r="B489" s="1" t="n">
        <v>45593</v>
      </c>
      <c r="C489" s="1" t="n">
        <v>46200</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48342-2023</t>
        </is>
      </c>
      <c r="B490" s="1" t="n">
        <v>45205</v>
      </c>
      <c r="C490" s="1" t="n">
        <v>46200</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60957-2025</t>
        </is>
      </c>
      <c r="B491" s="1" t="n">
        <v>45999</v>
      </c>
      <c r="C491" s="1" t="n">
        <v>46200</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55691-2023</t>
        </is>
      </c>
      <c r="B492" s="1" t="n">
        <v>45239</v>
      </c>
      <c r="C492" s="1" t="n">
        <v>46200</v>
      </c>
      <c r="D492" t="inlineStr">
        <is>
          <t>DALARNAS LÄN</t>
        </is>
      </c>
      <c r="E492" t="inlineStr">
        <is>
          <t>MORA</t>
        </is>
      </c>
      <c r="G492" t="n">
        <v>2.2</v>
      </c>
      <c r="H492" t="n">
        <v>0</v>
      </c>
      <c r="I492" t="n">
        <v>0</v>
      </c>
      <c r="J492" t="n">
        <v>0</v>
      </c>
      <c r="K492" t="n">
        <v>0</v>
      </c>
      <c r="L492" t="n">
        <v>0</v>
      </c>
      <c r="M492" t="n">
        <v>0</v>
      </c>
      <c r="N492" t="n">
        <v>0</v>
      </c>
      <c r="O492" t="n">
        <v>0</v>
      </c>
      <c r="P492" t="n">
        <v>0</v>
      </c>
      <c r="Q492" t="n">
        <v>0</v>
      </c>
      <c r="R492" s="2" t="inlineStr"/>
    </row>
    <row r="493" ht="15" customHeight="1">
      <c r="A493" t="inlineStr">
        <is>
          <t>A 63958-2023</t>
        </is>
      </c>
      <c r="B493" s="1" t="n">
        <v>45278</v>
      </c>
      <c r="C493" s="1" t="n">
        <v>46200</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25494-2024</t>
        </is>
      </c>
      <c r="B494" s="1" t="n">
        <v>45463</v>
      </c>
      <c r="C494" s="1" t="n">
        <v>46200</v>
      </c>
      <c r="D494" t="inlineStr">
        <is>
          <t>DALARNAS LÄN</t>
        </is>
      </c>
      <c r="E494" t="inlineStr">
        <is>
          <t>MORA</t>
        </is>
      </c>
      <c r="G494" t="n">
        <v>4.9</v>
      </c>
      <c r="H494" t="n">
        <v>0</v>
      </c>
      <c r="I494" t="n">
        <v>0</v>
      </c>
      <c r="J494" t="n">
        <v>0</v>
      </c>
      <c r="K494" t="n">
        <v>0</v>
      </c>
      <c r="L494" t="n">
        <v>0</v>
      </c>
      <c r="M494" t="n">
        <v>0</v>
      </c>
      <c r="N494" t="n">
        <v>0</v>
      </c>
      <c r="O494" t="n">
        <v>0</v>
      </c>
      <c r="P494" t="n">
        <v>0</v>
      </c>
      <c r="Q494" t="n">
        <v>0</v>
      </c>
      <c r="R494" s="2" t="inlineStr"/>
    </row>
    <row r="495" ht="15" customHeight="1">
      <c r="A495" t="inlineStr">
        <is>
          <t>A 26532-2025</t>
        </is>
      </c>
      <c r="B495" s="1" t="n">
        <v>45807</v>
      </c>
      <c r="C495" s="1" t="n">
        <v>46200</v>
      </c>
      <c r="D495" t="inlineStr">
        <is>
          <t>DALARNAS LÄN</t>
        </is>
      </c>
      <c r="E495" t="inlineStr">
        <is>
          <t>MORA</t>
        </is>
      </c>
      <c r="G495" t="n">
        <v>4.4</v>
      </c>
      <c r="H495" t="n">
        <v>0</v>
      </c>
      <c r="I495" t="n">
        <v>0</v>
      </c>
      <c r="J495" t="n">
        <v>0</v>
      </c>
      <c r="K495" t="n">
        <v>0</v>
      </c>
      <c r="L495" t="n">
        <v>0</v>
      </c>
      <c r="M495" t="n">
        <v>0</v>
      </c>
      <c r="N495" t="n">
        <v>0</v>
      </c>
      <c r="O495" t="n">
        <v>0</v>
      </c>
      <c r="P495" t="n">
        <v>0</v>
      </c>
      <c r="Q495" t="n">
        <v>0</v>
      </c>
      <c r="R495" s="2" t="inlineStr"/>
    </row>
    <row r="496" ht="15" customHeight="1">
      <c r="A496" t="inlineStr">
        <is>
          <t>A 61412-2025</t>
        </is>
      </c>
      <c r="B496" s="1" t="n">
        <v>46001</v>
      </c>
      <c r="C496" s="1" t="n">
        <v>46200</v>
      </c>
      <c r="D496" t="inlineStr">
        <is>
          <t>DALARNAS LÄN</t>
        </is>
      </c>
      <c r="E496" t="inlineStr">
        <is>
          <t>MORA</t>
        </is>
      </c>
      <c r="G496" t="n">
        <v>2.9</v>
      </c>
      <c r="H496" t="n">
        <v>0</v>
      </c>
      <c r="I496" t="n">
        <v>0</v>
      </c>
      <c r="J496" t="n">
        <v>0</v>
      </c>
      <c r="K496" t="n">
        <v>0</v>
      </c>
      <c r="L496" t="n">
        <v>0</v>
      </c>
      <c r="M496" t="n">
        <v>0</v>
      </c>
      <c r="N496" t="n">
        <v>0</v>
      </c>
      <c r="O496" t="n">
        <v>0</v>
      </c>
      <c r="P496" t="n">
        <v>0</v>
      </c>
      <c r="Q496" t="n">
        <v>0</v>
      </c>
      <c r="R496" s="2" t="inlineStr"/>
    </row>
    <row r="497" ht="15" customHeight="1">
      <c r="A497" t="inlineStr">
        <is>
          <t>A 61455-2025</t>
        </is>
      </c>
      <c r="B497" s="1" t="n">
        <v>46001</v>
      </c>
      <c r="C497" s="1" t="n">
        <v>46200</v>
      </c>
      <c r="D497" t="inlineStr">
        <is>
          <t>DALARNAS LÄN</t>
        </is>
      </c>
      <c r="E497" t="inlineStr">
        <is>
          <t>MORA</t>
        </is>
      </c>
      <c r="G497" t="n">
        <v>3.4</v>
      </c>
      <c r="H497" t="n">
        <v>0</v>
      </c>
      <c r="I497" t="n">
        <v>0</v>
      </c>
      <c r="J497" t="n">
        <v>0</v>
      </c>
      <c r="K497" t="n">
        <v>0</v>
      </c>
      <c r="L497" t="n">
        <v>0</v>
      </c>
      <c r="M497" t="n">
        <v>0</v>
      </c>
      <c r="N497" t="n">
        <v>0</v>
      </c>
      <c r="O497" t="n">
        <v>0</v>
      </c>
      <c r="P497" t="n">
        <v>0</v>
      </c>
      <c r="Q497" t="n">
        <v>0</v>
      </c>
      <c r="R497" s="2" t="inlineStr"/>
    </row>
    <row r="498" ht="15" customHeight="1">
      <c r="A498" t="inlineStr">
        <is>
          <t>A 61606-2025</t>
        </is>
      </c>
      <c r="B498" s="1" t="n">
        <v>46002</v>
      </c>
      <c r="C498" s="1" t="n">
        <v>46200</v>
      </c>
      <c r="D498" t="inlineStr">
        <is>
          <t>DALARNAS LÄN</t>
        </is>
      </c>
      <c r="E498" t="inlineStr">
        <is>
          <t>MORA</t>
        </is>
      </c>
      <c r="G498" t="n">
        <v>6.1</v>
      </c>
      <c r="H498" t="n">
        <v>0</v>
      </c>
      <c r="I498" t="n">
        <v>0</v>
      </c>
      <c r="J498" t="n">
        <v>0</v>
      </c>
      <c r="K498" t="n">
        <v>0</v>
      </c>
      <c r="L498" t="n">
        <v>0</v>
      </c>
      <c r="M498" t="n">
        <v>0</v>
      </c>
      <c r="N498" t="n">
        <v>0</v>
      </c>
      <c r="O498" t="n">
        <v>0</v>
      </c>
      <c r="P498" t="n">
        <v>0</v>
      </c>
      <c r="Q498" t="n">
        <v>0</v>
      </c>
      <c r="R498" s="2" t="inlineStr"/>
    </row>
    <row r="499" ht="15" customHeight="1">
      <c r="A499" t="inlineStr">
        <is>
          <t>A 61624-2025</t>
        </is>
      </c>
      <c r="B499" s="1" t="n">
        <v>46002</v>
      </c>
      <c r="C499" s="1" t="n">
        <v>46200</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61620-2025</t>
        </is>
      </c>
      <c r="B500" s="1" t="n">
        <v>46002</v>
      </c>
      <c r="C500" s="1" t="n">
        <v>46200</v>
      </c>
      <c r="D500" t="inlineStr">
        <is>
          <t>DALARNAS LÄN</t>
        </is>
      </c>
      <c r="E500" t="inlineStr">
        <is>
          <t>MORA</t>
        </is>
      </c>
      <c r="G500" t="n">
        <v>3</v>
      </c>
      <c r="H500" t="n">
        <v>0</v>
      </c>
      <c r="I500" t="n">
        <v>0</v>
      </c>
      <c r="J500" t="n">
        <v>0</v>
      </c>
      <c r="K500" t="n">
        <v>0</v>
      </c>
      <c r="L500" t="n">
        <v>0</v>
      </c>
      <c r="M500" t="n">
        <v>0</v>
      </c>
      <c r="N500" t="n">
        <v>0</v>
      </c>
      <c r="O500" t="n">
        <v>0</v>
      </c>
      <c r="P500" t="n">
        <v>0</v>
      </c>
      <c r="Q500" t="n">
        <v>0</v>
      </c>
      <c r="R500" s="2" t="inlineStr"/>
    </row>
    <row r="501" ht="15" customHeight="1">
      <c r="A501" t="inlineStr">
        <is>
          <t>A 61995-2025</t>
        </is>
      </c>
      <c r="B501" s="1" t="n">
        <v>46003</v>
      </c>
      <c r="C501" s="1" t="n">
        <v>46200</v>
      </c>
      <c r="D501" t="inlineStr">
        <is>
          <t>DALARNAS LÄN</t>
        </is>
      </c>
      <c r="E501" t="inlineStr">
        <is>
          <t>MORA</t>
        </is>
      </c>
      <c r="G501" t="n">
        <v>1.3</v>
      </c>
      <c r="H501" t="n">
        <v>0</v>
      </c>
      <c r="I501" t="n">
        <v>0</v>
      </c>
      <c r="J501" t="n">
        <v>0</v>
      </c>
      <c r="K501" t="n">
        <v>0</v>
      </c>
      <c r="L501" t="n">
        <v>0</v>
      </c>
      <c r="M501" t="n">
        <v>0</v>
      </c>
      <c r="N501" t="n">
        <v>0</v>
      </c>
      <c r="O501" t="n">
        <v>0</v>
      </c>
      <c r="P501" t="n">
        <v>0</v>
      </c>
      <c r="Q501" t="n">
        <v>0</v>
      </c>
      <c r="R501" s="2" t="inlineStr"/>
    </row>
    <row r="502" ht="15" customHeight="1">
      <c r="A502" t="inlineStr">
        <is>
          <t>A 62055-2025</t>
        </is>
      </c>
      <c r="B502" s="1" t="n">
        <v>46006</v>
      </c>
      <c r="C502" s="1" t="n">
        <v>46200</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62054-2025</t>
        </is>
      </c>
      <c r="B503" s="1" t="n">
        <v>46006</v>
      </c>
      <c r="C503" s="1" t="n">
        <v>46200</v>
      </c>
      <c r="D503" t="inlineStr">
        <is>
          <t>DALARNAS LÄN</t>
        </is>
      </c>
      <c r="E503" t="inlineStr">
        <is>
          <t>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62548-2025</t>
        </is>
      </c>
      <c r="B504" s="1" t="n">
        <v>46007</v>
      </c>
      <c r="C504" s="1" t="n">
        <v>46200</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62959-2025</t>
        </is>
      </c>
      <c r="B505" s="1" t="n">
        <v>46009</v>
      </c>
      <c r="C505" s="1" t="n">
        <v>46200</v>
      </c>
      <c r="D505" t="inlineStr">
        <is>
          <t>DALARNAS LÄN</t>
        </is>
      </c>
      <c r="E505" t="inlineStr">
        <is>
          <t>MORA</t>
        </is>
      </c>
      <c r="G505" t="n">
        <v>2.6</v>
      </c>
      <c r="H505" t="n">
        <v>0</v>
      </c>
      <c r="I505" t="n">
        <v>0</v>
      </c>
      <c r="J505" t="n">
        <v>0</v>
      </c>
      <c r="K505" t="n">
        <v>0</v>
      </c>
      <c r="L505" t="n">
        <v>0</v>
      </c>
      <c r="M505" t="n">
        <v>0</v>
      </c>
      <c r="N505" t="n">
        <v>0</v>
      </c>
      <c r="O505" t="n">
        <v>0</v>
      </c>
      <c r="P505" t="n">
        <v>0</v>
      </c>
      <c r="Q505" t="n">
        <v>0</v>
      </c>
      <c r="R505" s="2" t="inlineStr"/>
    </row>
    <row r="506" ht="15" customHeight="1">
      <c r="A506" t="inlineStr">
        <is>
          <t>A 62965-2025</t>
        </is>
      </c>
      <c r="B506" s="1" t="n">
        <v>46009</v>
      </c>
      <c r="C506" s="1" t="n">
        <v>46200</v>
      </c>
      <c r="D506" t="inlineStr">
        <is>
          <t>DALARNAS LÄN</t>
        </is>
      </c>
      <c r="E506" t="inlineStr">
        <is>
          <t>MORA</t>
        </is>
      </c>
      <c r="G506" t="n">
        <v>9.1</v>
      </c>
      <c r="H506" t="n">
        <v>0</v>
      </c>
      <c r="I506" t="n">
        <v>0</v>
      </c>
      <c r="J506" t="n">
        <v>0</v>
      </c>
      <c r="K506" t="n">
        <v>0</v>
      </c>
      <c r="L506" t="n">
        <v>0</v>
      </c>
      <c r="M506" t="n">
        <v>0</v>
      </c>
      <c r="N506" t="n">
        <v>0</v>
      </c>
      <c r="O506" t="n">
        <v>0</v>
      </c>
      <c r="P506" t="n">
        <v>0</v>
      </c>
      <c r="Q506" t="n">
        <v>0</v>
      </c>
      <c r="R506" s="2" t="inlineStr"/>
    </row>
    <row r="507" ht="15" customHeight="1">
      <c r="A507" t="inlineStr">
        <is>
          <t>A 62619-2025</t>
        </is>
      </c>
      <c r="B507" s="1" t="n">
        <v>46008</v>
      </c>
      <c r="C507" s="1" t="n">
        <v>46200</v>
      </c>
      <c r="D507" t="inlineStr">
        <is>
          <t>DALARNAS LÄN</t>
        </is>
      </c>
      <c r="E507" t="inlineStr">
        <is>
          <t>MORA</t>
        </is>
      </c>
      <c r="G507" t="n">
        <v>3.3</v>
      </c>
      <c r="H507" t="n">
        <v>0</v>
      </c>
      <c r="I507" t="n">
        <v>0</v>
      </c>
      <c r="J507" t="n">
        <v>0</v>
      </c>
      <c r="K507" t="n">
        <v>0</v>
      </c>
      <c r="L507" t="n">
        <v>0</v>
      </c>
      <c r="M507" t="n">
        <v>0</v>
      </c>
      <c r="N507" t="n">
        <v>0</v>
      </c>
      <c r="O507" t="n">
        <v>0</v>
      </c>
      <c r="P507" t="n">
        <v>0</v>
      </c>
      <c r="Q507" t="n">
        <v>0</v>
      </c>
      <c r="R507" s="2" t="inlineStr"/>
    </row>
    <row r="508" ht="15" customHeight="1">
      <c r="A508" t="inlineStr">
        <is>
          <t>A 62853-2025</t>
        </is>
      </c>
      <c r="B508" s="1" t="n">
        <v>46008</v>
      </c>
      <c r="C508" s="1" t="n">
        <v>46200</v>
      </c>
      <c r="D508" t="inlineStr">
        <is>
          <t>DALARNAS LÄN</t>
        </is>
      </c>
      <c r="E508" t="inlineStr">
        <is>
          <t>MORA</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62626-2025</t>
        </is>
      </c>
      <c r="B509" s="1" t="n">
        <v>46008</v>
      </c>
      <c r="C509" s="1" t="n">
        <v>46200</v>
      </c>
      <c r="D509" t="inlineStr">
        <is>
          <t>DALARNAS LÄN</t>
        </is>
      </c>
      <c r="E509" t="inlineStr">
        <is>
          <t>MORA</t>
        </is>
      </c>
      <c r="G509" t="n">
        <v>6.7</v>
      </c>
      <c r="H509" t="n">
        <v>0</v>
      </c>
      <c r="I509" t="n">
        <v>0</v>
      </c>
      <c r="J509" t="n">
        <v>0</v>
      </c>
      <c r="K509" t="n">
        <v>0</v>
      </c>
      <c r="L509" t="n">
        <v>0</v>
      </c>
      <c r="M509" t="n">
        <v>0</v>
      </c>
      <c r="N509" t="n">
        <v>0</v>
      </c>
      <c r="O509" t="n">
        <v>0</v>
      </c>
      <c r="P509" t="n">
        <v>0</v>
      </c>
      <c r="Q509" t="n">
        <v>0</v>
      </c>
      <c r="R509" s="2" t="inlineStr"/>
    </row>
    <row r="510" ht="15" customHeight="1">
      <c r="A510" t="inlineStr">
        <is>
          <t>A 26546-2025</t>
        </is>
      </c>
      <c r="B510" s="1" t="n">
        <v>45807</v>
      </c>
      <c r="C510" s="1" t="n">
        <v>46200</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26573-2025</t>
        </is>
      </c>
      <c r="B511" s="1" t="n">
        <v>45807</v>
      </c>
      <c r="C511" s="1" t="n">
        <v>46200</v>
      </c>
      <c r="D511" t="inlineStr">
        <is>
          <t>DALARNAS LÄN</t>
        </is>
      </c>
      <c r="E511" t="inlineStr">
        <is>
          <t>MORA</t>
        </is>
      </c>
      <c r="G511" t="n">
        <v>4.3</v>
      </c>
      <c r="H511" t="n">
        <v>0</v>
      </c>
      <c r="I511" t="n">
        <v>0</v>
      </c>
      <c r="J511" t="n">
        <v>0</v>
      </c>
      <c r="K511" t="n">
        <v>0</v>
      </c>
      <c r="L511" t="n">
        <v>0</v>
      </c>
      <c r="M511" t="n">
        <v>0</v>
      </c>
      <c r="N511" t="n">
        <v>0</v>
      </c>
      <c r="O511" t="n">
        <v>0</v>
      </c>
      <c r="P511" t="n">
        <v>0</v>
      </c>
      <c r="Q511" t="n">
        <v>0</v>
      </c>
      <c r="R511" s="2" t="inlineStr"/>
    </row>
    <row r="512" ht="15" customHeight="1">
      <c r="A512" t="inlineStr">
        <is>
          <t>A 26577-2025</t>
        </is>
      </c>
      <c r="B512" s="1" t="n">
        <v>45807</v>
      </c>
      <c r="C512" s="1" t="n">
        <v>46200</v>
      </c>
      <c r="D512" t="inlineStr">
        <is>
          <t>DALARNAS LÄN</t>
        </is>
      </c>
      <c r="E512" t="inlineStr">
        <is>
          <t>MORA</t>
        </is>
      </c>
      <c r="G512" t="n">
        <v>2.8</v>
      </c>
      <c r="H512" t="n">
        <v>0</v>
      </c>
      <c r="I512" t="n">
        <v>0</v>
      </c>
      <c r="J512" t="n">
        <v>0</v>
      </c>
      <c r="K512" t="n">
        <v>0</v>
      </c>
      <c r="L512" t="n">
        <v>0</v>
      </c>
      <c r="M512" t="n">
        <v>0</v>
      </c>
      <c r="N512" t="n">
        <v>0</v>
      </c>
      <c r="O512" t="n">
        <v>0</v>
      </c>
      <c r="P512" t="n">
        <v>0</v>
      </c>
      <c r="Q512" t="n">
        <v>0</v>
      </c>
      <c r="R512" s="2" t="inlineStr"/>
    </row>
    <row r="513" ht="15" customHeight="1">
      <c r="A513" t="inlineStr">
        <is>
          <t>A 26545-2025</t>
        </is>
      </c>
      <c r="B513" s="1" t="n">
        <v>45807</v>
      </c>
      <c r="C513" s="1" t="n">
        <v>46200</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63434-2025</t>
        </is>
      </c>
      <c r="B514" s="1" t="n">
        <v>46013</v>
      </c>
      <c r="C514" s="1" t="n">
        <v>46200</v>
      </c>
      <c r="D514" t="inlineStr">
        <is>
          <t>DALARNAS LÄN</t>
        </is>
      </c>
      <c r="E514" t="inlineStr">
        <is>
          <t>MORA</t>
        </is>
      </c>
      <c r="F514" t="inlineStr">
        <is>
          <t>Allmännings- och besparingsskogar</t>
        </is>
      </c>
      <c r="G514" t="n">
        <v>3.6</v>
      </c>
      <c r="H514" t="n">
        <v>0</v>
      </c>
      <c r="I514" t="n">
        <v>0</v>
      </c>
      <c r="J514" t="n">
        <v>0</v>
      </c>
      <c r="K514" t="n">
        <v>0</v>
      </c>
      <c r="L514" t="n">
        <v>0</v>
      </c>
      <c r="M514" t="n">
        <v>0</v>
      </c>
      <c r="N514" t="n">
        <v>0</v>
      </c>
      <c r="O514" t="n">
        <v>0</v>
      </c>
      <c r="P514" t="n">
        <v>0</v>
      </c>
      <c r="Q514" t="n">
        <v>0</v>
      </c>
      <c r="R514" s="2" t="inlineStr"/>
    </row>
    <row r="515" ht="15" customHeight="1">
      <c r="A515" t="inlineStr">
        <is>
          <t>A 63431-2025</t>
        </is>
      </c>
      <c r="B515" s="1" t="n">
        <v>46013</v>
      </c>
      <c r="C515" s="1" t="n">
        <v>46200</v>
      </c>
      <c r="D515" t="inlineStr">
        <is>
          <t>DALARNAS LÄN</t>
        </is>
      </c>
      <c r="E515" t="inlineStr">
        <is>
          <t>MORA</t>
        </is>
      </c>
      <c r="F515" t="inlineStr">
        <is>
          <t>Allmännings- och besparingsskogar</t>
        </is>
      </c>
      <c r="G515" t="n">
        <v>5.7</v>
      </c>
      <c r="H515" t="n">
        <v>0</v>
      </c>
      <c r="I515" t="n">
        <v>0</v>
      </c>
      <c r="J515" t="n">
        <v>0</v>
      </c>
      <c r="K515" t="n">
        <v>0</v>
      </c>
      <c r="L515" t="n">
        <v>0</v>
      </c>
      <c r="M515" t="n">
        <v>0</v>
      </c>
      <c r="N515" t="n">
        <v>0</v>
      </c>
      <c r="O515" t="n">
        <v>0</v>
      </c>
      <c r="P515" t="n">
        <v>0</v>
      </c>
      <c r="Q515" t="n">
        <v>0</v>
      </c>
      <c r="R515" s="2" t="inlineStr"/>
    </row>
    <row r="516" ht="15" customHeight="1">
      <c r="A516" t="inlineStr">
        <is>
          <t>A 63457-2025</t>
        </is>
      </c>
      <c r="B516" s="1" t="n">
        <v>46013</v>
      </c>
      <c r="C516" s="1" t="n">
        <v>46200</v>
      </c>
      <c r="D516" t="inlineStr">
        <is>
          <t>DALARNAS LÄN</t>
        </is>
      </c>
      <c r="E516" t="inlineStr">
        <is>
          <t>MORA</t>
        </is>
      </c>
      <c r="F516" t="inlineStr">
        <is>
          <t>Allmännings- och besparingsskogar</t>
        </is>
      </c>
      <c r="G516" t="n">
        <v>34.4</v>
      </c>
      <c r="H516" t="n">
        <v>0</v>
      </c>
      <c r="I516" t="n">
        <v>0</v>
      </c>
      <c r="J516" t="n">
        <v>0</v>
      </c>
      <c r="K516" t="n">
        <v>0</v>
      </c>
      <c r="L516" t="n">
        <v>0</v>
      </c>
      <c r="M516" t="n">
        <v>0</v>
      </c>
      <c r="N516" t="n">
        <v>0</v>
      </c>
      <c r="O516" t="n">
        <v>0</v>
      </c>
      <c r="P516" t="n">
        <v>0</v>
      </c>
      <c r="Q516" t="n">
        <v>0</v>
      </c>
      <c r="R516" s="2" t="inlineStr"/>
    </row>
    <row r="517" ht="15" customHeight="1">
      <c r="A517" t="inlineStr">
        <is>
          <t>A 52599-2025</t>
        </is>
      </c>
      <c r="B517" s="1" t="n">
        <v>45954</v>
      </c>
      <c r="C517" s="1" t="n">
        <v>46200</v>
      </c>
      <c r="D517" t="inlineStr">
        <is>
          <t>DALARNAS LÄN</t>
        </is>
      </c>
      <c r="E517" t="inlineStr">
        <is>
          <t>MORA</t>
        </is>
      </c>
      <c r="G517" t="n">
        <v>10.8</v>
      </c>
      <c r="H517" t="n">
        <v>0</v>
      </c>
      <c r="I517" t="n">
        <v>0</v>
      </c>
      <c r="J517" t="n">
        <v>0</v>
      </c>
      <c r="K517" t="n">
        <v>0</v>
      </c>
      <c r="L517" t="n">
        <v>0</v>
      </c>
      <c r="M517" t="n">
        <v>0</v>
      </c>
      <c r="N517" t="n">
        <v>0</v>
      </c>
      <c r="O517" t="n">
        <v>0</v>
      </c>
      <c r="P517" t="n">
        <v>0</v>
      </c>
      <c r="Q517" t="n">
        <v>0</v>
      </c>
      <c r="R517" s="2" t="inlineStr"/>
    </row>
    <row r="518" ht="15" customHeight="1">
      <c r="A518" t="inlineStr">
        <is>
          <t>A 63596-2025</t>
        </is>
      </c>
      <c r="B518" s="1" t="n">
        <v>46013</v>
      </c>
      <c r="C518" s="1" t="n">
        <v>46200</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63692-2025</t>
        </is>
      </c>
      <c r="B519" s="1" t="n">
        <v>46014</v>
      </c>
      <c r="C519" s="1" t="n">
        <v>46200</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v>
      </c>
      <c r="C520" s="1" t="n">
        <v>46200</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141-2026</t>
        </is>
      </c>
      <c r="B521" s="1" t="n">
        <v>46024</v>
      </c>
      <c r="C521" s="1" t="n">
        <v>46200</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60962-2025</t>
        </is>
      </c>
      <c r="B522" s="1" t="n">
        <v>45999</v>
      </c>
      <c r="C522" s="1" t="n">
        <v>46200</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673-2026</t>
        </is>
      </c>
      <c r="B523" s="1" t="n">
        <v>46029</v>
      </c>
      <c r="C523" s="1" t="n">
        <v>46200</v>
      </c>
      <c r="D523" t="inlineStr">
        <is>
          <t>DALARNAS LÄN</t>
        </is>
      </c>
      <c r="E523" t="inlineStr">
        <is>
          <t>MORA</t>
        </is>
      </c>
      <c r="F523" t="inlineStr">
        <is>
          <t>Kommuner</t>
        </is>
      </c>
      <c r="G523" t="n">
        <v>25.8</v>
      </c>
      <c r="H523" t="n">
        <v>0</v>
      </c>
      <c r="I523" t="n">
        <v>0</v>
      </c>
      <c r="J523" t="n">
        <v>0</v>
      </c>
      <c r="K523" t="n">
        <v>0</v>
      </c>
      <c r="L523" t="n">
        <v>0</v>
      </c>
      <c r="M523" t="n">
        <v>0</v>
      </c>
      <c r="N523" t="n">
        <v>0</v>
      </c>
      <c r="O523" t="n">
        <v>0</v>
      </c>
      <c r="P523" t="n">
        <v>0</v>
      </c>
      <c r="Q523" t="n">
        <v>0</v>
      </c>
      <c r="R523" s="2" t="inlineStr"/>
    </row>
    <row r="524" ht="15" customHeight="1">
      <c r="A524" t="inlineStr">
        <is>
          <t>A 3247-2026</t>
        </is>
      </c>
      <c r="B524" s="1" t="n">
        <v>46041</v>
      </c>
      <c r="C524" s="1" t="n">
        <v>46200</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3440-2026</t>
        </is>
      </c>
      <c r="B525" s="1" t="n">
        <v>46042</v>
      </c>
      <c r="C525" s="1" t="n">
        <v>46200</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3669-2026</t>
        </is>
      </c>
      <c r="B526" s="1" t="n">
        <v>46043</v>
      </c>
      <c r="C526" s="1" t="n">
        <v>46200</v>
      </c>
      <c r="D526" t="inlineStr">
        <is>
          <t>DALARNAS LÄN</t>
        </is>
      </c>
      <c r="E526" t="inlineStr">
        <is>
          <t>MORA</t>
        </is>
      </c>
      <c r="G526" t="n">
        <v>4.6</v>
      </c>
      <c r="H526" t="n">
        <v>0</v>
      </c>
      <c r="I526" t="n">
        <v>0</v>
      </c>
      <c r="J526" t="n">
        <v>0</v>
      </c>
      <c r="K526" t="n">
        <v>0</v>
      </c>
      <c r="L526" t="n">
        <v>0</v>
      </c>
      <c r="M526" t="n">
        <v>0</v>
      </c>
      <c r="N526" t="n">
        <v>0</v>
      </c>
      <c r="O526" t="n">
        <v>0</v>
      </c>
      <c r="P526" t="n">
        <v>0</v>
      </c>
      <c r="Q526" t="n">
        <v>0</v>
      </c>
      <c r="R526" s="2" t="inlineStr"/>
    </row>
    <row r="527" ht="15" customHeight="1">
      <c r="A527" t="inlineStr">
        <is>
          <t>A 4213-2026</t>
        </is>
      </c>
      <c r="B527" s="1" t="n">
        <v>46044</v>
      </c>
      <c r="C527" s="1" t="n">
        <v>46200</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6967-2026</t>
        </is>
      </c>
      <c r="B528" s="1" t="n">
        <v>46057</v>
      </c>
      <c r="C528" s="1" t="n">
        <v>46200</v>
      </c>
      <c r="D528" t="inlineStr">
        <is>
          <t>DALARNAS LÄN</t>
        </is>
      </c>
      <c r="E528" t="inlineStr">
        <is>
          <t>MORA</t>
        </is>
      </c>
      <c r="G528" t="n">
        <v>5</v>
      </c>
      <c r="H528" t="n">
        <v>0</v>
      </c>
      <c r="I528" t="n">
        <v>0</v>
      </c>
      <c r="J528" t="n">
        <v>0</v>
      </c>
      <c r="K528" t="n">
        <v>0</v>
      </c>
      <c r="L528" t="n">
        <v>0</v>
      </c>
      <c r="M528" t="n">
        <v>0</v>
      </c>
      <c r="N528" t="n">
        <v>0</v>
      </c>
      <c r="O528" t="n">
        <v>0</v>
      </c>
      <c r="P528" t="n">
        <v>0</v>
      </c>
      <c r="Q528" t="n">
        <v>0</v>
      </c>
      <c r="R528" s="2" t="inlineStr"/>
    </row>
    <row r="529" ht="15" customHeight="1">
      <c r="A529" t="inlineStr">
        <is>
          <t>A 6674-2026</t>
        </is>
      </c>
      <c r="B529" s="1" t="n">
        <v>46056</v>
      </c>
      <c r="C529" s="1" t="n">
        <v>46200</v>
      </c>
      <c r="D529" t="inlineStr">
        <is>
          <t>DALARNAS LÄN</t>
        </is>
      </c>
      <c r="E529" t="inlineStr">
        <is>
          <t>MORA</t>
        </is>
      </c>
      <c r="G529" t="n">
        <v>0.7</v>
      </c>
      <c r="H529" t="n">
        <v>0</v>
      </c>
      <c r="I529" t="n">
        <v>0</v>
      </c>
      <c r="J529" t="n">
        <v>0</v>
      </c>
      <c r="K529" t="n">
        <v>0</v>
      </c>
      <c r="L529" t="n">
        <v>0</v>
      </c>
      <c r="M529" t="n">
        <v>0</v>
      </c>
      <c r="N529" t="n">
        <v>0</v>
      </c>
      <c r="O529" t="n">
        <v>0</v>
      </c>
      <c r="P529" t="n">
        <v>0</v>
      </c>
      <c r="Q529" t="n">
        <v>0</v>
      </c>
      <c r="R529" s="2" t="inlineStr"/>
    </row>
    <row r="530" ht="15" customHeight="1">
      <c r="A530" t="inlineStr">
        <is>
          <t>A 6690-2026</t>
        </is>
      </c>
      <c r="B530" s="1" t="n">
        <v>46056</v>
      </c>
      <c r="C530" s="1" t="n">
        <v>46200</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6923-2026</t>
        </is>
      </c>
      <c r="B531" s="1" t="n">
        <v>46057</v>
      </c>
      <c r="C531" s="1" t="n">
        <v>46200</v>
      </c>
      <c r="D531" t="inlineStr">
        <is>
          <t>DALARNAS LÄN</t>
        </is>
      </c>
      <c r="E531" t="inlineStr">
        <is>
          <t>MORA</t>
        </is>
      </c>
      <c r="G531" t="n">
        <v>1.1</v>
      </c>
      <c r="H531" t="n">
        <v>0</v>
      </c>
      <c r="I531" t="n">
        <v>0</v>
      </c>
      <c r="J531" t="n">
        <v>0</v>
      </c>
      <c r="K531" t="n">
        <v>0</v>
      </c>
      <c r="L531" t="n">
        <v>0</v>
      </c>
      <c r="M531" t="n">
        <v>0</v>
      </c>
      <c r="N531" t="n">
        <v>0</v>
      </c>
      <c r="O531" t="n">
        <v>0</v>
      </c>
      <c r="P531" t="n">
        <v>0</v>
      </c>
      <c r="Q531" t="n">
        <v>0</v>
      </c>
      <c r="R531" s="2" t="inlineStr"/>
    </row>
    <row r="532" ht="15" customHeight="1">
      <c r="A532" t="inlineStr">
        <is>
          <t>A 43569-2025</t>
        </is>
      </c>
      <c r="B532" s="1" t="n">
        <v>45911</v>
      </c>
      <c r="C532" s="1" t="n">
        <v>46200</v>
      </c>
      <c r="D532" t="inlineStr">
        <is>
          <t>DALARNAS LÄN</t>
        </is>
      </c>
      <c r="E532" t="inlineStr">
        <is>
          <t>MORA</t>
        </is>
      </c>
      <c r="G532" t="n">
        <v>4.7</v>
      </c>
      <c r="H532" t="n">
        <v>0</v>
      </c>
      <c r="I532" t="n">
        <v>0</v>
      </c>
      <c r="J532" t="n">
        <v>0</v>
      </c>
      <c r="K532" t="n">
        <v>0</v>
      </c>
      <c r="L532" t="n">
        <v>0</v>
      </c>
      <c r="M532" t="n">
        <v>0</v>
      </c>
      <c r="N532" t="n">
        <v>0</v>
      </c>
      <c r="O532" t="n">
        <v>0</v>
      </c>
      <c r="P532" t="n">
        <v>0</v>
      </c>
      <c r="Q532" t="n">
        <v>0</v>
      </c>
      <c r="R532" s="2" t="inlineStr"/>
    </row>
    <row r="533" ht="15" customHeight="1">
      <c r="A533" t="inlineStr">
        <is>
          <t>A 7418-2026</t>
        </is>
      </c>
      <c r="B533" s="1" t="n">
        <v>46059</v>
      </c>
      <c r="C533" s="1" t="n">
        <v>46200</v>
      </c>
      <c r="D533" t="inlineStr">
        <is>
          <t>DALARNAS LÄN</t>
        </is>
      </c>
      <c r="E533" t="inlineStr">
        <is>
          <t>MORA</t>
        </is>
      </c>
      <c r="G533" t="n">
        <v>4</v>
      </c>
      <c r="H533" t="n">
        <v>0</v>
      </c>
      <c r="I533" t="n">
        <v>0</v>
      </c>
      <c r="J533" t="n">
        <v>0</v>
      </c>
      <c r="K533" t="n">
        <v>0</v>
      </c>
      <c r="L533" t="n">
        <v>0</v>
      </c>
      <c r="M533" t="n">
        <v>0</v>
      </c>
      <c r="N533" t="n">
        <v>0</v>
      </c>
      <c r="O533" t="n">
        <v>0</v>
      </c>
      <c r="P533" t="n">
        <v>0</v>
      </c>
      <c r="Q533" t="n">
        <v>0</v>
      </c>
      <c r="R533" s="2" t="inlineStr"/>
    </row>
    <row r="534" ht="15" customHeight="1">
      <c r="A534" t="inlineStr">
        <is>
          <t>A 8075-2026</t>
        </is>
      </c>
      <c r="B534" s="1" t="n">
        <v>46063</v>
      </c>
      <c r="C534" s="1" t="n">
        <v>46200</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8361-2026</t>
        </is>
      </c>
      <c r="B535" s="1" t="n">
        <v>46064</v>
      </c>
      <c r="C535" s="1" t="n">
        <v>46200</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8474-2026</t>
        </is>
      </c>
      <c r="B536" s="1" t="n">
        <v>46065</v>
      </c>
      <c r="C536" s="1" t="n">
        <v>46200</v>
      </c>
      <c r="D536" t="inlineStr">
        <is>
          <t>DALARNAS LÄN</t>
        </is>
      </c>
      <c r="E536" t="inlineStr">
        <is>
          <t>MORA</t>
        </is>
      </c>
      <c r="G536" t="n">
        <v>4.7</v>
      </c>
      <c r="H536" t="n">
        <v>0</v>
      </c>
      <c r="I536" t="n">
        <v>0</v>
      </c>
      <c r="J536" t="n">
        <v>0</v>
      </c>
      <c r="K536" t="n">
        <v>0</v>
      </c>
      <c r="L536" t="n">
        <v>0</v>
      </c>
      <c r="M536" t="n">
        <v>0</v>
      </c>
      <c r="N536" t="n">
        <v>0</v>
      </c>
      <c r="O536" t="n">
        <v>0</v>
      </c>
      <c r="P536" t="n">
        <v>0</v>
      </c>
      <c r="Q536" t="n">
        <v>0</v>
      </c>
      <c r="R536" s="2" t="inlineStr"/>
    </row>
    <row r="537" ht="15" customHeight="1">
      <c r="A537" t="inlineStr">
        <is>
          <t>A 8762-2026</t>
        </is>
      </c>
      <c r="B537" s="1" t="n">
        <v>46066</v>
      </c>
      <c r="C537" s="1" t="n">
        <v>46200</v>
      </c>
      <c r="D537" t="inlineStr">
        <is>
          <t>DALARNAS LÄN</t>
        </is>
      </c>
      <c r="E537" t="inlineStr">
        <is>
          <t>MORA</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9788-2026</t>
        </is>
      </c>
      <c r="B538" s="1" t="n">
        <v>46072</v>
      </c>
      <c r="C538" s="1" t="n">
        <v>46200</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10181-2026</t>
        </is>
      </c>
      <c r="B539" s="1" t="n">
        <v>46076</v>
      </c>
      <c r="C539" s="1" t="n">
        <v>46200</v>
      </c>
      <c r="D539" t="inlineStr">
        <is>
          <t>DALARNAS LÄN</t>
        </is>
      </c>
      <c r="E539" t="inlineStr">
        <is>
          <t>MORA</t>
        </is>
      </c>
      <c r="G539" t="n">
        <v>0.6</v>
      </c>
      <c r="H539" t="n">
        <v>0</v>
      </c>
      <c r="I539" t="n">
        <v>0</v>
      </c>
      <c r="J539" t="n">
        <v>0</v>
      </c>
      <c r="K539" t="n">
        <v>0</v>
      </c>
      <c r="L539" t="n">
        <v>0</v>
      </c>
      <c r="M539" t="n">
        <v>0</v>
      </c>
      <c r="N539" t="n">
        <v>0</v>
      </c>
      <c r="O539" t="n">
        <v>0</v>
      </c>
      <c r="P539" t="n">
        <v>0</v>
      </c>
      <c r="Q539" t="n">
        <v>0</v>
      </c>
      <c r="R539" s="2" t="inlineStr"/>
    </row>
    <row r="540" ht="15" customHeight="1">
      <c r="A540" t="inlineStr">
        <is>
          <t>A 11176-2026</t>
        </is>
      </c>
      <c r="B540" s="1" t="n">
        <v>46080</v>
      </c>
      <c r="C540" s="1" t="n">
        <v>46200</v>
      </c>
      <c r="D540" t="inlineStr">
        <is>
          <t>DALARNAS LÄN</t>
        </is>
      </c>
      <c r="E540" t="inlineStr">
        <is>
          <t>MORA</t>
        </is>
      </c>
      <c r="G540" t="n">
        <v>1.3</v>
      </c>
      <c r="H540" t="n">
        <v>0</v>
      </c>
      <c r="I540" t="n">
        <v>0</v>
      </c>
      <c r="J540" t="n">
        <v>0</v>
      </c>
      <c r="K540" t="n">
        <v>0</v>
      </c>
      <c r="L540" t="n">
        <v>0</v>
      </c>
      <c r="M540" t="n">
        <v>0</v>
      </c>
      <c r="N540" t="n">
        <v>0</v>
      </c>
      <c r="O540" t="n">
        <v>0</v>
      </c>
      <c r="P540" t="n">
        <v>0</v>
      </c>
      <c r="Q540" t="n">
        <v>0</v>
      </c>
      <c r="R540" s="2" t="inlineStr"/>
    </row>
    <row r="541" ht="15" customHeight="1">
      <c r="A541" t="inlineStr">
        <is>
          <t>A 11705-2026</t>
        </is>
      </c>
      <c r="B541" s="1" t="n">
        <v>46084</v>
      </c>
      <c r="C541" s="1" t="n">
        <v>46200</v>
      </c>
      <c r="D541" t="inlineStr">
        <is>
          <t>DALARNAS LÄN</t>
        </is>
      </c>
      <c r="E541" t="inlineStr">
        <is>
          <t>MORA</t>
        </is>
      </c>
      <c r="G541" t="n">
        <v>4.2</v>
      </c>
      <c r="H541" t="n">
        <v>0</v>
      </c>
      <c r="I541" t="n">
        <v>0</v>
      </c>
      <c r="J541" t="n">
        <v>0</v>
      </c>
      <c r="K541" t="n">
        <v>0</v>
      </c>
      <c r="L541" t="n">
        <v>0</v>
      </c>
      <c r="M541" t="n">
        <v>0</v>
      </c>
      <c r="N541" t="n">
        <v>0</v>
      </c>
      <c r="O541" t="n">
        <v>0</v>
      </c>
      <c r="P541" t="n">
        <v>0</v>
      </c>
      <c r="Q541" t="n">
        <v>0</v>
      </c>
      <c r="R541" s="2" t="inlineStr"/>
    </row>
    <row r="542" ht="15" customHeight="1">
      <c r="A542" t="inlineStr">
        <is>
          <t>A 11819-2026</t>
        </is>
      </c>
      <c r="B542" s="1" t="n">
        <v>46085</v>
      </c>
      <c r="C542" s="1" t="n">
        <v>46200</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11875-2026</t>
        </is>
      </c>
      <c r="B543" s="1" t="n">
        <v>46085</v>
      </c>
      <c r="C543" s="1" t="n">
        <v>46200</v>
      </c>
      <c r="D543" t="inlineStr">
        <is>
          <t>DALARNAS LÄN</t>
        </is>
      </c>
      <c r="E543" t="inlineStr">
        <is>
          <t>MORA</t>
        </is>
      </c>
      <c r="G543" t="n">
        <v>3.7</v>
      </c>
      <c r="H543" t="n">
        <v>0</v>
      </c>
      <c r="I543" t="n">
        <v>0</v>
      </c>
      <c r="J543" t="n">
        <v>0</v>
      </c>
      <c r="K543" t="n">
        <v>0</v>
      </c>
      <c r="L543" t="n">
        <v>0</v>
      </c>
      <c r="M543" t="n">
        <v>0</v>
      </c>
      <c r="N543" t="n">
        <v>0</v>
      </c>
      <c r="O543" t="n">
        <v>0</v>
      </c>
      <c r="P543" t="n">
        <v>0</v>
      </c>
      <c r="Q543" t="n">
        <v>0</v>
      </c>
      <c r="R543" s="2" t="inlineStr"/>
    </row>
    <row r="544" ht="15" customHeight="1">
      <c r="A544" t="inlineStr">
        <is>
          <t>A 12527-2026</t>
        </is>
      </c>
      <c r="B544" s="1" t="n">
        <v>46090</v>
      </c>
      <c r="C544" s="1" t="n">
        <v>46200</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12664-2026</t>
        </is>
      </c>
      <c r="B545" s="1" t="n">
        <v>46091</v>
      </c>
      <c r="C545" s="1" t="n">
        <v>46200</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12610-2026</t>
        </is>
      </c>
      <c r="B546" s="1" t="n">
        <v>46091</v>
      </c>
      <c r="C546" s="1" t="n">
        <v>46200</v>
      </c>
      <c r="D546" t="inlineStr">
        <is>
          <t>DALARNAS LÄN</t>
        </is>
      </c>
      <c r="E546" t="inlineStr">
        <is>
          <t>MORA</t>
        </is>
      </c>
      <c r="G546" t="n">
        <v>8.1</v>
      </c>
      <c r="H546" t="n">
        <v>0</v>
      </c>
      <c r="I546" t="n">
        <v>0</v>
      </c>
      <c r="J546" t="n">
        <v>0</v>
      </c>
      <c r="K546" t="n">
        <v>0</v>
      </c>
      <c r="L546" t="n">
        <v>0</v>
      </c>
      <c r="M546" t="n">
        <v>0</v>
      </c>
      <c r="N546" t="n">
        <v>0</v>
      </c>
      <c r="O546" t="n">
        <v>0</v>
      </c>
      <c r="P546" t="n">
        <v>0</v>
      </c>
      <c r="Q546" t="n">
        <v>0</v>
      </c>
      <c r="R546" s="2" t="inlineStr"/>
    </row>
    <row r="547" ht="15" customHeight="1">
      <c r="A547" t="inlineStr">
        <is>
          <t>A 5936-2026</t>
        </is>
      </c>
      <c r="B547" s="1" t="n">
        <v>46052</v>
      </c>
      <c r="C547" s="1" t="n">
        <v>46200</v>
      </c>
      <c r="D547" t="inlineStr">
        <is>
          <t>DALARNAS LÄN</t>
        </is>
      </c>
      <c r="E547" t="inlineStr">
        <is>
          <t>MORA</t>
        </is>
      </c>
      <c r="G547" t="n">
        <v>11.1</v>
      </c>
      <c r="H547" t="n">
        <v>0</v>
      </c>
      <c r="I547" t="n">
        <v>0</v>
      </c>
      <c r="J547" t="n">
        <v>0</v>
      </c>
      <c r="K547" t="n">
        <v>0</v>
      </c>
      <c r="L547" t="n">
        <v>0</v>
      </c>
      <c r="M547" t="n">
        <v>0</v>
      </c>
      <c r="N547" t="n">
        <v>0</v>
      </c>
      <c r="O547" t="n">
        <v>0</v>
      </c>
      <c r="P547" t="n">
        <v>0</v>
      </c>
      <c r="Q547" t="n">
        <v>0</v>
      </c>
      <c r="R547" s="2" t="inlineStr"/>
    </row>
    <row r="548" ht="15" customHeight="1">
      <c r="A548" t="inlineStr">
        <is>
          <t>A 13543-2026</t>
        </is>
      </c>
      <c r="B548" s="1" t="n">
        <v>46094</v>
      </c>
      <c r="C548" s="1" t="n">
        <v>46200</v>
      </c>
      <c r="D548" t="inlineStr">
        <is>
          <t>DALARNAS LÄN</t>
        </is>
      </c>
      <c r="E548" t="inlineStr">
        <is>
          <t>MORA</t>
        </is>
      </c>
      <c r="G548" t="n">
        <v>1.3</v>
      </c>
      <c r="H548" t="n">
        <v>0</v>
      </c>
      <c r="I548" t="n">
        <v>0</v>
      </c>
      <c r="J548" t="n">
        <v>0</v>
      </c>
      <c r="K548" t="n">
        <v>0</v>
      </c>
      <c r="L548" t="n">
        <v>0</v>
      </c>
      <c r="M548" t="n">
        <v>0</v>
      </c>
      <c r="N548" t="n">
        <v>0</v>
      </c>
      <c r="O548" t="n">
        <v>0</v>
      </c>
      <c r="P548" t="n">
        <v>0</v>
      </c>
      <c r="Q548" t="n">
        <v>0</v>
      </c>
      <c r="R548" s="2" t="inlineStr"/>
    </row>
    <row r="549" ht="15" customHeight="1">
      <c r="A549" t="inlineStr">
        <is>
          <t>A 13853-2026</t>
        </is>
      </c>
      <c r="B549" s="1" t="n">
        <v>46098</v>
      </c>
      <c r="C549" s="1" t="n">
        <v>46200</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13902-2026</t>
        </is>
      </c>
      <c r="B550" s="1" t="n">
        <v>46098</v>
      </c>
      <c r="C550" s="1" t="n">
        <v>46200</v>
      </c>
      <c r="D550" t="inlineStr">
        <is>
          <t>DALARNAS LÄN</t>
        </is>
      </c>
      <c r="E550" t="inlineStr">
        <is>
          <t>MORA</t>
        </is>
      </c>
      <c r="G550" t="n">
        <v>5.3</v>
      </c>
      <c r="H550" t="n">
        <v>0</v>
      </c>
      <c r="I550" t="n">
        <v>0</v>
      </c>
      <c r="J550" t="n">
        <v>0</v>
      </c>
      <c r="K550" t="n">
        <v>0</v>
      </c>
      <c r="L550" t="n">
        <v>0</v>
      </c>
      <c r="M550" t="n">
        <v>0</v>
      </c>
      <c r="N550" t="n">
        <v>0</v>
      </c>
      <c r="O550" t="n">
        <v>0</v>
      </c>
      <c r="P550" t="n">
        <v>0</v>
      </c>
      <c r="Q550" t="n">
        <v>0</v>
      </c>
      <c r="R550" s="2" t="inlineStr"/>
    </row>
    <row r="551" ht="15" customHeight="1">
      <c r="A551" t="inlineStr">
        <is>
          <t>A 15343-2026</t>
        </is>
      </c>
      <c r="B551" s="1" t="n">
        <v>46105</v>
      </c>
      <c r="C551" s="1" t="n">
        <v>46200</v>
      </c>
      <c r="D551" t="inlineStr">
        <is>
          <t>DALARNAS LÄN</t>
        </is>
      </c>
      <c r="E551" t="inlineStr">
        <is>
          <t>MORA</t>
        </is>
      </c>
      <c r="G551" t="n">
        <v>1.7</v>
      </c>
      <c r="H551" t="n">
        <v>0</v>
      </c>
      <c r="I551" t="n">
        <v>0</v>
      </c>
      <c r="J551" t="n">
        <v>0</v>
      </c>
      <c r="K551" t="n">
        <v>0</v>
      </c>
      <c r="L551" t="n">
        <v>0</v>
      </c>
      <c r="M551" t="n">
        <v>0</v>
      </c>
      <c r="N551" t="n">
        <v>0</v>
      </c>
      <c r="O551" t="n">
        <v>0</v>
      </c>
      <c r="P551" t="n">
        <v>0</v>
      </c>
      <c r="Q551" t="n">
        <v>0</v>
      </c>
      <c r="R551" s="2" t="inlineStr"/>
    </row>
    <row r="552" ht="15" customHeight="1">
      <c r="A552" t="inlineStr">
        <is>
          <t>A 15860-2026</t>
        </is>
      </c>
      <c r="B552" s="1" t="n">
        <v>46107</v>
      </c>
      <c r="C552" s="1" t="n">
        <v>46200</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16547-2026</t>
        </is>
      </c>
      <c r="B553" s="1" t="n">
        <v>46112</v>
      </c>
      <c r="C553" s="1" t="n">
        <v>46200</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22962-2026</t>
        </is>
      </c>
      <c r="B554" s="1" t="n">
        <v>46160</v>
      </c>
      <c r="C554" s="1" t="n">
        <v>46200</v>
      </c>
      <c r="D554" t="inlineStr">
        <is>
          <t>DALARNAS LÄN</t>
        </is>
      </c>
      <c r="E554" t="inlineStr">
        <is>
          <t>MORA</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23267-2026</t>
        </is>
      </c>
      <c r="B555" s="1" t="n">
        <v>46162</v>
      </c>
      <c r="C555" s="1" t="n">
        <v>46200</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17393-2026</t>
        </is>
      </c>
      <c r="B556" s="1" t="n">
        <v>46119</v>
      </c>
      <c r="C556" s="1" t="n">
        <v>46200</v>
      </c>
      <c r="D556" t="inlineStr">
        <is>
          <t>DALARNAS LÄN</t>
        </is>
      </c>
      <c r="E556" t="inlineStr">
        <is>
          <t>MORA</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23122-2026</t>
        </is>
      </c>
      <c r="B557" s="1" t="n">
        <v>46161</v>
      </c>
      <c r="C557" s="1" t="n">
        <v>46200</v>
      </c>
      <c r="D557" t="inlineStr">
        <is>
          <t>DALARNAS LÄN</t>
        </is>
      </c>
      <c r="E557" t="inlineStr">
        <is>
          <t>MORA</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23139-2026</t>
        </is>
      </c>
      <c r="B558" s="1" t="n">
        <v>46161</v>
      </c>
      <c r="C558" s="1" t="n">
        <v>46200</v>
      </c>
      <c r="D558" t="inlineStr">
        <is>
          <t>DALARNAS LÄN</t>
        </is>
      </c>
      <c r="E558" t="inlineStr">
        <is>
          <t>MORA</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17394-2026</t>
        </is>
      </c>
      <c r="B559" s="1" t="n">
        <v>46119</v>
      </c>
      <c r="C559" s="1" t="n">
        <v>46200</v>
      </c>
      <c r="D559" t="inlineStr">
        <is>
          <t>DALARNAS LÄN</t>
        </is>
      </c>
      <c r="E559" t="inlineStr">
        <is>
          <t>MORA</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17392-2026</t>
        </is>
      </c>
      <c r="B560" s="1" t="n">
        <v>46119</v>
      </c>
      <c r="C560" s="1" t="n">
        <v>46200</v>
      </c>
      <c r="D560" t="inlineStr">
        <is>
          <t>DALARNAS LÄN</t>
        </is>
      </c>
      <c r="E560" t="inlineStr">
        <is>
          <t>MORA</t>
        </is>
      </c>
      <c r="F560" t="inlineStr">
        <is>
          <t>Bergvik skog öst AB</t>
        </is>
      </c>
      <c r="G560" t="n">
        <v>4</v>
      </c>
      <c r="H560" t="n">
        <v>0</v>
      </c>
      <c r="I560" t="n">
        <v>0</v>
      </c>
      <c r="J560" t="n">
        <v>0</v>
      </c>
      <c r="K560" t="n">
        <v>0</v>
      </c>
      <c r="L560" t="n">
        <v>0</v>
      </c>
      <c r="M560" t="n">
        <v>0</v>
      </c>
      <c r="N560" t="n">
        <v>0</v>
      </c>
      <c r="O560" t="n">
        <v>0</v>
      </c>
      <c r="P560" t="n">
        <v>0</v>
      </c>
      <c r="Q560" t="n">
        <v>0</v>
      </c>
      <c r="R560" s="2" t="inlineStr"/>
    </row>
    <row r="561" ht="15" customHeight="1">
      <c r="A561" t="inlineStr">
        <is>
          <t>A 23690-2026</t>
        </is>
      </c>
      <c r="B561" s="1" t="n">
        <v>46164</v>
      </c>
      <c r="C561" s="1" t="n">
        <v>46200</v>
      </c>
      <c r="D561" t="inlineStr">
        <is>
          <t>DALARNAS LÄN</t>
        </is>
      </c>
      <c r="E561" t="inlineStr">
        <is>
          <t>MORA</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17805-2026</t>
        </is>
      </c>
      <c r="B562" s="1" t="n">
        <v>46121</v>
      </c>
      <c r="C562" s="1" t="n">
        <v>46200</v>
      </c>
      <c r="D562" t="inlineStr">
        <is>
          <t>DALARNAS LÄN</t>
        </is>
      </c>
      <c r="E562" t="inlineStr">
        <is>
          <t>MORA</t>
        </is>
      </c>
      <c r="G562" t="n">
        <v>1.3</v>
      </c>
      <c r="H562" t="n">
        <v>0</v>
      </c>
      <c r="I562" t="n">
        <v>0</v>
      </c>
      <c r="J562" t="n">
        <v>0</v>
      </c>
      <c r="K562" t="n">
        <v>0</v>
      </c>
      <c r="L562" t="n">
        <v>0</v>
      </c>
      <c r="M562" t="n">
        <v>0</v>
      </c>
      <c r="N562" t="n">
        <v>0</v>
      </c>
      <c r="O562" t="n">
        <v>0</v>
      </c>
      <c r="P562" t="n">
        <v>0</v>
      </c>
      <c r="Q562" t="n">
        <v>0</v>
      </c>
      <c r="R562" s="2" t="inlineStr"/>
    </row>
    <row r="563" ht="15" customHeight="1">
      <c r="A563" t="inlineStr">
        <is>
          <t>A 17756-2026</t>
        </is>
      </c>
      <c r="B563" s="1" t="n">
        <v>46122</v>
      </c>
      <c r="C563" s="1" t="n">
        <v>46200</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22953-2026</t>
        </is>
      </c>
      <c r="B564" s="1" t="n">
        <v>46160</v>
      </c>
      <c r="C564" s="1" t="n">
        <v>46200</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18412-2026</t>
        </is>
      </c>
      <c r="B565" s="1" t="n">
        <v>46126</v>
      </c>
      <c r="C565" s="1" t="n">
        <v>46200</v>
      </c>
      <c r="D565" t="inlineStr">
        <is>
          <t>DALARNAS LÄN</t>
        </is>
      </c>
      <c r="E565" t="inlineStr">
        <is>
          <t>MORA</t>
        </is>
      </c>
      <c r="G565" t="n">
        <v>0.8</v>
      </c>
      <c r="H565" t="n">
        <v>0</v>
      </c>
      <c r="I565" t="n">
        <v>0</v>
      </c>
      <c r="J565" t="n">
        <v>0</v>
      </c>
      <c r="K565" t="n">
        <v>0</v>
      </c>
      <c r="L565" t="n">
        <v>0</v>
      </c>
      <c r="M565" t="n">
        <v>0</v>
      </c>
      <c r="N565" t="n">
        <v>0</v>
      </c>
      <c r="O565" t="n">
        <v>0</v>
      </c>
      <c r="P565" t="n">
        <v>0</v>
      </c>
      <c r="Q565" t="n">
        <v>0</v>
      </c>
      <c r="R565" s="2" t="inlineStr"/>
    </row>
    <row r="566" ht="15" customHeight="1">
      <c r="A566" t="inlineStr">
        <is>
          <t>A 24043-2026</t>
        </is>
      </c>
      <c r="B566" s="1" t="n">
        <v>46168</v>
      </c>
      <c r="C566" s="1" t="n">
        <v>46200</v>
      </c>
      <c r="D566" t="inlineStr">
        <is>
          <t>DALARNAS LÄN</t>
        </is>
      </c>
      <c r="E566" t="inlineStr">
        <is>
          <t>MORA</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23972-2026</t>
        </is>
      </c>
      <c r="B567" s="1" t="n">
        <v>46167</v>
      </c>
      <c r="C567" s="1" t="n">
        <v>46200</v>
      </c>
      <c r="D567" t="inlineStr">
        <is>
          <t>DALARNAS LÄN</t>
        </is>
      </c>
      <c r="E567" t="inlineStr">
        <is>
          <t>MORA</t>
        </is>
      </c>
      <c r="G567" t="n">
        <v>4.1</v>
      </c>
      <c r="H567" t="n">
        <v>0</v>
      </c>
      <c r="I567" t="n">
        <v>0</v>
      </c>
      <c r="J567" t="n">
        <v>0</v>
      </c>
      <c r="K567" t="n">
        <v>0</v>
      </c>
      <c r="L567" t="n">
        <v>0</v>
      </c>
      <c r="M567" t="n">
        <v>0</v>
      </c>
      <c r="N567" t="n">
        <v>0</v>
      </c>
      <c r="O567" t="n">
        <v>0</v>
      </c>
      <c r="P567" t="n">
        <v>0</v>
      </c>
      <c r="Q567" t="n">
        <v>0</v>
      </c>
      <c r="R567" s="2" t="inlineStr"/>
    </row>
    <row r="568" ht="15" customHeight="1">
      <c r="A568" t="inlineStr">
        <is>
          <t>A 24048-2026</t>
        </is>
      </c>
      <c r="B568" s="1" t="n">
        <v>46168</v>
      </c>
      <c r="C568" s="1" t="n">
        <v>46200</v>
      </c>
      <c r="D568" t="inlineStr">
        <is>
          <t>DALARNAS LÄN</t>
        </is>
      </c>
      <c r="E568" t="inlineStr">
        <is>
          <t>MORA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18674-2026</t>
        </is>
      </c>
      <c r="B569" s="1" t="n">
        <v>46128</v>
      </c>
      <c r="C569" s="1" t="n">
        <v>46200</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18626-2026</t>
        </is>
      </c>
      <c r="B570" s="1" t="n">
        <v>46127</v>
      </c>
      <c r="C570" s="1" t="n">
        <v>46200</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18514-2026</t>
        </is>
      </c>
      <c r="B571" s="1" t="n">
        <v>46127</v>
      </c>
      <c r="C571" s="1" t="n">
        <v>46200</v>
      </c>
      <c r="D571" t="inlineStr">
        <is>
          <t>DALARNAS LÄN</t>
        </is>
      </c>
      <c r="E571" t="inlineStr">
        <is>
          <t>MORA</t>
        </is>
      </c>
      <c r="G571" t="n">
        <v>2.4</v>
      </c>
      <c r="H571" t="n">
        <v>0</v>
      </c>
      <c r="I571" t="n">
        <v>0</v>
      </c>
      <c r="J571" t="n">
        <v>0</v>
      </c>
      <c r="K571" t="n">
        <v>0</v>
      </c>
      <c r="L571" t="n">
        <v>0</v>
      </c>
      <c r="M571" t="n">
        <v>0</v>
      </c>
      <c r="N571" t="n">
        <v>0</v>
      </c>
      <c r="O571" t="n">
        <v>0</v>
      </c>
      <c r="P571" t="n">
        <v>0</v>
      </c>
      <c r="Q571" t="n">
        <v>0</v>
      </c>
      <c r="R571" s="2" t="inlineStr"/>
    </row>
    <row r="572" ht="15" customHeight="1">
      <c r="A572" t="inlineStr">
        <is>
          <t>A 24571-2026</t>
        </is>
      </c>
      <c r="B572" s="1" t="n">
        <v>46170</v>
      </c>
      <c r="C572" s="1" t="n">
        <v>46200</v>
      </c>
      <c r="D572" t="inlineStr">
        <is>
          <t>DALARNAS LÄN</t>
        </is>
      </c>
      <c r="E572" t="inlineStr">
        <is>
          <t>MORA</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23392-2026</t>
        </is>
      </c>
      <c r="B573" s="1" t="n">
        <v>46162</v>
      </c>
      <c r="C573" s="1" t="n">
        <v>46200</v>
      </c>
      <c r="D573" t="inlineStr">
        <is>
          <t>DALARNAS LÄN</t>
        </is>
      </c>
      <c r="E573" t="inlineStr">
        <is>
          <t>MORA</t>
        </is>
      </c>
      <c r="G573" t="n">
        <v>13</v>
      </c>
      <c r="H573" t="n">
        <v>0</v>
      </c>
      <c r="I573" t="n">
        <v>0</v>
      </c>
      <c r="J573" t="n">
        <v>0</v>
      </c>
      <c r="K573" t="n">
        <v>0</v>
      </c>
      <c r="L573" t="n">
        <v>0</v>
      </c>
      <c r="M573" t="n">
        <v>0</v>
      </c>
      <c r="N573" t="n">
        <v>0</v>
      </c>
      <c r="O573" t="n">
        <v>0</v>
      </c>
      <c r="P573" t="n">
        <v>0</v>
      </c>
      <c r="Q573" t="n">
        <v>0</v>
      </c>
      <c r="R573" s="2" t="inlineStr"/>
    </row>
    <row r="574" ht="15" customHeight="1">
      <c r="A574" t="inlineStr">
        <is>
          <t>A 19549-2026</t>
        </is>
      </c>
      <c r="B574" s="1" t="n">
        <v>46134</v>
      </c>
      <c r="C574" s="1" t="n">
        <v>46200</v>
      </c>
      <c r="D574" t="inlineStr">
        <is>
          <t>DALARNAS LÄN</t>
        </is>
      </c>
      <c r="E574" t="inlineStr">
        <is>
          <t>MORA</t>
        </is>
      </c>
      <c r="G574" t="n">
        <v>14.9</v>
      </c>
      <c r="H574" t="n">
        <v>0</v>
      </c>
      <c r="I574" t="n">
        <v>0</v>
      </c>
      <c r="J574" t="n">
        <v>0</v>
      </c>
      <c r="K574" t="n">
        <v>0</v>
      </c>
      <c r="L574" t="n">
        <v>0</v>
      </c>
      <c r="M574" t="n">
        <v>0</v>
      </c>
      <c r="N574" t="n">
        <v>0</v>
      </c>
      <c r="O574" t="n">
        <v>0</v>
      </c>
      <c r="P574" t="n">
        <v>0</v>
      </c>
      <c r="Q574" t="n">
        <v>0</v>
      </c>
      <c r="R574" s="2" t="inlineStr"/>
    </row>
    <row r="575" ht="15" customHeight="1">
      <c r="A575" t="inlineStr">
        <is>
          <t>A 20089-2026</t>
        </is>
      </c>
      <c r="B575" s="1" t="n">
        <v>46135</v>
      </c>
      <c r="C575" s="1" t="n">
        <v>46200</v>
      </c>
      <c r="D575" t="inlineStr">
        <is>
          <t>DALARNAS LÄN</t>
        </is>
      </c>
      <c r="E575" t="inlineStr">
        <is>
          <t>MORA</t>
        </is>
      </c>
      <c r="G575" t="n">
        <v>2.4</v>
      </c>
      <c r="H575" t="n">
        <v>0</v>
      </c>
      <c r="I575" t="n">
        <v>0</v>
      </c>
      <c r="J575" t="n">
        <v>0</v>
      </c>
      <c r="K575" t="n">
        <v>0</v>
      </c>
      <c r="L575" t="n">
        <v>0</v>
      </c>
      <c r="M575" t="n">
        <v>0</v>
      </c>
      <c r="N575" t="n">
        <v>0</v>
      </c>
      <c r="O575" t="n">
        <v>0</v>
      </c>
      <c r="P575" t="n">
        <v>0</v>
      </c>
      <c r="Q575" t="n">
        <v>0</v>
      </c>
      <c r="R575" s="2" t="inlineStr"/>
    </row>
    <row r="576" ht="15" customHeight="1">
      <c r="A576" t="inlineStr">
        <is>
          <t>A 15552-2026</t>
        </is>
      </c>
      <c r="B576" s="1" t="n">
        <v>46106</v>
      </c>
      <c r="C576" s="1" t="n">
        <v>46200</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19462-2026</t>
        </is>
      </c>
      <c r="B577" s="1" t="n">
        <v>46133</v>
      </c>
      <c r="C577" s="1" t="n">
        <v>46200</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15294-2026</t>
        </is>
      </c>
      <c r="B578" s="1" t="n">
        <v>46105</v>
      </c>
      <c r="C578" s="1" t="n">
        <v>46200</v>
      </c>
      <c r="D578" t="inlineStr">
        <is>
          <t>DALARNAS LÄN</t>
        </is>
      </c>
      <c r="E578" t="inlineStr">
        <is>
          <t>MORA</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31842-2025</t>
        </is>
      </c>
      <c r="B579" s="1" t="n">
        <v>45834</v>
      </c>
      <c r="C579" s="1" t="n">
        <v>46200</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26854-2025</t>
        </is>
      </c>
      <c r="B580" s="1" t="n">
        <v>45810</v>
      </c>
      <c r="C580" s="1" t="n">
        <v>46200</v>
      </c>
      <c r="D580" t="inlineStr">
        <is>
          <t>DALARNAS LÄN</t>
        </is>
      </c>
      <c r="E580" t="inlineStr">
        <is>
          <t>MORA</t>
        </is>
      </c>
      <c r="G580" t="n">
        <v>4.4</v>
      </c>
      <c r="H580" t="n">
        <v>0</v>
      </c>
      <c r="I580" t="n">
        <v>0</v>
      </c>
      <c r="J580" t="n">
        <v>0</v>
      </c>
      <c r="K580" t="n">
        <v>0</v>
      </c>
      <c r="L580" t="n">
        <v>0</v>
      </c>
      <c r="M580" t="n">
        <v>0</v>
      </c>
      <c r="N580" t="n">
        <v>0</v>
      </c>
      <c r="O580" t="n">
        <v>0</v>
      </c>
      <c r="P580" t="n">
        <v>0</v>
      </c>
      <c r="Q580" t="n">
        <v>0</v>
      </c>
      <c r="R580" s="2" t="inlineStr"/>
    </row>
    <row r="581" ht="15" customHeight="1">
      <c r="A581" t="inlineStr">
        <is>
          <t>A 57855-2025</t>
        </is>
      </c>
      <c r="B581" s="1" t="n">
        <v>45981</v>
      </c>
      <c r="C581" s="1" t="n">
        <v>46200</v>
      </c>
      <c r="D581" t="inlineStr">
        <is>
          <t>DALARNAS LÄN</t>
        </is>
      </c>
      <c r="E581" t="inlineStr">
        <is>
          <t>MORA</t>
        </is>
      </c>
      <c r="G581" t="n">
        <v>9.9</v>
      </c>
      <c r="H581" t="n">
        <v>0</v>
      </c>
      <c r="I581" t="n">
        <v>0</v>
      </c>
      <c r="J581" t="n">
        <v>0</v>
      </c>
      <c r="K581" t="n">
        <v>0</v>
      </c>
      <c r="L581" t="n">
        <v>0</v>
      </c>
      <c r="M581" t="n">
        <v>0</v>
      </c>
      <c r="N581" t="n">
        <v>0</v>
      </c>
      <c r="O581" t="n">
        <v>0</v>
      </c>
      <c r="P581" t="n">
        <v>0</v>
      </c>
      <c r="Q581" t="n">
        <v>0</v>
      </c>
      <c r="R581" s="2" t="inlineStr"/>
    </row>
    <row r="582" ht="15" customHeight="1">
      <c r="A582" t="inlineStr">
        <is>
          <t>A 7849-2026</t>
        </is>
      </c>
      <c r="B582" s="1" t="n">
        <v>46062</v>
      </c>
      <c r="C582" s="1" t="n">
        <v>46200</v>
      </c>
      <c r="D582" t="inlineStr">
        <is>
          <t>DALARNAS LÄN</t>
        </is>
      </c>
      <c r="E582" t="inlineStr">
        <is>
          <t>MORA</t>
        </is>
      </c>
      <c r="G582" t="n">
        <v>1.7</v>
      </c>
      <c r="H582" t="n">
        <v>0</v>
      </c>
      <c r="I582" t="n">
        <v>0</v>
      </c>
      <c r="J582" t="n">
        <v>0</v>
      </c>
      <c r="K582" t="n">
        <v>0</v>
      </c>
      <c r="L582" t="n">
        <v>0</v>
      </c>
      <c r="M582" t="n">
        <v>0</v>
      </c>
      <c r="N582" t="n">
        <v>0</v>
      </c>
      <c r="O582" t="n">
        <v>0</v>
      </c>
      <c r="P582" t="n">
        <v>0</v>
      </c>
      <c r="Q582" t="n">
        <v>0</v>
      </c>
      <c r="R582" s="2" t="inlineStr"/>
    </row>
    <row r="583" ht="15" customHeight="1">
      <c r="A583" t="inlineStr">
        <is>
          <t>A 56767-2024</t>
        </is>
      </c>
      <c r="B583" s="1" t="n">
        <v>45628</v>
      </c>
      <c r="C583" s="1" t="n">
        <v>46200</v>
      </c>
      <c r="D583" t="inlineStr">
        <is>
          <t>DALARNAS LÄN</t>
        </is>
      </c>
      <c r="E583" t="inlineStr">
        <is>
          <t>MORA</t>
        </is>
      </c>
      <c r="G583" t="n">
        <v>5</v>
      </c>
      <c r="H583" t="n">
        <v>0</v>
      </c>
      <c r="I583" t="n">
        <v>0</v>
      </c>
      <c r="J583" t="n">
        <v>0</v>
      </c>
      <c r="K583" t="n">
        <v>0</v>
      </c>
      <c r="L583" t="n">
        <v>0</v>
      </c>
      <c r="M583" t="n">
        <v>0</v>
      </c>
      <c r="N583" t="n">
        <v>0</v>
      </c>
      <c r="O583" t="n">
        <v>0</v>
      </c>
      <c r="P583" t="n">
        <v>0</v>
      </c>
      <c r="Q583" t="n">
        <v>0</v>
      </c>
      <c r="R583" s="2" t="inlineStr"/>
    </row>
    <row r="584" ht="15" customHeight="1">
      <c r="A584" t="inlineStr">
        <is>
          <t>A 28925-2025</t>
        </is>
      </c>
      <c r="B584" s="1" t="n">
        <v>45820</v>
      </c>
      <c r="C584" s="1" t="n">
        <v>46200</v>
      </c>
      <c r="D584" t="inlineStr">
        <is>
          <t>DALARNAS LÄN</t>
        </is>
      </c>
      <c r="E584" t="inlineStr">
        <is>
          <t>MORA</t>
        </is>
      </c>
      <c r="G584" t="n">
        <v>3.7</v>
      </c>
      <c r="H584" t="n">
        <v>0</v>
      </c>
      <c r="I584" t="n">
        <v>0</v>
      </c>
      <c r="J584" t="n">
        <v>0</v>
      </c>
      <c r="K584" t="n">
        <v>0</v>
      </c>
      <c r="L584" t="n">
        <v>0</v>
      </c>
      <c r="M584" t="n">
        <v>0</v>
      </c>
      <c r="N584" t="n">
        <v>0</v>
      </c>
      <c r="O584" t="n">
        <v>0</v>
      </c>
      <c r="P584" t="n">
        <v>0</v>
      </c>
      <c r="Q584" t="n">
        <v>0</v>
      </c>
      <c r="R584" s="2" t="inlineStr"/>
    </row>
    <row r="585" ht="15" customHeight="1">
      <c r="A585" t="inlineStr">
        <is>
          <t>A 58473-2025</t>
        </is>
      </c>
      <c r="B585" s="1" t="n">
        <v>45985</v>
      </c>
      <c r="C585" s="1" t="n">
        <v>46200</v>
      </c>
      <c r="D585" t="inlineStr">
        <is>
          <t>DALARNAS LÄN</t>
        </is>
      </c>
      <c r="E585" t="inlineStr">
        <is>
          <t>MORA</t>
        </is>
      </c>
      <c r="G585" t="n">
        <v>2.3</v>
      </c>
      <c r="H585" t="n">
        <v>0</v>
      </c>
      <c r="I585" t="n">
        <v>0</v>
      </c>
      <c r="J585" t="n">
        <v>0</v>
      </c>
      <c r="K585" t="n">
        <v>0</v>
      </c>
      <c r="L585" t="n">
        <v>0</v>
      </c>
      <c r="M585" t="n">
        <v>0</v>
      </c>
      <c r="N585" t="n">
        <v>0</v>
      </c>
      <c r="O585" t="n">
        <v>0</v>
      </c>
      <c r="P585" t="n">
        <v>0</v>
      </c>
      <c r="Q585" t="n">
        <v>0</v>
      </c>
      <c r="R585" s="2" t="inlineStr"/>
    </row>
    <row r="586" ht="15" customHeight="1">
      <c r="A586" t="inlineStr">
        <is>
          <t>A 56268-2024</t>
        </is>
      </c>
      <c r="B586" s="1" t="n">
        <v>45624</v>
      </c>
      <c r="C586" s="1" t="n">
        <v>46200</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66158-2021</t>
        </is>
      </c>
      <c r="B587" s="1" t="n">
        <v>44517</v>
      </c>
      <c r="C587" s="1" t="n">
        <v>46200</v>
      </c>
      <c r="D587" t="inlineStr">
        <is>
          <t>DALARNAS LÄN</t>
        </is>
      </c>
      <c r="E587" t="inlineStr">
        <is>
          <t>MORA</t>
        </is>
      </c>
      <c r="G587" t="n">
        <v>3.3</v>
      </c>
      <c r="H587" t="n">
        <v>0</v>
      </c>
      <c r="I587" t="n">
        <v>0</v>
      </c>
      <c r="J587" t="n">
        <v>0</v>
      </c>
      <c r="K587" t="n">
        <v>0</v>
      </c>
      <c r="L587" t="n">
        <v>0</v>
      </c>
      <c r="M587" t="n">
        <v>0</v>
      </c>
      <c r="N587" t="n">
        <v>0</v>
      </c>
      <c r="O587" t="n">
        <v>0</v>
      </c>
      <c r="P587" t="n">
        <v>0</v>
      </c>
      <c r="Q587" t="n">
        <v>0</v>
      </c>
      <c r="R587" s="2" t="inlineStr"/>
    </row>
    <row r="588" ht="15" customHeight="1">
      <c r="A588" t="inlineStr">
        <is>
          <t>A 37971-2024</t>
        </is>
      </c>
      <c r="B588" s="1" t="n">
        <v>45544</v>
      </c>
      <c r="C588" s="1" t="n">
        <v>46200</v>
      </c>
      <c r="D588" t="inlineStr">
        <is>
          <t>DALARNAS LÄN</t>
        </is>
      </c>
      <c r="E588" t="inlineStr">
        <is>
          <t>MORA</t>
        </is>
      </c>
      <c r="G588" t="n">
        <v>2.3</v>
      </c>
      <c r="H588" t="n">
        <v>0</v>
      </c>
      <c r="I588" t="n">
        <v>0</v>
      </c>
      <c r="J588" t="n">
        <v>0</v>
      </c>
      <c r="K588" t="n">
        <v>0</v>
      </c>
      <c r="L588" t="n">
        <v>0</v>
      </c>
      <c r="M588" t="n">
        <v>0</v>
      </c>
      <c r="N588" t="n">
        <v>0</v>
      </c>
      <c r="O588" t="n">
        <v>0</v>
      </c>
      <c r="P588" t="n">
        <v>0</v>
      </c>
      <c r="Q588" t="n">
        <v>0</v>
      </c>
      <c r="R588" s="2" t="inlineStr"/>
    </row>
    <row r="589" ht="15" customHeight="1">
      <c r="A589" t="inlineStr">
        <is>
          <t>A 45462-2022</t>
        </is>
      </c>
      <c r="B589" s="1" t="n">
        <v>44845</v>
      </c>
      <c r="C589" s="1" t="n">
        <v>46200</v>
      </c>
      <c r="D589" t="inlineStr">
        <is>
          <t>DALARNAS LÄN</t>
        </is>
      </c>
      <c r="E589" t="inlineStr">
        <is>
          <t>MORA</t>
        </is>
      </c>
      <c r="G589" t="n">
        <v>6.9</v>
      </c>
      <c r="H589" t="n">
        <v>0</v>
      </c>
      <c r="I589" t="n">
        <v>0</v>
      </c>
      <c r="J589" t="n">
        <v>0</v>
      </c>
      <c r="K589" t="n">
        <v>0</v>
      </c>
      <c r="L589" t="n">
        <v>0</v>
      </c>
      <c r="M589" t="n">
        <v>0</v>
      </c>
      <c r="N589" t="n">
        <v>0</v>
      </c>
      <c r="O589" t="n">
        <v>0</v>
      </c>
      <c r="P589" t="n">
        <v>0</v>
      </c>
      <c r="Q589" t="n">
        <v>0</v>
      </c>
      <c r="R589" s="2" t="inlineStr"/>
    </row>
    <row r="590" ht="15" customHeight="1">
      <c r="A590" t="inlineStr">
        <is>
          <t>A 15127-2022</t>
        </is>
      </c>
      <c r="B590" s="1" t="n">
        <v>44658</v>
      </c>
      <c r="C590" s="1" t="n">
        <v>46200</v>
      </c>
      <c r="D590" t="inlineStr">
        <is>
          <t>DALARNAS LÄN</t>
        </is>
      </c>
      <c r="E590" t="inlineStr">
        <is>
          <t>MORA</t>
        </is>
      </c>
      <c r="G590" t="n">
        <v>4.9</v>
      </c>
      <c r="H590" t="n">
        <v>0</v>
      </c>
      <c r="I590" t="n">
        <v>0</v>
      </c>
      <c r="J590" t="n">
        <v>0</v>
      </c>
      <c r="K590" t="n">
        <v>0</v>
      </c>
      <c r="L590" t="n">
        <v>0</v>
      </c>
      <c r="M590" t="n">
        <v>0</v>
      </c>
      <c r="N590" t="n">
        <v>0</v>
      </c>
      <c r="O590" t="n">
        <v>0</v>
      </c>
      <c r="P590" t="n">
        <v>0</v>
      </c>
      <c r="Q590" t="n">
        <v>0</v>
      </c>
      <c r="R590" s="2" t="inlineStr"/>
    </row>
    <row r="591" ht="15" customHeight="1">
      <c r="A591" t="inlineStr">
        <is>
          <t>A 60718-2023</t>
        </is>
      </c>
      <c r="B591" s="1" t="n">
        <v>45260</v>
      </c>
      <c r="C591" s="1" t="n">
        <v>46200</v>
      </c>
      <c r="D591" t="inlineStr">
        <is>
          <t>DALARNAS LÄN</t>
        </is>
      </c>
      <c r="E591" t="inlineStr">
        <is>
          <t>MORA</t>
        </is>
      </c>
      <c r="G591" t="n">
        <v>2.6</v>
      </c>
      <c r="H591" t="n">
        <v>0</v>
      </c>
      <c r="I591" t="n">
        <v>0</v>
      </c>
      <c r="J591" t="n">
        <v>0</v>
      </c>
      <c r="K591" t="n">
        <v>0</v>
      </c>
      <c r="L591" t="n">
        <v>0</v>
      </c>
      <c r="M591" t="n">
        <v>0</v>
      </c>
      <c r="N591" t="n">
        <v>0</v>
      </c>
      <c r="O591" t="n">
        <v>0</v>
      </c>
      <c r="P591" t="n">
        <v>0</v>
      </c>
      <c r="Q591" t="n">
        <v>0</v>
      </c>
      <c r="R591" s="2" t="inlineStr"/>
    </row>
    <row r="592" ht="15" customHeight="1">
      <c r="A592" t="inlineStr">
        <is>
          <t>A 4906-2026</t>
        </is>
      </c>
      <c r="B592" s="1" t="n">
        <v>46048</v>
      </c>
      <c r="C592" s="1" t="n">
        <v>46200</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17237-2026</t>
        </is>
      </c>
      <c r="B593" s="1" t="n">
        <v>46119</v>
      </c>
      <c r="C593" s="1" t="n">
        <v>46200</v>
      </c>
      <c r="D593" t="inlineStr">
        <is>
          <t>DALARNAS LÄN</t>
        </is>
      </c>
      <c r="E593" t="inlineStr">
        <is>
          <t>MORA</t>
        </is>
      </c>
      <c r="F593" t="inlineStr">
        <is>
          <t>Bergvik skog öst AB</t>
        </is>
      </c>
      <c r="G593" t="n">
        <v>10</v>
      </c>
      <c r="H593" t="n">
        <v>0</v>
      </c>
      <c r="I593" t="n">
        <v>0</v>
      </c>
      <c r="J593" t="n">
        <v>0</v>
      </c>
      <c r="K593" t="n">
        <v>0</v>
      </c>
      <c r="L593" t="n">
        <v>0</v>
      </c>
      <c r="M593" t="n">
        <v>0</v>
      </c>
      <c r="N593" t="n">
        <v>0</v>
      </c>
      <c r="O593" t="n">
        <v>0</v>
      </c>
      <c r="P593" t="n">
        <v>0</v>
      </c>
      <c r="Q593" t="n">
        <v>0</v>
      </c>
      <c r="R593" s="2" t="inlineStr"/>
    </row>
    <row r="594" ht="15" customHeight="1">
      <c r="A594" t="inlineStr">
        <is>
          <t>A 27177-2025</t>
        </is>
      </c>
      <c r="B594" s="1" t="n">
        <v>45812</v>
      </c>
      <c r="C594" s="1" t="n">
        <v>46200</v>
      </c>
      <c r="D594" t="inlineStr">
        <is>
          <t>DALARNAS LÄN</t>
        </is>
      </c>
      <c r="E594" t="inlineStr">
        <is>
          <t>MORA</t>
        </is>
      </c>
      <c r="F594" t="inlineStr">
        <is>
          <t>Bergvik skog öst AB</t>
        </is>
      </c>
      <c r="G594" t="n">
        <v>2.5</v>
      </c>
      <c r="H594" t="n">
        <v>0</v>
      </c>
      <c r="I594" t="n">
        <v>0</v>
      </c>
      <c r="J594" t="n">
        <v>0</v>
      </c>
      <c r="K594" t="n">
        <v>0</v>
      </c>
      <c r="L594" t="n">
        <v>0</v>
      </c>
      <c r="M594" t="n">
        <v>0</v>
      </c>
      <c r="N594" t="n">
        <v>0</v>
      </c>
      <c r="O594" t="n">
        <v>0</v>
      </c>
      <c r="P594" t="n">
        <v>0</v>
      </c>
      <c r="Q594" t="n">
        <v>0</v>
      </c>
      <c r="R594" s="2" t="inlineStr"/>
    </row>
    <row r="595" ht="15" customHeight="1">
      <c r="A595" t="inlineStr">
        <is>
          <t>A 58892-2023</t>
        </is>
      </c>
      <c r="B595" s="1" t="n">
        <v>45252</v>
      </c>
      <c r="C595" s="1" t="n">
        <v>46200</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42085-2024</t>
        </is>
      </c>
      <c r="B596" s="1" t="n">
        <v>45562</v>
      </c>
      <c r="C596" s="1" t="n">
        <v>46200</v>
      </c>
      <c r="D596" t="inlineStr">
        <is>
          <t>DALARNAS LÄN</t>
        </is>
      </c>
      <c r="E596" t="inlineStr">
        <is>
          <t>MORA</t>
        </is>
      </c>
      <c r="G596" t="n">
        <v>4.9</v>
      </c>
      <c r="H596" t="n">
        <v>0</v>
      </c>
      <c r="I596" t="n">
        <v>0</v>
      </c>
      <c r="J596" t="n">
        <v>0</v>
      </c>
      <c r="K596" t="n">
        <v>0</v>
      </c>
      <c r="L596" t="n">
        <v>0</v>
      </c>
      <c r="M596" t="n">
        <v>0</v>
      </c>
      <c r="N596" t="n">
        <v>0</v>
      </c>
      <c r="O596" t="n">
        <v>0</v>
      </c>
      <c r="P596" t="n">
        <v>0</v>
      </c>
      <c r="Q596" t="n">
        <v>0</v>
      </c>
      <c r="R596" s="2" t="inlineStr"/>
    </row>
    <row r="597" ht="15" customHeight="1">
      <c r="A597" t="inlineStr">
        <is>
          <t>A 20649-2026</t>
        </is>
      </c>
      <c r="B597" s="1" t="n">
        <v>46141</v>
      </c>
      <c r="C597" s="1" t="n">
        <v>46200</v>
      </c>
      <c r="D597" t="inlineStr">
        <is>
          <t>DALARNAS LÄN</t>
        </is>
      </c>
      <c r="E597" t="inlineStr">
        <is>
          <t>MORA</t>
        </is>
      </c>
      <c r="G597" t="n">
        <v>2.2</v>
      </c>
      <c r="H597" t="n">
        <v>0</v>
      </c>
      <c r="I597" t="n">
        <v>0</v>
      </c>
      <c r="J597" t="n">
        <v>0</v>
      </c>
      <c r="K597" t="n">
        <v>0</v>
      </c>
      <c r="L597" t="n">
        <v>0</v>
      </c>
      <c r="M597" t="n">
        <v>0</v>
      </c>
      <c r="N597" t="n">
        <v>0</v>
      </c>
      <c r="O597" t="n">
        <v>0</v>
      </c>
      <c r="P597" t="n">
        <v>0</v>
      </c>
      <c r="Q597" t="n">
        <v>0</v>
      </c>
      <c r="R597" s="2" t="inlineStr"/>
    </row>
    <row r="598" ht="15" customHeight="1">
      <c r="A598" t="inlineStr">
        <is>
          <t>A 20655-2026</t>
        </is>
      </c>
      <c r="B598" s="1" t="n">
        <v>46141</v>
      </c>
      <c r="C598" s="1" t="n">
        <v>46200</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26425-2026</t>
        </is>
      </c>
      <c r="B599" s="1" t="n">
        <v>46183</v>
      </c>
      <c r="C599" s="1" t="n">
        <v>46200</v>
      </c>
      <c r="D599" t="inlineStr">
        <is>
          <t>DALARNAS LÄN</t>
        </is>
      </c>
      <c r="E599" t="inlineStr">
        <is>
          <t>MORA</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12987-2024</t>
        </is>
      </c>
      <c r="B600" s="1" t="n">
        <v>45385</v>
      </c>
      <c r="C600" s="1" t="n">
        <v>46200</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20491-2026</t>
        </is>
      </c>
      <c r="B601" s="1" t="n">
        <v>46140</v>
      </c>
      <c r="C601" s="1" t="n">
        <v>46200</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20652-2026</t>
        </is>
      </c>
      <c r="B602" s="1" t="n">
        <v>46141</v>
      </c>
      <c r="C602" s="1" t="n">
        <v>46200</v>
      </c>
      <c r="D602" t="inlineStr">
        <is>
          <t>DALARNAS LÄN</t>
        </is>
      </c>
      <c r="E602" t="inlineStr">
        <is>
          <t>MORA</t>
        </is>
      </c>
      <c r="G602" t="n">
        <v>3</v>
      </c>
      <c r="H602" t="n">
        <v>0</v>
      </c>
      <c r="I602" t="n">
        <v>0</v>
      </c>
      <c r="J602" t="n">
        <v>0</v>
      </c>
      <c r="K602" t="n">
        <v>0</v>
      </c>
      <c r="L602" t="n">
        <v>0</v>
      </c>
      <c r="M602" t="n">
        <v>0</v>
      </c>
      <c r="N602" t="n">
        <v>0</v>
      </c>
      <c r="O602" t="n">
        <v>0</v>
      </c>
      <c r="P602" t="n">
        <v>0</v>
      </c>
      <c r="Q602" t="n">
        <v>0</v>
      </c>
      <c r="R602" s="2" t="inlineStr"/>
    </row>
    <row r="603" ht="15" customHeight="1">
      <c r="A603" t="inlineStr">
        <is>
          <t>A 20656-2026</t>
        </is>
      </c>
      <c r="B603" s="1" t="n">
        <v>46141</v>
      </c>
      <c r="C603" s="1" t="n">
        <v>46200</v>
      </c>
      <c r="D603" t="inlineStr">
        <is>
          <t>DALARNAS LÄN</t>
        </is>
      </c>
      <c r="E603" t="inlineStr">
        <is>
          <t>MORA</t>
        </is>
      </c>
      <c r="G603" t="n">
        <v>0.5</v>
      </c>
      <c r="H603" t="n">
        <v>0</v>
      </c>
      <c r="I603" t="n">
        <v>0</v>
      </c>
      <c r="J603" t="n">
        <v>0</v>
      </c>
      <c r="K603" t="n">
        <v>0</v>
      </c>
      <c r="L603" t="n">
        <v>0</v>
      </c>
      <c r="M603" t="n">
        <v>0</v>
      </c>
      <c r="N603" t="n">
        <v>0</v>
      </c>
      <c r="O603" t="n">
        <v>0</v>
      </c>
      <c r="P603" t="n">
        <v>0</v>
      </c>
      <c r="Q603" t="n">
        <v>0</v>
      </c>
      <c r="R603" s="2" t="inlineStr"/>
    </row>
    <row r="604" ht="15" customHeight="1">
      <c r="A604" t="inlineStr">
        <is>
          <t>A 20650-2026</t>
        </is>
      </c>
      <c r="B604" s="1" t="n">
        <v>46141</v>
      </c>
      <c r="C604" s="1" t="n">
        <v>46200</v>
      </c>
      <c r="D604" t="inlineStr">
        <is>
          <t>DALARNAS LÄN</t>
        </is>
      </c>
      <c r="E604" t="inlineStr">
        <is>
          <t>MORA</t>
        </is>
      </c>
      <c r="G604" t="n">
        <v>9.9</v>
      </c>
      <c r="H604" t="n">
        <v>0</v>
      </c>
      <c r="I604" t="n">
        <v>0</v>
      </c>
      <c r="J604" t="n">
        <v>0</v>
      </c>
      <c r="K604" t="n">
        <v>0</v>
      </c>
      <c r="L604" t="n">
        <v>0</v>
      </c>
      <c r="M604" t="n">
        <v>0</v>
      </c>
      <c r="N604" t="n">
        <v>0</v>
      </c>
      <c r="O604" t="n">
        <v>0</v>
      </c>
      <c r="P604" t="n">
        <v>0</v>
      </c>
      <c r="Q604" t="n">
        <v>0</v>
      </c>
      <c r="R604" s="2" t="inlineStr"/>
    </row>
    <row r="605" ht="15" customHeight="1">
      <c r="A605" t="inlineStr">
        <is>
          <t>A 20677-2026</t>
        </is>
      </c>
      <c r="B605" s="1" t="n">
        <v>46141</v>
      </c>
      <c r="C605" s="1" t="n">
        <v>46200</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45355-2024</t>
        </is>
      </c>
      <c r="B606" s="1" t="n">
        <v>45576</v>
      </c>
      <c r="C606" s="1" t="n">
        <v>46200</v>
      </c>
      <c r="D606" t="inlineStr">
        <is>
          <t>DALARNAS LÄN</t>
        </is>
      </c>
      <c r="E606" t="inlineStr">
        <is>
          <t>MORA</t>
        </is>
      </c>
      <c r="G606" t="n">
        <v>1.4</v>
      </c>
      <c r="H606" t="n">
        <v>0</v>
      </c>
      <c r="I606" t="n">
        <v>0</v>
      </c>
      <c r="J606" t="n">
        <v>0</v>
      </c>
      <c r="K606" t="n">
        <v>0</v>
      </c>
      <c r="L606" t="n">
        <v>0</v>
      </c>
      <c r="M606" t="n">
        <v>0</v>
      </c>
      <c r="N606" t="n">
        <v>0</v>
      </c>
      <c r="O606" t="n">
        <v>0</v>
      </c>
      <c r="P606" t="n">
        <v>0</v>
      </c>
      <c r="Q606" t="n">
        <v>0</v>
      </c>
      <c r="R606" s="2" t="inlineStr"/>
    </row>
    <row r="607" ht="15" customHeight="1">
      <c r="A607" t="inlineStr">
        <is>
          <t>A 24899-2026</t>
        </is>
      </c>
      <c r="B607" s="1" t="n">
        <v>46174</v>
      </c>
      <c r="C607" s="1" t="n">
        <v>46200</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4744-2026</t>
        </is>
      </c>
      <c r="B608" s="1" t="n">
        <v>46048</v>
      </c>
      <c r="C608" s="1" t="n">
        <v>46200</v>
      </c>
      <c r="D608" t="inlineStr">
        <is>
          <t>DALARNAS LÄN</t>
        </is>
      </c>
      <c r="E608" t="inlineStr">
        <is>
          <t>MORA</t>
        </is>
      </c>
      <c r="G608" t="n">
        <v>15.8</v>
      </c>
      <c r="H608" t="n">
        <v>0</v>
      </c>
      <c r="I608" t="n">
        <v>0</v>
      </c>
      <c r="J608" t="n">
        <v>0</v>
      </c>
      <c r="K608" t="n">
        <v>0</v>
      </c>
      <c r="L608" t="n">
        <v>0</v>
      </c>
      <c r="M608" t="n">
        <v>0</v>
      </c>
      <c r="N608" t="n">
        <v>0</v>
      </c>
      <c r="O608" t="n">
        <v>0</v>
      </c>
      <c r="P608" t="n">
        <v>0</v>
      </c>
      <c r="Q608" t="n">
        <v>0</v>
      </c>
      <c r="R608" s="2" t="inlineStr"/>
    </row>
    <row r="609" ht="15" customHeight="1">
      <c r="A609" t="inlineStr">
        <is>
          <t>A 44177-2023</t>
        </is>
      </c>
      <c r="B609" s="1" t="n">
        <v>45188</v>
      </c>
      <c r="C609" s="1" t="n">
        <v>46200</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20594-2025</t>
        </is>
      </c>
      <c r="B610" s="1" t="n">
        <v>45775</v>
      </c>
      <c r="C610" s="1" t="n">
        <v>46200</v>
      </c>
      <c r="D610" t="inlineStr">
        <is>
          <t>DALARNAS LÄN</t>
        </is>
      </c>
      <c r="E610" t="inlineStr">
        <is>
          <t>MORA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26761-2026</t>
        </is>
      </c>
      <c r="B611" s="1" t="n">
        <v>46184</v>
      </c>
      <c r="C611" s="1" t="n">
        <v>46200</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26827-2026</t>
        </is>
      </c>
      <c r="B612" s="1" t="n">
        <v>46185</v>
      </c>
      <c r="C612" s="1" t="n">
        <v>46200</v>
      </c>
      <c r="D612" t="inlineStr">
        <is>
          <t>DALARNAS LÄN</t>
        </is>
      </c>
      <c r="E612" t="inlineStr">
        <is>
          <t>MORA</t>
        </is>
      </c>
      <c r="F612" t="inlineStr">
        <is>
          <t>Bergvik skog öst AB</t>
        </is>
      </c>
      <c r="G612" t="n">
        <v>2.9</v>
      </c>
      <c r="H612" t="n">
        <v>0</v>
      </c>
      <c r="I612" t="n">
        <v>0</v>
      </c>
      <c r="J612" t="n">
        <v>0</v>
      </c>
      <c r="K612" t="n">
        <v>0</v>
      </c>
      <c r="L612" t="n">
        <v>0</v>
      </c>
      <c r="M612" t="n">
        <v>0</v>
      </c>
      <c r="N612" t="n">
        <v>0</v>
      </c>
      <c r="O612" t="n">
        <v>0</v>
      </c>
      <c r="P612" t="n">
        <v>0</v>
      </c>
      <c r="Q612" t="n">
        <v>0</v>
      </c>
      <c r="R612" s="2" t="inlineStr"/>
    </row>
    <row r="613" ht="15" customHeight="1">
      <c r="A613" t="inlineStr">
        <is>
          <t>A 20972-2026</t>
        </is>
      </c>
      <c r="B613" s="1" t="n">
        <v>46142</v>
      </c>
      <c r="C613" s="1" t="n">
        <v>46200</v>
      </c>
      <c r="D613" t="inlineStr">
        <is>
          <t>DALARNAS LÄN</t>
        </is>
      </c>
      <c r="E613" t="inlineStr">
        <is>
          <t>MORA</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20978-2026</t>
        </is>
      </c>
      <c r="B614" s="1" t="n">
        <v>46142</v>
      </c>
      <c r="C614" s="1" t="n">
        <v>46200</v>
      </c>
      <c r="D614" t="inlineStr">
        <is>
          <t>DALARNAS LÄN</t>
        </is>
      </c>
      <c r="E614" t="inlineStr">
        <is>
          <t>MORA</t>
        </is>
      </c>
      <c r="F614" t="inlineStr">
        <is>
          <t>Bergvik skog öst AB</t>
        </is>
      </c>
      <c r="G614" t="n">
        <v>5.2</v>
      </c>
      <c r="H614" t="n">
        <v>0</v>
      </c>
      <c r="I614" t="n">
        <v>0</v>
      </c>
      <c r="J614" t="n">
        <v>0</v>
      </c>
      <c r="K614" t="n">
        <v>0</v>
      </c>
      <c r="L614" t="n">
        <v>0</v>
      </c>
      <c r="M614" t="n">
        <v>0</v>
      </c>
      <c r="N614" t="n">
        <v>0</v>
      </c>
      <c r="O614" t="n">
        <v>0</v>
      </c>
      <c r="P614" t="n">
        <v>0</v>
      </c>
      <c r="Q614" t="n">
        <v>0</v>
      </c>
      <c r="R614" s="2" t="inlineStr"/>
    </row>
    <row r="615" ht="15" customHeight="1">
      <c r="A615" t="inlineStr">
        <is>
          <t>A 20837-2026</t>
        </is>
      </c>
      <c r="B615" s="1" t="n">
        <v>46142</v>
      </c>
      <c r="C615" s="1" t="n">
        <v>46200</v>
      </c>
      <c r="D615" t="inlineStr">
        <is>
          <t>DALARNAS LÄN</t>
        </is>
      </c>
      <c r="E615" t="inlineStr">
        <is>
          <t>MORA</t>
        </is>
      </c>
      <c r="G615" t="n">
        <v>12.4</v>
      </c>
      <c r="H615" t="n">
        <v>0</v>
      </c>
      <c r="I615" t="n">
        <v>0</v>
      </c>
      <c r="J615" t="n">
        <v>0</v>
      </c>
      <c r="K615" t="n">
        <v>0</v>
      </c>
      <c r="L615" t="n">
        <v>0</v>
      </c>
      <c r="M615" t="n">
        <v>0</v>
      </c>
      <c r="N615" t="n">
        <v>0</v>
      </c>
      <c r="O615" t="n">
        <v>0</v>
      </c>
      <c r="P615" t="n">
        <v>0</v>
      </c>
      <c r="Q615" t="n">
        <v>0</v>
      </c>
      <c r="R615" s="2" t="inlineStr"/>
    </row>
    <row r="616" ht="15" customHeight="1">
      <c r="A616" t="inlineStr">
        <is>
          <t>A 26774-2026</t>
        </is>
      </c>
      <c r="B616" s="1" t="n">
        <v>46184</v>
      </c>
      <c r="C616" s="1" t="n">
        <v>46200</v>
      </c>
      <c r="D616" t="inlineStr">
        <is>
          <t>DALARNAS LÄN</t>
        </is>
      </c>
      <c r="E616" t="inlineStr">
        <is>
          <t>MORA</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20952-2026</t>
        </is>
      </c>
      <c r="B617" s="1" t="n">
        <v>46142</v>
      </c>
      <c r="C617" s="1" t="n">
        <v>46200</v>
      </c>
      <c r="D617" t="inlineStr">
        <is>
          <t>DALARNAS LÄN</t>
        </is>
      </c>
      <c r="E617" t="inlineStr">
        <is>
          <t>MORA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23437-2026</t>
        </is>
      </c>
      <c r="B618" s="1" t="n">
        <v>46163</v>
      </c>
      <c r="C618" s="1" t="n">
        <v>46200</v>
      </c>
      <c r="D618" t="inlineStr">
        <is>
          <t>DALARNAS LÄN</t>
        </is>
      </c>
      <c r="E618" t="inlineStr">
        <is>
          <t>MORA</t>
        </is>
      </c>
      <c r="G618" t="n">
        <v>15.5</v>
      </c>
      <c r="H618" t="n">
        <v>0</v>
      </c>
      <c r="I618" t="n">
        <v>0</v>
      </c>
      <c r="J618" t="n">
        <v>0</v>
      </c>
      <c r="K618" t="n">
        <v>0</v>
      </c>
      <c r="L618" t="n">
        <v>0</v>
      </c>
      <c r="M618" t="n">
        <v>0</v>
      </c>
      <c r="N618" t="n">
        <v>0</v>
      </c>
      <c r="O618" t="n">
        <v>0</v>
      </c>
      <c r="P618" t="n">
        <v>0</v>
      </c>
      <c r="Q618" t="n">
        <v>0</v>
      </c>
      <c r="R618" s="2" t="inlineStr"/>
    </row>
    <row r="619" ht="15" customHeight="1">
      <c r="A619" t="inlineStr">
        <is>
          <t>A 21391-2026</t>
        </is>
      </c>
      <c r="B619" s="1" t="n">
        <v>46147</v>
      </c>
      <c r="C619" s="1" t="n">
        <v>46200</v>
      </c>
      <c r="D619" t="inlineStr">
        <is>
          <t>DALARNAS LÄN</t>
        </is>
      </c>
      <c r="E619" t="inlineStr">
        <is>
          <t>MORA</t>
        </is>
      </c>
      <c r="F619" t="inlineStr">
        <is>
          <t>Bergvik skog öst AB</t>
        </is>
      </c>
      <c r="G619" t="n">
        <v>1.2</v>
      </c>
      <c r="H619" t="n">
        <v>0</v>
      </c>
      <c r="I619" t="n">
        <v>0</v>
      </c>
      <c r="J619" t="n">
        <v>0</v>
      </c>
      <c r="K619" t="n">
        <v>0</v>
      </c>
      <c r="L619" t="n">
        <v>0</v>
      </c>
      <c r="M619" t="n">
        <v>0</v>
      </c>
      <c r="N619" t="n">
        <v>0</v>
      </c>
      <c r="O619" t="n">
        <v>0</v>
      </c>
      <c r="P619" t="n">
        <v>0</v>
      </c>
      <c r="Q619" t="n">
        <v>0</v>
      </c>
      <c r="R619" s="2" t="inlineStr"/>
    </row>
    <row r="620" ht="15" customHeight="1">
      <c r="A620" t="inlineStr">
        <is>
          <t>A 21393-2026</t>
        </is>
      </c>
      <c r="B620" s="1" t="n">
        <v>46147</v>
      </c>
      <c r="C620" s="1" t="n">
        <v>46200</v>
      </c>
      <c r="D620" t="inlineStr">
        <is>
          <t>DALARNAS LÄN</t>
        </is>
      </c>
      <c r="E620" t="inlineStr">
        <is>
          <t>MORA</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23435-2026</t>
        </is>
      </c>
      <c r="B621" s="1" t="n">
        <v>46163</v>
      </c>
      <c r="C621" s="1" t="n">
        <v>46200</v>
      </c>
      <c r="D621" t="inlineStr">
        <is>
          <t>DALARNAS LÄN</t>
        </is>
      </c>
      <c r="E621" t="inlineStr">
        <is>
          <t>MORA</t>
        </is>
      </c>
      <c r="G621" t="n">
        <v>2.9</v>
      </c>
      <c r="H621" t="n">
        <v>0</v>
      </c>
      <c r="I621" t="n">
        <v>0</v>
      </c>
      <c r="J621" t="n">
        <v>0</v>
      </c>
      <c r="K621" t="n">
        <v>0</v>
      </c>
      <c r="L621" t="n">
        <v>0</v>
      </c>
      <c r="M621" t="n">
        <v>0</v>
      </c>
      <c r="N621" t="n">
        <v>0</v>
      </c>
      <c r="O621" t="n">
        <v>0</v>
      </c>
      <c r="P621" t="n">
        <v>0</v>
      </c>
      <c r="Q621" t="n">
        <v>0</v>
      </c>
      <c r="R621" s="2" t="inlineStr"/>
    </row>
    <row r="622" ht="15" customHeight="1">
      <c r="A622" t="inlineStr">
        <is>
          <t>A 23442-2026</t>
        </is>
      </c>
      <c r="B622" s="1" t="n">
        <v>46163</v>
      </c>
      <c r="C622" s="1" t="n">
        <v>46200</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20634-2026</t>
        </is>
      </c>
      <c r="B623" s="1" t="n">
        <v>46141</v>
      </c>
      <c r="C623" s="1" t="n">
        <v>46200</v>
      </c>
      <c r="D623" t="inlineStr">
        <is>
          <t>DALARNAS LÄN</t>
        </is>
      </c>
      <c r="E623" t="inlineStr">
        <is>
          <t>MORA</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21209-2026</t>
        </is>
      </c>
      <c r="B624" s="1" t="n">
        <v>46146</v>
      </c>
      <c r="C624" s="1" t="n">
        <v>46200</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27168-2026</t>
        </is>
      </c>
      <c r="B625" s="1" t="n">
        <v>46188</v>
      </c>
      <c r="C625" s="1" t="n">
        <v>46200</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20400-2026</t>
        </is>
      </c>
      <c r="B626" s="1" t="n">
        <v>46139</v>
      </c>
      <c r="C626" s="1" t="n">
        <v>46200</v>
      </c>
      <c r="D626" t="inlineStr">
        <is>
          <t>DALARNAS LÄN</t>
        </is>
      </c>
      <c r="E626" t="inlineStr">
        <is>
          <t>MORA</t>
        </is>
      </c>
      <c r="F626" t="inlineStr">
        <is>
          <t>Bergvik skog öst AB</t>
        </is>
      </c>
      <c r="G626" t="n">
        <v>3.8</v>
      </c>
      <c r="H626" t="n">
        <v>0</v>
      </c>
      <c r="I626" t="n">
        <v>0</v>
      </c>
      <c r="J626" t="n">
        <v>0</v>
      </c>
      <c r="K626" t="n">
        <v>0</v>
      </c>
      <c r="L626" t="n">
        <v>0</v>
      </c>
      <c r="M626" t="n">
        <v>0</v>
      </c>
      <c r="N626" t="n">
        <v>0</v>
      </c>
      <c r="O626" t="n">
        <v>0</v>
      </c>
      <c r="P626" t="n">
        <v>0</v>
      </c>
      <c r="Q626" t="n">
        <v>0</v>
      </c>
      <c r="R626" s="2" t="inlineStr"/>
    </row>
    <row r="627" ht="15" customHeight="1">
      <c r="A627" t="inlineStr">
        <is>
          <t>A 5763-2026</t>
        </is>
      </c>
      <c r="B627" s="1" t="n">
        <v>46051</v>
      </c>
      <c r="C627" s="1" t="n">
        <v>46200</v>
      </c>
      <c r="D627" t="inlineStr">
        <is>
          <t>DALARNAS LÄN</t>
        </is>
      </c>
      <c r="E627" t="inlineStr">
        <is>
          <t>MORA</t>
        </is>
      </c>
      <c r="G627" t="n">
        <v>0.3</v>
      </c>
      <c r="H627" t="n">
        <v>0</v>
      </c>
      <c r="I627" t="n">
        <v>0</v>
      </c>
      <c r="J627" t="n">
        <v>0</v>
      </c>
      <c r="K627" t="n">
        <v>0</v>
      </c>
      <c r="L627" t="n">
        <v>0</v>
      </c>
      <c r="M627" t="n">
        <v>0</v>
      </c>
      <c r="N627" t="n">
        <v>0</v>
      </c>
      <c r="O627" t="n">
        <v>0</v>
      </c>
      <c r="P627" t="n">
        <v>0</v>
      </c>
      <c r="Q627" t="n">
        <v>0</v>
      </c>
      <c r="R627" s="2" t="inlineStr"/>
    </row>
    <row r="628" ht="15" customHeight="1">
      <c r="A628" t="inlineStr">
        <is>
          <t>A 21498-2026</t>
        </is>
      </c>
      <c r="B628" s="1" t="n">
        <v>46148</v>
      </c>
      <c r="C628" s="1" t="n">
        <v>46200</v>
      </c>
      <c r="D628" t="inlineStr">
        <is>
          <t>DALARNAS LÄN</t>
        </is>
      </c>
      <c r="E628" t="inlineStr">
        <is>
          <t>MORA</t>
        </is>
      </c>
      <c r="F628" t="inlineStr">
        <is>
          <t>Bergvik skog öst AB</t>
        </is>
      </c>
      <c r="G628" t="n">
        <v>4</v>
      </c>
      <c r="H628" t="n">
        <v>0</v>
      </c>
      <c r="I628" t="n">
        <v>0</v>
      </c>
      <c r="J628" t="n">
        <v>0</v>
      </c>
      <c r="K628" t="n">
        <v>0</v>
      </c>
      <c r="L628" t="n">
        <v>0</v>
      </c>
      <c r="M628" t="n">
        <v>0</v>
      </c>
      <c r="N628" t="n">
        <v>0</v>
      </c>
      <c r="O628" t="n">
        <v>0</v>
      </c>
      <c r="P628" t="n">
        <v>0</v>
      </c>
      <c r="Q628" t="n">
        <v>0</v>
      </c>
      <c r="R628" s="2" t="inlineStr"/>
    </row>
    <row r="629" ht="15" customHeight="1">
      <c r="A629" t="inlineStr">
        <is>
          <t>A 21480-2026</t>
        </is>
      </c>
      <c r="B629" s="1" t="n">
        <v>46148</v>
      </c>
      <c r="C629" s="1" t="n">
        <v>46200</v>
      </c>
      <c r="D629" t="inlineStr">
        <is>
          <t>DALARNAS LÄN</t>
        </is>
      </c>
      <c r="E629" t="inlineStr">
        <is>
          <t>MORA</t>
        </is>
      </c>
      <c r="G629" t="n">
        <v>12.8</v>
      </c>
      <c r="H629" t="n">
        <v>0</v>
      </c>
      <c r="I629" t="n">
        <v>0</v>
      </c>
      <c r="J629" t="n">
        <v>0</v>
      </c>
      <c r="K629" t="n">
        <v>0</v>
      </c>
      <c r="L629" t="n">
        <v>0</v>
      </c>
      <c r="M629" t="n">
        <v>0</v>
      </c>
      <c r="N629" t="n">
        <v>0</v>
      </c>
      <c r="O629" t="n">
        <v>0</v>
      </c>
      <c r="P629" t="n">
        <v>0</v>
      </c>
      <c r="Q629" t="n">
        <v>0</v>
      </c>
      <c r="R629" s="2" t="inlineStr"/>
    </row>
    <row r="630" ht="15" customHeight="1">
      <c r="A630" t="inlineStr">
        <is>
          <t>A 27696-2026</t>
        </is>
      </c>
      <c r="B630" s="1" t="n">
        <v>46190</v>
      </c>
      <c r="C630" s="1" t="n">
        <v>46200</v>
      </c>
      <c r="D630" t="inlineStr">
        <is>
          <t>DALARNAS LÄN</t>
        </is>
      </c>
      <c r="E630" t="inlineStr">
        <is>
          <t>MORA</t>
        </is>
      </c>
      <c r="F630" t="inlineStr">
        <is>
          <t>Bergvik skog öst AB</t>
        </is>
      </c>
      <c r="G630" t="n">
        <v>3.7</v>
      </c>
      <c r="H630" t="n">
        <v>0</v>
      </c>
      <c r="I630" t="n">
        <v>0</v>
      </c>
      <c r="J630" t="n">
        <v>0</v>
      </c>
      <c r="K630" t="n">
        <v>0</v>
      </c>
      <c r="L630" t="n">
        <v>0</v>
      </c>
      <c r="M630" t="n">
        <v>0</v>
      </c>
      <c r="N630" t="n">
        <v>0</v>
      </c>
      <c r="O630" t="n">
        <v>0</v>
      </c>
      <c r="P630" t="n">
        <v>0</v>
      </c>
      <c r="Q630" t="n">
        <v>0</v>
      </c>
      <c r="R630" s="2" t="inlineStr"/>
    </row>
    <row r="631" ht="15" customHeight="1">
      <c r="A631" t="inlineStr">
        <is>
          <t>A 27901-2026</t>
        </is>
      </c>
      <c r="B631" s="1" t="n">
        <v>46191</v>
      </c>
      <c r="C631" s="1" t="n">
        <v>46200</v>
      </c>
      <c r="D631" t="inlineStr">
        <is>
          <t>DALARNAS LÄN</t>
        </is>
      </c>
      <c r="E631" t="inlineStr">
        <is>
          <t>MORA</t>
        </is>
      </c>
      <c r="G631" t="n">
        <v>1.7</v>
      </c>
      <c r="H631" t="n">
        <v>0</v>
      </c>
      <c r="I631" t="n">
        <v>0</v>
      </c>
      <c r="J631" t="n">
        <v>0</v>
      </c>
      <c r="K631" t="n">
        <v>0</v>
      </c>
      <c r="L631" t="n">
        <v>0</v>
      </c>
      <c r="M631" t="n">
        <v>0</v>
      </c>
      <c r="N631" t="n">
        <v>0</v>
      </c>
      <c r="O631" t="n">
        <v>0</v>
      </c>
      <c r="P631" t="n">
        <v>0</v>
      </c>
      <c r="Q631" t="n">
        <v>0</v>
      </c>
      <c r="R631" s="2" t="inlineStr"/>
    </row>
    <row r="632" ht="15" customHeight="1">
      <c r="A632" t="inlineStr">
        <is>
          <t>A 21506-2026</t>
        </is>
      </c>
      <c r="B632" s="1" t="n">
        <v>46148</v>
      </c>
      <c r="C632" s="1" t="n">
        <v>46200</v>
      </c>
      <c r="D632" t="inlineStr">
        <is>
          <t>DALARNAS LÄN</t>
        </is>
      </c>
      <c r="E632" t="inlineStr">
        <is>
          <t>MORA</t>
        </is>
      </c>
      <c r="F632" t="inlineStr">
        <is>
          <t>Bergvik skog öst AB</t>
        </is>
      </c>
      <c r="G632" t="n">
        <v>4.7</v>
      </c>
      <c r="H632" t="n">
        <v>0</v>
      </c>
      <c r="I632" t="n">
        <v>0</v>
      </c>
      <c r="J632" t="n">
        <v>0</v>
      </c>
      <c r="K632" t="n">
        <v>0</v>
      </c>
      <c r="L632" t="n">
        <v>0</v>
      </c>
      <c r="M632" t="n">
        <v>0</v>
      </c>
      <c r="N632" t="n">
        <v>0</v>
      </c>
      <c r="O632" t="n">
        <v>0</v>
      </c>
      <c r="P632" t="n">
        <v>0</v>
      </c>
      <c r="Q632" t="n">
        <v>0</v>
      </c>
      <c r="R632" s="2" t="inlineStr"/>
    </row>
    <row r="633" ht="15" customHeight="1">
      <c r="A633" t="inlineStr">
        <is>
          <t>A 27792-2026</t>
        </is>
      </c>
      <c r="B633" s="1" t="n">
        <v>46191</v>
      </c>
      <c r="C633" s="1" t="n">
        <v>46200</v>
      </c>
      <c r="D633" t="inlineStr">
        <is>
          <t>DALARNAS LÄN</t>
        </is>
      </c>
      <c r="E633" t="inlineStr">
        <is>
          <t>MORA</t>
        </is>
      </c>
      <c r="F633" t="inlineStr">
        <is>
          <t>Bergvik skog väst AB</t>
        </is>
      </c>
      <c r="G633" t="n">
        <v>5.4</v>
      </c>
      <c r="H633" t="n">
        <v>0</v>
      </c>
      <c r="I633" t="n">
        <v>0</v>
      </c>
      <c r="J633" t="n">
        <v>0</v>
      </c>
      <c r="K633" t="n">
        <v>0</v>
      </c>
      <c r="L633" t="n">
        <v>0</v>
      </c>
      <c r="M633" t="n">
        <v>0</v>
      </c>
      <c r="N633" t="n">
        <v>0</v>
      </c>
      <c r="O633" t="n">
        <v>0</v>
      </c>
      <c r="P633" t="n">
        <v>0</v>
      </c>
      <c r="Q633" t="n">
        <v>0</v>
      </c>
      <c r="R633" s="2" t="inlineStr"/>
    </row>
    <row r="634" ht="15" customHeight="1">
      <c r="A634" t="inlineStr">
        <is>
          <t>A 21502-2026</t>
        </is>
      </c>
      <c r="B634" s="1" t="n">
        <v>46148</v>
      </c>
      <c r="C634" s="1" t="n">
        <v>46200</v>
      </c>
      <c r="D634" t="inlineStr">
        <is>
          <t>DALARNAS LÄN</t>
        </is>
      </c>
      <c r="E634" t="inlineStr">
        <is>
          <t>MORA</t>
        </is>
      </c>
      <c r="F634" t="inlineStr">
        <is>
          <t>Bergvik skog öst AB</t>
        </is>
      </c>
      <c r="G634" t="n">
        <v>5.1</v>
      </c>
      <c r="H634" t="n">
        <v>0</v>
      </c>
      <c r="I634" t="n">
        <v>0</v>
      </c>
      <c r="J634" t="n">
        <v>0</v>
      </c>
      <c r="K634" t="n">
        <v>0</v>
      </c>
      <c r="L634" t="n">
        <v>0</v>
      </c>
      <c r="M634" t="n">
        <v>0</v>
      </c>
      <c r="N634" t="n">
        <v>0</v>
      </c>
      <c r="O634" t="n">
        <v>0</v>
      </c>
      <c r="P634" t="n">
        <v>0</v>
      </c>
      <c r="Q634" t="n">
        <v>0</v>
      </c>
      <c r="R634" s="2" t="inlineStr"/>
    </row>
    <row r="635" ht="15" customHeight="1">
      <c r="A635" t="inlineStr">
        <is>
          <t>A 27885-2026</t>
        </is>
      </c>
      <c r="B635" s="1" t="n">
        <v>46191</v>
      </c>
      <c r="C635" s="1" t="n">
        <v>46200</v>
      </c>
      <c r="D635" t="inlineStr">
        <is>
          <t>DALARNAS LÄN</t>
        </is>
      </c>
      <c r="E635" t="inlineStr">
        <is>
          <t>MORA</t>
        </is>
      </c>
      <c r="F635" t="inlineStr">
        <is>
          <t>Bergvik skog väst AB</t>
        </is>
      </c>
      <c r="G635" t="n">
        <v>9.5</v>
      </c>
      <c r="H635" t="n">
        <v>0</v>
      </c>
      <c r="I635" t="n">
        <v>0</v>
      </c>
      <c r="J635" t="n">
        <v>0</v>
      </c>
      <c r="K635" t="n">
        <v>0</v>
      </c>
      <c r="L635" t="n">
        <v>0</v>
      </c>
      <c r="M635" t="n">
        <v>0</v>
      </c>
      <c r="N635" t="n">
        <v>0</v>
      </c>
      <c r="O635" t="n">
        <v>0</v>
      </c>
      <c r="P635" t="n">
        <v>0</v>
      </c>
      <c r="Q635" t="n">
        <v>0</v>
      </c>
      <c r="R635" s="2" t="inlineStr"/>
    </row>
    <row r="636" ht="15" customHeight="1">
      <c r="A636" t="inlineStr">
        <is>
          <t>A 21499-2026</t>
        </is>
      </c>
      <c r="B636" s="1" t="n">
        <v>46148</v>
      </c>
      <c r="C636" s="1" t="n">
        <v>46200</v>
      </c>
      <c r="D636" t="inlineStr">
        <is>
          <t>DALARNAS LÄN</t>
        </is>
      </c>
      <c r="E636" t="inlineStr">
        <is>
          <t>MORA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27871-2026</t>
        </is>
      </c>
      <c r="B637" s="1" t="n">
        <v>46191</v>
      </c>
      <c r="C637" s="1" t="n">
        <v>46200</v>
      </c>
      <c r="D637" t="inlineStr">
        <is>
          <t>DALARNAS LÄN</t>
        </is>
      </c>
      <c r="E637" t="inlineStr">
        <is>
          <t>MORA</t>
        </is>
      </c>
      <c r="F637" t="inlineStr">
        <is>
          <t>Bergvik skog väst AB</t>
        </is>
      </c>
      <c r="G637" t="n">
        <v>4</v>
      </c>
      <c r="H637" t="n">
        <v>0</v>
      </c>
      <c r="I637" t="n">
        <v>0</v>
      </c>
      <c r="J637" t="n">
        <v>0</v>
      </c>
      <c r="K637" t="n">
        <v>0</v>
      </c>
      <c r="L637" t="n">
        <v>0</v>
      </c>
      <c r="M637" t="n">
        <v>0</v>
      </c>
      <c r="N637" t="n">
        <v>0</v>
      </c>
      <c r="O637" t="n">
        <v>0</v>
      </c>
      <c r="P637" t="n">
        <v>0</v>
      </c>
      <c r="Q637" t="n">
        <v>0</v>
      </c>
      <c r="R637" s="2" t="inlineStr"/>
    </row>
    <row r="638" ht="15" customHeight="1">
      <c r="A638" t="inlineStr">
        <is>
          <t>A 27886-2026</t>
        </is>
      </c>
      <c r="B638" s="1" t="n">
        <v>46191</v>
      </c>
      <c r="C638" s="1" t="n">
        <v>46200</v>
      </c>
      <c r="D638" t="inlineStr">
        <is>
          <t>DALARNAS LÄN</t>
        </is>
      </c>
      <c r="E638" t="inlineStr">
        <is>
          <t>MORA</t>
        </is>
      </c>
      <c r="G638" t="n">
        <v>2.4</v>
      </c>
      <c r="H638" t="n">
        <v>0</v>
      </c>
      <c r="I638" t="n">
        <v>0</v>
      </c>
      <c r="J638" t="n">
        <v>0</v>
      </c>
      <c r="K638" t="n">
        <v>0</v>
      </c>
      <c r="L638" t="n">
        <v>0</v>
      </c>
      <c r="M638" t="n">
        <v>0</v>
      </c>
      <c r="N638" t="n">
        <v>0</v>
      </c>
      <c r="O638" t="n">
        <v>0</v>
      </c>
      <c r="P638" t="n">
        <v>0</v>
      </c>
      <c r="Q638" t="n">
        <v>0</v>
      </c>
      <c r="R638" s="2" t="inlineStr"/>
    </row>
    <row r="639" ht="15" customHeight="1">
      <c r="A639" t="inlineStr">
        <is>
          <t>A 27699-2026</t>
        </is>
      </c>
      <c r="B639" s="1" t="n">
        <v>46190</v>
      </c>
      <c r="C639" s="1" t="n">
        <v>46200</v>
      </c>
      <c r="D639" t="inlineStr">
        <is>
          <t>DALARNAS LÄN</t>
        </is>
      </c>
      <c r="E639" t="inlineStr">
        <is>
          <t>MORA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27938-2026</t>
        </is>
      </c>
      <c r="B640" s="1" t="n">
        <v>46191</v>
      </c>
      <c r="C640" s="1" t="n">
        <v>46200</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27939-2026</t>
        </is>
      </c>
      <c r="B641" s="1" t="n">
        <v>46191</v>
      </c>
      <c r="C641" s="1" t="n">
        <v>46200</v>
      </c>
      <c r="D641" t="inlineStr">
        <is>
          <t>DALARNAS LÄN</t>
        </is>
      </c>
      <c r="E641" t="inlineStr">
        <is>
          <t>MORA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27936-2026</t>
        </is>
      </c>
      <c r="B642" s="1" t="n">
        <v>46191</v>
      </c>
      <c r="C642" s="1" t="n">
        <v>46200</v>
      </c>
      <c r="D642" t="inlineStr">
        <is>
          <t>DALARNAS LÄN</t>
        </is>
      </c>
      <c r="E642" t="inlineStr">
        <is>
          <t>MORA</t>
        </is>
      </c>
      <c r="F642" t="inlineStr">
        <is>
          <t>Bergvik skog väst AB</t>
        </is>
      </c>
      <c r="G642" t="n">
        <v>10</v>
      </c>
      <c r="H642" t="n">
        <v>0</v>
      </c>
      <c r="I642" t="n">
        <v>0</v>
      </c>
      <c r="J642" t="n">
        <v>0</v>
      </c>
      <c r="K642" t="n">
        <v>0</v>
      </c>
      <c r="L642" t="n">
        <v>0</v>
      </c>
      <c r="M642" t="n">
        <v>0</v>
      </c>
      <c r="N642" t="n">
        <v>0</v>
      </c>
      <c r="O642" t="n">
        <v>0</v>
      </c>
      <c r="P642" t="n">
        <v>0</v>
      </c>
      <c r="Q642" t="n">
        <v>0</v>
      </c>
      <c r="R642" s="2" t="inlineStr"/>
    </row>
    <row r="643" ht="15" customHeight="1">
      <c r="A643" t="inlineStr">
        <is>
          <t>A 22909-2026</t>
        </is>
      </c>
      <c r="B643" s="1" t="n">
        <v>46160</v>
      </c>
      <c r="C643" s="1" t="n">
        <v>46200</v>
      </c>
      <c r="D643" t="inlineStr">
        <is>
          <t>DALARNAS LÄN</t>
        </is>
      </c>
      <c r="E643" t="inlineStr">
        <is>
          <t>MORA</t>
        </is>
      </c>
      <c r="G643" t="n">
        <v>3.5</v>
      </c>
      <c r="H643" t="n">
        <v>0</v>
      </c>
      <c r="I643" t="n">
        <v>0</v>
      </c>
      <c r="J643" t="n">
        <v>0</v>
      </c>
      <c r="K643" t="n">
        <v>0</v>
      </c>
      <c r="L643" t="n">
        <v>0</v>
      </c>
      <c r="M643" t="n">
        <v>0</v>
      </c>
      <c r="N643" t="n">
        <v>0</v>
      </c>
      <c r="O643" t="n">
        <v>0</v>
      </c>
      <c r="P643" t="n">
        <v>0</v>
      </c>
      <c r="Q643" t="n">
        <v>0</v>
      </c>
      <c r="R643" s="2" t="inlineStr"/>
    </row>
    <row r="644" ht="15" customHeight="1">
      <c r="A644" t="inlineStr">
        <is>
          <t>A 26306-2026</t>
        </is>
      </c>
      <c r="B644" s="1" t="n">
        <v>46182</v>
      </c>
      <c r="C644" s="1" t="n">
        <v>46200</v>
      </c>
      <c r="D644" t="inlineStr">
        <is>
          <t>DALARNAS LÄN</t>
        </is>
      </c>
      <c r="E644" t="inlineStr">
        <is>
          <t>MORA</t>
        </is>
      </c>
      <c r="G644" t="n">
        <v>1.2</v>
      </c>
      <c r="H644" t="n">
        <v>0</v>
      </c>
      <c r="I644" t="n">
        <v>0</v>
      </c>
      <c r="J644" t="n">
        <v>0</v>
      </c>
      <c r="K644" t="n">
        <v>0</v>
      </c>
      <c r="L644" t="n">
        <v>0</v>
      </c>
      <c r="M644" t="n">
        <v>0</v>
      </c>
      <c r="N644" t="n">
        <v>0</v>
      </c>
      <c r="O644" t="n">
        <v>0</v>
      </c>
      <c r="P644" t="n">
        <v>0</v>
      </c>
      <c r="Q644" t="n">
        <v>0</v>
      </c>
      <c r="R644" s="2" t="inlineStr"/>
    </row>
    <row r="645" ht="15" customHeight="1">
      <c r="A645" t="inlineStr">
        <is>
          <t>A 22113-2026</t>
        </is>
      </c>
      <c r="B645" s="1" t="n">
        <v>46153</v>
      </c>
      <c r="C645" s="1" t="n">
        <v>46200</v>
      </c>
      <c r="D645" t="inlineStr">
        <is>
          <t>DALARNAS LÄN</t>
        </is>
      </c>
      <c r="E645" t="inlineStr">
        <is>
          <t>MORA</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35521-2023</t>
        </is>
      </c>
      <c r="B646" s="1" t="n">
        <v>45147</v>
      </c>
      <c r="C646" s="1" t="n">
        <v>46200</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28483-2026</t>
        </is>
      </c>
      <c r="B647" s="1" t="n">
        <v>46197</v>
      </c>
      <c r="C647" s="1" t="n">
        <v>46200</v>
      </c>
      <c r="D647" t="inlineStr">
        <is>
          <t>DALARNAS LÄN</t>
        </is>
      </c>
      <c r="E647" t="inlineStr">
        <is>
          <t>MORA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59995-2023</t>
        </is>
      </c>
      <c r="B648" s="1" t="n">
        <v>45254</v>
      </c>
      <c r="C648" s="1" t="n">
        <v>46200</v>
      </c>
      <c r="D648" t="inlineStr">
        <is>
          <t>DALARNAS LÄN</t>
        </is>
      </c>
      <c r="E648" t="inlineStr">
        <is>
          <t>MORA</t>
        </is>
      </c>
      <c r="G648" t="n">
        <v>1.2</v>
      </c>
      <c r="H648" t="n">
        <v>0</v>
      </c>
      <c r="I648" t="n">
        <v>0</v>
      </c>
      <c r="J648" t="n">
        <v>0</v>
      </c>
      <c r="K648" t="n">
        <v>0</v>
      </c>
      <c r="L648" t="n">
        <v>0</v>
      </c>
      <c r="M648" t="n">
        <v>0</v>
      </c>
      <c r="N648" t="n">
        <v>0</v>
      </c>
      <c r="O648" t="n">
        <v>0</v>
      </c>
      <c r="P648" t="n">
        <v>0</v>
      </c>
      <c r="Q648" t="n">
        <v>0</v>
      </c>
      <c r="R648" s="2" t="inlineStr"/>
    </row>
    <row r="649" ht="15" customHeight="1">
      <c r="A649" t="inlineStr">
        <is>
          <t>A 22536-2026</t>
        </is>
      </c>
      <c r="B649" s="1" t="n">
        <v>46155</v>
      </c>
      <c r="C649" s="1" t="n">
        <v>46200</v>
      </c>
      <c r="D649" t="inlineStr">
        <is>
          <t>DALARNAS LÄN</t>
        </is>
      </c>
      <c r="E649" t="inlineStr">
        <is>
          <t>MORA</t>
        </is>
      </c>
      <c r="F649" t="inlineStr">
        <is>
          <t>Bergvik skog öst AB</t>
        </is>
      </c>
      <c r="G649" t="n">
        <v>3.3</v>
      </c>
      <c r="H649" t="n">
        <v>0</v>
      </c>
      <c r="I649" t="n">
        <v>0</v>
      </c>
      <c r="J649" t="n">
        <v>0</v>
      </c>
      <c r="K649" t="n">
        <v>0</v>
      </c>
      <c r="L649" t="n">
        <v>0</v>
      </c>
      <c r="M649" t="n">
        <v>0</v>
      </c>
      <c r="N649" t="n">
        <v>0</v>
      </c>
      <c r="O649" t="n">
        <v>0</v>
      </c>
      <c r="P649" t="n">
        <v>0</v>
      </c>
      <c r="Q649" t="n">
        <v>0</v>
      </c>
      <c r="R649" s="2" t="inlineStr"/>
    </row>
    <row r="650" ht="15" customHeight="1">
      <c r="A650" t="inlineStr">
        <is>
          <t>A 14745-2026</t>
        </is>
      </c>
      <c r="B650" s="1" t="n">
        <v>46101</v>
      </c>
      <c r="C650" s="1" t="n">
        <v>46200</v>
      </c>
      <c r="D650" t="inlineStr">
        <is>
          <t>DALARNAS LÄN</t>
        </is>
      </c>
      <c r="E650" t="inlineStr">
        <is>
          <t>MORA</t>
        </is>
      </c>
      <c r="F650" t="inlineStr">
        <is>
          <t>Bergvik skog öst AB</t>
        </is>
      </c>
      <c r="G650" t="n">
        <v>10.9</v>
      </c>
      <c r="H650" t="n">
        <v>0</v>
      </c>
      <c r="I650" t="n">
        <v>0</v>
      </c>
      <c r="J650" t="n">
        <v>0</v>
      </c>
      <c r="K650" t="n">
        <v>0</v>
      </c>
      <c r="L650" t="n">
        <v>0</v>
      </c>
      <c r="M650" t="n">
        <v>0</v>
      </c>
      <c r="N650" t="n">
        <v>0</v>
      </c>
      <c r="O650" t="n">
        <v>0</v>
      </c>
      <c r="P650" t="n">
        <v>0</v>
      </c>
      <c r="Q650" t="n">
        <v>0</v>
      </c>
      <c r="R650" s="2" t="inlineStr"/>
    </row>
    <row r="651" ht="15" customHeight="1">
      <c r="A651" t="inlineStr">
        <is>
          <t>A 28236-2026</t>
        </is>
      </c>
      <c r="B651" s="1" t="n">
        <v>46196</v>
      </c>
      <c r="C651" s="1" t="n">
        <v>46200</v>
      </c>
      <c r="D651" t="inlineStr">
        <is>
          <t>DALARNAS LÄN</t>
        </is>
      </c>
      <c r="E651" t="inlineStr">
        <is>
          <t>MORA</t>
        </is>
      </c>
      <c r="G651" t="n">
        <v>1.9</v>
      </c>
      <c r="H651" t="n">
        <v>0</v>
      </c>
      <c r="I651" t="n">
        <v>0</v>
      </c>
      <c r="J651" t="n">
        <v>0</v>
      </c>
      <c r="K651" t="n">
        <v>0</v>
      </c>
      <c r="L651" t="n">
        <v>0</v>
      </c>
      <c r="M651" t="n">
        <v>0</v>
      </c>
      <c r="N651" t="n">
        <v>0</v>
      </c>
      <c r="O651" t="n">
        <v>0</v>
      </c>
      <c r="P651" t="n">
        <v>0</v>
      </c>
      <c r="Q651" t="n">
        <v>0</v>
      </c>
      <c r="R651" s="2" t="inlineStr"/>
    </row>
    <row r="652" ht="15" customHeight="1">
      <c r="A652" t="inlineStr">
        <is>
          <t>A 24525-2026</t>
        </is>
      </c>
      <c r="B652" s="1" t="n">
        <v>46170</v>
      </c>
      <c r="C652" s="1" t="n">
        <v>46200</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24526-2026</t>
        </is>
      </c>
      <c r="B653" s="1" t="n">
        <v>46170</v>
      </c>
      <c r="C653" s="1" t="n">
        <v>46200</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22568-2026</t>
        </is>
      </c>
      <c r="B654" s="1" t="n">
        <v>46155</v>
      </c>
      <c r="C654" s="1" t="n">
        <v>46200</v>
      </c>
      <c r="D654" t="inlineStr">
        <is>
          <t>DALARNAS LÄN</t>
        </is>
      </c>
      <c r="E654" t="inlineStr">
        <is>
          <t>MORA</t>
        </is>
      </c>
      <c r="F654" t="inlineStr">
        <is>
          <t>Bergvik skog öst AB</t>
        </is>
      </c>
      <c r="G654" t="n">
        <v>6.7</v>
      </c>
      <c r="H654" t="n">
        <v>0</v>
      </c>
      <c r="I654" t="n">
        <v>0</v>
      </c>
      <c r="J654" t="n">
        <v>0</v>
      </c>
      <c r="K654" t="n">
        <v>0</v>
      </c>
      <c r="L654" t="n">
        <v>0</v>
      </c>
      <c r="M654" t="n">
        <v>0</v>
      </c>
      <c r="N654" t="n">
        <v>0</v>
      </c>
      <c r="O654" t="n">
        <v>0</v>
      </c>
      <c r="P654" t="n">
        <v>0</v>
      </c>
      <c r="Q654" t="n">
        <v>0</v>
      </c>
      <c r="R654" s="2" t="inlineStr"/>
    </row>
    <row r="655" ht="15" customHeight="1">
      <c r="A655" t="inlineStr">
        <is>
          <t>A 28478-2026</t>
        </is>
      </c>
      <c r="B655" s="1" t="n">
        <v>46197</v>
      </c>
      <c r="C655" s="1" t="n">
        <v>46200</v>
      </c>
      <c r="D655" t="inlineStr">
        <is>
          <t>DALARNAS LÄN</t>
        </is>
      </c>
      <c r="E655" t="inlineStr">
        <is>
          <t>MORA</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28471-2026</t>
        </is>
      </c>
      <c r="B656" s="1" t="n">
        <v>46197</v>
      </c>
      <c r="C656" s="1" t="n">
        <v>46200</v>
      </c>
      <c r="D656" t="inlineStr">
        <is>
          <t>DALARNAS LÄN</t>
        </is>
      </c>
      <c r="E656" t="inlineStr">
        <is>
          <t>MORA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28842-2026</t>
        </is>
      </c>
      <c r="B657" s="1" t="n">
        <v>46198</v>
      </c>
      <c r="C657" s="1" t="n">
        <v>46200</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28834-2026</t>
        </is>
      </c>
      <c r="B658" s="1" t="n">
        <v>46198</v>
      </c>
      <c r="C658" s="1" t="n">
        <v>46200</v>
      </c>
      <c r="D658" t="inlineStr">
        <is>
          <t>DALARNAS LÄN</t>
        </is>
      </c>
      <c r="E658" t="inlineStr">
        <is>
          <t>MORA</t>
        </is>
      </c>
      <c r="G658" t="n">
        <v>0.8</v>
      </c>
      <c r="H658" t="n">
        <v>0</v>
      </c>
      <c r="I658" t="n">
        <v>0</v>
      </c>
      <c r="J658" t="n">
        <v>0</v>
      </c>
      <c r="K658" t="n">
        <v>0</v>
      </c>
      <c r="L658" t="n">
        <v>0</v>
      </c>
      <c r="M658" t="n">
        <v>0</v>
      </c>
      <c r="N658" t="n">
        <v>0</v>
      </c>
      <c r="O658" t="n">
        <v>0</v>
      </c>
      <c r="P658" t="n">
        <v>0</v>
      </c>
      <c r="Q658" t="n">
        <v>0</v>
      </c>
      <c r="R658" s="2" t="inlineStr"/>
    </row>
    <row r="659">
      <c r="A659" t="inlineStr">
        <is>
          <t>A 28087-2026</t>
        </is>
      </c>
      <c r="B659" s="1" t="n">
        <v>46195</v>
      </c>
      <c r="C659" s="1" t="n">
        <v>46200</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2026-06-27T00:56:17Z</dcterms:created>
  <dcterms:modified xmlns:dcterms="http://purl.org/dc/terms/" xmlns:xsi="http://www.w3.org/2001/XMLSchema-instance" xsi:type="dcterms:W3CDTF">2026-06-27T00:56:18Z</dcterms:modified>
</cp:coreProperties>
</file>