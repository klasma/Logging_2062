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46104</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46104</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46104</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46104</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46104</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46104</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46104</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46104</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46104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46104</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46104</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56438-2024</t>
        </is>
      </c>
      <c r="B19" s="1" t="n">
        <v>45625</v>
      </c>
      <c r="C19" s="1" t="n">
        <v>46104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48348-2024</t>
        </is>
      </c>
      <c r="B20" s="1" t="n">
        <v>45590</v>
      </c>
      <c r="C20" s="1" t="n">
        <v>46104</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23535-2025</t>
        </is>
      </c>
      <c r="B21" s="1" t="n">
        <v>45792</v>
      </c>
      <c r="C21" s="1" t="n">
        <v>46104</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v>
      </c>
      <c r="C22" s="1" t="n">
        <v>46104</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31562-2025</t>
        </is>
      </c>
      <c r="B23" s="1" t="n">
        <v>45833</v>
      </c>
      <c r="C23" s="1" t="n">
        <v>46104</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56940-2025</t>
        </is>
      </c>
      <c r="B24" s="1" t="n">
        <v>45978.62241898148</v>
      </c>
      <c r="C24" s="1" t="n">
        <v>46104</v>
      </c>
      <c r="D24" t="inlineStr">
        <is>
          <t>DALARNAS LÄN</t>
        </is>
      </c>
      <c r="E24" t="inlineStr">
        <is>
          <t>MORA</t>
        </is>
      </c>
      <c r="G24" t="n">
        <v>18.1</v>
      </c>
      <c r="H24" t="n">
        <v>0</v>
      </c>
      <c r="I24" t="n">
        <v>3</v>
      </c>
      <c r="J24" t="n">
        <v>7</v>
      </c>
      <c r="K24" t="n">
        <v>1</v>
      </c>
      <c r="L24" t="n">
        <v>0</v>
      </c>
      <c r="M24" t="n">
        <v>0</v>
      </c>
      <c r="N24" t="n">
        <v>0</v>
      </c>
      <c r="O24" t="n">
        <v>8</v>
      </c>
      <c r="P24" t="n">
        <v>1</v>
      </c>
      <c r="Q24" t="n">
        <v>11</v>
      </c>
      <c r="R24" s="2" t="inlineStr">
        <is>
          <t>Fläckporing
Blågrå svartspik
Garnlav
Kolflarnlav
Mörk kolflarnlav
Tallticka
Vaddporing
Vedflamlav
Bronshjon
Dropptaggsvamp
Mindre märgborre</t>
        </is>
      </c>
      <c r="S24">
        <f>HYPERLINK("https://klasma.github.io/Logging_2062/artfynd/A 56940-2025 artfynd.xlsx", "A 56940-2025")</f>
        <v/>
      </c>
      <c r="T24">
        <f>HYPERLINK("https://klasma.github.io/Logging_2062/kartor/A 56940-2025 karta.png", "A 56940-2025")</f>
        <v/>
      </c>
      <c r="V24">
        <f>HYPERLINK("https://klasma.github.io/Logging_2062/klagomål/A 56940-2025 FSC-klagomål.docx", "A 56940-2025")</f>
        <v/>
      </c>
      <c r="W24">
        <f>HYPERLINK("https://klasma.github.io/Logging_2062/klagomålsmail/A 56940-2025 FSC-klagomål mail.docx", "A 56940-2025")</f>
        <v/>
      </c>
      <c r="X24">
        <f>HYPERLINK("https://klasma.github.io/Logging_2062/tillsyn/A 56940-2025 tillsynsbegäran.docx", "A 56940-2025")</f>
        <v/>
      </c>
      <c r="Y24">
        <f>HYPERLINK("https://klasma.github.io/Logging_2062/tillsynsmail/A 56940-2025 tillsynsbegäran mail.docx", "A 56940-2025")</f>
        <v/>
      </c>
    </row>
    <row r="25" ht="15" customHeight="1">
      <c r="A25" t="inlineStr">
        <is>
          <t>A 44318-2025</t>
        </is>
      </c>
      <c r="B25" s="1" t="n">
        <v>45916.39680555555</v>
      </c>
      <c r="C25" s="1" t="n">
        <v>46104</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46104</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29934-2025</t>
        </is>
      </c>
      <c r="B27" s="1" t="n">
        <v>45826</v>
      </c>
      <c r="C27" s="1" t="n">
        <v>46104</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5064-2023</t>
        </is>
      </c>
      <c r="B28" s="1" t="n">
        <v>44958.60337962963</v>
      </c>
      <c r="C28" s="1" t="n">
        <v>46104</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34714-2025</t>
        </is>
      </c>
      <c r="B29" s="1" t="n">
        <v>45848</v>
      </c>
      <c r="C29" s="1" t="n">
        <v>46104</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35944-2024</t>
        </is>
      </c>
      <c r="B30" s="1" t="n">
        <v>45533.45853009259</v>
      </c>
      <c r="C30" s="1" t="n">
        <v>46104</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57661-2025</t>
        </is>
      </c>
      <c r="B31" s="1" t="n">
        <v>45981.41530092592</v>
      </c>
      <c r="C31" s="1" t="n">
        <v>46104</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46104</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40313-2025</t>
        </is>
      </c>
      <c r="B33" s="1" t="n">
        <v>45895.42209490741</v>
      </c>
      <c r="C33" s="1" t="n">
        <v>46104</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41794-2025</t>
        </is>
      </c>
      <c r="B34" s="1" t="n">
        <v>45902</v>
      </c>
      <c r="C34" s="1" t="n">
        <v>46104</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61943-2024</t>
        </is>
      </c>
      <c r="B35" s="1" t="n">
        <v>45653.49774305556</v>
      </c>
      <c r="C35" s="1" t="n">
        <v>46104</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21041-2023</t>
        </is>
      </c>
      <c r="B36" s="1" t="n">
        <v>45061.58952546296</v>
      </c>
      <c r="C36" s="1" t="n">
        <v>46104</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59983-2024</t>
        </is>
      </c>
      <c r="B37" s="1" t="n">
        <v>45642</v>
      </c>
      <c r="C37" s="1" t="n">
        <v>46104</v>
      </c>
      <c r="D37" t="inlineStr">
        <is>
          <t>DALARNAS LÄN</t>
        </is>
      </c>
      <c r="E37" t="inlineStr">
        <is>
          <t>MORA</t>
        </is>
      </c>
      <c r="G37" t="n">
        <v>0.8</v>
      </c>
      <c r="H37" t="n">
        <v>6</v>
      </c>
      <c r="I37" t="n">
        <v>1</v>
      </c>
      <c r="J37" t="n">
        <v>5</v>
      </c>
      <c r="K37" t="n">
        <v>1</v>
      </c>
      <c r="L37" t="n">
        <v>0</v>
      </c>
      <c r="M37" t="n">
        <v>0</v>
      </c>
      <c r="N37" t="n">
        <v>0</v>
      </c>
      <c r="O37" t="n">
        <v>6</v>
      </c>
      <c r="P37" t="n">
        <v>1</v>
      </c>
      <c r="Q37" t="n">
        <v>8</v>
      </c>
      <c r="R37" s="2" t="inlineStr">
        <is>
          <t>Knärot
Gul taggsvamp
Järpe
Spillkråka
Talltita
Tretåig hackspett
Vågbandad barkbock
Tjäder</t>
        </is>
      </c>
      <c r="S37">
        <f>HYPERLINK("https://klasma.github.io/Logging_2062/artfynd/A 59983-2024 artfynd.xlsx", "A 59983-2024")</f>
        <v/>
      </c>
      <c r="T37">
        <f>HYPERLINK("https://klasma.github.io/Logging_2062/kartor/A 59983-2024 karta.png", "A 59983-2024")</f>
        <v/>
      </c>
      <c r="U37">
        <f>HYPERLINK("https://klasma.github.io/Logging_2062/knärot/A 59983-2024 karta knärot.png", "A 59983-2024")</f>
        <v/>
      </c>
      <c r="V37">
        <f>HYPERLINK("https://klasma.github.io/Logging_2062/klagomål/A 59983-2024 FSC-klagomål.docx", "A 59983-2024")</f>
        <v/>
      </c>
      <c r="W37">
        <f>HYPERLINK("https://klasma.github.io/Logging_2062/klagomålsmail/A 59983-2024 FSC-klagomål mail.docx", "A 59983-2024")</f>
        <v/>
      </c>
      <c r="X37">
        <f>HYPERLINK("https://klasma.github.io/Logging_2062/tillsyn/A 59983-2024 tillsynsbegäran.docx", "A 59983-2024")</f>
        <v/>
      </c>
      <c r="Y37">
        <f>HYPERLINK("https://klasma.github.io/Logging_2062/tillsynsmail/A 59983-2024 tillsynsbegäran mail.docx", "A 59983-2024")</f>
        <v/>
      </c>
      <c r="Z37">
        <f>HYPERLINK("https://klasma.github.io/Logging_2062/fåglar/A 59983-2024 prioriterade fågelarter.docx", "A 59983-2024")</f>
        <v/>
      </c>
    </row>
    <row r="38" ht="15" customHeight="1">
      <c r="A38" t="inlineStr">
        <is>
          <t>A 39480-2025</t>
        </is>
      </c>
      <c r="B38" s="1" t="n">
        <v>45890.35232638889</v>
      </c>
      <c r="C38" s="1" t="n">
        <v>46104</v>
      </c>
      <c r="D38" t="inlineStr">
        <is>
          <t>DALARNAS LÄN</t>
        </is>
      </c>
      <c r="E38" t="inlineStr">
        <is>
          <t>MORA</t>
        </is>
      </c>
      <c r="G38" t="n">
        <v>1.3</v>
      </c>
      <c r="H38" t="n">
        <v>3</v>
      </c>
      <c r="I38" t="n">
        <v>1</v>
      </c>
      <c r="J38" t="n">
        <v>6</v>
      </c>
      <c r="K38" t="n">
        <v>0</v>
      </c>
      <c r="L38" t="n">
        <v>0</v>
      </c>
      <c r="M38" t="n">
        <v>0</v>
      </c>
      <c r="N38" t="n">
        <v>0</v>
      </c>
      <c r="O38" t="n">
        <v>6</v>
      </c>
      <c r="P38" t="n">
        <v>0</v>
      </c>
      <c r="Q38" t="n">
        <v>8</v>
      </c>
      <c r="R38" s="2" t="inlineStr">
        <is>
          <t>Garnlav
Rödvingetrast
Spillkråka
Tallticka
Vedflamlav
Vedskivlav
Mindre märgborre
Järnsparv</t>
        </is>
      </c>
      <c r="S38">
        <f>HYPERLINK("https://klasma.github.io/Logging_2062/artfynd/A 39480-2025 artfynd.xlsx", "A 39480-2025")</f>
        <v/>
      </c>
      <c r="T38">
        <f>HYPERLINK("https://klasma.github.io/Logging_2062/kartor/A 39480-2025 karta.png", "A 39480-2025")</f>
        <v/>
      </c>
      <c r="V38">
        <f>HYPERLINK("https://klasma.github.io/Logging_2062/klagomål/A 39480-2025 FSC-klagomål.docx", "A 39480-2025")</f>
        <v/>
      </c>
      <c r="W38">
        <f>HYPERLINK("https://klasma.github.io/Logging_2062/klagomålsmail/A 39480-2025 FSC-klagomål mail.docx", "A 39480-2025")</f>
        <v/>
      </c>
      <c r="X38">
        <f>HYPERLINK("https://klasma.github.io/Logging_2062/tillsyn/A 39480-2025 tillsynsbegäran.docx", "A 39480-2025")</f>
        <v/>
      </c>
      <c r="Y38">
        <f>HYPERLINK("https://klasma.github.io/Logging_2062/tillsynsmail/A 39480-2025 tillsynsbegäran mail.docx", "A 39480-2025")</f>
        <v/>
      </c>
      <c r="Z38">
        <f>HYPERLINK("https://klasma.github.io/Logging_2062/fåglar/A 39480-2025 prioriterade fågelarter.docx", "A 39480-2025")</f>
        <v/>
      </c>
    </row>
    <row r="39" ht="15" customHeight="1">
      <c r="A39" t="inlineStr">
        <is>
          <t>A 33380-2025</t>
        </is>
      </c>
      <c r="B39" s="1" t="n">
        <v>45841.40309027778</v>
      </c>
      <c r="C39" s="1" t="n">
        <v>46104</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7951-2026</t>
        </is>
      </c>
      <c r="B40" s="1" t="n">
        <v>46063.42481481482</v>
      </c>
      <c r="C40" s="1" t="n">
        <v>46104</v>
      </c>
      <c r="D40" t="inlineStr">
        <is>
          <t>DALARNAS LÄN</t>
        </is>
      </c>
      <c r="E40" t="inlineStr">
        <is>
          <t>MORA</t>
        </is>
      </c>
      <c r="G40" t="n">
        <v>2.9</v>
      </c>
      <c r="H40" t="n">
        <v>3</v>
      </c>
      <c r="I40" t="n">
        <v>1</v>
      </c>
      <c r="J40" t="n">
        <v>6</v>
      </c>
      <c r="K40" t="n">
        <v>0</v>
      </c>
      <c r="L40" t="n">
        <v>0</v>
      </c>
      <c r="M40" t="n">
        <v>0</v>
      </c>
      <c r="N40" t="n">
        <v>0</v>
      </c>
      <c r="O40" t="n">
        <v>6</v>
      </c>
      <c r="P40" t="n">
        <v>0</v>
      </c>
      <c r="Q40" t="n">
        <v>8</v>
      </c>
      <c r="R40" s="2" t="inlineStr">
        <is>
          <t>Garnlav
Mörk kolflarnlav
Spillkråka
Tretåig hackspett
Vedflamlav
Vedskivlav
Mindre märgborre
Tjäder</t>
        </is>
      </c>
      <c r="S40">
        <f>HYPERLINK("https://klasma.github.io/Logging_2062/artfynd/A 7951-2026 artfynd.xlsx", "A 7951-2026")</f>
        <v/>
      </c>
      <c r="T40">
        <f>HYPERLINK("https://klasma.github.io/Logging_2062/kartor/A 7951-2026 karta.png", "A 7951-2026")</f>
        <v/>
      </c>
      <c r="V40">
        <f>HYPERLINK("https://klasma.github.io/Logging_2062/klagomål/A 7951-2026 FSC-klagomål.docx", "A 7951-2026")</f>
        <v/>
      </c>
      <c r="W40">
        <f>HYPERLINK("https://klasma.github.io/Logging_2062/klagomålsmail/A 7951-2026 FSC-klagomål mail.docx", "A 7951-2026")</f>
        <v/>
      </c>
      <c r="X40">
        <f>HYPERLINK("https://klasma.github.io/Logging_2062/tillsyn/A 7951-2026 tillsynsbegäran.docx", "A 7951-2026")</f>
        <v/>
      </c>
      <c r="Y40">
        <f>HYPERLINK("https://klasma.github.io/Logging_2062/tillsynsmail/A 7951-2026 tillsynsbegäran mail.docx", "A 7951-2026")</f>
        <v/>
      </c>
      <c r="Z40">
        <f>HYPERLINK("https://klasma.github.io/Logging_2062/fåglar/A 7951-2026 prioriterade fågelarter.docx", "A 7951-2026")</f>
        <v/>
      </c>
    </row>
    <row r="41" ht="15" customHeight="1">
      <c r="A41" t="inlineStr">
        <is>
          <t>A 46450-2025</t>
        </is>
      </c>
      <c r="B41" s="1" t="n">
        <v>45925.6530324074</v>
      </c>
      <c r="C41" s="1" t="n">
        <v>46104</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2762-2026</t>
        </is>
      </c>
      <c r="B42" s="1" t="n">
        <v>46036</v>
      </c>
      <c r="C42" s="1" t="n">
        <v>46104</v>
      </c>
      <c r="D42" t="inlineStr">
        <is>
          <t>DALARNAS LÄN</t>
        </is>
      </c>
      <c r="E42" t="inlineStr">
        <is>
          <t>MORA</t>
        </is>
      </c>
      <c r="G42" t="n">
        <v>5.7</v>
      </c>
      <c r="H42" t="n">
        <v>2</v>
      </c>
      <c r="I42" t="n">
        <v>1</v>
      </c>
      <c r="J42" t="n">
        <v>7</v>
      </c>
      <c r="K42" t="n">
        <v>0</v>
      </c>
      <c r="L42" t="n">
        <v>0</v>
      </c>
      <c r="M42" t="n">
        <v>0</v>
      </c>
      <c r="N42" t="n">
        <v>0</v>
      </c>
      <c r="O42" t="n">
        <v>7</v>
      </c>
      <c r="P42" t="n">
        <v>0</v>
      </c>
      <c r="Q42" t="n">
        <v>8</v>
      </c>
      <c r="R42" s="2" t="inlineStr">
        <is>
          <t>Garnlav
Kolflarnlav
Mörk kolflarnlav
Spillkråka
Tretåig hackspett
Vedflamlav
Vedskivlav
Mindre märgborre</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30904-2025</t>
        </is>
      </c>
      <c r="B43" s="1" t="n">
        <v>45832</v>
      </c>
      <c r="C43" s="1" t="n">
        <v>46104</v>
      </c>
      <c r="D43" t="inlineStr">
        <is>
          <t>DALARNAS LÄN</t>
        </is>
      </c>
      <c r="E43" t="inlineStr">
        <is>
          <t>MORA</t>
        </is>
      </c>
      <c r="G43" t="n">
        <v>6.6</v>
      </c>
      <c r="H43" t="n">
        <v>3</v>
      </c>
      <c r="I43" t="n">
        <v>1</v>
      </c>
      <c r="J43" t="n">
        <v>6</v>
      </c>
      <c r="K43" t="n">
        <v>0</v>
      </c>
      <c r="L43" t="n">
        <v>0</v>
      </c>
      <c r="M43" t="n">
        <v>0</v>
      </c>
      <c r="N43" t="n">
        <v>0</v>
      </c>
      <c r="O43" t="n">
        <v>6</v>
      </c>
      <c r="P43" t="n">
        <v>0</v>
      </c>
      <c r="Q43" t="n">
        <v>8</v>
      </c>
      <c r="R43" s="2" t="inlineStr">
        <is>
          <t>Garnlav
Spillkråka
Tallticka
Talltita
Vedflamlav
Vedskivlav
Mindre märgborre
Kungsfågel</t>
        </is>
      </c>
      <c r="S43">
        <f>HYPERLINK("https://klasma.github.io/Logging_2062/artfynd/A 30904-2025 artfynd.xlsx", "A 30904-2025")</f>
        <v/>
      </c>
      <c r="T43">
        <f>HYPERLINK("https://klasma.github.io/Logging_2062/kartor/A 30904-2025 karta.png", "A 30904-2025")</f>
        <v/>
      </c>
      <c r="V43">
        <f>HYPERLINK("https://klasma.github.io/Logging_2062/klagomål/A 30904-2025 FSC-klagomål.docx", "A 30904-2025")</f>
        <v/>
      </c>
      <c r="W43">
        <f>HYPERLINK("https://klasma.github.io/Logging_2062/klagomålsmail/A 30904-2025 FSC-klagomål mail.docx", "A 30904-2025")</f>
        <v/>
      </c>
      <c r="X43">
        <f>HYPERLINK("https://klasma.github.io/Logging_2062/tillsyn/A 30904-2025 tillsynsbegäran.docx", "A 30904-2025")</f>
        <v/>
      </c>
      <c r="Y43">
        <f>HYPERLINK("https://klasma.github.io/Logging_2062/tillsynsmail/A 30904-2025 tillsynsbegäran mail.docx", "A 30904-2025")</f>
        <v/>
      </c>
      <c r="Z43">
        <f>HYPERLINK("https://klasma.github.io/Logging_2062/fåglar/A 30904-2025 prioriterade fågelarter.docx", "A 30904-2025")</f>
        <v/>
      </c>
    </row>
    <row r="44" ht="15" customHeight="1">
      <c r="A44" t="inlineStr">
        <is>
          <t>A 58839-2025</t>
        </is>
      </c>
      <c r="B44" s="1" t="n">
        <v>45987.36070601852</v>
      </c>
      <c r="C44" s="1" t="n">
        <v>46104</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29520-2025</t>
        </is>
      </c>
      <c r="B45" s="1" t="n">
        <v>45825.3303125</v>
      </c>
      <c r="C45" s="1" t="n">
        <v>46104</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46104</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61259-2023</t>
        </is>
      </c>
      <c r="B47" s="1" t="n">
        <v>45264</v>
      </c>
      <c r="C47" s="1" t="n">
        <v>46104</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34447-2024</t>
        </is>
      </c>
      <c r="B48" s="1" t="n">
        <v>45525</v>
      </c>
      <c r="C48" s="1" t="n">
        <v>46104</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58169-2025</t>
        </is>
      </c>
      <c r="B49" s="1" t="n">
        <v>45982.72690972222</v>
      </c>
      <c r="C49" s="1" t="n">
        <v>46104</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34719-2025</t>
        </is>
      </c>
      <c r="B50" s="1" t="n">
        <v>45848</v>
      </c>
      <c r="C50" s="1" t="n">
        <v>46104</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62154-2025</t>
        </is>
      </c>
      <c r="B51" s="1" t="n">
        <v>46006.48664351852</v>
      </c>
      <c r="C51" s="1" t="n">
        <v>46104</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25750-2021</t>
        </is>
      </c>
      <c r="B52" s="1" t="n">
        <v>44343</v>
      </c>
      <c r="C52" s="1" t="n">
        <v>46104</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46104</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35487-2025</t>
        </is>
      </c>
      <c r="B54" s="1" t="n">
        <v>45855</v>
      </c>
      <c r="C54" s="1" t="n">
        <v>46104</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8760-2025</t>
        </is>
      </c>
      <c r="B55" s="1" t="n">
        <v>45712.57467592593</v>
      </c>
      <c r="C55" s="1" t="n">
        <v>46104</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46104</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58478-2025</t>
        </is>
      </c>
      <c r="B57" s="1" t="n">
        <v>45985.64645833334</v>
      </c>
      <c r="C57" s="1" t="n">
        <v>46104</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39478-2025</t>
        </is>
      </c>
      <c r="B58" s="1" t="n">
        <v>45890.3469212963</v>
      </c>
      <c r="C58" s="1" t="n">
        <v>46104</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46104</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34715-2025</t>
        </is>
      </c>
      <c r="B60" s="1" t="n">
        <v>45848</v>
      </c>
      <c r="C60" s="1" t="n">
        <v>46104</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11973-2026</t>
        </is>
      </c>
      <c r="B61" s="1" t="n">
        <v>46085.62635416666</v>
      </c>
      <c r="C61" s="1" t="n">
        <v>46104</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46104</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32222-2025</t>
        </is>
      </c>
      <c r="B63" s="1" t="n">
        <v>45835.59140046296</v>
      </c>
      <c r="C63" s="1" t="n">
        <v>46104</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14829-2025</t>
        </is>
      </c>
      <c r="B64" s="1" t="n">
        <v>45743.36951388889</v>
      </c>
      <c r="C64" s="1" t="n">
        <v>46104</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14293-2024</t>
        </is>
      </c>
      <c r="B65" s="1" t="n">
        <v>45393.63902777778</v>
      </c>
      <c r="C65" s="1" t="n">
        <v>46104</v>
      </c>
      <c r="D65" t="inlineStr">
        <is>
          <t>DALARNAS LÄN</t>
        </is>
      </c>
      <c r="E65" t="inlineStr">
        <is>
          <t>MORA</t>
        </is>
      </c>
      <c r="G65" t="n">
        <v>7.4</v>
      </c>
      <c r="H65" t="n">
        <v>2</v>
      </c>
      <c r="I65" t="n">
        <v>1</v>
      </c>
      <c r="J65" t="n">
        <v>2</v>
      </c>
      <c r="K65" t="n">
        <v>0</v>
      </c>
      <c r="L65" t="n">
        <v>0</v>
      </c>
      <c r="M65" t="n">
        <v>0</v>
      </c>
      <c r="N65" t="n">
        <v>0</v>
      </c>
      <c r="O65" t="n">
        <v>2</v>
      </c>
      <c r="P65" t="n">
        <v>0</v>
      </c>
      <c r="Q65" t="n">
        <v>4</v>
      </c>
      <c r="R65" s="2" t="inlineStr">
        <is>
          <t>Garnlav
Talltita
Dropptaggsvamp
Tjäder</t>
        </is>
      </c>
      <c r="S65">
        <f>HYPERLINK("https://klasma.github.io/Logging_2062/artfynd/A 14293-2024 artfynd.xlsx", "A 14293-2024")</f>
        <v/>
      </c>
      <c r="T65">
        <f>HYPERLINK("https://klasma.github.io/Logging_2062/kartor/A 14293-2024 karta.png", "A 14293-2024")</f>
        <v/>
      </c>
      <c r="V65">
        <f>HYPERLINK("https://klasma.github.io/Logging_2062/klagomål/A 14293-2024 FSC-klagomål.docx", "A 14293-2024")</f>
        <v/>
      </c>
      <c r="W65">
        <f>HYPERLINK("https://klasma.github.io/Logging_2062/klagomålsmail/A 14293-2024 FSC-klagomål mail.docx", "A 14293-2024")</f>
        <v/>
      </c>
      <c r="X65">
        <f>HYPERLINK("https://klasma.github.io/Logging_2062/tillsyn/A 14293-2024 tillsynsbegäran.docx", "A 14293-2024")</f>
        <v/>
      </c>
      <c r="Y65">
        <f>HYPERLINK("https://klasma.github.io/Logging_2062/tillsynsmail/A 14293-2024 tillsynsbegäran mail.docx", "A 14293-2024")</f>
        <v/>
      </c>
      <c r="Z65">
        <f>HYPERLINK("https://klasma.github.io/Logging_2062/fåglar/A 14293-2024 prioriterade fågelarter.docx", "A 14293-2024")</f>
        <v/>
      </c>
    </row>
    <row r="66" ht="15" customHeight="1">
      <c r="A66" t="inlineStr">
        <is>
          <t>A 17648-2024</t>
        </is>
      </c>
      <c r="B66" s="1" t="n">
        <v>45418.39261574074</v>
      </c>
      <c r="C66" s="1" t="n">
        <v>46104</v>
      </c>
      <c r="D66" t="inlineStr">
        <is>
          <t>DALARNAS LÄN</t>
        </is>
      </c>
      <c r="E66" t="inlineStr">
        <is>
          <t>MORA</t>
        </is>
      </c>
      <c r="G66" t="n">
        <v>1.7</v>
      </c>
      <c r="H66" t="n">
        <v>4</v>
      </c>
      <c r="I66" t="n">
        <v>0</v>
      </c>
      <c r="J66" t="n">
        <v>2</v>
      </c>
      <c r="K66" t="n">
        <v>0</v>
      </c>
      <c r="L66" t="n">
        <v>0</v>
      </c>
      <c r="M66" t="n">
        <v>0</v>
      </c>
      <c r="N66" t="n">
        <v>0</v>
      </c>
      <c r="O66" t="n">
        <v>2</v>
      </c>
      <c r="P66" t="n">
        <v>0</v>
      </c>
      <c r="Q66" t="n">
        <v>4</v>
      </c>
      <c r="R66" s="2" t="inlineStr">
        <is>
          <t>Brunlångöra
Nordfladdermus
Dvärgpipistrell
Vattenfladdermus</t>
        </is>
      </c>
      <c r="S66">
        <f>HYPERLINK("https://klasma.github.io/Logging_2062/artfynd/A 17648-2024 artfynd.xlsx", "A 17648-2024")</f>
        <v/>
      </c>
      <c r="T66">
        <f>HYPERLINK("https://klasma.github.io/Logging_2062/kartor/A 17648-2024 karta.png", "A 17648-2024")</f>
        <v/>
      </c>
      <c r="V66">
        <f>HYPERLINK("https://klasma.github.io/Logging_2062/klagomål/A 17648-2024 FSC-klagomål.docx", "A 17648-2024")</f>
        <v/>
      </c>
      <c r="W66">
        <f>HYPERLINK("https://klasma.github.io/Logging_2062/klagomålsmail/A 17648-2024 FSC-klagomål mail.docx", "A 17648-2024")</f>
        <v/>
      </c>
      <c r="X66">
        <f>HYPERLINK("https://klasma.github.io/Logging_2062/tillsyn/A 17648-2024 tillsynsbegäran.docx", "A 17648-2024")</f>
        <v/>
      </c>
      <c r="Y66">
        <f>HYPERLINK("https://klasma.github.io/Logging_2062/tillsynsmail/A 17648-2024 tillsynsbegäran mail.docx", "A 17648-2024")</f>
        <v/>
      </c>
    </row>
    <row r="67" ht="15" customHeight="1">
      <c r="A67" t="inlineStr">
        <is>
          <t>A 23163-2025</t>
        </is>
      </c>
      <c r="B67" s="1" t="n">
        <v>45791.41832175926</v>
      </c>
      <c r="C67" s="1" t="n">
        <v>46104</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39481-2025</t>
        </is>
      </c>
      <c r="B68" s="1" t="n">
        <v>45890.35545138889</v>
      </c>
      <c r="C68" s="1" t="n">
        <v>46104</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39481-2025 artfynd.xlsx", "A 39481-2025")</f>
        <v/>
      </c>
      <c r="T68">
        <f>HYPERLINK("https://klasma.github.io/Logging_2062/kartor/A 39481-2025 karta.png", "A 39481-2025")</f>
        <v/>
      </c>
      <c r="V68">
        <f>HYPERLINK("https://klasma.github.io/Logging_2062/klagomål/A 39481-2025 FSC-klagomål.docx", "A 39481-2025")</f>
        <v/>
      </c>
      <c r="W68">
        <f>HYPERLINK("https://klasma.github.io/Logging_2062/klagomålsmail/A 39481-2025 FSC-klagomål mail.docx", "A 39481-2025")</f>
        <v/>
      </c>
      <c r="X68">
        <f>HYPERLINK("https://klasma.github.io/Logging_2062/tillsyn/A 39481-2025 tillsynsbegäran.docx", "A 39481-2025")</f>
        <v/>
      </c>
      <c r="Y68">
        <f>HYPERLINK("https://klasma.github.io/Logging_2062/tillsynsmail/A 39481-2025 tillsynsbegäran mail.docx", "A 39481-2025")</f>
        <v/>
      </c>
      <c r="Z68">
        <f>HYPERLINK("https://klasma.github.io/Logging_2062/fåglar/A 39481-2025 prioriterade fågelarter.docx", "A 39481-2025")</f>
        <v/>
      </c>
    </row>
    <row r="69" ht="15" customHeight="1">
      <c r="A69" t="inlineStr">
        <is>
          <t>A 62620-2025</t>
        </is>
      </c>
      <c r="B69" s="1" t="n">
        <v>46008.34148148148</v>
      </c>
      <c r="C69" s="1" t="n">
        <v>46104</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8878-2026</t>
        </is>
      </c>
      <c r="B70" s="1" t="n">
        <v>46067.50817129629</v>
      </c>
      <c r="C70" s="1" t="n">
        <v>46104</v>
      </c>
      <c r="D70" t="inlineStr">
        <is>
          <t>DALARNAS LÄN</t>
        </is>
      </c>
      <c r="E70" t="inlineStr">
        <is>
          <t>MORA</t>
        </is>
      </c>
      <c r="G70" t="n">
        <v>2.3</v>
      </c>
      <c r="H70" t="n">
        <v>3</v>
      </c>
      <c r="I70" t="n">
        <v>0</v>
      </c>
      <c r="J70" t="n">
        <v>1</v>
      </c>
      <c r="K70" t="n">
        <v>0</v>
      </c>
      <c r="L70" t="n">
        <v>0</v>
      </c>
      <c r="M70" t="n">
        <v>0</v>
      </c>
      <c r="N70" t="n">
        <v>0</v>
      </c>
      <c r="O70" t="n">
        <v>1</v>
      </c>
      <c r="P70" t="n">
        <v>0</v>
      </c>
      <c r="Q70" t="n">
        <v>3</v>
      </c>
      <c r="R70" s="2" t="inlineStr">
        <is>
          <t>Järpe
Tjäder
Revlummer</t>
        </is>
      </c>
      <c r="S70">
        <f>HYPERLINK("https://klasma.github.io/Logging_2062/artfynd/A 8878-2026 artfynd.xlsx", "A 8878-2026")</f>
        <v/>
      </c>
      <c r="T70">
        <f>HYPERLINK("https://klasma.github.io/Logging_2062/kartor/A 8878-2026 karta.png", "A 8878-2026")</f>
        <v/>
      </c>
      <c r="V70">
        <f>HYPERLINK("https://klasma.github.io/Logging_2062/klagomål/A 8878-2026 FSC-klagomål.docx", "A 8878-2026")</f>
        <v/>
      </c>
      <c r="W70">
        <f>HYPERLINK("https://klasma.github.io/Logging_2062/klagomålsmail/A 8878-2026 FSC-klagomål mail.docx", "A 8878-2026")</f>
        <v/>
      </c>
      <c r="X70">
        <f>HYPERLINK("https://klasma.github.io/Logging_2062/tillsyn/A 8878-2026 tillsynsbegäran.docx", "A 8878-2026")</f>
        <v/>
      </c>
      <c r="Y70">
        <f>HYPERLINK("https://klasma.github.io/Logging_2062/tillsynsmail/A 8878-2026 tillsynsbegäran mail.docx", "A 8878-2026")</f>
        <v/>
      </c>
      <c r="Z70">
        <f>HYPERLINK("https://klasma.github.io/Logging_2062/fåglar/A 8878-2026 prioriterade fågelarter.docx", "A 8878-2026")</f>
        <v/>
      </c>
    </row>
    <row r="71" ht="15" customHeight="1">
      <c r="A71" t="inlineStr">
        <is>
          <t>A 49695-2025</t>
        </is>
      </c>
      <c r="B71" s="1" t="n">
        <v>45939.67418981482</v>
      </c>
      <c r="C71" s="1" t="n">
        <v>46104</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29392-2025</t>
        </is>
      </c>
      <c r="B72" s="1" t="n">
        <v>45824.60537037037</v>
      </c>
      <c r="C72" s="1" t="n">
        <v>46104</v>
      </c>
      <c r="D72" t="inlineStr">
        <is>
          <t>DALARNAS LÄN</t>
        </is>
      </c>
      <c r="E72" t="inlineStr">
        <is>
          <t>MORA</t>
        </is>
      </c>
      <c r="G72" t="n">
        <v>1</v>
      </c>
      <c r="H72" t="n">
        <v>1</v>
      </c>
      <c r="I72" t="n">
        <v>2</v>
      </c>
      <c r="J72" t="n">
        <v>1</v>
      </c>
      <c r="K72" t="n">
        <v>0</v>
      </c>
      <c r="L72" t="n">
        <v>0</v>
      </c>
      <c r="M72" t="n">
        <v>0</v>
      </c>
      <c r="N72" t="n">
        <v>0</v>
      </c>
      <c r="O72" t="n">
        <v>1</v>
      </c>
      <c r="P72" t="n">
        <v>0</v>
      </c>
      <c r="Q72" t="n">
        <v>3</v>
      </c>
      <c r="R72" s="2" t="inlineStr">
        <is>
          <t>Garnlav
Mindre märgborre
Plattlummer</t>
        </is>
      </c>
      <c r="S72">
        <f>HYPERLINK("https://klasma.github.io/Logging_2062/artfynd/A 29392-2025 artfynd.xlsx", "A 29392-2025")</f>
        <v/>
      </c>
      <c r="T72">
        <f>HYPERLINK("https://klasma.github.io/Logging_2062/kartor/A 29392-2025 karta.png", "A 29392-2025")</f>
        <v/>
      </c>
      <c r="V72">
        <f>HYPERLINK("https://klasma.github.io/Logging_2062/klagomål/A 29392-2025 FSC-klagomål.docx", "A 29392-2025")</f>
        <v/>
      </c>
      <c r="W72">
        <f>HYPERLINK("https://klasma.github.io/Logging_2062/klagomålsmail/A 29392-2025 FSC-klagomål mail.docx", "A 29392-2025")</f>
        <v/>
      </c>
      <c r="X72">
        <f>HYPERLINK("https://klasma.github.io/Logging_2062/tillsyn/A 29392-2025 tillsynsbegäran.docx", "A 29392-2025")</f>
        <v/>
      </c>
      <c r="Y72">
        <f>HYPERLINK("https://klasma.github.io/Logging_2062/tillsynsmail/A 29392-2025 tillsynsbegäran mail.docx", "A 29392-2025")</f>
        <v/>
      </c>
    </row>
    <row r="73" ht="15" customHeight="1">
      <c r="A73" t="inlineStr">
        <is>
          <t>A 42028-2023</t>
        </is>
      </c>
      <c r="B73" s="1" t="n">
        <v>45177.49715277777</v>
      </c>
      <c r="C73" s="1" t="n">
        <v>46104</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37552-2023</t>
        </is>
      </c>
      <c r="B74" s="1" t="n">
        <v>45159.32799768518</v>
      </c>
      <c r="C74" s="1" t="n">
        <v>46104</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35068-2025</t>
        </is>
      </c>
      <c r="B75" s="1" t="n">
        <v>45852.45686342593</v>
      </c>
      <c r="C75" s="1" t="n">
        <v>46104</v>
      </c>
      <c r="D75" t="inlineStr">
        <is>
          <t>DALARNAS LÄN</t>
        </is>
      </c>
      <c r="E75" t="inlineStr">
        <is>
          <t>MORA</t>
        </is>
      </c>
      <c r="G75" t="n">
        <v>0.7</v>
      </c>
      <c r="H75" t="n">
        <v>0</v>
      </c>
      <c r="I75" t="n">
        <v>1</v>
      </c>
      <c r="J75" t="n">
        <v>1</v>
      </c>
      <c r="K75" t="n">
        <v>0</v>
      </c>
      <c r="L75" t="n">
        <v>0</v>
      </c>
      <c r="M75" t="n">
        <v>0</v>
      </c>
      <c r="N75" t="n">
        <v>0</v>
      </c>
      <c r="O75" t="n">
        <v>1</v>
      </c>
      <c r="P75" t="n">
        <v>0</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36058-2024</t>
        </is>
      </c>
      <c r="B76" s="1" t="n">
        <v>45533</v>
      </c>
      <c r="C76" s="1" t="n">
        <v>46104</v>
      </c>
      <c r="D76" t="inlineStr">
        <is>
          <t>DALARNAS LÄN</t>
        </is>
      </c>
      <c r="E76" t="inlineStr">
        <is>
          <t>MORA</t>
        </is>
      </c>
      <c r="G76" t="n">
        <v>1</v>
      </c>
      <c r="H76" t="n">
        <v>0</v>
      </c>
      <c r="I76" t="n">
        <v>0</v>
      </c>
      <c r="J76" t="n">
        <v>1</v>
      </c>
      <c r="K76" t="n">
        <v>0</v>
      </c>
      <c r="L76" t="n">
        <v>0</v>
      </c>
      <c r="M76" t="n">
        <v>0</v>
      </c>
      <c r="N76" t="n">
        <v>0</v>
      </c>
      <c r="O76" t="n">
        <v>1</v>
      </c>
      <c r="P76" t="n">
        <v>0</v>
      </c>
      <c r="Q76" t="n">
        <v>1</v>
      </c>
      <c r="R76" s="2" t="inlineStr">
        <is>
          <t>Garnlav</t>
        </is>
      </c>
      <c r="S76">
        <f>HYPERLINK("https://klasma.github.io/Logging_2062/artfynd/A 36058-2024 artfynd.xlsx", "A 36058-2024")</f>
        <v/>
      </c>
      <c r="T76">
        <f>HYPERLINK("https://klasma.github.io/Logging_2062/kartor/A 36058-2024 karta.png", "A 36058-2024")</f>
        <v/>
      </c>
      <c r="V76">
        <f>HYPERLINK("https://klasma.github.io/Logging_2062/klagomål/A 36058-2024 FSC-klagomål.docx", "A 36058-2024")</f>
        <v/>
      </c>
      <c r="W76">
        <f>HYPERLINK("https://klasma.github.io/Logging_2062/klagomålsmail/A 36058-2024 FSC-klagomål mail.docx", "A 36058-2024")</f>
        <v/>
      </c>
      <c r="X76">
        <f>HYPERLINK("https://klasma.github.io/Logging_2062/tillsyn/A 36058-2024 tillsynsbegäran.docx", "A 36058-2024")</f>
        <v/>
      </c>
      <c r="Y76">
        <f>HYPERLINK("https://klasma.github.io/Logging_2062/tillsynsmail/A 36058-2024 tillsynsbegäran mail.docx", "A 36058-2024")</f>
        <v/>
      </c>
    </row>
    <row r="77" ht="15" customHeight="1">
      <c r="A77" t="inlineStr">
        <is>
          <t>A 16094-2024</t>
        </is>
      </c>
      <c r="B77" s="1" t="n">
        <v>45406.41648148148</v>
      </c>
      <c r="C77" s="1" t="n">
        <v>46104</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62096-2025</t>
        </is>
      </c>
      <c r="B78" s="1" t="n">
        <v>46006.38961805555</v>
      </c>
      <c r="C78" s="1" t="n">
        <v>46104</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5304-2023</t>
        </is>
      </c>
      <c r="B79" s="1" t="n">
        <v>44959.55116898148</v>
      </c>
      <c r="C79" s="1" t="n">
        <v>46104</v>
      </c>
      <c r="D79" t="inlineStr">
        <is>
          <t>DALARNAS LÄN</t>
        </is>
      </c>
      <c r="E79" t="inlineStr">
        <is>
          <t>MORA</t>
        </is>
      </c>
      <c r="F79" t="inlineStr">
        <is>
          <t>Bergvik skog väst AB</t>
        </is>
      </c>
      <c r="G79" t="n">
        <v>7.3</v>
      </c>
      <c r="H79" t="n">
        <v>0</v>
      </c>
      <c r="I79" t="n">
        <v>0</v>
      </c>
      <c r="J79" t="n">
        <v>1</v>
      </c>
      <c r="K79" t="n">
        <v>0</v>
      </c>
      <c r="L79" t="n">
        <v>0</v>
      </c>
      <c r="M79" t="n">
        <v>0</v>
      </c>
      <c r="N79" t="n">
        <v>0</v>
      </c>
      <c r="O79" t="n">
        <v>1</v>
      </c>
      <c r="P79" t="n">
        <v>0</v>
      </c>
      <c r="Q79" t="n">
        <v>1</v>
      </c>
      <c r="R79" s="2" t="inlineStr">
        <is>
          <t>Backruta</t>
        </is>
      </c>
      <c r="S79">
        <f>HYPERLINK("https://klasma.github.io/Logging_2062/artfynd/A 5304-2023 artfynd.xlsx", "A 5304-2023")</f>
        <v/>
      </c>
      <c r="T79">
        <f>HYPERLINK("https://klasma.github.io/Logging_2062/kartor/A 5304-2023 karta.png", "A 5304-2023")</f>
        <v/>
      </c>
      <c r="V79">
        <f>HYPERLINK("https://klasma.github.io/Logging_2062/klagomål/A 5304-2023 FSC-klagomål.docx", "A 5304-2023")</f>
        <v/>
      </c>
      <c r="W79">
        <f>HYPERLINK("https://klasma.github.io/Logging_2062/klagomålsmail/A 5304-2023 FSC-klagomål mail.docx", "A 5304-2023")</f>
        <v/>
      </c>
      <c r="X79">
        <f>HYPERLINK("https://klasma.github.io/Logging_2062/tillsyn/A 5304-2023 tillsynsbegäran.docx", "A 5304-2023")</f>
        <v/>
      </c>
      <c r="Y79">
        <f>HYPERLINK("https://klasma.github.io/Logging_2062/tillsynsmail/A 5304-2023 tillsynsbegäran mail.docx", "A 5304-2023")</f>
        <v/>
      </c>
    </row>
    <row r="80" ht="15" customHeight="1">
      <c r="A80" t="inlineStr">
        <is>
          <t>A 831-2025</t>
        </is>
      </c>
      <c r="B80" s="1" t="n">
        <v>45665.58001157407</v>
      </c>
      <c r="C80" s="1" t="n">
        <v>46104</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27113-2024</t>
        </is>
      </c>
      <c r="B81" s="1" t="n">
        <v>45471</v>
      </c>
      <c r="C81" s="1" t="n">
        <v>46104</v>
      </c>
      <c r="D81" t="inlineStr">
        <is>
          <t>DALARNAS LÄN</t>
        </is>
      </c>
      <c r="E81" t="inlineStr">
        <is>
          <t>MORA</t>
        </is>
      </c>
      <c r="G81" t="n">
        <v>10.3</v>
      </c>
      <c r="H81" t="n">
        <v>0</v>
      </c>
      <c r="I81" t="n">
        <v>1</v>
      </c>
      <c r="J81" t="n">
        <v>0</v>
      </c>
      <c r="K81" t="n">
        <v>0</v>
      </c>
      <c r="L81" t="n">
        <v>0</v>
      </c>
      <c r="M81" t="n">
        <v>0</v>
      </c>
      <c r="N81" t="n">
        <v>0</v>
      </c>
      <c r="O81" t="n">
        <v>0</v>
      </c>
      <c r="P81" t="n">
        <v>0</v>
      </c>
      <c r="Q81" t="n">
        <v>1</v>
      </c>
      <c r="R81" s="2" t="inlineStr">
        <is>
          <t>Stor aspticka</t>
        </is>
      </c>
      <c r="S81">
        <f>HYPERLINK("https://klasma.github.io/Logging_2062/artfynd/A 27113-2024 artfynd.xlsx", "A 27113-2024")</f>
        <v/>
      </c>
      <c r="T81">
        <f>HYPERLINK("https://klasma.github.io/Logging_2062/kartor/A 27113-2024 karta.png", "A 27113-2024")</f>
        <v/>
      </c>
      <c r="V81">
        <f>HYPERLINK("https://klasma.github.io/Logging_2062/klagomål/A 27113-2024 FSC-klagomål.docx", "A 27113-2024")</f>
        <v/>
      </c>
      <c r="W81">
        <f>HYPERLINK("https://klasma.github.io/Logging_2062/klagomålsmail/A 27113-2024 FSC-klagomål mail.docx", "A 27113-2024")</f>
        <v/>
      </c>
      <c r="X81">
        <f>HYPERLINK("https://klasma.github.io/Logging_2062/tillsyn/A 27113-2024 tillsynsbegäran.docx", "A 27113-2024")</f>
        <v/>
      </c>
      <c r="Y81">
        <f>HYPERLINK("https://klasma.github.io/Logging_2062/tillsynsmail/A 27113-2024 tillsynsbegäran mail.docx", "A 27113-2024")</f>
        <v/>
      </c>
    </row>
    <row r="82" ht="15" customHeight="1">
      <c r="A82" t="inlineStr">
        <is>
          <t>A 68415-2021</t>
        </is>
      </c>
      <c r="B82" s="1" t="n">
        <v>44529</v>
      </c>
      <c r="C82" s="1" t="n">
        <v>46104</v>
      </c>
      <c r="D82" t="inlineStr">
        <is>
          <t>DALARNAS LÄN</t>
        </is>
      </c>
      <c r="E82" t="inlineStr">
        <is>
          <t>MORA</t>
        </is>
      </c>
      <c r="G82" t="n">
        <v>1.2</v>
      </c>
      <c r="H82" t="n">
        <v>1</v>
      </c>
      <c r="I82" t="n">
        <v>0</v>
      </c>
      <c r="J82" t="n">
        <v>0</v>
      </c>
      <c r="K82" t="n">
        <v>0</v>
      </c>
      <c r="L82" t="n">
        <v>0</v>
      </c>
      <c r="M82" t="n">
        <v>0</v>
      </c>
      <c r="N82" t="n">
        <v>0</v>
      </c>
      <c r="O82" t="n">
        <v>0</v>
      </c>
      <c r="P82" t="n">
        <v>0</v>
      </c>
      <c r="Q82" t="n">
        <v>1</v>
      </c>
      <c r="R82" s="2" t="inlineStr">
        <is>
          <t>Sparvuggla</t>
        </is>
      </c>
      <c r="S82">
        <f>HYPERLINK("https://klasma.github.io/Logging_2062/artfynd/A 68415-2021 artfynd.xlsx", "A 68415-2021")</f>
        <v/>
      </c>
      <c r="T82">
        <f>HYPERLINK("https://klasma.github.io/Logging_2062/kartor/A 68415-2021 karta.png", "A 68415-2021")</f>
        <v/>
      </c>
      <c r="V82">
        <f>HYPERLINK("https://klasma.github.io/Logging_2062/klagomål/A 68415-2021 FSC-klagomål.docx", "A 68415-2021")</f>
        <v/>
      </c>
      <c r="W82">
        <f>HYPERLINK("https://klasma.github.io/Logging_2062/klagomålsmail/A 68415-2021 FSC-klagomål mail.docx", "A 68415-2021")</f>
        <v/>
      </c>
      <c r="X82">
        <f>HYPERLINK("https://klasma.github.io/Logging_2062/tillsyn/A 68415-2021 tillsynsbegäran.docx", "A 68415-2021")</f>
        <v/>
      </c>
      <c r="Y82">
        <f>HYPERLINK("https://klasma.github.io/Logging_2062/tillsynsmail/A 68415-2021 tillsynsbegäran mail.docx", "A 68415-2021")</f>
        <v/>
      </c>
      <c r="Z82">
        <f>HYPERLINK("https://klasma.github.io/Logging_2062/fåglar/A 68415-2021 prioriterade fågelarter.docx", "A 68415-2021")</f>
        <v/>
      </c>
    </row>
    <row r="83" ht="15" customHeight="1">
      <c r="A83" t="inlineStr">
        <is>
          <t>A 57669-2022</t>
        </is>
      </c>
      <c r="B83" s="1" t="n">
        <v>44897</v>
      </c>
      <c r="C83" s="1" t="n">
        <v>46104</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23736-2023</t>
        </is>
      </c>
      <c r="B84" s="1" t="n">
        <v>45077</v>
      </c>
      <c r="C84" s="1" t="n">
        <v>46104</v>
      </c>
      <c r="D84" t="inlineStr">
        <is>
          <t>DALARNAS LÄN</t>
        </is>
      </c>
      <c r="E84" t="inlineStr">
        <is>
          <t>MORA</t>
        </is>
      </c>
      <c r="G84" t="n">
        <v>7.2</v>
      </c>
      <c r="H84" t="n">
        <v>0</v>
      </c>
      <c r="I84" t="n">
        <v>0</v>
      </c>
      <c r="J84" t="n">
        <v>1</v>
      </c>
      <c r="K84" t="n">
        <v>0</v>
      </c>
      <c r="L84" t="n">
        <v>0</v>
      </c>
      <c r="M84" t="n">
        <v>0</v>
      </c>
      <c r="N84" t="n">
        <v>0</v>
      </c>
      <c r="O84" t="n">
        <v>1</v>
      </c>
      <c r="P84" t="n">
        <v>0</v>
      </c>
      <c r="Q84" t="n">
        <v>1</v>
      </c>
      <c r="R84" s="2" t="inlineStr">
        <is>
          <t>Reliktbock</t>
        </is>
      </c>
      <c r="S84">
        <f>HYPERLINK("https://klasma.github.io/Logging_2062/artfynd/A 23736-2023 artfynd.xlsx", "A 23736-2023")</f>
        <v/>
      </c>
      <c r="T84">
        <f>HYPERLINK("https://klasma.github.io/Logging_2062/kartor/A 23736-2023 karta.png", "A 23736-2023")</f>
        <v/>
      </c>
      <c r="V84">
        <f>HYPERLINK("https://klasma.github.io/Logging_2062/klagomål/A 23736-2023 FSC-klagomål.docx", "A 23736-2023")</f>
        <v/>
      </c>
      <c r="W84">
        <f>HYPERLINK("https://klasma.github.io/Logging_2062/klagomålsmail/A 23736-2023 FSC-klagomål mail.docx", "A 23736-2023")</f>
        <v/>
      </c>
      <c r="X84">
        <f>HYPERLINK("https://klasma.github.io/Logging_2062/tillsyn/A 23736-2023 tillsynsbegäran.docx", "A 23736-2023")</f>
        <v/>
      </c>
      <c r="Y84">
        <f>HYPERLINK("https://klasma.github.io/Logging_2062/tillsynsmail/A 23736-2023 tillsynsbegäran mail.docx", "A 23736-2023")</f>
        <v/>
      </c>
    </row>
    <row r="85" ht="15" customHeight="1">
      <c r="A85" t="inlineStr">
        <is>
          <t>A 45344-2024</t>
        </is>
      </c>
      <c r="B85" s="1" t="n">
        <v>45576</v>
      </c>
      <c r="C85" s="1" t="n">
        <v>46104</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45344-2024 artfynd.xlsx", "A 45344-2024")</f>
        <v/>
      </c>
      <c r="T85">
        <f>HYPERLINK("https://klasma.github.io/Logging_2062/kartor/A 45344-2024 karta.png", "A 45344-2024")</f>
        <v/>
      </c>
      <c r="V85">
        <f>HYPERLINK("https://klasma.github.io/Logging_2062/klagomål/A 45344-2024 FSC-klagomål.docx", "A 45344-2024")</f>
        <v/>
      </c>
      <c r="W85">
        <f>HYPERLINK("https://klasma.github.io/Logging_2062/klagomålsmail/A 45344-2024 FSC-klagomål mail.docx", "A 45344-2024")</f>
        <v/>
      </c>
      <c r="X85">
        <f>HYPERLINK("https://klasma.github.io/Logging_2062/tillsyn/A 45344-2024 tillsynsbegäran.docx", "A 45344-2024")</f>
        <v/>
      </c>
      <c r="Y85">
        <f>HYPERLINK("https://klasma.github.io/Logging_2062/tillsynsmail/A 45344-2024 tillsynsbegäran mail.docx", "A 45344-2024")</f>
        <v/>
      </c>
    </row>
    <row r="86" ht="15" customHeight="1">
      <c r="A86" t="inlineStr">
        <is>
          <t>A 30328-2021</t>
        </is>
      </c>
      <c r="B86" s="1" t="n">
        <v>44364</v>
      </c>
      <c r="C86" s="1" t="n">
        <v>46104</v>
      </c>
      <c r="D86" t="inlineStr">
        <is>
          <t>DALARNAS LÄN</t>
        </is>
      </c>
      <c r="E86" t="inlineStr">
        <is>
          <t>MORA</t>
        </is>
      </c>
      <c r="F86" t="inlineStr">
        <is>
          <t>Bergvik skog öst AB</t>
        </is>
      </c>
      <c r="G86" t="n">
        <v>1.1</v>
      </c>
      <c r="H86" t="n">
        <v>1</v>
      </c>
      <c r="I86" t="n">
        <v>0</v>
      </c>
      <c r="J86" t="n">
        <v>1</v>
      </c>
      <c r="K86" t="n">
        <v>0</v>
      </c>
      <c r="L86" t="n">
        <v>0</v>
      </c>
      <c r="M86" t="n">
        <v>0</v>
      </c>
      <c r="N86" t="n">
        <v>0</v>
      </c>
      <c r="O86" t="n">
        <v>1</v>
      </c>
      <c r="P86" t="n">
        <v>0</v>
      </c>
      <c r="Q86" t="n">
        <v>1</v>
      </c>
      <c r="R86" s="2" t="inlineStr">
        <is>
          <t>Fjällvråk</t>
        </is>
      </c>
      <c r="S86">
        <f>HYPERLINK("https://klasma.github.io/Logging_2062/artfynd/A 30328-2021 artfynd.xlsx", "A 30328-2021")</f>
        <v/>
      </c>
      <c r="T86">
        <f>HYPERLINK("https://klasma.github.io/Logging_2062/kartor/A 30328-2021 karta.png", "A 30328-2021")</f>
        <v/>
      </c>
      <c r="V86">
        <f>HYPERLINK("https://klasma.github.io/Logging_2062/klagomål/A 30328-2021 FSC-klagomål.docx", "A 30328-2021")</f>
        <v/>
      </c>
      <c r="W86">
        <f>HYPERLINK("https://klasma.github.io/Logging_2062/klagomålsmail/A 30328-2021 FSC-klagomål mail.docx", "A 30328-2021")</f>
        <v/>
      </c>
      <c r="X86">
        <f>HYPERLINK("https://klasma.github.io/Logging_2062/tillsyn/A 30328-2021 tillsynsbegäran.docx", "A 30328-2021")</f>
        <v/>
      </c>
      <c r="Y86">
        <f>HYPERLINK("https://klasma.github.io/Logging_2062/tillsynsmail/A 30328-2021 tillsynsbegäran mail.docx", "A 30328-2021")</f>
        <v/>
      </c>
      <c r="Z86">
        <f>HYPERLINK("https://klasma.github.io/Logging_2062/fåglar/A 30328-2021 prioriterade fågelarter.docx", "A 30328-2021")</f>
        <v/>
      </c>
    </row>
    <row r="87" ht="15" customHeight="1">
      <c r="A87" t="inlineStr">
        <is>
          <t>A 13717-2023</t>
        </is>
      </c>
      <c r="B87" s="1" t="n">
        <v>45007</v>
      </c>
      <c r="C87" s="1" t="n">
        <v>46104</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20538-2025</t>
        </is>
      </c>
      <c r="B88" s="1" t="n">
        <v>45775.62283564815</v>
      </c>
      <c r="C88" s="1" t="n">
        <v>46104</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20538-2025 artfynd.xlsx", "A 20538-2025")</f>
        <v/>
      </c>
      <c r="T88">
        <f>HYPERLINK("https://klasma.github.io/Logging_2062/kartor/A 20538-2025 karta.png", "A 20538-2025")</f>
        <v/>
      </c>
      <c r="V88">
        <f>HYPERLINK("https://klasma.github.io/Logging_2062/klagomål/A 20538-2025 FSC-klagomål.docx", "A 20538-2025")</f>
        <v/>
      </c>
      <c r="W88">
        <f>HYPERLINK("https://klasma.github.io/Logging_2062/klagomålsmail/A 20538-2025 FSC-klagomål mail.docx", "A 20538-2025")</f>
        <v/>
      </c>
      <c r="X88">
        <f>HYPERLINK("https://klasma.github.io/Logging_2062/tillsyn/A 20538-2025 tillsynsbegäran.docx", "A 20538-2025")</f>
        <v/>
      </c>
      <c r="Y88">
        <f>HYPERLINK("https://klasma.github.io/Logging_2062/tillsynsmail/A 20538-2025 tillsynsbegäran mail.docx", "A 20538-2025")</f>
        <v/>
      </c>
    </row>
    <row r="89" ht="15" customHeight="1">
      <c r="A89" t="inlineStr">
        <is>
          <t>A 38769-2021</t>
        </is>
      </c>
      <c r="B89" s="1" t="n">
        <v>44410</v>
      </c>
      <c r="C89" s="1" t="n">
        <v>46104</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46104</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66158-2021</t>
        </is>
      </c>
      <c r="B91" s="1" t="n">
        <v>44517.934375</v>
      </c>
      <c r="C91" s="1" t="n">
        <v>46104</v>
      </c>
      <c r="D91" t="inlineStr">
        <is>
          <t>DALARNAS LÄN</t>
        </is>
      </c>
      <c r="E91" t="inlineStr">
        <is>
          <t>MORA</t>
        </is>
      </c>
      <c r="G91" t="n">
        <v>3.3</v>
      </c>
      <c r="H91" t="n">
        <v>0</v>
      </c>
      <c r="I91" t="n">
        <v>0</v>
      </c>
      <c r="J91" t="n">
        <v>0</v>
      </c>
      <c r="K91" t="n">
        <v>0</v>
      </c>
      <c r="L91" t="n">
        <v>0</v>
      </c>
      <c r="M91" t="n">
        <v>0</v>
      </c>
      <c r="N91" t="n">
        <v>0</v>
      </c>
      <c r="O91" t="n">
        <v>0</v>
      </c>
      <c r="P91" t="n">
        <v>0</v>
      </c>
      <c r="Q91" t="n">
        <v>0</v>
      </c>
      <c r="R91" s="2" t="inlineStr"/>
    </row>
    <row r="92" ht="15" customHeight="1">
      <c r="A92" t="inlineStr">
        <is>
          <t>A 42505-2021</t>
        </is>
      </c>
      <c r="B92" s="1" t="n">
        <v>44427</v>
      </c>
      <c r="C92" s="1" t="n">
        <v>46104</v>
      </c>
      <c r="D92" t="inlineStr">
        <is>
          <t>DALARNAS LÄN</t>
        </is>
      </c>
      <c r="E92" t="inlineStr">
        <is>
          <t>MORA</t>
        </is>
      </c>
      <c r="G92" t="n">
        <v>0.9</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46104</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34897-2022</t>
        </is>
      </c>
      <c r="B94" s="1" t="n">
        <v>44796</v>
      </c>
      <c r="C94" s="1" t="n">
        <v>46104</v>
      </c>
      <c r="D94" t="inlineStr">
        <is>
          <t>DALARNAS LÄN</t>
        </is>
      </c>
      <c r="E94" t="inlineStr">
        <is>
          <t>MORA</t>
        </is>
      </c>
      <c r="F94" t="inlineStr">
        <is>
          <t>Bergvik skog väst AB</t>
        </is>
      </c>
      <c r="G94" t="n">
        <v>8</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46104</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46104</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46104</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46104</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46104</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46104</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46104</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46104</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46104</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46104</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46104</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46104</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46104</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46104</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46104</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46104</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46104</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46104</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46104</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46104</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46104</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46104</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46104</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46104</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46104</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46104</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46104</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46104</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44788.32601851852</v>
      </c>
      <c r="C123" s="1" t="n">
        <v>46104</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45462-2022</t>
        </is>
      </c>
      <c r="B124" s="1" t="n">
        <v>44845.35591435185</v>
      </c>
      <c r="C124" s="1" t="n">
        <v>46104</v>
      </c>
      <c r="D124" t="inlineStr">
        <is>
          <t>DALARNAS LÄN</t>
        </is>
      </c>
      <c r="E124" t="inlineStr">
        <is>
          <t>MORA</t>
        </is>
      </c>
      <c r="G124" t="n">
        <v>6.9</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46104</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46104</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46104</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46104</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46104</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46104</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46104</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46104</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46104</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46104</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46104</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46104</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46104</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46104</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56501-2021</t>
        </is>
      </c>
      <c r="B139" s="1" t="n">
        <v>44480.57549768518</v>
      </c>
      <c r="C139" s="1" t="n">
        <v>46104</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46104</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46104</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46104</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46104</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46104</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46104</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46104</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46104</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46104</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46104</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46104</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46104</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46104</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46104</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46104</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46104</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46104</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46104</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46104</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46104</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46104</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46104</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46104</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46104</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46104</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46104</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8068-2024</t>
        </is>
      </c>
      <c r="B166" s="1" t="n">
        <v>45351.41524305556</v>
      </c>
      <c r="C166" s="1" t="n">
        <v>46104</v>
      </c>
      <c r="D166" t="inlineStr">
        <is>
          <t>DALARNAS LÄN</t>
        </is>
      </c>
      <c r="E166" t="inlineStr">
        <is>
          <t>MORA</t>
        </is>
      </c>
      <c r="G166" t="n">
        <v>6.4</v>
      </c>
      <c r="H166" t="n">
        <v>0</v>
      </c>
      <c r="I166" t="n">
        <v>0</v>
      </c>
      <c r="J166" t="n">
        <v>0</v>
      </c>
      <c r="K166" t="n">
        <v>0</v>
      </c>
      <c r="L166" t="n">
        <v>0</v>
      </c>
      <c r="M166" t="n">
        <v>0</v>
      </c>
      <c r="N166" t="n">
        <v>0</v>
      </c>
      <c r="O166" t="n">
        <v>0</v>
      </c>
      <c r="P166" t="n">
        <v>0</v>
      </c>
      <c r="Q166" t="n">
        <v>0</v>
      </c>
      <c r="R166" s="2" t="inlineStr"/>
    </row>
    <row r="167" ht="15" customHeight="1">
      <c r="A167" t="inlineStr">
        <is>
          <t>A 8100-2024</t>
        </is>
      </c>
      <c r="B167" s="1" t="n">
        <v>45351.46583333334</v>
      </c>
      <c r="C167" s="1" t="n">
        <v>46104</v>
      </c>
      <c r="D167" t="inlineStr">
        <is>
          <t>DALARNAS LÄN</t>
        </is>
      </c>
      <c r="E167" t="inlineStr">
        <is>
          <t>MORA</t>
        </is>
      </c>
      <c r="G167" t="n">
        <v>3.2</v>
      </c>
      <c r="H167" t="n">
        <v>0</v>
      </c>
      <c r="I167" t="n">
        <v>0</v>
      </c>
      <c r="J167" t="n">
        <v>0</v>
      </c>
      <c r="K167" t="n">
        <v>0</v>
      </c>
      <c r="L167" t="n">
        <v>0</v>
      </c>
      <c r="M167" t="n">
        <v>0</v>
      </c>
      <c r="N167" t="n">
        <v>0</v>
      </c>
      <c r="O167" t="n">
        <v>0</v>
      </c>
      <c r="P167" t="n">
        <v>0</v>
      </c>
      <c r="Q167" t="n">
        <v>0</v>
      </c>
      <c r="R167" s="2" t="inlineStr"/>
    </row>
    <row r="168" ht="15" customHeight="1">
      <c r="A168" t="inlineStr">
        <is>
          <t>A 31929-2024</t>
        </is>
      </c>
      <c r="B168" s="1" t="n">
        <v>45510.40587962963</v>
      </c>
      <c r="C168" s="1" t="n">
        <v>46104</v>
      </c>
      <c r="D168" t="inlineStr">
        <is>
          <t>DALARNAS LÄN</t>
        </is>
      </c>
      <c r="E168" t="inlineStr">
        <is>
          <t>MORA</t>
        </is>
      </c>
      <c r="G168" t="n">
        <v>10.8</v>
      </c>
      <c r="H168" t="n">
        <v>0</v>
      </c>
      <c r="I168" t="n">
        <v>0</v>
      </c>
      <c r="J168" t="n">
        <v>0</v>
      </c>
      <c r="K168" t="n">
        <v>0</v>
      </c>
      <c r="L168" t="n">
        <v>0</v>
      </c>
      <c r="M168" t="n">
        <v>0</v>
      </c>
      <c r="N168" t="n">
        <v>0</v>
      </c>
      <c r="O168" t="n">
        <v>0</v>
      </c>
      <c r="P168" t="n">
        <v>0</v>
      </c>
      <c r="Q168" t="n">
        <v>0</v>
      </c>
      <c r="R168" s="2" t="inlineStr"/>
    </row>
    <row r="169" ht="15" customHeight="1">
      <c r="A169" t="inlineStr">
        <is>
          <t>A 61405-2023</t>
        </is>
      </c>
      <c r="B169" s="1" t="n">
        <v>45264.65987268519</v>
      </c>
      <c r="C169" s="1" t="n">
        <v>46104</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46104</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14832-2025</t>
        </is>
      </c>
      <c r="B171" s="1" t="n">
        <v>45743</v>
      </c>
      <c r="C171" s="1" t="n">
        <v>46104</v>
      </c>
      <c r="D171" t="inlineStr">
        <is>
          <t>DALARNAS LÄN</t>
        </is>
      </c>
      <c r="E171" t="inlineStr">
        <is>
          <t>MORA</t>
        </is>
      </c>
      <c r="G171" t="n">
        <v>9.1</v>
      </c>
      <c r="H171" t="n">
        <v>0</v>
      </c>
      <c r="I171" t="n">
        <v>0</v>
      </c>
      <c r="J171" t="n">
        <v>0</v>
      </c>
      <c r="K171" t="n">
        <v>0</v>
      </c>
      <c r="L171" t="n">
        <v>0</v>
      </c>
      <c r="M171" t="n">
        <v>0</v>
      </c>
      <c r="N171" t="n">
        <v>0</v>
      </c>
      <c r="O171" t="n">
        <v>0</v>
      </c>
      <c r="P171" t="n">
        <v>0</v>
      </c>
      <c r="Q171" t="n">
        <v>0</v>
      </c>
      <c r="R171" s="2" t="inlineStr"/>
    </row>
    <row r="172" ht="15" customHeight="1">
      <c r="A172" t="inlineStr">
        <is>
          <t>A 55284-2025</t>
        </is>
      </c>
      <c r="B172" s="1" t="n">
        <v>45968.8227662037</v>
      </c>
      <c r="C172" s="1" t="n">
        <v>46104</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22354-2025</t>
        </is>
      </c>
      <c r="B173" s="1" t="n">
        <v>45786.45721064815</v>
      </c>
      <c r="C173" s="1" t="n">
        <v>46104</v>
      </c>
      <c r="D173" t="inlineStr">
        <is>
          <t>DALARNAS LÄN</t>
        </is>
      </c>
      <c r="E173" t="inlineStr">
        <is>
          <t>MORA</t>
        </is>
      </c>
      <c r="F173" t="inlineStr">
        <is>
          <t>Bergvik skog öst AB</t>
        </is>
      </c>
      <c r="G173" t="n">
        <v>2</v>
      </c>
      <c r="H173" t="n">
        <v>0</v>
      </c>
      <c r="I173" t="n">
        <v>0</v>
      </c>
      <c r="J173" t="n">
        <v>0</v>
      </c>
      <c r="K173" t="n">
        <v>0</v>
      </c>
      <c r="L173" t="n">
        <v>0</v>
      </c>
      <c r="M173" t="n">
        <v>0</v>
      </c>
      <c r="N173" t="n">
        <v>0</v>
      </c>
      <c r="O173" t="n">
        <v>0</v>
      </c>
      <c r="P173" t="n">
        <v>0</v>
      </c>
      <c r="Q173" t="n">
        <v>0</v>
      </c>
      <c r="R173" s="2" t="inlineStr"/>
    </row>
    <row r="174" ht="15" customHeight="1">
      <c r="A174" t="inlineStr">
        <is>
          <t>A 55124-2025</t>
        </is>
      </c>
      <c r="B174" s="1" t="n">
        <v>45968.40621527778</v>
      </c>
      <c r="C174" s="1" t="n">
        <v>46104</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46104</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46104</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22409-2025</t>
        </is>
      </c>
      <c r="B177" s="1" t="n">
        <v>45786.54940972223</v>
      </c>
      <c r="C177" s="1" t="n">
        <v>46104</v>
      </c>
      <c r="D177" t="inlineStr">
        <is>
          <t>DALARNAS LÄN</t>
        </is>
      </c>
      <c r="E177" t="inlineStr">
        <is>
          <t>MORA</t>
        </is>
      </c>
      <c r="F177" t="inlineStr">
        <is>
          <t>Bergvik skog öst AB</t>
        </is>
      </c>
      <c r="G177" t="n">
        <v>5</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46104</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12490-2025</t>
        </is>
      </c>
      <c r="B179" s="1" t="n">
        <v>45730.59239583334</v>
      </c>
      <c r="C179" s="1" t="n">
        <v>46104</v>
      </c>
      <c r="D179" t="inlineStr">
        <is>
          <t>DALARNAS LÄN</t>
        </is>
      </c>
      <c r="E179" t="inlineStr">
        <is>
          <t>MORA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55671-2024</t>
        </is>
      </c>
      <c r="B180" s="1" t="n">
        <v>45622.65269675926</v>
      </c>
      <c r="C180" s="1" t="n">
        <v>46104</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45349-2024</t>
        </is>
      </c>
      <c r="B181" s="1" t="n">
        <v>45576</v>
      </c>
      <c r="C181" s="1" t="n">
        <v>46104</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46104</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56702-2025</t>
        </is>
      </c>
      <c r="B183" s="1" t="n">
        <v>45977.45586805556</v>
      </c>
      <c r="C183" s="1" t="n">
        <v>46104</v>
      </c>
      <c r="D183" t="inlineStr">
        <is>
          <t>DALARNAS LÄN</t>
        </is>
      </c>
      <c r="E183" t="inlineStr">
        <is>
          <t>MORA</t>
        </is>
      </c>
      <c r="G183" t="n">
        <v>2.2</v>
      </c>
      <c r="H183" t="n">
        <v>0</v>
      </c>
      <c r="I183" t="n">
        <v>0</v>
      </c>
      <c r="J183" t="n">
        <v>0</v>
      </c>
      <c r="K183" t="n">
        <v>0</v>
      </c>
      <c r="L183" t="n">
        <v>0</v>
      </c>
      <c r="M183" t="n">
        <v>0</v>
      </c>
      <c r="N183" t="n">
        <v>0</v>
      </c>
      <c r="O183" t="n">
        <v>0</v>
      </c>
      <c r="P183" t="n">
        <v>0</v>
      </c>
      <c r="Q183" t="n">
        <v>0</v>
      </c>
      <c r="R183" s="2" t="inlineStr"/>
    </row>
    <row r="184" ht="15" customHeight="1">
      <c r="A184" t="inlineStr">
        <is>
          <t>A 57097-2025</t>
        </is>
      </c>
      <c r="B184" s="1" t="n">
        <v>45979.43388888889</v>
      </c>
      <c r="C184" s="1" t="n">
        <v>46104</v>
      </c>
      <c r="D184" t="inlineStr">
        <is>
          <t>DALARNAS LÄN</t>
        </is>
      </c>
      <c r="E184" t="inlineStr">
        <is>
          <t>MORA</t>
        </is>
      </c>
      <c r="G184" t="n">
        <v>7.5</v>
      </c>
      <c r="H184" t="n">
        <v>0</v>
      </c>
      <c r="I184" t="n">
        <v>0</v>
      </c>
      <c r="J184" t="n">
        <v>0</v>
      </c>
      <c r="K184" t="n">
        <v>0</v>
      </c>
      <c r="L184" t="n">
        <v>0</v>
      </c>
      <c r="M184" t="n">
        <v>0</v>
      </c>
      <c r="N184" t="n">
        <v>0</v>
      </c>
      <c r="O184" t="n">
        <v>0</v>
      </c>
      <c r="P184" t="n">
        <v>0</v>
      </c>
      <c r="Q184" t="n">
        <v>0</v>
      </c>
      <c r="R184" s="2" t="inlineStr"/>
    </row>
    <row r="185" ht="15" customHeight="1">
      <c r="A185" t="inlineStr">
        <is>
          <t>A 57101-2025</t>
        </is>
      </c>
      <c r="B185" s="1" t="n">
        <v>45979.44006944444</v>
      </c>
      <c r="C185" s="1" t="n">
        <v>46104</v>
      </c>
      <c r="D185" t="inlineStr">
        <is>
          <t>DALARNAS LÄN</t>
        </is>
      </c>
      <c r="E185" t="inlineStr">
        <is>
          <t>MORA</t>
        </is>
      </c>
      <c r="G185" t="n">
        <v>7.5</v>
      </c>
      <c r="H185" t="n">
        <v>0</v>
      </c>
      <c r="I185" t="n">
        <v>0</v>
      </c>
      <c r="J185" t="n">
        <v>0</v>
      </c>
      <c r="K185" t="n">
        <v>0</v>
      </c>
      <c r="L185" t="n">
        <v>0</v>
      </c>
      <c r="M185" t="n">
        <v>0</v>
      </c>
      <c r="N185" t="n">
        <v>0</v>
      </c>
      <c r="O185" t="n">
        <v>0</v>
      </c>
      <c r="P185" t="n">
        <v>0</v>
      </c>
      <c r="Q185" t="n">
        <v>0</v>
      </c>
      <c r="R185" s="2" t="inlineStr"/>
    </row>
    <row r="186" ht="15" customHeight="1">
      <c r="A186" t="inlineStr">
        <is>
          <t>A 23368-2025</t>
        </is>
      </c>
      <c r="B186" s="1" t="n">
        <v>45791.70299768518</v>
      </c>
      <c r="C186" s="1" t="n">
        <v>46104</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17494-2025</t>
        </is>
      </c>
      <c r="B187" s="1" t="n">
        <v>45757.52033564815</v>
      </c>
      <c r="C187" s="1" t="n">
        <v>46104</v>
      </c>
      <c r="D187" t="inlineStr">
        <is>
          <t>DALARNAS LÄN</t>
        </is>
      </c>
      <c r="E187" t="inlineStr">
        <is>
          <t>MORA</t>
        </is>
      </c>
      <c r="G187" t="n">
        <v>5.3</v>
      </c>
      <c r="H187" t="n">
        <v>0</v>
      </c>
      <c r="I187" t="n">
        <v>0</v>
      </c>
      <c r="J187" t="n">
        <v>0</v>
      </c>
      <c r="K187" t="n">
        <v>0</v>
      </c>
      <c r="L187" t="n">
        <v>0</v>
      </c>
      <c r="M187" t="n">
        <v>0</v>
      </c>
      <c r="N187" t="n">
        <v>0</v>
      </c>
      <c r="O187" t="n">
        <v>0</v>
      </c>
      <c r="P187" t="n">
        <v>0</v>
      </c>
      <c r="Q187" t="n">
        <v>0</v>
      </c>
      <c r="R187" s="2" t="inlineStr"/>
    </row>
    <row r="188" ht="15" customHeight="1">
      <c r="A188" t="inlineStr">
        <is>
          <t>A 56935-2024</t>
        </is>
      </c>
      <c r="B188" s="1" t="n">
        <v>45625</v>
      </c>
      <c r="C188" s="1" t="n">
        <v>46104</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56927-2024</t>
        </is>
      </c>
      <c r="B189" s="1" t="n">
        <v>45625</v>
      </c>
      <c r="C189" s="1" t="n">
        <v>46104</v>
      </c>
      <c r="D189" t="inlineStr">
        <is>
          <t>DALARNAS LÄN</t>
        </is>
      </c>
      <c r="E189" t="inlineStr">
        <is>
          <t>MORA</t>
        </is>
      </c>
      <c r="G189" t="n">
        <v>2.8</v>
      </c>
      <c r="H189" t="n">
        <v>0</v>
      </c>
      <c r="I189" t="n">
        <v>0</v>
      </c>
      <c r="J189" t="n">
        <v>0</v>
      </c>
      <c r="K189" t="n">
        <v>0</v>
      </c>
      <c r="L189" t="n">
        <v>0</v>
      </c>
      <c r="M189" t="n">
        <v>0</v>
      </c>
      <c r="N189" t="n">
        <v>0</v>
      </c>
      <c r="O189" t="n">
        <v>0</v>
      </c>
      <c r="P189" t="n">
        <v>0</v>
      </c>
      <c r="Q189" t="n">
        <v>0</v>
      </c>
      <c r="R189" s="2" t="inlineStr"/>
    </row>
    <row r="190" ht="15" customHeight="1">
      <c r="A190" t="inlineStr">
        <is>
          <t>A 30998-2022</t>
        </is>
      </c>
      <c r="B190" s="1" t="n">
        <v>44768</v>
      </c>
      <c r="C190" s="1" t="n">
        <v>46104</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47143-2022</t>
        </is>
      </c>
      <c r="B191" s="1" t="n">
        <v>44852</v>
      </c>
      <c r="C191" s="1" t="n">
        <v>46104</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57659-2025</t>
        </is>
      </c>
      <c r="B192" s="1" t="n">
        <v>45981.41228009259</v>
      </c>
      <c r="C192" s="1" t="n">
        <v>46104</v>
      </c>
      <c r="D192" t="inlineStr">
        <is>
          <t>DALARNAS LÄN</t>
        </is>
      </c>
      <c r="E192" t="inlineStr">
        <is>
          <t>MORA</t>
        </is>
      </c>
      <c r="G192" t="n">
        <v>1.8</v>
      </c>
      <c r="H192" t="n">
        <v>0</v>
      </c>
      <c r="I192" t="n">
        <v>0</v>
      </c>
      <c r="J192" t="n">
        <v>0</v>
      </c>
      <c r="K192" t="n">
        <v>0</v>
      </c>
      <c r="L192" t="n">
        <v>0</v>
      </c>
      <c r="M192" t="n">
        <v>0</v>
      </c>
      <c r="N192" t="n">
        <v>0</v>
      </c>
      <c r="O192" t="n">
        <v>0</v>
      </c>
      <c r="P192" t="n">
        <v>0</v>
      </c>
      <c r="Q192" t="n">
        <v>0</v>
      </c>
      <c r="R192" s="2" t="inlineStr"/>
    </row>
    <row r="193" ht="15" customHeight="1">
      <c r="A193" t="inlineStr">
        <is>
          <t>A 57647-2025</t>
        </is>
      </c>
      <c r="B193" s="1" t="n">
        <v>45981.37621527778</v>
      </c>
      <c r="C193" s="1" t="n">
        <v>46104</v>
      </c>
      <c r="D193" t="inlineStr">
        <is>
          <t>DALARNAS LÄN</t>
        </is>
      </c>
      <c r="E193" t="inlineStr">
        <is>
          <t>MORA</t>
        </is>
      </c>
      <c r="G193" t="n">
        <v>3.9</v>
      </c>
      <c r="H193" t="n">
        <v>0</v>
      </c>
      <c r="I193" t="n">
        <v>0</v>
      </c>
      <c r="J193" t="n">
        <v>0</v>
      </c>
      <c r="K193" t="n">
        <v>0</v>
      </c>
      <c r="L193" t="n">
        <v>0</v>
      </c>
      <c r="M193" t="n">
        <v>0</v>
      </c>
      <c r="N193" t="n">
        <v>0</v>
      </c>
      <c r="O193" t="n">
        <v>0</v>
      </c>
      <c r="P193" t="n">
        <v>0</v>
      </c>
      <c r="Q193" t="n">
        <v>0</v>
      </c>
      <c r="R193" s="2" t="inlineStr"/>
    </row>
    <row r="194" ht="15" customHeight="1">
      <c r="A194" t="inlineStr">
        <is>
          <t>A 22185-2025</t>
        </is>
      </c>
      <c r="B194" s="1" t="n">
        <v>45785</v>
      </c>
      <c r="C194" s="1" t="n">
        <v>46104</v>
      </c>
      <c r="D194" t="inlineStr">
        <is>
          <t>DALARNAS LÄN</t>
        </is>
      </c>
      <c r="E194" t="inlineStr">
        <is>
          <t>MORA</t>
        </is>
      </c>
      <c r="G194" t="n">
        <v>2.4</v>
      </c>
      <c r="H194" t="n">
        <v>0</v>
      </c>
      <c r="I194" t="n">
        <v>0</v>
      </c>
      <c r="J194" t="n">
        <v>0</v>
      </c>
      <c r="K194" t="n">
        <v>0</v>
      </c>
      <c r="L194" t="n">
        <v>0</v>
      </c>
      <c r="M194" t="n">
        <v>0</v>
      </c>
      <c r="N194" t="n">
        <v>0</v>
      </c>
      <c r="O194" t="n">
        <v>0</v>
      </c>
      <c r="P194" t="n">
        <v>0</v>
      </c>
      <c r="Q194" t="n">
        <v>0</v>
      </c>
      <c r="R194" s="2" t="inlineStr"/>
    </row>
    <row r="195" ht="15" customHeight="1">
      <c r="A195" t="inlineStr">
        <is>
          <t>A 57843-2025</t>
        </is>
      </c>
      <c r="B195" s="1" t="n">
        <v>45981.62792824074</v>
      </c>
      <c r="C195" s="1" t="n">
        <v>46104</v>
      </c>
      <c r="D195" t="inlineStr">
        <is>
          <t>DALARNAS LÄN</t>
        </is>
      </c>
      <c r="E195" t="inlineStr">
        <is>
          <t>MORA</t>
        </is>
      </c>
      <c r="G195" t="n">
        <v>4.5</v>
      </c>
      <c r="H195" t="n">
        <v>0</v>
      </c>
      <c r="I195" t="n">
        <v>0</v>
      </c>
      <c r="J195" t="n">
        <v>0</v>
      </c>
      <c r="K195" t="n">
        <v>0</v>
      </c>
      <c r="L195" t="n">
        <v>0</v>
      </c>
      <c r="M195" t="n">
        <v>0</v>
      </c>
      <c r="N195" t="n">
        <v>0</v>
      </c>
      <c r="O195" t="n">
        <v>0</v>
      </c>
      <c r="P195" t="n">
        <v>0</v>
      </c>
      <c r="Q195" t="n">
        <v>0</v>
      </c>
      <c r="R195" s="2" t="inlineStr"/>
    </row>
    <row r="196" ht="15" customHeight="1">
      <c r="A196" t="inlineStr">
        <is>
          <t>A 57855-2025</t>
        </is>
      </c>
      <c r="B196" s="1" t="n">
        <v>45981.63909722222</v>
      </c>
      <c r="C196" s="1" t="n">
        <v>46104</v>
      </c>
      <c r="D196" t="inlineStr">
        <is>
          <t>DALARNAS LÄN</t>
        </is>
      </c>
      <c r="E196" t="inlineStr">
        <is>
          <t>MORA</t>
        </is>
      </c>
      <c r="G196" t="n">
        <v>9.9</v>
      </c>
      <c r="H196" t="n">
        <v>0</v>
      </c>
      <c r="I196" t="n">
        <v>0</v>
      </c>
      <c r="J196" t="n">
        <v>0</v>
      </c>
      <c r="K196" t="n">
        <v>0</v>
      </c>
      <c r="L196" t="n">
        <v>0</v>
      </c>
      <c r="M196" t="n">
        <v>0</v>
      </c>
      <c r="N196" t="n">
        <v>0</v>
      </c>
      <c r="O196" t="n">
        <v>0</v>
      </c>
      <c r="P196" t="n">
        <v>0</v>
      </c>
      <c r="Q196" t="n">
        <v>0</v>
      </c>
      <c r="R196" s="2" t="inlineStr"/>
    </row>
    <row r="197" ht="15" customHeight="1">
      <c r="A197" t="inlineStr">
        <is>
          <t>A 57453-2025</t>
        </is>
      </c>
      <c r="B197" s="1" t="n">
        <v>45980.5122337963</v>
      </c>
      <c r="C197" s="1" t="n">
        <v>46104</v>
      </c>
      <c r="D197" t="inlineStr">
        <is>
          <t>DALARNAS LÄN</t>
        </is>
      </c>
      <c r="E197" t="inlineStr">
        <is>
          <t>MORA</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50911-2024</t>
        </is>
      </c>
      <c r="B198" s="1" t="n">
        <v>45602.7022337963</v>
      </c>
      <c r="C198" s="1" t="n">
        <v>46104</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15440-2024</t>
        </is>
      </c>
      <c r="B199" s="1" t="n">
        <v>45401.4194212963</v>
      </c>
      <c r="C199" s="1" t="n">
        <v>46104</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58473-2025</t>
        </is>
      </c>
      <c r="B200" s="1" t="n">
        <v>45985.63859953704</v>
      </c>
      <c r="C200" s="1" t="n">
        <v>46104</v>
      </c>
      <c r="D200" t="inlineStr">
        <is>
          <t>DALARNAS LÄN</t>
        </is>
      </c>
      <c r="E200" t="inlineStr">
        <is>
          <t>MORA</t>
        </is>
      </c>
      <c r="G200" t="n">
        <v>2.3</v>
      </c>
      <c r="H200" t="n">
        <v>0</v>
      </c>
      <c r="I200" t="n">
        <v>0</v>
      </c>
      <c r="J200" t="n">
        <v>0</v>
      </c>
      <c r="K200" t="n">
        <v>0</v>
      </c>
      <c r="L200" t="n">
        <v>0</v>
      </c>
      <c r="M200" t="n">
        <v>0</v>
      </c>
      <c r="N200" t="n">
        <v>0</v>
      </c>
      <c r="O200" t="n">
        <v>0</v>
      </c>
      <c r="P200" t="n">
        <v>0</v>
      </c>
      <c r="Q200" t="n">
        <v>0</v>
      </c>
      <c r="R200" s="2" t="inlineStr"/>
    </row>
    <row r="201" ht="15" customHeight="1">
      <c r="A201" t="inlineStr">
        <is>
          <t>A 58001-2025</t>
        </is>
      </c>
      <c r="B201" s="1" t="n">
        <v>45982.43615740741</v>
      </c>
      <c r="C201" s="1" t="n">
        <v>46104</v>
      </c>
      <c r="D201" t="inlineStr">
        <is>
          <t>DALARNAS LÄN</t>
        </is>
      </c>
      <c r="E201" t="inlineStr">
        <is>
          <t>MORA</t>
        </is>
      </c>
      <c r="G201" t="n">
        <v>3.2</v>
      </c>
      <c r="H201" t="n">
        <v>0</v>
      </c>
      <c r="I201" t="n">
        <v>0</v>
      </c>
      <c r="J201" t="n">
        <v>0</v>
      </c>
      <c r="K201" t="n">
        <v>0</v>
      </c>
      <c r="L201" t="n">
        <v>0</v>
      </c>
      <c r="M201" t="n">
        <v>0</v>
      </c>
      <c r="N201" t="n">
        <v>0</v>
      </c>
      <c r="O201" t="n">
        <v>0</v>
      </c>
      <c r="P201" t="n">
        <v>0</v>
      </c>
      <c r="Q201" t="n">
        <v>0</v>
      </c>
      <c r="R201" s="2" t="inlineStr"/>
    </row>
    <row r="202" ht="15" customHeight="1">
      <c r="A202" t="inlineStr">
        <is>
          <t>A 57976-2025</t>
        </is>
      </c>
      <c r="B202" s="1" t="n">
        <v>45982.39435185185</v>
      </c>
      <c r="C202" s="1" t="n">
        <v>46104</v>
      </c>
      <c r="D202" t="inlineStr">
        <is>
          <t>DALARNAS LÄN</t>
        </is>
      </c>
      <c r="E202" t="inlineStr">
        <is>
          <t>MORA</t>
        </is>
      </c>
      <c r="G202" t="n">
        <v>7.4</v>
      </c>
      <c r="H202" t="n">
        <v>0</v>
      </c>
      <c r="I202" t="n">
        <v>0</v>
      </c>
      <c r="J202" t="n">
        <v>0</v>
      </c>
      <c r="K202" t="n">
        <v>0</v>
      </c>
      <c r="L202" t="n">
        <v>0</v>
      </c>
      <c r="M202" t="n">
        <v>0</v>
      </c>
      <c r="N202" t="n">
        <v>0</v>
      </c>
      <c r="O202" t="n">
        <v>0</v>
      </c>
      <c r="P202" t="n">
        <v>0</v>
      </c>
      <c r="Q202" t="n">
        <v>0</v>
      </c>
      <c r="R202" s="2" t="inlineStr"/>
    </row>
    <row r="203" ht="15" customHeight="1">
      <c r="A203" t="inlineStr">
        <is>
          <t>A 59404-2024</t>
        </is>
      </c>
      <c r="B203" s="1" t="n">
        <v>45638</v>
      </c>
      <c r="C203" s="1" t="n">
        <v>46104</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11193-2025</t>
        </is>
      </c>
      <c r="B204" s="1" t="n">
        <v>45725</v>
      </c>
      <c r="C204" s="1" t="n">
        <v>46104</v>
      </c>
      <c r="D204" t="inlineStr">
        <is>
          <t>DALARNAS LÄN</t>
        </is>
      </c>
      <c r="E204" t="inlineStr">
        <is>
          <t>MORA</t>
        </is>
      </c>
      <c r="G204" t="n">
        <v>4.1</v>
      </c>
      <c r="H204" t="n">
        <v>0</v>
      </c>
      <c r="I204" t="n">
        <v>0</v>
      </c>
      <c r="J204" t="n">
        <v>0</v>
      </c>
      <c r="K204" t="n">
        <v>0</v>
      </c>
      <c r="L204" t="n">
        <v>0</v>
      </c>
      <c r="M204" t="n">
        <v>0</v>
      </c>
      <c r="N204" t="n">
        <v>0</v>
      </c>
      <c r="O204" t="n">
        <v>0</v>
      </c>
      <c r="P204" t="n">
        <v>0</v>
      </c>
      <c r="Q204" t="n">
        <v>0</v>
      </c>
      <c r="R204" s="2" t="inlineStr"/>
    </row>
    <row r="205" ht="15" customHeight="1">
      <c r="A205" t="inlineStr">
        <is>
          <t>A 39456-2025</t>
        </is>
      </c>
      <c r="B205" s="1" t="n">
        <v>45889.76200231481</v>
      </c>
      <c r="C205" s="1" t="n">
        <v>46104</v>
      </c>
      <c r="D205" t="inlineStr">
        <is>
          <t>DALARNAS LÄN</t>
        </is>
      </c>
      <c r="E205" t="inlineStr">
        <is>
          <t>MORA</t>
        </is>
      </c>
      <c r="F205" t="inlineStr">
        <is>
          <t>Bergvik skog öst AB</t>
        </is>
      </c>
      <c r="G205" t="n">
        <v>16.7</v>
      </c>
      <c r="H205" t="n">
        <v>0</v>
      </c>
      <c r="I205" t="n">
        <v>0</v>
      </c>
      <c r="J205" t="n">
        <v>0</v>
      </c>
      <c r="K205" t="n">
        <v>0</v>
      </c>
      <c r="L205" t="n">
        <v>0</v>
      </c>
      <c r="M205" t="n">
        <v>0</v>
      </c>
      <c r="N205" t="n">
        <v>0</v>
      </c>
      <c r="O205" t="n">
        <v>0</v>
      </c>
      <c r="P205" t="n">
        <v>0</v>
      </c>
      <c r="Q205" t="n">
        <v>0</v>
      </c>
      <c r="R205" s="2" t="inlineStr"/>
    </row>
    <row r="206" ht="15" customHeight="1">
      <c r="A206" t="inlineStr">
        <is>
          <t>A 39824-2025</t>
        </is>
      </c>
      <c r="B206" s="1" t="n">
        <v>45891</v>
      </c>
      <c r="C206" s="1" t="n">
        <v>46104</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39787-2025</t>
        </is>
      </c>
      <c r="B207" s="1" t="n">
        <v>45891</v>
      </c>
      <c r="C207" s="1" t="n">
        <v>46104</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57475-2022</t>
        </is>
      </c>
      <c r="B208" s="1" t="n">
        <v>44896</v>
      </c>
      <c r="C208" s="1" t="n">
        <v>46104</v>
      </c>
      <c r="D208" t="inlineStr">
        <is>
          <t>DALARNAS LÄN</t>
        </is>
      </c>
      <c r="E208" t="inlineStr">
        <is>
          <t>MORA</t>
        </is>
      </c>
      <c r="G208" t="n">
        <v>5.7</v>
      </c>
      <c r="H208" t="n">
        <v>0</v>
      </c>
      <c r="I208" t="n">
        <v>0</v>
      </c>
      <c r="J208" t="n">
        <v>0</v>
      </c>
      <c r="K208" t="n">
        <v>0</v>
      </c>
      <c r="L208" t="n">
        <v>0</v>
      </c>
      <c r="M208" t="n">
        <v>0</v>
      </c>
      <c r="N208" t="n">
        <v>0</v>
      </c>
      <c r="O208" t="n">
        <v>0</v>
      </c>
      <c r="P208" t="n">
        <v>0</v>
      </c>
      <c r="Q208" t="n">
        <v>0</v>
      </c>
      <c r="R208" s="2" t="inlineStr"/>
    </row>
    <row r="209" ht="15" customHeight="1">
      <c r="A209" t="inlineStr">
        <is>
          <t>A 56900-2024</t>
        </is>
      </c>
      <c r="B209" s="1" t="n">
        <v>45625</v>
      </c>
      <c r="C209" s="1" t="n">
        <v>46104</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46104</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35363-2024</t>
        </is>
      </c>
      <c r="B211" s="1" t="n">
        <v>45531.34050925926</v>
      </c>
      <c r="C211" s="1" t="n">
        <v>46104</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54548-2025</t>
        </is>
      </c>
      <c r="B212" s="1" t="n">
        <v>45965.6534837963</v>
      </c>
      <c r="C212" s="1" t="n">
        <v>46104</v>
      </c>
      <c r="D212" t="inlineStr">
        <is>
          <t>DALARNAS LÄN</t>
        </is>
      </c>
      <c r="E212" t="inlineStr">
        <is>
          <t>MORA</t>
        </is>
      </c>
      <c r="G212" t="n">
        <v>2.3</v>
      </c>
      <c r="H212" t="n">
        <v>0</v>
      </c>
      <c r="I212" t="n">
        <v>0</v>
      </c>
      <c r="J212" t="n">
        <v>0</v>
      </c>
      <c r="K212" t="n">
        <v>0</v>
      </c>
      <c r="L212" t="n">
        <v>0</v>
      </c>
      <c r="M212" t="n">
        <v>0</v>
      </c>
      <c r="N212" t="n">
        <v>0</v>
      </c>
      <c r="O212" t="n">
        <v>0</v>
      </c>
      <c r="P212" t="n">
        <v>0</v>
      </c>
      <c r="Q212" t="n">
        <v>0</v>
      </c>
      <c r="R212" s="2" t="inlineStr"/>
    </row>
    <row r="213" ht="15" customHeight="1">
      <c r="A213" t="inlineStr">
        <is>
          <t>A 44307-2021</t>
        </is>
      </c>
      <c r="B213" s="1" t="n">
        <v>44435</v>
      </c>
      <c r="C213" s="1" t="n">
        <v>46104</v>
      </c>
      <c r="D213" t="inlineStr">
        <is>
          <t>DALARNAS LÄN</t>
        </is>
      </c>
      <c r="E213" t="inlineStr">
        <is>
          <t>MORA</t>
        </is>
      </c>
      <c r="G213" t="n">
        <v>1.2</v>
      </c>
      <c r="H213" t="n">
        <v>0</v>
      </c>
      <c r="I213" t="n">
        <v>0</v>
      </c>
      <c r="J213" t="n">
        <v>0</v>
      </c>
      <c r="K213" t="n">
        <v>0</v>
      </c>
      <c r="L213" t="n">
        <v>0</v>
      </c>
      <c r="M213" t="n">
        <v>0</v>
      </c>
      <c r="N213" t="n">
        <v>0</v>
      </c>
      <c r="O213" t="n">
        <v>0</v>
      </c>
      <c r="P213" t="n">
        <v>0</v>
      </c>
      <c r="Q213" t="n">
        <v>0</v>
      </c>
      <c r="R213" s="2" t="inlineStr"/>
    </row>
    <row r="214" ht="15" customHeight="1">
      <c r="A214" t="inlineStr">
        <is>
          <t>A 55135-2025</t>
        </is>
      </c>
      <c r="B214" s="1" t="n">
        <v>45968.42591435185</v>
      </c>
      <c r="C214" s="1" t="n">
        <v>46104</v>
      </c>
      <c r="D214" t="inlineStr">
        <is>
          <t>DALARNAS LÄN</t>
        </is>
      </c>
      <c r="E214" t="inlineStr">
        <is>
          <t>MORA</t>
        </is>
      </c>
      <c r="G214" t="n">
        <v>5.1</v>
      </c>
      <c r="H214" t="n">
        <v>0</v>
      </c>
      <c r="I214" t="n">
        <v>0</v>
      </c>
      <c r="J214" t="n">
        <v>0</v>
      </c>
      <c r="K214" t="n">
        <v>0</v>
      </c>
      <c r="L214" t="n">
        <v>0</v>
      </c>
      <c r="M214" t="n">
        <v>0</v>
      </c>
      <c r="N214" t="n">
        <v>0</v>
      </c>
      <c r="O214" t="n">
        <v>0</v>
      </c>
      <c r="P214" t="n">
        <v>0</v>
      </c>
      <c r="Q214" t="n">
        <v>0</v>
      </c>
      <c r="R214" s="2" t="inlineStr"/>
    </row>
    <row r="215" ht="15" customHeight="1">
      <c r="A215" t="inlineStr">
        <is>
          <t>A 23354-2022</t>
        </is>
      </c>
      <c r="B215" s="1" t="n">
        <v>44720</v>
      </c>
      <c r="C215" s="1" t="n">
        <v>46104</v>
      </c>
      <c r="D215" t="inlineStr">
        <is>
          <t>DALARNAS LÄN</t>
        </is>
      </c>
      <c r="E215" t="inlineStr">
        <is>
          <t>MORA</t>
        </is>
      </c>
      <c r="G215" t="n">
        <v>5.2</v>
      </c>
      <c r="H215" t="n">
        <v>0</v>
      </c>
      <c r="I215" t="n">
        <v>0</v>
      </c>
      <c r="J215" t="n">
        <v>0</v>
      </c>
      <c r="K215" t="n">
        <v>0</v>
      </c>
      <c r="L215" t="n">
        <v>0</v>
      </c>
      <c r="M215" t="n">
        <v>0</v>
      </c>
      <c r="N215" t="n">
        <v>0</v>
      </c>
      <c r="O215" t="n">
        <v>0</v>
      </c>
      <c r="P215" t="n">
        <v>0</v>
      </c>
      <c r="Q215" t="n">
        <v>0</v>
      </c>
      <c r="R215" s="2" t="inlineStr"/>
    </row>
    <row r="216" ht="15" customHeight="1">
      <c r="A216" t="inlineStr">
        <is>
          <t>A 25737-2025</t>
        </is>
      </c>
      <c r="B216" s="1" t="n">
        <v>45800</v>
      </c>
      <c r="C216" s="1" t="n">
        <v>46104</v>
      </c>
      <c r="D216" t="inlineStr">
        <is>
          <t>DALARNAS LÄN</t>
        </is>
      </c>
      <c r="E216" t="inlineStr">
        <is>
          <t>MORA</t>
        </is>
      </c>
      <c r="G216" t="n">
        <v>9.6</v>
      </c>
      <c r="H216" t="n">
        <v>0</v>
      </c>
      <c r="I216" t="n">
        <v>0</v>
      </c>
      <c r="J216" t="n">
        <v>0</v>
      </c>
      <c r="K216" t="n">
        <v>0</v>
      </c>
      <c r="L216" t="n">
        <v>0</v>
      </c>
      <c r="M216" t="n">
        <v>0</v>
      </c>
      <c r="N216" t="n">
        <v>0</v>
      </c>
      <c r="O216" t="n">
        <v>0</v>
      </c>
      <c r="P216" t="n">
        <v>0</v>
      </c>
      <c r="Q216" t="n">
        <v>0</v>
      </c>
      <c r="R216" s="2" t="inlineStr"/>
    </row>
    <row r="217" ht="15" customHeight="1">
      <c r="A217" t="inlineStr">
        <is>
          <t>A 34923-2022</t>
        </is>
      </c>
      <c r="B217" s="1" t="n">
        <v>44796</v>
      </c>
      <c r="C217" s="1" t="n">
        <v>46104</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40140-2025</t>
        </is>
      </c>
      <c r="B218" s="1" t="n">
        <v>45894.57016203704</v>
      </c>
      <c r="C218" s="1" t="n">
        <v>46104</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40142-2025</t>
        </is>
      </c>
      <c r="B219" s="1" t="n">
        <v>45894.57202546296</v>
      </c>
      <c r="C219" s="1" t="n">
        <v>46104</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40147-2025</t>
        </is>
      </c>
      <c r="B220" s="1" t="n">
        <v>45894.57918981482</v>
      </c>
      <c r="C220" s="1" t="n">
        <v>46104</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59094-2025</t>
        </is>
      </c>
      <c r="B221" s="1" t="n">
        <v>45988.45105324074</v>
      </c>
      <c r="C221" s="1" t="n">
        <v>46104</v>
      </c>
      <c r="D221" t="inlineStr">
        <is>
          <t>DALARNAS LÄN</t>
        </is>
      </c>
      <c r="E221" t="inlineStr">
        <is>
          <t>MORA</t>
        </is>
      </c>
      <c r="G221" t="n">
        <v>10</v>
      </c>
      <c r="H221" t="n">
        <v>0</v>
      </c>
      <c r="I221" t="n">
        <v>0</v>
      </c>
      <c r="J221" t="n">
        <v>0</v>
      </c>
      <c r="K221" t="n">
        <v>0</v>
      </c>
      <c r="L221" t="n">
        <v>0</v>
      </c>
      <c r="M221" t="n">
        <v>0</v>
      </c>
      <c r="N221" t="n">
        <v>0</v>
      </c>
      <c r="O221" t="n">
        <v>0</v>
      </c>
      <c r="P221" t="n">
        <v>0</v>
      </c>
      <c r="Q221" t="n">
        <v>0</v>
      </c>
      <c r="R221" s="2" t="inlineStr"/>
    </row>
    <row r="222" ht="15" customHeight="1">
      <c r="A222" t="inlineStr">
        <is>
          <t>A 5922-2025</t>
        </is>
      </c>
      <c r="B222" s="1" t="n">
        <v>45695.42762731481</v>
      </c>
      <c r="C222" s="1" t="n">
        <v>46104</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40660-2025</t>
        </is>
      </c>
      <c r="B223" s="1" t="n">
        <v>45896.64631944444</v>
      </c>
      <c r="C223" s="1" t="n">
        <v>46104</v>
      </c>
      <c r="D223" t="inlineStr">
        <is>
          <t>DALARNAS LÄN</t>
        </is>
      </c>
      <c r="E223" t="inlineStr">
        <is>
          <t>MORA</t>
        </is>
      </c>
      <c r="F223" t="inlineStr">
        <is>
          <t>Bergvik skog väst AB</t>
        </is>
      </c>
      <c r="G223" t="n">
        <v>5.4</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46104</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40661-2025</t>
        </is>
      </c>
      <c r="B225" s="1" t="n">
        <v>45896.64715277778</v>
      </c>
      <c r="C225" s="1" t="n">
        <v>46104</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59805-2025</t>
        </is>
      </c>
      <c r="B226" s="1" t="n">
        <v>45992.62635416666</v>
      </c>
      <c r="C226" s="1" t="n">
        <v>46104</v>
      </c>
      <c r="D226" t="inlineStr">
        <is>
          <t>DALARNAS LÄN</t>
        </is>
      </c>
      <c r="E226" t="inlineStr">
        <is>
          <t>MORA</t>
        </is>
      </c>
      <c r="G226" t="n">
        <v>4.2</v>
      </c>
      <c r="H226" t="n">
        <v>0</v>
      </c>
      <c r="I226" t="n">
        <v>0</v>
      </c>
      <c r="J226" t="n">
        <v>0</v>
      </c>
      <c r="K226" t="n">
        <v>0</v>
      </c>
      <c r="L226" t="n">
        <v>0</v>
      </c>
      <c r="M226" t="n">
        <v>0</v>
      </c>
      <c r="N226" t="n">
        <v>0</v>
      </c>
      <c r="O226" t="n">
        <v>0</v>
      </c>
      <c r="P226" t="n">
        <v>0</v>
      </c>
      <c r="Q226" t="n">
        <v>0</v>
      </c>
      <c r="R226" s="2" t="inlineStr"/>
    </row>
    <row r="227" ht="15" customHeight="1">
      <c r="A227" t="inlineStr">
        <is>
          <t>A 43533-2023</t>
        </is>
      </c>
      <c r="B227" s="1" t="n">
        <v>45184.53412037037</v>
      </c>
      <c r="C227" s="1" t="n">
        <v>46104</v>
      </c>
      <c r="D227" t="inlineStr">
        <is>
          <t>DALARNAS LÄN</t>
        </is>
      </c>
      <c r="E227" t="inlineStr">
        <is>
          <t>MORA</t>
        </is>
      </c>
      <c r="F227" t="inlineStr">
        <is>
          <t>Bergvik skog väst AB</t>
        </is>
      </c>
      <c r="G227" t="n">
        <v>10.3</v>
      </c>
      <c r="H227" t="n">
        <v>0</v>
      </c>
      <c r="I227" t="n">
        <v>0</v>
      </c>
      <c r="J227" t="n">
        <v>0</v>
      </c>
      <c r="K227" t="n">
        <v>0</v>
      </c>
      <c r="L227" t="n">
        <v>0</v>
      </c>
      <c r="M227" t="n">
        <v>0</v>
      </c>
      <c r="N227" t="n">
        <v>0</v>
      </c>
      <c r="O227" t="n">
        <v>0</v>
      </c>
      <c r="P227" t="n">
        <v>0</v>
      </c>
      <c r="Q227" t="n">
        <v>0</v>
      </c>
      <c r="R227" s="2" t="inlineStr"/>
    </row>
    <row r="228" ht="15" customHeight="1">
      <c r="A228" t="inlineStr">
        <is>
          <t>A 37774-2022</t>
        </is>
      </c>
      <c r="B228" s="1" t="n">
        <v>44810.64164351852</v>
      </c>
      <c r="C228" s="1" t="n">
        <v>46104</v>
      </c>
      <c r="D228" t="inlineStr">
        <is>
          <t>DALARNAS LÄN</t>
        </is>
      </c>
      <c r="E228" t="inlineStr">
        <is>
          <t>MORA</t>
        </is>
      </c>
      <c r="F228" t="inlineStr">
        <is>
          <t>Bergvik skog väst AB</t>
        </is>
      </c>
      <c r="G228" t="n">
        <v>8.5</v>
      </c>
      <c r="H228" t="n">
        <v>0</v>
      </c>
      <c r="I228" t="n">
        <v>0</v>
      </c>
      <c r="J228" t="n">
        <v>0</v>
      </c>
      <c r="K228" t="n">
        <v>0</v>
      </c>
      <c r="L228" t="n">
        <v>0</v>
      </c>
      <c r="M228" t="n">
        <v>0</v>
      </c>
      <c r="N228" t="n">
        <v>0</v>
      </c>
      <c r="O228" t="n">
        <v>0</v>
      </c>
      <c r="P228" t="n">
        <v>0</v>
      </c>
      <c r="Q228" t="n">
        <v>0</v>
      </c>
      <c r="R228" s="2" t="inlineStr"/>
    </row>
    <row r="229" ht="15" customHeight="1">
      <c r="A229" t="inlineStr">
        <is>
          <t>A 25345-2025</t>
        </is>
      </c>
      <c r="B229" s="1" t="n">
        <v>45799</v>
      </c>
      <c r="C229" s="1" t="n">
        <v>46104</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54192-2023</t>
        </is>
      </c>
      <c r="B230" s="1" t="n">
        <v>45232.53052083333</v>
      </c>
      <c r="C230" s="1" t="n">
        <v>46104</v>
      </c>
      <c r="D230" t="inlineStr">
        <is>
          <t>DALARNAS LÄN</t>
        </is>
      </c>
      <c r="E230" t="inlineStr">
        <is>
          <t>MORA</t>
        </is>
      </c>
      <c r="G230" t="n">
        <v>3.4</v>
      </c>
      <c r="H230" t="n">
        <v>0</v>
      </c>
      <c r="I230" t="n">
        <v>0</v>
      </c>
      <c r="J230" t="n">
        <v>0</v>
      </c>
      <c r="K230" t="n">
        <v>0</v>
      </c>
      <c r="L230" t="n">
        <v>0</v>
      </c>
      <c r="M230" t="n">
        <v>0</v>
      </c>
      <c r="N230" t="n">
        <v>0</v>
      </c>
      <c r="O230" t="n">
        <v>0</v>
      </c>
      <c r="P230" t="n">
        <v>0</v>
      </c>
      <c r="Q230" t="n">
        <v>0</v>
      </c>
      <c r="R230" s="2" t="inlineStr"/>
    </row>
    <row r="231" ht="15" customHeight="1">
      <c r="A231" t="inlineStr">
        <is>
          <t>A 5309-2023</t>
        </is>
      </c>
      <c r="B231" s="1" t="n">
        <v>44956</v>
      </c>
      <c r="C231" s="1" t="n">
        <v>46104</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41200-2025</t>
        </is>
      </c>
      <c r="B232" s="1" t="n">
        <v>45898.5738425926</v>
      </c>
      <c r="C232" s="1" t="n">
        <v>46104</v>
      </c>
      <c r="D232" t="inlineStr">
        <is>
          <t>DALARNAS LÄN</t>
        </is>
      </c>
      <c r="E232" t="inlineStr">
        <is>
          <t>MORA</t>
        </is>
      </c>
      <c r="G232" t="n">
        <v>8.9</v>
      </c>
      <c r="H232" t="n">
        <v>0</v>
      </c>
      <c r="I232" t="n">
        <v>0</v>
      </c>
      <c r="J232" t="n">
        <v>0</v>
      </c>
      <c r="K232" t="n">
        <v>0</v>
      </c>
      <c r="L232" t="n">
        <v>0</v>
      </c>
      <c r="M232" t="n">
        <v>0</v>
      </c>
      <c r="N232" t="n">
        <v>0</v>
      </c>
      <c r="O232" t="n">
        <v>0</v>
      </c>
      <c r="P232" t="n">
        <v>0</v>
      </c>
      <c r="Q232" t="n">
        <v>0</v>
      </c>
      <c r="R232" s="2" t="inlineStr"/>
    </row>
    <row r="233" ht="15" customHeight="1">
      <c r="A233" t="inlineStr">
        <is>
          <t>A 23229-2025</t>
        </is>
      </c>
      <c r="B233" s="1" t="n">
        <v>45791</v>
      </c>
      <c r="C233" s="1" t="n">
        <v>46104</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64327-2023</t>
        </is>
      </c>
      <c r="B234" s="1" t="n">
        <v>45280</v>
      </c>
      <c r="C234" s="1" t="n">
        <v>46104</v>
      </c>
      <c r="D234" t="inlineStr">
        <is>
          <t>DALARNAS LÄN</t>
        </is>
      </c>
      <c r="E234" t="inlineStr">
        <is>
          <t>MORA</t>
        </is>
      </c>
      <c r="G234" t="n">
        <v>0.8</v>
      </c>
      <c r="H234" t="n">
        <v>0</v>
      </c>
      <c r="I234" t="n">
        <v>0</v>
      </c>
      <c r="J234" t="n">
        <v>0</v>
      </c>
      <c r="K234" t="n">
        <v>0</v>
      </c>
      <c r="L234" t="n">
        <v>0</v>
      </c>
      <c r="M234" t="n">
        <v>0</v>
      </c>
      <c r="N234" t="n">
        <v>0</v>
      </c>
      <c r="O234" t="n">
        <v>0</v>
      </c>
      <c r="P234" t="n">
        <v>0</v>
      </c>
      <c r="Q234" t="n">
        <v>0</v>
      </c>
      <c r="R234" s="2" t="inlineStr"/>
    </row>
    <row r="235" ht="15" customHeight="1">
      <c r="A235" t="inlineStr">
        <is>
          <t>A 17145-2024</t>
        </is>
      </c>
      <c r="B235" s="1" t="n">
        <v>45412</v>
      </c>
      <c r="C235" s="1" t="n">
        <v>46104</v>
      </c>
      <c r="D235" t="inlineStr">
        <is>
          <t>DALARNAS LÄN</t>
        </is>
      </c>
      <c r="E235" t="inlineStr">
        <is>
          <t>MORA</t>
        </is>
      </c>
      <c r="G235" t="n">
        <v>1.4</v>
      </c>
      <c r="H235" t="n">
        <v>0</v>
      </c>
      <c r="I235" t="n">
        <v>0</v>
      </c>
      <c r="J235" t="n">
        <v>0</v>
      </c>
      <c r="K235" t="n">
        <v>0</v>
      </c>
      <c r="L235" t="n">
        <v>0</v>
      </c>
      <c r="M235" t="n">
        <v>0</v>
      </c>
      <c r="N235" t="n">
        <v>0</v>
      </c>
      <c r="O235" t="n">
        <v>0</v>
      </c>
      <c r="P235" t="n">
        <v>0</v>
      </c>
      <c r="Q235" t="n">
        <v>0</v>
      </c>
      <c r="R235" s="2" t="inlineStr"/>
    </row>
    <row r="236" ht="15" customHeight="1">
      <c r="A236" t="inlineStr">
        <is>
          <t>A 41175-2025</t>
        </is>
      </c>
      <c r="B236" s="1" t="n">
        <v>45898.55165509259</v>
      </c>
      <c r="C236" s="1" t="n">
        <v>46104</v>
      </c>
      <c r="D236" t="inlineStr">
        <is>
          <t>DALARNAS LÄN</t>
        </is>
      </c>
      <c r="E236" t="inlineStr">
        <is>
          <t>MORA</t>
        </is>
      </c>
      <c r="G236" t="n">
        <v>4.5</v>
      </c>
      <c r="H236" t="n">
        <v>0</v>
      </c>
      <c r="I236" t="n">
        <v>0</v>
      </c>
      <c r="J236" t="n">
        <v>0</v>
      </c>
      <c r="K236" t="n">
        <v>0</v>
      </c>
      <c r="L236" t="n">
        <v>0</v>
      </c>
      <c r="M236" t="n">
        <v>0</v>
      </c>
      <c r="N236" t="n">
        <v>0</v>
      </c>
      <c r="O236" t="n">
        <v>0</v>
      </c>
      <c r="P236" t="n">
        <v>0</v>
      </c>
      <c r="Q236" t="n">
        <v>0</v>
      </c>
      <c r="R236" s="2" t="inlineStr"/>
    </row>
    <row r="237" ht="15" customHeight="1">
      <c r="A237" t="inlineStr">
        <is>
          <t>A 59768-2025</t>
        </is>
      </c>
      <c r="B237" s="1" t="n">
        <v>45992</v>
      </c>
      <c r="C237" s="1" t="n">
        <v>46104</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59669-2025</t>
        </is>
      </c>
      <c r="B238" s="1" t="n">
        <v>45992.45640046296</v>
      </c>
      <c r="C238" s="1" t="n">
        <v>46104</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48728-2022</t>
        </is>
      </c>
      <c r="B239" s="1" t="n">
        <v>44859.52145833334</v>
      </c>
      <c r="C239" s="1" t="n">
        <v>46104</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46104</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46104</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24620-2025</t>
        </is>
      </c>
      <c r="B242" s="1" t="n">
        <v>45798.59290509259</v>
      </c>
      <c r="C242" s="1" t="n">
        <v>46104</v>
      </c>
      <c r="D242" t="inlineStr">
        <is>
          <t>DALARNAS LÄN</t>
        </is>
      </c>
      <c r="E242" t="inlineStr">
        <is>
          <t>MORA</t>
        </is>
      </c>
      <c r="F242" t="inlineStr">
        <is>
          <t>Bergvik skog väst AB</t>
        </is>
      </c>
      <c r="G242" t="n">
        <v>4.9</v>
      </c>
      <c r="H242" t="n">
        <v>0</v>
      </c>
      <c r="I242" t="n">
        <v>0</v>
      </c>
      <c r="J242" t="n">
        <v>0</v>
      </c>
      <c r="K242" t="n">
        <v>0</v>
      </c>
      <c r="L242" t="n">
        <v>0</v>
      </c>
      <c r="M242" t="n">
        <v>0</v>
      </c>
      <c r="N242" t="n">
        <v>0</v>
      </c>
      <c r="O242" t="n">
        <v>0</v>
      </c>
      <c r="P242" t="n">
        <v>0</v>
      </c>
      <c r="Q242" t="n">
        <v>0</v>
      </c>
      <c r="R242" s="2" t="inlineStr"/>
    </row>
    <row r="243" ht="15" customHeight="1">
      <c r="A243" t="inlineStr">
        <is>
          <t>A 32410-2024</t>
        </is>
      </c>
      <c r="B243" s="1" t="n">
        <v>45512.70077546296</v>
      </c>
      <c r="C243" s="1" t="n">
        <v>46104</v>
      </c>
      <c r="D243" t="inlineStr">
        <is>
          <t>DALARNAS LÄN</t>
        </is>
      </c>
      <c r="E243" t="inlineStr">
        <is>
          <t>MORA</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24653-2025</t>
        </is>
      </c>
      <c r="B244" s="1" t="n">
        <v>45798.63875</v>
      </c>
      <c r="C244" s="1" t="n">
        <v>46104</v>
      </c>
      <c r="D244" t="inlineStr">
        <is>
          <t>DALARNAS LÄN</t>
        </is>
      </c>
      <c r="E244" t="inlineStr">
        <is>
          <t>MORA</t>
        </is>
      </c>
      <c r="F244" t="inlineStr">
        <is>
          <t>Bergvik skog väst AB</t>
        </is>
      </c>
      <c r="G244" t="n">
        <v>4.9</v>
      </c>
      <c r="H244" t="n">
        <v>0</v>
      </c>
      <c r="I244" t="n">
        <v>0</v>
      </c>
      <c r="J244" t="n">
        <v>0</v>
      </c>
      <c r="K244" t="n">
        <v>0</v>
      </c>
      <c r="L244" t="n">
        <v>0</v>
      </c>
      <c r="M244" t="n">
        <v>0</v>
      </c>
      <c r="N244" t="n">
        <v>0</v>
      </c>
      <c r="O244" t="n">
        <v>0</v>
      </c>
      <c r="P244" t="n">
        <v>0</v>
      </c>
      <c r="Q244" t="n">
        <v>0</v>
      </c>
      <c r="R244" s="2" t="inlineStr"/>
    </row>
    <row r="245" ht="15" customHeight="1">
      <c r="A245" t="inlineStr">
        <is>
          <t>A 41783-2025</t>
        </is>
      </c>
      <c r="B245" s="1" t="n">
        <v>45902.58721064815</v>
      </c>
      <c r="C245" s="1" t="n">
        <v>46104</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48522-2024</t>
        </is>
      </c>
      <c r="B246" s="1" t="n">
        <v>45593.32924768519</v>
      </c>
      <c r="C246" s="1" t="n">
        <v>46104</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48342-2023</t>
        </is>
      </c>
      <c r="B247" s="1" t="n">
        <v>45205</v>
      </c>
      <c r="C247" s="1" t="n">
        <v>46104</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60957-2025</t>
        </is>
      </c>
      <c r="B248" s="1" t="n">
        <v>45999.65799768519</v>
      </c>
      <c r="C248" s="1" t="n">
        <v>46104</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4994-2025</t>
        </is>
      </c>
      <c r="B249" s="1" t="n">
        <v>45691.35427083333</v>
      </c>
      <c r="C249" s="1" t="n">
        <v>46104</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55691-2023</t>
        </is>
      </c>
      <c r="B250" s="1" t="n">
        <v>45239.36509259259</v>
      </c>
      <c r="C250" s="1" t="n">
        <v>46104</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63958-2023</t>
        </is>
      </c>
      <c r="B251" s="1" t="n">
        <v>45278</v>
      </c>
      <c r="C251" s="1" t="n">
        <v>46104</v>
      </c>
      <c r="D251" t="inlineStr">
        <is>
          <t>DALARNAS LÄN</t>
        </is>
      </c>
      <c r="E251" t="inlineStr">
        <is>
          <t>MORA</t>
        </is>
      </c>
      <c r="G251" t="n">
        <v>1.9</v>
      </c>
      <c r="H251" t="n">
        <v>0</v>
      </c>
      <c r="I251" t="n">
        <v>0</v>
      </c>
      <c r="J251" t="n">
        <v>0</v>
      </c>
      <c r="K251" t="n">
        <v>0</v>
      </c>
      <c r="L251" t="n">
        <v>0</v>
      </c>
      <c r="M251" t="n">
        <v>0</v>
      </c>
      <c r="N251" t="n">
        <v>0</v>
      </c>
      <c r="O251" t="n">
        <v>0</v>
      </c>
      <c r="P251" t="n">
        <v>0</v>
      </c>
      <c r="Q251" t="n">
        <v>0</v>
      </c>
      <c r="R251" s="2" t="inlineStr"/>
    </row>
    <row r="252" ht="15" customHeight="1">
      <c r="A252" t="inlineStr">
        <is>
          <t>A 15993-2025</t>
        </is>
      </c>
      <c r="B252" s="1" t="n">
        <v>45749.58428240741</v>
      </c>
      <c r="C252" s="1" t="n">
        <v>46104</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25494-2024</t>
        </is>
      </c>
      <c r="B253" s="1" t="n">
        <v>45463</v>
      </c>
      <c r="C253" s="1" t="n">
        <v>46104</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51253-2023</t>
        </is>
      </c>
      <c r="B254" s="1" t="n">
        <v>45219</v>
      </c>
      <c r="C254" s="1" t="n">
        <v>46104</v>
      </c>
      <c r="D254" t="inlineStr">
        <is>
          <t>DALARNAS LÄN</t>
        </is>
      </c>
      <c r="E254" t="inlineStr">
        <is>
          <t>MORA</t>
        </is>
      </c>
      <c r="G254" t="n">
        <v>5</v>
      </c>
      <c r="H254" t="n">
        <v>0</v>
      </c>
      <c r="I254" t="n">
        <v>0</v>
      </c>
      <c r="J254" t="n">
        <v>0</v>
      </c>
      <c r="K254" t="n">
        <v>0</v>
      </c>
      <c r="L254" t="n">
        <v>0</v>
      </c>
      <c r="M254" t="n">
        <v>0</v>
      </c>
      <c r="N254" t="n">
        <v>0</v>
      </c>
      <c r="O254" t="n">
        <v>0</v>
      </c>
      <c r="P254" t="n">
        <v>0</v>
      </c>
      <c r="Q254" t="n">
        <v>0</v>
      </c>
      <c r="R254" s="2" t="inlineStr"/>
    </row>
    <row r="255" ht="15" customHeight="1">
      <c r="A255" t="inlineStr">
        <is>
          <t>A 57110-2021</t>
        </is>
      </c>
      <c r="B255" s="1" t="n">
        <v>44482</v>
      </c>
      <c r="C255" s="1" t="n">
        <v>46104</v>
      </c>
      <c r="D255" t="inlineStr">
        <is>
          <t>DALARNAS LÄN</t>
        </is>
      </c>
      <c r="E255" t="inlineStr">
        <is>
          <t>MORA</t>
        </is>
      </c>
      <c r="G255" t="n">
        <v>5.4</v>
      </c>
      <c r="H255" t="n">
        <v>0</v>
      </c>
      <c r="I255" t="n">
        <v>0</v>
      </c>
      <c r="J255" t="n">
        <v>0</v>
      </c>
      <c r="K255" t="n">
        <v>0</v>
      </c>
      <c r="L255" t="n">
        <v>0</v>
      </c>
      <c r="M255" t="n">
        <v>0</v>
      </c>
      <c r="N255" t="n">
        <v>0</v>
      </c>
      <c r="O255" t="n">
        <v>0</v>
      </c>
      <c r="P255" t="n">
        <v>0</v>
      </c>
      <c r="Q255" t="n">
        <v>0</v>
      </c>
      <c r="R255" s="2" t="inlineStr"/>
    </row>
    <row r="256" ht="15" customHeight="1">
      <c r="A256" t="inlineStr">
        <is>
          <t>A 11857-2023</t>
        </is>
      </c>
      <c r="B256" s="1" t="n">
        <v>44995</v>
      </c>
      <c r="C256" s="1" t="n">
        <v>46104</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41855-2025</t>
        </is>
      </c>
      <c r="B257" s="1" t="n">
        <v>45902.93693287037</v>
      </c>
      <c r="C257" s="1" t="n">
        <v>46104</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42319-2025</t>
        </is>
      </c>
      <c r="B258" s="1" t="n">
        <v>45903</v>
      </c>
      <c r="C258" s="1" t="n">
        <v>46104</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62854-2023</t>
        </is>
      </c>
      <c r="B259" s="1" t="n">
        <v>45272</v>
      </c>
      <c r="C259" s="1" t="n">
        <v>46104</v>
      </c>
      <c r="D259" t="inlineStr">
        <is>
          <t>DALARNAS LÄN</t>
        </is>
      </c>
      <c r="E259" t="inlineStr">
        <is>
          <t>MORA</t>
        </is>
      </c>
      <c r="G259" t="n">
        <v>11.3</v>
      </c>
      <c r="H259" t="n">
        <v>0</v>
      </c>
      <c r="I259" t="n">
        <v>0</v>
      </c>
      <c r="J259" t="n">
        <v>0</v>
      </c>
      <c r="K259" t="n">
        <v>0</v>
      </c>
      <c r="L259" t="n">
        <v>0</v>
      </c>
      <c r="M259" t="n">
        <v>0</v>
      </c>
      <c r="N259" t="n">
        <v>0</v>
      </c>
      <c r="O259" t="n">
        <v>0</v>
      </c>
      <c r="P259" t="n">
        <v>0</v>
      </c>
      <c r="Q259" t="n">
        <v>0</v>
      </c>
      <c r="R259" s="2" t="inlineStr"/>
    </row>
    <row r="260" ht="15" customHeight="1">
      <c r="A260" t="inlineStr">
        <is>
          <t>A 61412-2025</t>
        </is>
      </c>
      <c r="B260" s="1" t="n">
        <v>46001.5266087963</v>
      </c>
      <c r="C260" s="1" t="n">
        <v>46104</v>
      </c>
      <c r="D260" t="inlineStr">
        <is>
          <t>DALARNAS LÄN</t>
        </is>
      </c>
      <c r="E260" t="inlineStr">
        <is>
          <t>MORA</t>
        </is>
      </c>
      <c r="G260" t="n">
        <v>2.9</v>
      </c>
      <c r="H260" t="n">
        <v>0</v>
      </c>
      <c r="I260" t="n">
        <v>0</v>
      </c>
      <c r="J260" t="n">
        <v>0</v>
      </c>
      <c r="K260" t="n">
        <v>0</v>
      </c>
      <c r="L260" t="n">
        <v>0</v>
      </c>
      <c r="M260" t="n">
        <v>0</v>
      </c>
      <c r="N260" t="n">
        <v>0</v>
      </c>
      <c r="O260" t="n">
        <v>0</v>
      </c>
      <c r="P260" t="n">
        <v>0</v>
      </c>
      <c r="Q260" t="n">
        <v>0</v>
      </c>
      <c r="R260" s="2" t="inlineStr"/>
    </row>
    <row r="261" ht="15" customHeight="1">
      <c r="A261" t="inlineStr">
        <is>
          <t>A 56012-2023</t>
        </is>
      </c>
      <c r="B261" s="1" t="n">
        <v>45240</v>
      </c>
      <c r="C261" s="1" t="n">
        <v>46104</v>
      </c>
      <c r="D261" t="inlineStr">
        <is>
          <t>DALARNAS LÄN</t>
        </is>
      </c>
      <c r="E261" t="inlineStr">
        <is>
          <t>MORA</t>
        </is>
      </c>
      <c r="G261" t="n">
        <v>0.3</v>
      </c>
      <c r="H261" t="n">
        <v>0</v>
      </c>
      <c r="I261" t="n">
        <v>0</v>
      </c>
      <c r="J261" t="n">
        <v>0</v>
      </c>
      <c r="K261" t="n">
        <v>0</v>
      </c>
      <c r="L261" t="n">
        <v>0</v>
      </c>
      <c r="M261" t="n">
        <v>0</v>
      </c>
      <c r="N261" t="n">
        <v>0</v>
      </c>
      <c r="O261" t="n">
        <v>0</v>
      </c>
      <c r="P261" t="n">
        <v>0</v>
      </c>
      <c r="Q261" t="n">
        <v>0</v>
      </c>
      <c r="R261" s="2" t="inlineStr"/>
    </row>
    <row r="262" ht="15" customHeight="1">
      <c r="A262" t="inlineStr">
        <is>
          <t>A 60674-2023</t>
        </is>
      </c>
      <c r="B262" s="1" t="n">
        <v>45260.46609953704</v>
      </c>
      <c r="C262" s="1" t="n">
        <v>46104</v>
      </c>
      <c r="D262" t="inlineStr">
        <is>
          <t>DALARNAS LÄN</t>
        </is>
      </c>
      <c r="E262" t="inlineStr">
        <is>
          <t>MORA</t>
        </is>
      </c>
      <c r="G262" t="n">
        <v>2.9</v>
      </c>
      <c r="H262" t="n">
        <v>0</v>
      </c>
      <c r="I262" t="n">
        <v>0</v>
      </c>
      <c r="J262" t="n">
        <v>0</v>
      </c>
      <c r="K262" t="n">
        <v>0</v>
      </c>
      <c r="L262" t="n">
        <v>0</v>
      </c>
      <c r="M262" t="n">
        <v>0</v>
      </c>
      <c r="N262" t="n">
        <v>0</v>
      </c>
      <c r="O262" t="n">
        <v>0</v>
      </c>
      <c r="P262" t="n">
        <v>0</v>
      </c>
      <c r="Q262" t="n">
        <v>0</v>
      </c>
      <c r="R262" s="2" t="inlineStr"/>
    </row>
    <row r="263" ht="15" customHeight="1">
      <c r="A263" t="inlineStr">
        <is>
          <t>A 24127-2025</t>
        </is>
      </c>
      <c r="B263" s="1" t="n">
        <v>45796.63137731481</v>
      </c>
      <c r="C263" s="1" t="n">
        <v>46104</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5298-2023</t>
        </is>
      </c>
      <c r="B264" s="1" t="n">
        <v>44959.54355324074</v>
      </c>
      <c r="C264" s="1" t="n">
        <v>46104</v>
      </c>
      <c r="D264" t="inlineStr">
        <is>
          <t>DALARNAS LÄN</t>
        </is>
      </c>
      <c r="E264" t="inlineStr">
        <is>
          <t>MORA</t>
        </is>
      </c>
      <c r="F264" t="inlineStr">
        <is>
          <t>Bergvik skog väst AB</t>
        </is>
      </c>
      <c r="G264" t="n">
        <v>6.2</v>
      </c>
      <c r="H264" t="n">
        <v>0</v>
      </c>
      <c r="I264" t="n">
        <v>0</v>
      </c>
      <c r="J264" t="n">
        <v>0</v>
      </c>
      <c r="K264" t="n">
        <v>0</v>
      </c>
      <c r="L264" t="n">
        <v>0</v>
      </c>
      <c r="M264" t="n">
        <v>0</v>
      </c>
      <c r="N264" t="n">
        <v>0</v>
      </c>
      <c r="O264" t="n">
        <v>0</v>
      </c>
      <c r="P264" t="n">
        <v>0</v>
      </c>
      <c r="Q264" t="n">
        <v>0</v>
      </c>
      <c r="R264" s="2" t="inlineStr"/>
    </row>
    <row r="265" ht="15" customHeight="1">
      <c r="A265" t="inlineStr">
        <is>
          <t>A 57859-2022</t>
        </is>
      </c>
      <c r="B265" s="1" t="n">
        <v>44898</v>
      </c>
      <c r="C265" s="1" t="n">
        <v>46104</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42112-2025</t>
        </is>
      </c>
      <c r="B266" s="1" t="n">
        <v>45904.32134259259</v>
      </c>
      <c r="C266" s="1" t="n">
        <v>46104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61249-2023</t>
        </is>
      </c>
      <c r="B267" s="1" t="n">
        <v>45264</v>
      </c>
      <c r="C267" s="1" t="n">
        <v>46104</v>
      </c>
      <c r="D267" t="inlineStr">
        <is>
          <t>DALARNAS LÄN</t>
        </is>
      </c>
      <c r="E267" t="inlineStr">
        <is>
          <t>MORA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24249-2025</t>
        </is>
      </c>
      <c r="B268" s="1" t="n">
        <v>45797.40260416667</v>
      </c>
      <c r="C268" s="1" t="n">
        <v>46104</v>
      </c>
      <c r="D268" t="inlineStr">
        <is>
          <t>DALARNAS LÄN</t>
        </is>
      </c>
      <c r="E268" t="inlineStr">
        <is>
          <t>MORA</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42813-2025</t>
        </is>
      </c>
      <c r="B269" s="1" t="n">
        <v>45908.56168981481</v>
      </c>
      <c r="C269" s="1" t="n">
        <v>46104</v>
      </c>
      <c r="D269" t="inlineStr">
        <is>
          <t>DALARNAS LÄN</t>
        </is>
      </c>
      <c r="E269" t="inlineStr">
        <is>
          <t>MORA</t>
        </is>
      </c>
      <c r="G269" t="n">
        <v>4.3</v>
      </c>
      <c r="H269" t="n">
        <v>0</v>
      </c>
      <c r="I269" t="n">
        <v>0</v>
      </c>
      <c r="J269" t="n">
        <v>0</v>
      </c>
      <c r="K269" t="n">
        <v>0</v>
      </c>
      <c r="L269" t="n">
        <v>0</v>
      </c>
      <c r="M269" t="n">
        <v>0</v>
      </c>
      <c r="N269" t="n">
        <v>0</v>
      </c>
      <c r="O269" t="n">
        <v>0</v>
      </c>
      <c r="P269" t="n">
        <v>0</v>
      </c>
      <c r="Q269" t="n">
        <v>0</v>
      </c>
      <c r="R269" s="2" t="inlineStr"/>
    </row>
    <row r="270" ht="15" customHeight="1">
      <c r="A270" t="inlineStr">
        <is>
          <t>A 25935-2023</t>
        </is>
      </c>
      <c r="B270" s="1" t="n">
        <v>45090.68675925926</v>
      </c>
      <c r="C270" s="1" t="n">
        <v>46104</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46104</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23057-2024</t>
        </is>
      </c>
      <c r="B272" s="1" t="n">
        <v>45450</v>
      </c>
      <c r="C272" s="1" t="n">
        <v>46104</v>
      </c>
      <c r="D272" t="inlineStr">
        <is>
          <t>DALARNAS LÄN</t>
        </is>
      </c>
      <c r="E272" t="inlineStr">
        <is>
          <t>MORA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46104</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51168-2024</t>
        </is>
      </c>
      <c r="B274" s="1" t="n">
        <v>45603.58619212963</v>
      </c>
      <c r="C274" s="1" t="n">
        <v>46104</v>
      </c>
      <c r="D274" t="inlineStr">
        <is>
          <t>DALARNAS LÄN</t>
        </is>
      </c>
      <c r="E274" t="inlineStr">
        <is>
          <t>MORA</t>
        </is>
      </c>
      <c r="G274" t="n">
        <v>3</v>
      </c>
      <c r="H274" t="n">
        <v>0</v>
      </c>
      <c r="I274" t="n">
        <v>0</v>
      </c>
      <c r="J274" t="n">
        <v>0</v>
      </c>
      <c r="K274" t="n">
        <v>0</v>
      </c>
      <c r="L274" t="n">
        <v>0</v>
      </c>
      <c r="M274" t="n">
        <v>0</v>
      </c>
      <c r="N274" t="n">
        <v>0</v>
      </c>
      <c r="O274" t="n">
        <v>0</v>
      </c>
      <c r="P274" t="n">
        <v>0</v>
      </c>
      <c r="Q274" t="n">
        <v>0</v>
      </c>
      <c r="R274" s="2" t="inlineStr"/>
    </row>
    <row r="275" ht="15" customHeight="1">
      <c r="A275" t="inlineStr">
        <is>
          <t>A 59182-2023</t>
        </is>
      </c>
      <c r="B275" s="1" t="n">
        <v>45253</v>
      </c>
      <c r="C275" s="1" t="n">
        <v>46104</v>
      </c>
      <c r="D275" t="inlineStr">
        <is>
          <t>DALARNAS LÄN</t>
        </is>
      </c>
      <c r="E275" t="inlineStr">
        <is>
          <t>MORA</t>
        </is>
      </c>
      <c r="G275" t="n">
        <v>3.3</v>
      </c>
      <c r="H275" t="n">
        <v>0</v>
      </c>
      <c r="I275" t="n">
        <v>0</v>
      </c>
      <c r="J275" t="n">
        <v>0</v>
      </c>
      <c r="K275" t="n">
        <v>0</v>
      </c>
      <c r="L275" t="n">
        <v>0</v>
      </c>
      <c r="M275" t="n">
        <v>0</v>
      </c>
      <c r="N275" t="n">
        <v>0</v>
      </c>
      <c r="O275" t="n">
        <v>0</v>
      </c>
      <c r="P275" t="n">
        <v>0</v>
      </c>
      <c r="Q275" t="n">
        <v>0</v>
      </c>
      <c r="R275" s="2" t="inlineStr"/>
    </row>
    <row r="276" ht="15" customHeight="1">
      <c r="A276" t="inlineStr">
        <is>
          <t>A 36600-2023</t>
        </is>
      </c>
      <c r="B276" s="1" t="n">
        <v>45153</v>
      </c>
      <c r="C276" s="1" t="n">
        <v>46104</v>
      </c>
      <c r="D276" t="inlineStr">
        <is>
          <t>DALARNAS LÄN</t>
        </is>
      </c>
      <c r="E276" t="inlineStr">
        <is>
          <t>MORA</t>
        </is>
      </c>
      <c r="G276" t="n">
        <v>7.3</v>
      </c>
      <c r="H276" t="n">
        <v>0</v>
      </c>
      <c r="I276" t="n">
        <v>0</v>
      </c>
      <c r="J276" t="n">
        <v>0</v>
      </c>
      <c r="K276" t="n">
        <v>0</v>
      </c>
      <c r="L276" t="n">
        <v>0</v>
      </c>
      <c r="M276" t="n">
        <v>0</v>
      </c>
      <c r="N276" t="n">
        <v>0</v>
      </c>
      <c r="O276" t="n">
        <v>0</v>
      </c>
      <c r="P276" t="n">
        <v>0</v>
      </c>
      <c r="Q276" t="n">
        <v>0</v>
      </c>
      <c r="R276" s="2" t="inlineStr"/>
    </row>
    <row r="277" ht="15" customHeight="1">
      <c r="A277" t="inlineStr">
        <is>
          <t>A 42954-2025</t>
        </is>
      </c>
      <c r="B277" s="1" t="n">
        <v>45909.3578125</v>
      </c>
      <c r="C277" s="1" t="n">
        <v>46104</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42830-2025</t>
        </is>
      </c>
      <c r="B278" s="1" t="n">
        <v>45908.57753472222</v>
      </c>
      <c r="C278" s="1" t="n">
        <v>46104</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61455-2025</t>
        </is>
      </c>
      <c r="B279" s="1" t="n">
        <v>46001.58590277778</v>
      </c>
      <c r="C279" s="1" t="n">
        <v>46104</v>
      </c>
      <c r="D279" t="inlineStr">
        <is>
          <t>DALARNAS LÄN</t>
        </is>
      </c>
      <c r="E279" t="inlineStr">
        <is>
          <t>MORA</t>
        </is>
      </c>
      <c r="G279" t="n">
        <v>3.4</v>
      </c>
      <c r="H279" t="n">
        <v>0</v>
      </c>
      <c r="I279" t="n">
        <v>0</v>
      </c>
      <c r="J279" t="n">
        <v>0</v>
      </c>
      <c r="K279" t="n">
        <v>0</v>
      </c>
      <c r="L279" t="n">
        <v>0</v>
      </c>
      <c r="M279" t="n">
        <v>0</v>
      </c>
      <c r="N279" t="n">
        <v>0</v>
      </c>
      <c r="O279" t="n">
        <v>0</v>
      </c>
      <c r="P279" t="n">
        <v>0</v>
      </c>
      <c r="Q279" t="n">
        <v>0</v>
      </c>
      <c r="R279" s="2" t="inlineStr"/>
    </row>
    <row r="280" ht="15" customHeight="1">
      <c r="A280" t="inlineStr">
        <is>
          <t>A 43157-2025</t>
        </is>
      </c>
      <c r="B280" s="1" t="n">
        <v>45910.34953703704</v>
      </c>
      <c r="C280" s="1" t="n">
        <v>46104</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35325-2024</t>
        </is>
      </c>
      <c r="B281" s="1" t="n">
        <v>45530.71158564815</v>
      </c>
      <c r="C281" s="1" t="n">
        <v>46104</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66232-2021</t>
        </is>
      </c>
      <c r="B282" s="1" t="n">
        <v>44518.39234953704</v>
      </c>
      <c r="C282" s="1" t="n">
        <v>46104</v>
      </c>
      <c r="D282" t="inlineStr">
        <is>
          <t>DALARNAS LÄN</t>
        </is>
      </c>
      <c r="E282" t="inlineStr">
        <is>
          <t>MORA</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45562-2023</t>
        </is>
      </c>
      <c r="B283" s="1" t="n">
        <v>45194.59378472222</v>
      </c>
      <c r="C283" s="1" t="n">
        <v>46104</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51570-2023</t>
        </is>
      </c>
      <c r="B284" s="1" t="n">
        <v>45222</v>
      </c>
      <c r="C284" s="1" t="n">
        <v>46104</v>
      </c>
      <c r="D284" t="inlineStr">
        <is>
          <t>DALARNAS LÄN</t>
        </is>
      </c>
      <c r="E284" t="inlineStr">
        <is>
          <t>MORA</t>
        </is>
      </c>
      <c r="G284" t="n">
        <v>10.1</v>
      </c>
      <c r="H284" t="n">
        <v>0</v>
      </c>
      <c r="I284" t="n">
        <v>0</v>
      </c>
      <c r="J284" t="n">
        <v>0</v>
      </c>
      <c r="K284" t="n">
        <v>0</v>
      </c>
      <c r="L284" t="n">
        <v>0</v>
      </c>
      <c r="M284" t="n">
        <v>0</v>
      </c>
      <c r="N284" t="n">
        <v>0</v>
      </c>
      <c r="O284" t="n">
        <v>0</v>
      </c>
      <c r="P284" t="n">
        <v>0</v>
      </c>
      <c r="Q284" t="n">
        <v>0</v>
      </c>
      <c r="R284" s="2" t="inlineStr"/>
    </row>
    <row r="285" ht="15" customHeight="1">
      <c r="A285" t="inlineStr">
        <is>
          <t>A 43153-2025</t>
        </is>
      </c>
      <c r="B285" s="1" t="n">
        <v>45910.34449074074</v>
      </c>
      <c r="C285" s="1" t="n">
        <v>46104</v>
      </c>
      <c r="D285" t="inlineStr">
        <is>
          <t>DALARNAS LÄN</t>
        </is>
      </c>
      <c r="E285" t="inlineStr">
        <is>
          <t>MORA</t>
        </is>
      </c>
      <c r="G285" t="n">
        <v>3.9</v>
      </c>
      <c r="H285" t="n">
        <v>0</v>
      </c>
      <c r="I285" t="n">
        <v>0</v>
      </c>
      <c r="J285" t="n">
        <v>0</v>
      </c>
      <c r="K285" t="n">
        <v>0</v>
      </c>
      <c r="L285" t="n">
        <v>0</v>
      </c>
      <c r="M285" t="n">
        <v>0</v>
      </c>
      <c r="N285" t="n">
        <v>0</v>
      </c>
      <c r="O285" t="n">
        <v>0</v>
      </c>
      <c r="P285" t="n">
        <v>0</v>
      </c>
      <c r="Q285" t="n">
        <v>0</v>
      </c>
      <c r="R285" s="2" t="inlineStr"/>
    </row>
    <row r="286" ht="15" customHeight="1">
      <c r="A286" t="inlineStr">
        <is>
          <t>A 43474-2025</t>
        </is>
      </c>
      <c r="B286" s="1" t="n">
        <v>45911.48967592593</v>
      </c>
      <c r="C286" s="1" t="n">
        <v>46104</v>
      </c>
      <c r="D286" t="inlineStr">
        <is>
          <t>DALARNAS LÄN</t>
        </is>
      </c>
      <c r="E286" t="inlineStr">
        <is>
          <t>MORA</t>
        </is>
      </c>
      <c r="G286" t="n">
        <v>1.8</v>
      </c>
      <c r="H286" t="n">
        <v>0</v>
      </c>
      <c r="I286" t="n">
        <v>0</v>
      </c>
      <c r="J286" t="n">
        <v>0</v>
      </c>
      <c r="K286" t="n">
        <v>0</v>
      </c>
      <c r="L286" t="n">
        <v>0</v>
      </c>
      <c r="M286" t="n">
        <v>0</v>
      </c>
      <c r="N286" t="n">
        <v>0</v>
      </c>
      <c r="O286" t="n">
        <v>0</v>
      </c>
      <c r="P286" t="n">
        <v>0</v>
      </c>
      <c r="Q286" t="n">
        <v>0</v>
      </c>
      <c r="R286" s="2" t="inlineStr"/>
    </row>
    <row r="287" ht="15" customHeight="1">
      <c r="A287" t="inlineStr">
        <is>
          <t>A 61606-2025</t>
        </is>
      </c>
      <c r="B287" s="1" t="n">
        <v>46002.37662037037</v>
      </c>
      <c r="C287" s="1" t="n">
        <v>46104</v>
      </c>
      <c r="D287" t="inlineStr">
        <is>
          <t>DALARNAS LÄN</t>
        </is>
      </c>
      <c r="E287" t="inlineStr">
        <is>
          <t>MORA</t>
        </is>
      </c>
      <c r="G287" t="n">
        <v>6.1</v>
      </c>
      <c r="H287" t="n">
        <v>0</v>
      </c>
      <c r="I287" t="n">
        <v>0</v>
      </c>
      <c r="J287" t="n">
        <v>0</v>
      </c>
      <c r="K287" t="n">
        <v>0</v>
      </c>
      <c r="L287" t="n">
        <v>0</v>
      </c>
      <c r="M287" t="n">
        <v>0</v>
      </c>
      <c r="N287" t="n">
        <v>0</v>
      </c>
      <c r="O287" t="n">
        <v>0</v>
      </c>
      <c r="P287" t="n">
        <v>0</v>
      </c>
      <c r="Q287" t="n">
        <v>0</v>
      </c>
      <c r="R287" s="2" t="inlineStr"/>
    </row>
    <row r="288" ht="15" customHeight="1">
      <c r="A288" t="inlineStr">
        <is>
          <t>A 61624-2025</t>
        </is>
      </c>
      <c r="B288" s="1" t="n">
        <v>46002.39755787037</v>
      </c>
      <c r="C288" s="1" t="n">
        <v>46104</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61620-2025</t>
        </is>
      </c>
      <c r="B289" s="1" t="n">
        <v>46002.39347222223</v>
      </c>
      <c r="C289" s="1" t="n">
        <v>46104</v>
      </c>
      <c r="D289" t="inlineStr">
        <is>
          <t>DALARNAS LÄN</t>
        </is>
      </c>
      <c r="E289" t="inlineStr">
        <is>
          <t>MORA</t>
        </is>
      </c>
      <c r="G289" t="n">
        <v>3</v>
      </c>
      <c r="H289" t="n">
        <v>0</v>
      </c>
      <c r="I289" t="n">
        <v>0</v>
      </c>
      <c r="J289" t="n">
        <v>0</v>
      </c>
      <c r="K289" t="n">
        <v>0</v>
      </c>
      <c r="L289" t="n">
        <v>0</v>
      </c>
      <c r="M289" t="n">
        <v>0</v>
      </c>
      <c r="N289" t="n">
        <v>0</v>
      </c>
      <c r="O289" t="n">
        <v>0</v>
      </c>
      <c r="P289" t="n">
        <v>0</v>
      </c>
      <c r="Q289" t="n">
        <v>0</v>
      </c>
      <c r="R289" s="2" t="inlineStr"/>
    </row>
    <row r="290" ht="15" customHeight="1">
      <c r="A290" t="inlineStr">
        <is>
          <t>A 61995-2025</t>
        </is>
      </c>
      <c r="B290" s="1" t="n">
        <v>46003.63954861111</v>
      </c>
      <c r="C290" s="1" t="n">
        <v>46104</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59995-2023</t>
        </is>
      </c>
      <c r="B291" s="1" t="n">
        <v>45254</v>
      </c>
      <c r="C291" s="1" t="n">
        <v>46104</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9461-2025</t>
        </is>
      </c>
      <c r="B292" s="1" t="n">
        <v>45715.45341435185</v>
      </c>
      <c r="C292" s="1" t="n">
        <v>46104</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34928-2022</t>
        </is>
      </c>
      <c r="B293" s="1" t="n">
        <v>44796.60479166666</v>
      </c>
      <c r="C293" s="1" t="n">
        <v>46104</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19286-2023</t>
        </is>
      </c>
      <c r="B294" s="1" t="n">
        <v>45049</v>
      </c>
      <c r="C294" s="1" t="n">
        <v>46104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62055-2025</t>
        </is>
      </c>
      <c r="B295" s="1" t="n">
        <v>46006.3365625</v>
      </c>
      <c r="C295" s="1" t="n">
        <v>46104</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24230-2025</t>
        </is>
      </c>
      <c r="B296" s="1" t="n">
        <v>45797.37607638889</v>
      </c>
      <c r="C296" s="1" t="n">
        <v>46104</v>
      </c>
      <c r="D296" t="inlineStr">
        <is>
          <t>DALARNAS LÄN</t>
        </is>
      </c>
      <c r="E296" t="inlineStr">
        <is>
          <t>MORA</t>
        </is>
      </c>
      <c r="G296" t="n">
        <v>6.8</v>
      </c>
      <c r="H296" t="n">
        <v>0</v>
      </c>
      <c r="I296" t="n">
        <v>0</v>
      </c>
      <c r="J296" t="n">
        <v>0</v>
      </c>
      <c r="K296" t="n">
        <v>0</v>
      </c>
      <c r="L296" t="n">
        <v>0</v>
      </c>
      <c r="M296" t="n">
        <v>0</v>
      </c>
      <c r="N296" t="n">
        <v>0</v>
      </c>
      <c r="O296" t="n">
        <v>0</v>
      </c>
      <c r="P296" t="n">
        <v>0</v>
      </c>
      <c r="Q296" t="n">
        <v>0</v>
      </c>
      <c r="R296" s="2" t="inlineStr"/>
    </row>
    <row r="297" ht="15" customHeight="1">
      <c r="A297" t="inlineStr">
        <is>
          <t>A 24280-2025</t>
        </is>
      </c>
      <c r="B297" s="1" t="n">
        <v>45797.45581018519</v>
      </c>
      <c r="C297" s="1" t="n">
        <v>46104</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62054-2025</t>
        </is>
      </c>
      <c r="B298" s="1" t="n">
        <v>46006.33462962963</v>
      </c>
      <c r="C298" s="1" t="n">
        <v>46104</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43811-2025</t>
        </is>
      </c>
      <c r="B299" s="1" t="n">
        <v>45912.58710648148</v>
      </c>
      <c r="C299" s="1" t="n">
        <v>46104</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60673-2023</t>
        </is>
      </c>
      <c r="B300" s="1" t="n">
        <v>45260.46438657407</v>
      </c>
      <c r="C300" s="1" t="n">
        <v>46104</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62548-2025</t>
        </is>
      </c>
      <c r="B301" s="1" t="n">
        <v>46007.66275462963</v>
      </c>
      <c r="C301" s="1" t="n">
        <v>46104</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44384-2025</t>
        </is>
      </c>
      <c r="B302" s="1" t="n">
        <v>45916.48513888889</v>
      </c>
      <c r="C302" s="1" t="n">
        <v>46104</v>
      </c>
      <c r="D302" t="inlineStr">
        <is>
          <t>DALARNAS LÄN</t>
        </is>
      </c>
      <c r="E302" t="inlineStr">
        <is>
          <t>MORA</t>
        </is>
      </c>
      <c r="F302" t="inlineStr">
        <is>
          <t>Kyrkan</t>
        </is>
      </c>
      <c r="G302" t="n">
        <v>5.1</v>
      </c>
      <c r="H302" t="n">
        <v>0</v>
      </c>
      <c r="I302" t="n">
        <v>0</v>
      </c>
      <c r="J302" t="n">
        <v>0</v>
      </c>
      <c r="K302" t="n">
        <v>0</v>
      </c>
      <c r="L302" t="n">
        <v>0</v>
      </c>
      <c r="M302" t="n">
        <v>0</v>
      </c>
      <c r="N302" t="n">
        <v>0</v>
      </c>
      <c r="O302" t="n">
        <v>0</v>
      </c>
      <c r="P302" t="n">
        <v>0</v>
      </c>
      <c r="Q302" t="n">
        <v>0</v>
      </c>
      <c r="R302" s="2" t="inlineStr"/>
    </row>
    <row r="303" ht="15" customHeight="1">
      <c r="A303" t="inlineStr">
        <is>
          <t>A 62959-2025</t>
        </is>
      </c>
      <c r="B303" s="1" t="n">
        <v>46009.45792824074</v>
      </c>
      <c r="C303" s="1" t="n">
        <v>46104</v>
      </c>
      <c r="D303" t="inlineStr">
        <is>
          <t>DALARNAS LÄN</t>
        </is>
      </c>
      <c r="E303" t="inlineStr">
        <is>
          <t>MORA</t>
        </is>
      </c>
      <c r="G303" t="n">
        <v>2.6</v>
      </c>
      <c r="H303" t="n">
        <v>0</v>
      </c>
      <c r="I303" t="n">
        <v>0</v>
      </c>
      <c r="J303" t="n">
        <v>0</v>
      </c>
      <c r="K303" t="n">
        <v>0</v>
      </c>
      <c r="L303" t="n">
        <v>0</v>
      </c>
      <c r="M303" t="n">
        <v>0</v>
      </c>
      <c r="N303" t="n">
        <v>0</v>
      </c>
      <c r="O303" t="n">
        <v>0</v>
      </c>
      <c r="P303" t="n">
        <v>0</v>
      </c>
      <c r="Q303" t="n">
        <v>0</v>
      </c>
      <c r="R303" s="2" t="inlineStr"/>
    </row>
    <row r="304" ht="15" customHeight="1">
      <c r="A304" t="inlineStr">
        <is>
          <t>A 62965-2025</t>
        </is>
      </c>
      <c r="B304" s="1" t="n">
        <v>46009.46129629629</v>
      </c>
      <c r="C304" s="1" t="n">
        <v>46104</v>
      </c>
      <c r="D304" t="inlineStr">
        <is>
          <t>DALARNAS LÄN</t>
        </is>
      </c>
      <c r="E304" t="inlineStr">
        <is>
          <t>MORA</t>
        </is>
      </c>
      <c r="G304" t="n">
        <v>9.1</v>
      </c>
      <c r="H304" t="n">
        <v>0</v>
      </c>
      <c r="I304" t="n">
        <v>0</v>
      </c>
      <c r="J304" t="n">
        <v>0</v>
      </c>
      <c r="K304" t="n">
        <v>0</v>
      </c>
      <c r="L304" t="n">
        <v>0</v>
      </c>
      <c r="M304" t="n">
        <v>0</v>
      </c>
      <c r="N304" t="n">
        <v>0</v>
      </c>
      <c r="O304" t="n">
        <v>0</v>
      </c>
      <c r="P304" t="n">
        <v>0</v>
      </c>
      <c r="Q304" t="n">
        <v>0</v>
      </c>
      <c r="R304" s="2" t="inlineStr"/>
    </row>
    <row r="305" ht="15" customHeight="1">
      <c r="A305" t="inlineStr">
        <is>
          <t>A 19183-2025</t>
        </is>
      </c>
      <c r="B305" s="1" t="n">
        <v>45769</v>
      </c>
      <c r="C305" s="1" t="n">
        <v>46104</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63030-2025</t>
        </is>
      </c>
      <c r="B306" s="1" t="n">
        <v>46009.60133101852</v>
      </c>
      <c r="C306" s="1" t="n">
        <v>46104</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5763-2026</t>
        </is>
      </c>
      <c r="B307" s="1" t="n">
        <v>46051.63380787037</v>
      </c>
      <c r="C307" s="1" t="n">
        <v>46104</v>
      </c>
      <c r="D307" t="inlineStr">
        <is>
          <t>DALARNAS LÄN</t>
        </is>
      </c>
      <c r="E307" t="inlineStr">
        <is>
          <t>MORA</t>
        </is>
      </c>
      <c r="G307" t="n">
        <v>0.3</v>
      </c>
      <c r="H307" t="n">
        <v>0</v>
      </c>
      <c r="I307" t="n">
        <v>0</v>
      </c>
      <c r="J307" t="n">
        <v>0</v>
      </c>
      <c r="K307" t="n">
        <v>0</v>
      </c>
      <c r="L307" t="n">
        <v>0</v>
      </c>
      <c r="M307" t="n">
        <v>0</v>
      </c>
      <c r="N307" t="n">
        <v>0</v>
      </c>
      <c r="O307" t="n">
        <v>0</v>
      </c>
      <c r="P307" t="n">
        <v>0</v>
      </c>
      <c r="Q307" t="n">
        <v>0</v>
      </c>
      <c r="R307" s="2" t="inlineStr"/>
    </row>
    <row r="308" ht="15" customHeight="1">
      <c r="A308" t="inlineStr">
        <is>
          <t>A 62619-2025</t>
        </is>
      </c>
      <c r="B308" s="1" t="n">
        <v>46008.33967592593</v>
      </c>
      <c r="C308" s="1" t="n">
        <v>46104</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24465-2021</t>
        </is>
      </c>
      <c r="B309" s="1" t="n">
        <v>44337</v>
      </c>
      <c r="C309" s="1" t="n">
        <v>46104</v>
      </c>
      <c r="D309" t="inlineStr">
        <is>
          <t>DALARNAS LÄN</t>
        </is>
      </c>
      <c r="E309" t="inlineStr">
        <is>
          <t>MORA</t>
        </is>
      </c>
      <c r="G309" t="n">
        <v>2.6</v>
      </c>
      <c r="H309" t="n">
        <v>0</v>
      </c>
      <c r="I309" t="n">
        <v>0</v>
      </c>
      <c r="J309" t="n">
        <v>0</v>
      </c>
      <c r="K309" t="n">
        <v>0</v>
      </c>
      <c r="L309" t="n">
        <v>0</v>
      </c>
      <c r="M309" t="n">
        <v>0</v>
      </c>
      <c r="N309" t="n">
        <v>0</v>
      </c>
      <c r="O309" t="n">
        <v>0</v>
      </c>
      <c r="P309" t="n">
        <v>0</v>
      </c>
      <c r="Q309" t="n">
        <v>0</v>
      </c>
      <c r="R309" s="2" t="inlineStr"/>
    </row>
    <row r="310" ht="15" customHeight="1">
      <c r="A310" t="inlineStr">
        <is>
          <t>A 62853-2025</t>
        </is>
      </c>
      <c r="B310" s="1" t="n">
        <v>46008.72493055555</v>
      </c>
      <c r="C310" s="1" t="n">
        <v>46104</v>
      </c>
      <c r="D310" t="inlineStr">
        <is>
          <t>DALARNAS LÄN</t>
        </is>
      </c>
      <c r="E310" t="inlineStr">
        <is>
          <t>MORA</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61270-2024</t>
        </is>
      </c>
      <c r="B311" s="1" t="n">
        <v>45645.74694444444</v>
      </c>
      <c r="C311" s="1" t="n">
        <v>46104</v>
      </c>
      <c r="D311" t="inlineStr">
        <is>
          <t>DALARNAS LÄN</t>
        </is>
      </c>
      <c r="E311" t="inlineStr">
        <is>
          <t>MORA</t>
        </is>
      </c>
      <c r="G311" t="n">
        <v>5.1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46104</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62628-2025</t>
        </is>
      </c>
      <c r="B313" s="1" t="n">
        <v>46008.35011574074</v>
      </c>
      <c r="C313" s="1" t="n">
        <v>46104</v>
      </c>
      <c r="D313" t="inlineStr">
        <is>
          <t>DALARNAS LÄN</t>
        </is>
      </c>
      <c r="E313" t="inlineStr">
        <is>
          <t>MORA</t>
        </is>
      </c>
      <c r="G313" t="n">
        <v>5.7</v>
      </c>
      <c r="H313" t="n">
        <v>0</v>
      </c>
      <c r="I313" t="n">
        <v>0</v>
      </c>
      <c r="J313" t="n">
        <v>0</v>
      </c>
      <c r="K313" t="n">
        <v>0</v>
      </c>
      <c r="L313" t="n">
        <v>0</v>
      </c>
      <c r="M313" t="n">
        <v>0</v>
      </c>
      <c r="N313" t="n">
        <v>0</v>
      </c>
      <c r="O313" t="n">
        <v>0</v>
      </c>
      <c r="P313" t="n">
        <v>0</v>
      </c>
      <c r="Q313" t="n">
        <v>0</v>
      </c>
      <c r="R313" s="2" t="inlineStr"/>
    </row>
    <row r="314" ht="15" customHeight="1">
      <c r="A314" t="inlineStr">
        <is>
          <t>A 45181-2025</t>
        </is>
      </c>
      <c r="B314" s="1" t="n">
        <v>45919.53329861111</v>
      </c>
      <c r="C314" s="1" t="n">
        <v>46104</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62626-2025</t>
        </is>
      </c>
      <c r="B315" s="1" t="n">
        <v>46008.34541666666</v>
      </c>
      <c r="C315" s="1" t="n">
        <v>46104</v>
      </c>
      <c r="D315" t="inlineStr">
        <is>
          <t>DALARNAS LÄN</t>
        </is>
      </c>
      <c r="E315" t="inlineStr">
        <is>
          <t>MORA</t>
        </is>
      </c>
      <c r="G315" t="n">
        <v>6.7</v>
      </c>
      <c r="H315" t="n">
        <v>0</v>
      </c>
      <c r="I315" t="n">
        <v>0</v>
      </c>
      <c r="J315" t="n">
        <v>0</v>
      </c>
      <c r="K315" t="n">
        <v>0</v>
      </c>
      <c r="L315" t="n">
        <v>0</v>
      </c>
      <c r="M315" t="n">
        <v>0</v>
      </c>
      <c r="N315" t="n">
        <v>0</v>
      </c>
      <c r="O315" t="n">
        <v>0</v>
      </c>
      <c r="P315" t="n">
        <v>0</v>
      </c>
      <c r="Q315" t="n">
        <v>0</v>
      </c>
      <c r="R315" s="2" t="inlineStr"/>
    </row>
    <row r="316" ht="15" customHeight="1">
      <c r="A316" t="inlineStr">
        <is>
          <t>A 26546-2025</t>
        </is>
      </c>
      <c r="B316" s="1" t="n">
        <v>45807</v>
      </c>
      <c r="C316" s="1" t="n">
        <v>46104</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26573-2025</t>
        </is>
      </c>
      <c r="B317" s="1" t="n">
        <v>45807</v>
      </c>
      <c r="C317" s="1" t="n">
        <v>46104</v>
      </c>
      <c r="D317" t="inlineStr">
        <is>
          <t>DALARNAS LÄN</t>
        </is>
      </c>
      <c r="E317" t="inlineStr">
        <is>
          <t>MORA</t>
        </is>
      </c>
      <c r="G317" t="n">
        <v>4.3</v>
      </c>
      <c r="H317" t="n">
        <v>0</v>
      </c>
      <c r="I317" t="n">
        <v>0</v>
      </c>
      <c r="J317" t="n">
        <v>0</v>
      </c>
      <c r="K317" t="n">
        <v>0</v>
      </c>
      <c r="L317" t="n">
        <v>0</v>
      </c>
      <c r="M317" t="n">
        <v>0</v>
      </c>
      <c r="N317" t="n">
        <v>0</v>
      </c>
      <c r="O317" t="n">
        <v>0</v>
      </c>
      <c r="P317" t="n">
        <v>0</v>
      </c>
      <c r="Q317" t="n">
        <v>0</v>
      </c>
      <c r="R317" s="2" t="inlineStr"/>
    </row>
    <row r="318" ht="15" customHeight="1">
      <c r="A318" t="inlineStr">
        <is>
          <t>A 26577-2025</t>
        </is>
      </c>
      <c r="B318" s="1" t="n">
        <v>45807</v>
      </c>
      <c r="C318" s="1" t="n">
        <v>46104</v>
      </c>
      <c r="D318" t="inlineStr">
        <is>
          <t>DALARNAS LÄN</t>
        </is>
      </c>
      <c r="E318" t="inlineStr">
        <is>
          <t>MORA</t>
        </is>
      </c>
      <c r="G318" t="n">
        <v>2.8</v>
      </c>
      <c r="H318" t="n">
        <v>0</v>
      </c>
      <c r="I318" t="n">
        <v>0</v>
      </c>
      <c r="J318" t="n">
        <v>0</v>
      </c>
      <c r="K318" t="n">
        <v>0</v>
      </c>
      <c r="L318" t="n">
        <v>0</v>
      </c>
      <c r="M318" t="n">
        <v>0</v>
      </c>
      <c r="N318" t="n">
        <v>0</v>
      </c>
      <c r="O318" t="n">
        <v>0</v>
      </c>
      <c r="P318" t="n">
        <v>0</v>
      </c>
      <c r="Q318" t="n">
        <v>0</v>
      </c>
      <c r="R318" s="2" t="inlineStr"/>
    </row>
    <row r="319" ht="15" customHeight="1">
      <c r="A319" t="inlineStr">
        <is>
          <t>A 26545-2025</t>
        </is>
      </c>
      <c r="B319" s="1" t="n">
        <v>45807</v>
      </c>
      <c r="C319" s="1" t="n">
        <v>46104</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20930-2024</t>
        </is>
      </c>
      <c r="B320" s="1" t="n">
        <v>45439.51907407407</v>
      </c>
      <c r="C320" s="1" t="n">
        <v>46104</v>
      </c>
      <c r="D320" t="inlineStr">
        <is>
          <t>DALARNAS LÄN</t>
        </is>
      </c>
      <c r="E320" t="inlineStr">
        <is>
          <t>MORA</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42611-2022</t>
        </is>
      </c>
      <c r="B321" s="1" t="n">
        <v>44831.81482638889</v>
      </c>
      <c r="C321" s="1" t="n">
        <v>46104</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45191-2025</t>
        </is>
      </c>
      <c r="B322" s="1" t="n">
        <v>45919.54811342592</v>
      </c>
      <c r="C322" s="1" t="n">
        <v>46104</v>
      </c>
      <c r="D322" t="inlineStr">
        <is>
          <t>DALARNAS LÄN</t>
        </is>
      </c>
      <c r="E322" t="inlineStr">
        <is>
          <t>MORA</t>
        </is>
      </c>
      <c r="G322" t="n">
        <v>2.2</v>
      </c>
      <c r="H322" t="n">
        <v>0</v>
      </c>
      <c r="I322" t="n">
        <v>0</v>
      </c>
      <c r="J322" t="n">
        <v>0</v>
      </c>
      <c r="K322" t="n">
        <v>0</v>
      </c>
      <c r="L322" t="n">
        <v>0</v>
      </c>
      <c r="M322" t="n">
        <v>0</v>
      </c>
      <c r="N322" t="n">
        <v>0</v>
      </c>
      <c r="O322" t="n">
        <v>0</v>
      </c>
      <c r="P322" t="n">
        <v>0</v>
      </c>
      <c r="Q322" t="n">
        <v>0</v>
      </c>
      <c r="R322" s="2" t="inlineStr"/>
    </row>
    <row r="323" ht="15" customHeight="1">
      <c r="A323" t="inlineStr">
        <is>
          <t>A 63434-2025</t>
        </is>
      </c>
      <c r="B323" s="1" t="n">
        <v>46013.36556712963</v>
      </c>
      <c r="C323" s="1" t="n">
        <v>46104</v>
      </c>
      <c r="D323" t="inlineStr">
        <is>
          <t>DALARNAS LÄN</t>
        </is>
      </c>
      <c r="E323" t="inlineStr">
        <is>
          <t>MORA</t>
        </is>
      </c>
      <c r="F323" t="inlineStr">
        <is>
          <t>Allmännings- och besparingsskogar</t>
        </is>
      </c>
      <c r="G323" t="n">
        <v>3.6</v>
      </c>
      <c r="H323" t="n">
        <v>0</v>
      </c>
      <c r="I323" t="n">
        <v>0</v>
      </c>
      <c r="J323" t="n">
        <v>0</v>
      </c>
      <c r="K323" t="n">
        <v>0</v>
      </c>
      <c r="L323" t="n">
        <v>0</v>
      </c>
      <c r="M323" t="n">
        <v>0</v>
      </c>
      <c r="N323" t="n">
        <v>0</v>
      </c>
      <c r="O323" t="n">
        <v>0</v>
      </c>
      <c r="P323" t="n">
        <v>0</v>
      </c>
      <c r="Q323" t="n">
        <v>0</v>
      </c>
      <c r="R323" s="2" t="inlineStr"/>
    </row>
    <row r="324" ht="15" customHeight="1">
      <c r="A324" t="inlineStr">
        <is>
          <t>A 24640-2025</t>
        </is>
      </c>
      <c r="B324" s="1" t="n">
        <v>45798.62243055556</v>
      </c>
      <c r="C324" s="1" t="n">
        <v>46104</v>
      </c>
      <c r="D324" t="inlineStr">
        <is>
          <t>DALARNAS LÄN</t>
        </is>
      </c>
      <c r="E324" t="inlineStr">
        <is>
          <t>MORA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63431-2025</t>
        </is>
      </c>
      <c r="B325" s="1" t="n">
        <v>46013.36268518519</v>
      </c>
      <c r="C325" s="1" t="n">
        <v>46104</v>
      </c>
      <c r="D325" t="inlineStr">
        <is>
          <t>DALARNAS LÄN</t>
        </is>
      </c>
      <c r="E325" t="inlineStr">
        <is>
          <t>MORA</t>
        </is>
      </c>
      <c r="F325" t="inlineStr">
        <is>
          <t>Allmännings- och besparingsskogar</t>
        </is>
      </c>
      <c r="G325" t="n">
        <v>5.7</v>
      </c>
      <c r="H325" t="n">
        <v>0</v>
      </c>
      <c r="I325" t="n">
        <v>0</v>
      </c>
      <c r="J325" t="n">
        <v>0</v>
      </c>
      <c r="K325" t="n">
        <v>0</v>
      </c>
      <c r="L325" t="n">
        <v>0</v>
      </c>
      <c r="M325" t="n">
        <v>0</v>
      </c>
      <c r="N325" t="n">
        <v>0</v>
      </c>
      <c r="O325" t="n">
        <v>0</v>
      </c>
      <c r="P325" t="n">
        <v>0</v>
      </c>
      <c r="Q325" t="n">
        <v>0</v>
      </c>
      <c r="R325" s="2" t="inlineStr"/>
    </row>
    <row r="326" ht="15" customHeight="1">
      <c r="A326" t="inlineStr">
        <is>
          <t>A 63457-2025</t>
        </is>
      </c>
      <c r="B326" s="1" t="n">
        <v>46013.42269675926</v>
      </c>
      <c r="C326" s="1" t="n">
        <v>46104</v>
      </c>
      <c r="D326" t="inlineStr">
        <is>
          <t>DALARNAS LÄN</t>
        </is>
      </c>
      <c r="E326" t="inlineStr">
        <is>
          <t>MORA</t>
        </is>
      </c>
      <c r="F326" t="inlineStr">
        <is>
          <t>Allmännings- och besparingsskogar</t>
        </is>
      </c>
      <c r="G326" t="n">
        <v>34.4</v>
      </c>
      <c r="H326" t="n">
        <v>0</v>
      </c>
      <c r="I326" t="n">
        <v>0</v>
      </c>
      <c r="J326" t="n">
        <v>0</v>
      </c>
      <c r="K326" t="n">
        <v>0</v>
      </c>
      <c r="L326" t="n">
        <v>0</v>
      </c>
      <c r="M326" t="n">
        <v>0</v>
      </c>
      <c r="N326" t="n">
        <v>0</v>
      </c>
      <c r="O326" t="n">
        <v>0</v>
      </c>
      <c r="P326" t="n">
        <v>0</v>
      </c>
      <c r="Q326" t="n">
        <v>0</v>
      </c>
      <c r="R326" s="2" t="inlineStr"/>
    </row>
    <row r="327" ht="15" customHeight="1">
      <c r="A327" t="inlineStr">
        <is>
          <t>A 17865-2025</t>
        </is>
      </c>
      <c r="B327" s="1" t="n">
        <v>45758.62951388889</v>
      </c>
      <c r="C327" s="1" t="n">
        <v>46104</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52599-2025</t>
        </is>
      </c>
      <c r="B328" s="1" t="n">
        <v>45954.65564814815</v>
      </c>
      <c r="C328" s="1" t="n">
        <v>46104</v>
      </c>
      <c r="D328" t="inlineStr">
        <is>
          <t>DALARNAS LÄN</t>
        </is>
      </c>
      <c r="E328" t="inlineStr">
        <is>
          <t>MORA</t>
        </is>
      </c>
      <c r="G328" t="n">
        <v>10.8</v>
      </c>
      <c r="H328" t="n">
        <v>0</v>
      </c>
      <c r="I328" t="n">
        <v>0</v>
      </c>
      <c r="J328" t="n">
        <v>0</v>
      </c>
      <c r="K328" t="n">
        <v>0</v>
      </c>
      <c r="L328" t="n">
        <v>0</v>
      </c>
      <c r="M328" t="n">
        <v>0</v>
      </c>
      <c r="N328" t="n">
        <v>0</v>
      </c>
      <c r="O328" t="n">
        <v>0</v>
      </c>
      <c r="P328" t="n">
        <v>0</v>
      </c>
      <c r="Q328" t="n">
        <v>0</v>
      </c>
      <c r="R328" s="2" t="inlineStr"/>
    </row>
    <row r="329" ht="15" customHeight="1">
      <c r="A329" t="inlineStr">
        <is>
          <t>A 63596-2025</t>
        </is>
      </c>
      <c r="B329" s="1" t="n">
        <v>46013.96362268519</v>
      </c>
      <c r="C329" s="1" t="n">
        <v>46104</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63692-2025</t>
        </is>
      </c>
      <c r="B330" s="1" t="n">
        <v>46014.54496527778</v>
      </c>
      <c r="C330" s="1" t="n">
        <v>46104</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33676-2023</t>
        </is>
      </c>
      <c r="B331" s="1" t="n">
        <v>45132.6291550926</v>
      </c>
      <c r="C331" s="1" t="n">
        <v>46104</v>
      </c>
      <c r="D331" t="inlineStr">
        <is>
          <t>DALARNAS LÄN</t>
        </is>
      </c>
      <c r="E331" t="inlineStr">
        <is>
          <t>MORA</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61188-2024</t>
        </is>
      </c>
      <c r="B332" s="1" t="n">
        <v>45645.62282407407</v>
      </c>
      <c r="C332" s="1" t="n">
        <v>46104</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63689-2025</t>
        </is>
      </c>
      <c r="B333" s="1" t="n">
        <v>46014.539375</v>
      </c>
      <c r="C333" s="1" t="n">
        <v>46104</v>
      </c>
      <c r="D333" t="inlineStr">
        <is>
          <t>DALARNAS LÄN</t>
        </is>
      </c>
      <c r="E333" t="inlineStr">
        <is>
          <t>MORA</t>
        </is>
      </c>
      <c r="G333" t="n">
        <v>2.2</v>
      </c>
      <c r="H333" t="n">
        <v>0</v>
      </c>
      <c r="I333" t="n">
        <v>0</v>
      </c>
      <c r="J333" t="n">
        <v>0</v>
      </c>
      <c r="K333" t="n">
        <v>0</v>
      </c>
      <c r="L333" t="n">
        <v>0</v>
      </c>
      <c r="M333" t="n">
        <v>0</v>
      </c>
      <c r="N333" t="n">
        <v>0</v>
      </c>
      <c r="O333" t="n">
        <v>0</v>
      </c>
      <c r="P333" t="n">
        <v>0</v>
      </c>
      <c r="Q333" t="n">
        <v>0</v>
      </c>
      <c r="R333" s="2" t="inlineStr"/>
    </row>
    <row r="334" ht="15" customHeight="1">
      <c r="A334" t="inlineStr">
        <is>
          <t>A 37710-2023</t>
        </is>
      </c>
      <c r="B334" s="1" t="n">
        <v>45159.59186342593</v>
      </c>
      <c r="C334" s="1" t="n">
        <v>46104</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45355-2024</t>
        </is>
      </c>
      <c r="B335" s="1" t="n">
        <v>45576</v>
      </c>
      <c r="C335" s="1" t="n">
        <v>46104</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row>
    <row r="336" ht="15" customHeight="1">
      <c r="A336" t="inlineStr">
        <is>
          <t>A 37695-2024</t>
        </is>
      </c>
      <c r="B336" s="1" t="n">
        <v>45541.61094907407</v>
      </c>
      <c r="C336" s="1" t="n">
        <v>46104</v>
      </c>
      <c r="D336" t="inlineStr">
        <is>
          <t>DALARNAS LÄN</t>
        </is>
      </c>
      <c r="E336" t="inlineStr">
        <is>
          <t>MORA</t>
        </is>
      </c>
      <c r="G336" t="n">
        <v>19.7</v>
      </c>
      <c r="H336" t="n">
        <v>0</v>
      </c>
      <c r="I336" t="n">
        <v>0</v>
      </c>
      <c r="J336" t="n">
        <v>0</v>
      </c>
      <c r="K336" t="n">
        <v>0</v>
      </c>
      <c r="L336" t="n">
        <v>0</v>
      </c>
      <c r="M336" t="n">
        <v>0</v>
      </c>
      <c r="N336" t="n">
        <v>0</v>
      </c>
      <c r="O336" t="n">
        <v>0</v>
      </c>
      <c r="P336" t="n">
        <v>0</v>
      </c>
      <c r="Q336" t="n">
        <v>0</v>
      </c>
      <c r="R336" s="2" t="inlineStr"/>
    </row>
    <row r="337" ht="15" customHeight="1">
      <c r="A337" t="inlineStr">
        <is>
          <t>A 28934-2023</t>
        </is>
      </c>
      <c r="B337" s="1" t="n">
        <v>45104</v>
      </c>
      <c r="C337" s="1" t="n">
        <v>46104</v>
      </c>
      <c r="D337" t="inlineStr">
        <is>
          <t>DALARNAS LÄN</t>
        </is>
      </c>
      <c r="E337" t="inlineStr">
        <is>
          <t>MORA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8007-2026</t>
        </is>
      </c>
      <c r="B338" s="1" t="n">
        <v>46063.52565972223</v>
      </c>
      <c r="C338" s="1" t="n">
        <v>46104</v>
      </c>
      <c r="D338" t="inlineStr">
        <is>
          <t>DALARNAS LÄN</t>
        </is>
      </c>
      <c r="E338" t="inlineStr">
        <is>
          <t>MORA</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46104</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46090-2025</t>
        </is>
      </c>
      <c r="B340" s="1" t="n">
        <v>45924.5253125</v>
      </c>
      <c r="C340" s="1" t="n">
        <v>46104</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46091-2025</t>
        </is>
      </c>
      <c r="B341" s="1" t="n">
        <v>45924.52871527777</v>
      </c>
      <c r="C341" s="1" t="n">
        <v>46104</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46283-2025</t>
        </is>
      </c>
      <c r="B342" s="1" t="n">
        <v>45925</v>
      </c>
      <c r="C342" s="1" t="n">
        <v>46104</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5769-2025</t>
        </is>
      </c>
      <c r="B343" s="1" t="n">
        <v>45694.59288194445</v>
      </c>
      <c r="C343" s="1" t="n">
        <v>46104</v>
      </c>
      <c r="D343" t="inlineStr">
        <is>
          <t>DALARNAS LÄN</t>
        </is>
      </c>
      <c r="E343" t="inlineStr">
        <is>
          <t>MORA</t>
        </is>
      </c>
      <c r="G343" t="n">
        <v>15.7</v>
      </c>
      <c r="H343" t="n">
        <v>0</v>
      </c>
      <c r="I343" t="n">
        <v>0</v>
      </c>
      <c r="J343" t="n">
        <v>0</v>
      </c>
      <c r="K343" t="n">
        <v>0</v>
      </c>
      <c r="L343" t="n">
        <v>0</v>
      </c>
      <c r="M343" t="n">
        <v>0</v>
      </c>
      <c r="N343" t="n">
        <v>0</v>
      </c>
      <c r="O343" t="n">
        <v>0</v>
      </c>
      <c r="P343" t="n">
        <v>0</v>
      </c>
      <c r="Q343" t="n">
        <v>0</v>
      </c>
      <c r="R343" s="2" t="inlineStr"/>
    </row>
    <row r="344" ht="15" customHeight="1">
      <c r="A344" t="inlineStr">
        <is>
          <t>A 54253-2023</t>
        </is>
      </c>
      <c r="B344" s="1" t="n">
        <v>45232.63217592592</v>
      </c>
      <c r="C344" s="1" t="n">
        <v>46104</v>
      </c>
      <c r="D344" t="inlineStr">
        <is>
          <t>DALARNAS LÄN</t>
        </is>
      </c>
      <c r="E344" t="inlineStr">
        <is>
          <t>MORA</t>
        </is>
      </c>
      <c r="G344" t="n">
        <v>4.5</v>
      </c>
      <c r="H344" t="n">
        <v>0</v>
      </c>
      <c r="I344" t="n">
        <v>0</v>
      </c>
      <c r="J344" t="n">
        <v>0</v>
      </c>
      <c r="K344" t="n">
        <v>0</v>
      </c>
      <c r="L344" t="n">
        <v>0</v>
      </c>
      <c r="M344" t="n">
        <v>0</v>
      </c>
      <c r="N344" t="n">
        <v>0</v>
      </c>
      <c r="O344" t="n">
        <v>0</v>
      </c>
      <c r="P344" t="n">
        <v>0</v>
      </c>
      <c r="Q344" t="n">
        <v>0</v>
      </c>
      <c r="R344" s="2" t="inlineStr"/>
    </row>
    <row r="345" ht="15" customHeight="1">
      <c r="A345" t="inlineStr">
        <is>
          <t>A 63964-2025</t>
        </is>
      </c>
      <c r="B345" s="1" t="n">
        <v>46020</v>
      </c>
      <c r="C345" s="1" t="n">
        <v>46104</v>
      </c>
      <c r="D345" t="inlineStr">
        <is>
          <t>DALARNAS LÄN</t>
        </is>
      </c>
      <c r="E345" t="inlineStr">
        <is>
          <t>MORA</t>
        </is>
      </c>
      <c r="G345" t="n">
        <v>6.1</v>
      </c>
      <c r="H345" t="n">
        <v>0</v>
      </c>
      <c r="I345" t="n">
        <v>0</v>
      </c>
      <c r="J345" t="n">
        <v>0</v>
      </c>
      <c r="K345" t="n">
        <v>0</v>
      </c>
      <c r="L345" t="n">
        <v>0</v>
      </c>
      <c r="M345" t="n">
        <v>0</v>
      </c>
      <c r="N345" t="n">
        <v>0</v>
      </c>
      <c r="O345" t="n">
        <v>0</v>
      </c>
      <c r="P345" t="n">
        <v>0</v>
      </c>
      <c r="Q345" t="n">
        <v>0</v>
      </c>
      <c r="R345" s="2" t="inlineStr"/>
    </row>
    <row r="346" ht="15" customHeight="1">
      <c r="A346" t="inlineStr">
        <is>
          <t>A 57608-2021</t>
        </is>
      </c>
      <c r="B346" s="1" t="n">
        <v>44484</v>
      </c>
      <c r="C346" s="1" t="n">
        <v>46104</v>
      </c>
      <c r="D346" t="inlineStr">
        <is>
          <t>DALARNAS LÄN</t>
        </is>
      </c>
      <c r="E346" t="inlineStr">
        <is>
          <t>MORA</t>
        </is>
      </c>
      <c r="G346" t="n">
        <v>6.3</v>
      </c>
      <c r="H346" t="n">
        <v>0</v>
      </c>
      <c r="I346" t="n">
        <v>0</v>
      </c>
      <c r="J346" t="n">
        <v>0</v>
      </c>
      <c r="K346" t="n">
        <v>0</v>
      </c>
      <c r="L346" t="n">
        <v>0</v>
      </c>
      <c r="M346" t="n">
        <v>0</v>
      </c>
      <c r="N346" t="n">
        <v>0</v>
      </c>
      <c r="O346" t="n">
        <v>0</v>
      </c>
      <c r="P346" t="n">
        <v>0</v>
      </c>
      <c r="Q346" t="n">
        <v>0</v>
      </c>
      <c r="R346" s="2" t="inlineStr"/>
    </row>
    <row r="347" ht="15" customHeight="1">
      <c r="A347" t="inlineStr">
        <is>
          <t>A 46525-2025</t>
        </is>
      </c>
      <c r="B347" s="1" t="n">
        <v>45926.3312962963</v>
      </c>
      <c r="C347" s="1" t="n">
        <v>46104</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8361-2026</t>
        </is>
      </c>
      <c r="B348" s="1" t="n">
        <v>46064.6643287037</v>
      </c>
      <c r="C348" s="1" t="n">
        <v>46104</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8470-2026</t>
        </is>
      </c>
      <c r="B349" s="1" t="n">
        <v>46065.4490162037</v>
      </c>
      <c r="C349" s="1" t="n">
        <v>46104</v>
      </c>
      <c r="D349" t="inlineStr">
        <is>
          <t>DALARNAS LÄN</t>
        </is>
      </c>
      <c r="E349" t="inlineStr">
        <is>
          <t>MORA</t>
        </is>
      </c>
      <c r="G349" t="n">
        <v>3.1</v>
      </c>
      <c r="H349" t="n">
        <v>0</v>
      </c>
      <c r="I349" t="n">
        <v>0</v>
      </c>
      <c r="J349" t="n">
        <v>0</v>
      </c>
      <c r="K349" t="n">
        <v>0</v>
      </c>
      <c r="L349" t="n">
        <v>0</v>
      </c>
      <c r="M349" t="n">
        <v>0</v>
      </c>
      <c r="N349" t="n">
        <v>0</v>
      </c>
      <c r="O349" t="n">
        <v>0</v>
      </c>
      <c r="P349" t="n">
        <v>0</v>
      </c>
      <c r="Q349" t="n">
        <v>0</v>
      </c>
      <c r="R349" s="2" t="inlineStr"/>
    </row>
    <row r="350" ht="15" customHeight="1">
      <c r="A350" t="inlineStr">
        <is>
          <t>A 46537-2025</t>
        </is>
      </c>
      <c r="B350" s="1" t="n">
        <v>45926.34195601852</v>
      </c>
      <c r="C350" s="1" t="n">
        <v>46104</v>
      </c>
      <c r="D350" t="inlineStr">
        <is>
          <t>DALARNAS LÄN</t>
        </is>
      </c>
      <c r="E350" t="inlineStr">
        <is>
          <t>MORA</t>
        </is>
      </c>
      <c r="G350" t="n">
        <v>10.6</v>
      </c>
      <c r="H350" t="n">
        <v>0</v>
      </c>
      <c r="I350" t="n">
        <v>0</v>
      </c>
      <c r="J350" t="n">
        <v>0</v>
      </c>
      <c r="K350" t="n">
        <v>0</v>
      </c>
      <c r="L350" t="n">
        <v>0</v>
      </c>
      <c r="M350" t="n">
        <v>0</v>
      </c>
      <c r="N350" t="n">
        <v>0</v>
      </c>
      <c r="O350" t="n">
        <v>0</v>
      </c>
      <c r="P350" t="n">
        <v>0</v>
      </c>
      <c r="Q350" t="n">
        <v>0</v>
      </c>
      <c r="R350" s="2" t="inlineStr"/>
    </row>
    <row r="351" ht="15" customHeight="1">
      <c r="A351" t="inlineStr">
        <is>
          <t>A 47140-2025</t>
        </is>
      </c>
      <c r="B351" s="1" t="n">
        <v>45929</v>
      </c>
      <c r="C351" s="1" t="n">
        <v>46104</v>
      </c>
      <c r="D351" t="inlineStr">
        <is>
          <t>DALARNAS LÄN</t>
        </is>
      </c>
      <c r="E351" t="inlineStr">
        <is>
          <t>MORA</t>
        </is>
      </c>
      <c r="G351" t="n">
        <v>6.7</v>
      </c>
      <c r="H351" t="n">
        <v>0</v>
      </c>
      <c r="I351" t="n">
        <v>0</v>
      </c>
      <c r="J351" t="n">
        <v>0</v>
      </c>
      <c r="K351" t="n">
        <v>0</v>
      </c>
      <c r="L351" t="n">
        <v>0</v>
      </c>
      <c r="M351" t="n">
        <v>0</v>
      </c>
      <c r="N351" t="n">
        <v>0</v>
      </c>
      <c r="O351" t="n">
        <v>0</v>
      </c>
      <c r="P351" t="n">
        <v>0</v>
      </c>
      <c r="Q351" t="n">
        <v>0</v>
      </c>
      <c r="R351" s="2" t="inlineStr"/>
    </row>
    <row r="352" ht="15" customHeight="1">
      <c r="A352" t="inlineStr">
        <is>
          <t>A 17393-2025</t>
        </is>
      </c>
      <c r="B352" s="1" t="n">
        <v>45757.34350694445</v>
      </c>
      <c r="C352" s="1" t="n">
        <v>46104</v>
      </c>
      <c r="D352" t="inlineStr">
        <is>
          <t>DALARNAS LÄN</t>
        </is>
      </c>
      <c r="E352" t="inlineStr">
        <is>
          <t>MORA</t>
        </is>
      </c>
      <c r="G352" t="n">
        <v>10.1</v>
      </c>
      <c r="H352" t="n">
        <v>0</v>
      </c>
      <c r="I352" t="n">
        <v>0</v>
      </c>
      <c r="J352" t="n">
        <v>0</v>
      </c>
      <c r="K352" t="n">
        <v>0</v>
      </c>
      <c r="L352" t="n">
        <v>0</v>
      </c>
      <c r="M352" t="n">
        <v>0</v>
      </c>
      <c r="N352" t="n">
        <v>0</v>
      </c>
      <c r="O352" t="n">
        <v>0</v>
      </c>
      <c r="P352" t="n">
        <v>0</v>
      </c>
      <c r="Q352" t="n">
        <v>0</v>
      </c>
      <c r="R352" s="2" t="inlineStr"/>
    </row>
    <row r="353" ht="15" customHeight="1">
      <c r="A353" t="inlineStr">
        <is>
          <t>A 47055-2025</t>
        </is>
      </c>
      <c r="B353" s="1" t="n">
        <v>45929.61931712963</v>
      </c>
      <c r="C353" s="1" t="n">
        <v>46104</v>
      </c>
      <c r="D353" t="inlineStr">
        <is>
          <t>DALARNAS LÄN</t>
        </is>
      </c>
      <c r="E353" t="inlineStr">
        <is>
          <t>MORA</t>
        </is>
      </c>
      <c r="G353" t="n">
        <v>28.1</v>
      </c>
      <c r="H353" t="n">
        <v>0</v>
      </c>
      <c r="I353" t="n">
        <v>0</v>
      </c>
      <c r="J353" t="n">
        <v>0</v>
      </c>
      <c r="K353" t="n">
        <v>0</v>
      </c>
      <c r="L353" t="n">
        <v>0</v>
      </c>
      <c r="M353" t="n">
        <v>0</v>
      </c>
      <c r="N353" t="n">
        <v>0</v>
      </c>
      <c r="O353" t="n">
        <v>0</v>
      </c>
      <c r="P353" t="n">
        <v>0</v>
      </c>
      <c r="Q353" t="n">
        <v>0</v>
      </c>
      <c r="R353" s="2" t="inlineStr"/>
    </row>
    <row r="354" ht="15" customHeight="1">
      <c r="A354" t="inlineStr">
        <is>
          <t>A 47072-2025</t>
        </is>
      </c>
      <c r="B354" s="1" t="n">
        <v>45929.6365162037</v>
      </c>
      <c r="C354" s="1" t="n">
        <v>46104</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8549-2026</t>
        </is>
      </c>
      <c r="B355" s="1" t="n">
        <v>46065.61790509259</v>
      </c>
      <c r="C355" s="1" t="n">
        <v>46104</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56767-2024</t>
        </is>
      </c>
      <c r="B356" s="1" t="n">
        <v>45628.41274305555</v>
      </c>
      <c r="C356" s="1" t="n">
        <v>46104</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8762-2026</t>
        </is>
      </c>
      <c r="B357" s="1" t="n">
        <v>46066.55876157407</v>
      </c>
      <c r="C357" s="1" t="n">
        <v>46104</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25887-2023</t>
        </is>
      </c>
      <c r="B358" s="1" t="n">
        <v>45090.62493055555</v>
      </c>
      <c r="C358" s="1" t="n">
        <v>46104</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24947-2025</t>
        </is>
      </c>
      <c r="B359" s="1" t="n">
        <v>45799.56524305556</v>
      </c>
      <c r="C359" s="1" t="n">
        <v>46104</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24630-2025</t>
        </is>
      </c>
      <c r="B360" s="1" t="n">
        <v>45798.6003587963</v>
      </c>
      <c r="C360" s="1" t="n">
        <v>46104</v>
      </c>
      <c r="D360" t="inlineStr">
        <is>
          <t>DALARNAS LÄN</t>
        </is>
      </c>
      <c r="E360" t="inlineStr">
        <is>
          <t>MORA</t>
        </is>
      </c>
      <c r="F360" t="inlineStr">
        <is>
          <t>Bergvik skog väst AB</t>
        </is>
      </c>
      <c r="G360" t="n">
        <v>10.4</v>
      </c>
      <c r="H360" t="n">
        <v>0</v>
      </c>
      <c r="I360" t="n">
        <v>0</v>
      </c>
      <c r="J360" t="n">
        <v>0</v>
      </c>
      <c r="K360" t="n">
        <v>0</v>
      </c>
      <c r="L360" t="n">
        <v>0</v>
      </c>
      <c r="M360" t="n">
        <v>0</v>
      </c>
      <c r="N360" t="n">
        <v>0</v>
      </c>
      <c r="O360" t="n">
        <v>0</v>
      </c>
      <c r="P360" t="n">
        <v>0</v>
      </c>
      <c r="Q360" t="n">
        <v>0</v>
      </c>
      <c r="R360" s="2" t="inlineStr"/>
    </row>
    <row r="361" ht="15" customHeight="1">
      <c r="A361" t="inlineStr">
        <is>
          <t>A 24960-2025</t>
        </is>
      </c>
      <c r="B361" s="1" t="n">
        <v>45799.57666666667</v>
      </c>
      <c r="C361" s="1" t="n">
        <v>46104</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239-2026</t>
        </is>
      </c>
      <c r="B362" s="1" t="n">
        <v>46027</v>
      </c>
      <c r="C362" s="1" t="n">
        <v>46104</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141-2026</t>
        </is>
      </c>
      <c r="B363" s="1" t="n">
        <v>46024.62364583334</v>
      </c>
      <c r="C363" s="1" t="n">
        <v>46104</v>
      </c>
      <c r="D363" t="inlineStr">
        <is>
          <t>DALARNAS LÄN</t>
        </is>
      </c>
      <c r="E363" t="inlineStr">
        <is>
          <t>MORA</t>
        </is>
      </c>
      <c r="G363" t="n">
        <v>4.4</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46104</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8983-2026</t>
        </is>
      </c>
      <c r="B365" s="1" t="n">
        <v>46069</v>
      </c>
      <c r="C365" s="1" t="n">
        <v>46104</v>
      </c>
      <c r="D365" t="inlineStr">
        <is>
          <t>DALARNAS LÄN</t>
        </is>
      </c>
      <c r="E365" t="inlineStr">
        <is>
          <t>MORA</t>
        </is>
      </c>
      <c r="G365" t="n">
        <v>4.8</v>
      </c>
      <c r="H365" t="n">
        <v>0</v>
      </c>
      <c r="I365" t="n">
        <v>0</v>
      </c>
      <c r="J365" t="n">
        <v>0</v>
      </c>
      <c r="K365" t="n">
        <v>0</v>
      </c>
      <c r="L365" t="n">
        <v>0</v>
      </c>
      <c r="M365" t="n">
        <v>0</v>
      </c>
      <c r="N365" t="n">
        <v>0</v>
      </c>
      <c r="O365" t="n">
        <v>0</v>
      </c>
      <c r="P365" t="n">
        <v>0</v>
      </c>
      <c r="Q365" t="n">
        <v>0</v>
      </c>
      <c r="R365" s="2" t="inlineStr"/>
    </row>
    <row r="366" ht="15" customHeight="1">
      <c r="A366" t="inlineStr">
        <is>
          <t>A 47765-2025</t>
        </is>
      </c>
      <c r="B366" s="1" t="n">
        <v>45931.69100694444</v>
      </c>
      <c r="C366" s="1" t="n">
        <v>46104</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47769-2025</t>
        </is>
      </c>
      <c r="B367" s="1" t="n">
        <v>45931.70715277778</v>
      </c>
      <c r="C367" s="1" t="n">
        <v>46104</v>
      </c>
      <c r="D367" t="inlineStr">
        <is>
          <t>DALARNAS LÄN</t>
        </is>
      </c>
      <c r="E367" t="inlineStr">
        <is>
          <t>MORA</t>
        </is>
      </c>
      <c r="G367" t="n">
        <v>6.7</v>
      </c>
      <c r="H367" t="n">
        <v>0</v>
      </c>
      <c r="I367" t="n">
        <v>0</v>
      </c>
      <c r="J367" t="n">
        <v>0</v>
      </c>
      <c r="K367" t="n">
        <v>0</v>
      </c>
      <c r="L367" t="n">
        <v>0</v>
      </c>
      <c r="M367" t="n">
        <v>0</v>
      </c>
      <c r="N367" t="n">
        <v>0</v>
      </c>
      <c r="O367" t="n">
        <v>0</v>
      </c>
      <c r="P367" t="n">
        <v>0</v>
      </c>
      <c r="Q367" t="n">
        <v>0</v>
      </c>
      <c r="R367" s="2" t="inlineStr"/>
    </row>
    <row r="368" ht="15" customHeight="1">
      <c r="A368" t="inlineStr">
        <is>
          <t>A 24642-2025</t>
        </is>
      </c>
      <c r="B368" s="1" t="n">
        <v>45798.62894675926</v>
      </c>
      <c r="C368" s="1" t="n">
        <v>46104</v>
      </c>
      <c r="D368" t="inlineStr">
        <is>
          <t>DALARNAS LÄN</t>
        </is>
      </c>
      <c r="E368" t="inlineStr">
        <is>
          <t>MORA</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9083-2026</t>
        </is>
      </c>
      <c r="B369" s="1" t="n">
        <v>46069</v>
      </c>
      <c r="C369" s="1" t="n">
        <v>46104</v>
      </c>
      <c r="D369" t="inlineStr">
        <is>
          <t>DALARNAS LÄN</t>
        </is>
      </c>
      <c r="E369" t="inlineStr">
        <is>
          <t>MORA</t>
        </is>
      </c>
      <c r="G369" t="n">
        <v>10.1</v>
      </c>
      <c r="H369" t="n">
        <v>0</v>
      </c>
      <c r="I369" t="n">
        <v>0</v>
      </c>
      <c r="J369" t="n">
        <v>0</v>
      </c>
      <c r="K369" t="n">
        <v>0</v>
      </c>
      <c r="L369" t="n">
        <v>0</v>
      </c>
      <c r="M369" t="n">
        <v>0</v>
      </c>
      <c r="N369" t="n">
        <v>0</v>
      </c>
      <c r="O369" t="n">
        <v>0</v>
      </c>
      <c r="P369" t="n">
        <v>0</v>
      </c>
      <c r="Q369" t="n">
        <v>0</v>
      </c>
      <c r="R369" s="2" t="inlineStr"/>
    </row>
    <row r="370" ht="15" customHeight="1">
      <c r="A370" t="inlineStr">
        <is>
          <t>A 64099-2023</t>
        </is>
      </c>
      <c r="B370" s="1" t="n">
        <v>45279.46009259259</v>
      </c>
      <c r="C370" s="1" t="n">
        <v>46104</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9412-2026</t>
        </is>
      </c>
      <c r="B371" s="1" t="n">
        <v>46071.42309027778</v>
      </c>
      <c r="C371" s="1" t="n">
        <v>46104</v>
      </c>
      <c r="D371" t="inlineStr">
        <is>
          <t>DALARNAS LÄN</t>
        </is>
      </c>
      <c r="E371" t="inlineStr">
        <is>
          <t>MORA</t>
        </is>
      </c>
      <c r="G371" t="n">
        <v>3.4</v>
      </c>
      <c r="H371" t="n">
        <v>0</v>
      </c>
      <c r="I371" t="n">
        <v>0</v>
      </c>
      <c r="J371" t="n">
        <v>0</v>
      </c>
      <c r="K371" t="n">
        <v>0</v>
      </c>
      <c r="L371" t="n">
        <v>0</v>
      </c>
      <c r="M371" t="n">
        <v>0</v>
      </c>
      <c r="N371" t="n">
        <v>0</v>
      </c>
      <c r="O371" t="n">
        <v>0</v>
      </c>
      <c r="P371" t="n">
        <v>0</v>
      </c>
      <c r="Q371" t="n">
        <v>0</v>
      </c>
      <c r="R371" s="2" t="inlineStr"/>
    </row>
    <row r="372" ht="15" customHeight="1">
      <c r="A372" t="inlineStr">
        <is>
          <t>A 7849-2026</t>
        </is>
      </c>
      <c r="B372" s="1" t="n">
        <v>46062</v>
      </c>
      <c r="C372" s="1" t="n">
        <v>46104</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48376-2025</t>
        </is>
      </c>
      <c r="B373" s="1" t="n">
        <v>45933.71648148148</v>
      </c>
      <c r="C373" s="1" t="n">
        <v>46104</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47860-2025</t>
        </is>
      </c>
      <c r="B374" s="1" t="n">
        <v>45932.42298611111</v>
      </c>
      <c r="C374" s="1" t="n">
        <v>46104</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60962-2025</t>
        </is>
      </c>
      <c r="B375" s="1" t="n">
        <v>45999.66488425926</v>
      </c>
      <c r="C375" s="1" t="n">
        <v>46104</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19910-2024</t>
        </is>
      </c>
      <c r="B376" s="1" t="n">
        <v>45433.5741087963</v>
      </c>
      <c r="C376" s="1" t="n">
        <v>46104</v>
      </c>
      <c r="D376" t="inlineStr">
        <is>
          <t>DALARNAS LÄN</t>
        </is>
      </c>
      <c r="E376" t="inlineStr">
        <is>
          <t>MORA</t>
        </is>
      </c>
      <c r="G376" t="n">
        <v>0.9</v>
      </c>
      <c r="H376" t="n">
        <v>0</v>
      </c>
      <c r="I376" t="n">
        <v>0</v>
      </c>
      <c r="J376" t="n">
        <v>0</v>
      </c>
      <c r="K376" t="n">
        <v>0</v>
      </c>
      <c r="L376" t="n">
        <v>0</v>
      </c>
      <c r="M376" t="n">
        <v>0</v>
      </c>
      <c r="N376" t="n">
        <v>0</v>
      </c>
      <c r="O376" t="n">
        <v>0</v>
      </c>
      <c r="P376" t="n">
        <v>0</v>
      </c>
      <c r="Q376" t="n">
        <v>0</v>
      </c>
      <c r="R376" s="2" t="inlineStr"/>
    </row>
    <row r="377" ht="15" customHeight="1">
      <c r="A377" t="inlineStr">
        <is>
          <t>A 23300-2024</t>
        </is>
      </c>
      <c r="B377" s="1" t="n">
        <v>45453.43695601852</v>
      </c>
      <c r="C377" s="1" t="n">
        <v>46104</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48377-2025</t>
        </is>
      </c>
      <c r="B378" s="1" t="n">
        <v>45933.71896990741</v>
      </c>
      <c r="C378" s="1" t="n">
        <v>46104</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665-2026</t>
        </is>
      </c>
      <c r="B379" s="1" t="n">
        <v>46029</v>
      </c>
      <c r="C379" s="1" t="n">
        <v>46104</v>
      </c>
      <c r="D379" t="inlineStr">
        <is>
          <t>DALARNAS LÄN</t>
        </is>
      </c>
      <c r="E379" t="inlineStr">
        <is>
          <t>MORA</t>
        </is>
      </c>
      <c r="F379" t="inlineStr">
        <is>
          <t>Kommuner</t>
        </is>
      </c>
      <c r="G379" t="n">
        <v>20.9</v>
      </c>
      <c r="H379" t="n">
        <v>0</v>
      </c>
      <c r="I379" t="n">
        <v>0</v>
      </c>
      <c r="J379" t="n">
        <v>0</v>
      </c>
      <c r="K379" t="n">
        <v>0</v>
      </c>
      <c r="L379" t="n">
        <v>0</v>
      </c>
      <c r="M379" t="n">
        <v>0</v>
      </c>
      <c r="N379" t="n">
        <v>0</v>
      </c>
      <c r="O379" t="n">
        <v>0</v>
      </c>
      <c r="P379" t="n">
        <v>0</v>
      </c>
      <c r="Q379" t="n">
        <v>0</v>
      </c>
      <c r="R379" s="2" t="inlineStr"/>
    </row>
    <row r="380" ht="15" customHeight="1">
      <c r="A380" t="inlineStr">
        <is>
          <t>A 19896-2021</t>
        </is>
      </c>
      <c r="B380" s="1" t="n">
        <v>44313.54942129629</v>
      </c>
      <c r="C380" s="1" t="n">
        <v>46104</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46104</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35521-2023</t>
        </is>
      </c>
      <c r="B382" s="1" t="n">
        <v>45147.33251157407</v>
      </c>
      <c r="C382" s="1" t="n">
        <v>46104</v>
      </c>
      <c r="D382" t="inlineStr">
        <is>
          <t>DALARNAS LÄN</t>
        </is>
      </c>
      <c r="E382" t="inlineStr">
        <is>
          <t>MORA</t>
        </is>
      </c>
      <c r="G382" t="n">
        <v>3.7</v>
      </c>
      <c r="H382" t="n">
        <v>0</v>
      </c>
      <c r="I382" t="n">
        <v>0</v>
      </c>
      <c r="J382" t="n">
        <v>0</v>
      </c>
      <c r="K382" t="n">
        <v>0</v>
      </c>
      <c r="L382" t="n">
        <v>0</v>
      </c>
      <c r="M382" t="n">
        <v>0</v>
      </c>
      <c r="N382" t="n">
        <v>0</v>
      </c>
      <c r="O382" t="n">
        <v>0</v>
      </c>
      <c r="P382" t="n">
        <v>0</v>
      </c>
      <c r="Q382" t="n">
        <v>0</v>
      </c>
      <c r="R382" s="2" t="inlineStr"/>
    </row>
    <row r="383" ht="15" customHeight="1">
      <c r="A383" t="inlineStr">
        <is>
          <t>A 60715-2023</t>
        </is>
      </c>
      <c r="B383" s="1" t="n">
        <v>45260.52684027778</v>
      </c>
      <c r="C383" s="1" t="n">
        <v>46104</v>
      </c>
      <c r="D383" t="inlineStr">
        <is>
          <t>DALARNAS LÄN</t>
        </is>
      </c>
      <c r="E383" t="inlineStr">
        <is>
          <t>MORA</t>
        </is>
      </c>
      <c r="G383" t="n">
        <v>1.7</v>
      </c>
      <c r="H383" t="n">
        <v>0</v>
      </c>
      <c r="I383" t="n">
        <v>0</v>
      </c>
      <c r="J383" t="n">
        <v>0</v>
      </c>
      <c r="K383" t="n">
        <v>0</v>
      </c>
      <c r="L383" t="n">
        <v>0</v>
      </c>
      <c r="M383" t="n">
        <v>0</v>
      </c>
      <c r="N383" t="n">
        <v>0</v>
      </c>
      <c r="O383" t="n">
        <v>0</v>
      </c>
      <c r="P383" t="n">
        <v>0</v>
      </c>
      <c r="Q383" t="n">
        <v>0</v>
      </c>
      <c r="R383" s="2" t="inlineStr"/>
    </row>
    <row r="384" ht="15" customHeight="1">
      <c r="A384" t="inlineStr">
        <is>
          <t>A 54257-2023</t>
        </is>
      </c>
      <c r="B384" s="1" t="n">
        <v>45232.64195601852</v>
      </c>
      <c r="C384" s="1" t="n">
        <v>46104</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902-2026</t>
        </is>
      </c>
      <c r="B385" s="1" t="n">
        <v>46030.46954861111</v>
      </c>
      <c r="C385" s="1" t="n">
        <v>46104</v>
      </c>
      <c r="D385" t="inlineStr">
        <is>
          <t>DALARNAS LÄN</t>
        </is>
      </c>
      <c r="E385" t="inlineStr">
        <is>
          <t>MORA</t>
        </is>
      </c>
      <c r="G385" t="n">
        <v>4.2</v>
      </c>
      <c r="H385" t="n">
        <v>0</v>
      </c>
      <c r="I385" t="n">
        <v>0</v>
      </c>
      <c r="J385" t="n">
        <v>0</v>
      </c>
      <c r="K385" t="n">
        <v>0</v>
      </c>
      <c r="L385" t="n">
        <v>0</v>
      </c>
      <c r="M385" t="n">
        <v>0</v>
      </c>
      <c r="N385" t="n">
        <v>0</v>
      </c>
      <c r="O385" t="n">
        <v>0</v>
      </c>
      <c r="P385" t="n">
        <v>0</v>
      </c>
      <c r="Q385" t="n">
        <v>0</v>
      </c>
      <c r="R385" s="2" t="inlineStr"/>
    </row>
    <row r="386" ht="15" customHeight="1">
      <c r="A386" t="inlineStr">
        <is>
          <t>A 47716-2025</t>
        </is>
      </c>
      <c r="B386" s="1" t="n">
        <v>45931</v>
      </c>
      <c r="C386" s="1" t="n">
        <v>46104</v>
      </c>
      <c r="D386" t="inlineStr">
        <is>
          <t>DALARNAS LÄN</t>
        </is>
      </c>
      <c r="E386" t="inlineStr">
        <is>
          <t>MORA</t>
        </is>
      </c>
      <c r="G386" t="n">
        <v>8.9</v>
      </c>
      <c r="H386" t="n">
        <v>0</v>
      </c>
      <c r="I386" t="n">
        <v>0</v>
      </c>
      <c r="J386" t="n">
        <v>0</v>
      </c>
      <c r="K386" t="n">
        <v>0</v>
      </c>
      <c r="L386" t="n">
        <v>0</v>
      </c>
      <c r="M386" t="n">
        <v>0</v>
      </c>
      <c r="N386" t="n">
        <v>0</v>
      </c>
      <c r="O386" t="n">
        <v>0</v>
      </c>
      <c r="P386" t="n">
        <v>0</v>
      </c>
      <c r="Q386" t="n">
        <v>0</v>
      </c>
      <c r="R386" s="2" t="inlineStr"/>
    </row>
    <row r="387" ht="15" customHeight="1">
      <c r="A387" t="inlineStr">
        <is>
          <t>A 48927-2025</t>
        </is>
      </c>
      <c r="B387" s="1" t="n">
        <v>45931</v>
      </c>
      <c r="C387" s="1" t="n">
        <v>46104</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48926-2025</t>
        </is>
      </c>
      <c r="B388" s="1" t="n">
        <v>45937.50666666667</v>
      </c>
      <c r="C388" s="1" t="n">
        <v>46104</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9421-2026</t>
        </is>
      </c>
      <c r="B389" s="1" t="n">
        <v>46071.44172453704</v>
      </c>
      <c r="C389" s="1" t="n">
        <v>46104</v>
      </c>
      <c r="D389" t="inlineStr">
        <is>
          <t>DALARNAS LÄN</t>
        </is>
      </c>
      <c r="E389" t="inlineStr">
        <is>
          <t>MORA</t>
        </is>
      </c>
      <c r="G389" t="n">
        <v>8.1</v>
      </c>
      <c r="H389" t="n">
        <v>0</v>
      </c>
      <c r="I389" t="n">
        <v>0</v>
      </c>
      <c r="J389" t="n">
        <v>0</v>
      </c>
      <c r="K389" t="n">
        <v>0</v>
      </c>
      <c r="L389" t="n">
        <v>0</v>
      </c>
      <c r="M389" t="n">
        <v>0</v>
      </c>
      <c r="N389" t="n">
        <v>0</v>
      </c>
      <c r="O389" t="n">
        <v>0</v>
      </c>
      <c r="P389" t="n">
        <v>0</v>
      </c>
      <c r="Q389" t="n">
        <v>0</v>
      </c>
      <c r="R389" s="2" t="inlineStr"/>
    </row>
    <row r="390" ht="15" customHeight="1">
      <c r="A390" t="inlineStr">
        <is>
          <t>A 54398-2021</t>
        </is>
      </c>
      <c r="B390" s="1" t="n">
        <v>44473.39252314815</v>
      </c>
      <c r="C390" s="1" t="n">
        <v>46104</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48929-2025</t>
        </is>
      </c>
      <c r="B391" s="1" t="n">
        <v>45937.51315972222</v>
      </c>
      <c r="C391" s="1" t="n">
        <v>46104</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25499-2024</t>
        </is>
      </c>
      <c r="B392" s="1" t="n">
        <v>45463</v>
      </c>
      <c r="C392" s="1" t="n">
        <v>46104</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49404-2025</t>
        </is>
      </c>
      <c r="B393" s="1" t="n">
        <v>45938.67662037037</v>
      </c>
      <c r="C393" s="1" t="n">
        <v>46104</v>
      </c>
      <c r="D393" t="inlineStr">
        <is>
          <t>DALARNAS LÄN</t>
        </is>
      </c>
      <c r="E393" t="inlineStr">
        <is>
          <t>MORA</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49401-2025</t>
        </is>
      </c>
      <c r="B394" s="1" t="n">
        <v>45938.66932870371</v>
      </c>
      <c r="C394" s="1" t="n">
        <v>46104</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58958-2022</t>
        </is>
      </c>
      <c r="B395" s="1" t="n">
        <v>44903.6605324074</v>
      </c>
      <c r="C395" s="1" t="n">
        <v>46104</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1068-2026</t>
        </is>
      </c>
      <c r="B396" s="1" t="n">
        <v>46030</v>
      </c>
      <c r="C396" s="1" t="n">
        <v>46104</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52908-2023</t>
        </is>
      </c>
      <c r="B397" s="1" t="n">
        <v>45226.49950231481</v>
      </c>
      <c r="C397" s="1" t="n">
        <v>46104</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1102-2026</t>
        </is>
      </c>
      <c r="B398" s="1" t="n">
        <v>46030.66743055556</v>
      </c>
      <c r="C398" s="1" t="n">
        <v>46104</v>
      </c>
      <c r="D398" t="inlineStr">
        <is>
          <t>DALARNAS LÄN</t>
        </is>
      </c>
      <c r="E398" t="inlineStr">
        <is>
          <t>MORA</t>
        </is>
      </c>
      <c r="G398" t="n">
        <v>1.5</v>
      </c>
      <c r="H398" t="n">
        <v>0</v>
      </c>
      <c r="I398" t="n">
        <v>0</v>
      </c>
      <c r="J398" t="n">
        <v>0</v>
      </c>
      <c r="K398" t="n">
        <v>0</v>
      </c>
      <c r="L398" t="n">
        <v>0</v>
      </c>
      <c r="M398" t="n">
        <v>0</v>
      </c>
      <c r="N398" t="n">
        <v>0</v>
      </c>
      <c r="O398" t="n">
        <v>0</v>
      </c>
      <c r="P398" t="n">
        <v>0</v>
      </c>
      <c r="Q398" t="n">
        <v>0</v>
      </c>
      <c r="R398" s="2" t="inlineStr"/>
    </row>
    <row r="399" ht="15" customHeight="1">
      <c r="A399" t="inlineStr">
        <is>
          <t>A 49574-2025</t>
        </is>
      </c>
      <c r="B399" s="1" t="n">
        <v>45939.49045138889</v>
      </c>
      <c r="C399" s="1" t="n">
        <v>46104</v>
      </c>
      <c r="D399" t="inlineStr">
        <is>
          <t>DALARNAS LÄN</t>
        </is>
      </c>
      <c r="E399" t="inlineStr">
        <is>
          <t>MORA</t>
        </is>
      </c>
      <c r="G399" t="n">
        <v>6.3</v>
      </c>
      <c r="H399" t="n">
        <v>0</v>
      </c>
      <c r="I399" t="n">
        <v>0</v>
      </c>
      <c r="J399" t="n">
        <v>0</v>
      </c>
      <c r="K399" t="n">
        <v>0</v>
      </c>
      <c r="L399" t="n">
        <v>0</v>
      </c>
      <c r="M399" t="n">
        <v>0</v>
      </c>
      <c r="N399" t="n">
        <v>0</v>
      </c>
      <c r="O399" t="n">
        <v>0</v>
      </c>
      <c r="P399" t="n">
        <v>0</v>
      </c>
      <c r="Q399" t="n">
        <v>0</v>
      </c>
      <c r="R399" s="2" t="inlineStr"/>
    </row>
    <row r="400" ht="15" customHeight="1">
      <c r="A400" t="inlineStr">
        <is>
          <t>A 8474-2026</t>
        </is>
      </c>
      <c r="B400" s="1" t="n">
        <v>46065</v>
      </c>
      <c r="C400" s="1" t="n">
        <v>46104</v>
      </c>
      <c r="D400" t="inlineStr">
        <is>
          <t>DALARNAS LÄN</t>
        </is>
      </c>
      <c r="E400" t="inlineStr">
        <is>
          <t>MORA</t>
        </is>
      </c>
      <c r="G400" t="n">
        <v>4.7</v>
      </c>
      <c r="H400" t="n">
        <v>0</v>
      </c>
      <c r="I400" t="n">
        <v>0</v>
      </c>
      <c r="J400" t="n">
        <v>0</v>
      </c>
      <c r="K400" t="n">
        <v>0</v>
      </c>
      <c r="L400" t="n">
        <v>0</v>
      </c>
      <c r="M400" t="n">
        <v>0</v>
      </c>
      <c r="N400" t="n">
        <v>0</v>
      </c>
      <c r="O400" t="n">
        <v>0</v>
      </c>
      <c r="P400" t="n">
        <v>0</v>
      </c>
      <c r="Q400" t="n">
        <v>0</v>
      </c>
      <c r="R400" s="2" t="inlineStr"/>
    </row>
    <row r="401" ht="15" customHeight="1">
      <c r="A401" t="inlineStr">
        <is>
          <t>A 18214-2024</t>
        </is>
      </c>
      <c r="B401" s="1" t="n">
        <v>45420</v>
      </c>
      <c r="C401" s="1" t="n">
        <v>46104</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49828-2025</t>
        </is>
      </c>
      <c r="B402" s="1" t="n">
        <v>45940.44993055556</v>
      </c>
      <c r="C402" s="1" t="n">
        <v>46104</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1881-2026</t>
        </is>
      </c>
      <c r="B403" s="1" t="n">
        <v>46035.4731712963</v>
      </c>
      <c r="C403" s="1" t="n">
        <v>46104</v>
      </c>
      <c r="D403" t="inlineStr">
        <is>
          <t>DALARNAS LÄN</t>
        </is>
      </c>
      <c r="E403" t="inlineStr">
        <is>
          <t>MORA</t>
        </is>
      </c>
      <c r="G403" t="n">
        <v>5.2</v>
      </c>
      <c r="H403" t="n">
        <v>0</v>
      </c>
      <c r="I403" t="n">
        <v>0</v>
      </c>
      <c r="J403" t="n">
        <v>0</v>
      </c>
      <c r="K403" t="n">
        <v>0</v>
      </c>
      <c r="L403" t="n">
        <v>0</v>
      </c>
      <c r="M403" t="n">
        <v>0</v>
      </c>
      <c r="N403" t="n">
        <v>0</v>
      </c>
      <c r="O403" t="n">
        <v>0</v>
      </c>
      <c r="P403" t="n">
        <v>0</v>
      </c>
      <c r="Q403" t="n">
        <v>0</v>
      </c>
      <c r="R403" s="2" t="inlineStr"/>
    </row>
    <row r="404" ht="15" customHeight="1">
      <c r="A404" t="inlineStr">
        <is>
          <t>A 60465-2023</t>
        </is>
      </c>
      <c r="B404" s="1" t="n">
        <v>45259.57872685185</v>
      </c>
      <c r="C404" s="1" t="n">
        <v>46104</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61654-2024</t>
        </is>
      </c>
      <c r="B405" s="1" t="n">
        <v>45646.74988425926</v>
      </c>
      <c r="C405" s="1" t="n">
        <v>46104</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60428-2023</t>
        </is>
      </c>
      <c r="B406" s="1" t="n">
        <v>45259.50996527778</v>
      </c>
      <c r="C406" s="1" t="n">
        <v>46104</v>
      </c>
      <c r="D406" t="inlineStr">
        <is>
          <t>DALARNAS LÄN</t>
        </is>
      </c>
      <c r="E406" t="inlineStr">
        <is>
          <t>MORA</t>
        </is>
      </c>
      <c r="G406" t="n">
        <v>4.9</v>
      </c>
      <c r="H406" t="n">
        <v>0</v>
      </c>
      <c r="I406" t="n">
        <v>0</v>
      </c>
      <c r="J406" t="n">
        <v>0</v>
      </c>
      <c r="K406" t="n">
        <v>0</v>
      </c>
      <c r="L406" t="n">
        <v>0</v>
      </c>
      <c r="M406" t="n">
        <v>0</v>
      </c>
      <c r="N406" t="n">
        <v>0</v>
      </c>
      <c r="O406" t="n">
        <v>0</v>
      </c>
      <c r="P406" t="n">
        <v>0</v>
      </c>
      <c r="Q406" t="n">
        <v>0</v>
      </c>
      <c r="R406" s="2" t="inlineStr"/>
    </row>
    <row r="407" ht="15" customHeight="1">
      <c r="A407" t="inlineStr">
        <is>
          <t>A 2308-2023</t>
        </is>
      </c>
      <c r="B407" s="1" t="n">
        <v>44942.57987268519</v>
      </c>
      <c r="C407" s="1" t="n">
        <v>46104</v>
      </c>
      <c r="D407" t="inlineStr">
        <is>
          <t>DALARNAS LÄN</t>
        </is>
      </c>
      <c r="E407" t="inlineStr">
        <is>
          <t>MORA</t>
        </is>
      </c>
      <c r="G407" t="n">
        <v>2.2</v>
      </c>
      <c r="H407" t="n">
        <v>0</v>
      </c>
      <c r="I407" t="n">
        <v>0</v>
      </c>
      <c r="J407" t="n">
        <v>0</v>
      </c>
      <c r="K407" t="n">
        <v>0</v>
      </c>
      <c r="L407" t="n">
        <v>0</v>
      </c>
      <c r="M407" t="n">
        <v>0</v>
      </c>
      <c r="N407" t="n">
        <v>0</v>
      </c>
      <c r="O407" t="n">
        <v>0</v>
      </c>
      <c r="P407" t="n">
        <v>0</v>
      </c>
      <c r="Q407" t="n">
        <v>0</v>
      </c>
      <c r="R407" s="2" t="inlineStr"/>
    </row>
    <row r="408" ht="15" customHeight="1">
      <c r="A408" t="inlineStr">
        <is>
          <t>A 47686-2025</t>
        </is>
      </c>
      <c r="B408" s="1" t="n">
        <v>45931</v>
      </c>
      <c r="C408" s="1" t="n">
        <v>46104</v>
      </c>
      <c r="D408" t="inlineStr">
        <is>
          <t>DALARNAS LÄN</t>
        </is>
      </c>
      <c r="E408" t="inlineStr">
        <is>
          <t>MORA</t>
        </is>
      </c>
      <c r="G408" t="n">
        <v>1.3</v>
      </c>
      <c r="H408" t="n">
        <v>0</v>
      </c>
      <c r="I408" t="n">
        <v>0</v>
      </c>
      <c r="J408" t="n">
        <v>0</v>
      </c>
      <c r="K408" t="n">
        <v>0</v>
      </c>
      <c r="L408" t="n">
        <v>0</v>
      </c>
      <c r="M408" t="n">
        <v>0</v>
      </c>
      <c r="N408" t="n">
        <v>0</v>
      </c>
      <c r="O408" t="n">
        <v>0</v>
      </c>
      <c r="P408" t="n">
        <v>0</v>
      </c>
      <c r="Q408" t="n">
        <v>0</v>
      </c>
      <c r="R408" s="2" t="inlineStr"/>
    </row>
    <row r="409" ht="15" customHeight="1">
      <c r="A409" t="inlineStr">
        <is>
          <t>A 53159-2024</t>
        </is>
      </c>
      <c r="B409" s="1" t="n">
        <v>45611.63849537037</v>
      </c>
      <c r="C409" s="1" t="n">
        <v>46104</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29754-2022</t>
        </is>
      </c>
      <c r="B410" s="1" t="n">
        <v>44755.59188657408</v>
      </c>
      <c r="C410" s="1" t="n">
        <v>46104</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10693-2026</t>
        </is>
      </c>
      <c r="B411" s="1" t="n">
        <v>46078.43366898148</v>
      </c>
      <c r="C411" s="1" t="n">
        <v>46104</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27188-2023</t>
        </is>
      </c>
      <c r="B412" s="1" t="n">
        <v>45096</v>
      </c>
      <c r="C412" s="1" t="n">
        <v>46104</v>
      </c>
      <c r="D412" t="inlineStr">
        <is>
          <t>DALARNAS LÄN</t>
        </is>
      </c>
      <c r="E412" t="inlineStr">
        <is>
          <t>MORA</t>
        </is>
      </c>
      <c r="G412" t="n">
        <v>4.8</v>
      </c>
      <c r="H412" t="n">
        <v>0</v>
      </c>
      <c r="I412" t="n">
        <v>0</v>
      </c>
      <c r="J412" t="n">
        <v>0</v>
      </c>
      <c r="K412" t="n">
        <v>0</v>
      </c>
      <c r="L412" t="n">
        <v>0</v>
      </c>
      <c r="M412" t="n">
        <v>0</v>
      </c>
      <c r="N412" t="n">
        <v>0</v>
      </c>
      <c r="O412" t="n">
        <v>0</v>
      </c>
      <c r="P412" t="n">
        <v>0</v>
      </c>
      <c r="Q412" t="n">
        <v>0</v>
      </c>
      <c r="R412" s="2" t="inlineStr"/>
    </row>
    <row r="413" ht="15" customHeight="1">
      <c r="A413" t="inlineStr">
        <is>
          <t>A 56268-2024</t>
        </is>
      </c>
      <c r="B413" s="1" t="n">
        <v>45624.65785879629</v>
      </c>
      <c r="C413" s="1" t="n">
        <v>46104</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2637-2026</t>
        </is>
      </c>
      <c r="B414" s="1" t="n">
        <v>46037.61490740741</v>
      </c>
      <c r="C414" s="1" t="n">
        <v>46104</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14641-2023</t>
        </is>
      </c>
      <c r="B415" s="1" t="n">
        <v>45013</v>
      </c>
      <c r="C415" s="1" t="n">
        <v>46104</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57408-2024</t>
        </is>
      </c>
      <c r="B416" s="1" t="n">
        <v>45629</v>
      </c>
      <c r="C416" s="1" t="n">
        <v>46104</v>
      </c>
      <c r="D416" t="inlineStr">
        <is>
          <t>DALARNAS LÄN</t>
        </is>
      </c>
      <c r="E416" t="inlineStr">
        <is>
          <t>MORA</t>
        </is>
      </c>
      <c r="F416" t="inlineStr">
        <is>
          <t>Allmännings- och besparingsskogar</t>
        </is>
      </c>
      <c r="G416" t="n">
        <v>2.5</v>
      </c>
      <c r="H416" t="n">
        <v>0</v>
      </c>
      <c r="I416" t="n">
        <v>0</v>
      </c>
      <c r="J416" t="n">
        <v>0</v>
      </c>
      <c r="K416" t="n">
        <v>0</v>
      </c>
      <c r="L416" t="n">
        <v>0</v>
      </c>
      <c r="M416" t="n">
        <v>0</v>
      </c>
      <c r="N416" t="n">
        <v>0</v>
      </c>
      <c r="O416" t="n">
        <v>0</v>
      </c>
      <c r="P416" t="n">
        <v>0</v>
      </c>
      <c r="Q416" t="n">
        <v>0</v>
      </c>
      <c r="R416" s="2" t="inlineStr"/>
    </row>
    <row r="417" ht="15" customHeight="1">
      <c r="A417" t="inlineStr">
        <is>
          <t>A 51771-2025</t>
        </is>
      </c>
      <c r="B417" s="1" t="n">
        <v>45951.64653935185</v>
      </c>
      <c r="C417" s="1" t="n">
        <v>46104</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1252-2025</t>
        </is>
      </c>
      <c r="B418" s="1" t="n">
        <v>45667.46648148148</v>
      </c>
      <c r="C418" s="1" t="n">
        <v>46104</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9536-2026</t>
        </is>
      </c>
      <c r="B419" s="1" t="n">
        <v>46071</v>
      </c>
      <c r="C419" s="1" t="n">
        <v>46104</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2110-2026</t>
        </is>
      </c>
      <c r="B420" s="1" t="n">
        <v>46036</v>
      </c>
      <c r="C420" s="1" t="n">
        <v>46104</v>
      </c>
      <c r="D420" t="inlineStr">
        <is>
          <t>DALARNAS LÄN</t>
        </is>
      </c>
      <c r="E420" t="inlineStr">
        <is>
          <t>MORA</t>
        </is>
      </c>
      <c r="G420" t="n">
        <v>7.2</v>
      </c>
      <c r="H420" t="n">
        <v>0</v>
      </c>
      <c r="I420" t="n">
        <v>0</v>
      </c>
      <c r="J420" t="n">
        <v>0</v>
      </c>
      <c r="K420" t="n">
        <v>0</v>
      </c>
      <c r="L420" t="n">
        <v>0</v>
      </c>
      <c r="M420" t="n">
        <v>0</v>
      </c>
      <c r="N420" t="n">
        <v>0</v>
      </c>
      <c r="O420" t="n">
        <v>0</v>
      </c>
      <c r="P420" t="n">
        <v>0</v>
      </c>
      <c r="Q420" t="n">
        <v>0</v>
      </c>
      <c r="R420" s="2" t="inlineStr"/>
    </row>
    <row r="421" ht="15" customHeight="1">
      <c r="A421" t="inlineStr">
        <is>
          <t>A 673-2026</t>
        </is>
      </c>
      <c r="B421" s="1" t="n">
        <v>46029</v>
      </c>
      <c r="C421" s="1" t="n">
        <v>46104</v>
      </c>
      <c r="D421" t="inlineStr">
        <is>
          <t>DALARNAS LÄN</t>
        </is>
      </c>
      <c r="E421" t="inlineStr">
        <is>
          <t>MORA</t>
        </is>
      </c>
      <c r="F421" t="inlineStr">
        <is>
          <t>Kommuner</t>
        </is>
      </c>
      <c r="G421" t="n">
        <v>25.8</v>
      </c>
      <c r="H421" t="n">
        <v>0</v>
      </c>
      <c r="I421" t="n">
        <v>0</v>
      </c>
      <c r="J421" t="n">
        <v>0</v>
      </c>
      <c r="K421" t="n">
        <v>0</v>
      </c>
      <c r="L421" t="n">
        <v>0</v>
      </c>
      <c r="M421" t="n">
        <v>0</v>
      </c>
      <c r="N421" t="n">
        <v>0</v>
      </c>
      <c r="O421" t="n">
        <v>0</v>
      </c>
      <c r="P421" t="n">
        <v>0</v>
      </c>
      <c r="Q421" t="n">
        <v>0</v>
      </c>
      <c r="R421" s="2" t="inlineStr"/>
    </row>
    <row r="422" ht="15" customHeight="1">
      <c r="A422" t="inlineStr">
        <is>
          <t>A 9554-2025</t>
        </is>
      </c>
      <c r="B422" s="1" t="n">
        <v>45715.59936342593</v>
      </c>
      <c r="C422" s="1" t="n">
        <v>46104</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2521-2026</t>
        </is>
      </c>
      <c r="B423" s="1" t="n">
        <v>46037.42600694444</v>
      </c>
      <c r="C423" s="1" t="n">
        <v>46104</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9350-2026</t>
        </is>
      </c>
      <c r="B424" s="1" t="n">
        <v>46070</v>
      </c>
      <c r="C424" s="1" t="n">
        <v>46104</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571-2024</t>
        </is>
      </c>
      <c r="B425" s="1" t="n">
        <v>45299</v>
      </c>
      <c r="C425" s="1" t="n">
        <v>46104</v>
      </c>
      <c r="D425" t="inlineStr">
        <is>
          <t>DALARNAS LÄN</t>
        </is>
      </c>
      <c r="E425" t="inlineStr">
        <is>
          <t>MORA</t>
        </is>
      </c>
      <c r="G425" t="n">
        <v>3.3</v>
      </c>
      <c r="H425" t="n">
        <v>0</v>
      </c>
      <c r="I425" t="n">
        <v>0</v>
      </c>
      <c r="J425" t="n">
        <v>0</v>
      </c>
      <c r="K425" t="n">
        <v>0</v>
      </c>
      <c r="L425" t="n">
        <v>0</v>
      </c>
      <c r="M425" t="n">
        <v>0</v>
      </c>
      <c r="N425" t="n">
        <v>0</v>
      </c>
      <c r="O425" t="n">
        <v>0</v>
      </c>
      <c r="P425" t="n">
        <v>0</v>
      </c>
      <c r="Q425" t="n">
        <v>0</v>
      </c>
      <c r="R425" s="2" t="inlineStr"/>
    </row>
    <row r="426" ht="15" customHeight="1">
      <c r="A426" t="inlineStr">
        <is>
          <t>A 20549-2025</t>
        </is>
      </c>
      <c r="B426" s="1" t="n">
        <v>45775.63459490741</v>
      </c>
      <c r="C426" s="1" t="n">
        <v>46104</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52110-2025</t>
        </is>
      </c>
      <c r="B427" s="1" t="n">
        <v>45952.69306712963</v>
      </c>
      <c r="C427" s="1" t="n">
        <v>46104</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12478-2025</t>
        </is>
      </c>
      <c r="B428" s="1" t="n">
        <v>45730.57429398148</v>
      </c>
      <c r="C428" s="1" t="n">
        <v>46104</v>
      </c>
      <c r="D428" t="inlineStr">
        <is>
          <t>DALARNAS LÄN</t>
        </is>
      </c>
      <c r="E428" t="inlineStr">
        <is>
          <t>MORA</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10181-2026</t>
        </is>
      </c>
      <c r="B429" s="1" t="n">
        <v>46076</v>
      </c>
      <c r="C429" s="1" t="n">
        <v>46104</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3260-2026</t>
        </is>
      </c>
      <c r="B430" s="1" t="n">
        <v>46041</v>
      </c>
      <c r="C430" s="1" t="n">
        <v>46104</v>
      </c>
      <c r="D430" t="inlineStr">
        <is>
          <t>DALARNAS LÄN</t>
        </is>
      </c>
      <c r="E430" t="inlineStr">
        <is>
          <t>MORA</t>
        </is>
      </c>
      <c r="G430" t="n">
        <v>27.1</v>
      </c>
      <c r="H430" t="n">
        <v>0</v>
      </c>
      <c r="I430" t="n">
        <v>0</v>
      </c>
      <c r="J430" t="n">
        <v>0</v>
      </c>
      <c r="K430" t="n">
        <v>0</v>
      </c>
      <c r="L430" t="n">
        <v>0</v>
      </c>
      <c r="M430" t="n">
        <v>0</v>
      </c>
      <c r="N430" t="n">
        <v>0</v>
      </c>
      <c r="O430" t="n">
        <v>0</v>
      </c>
      <c r="P430" t="n">
        <v>0</v>
      </c>
      <c r="Q430" t="n">
        <v>0</v>
      </c>
      <c r="R430" s="2" t="inlineStr"/>
    </row>
    <row r="431" ht="15" customHeight="1">
      <c r="A431" t="inlineStr">
        <is>
          <t>A 53743-2024</t>
        </is>
      </c>
      <c r="B431" s="1" t="n">
        <v>45615.47137731482</v>
      </c>
      <c r="C431" s="1" t="n">
        <v>46104</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3247-2026</t>
        </is>
      </c>
      <c r="B432" s="1" t="n">
        <v>46041</v>
      </c>
      <c r="C432" s="1" t="n">
        <v>46104</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2995-2026</t>
        </is>
      </c>
      <c r="B433" s="1" t="n">
        <v>46038</v>
      </c>
      <c r="C433" s="1" t="n">
        <v>46104</v>
      </c>
      <c r="D433" t="inlineStr">
        <is>
          <t>DALARNAS LÄN</t>
        </is>
      </c>
      <c r="E433" t="inlineStr">
        <is>
          <t>MORA</t>
        </is>
      </c>
      <c r="G433" t="n">
        <v>2.3</v>
      </c>
      <c r="H433" t="n">
        <v>0</v>
      </c>
      <c r="I433" t="n">
        <v>0</v>
      </c>
      <c r="J433" t="n">
        <v>0</v>
      </c>
      <c r="K433" t="n">
        <v>0</v>
      </c>
      <c r="L433" t="n">
        <v>0</v>
      </c>
      <c r="M433" t="n">
        <v>0</v>
      </c>
      <c r="N433" t="n">
        <v>0</v>
      </c>
      <c r="O433" t="n">
        <v>0</v>
      </c>
      <c r="P433" t="n">
        <v>0</v>
      </c>
      <c r="Q433" t="n">
        <v>0</v>
      </c>
      <c r="R433" s="2" t="inlineStr"/>
    </row>
    <row r="434" ht="15" customHeight="1">
      <c r="A434" t="inlineStr">
        <is>
          <t>A 2786-2026</t>
        </is>
      </c>
      <c r="B434" s="1" t="n">
        <v>46038.39023148148</v>
      </c>
      <c r="C434" s="1" t="n">
        <v>46104</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52804-2025</t>
        </is>
      </c>
      <c r="B435" s="1" t="n">
        <v>45957.44552083333</v>
      </c>
      <c r="C435" s="1" t="n">
        <v>46104</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18806-2025</t>
        </is>
      </c>
      <c r="B436" s="1" t="n">
        <v>45764.35269675926</v>
      </c>
      <c r="C436" s="1" t="n">
        <v>46104</v>
      </c>
      <c r="D436" t="inlineStr">
        <is>
          <t>DALARNAS LÄN</t>
        </is>
      </c>
      <c r="E436" t="inlineStr">
        <is>
          <t>MORA</t>
        </is>
      </c>
      <c r="G436" t="n">
        <v>1.7</v>
      </c>
      <c r="H436" t="n">
        <v>0</v>
      </c>
      <c r="I436" t="n">
        <v>0</v>
      </c>
      <c r="J436" t="n">
        <v>0</v>
      </c>
      <c r="K436" t="n">
        <v>0</v>
      </c>
      <c r="L436" t="n">
        <v>0</v>
      </c>
      <c r="M436" t="n">
        <v>0</v>
      </c>
      <c r="N436" t="n">
        <v>0</v>
      </c>
      <c r="O436" t="n">
        <v>0</v>
      </c>
      <c r="P436" t="n">
        <v>0</v>
      </c>
      <c r="Q436" t="n">
        <v>0</v>
      </c>
      <c r="R436" s="2" t="inlineStr"/>
    </row>
    <row r="437" ht="15" customHeight="1">
      <c r="A437" t="inlineStr">
        <is>
          <t>A 3145-2026</t>
        </is>
      </c>
      <c r="B437" s="1" t="n">
        <v>46041.41971064815</v>
      </c>
      <c r="C437" s="1" t="n">
        <v>46104</v>
      </c>
      <c r="D437" t="inlineStr">
        <is>
          <t>DALARNAS LÄN</t>
        </is>
      </c>
      <c r="E437" t="inlineStr">
        <is>
          <t>MORA</t>
        </is>
      </c>
      <c r="G437" t="n">
        <v>4.3</v>
      </c>
      <c r="H437" t="n">
        <v>0</v>
      </c>
      <c r="I437" t="n">
        <v>0</v>
      </c>
      <c r="J437" t="n">
        <v>0</v>
      </c>
      <c r="K437" t="n">
        <v>0</v>
      </c>
      <c r="L437" t="n">
        <v>0</v>
      </c>
      <c r="M437" t="n">
        <v>0</v>
      </c>
      <c r="N437" t="n">
        <v>0</v>
      </c>
      <c r="O437" t="n">
        <v>0</v>
      </c>
      <c r="P437" t="n">
        <v>0</v>
      </c>
      <c r="Q437" t="n">
        <v>0</v>
      </c>
      <c r="R437" s="2" t="inlineStr"/>
    </row>
    <row r="438" ht="15" customHeight="1">
      <c r="A438" t="inlineStr">
        <is>
          <t>A 3149-2026</t>
        </is>
      </c>
      <c r="B438" s="1" t="n">
        <v>46041.42416666666</v>
      </c>
      <c r="C438" s="1" t="n">
        <v>46104</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3854-2026</t>
        </is>
      </c>
      <c r="B439" s="1" t="n">
        <v>46043</v>
      </c>
      <c r="C439" s="1" t="n">
        <v>46104</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11819-2026</t>
        </is>
      </c>
      <c r="B440" s="1" t="n">
        <v>46085.38835648148</v>
      </c>
      <c r="C440" s="1" t="n">
        <v>46104</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3440-2026</t>
        </is>
      </c>
      <c r="B441" s="1" t="n">
        <v>46042.475625</v>
      </c>
      <c r="C441" s="1" t="n">
        <v>46104</v>
      </c>
      <c r="D441" t="inlineStr">
        <is>
          <t>DALARNAS LÄN</t>
        </is>
      </c>
      <c r="E441" t="inlineStr">
        <is>
          <t>MORA</t>
        </is>
      </c>
      <c r="G441" t="n">
        <v>6.7</v>
      </c>
      <c r="H441" t="n">
        <v>0</v>
      </c>
      <c r="I441" t="n">
        <v>0</v>
      </c>
      <c r="J441" t="n">
        <v>0</v>
      </c>
      <c r="K441" t="n">
        <v>0</v>
      </c>
      <c r="L441" t="n">
        <v>0</v>
      </c>
      <c r="M441" t="n">
        <v>0</v>
      </c>
      <c r="N441" t="n">
        <v>0</v>
      </c>
      <c r="O441" t="n">
        <v>0</v>
      </c>
      <c r="P441" t="n">
        <v>0</v>
      </c>
      <c r="Q441" t="n">
        <v>0</v>
      </c>
      <c r="R441" s="2" t="inlineStr"/>
    </row>
    <row r="442" ht="15" customHeight="1">
      <c r="A442" t="inlineStr">
        <is>
          <t>A 11875-2026</t>
        </is>
      </c>
      <c r="B442" s="1" t="n">
        <v>46085</v>
      </c>
      <c r="C442" s="1" t="n">
        <v>46104</v>
      </c>
      <c r="D442" t="inlineStr">
        <is>
          <t>DALARNAS LÄN</t>
        </is>
      </c>
      <c r="E442" t="inlineStr">
        <is>
          <t>MORA</t>
        </is>
      </c>
      <c r="G442" t="n">
        <v>3.7</v>
      </c>
      <c r="H442" t="n">
        <v>0</v>
      </c>
      <c r="I442" t="n">
        <v>0</v>
      </c>
      <c r="J442" t="n">
        <v>0</v>
      </c>
      <c r="K442" t="n">
        <v>0</v>
      </c>
      <c r="L442" t="n">
        <v>0</v>
      </c>
      <c r="M442" t="n">
        <v>0</v>
      </c>
      <c r="N442" t="n">
        <v>0</v>
      </c>
      <c r="O442" t="n">
        <v>0</v>
      </c>
      <c r="P442" t="n">
        <v>0</v>
      </c>
      <c r="Q442" t="n">
        <v>0</v>
      </c>
      <c r="R442" s="2" t="inlineStr"/>
    </row>
    <row r="443" ht="15" customHeight="1">
      <c r="A443" t="inlineStr">
        <is>
          <t>A 54628-2024</t>
        </is>
      </c>
      <c r="B443" s="1" t="n">
        <v>45617.83969907407</v>
      </c>
      <c r="C443" s="1" t="n">
        <v>46104</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3876-2026</t>
        </is>
      </c>
      <c r="B444" s="1" t="n">
        <v>46043.64811342592</v>
      </c>
      <c r="C444" s="1" t="n">
        <v>46104</v>
      </c>
      <c r="D444" t="inlineStr">
        <is>
          <t>DALARNAS LÄN</t>
        </is>
      </c>
      <c r="E444" t="inlineStr">
        <is>
          <t>MORA</t>
        </is>
      </c>
      <c r="F444" t="inlineStr">
        <is>
          <t>Bergvik skog öst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53151-2025</t>
        </is>
      </c>
      <c r="B445" s="1" t="n">
        <v>45958.48611111111</v>
      </c>
      <c r="C445" s="1" t="n">
        <v>46104</v>
      </c>
      <c r="D445" t="inlineStr">
        <is>
          <t>DALARNAS LÄN</t>
        </is>
      </c>
      <c r="E445" t="inlineStr">
        <is>
          <t>MORA</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53150-2025</t>
        </is>
      </c>
      <c r="B446" s="1" t="n">
        <v>45958.48280092593</v>
      </c>
      <c r="C446" s="1" t="n">
        <v>46104</v>
      </c>
      <c r="D446" t="inlineStr">
        <is>
          <t>DALARNAS LÄN</t>
        </is>
      </c>
      <c r="E446" t="inlineStr">
        <is>
          <t>MORA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59448-2022</t>
        </is>
      </c>
      <c r="B447" s="1" t="n">
        <v>44907</v>
      </c>
      <c r="C447" s="1" t="n">
        <v>46104</v>
      </c>
      <c r="D447" t="inlineStr">
        <is>
          <t>DALARNAS LÄN</t>
        </is>
      </c>
      <c r="E447" t="inlineStr">
        <is>
          <t>MORA</t>
        </is>
      </c>
      <c r="G447" t="n">
        <v>35.7</v>
      </c>
      <c r="H447" t="n">
        <v>0</v>
      </c>
      <c r="I447" t="n">
        <v>0</v>
      </c>
      <c r="J447" t="n">
        <v>0</v>
      </c>
      <c r="K447" t="n">
        <v>0</v>
      </c>
      <c r="L447" t="n">
        <v>0</v>
      </c>
      <c r="M447" t="n">
        <v>0</v>
      </c>
      <c r="N447" t="n">
        <v>0</v>
      </c>
      <c r="O447" t="n">
        <v>0</v>
      </c>
      <c r="P447" t="n">
        <v>0</v>
      </c>
      <c r="Q447" t="n">
        <v>0</v>
      </c>
      <c r="R447" s="2" t="inlineStr"/>
    </row>
    <row r="448" ht="15" customHeight="1">
      <c r="A448" t="inlineStr">
        <is>
          <t>A 57319-2023</t>
        </is>
      </c>
      <c r="B448" s="1" t="n">
        <v>45245.64877314815</v>
      </c>
      <c r="C448" s="1" t="n">
        <v>46104</v>
      </c>
      <c r="D448" t="inlineStr">
        <is>
          <t>DALARNAS LÄN</t>
        </is>
      </c>
      <c r="E448" t="inlineStr">
        <is>
          <t>MORA</t>
        </is>
      </c>
      <c r="G448" t="n">
        <v>2</v>
      </c>
      <c r="H448" t="n">
        <v>0</v>
      </c>
      <c r="I448" t="n">
        <v>0</v>
      </c>
      <c r="J448" t="n">
        <v>0</v>
      </c>
      <c r="K448" t="n">
        <v>0</v>
      </c>
      <c r="L448" t="n">
        <v>0</v>
      </c>
      <c r="M448" t="n">
        <v>0</v>
      </c>
      <c r="N448" t="n">
        <v>0</v>
      </c>
      <c r="O448" t="n">
        <v>0</v>
      </c>
      <c r="P448" t="n">
        <v>0</v>
      </c>
      <c r="Q448" t="n">
        <v>0</v>
      </c>
      <c r="R448" s="2" t="inlineStr"/>
    </row>
    <row r="449" ht="15" customHeight="1">
      <c r="A449" t="inlineStr">
        <is>
          <t>A 11705-2026</t>
        </is>
      </c>
      <c r="B449" s="1" t="n">
        <v>46084.61635416667</v>
      </c>
      <c r="C449" s="1" t="n">
        <v>46104</v>
      </c>
      <c r="D449" t="inlineStr">
        <is>
          <t>DALARNAS LÄN</t>
        </is>
      </c>
      <c r="E449" t="inlineStr">
        <is>
          <t>MORA</t>
        </is>
      </c>
      <c r="G449" t="n">
        <v>4.2</v>
      </c>
      <c r="H449" t="n">
        <v>0</v>
      </c>
      <c r="I449" t="n">
        <v>0</v>
      </c>
      <c r="J449" t="n">
        <v>0</v>
      </c>
      <c r="K449" t="n">
        <v>0</v>
      </c>
      <c r="L449" t="n">
        <v>0</v>
      </c>
      <c r="M449" t="n">
        <v>0</v>
      </c>
      <c r="N449" t="n">
        <v>0</v>
      </c>
      <c r="O449" t="n">
        <v>0</v>
      </c>
      <c r="P449" t="n">
        <v>0</v>
      </c>
      <c r="Q449" t="n">
        <v>0</v>
      </c>
      <c r="R449" s="2" t="inlineStr"/>
    </row>
    <row r="450" ht="15" customHeight="1">
      <c r="A450" t="inlineStr">
        <is>
          <t>A 53982-2025</t>
        </is>
      </c>
      <c r="B450" s="1" t="n">
        <v>45961.57019675926</v>
      </c>
      <c r="C450" s="1" t="n">
        <v>46104</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53565-2025</t>
        </is>
      </c>
      <c r="B451" s="1" t="n">
        <v>45960.40711805555</v>
      </c>
      <c r="C451" s="1" t="n">
        <v>46104</v>
      </c>
      <c r="D451" t="inlineStr">
        <is>
          <t>DALARNAS LÄN</t>
        </is>
      </c>
      <c r="E451" t="inlineStr">
        <is>
          <t>MORA</t>
        </is>
      </c>
      <c r="G451" t="n">
        <v>5.1</v>
      </c>
      <c r="H451" t="n">
        <v>0</v>
      </c>
      <c r="I451" t="n">
        <v>0</v>
      </c>
      <c r="J451" t="n">
        <v>0</v>
      </c>
      <c r="K451" t="n">
        <v>0</v>
      </c>
      <c r="L451" t="n">
        <v>0</v>
      </c>
      <c r="M451" t="n">
        <v>0</v>
      </c>
      <c r="N451" t="n">
        <v>0</v>
      </c>
      <c r="O451" t="n">
        <v>0</v>
      </c>
      <c r="P451" t="n">
        <v>0</v>
      </c>
      <c r="Q451" t="n">
        <v>0</v>
      </c>
      <c r="R451" s="2" t="inlineStr"/>
    </row>
    <row r="452" ht="15" customHeight="1">
      <c r="A452" t="inlineStr">
        <is>
          <t>A 53632-2025</t>
        </is>
      </c>
      <c r="B452" s="1" t="n">
        <v>45960.49972222222</v>
      </c>
      <c r="C452" s="1" t="n">
        <v>46104</v>
      </c>
      <c r="D452" t="inlineStr">
        <is>
          <t>DALARNAS LÄN</t>
        </is>
      </c>
      <c r="E452" t="inlineStr">
        <is>
          <t>MORA</t>
        </is>
      </c>
      <c r="G452" t="n">
        <v>3.1</v>
      </c>
      <c r="H452" t="n">
        <v>0</v>
      </c>
      <c r="I452" t="n">
        <v>0</v>
      </c>
      <c r="J452" t="n">
        <v>0</v>
      </c>
      <c r="K452" t="n">
        <v>0</v>
      </c>
      <c r="L452" t="n">
        <v>0</v>
      </c>
      <c r="M452" t="n">
        <v>0</v>
      </c>
      <c r="N452" t="n">
        <v>0</v>
      </c>
      <c r="O452" t="n">
        <v>0</v>
      </c>
      <c r="P452" t="n">
        <v>0</v>
      </c>
      <c r="Q452" t="n">
        <v>0</v>
      </c>
      <c r="R452" s="2" t="inlineStr"/>
    </row>
    <row r="453" ht="15" customHeight="1">
      <c r="A453" t="inlineStr">
        <is>
          <t>A 3669-2026</t>
        </is>
      </c>
      <c r="B453" s="1" t="n">
        <v>46043.41603009259</v>
      </c>
      <c r="C453" s="1" t="n">
        <v>46104</v>
      </c>
      <c r="D453" t="inlineStr">
        <is>
          <t>DALARNAS LÄN</t>
        </is>
      </c>
      <c r="E453" t="inlineStr">
        <is>
          <t>MORA</t>
        </is>
      </c>
      <c r="G453" t="n">
        <v>4.6</v>
      </c>
      <c r="H453" t="n">
        <v>0</v>
      </c>
      <c r="I453" t="n">
        <v>0</v>
      </c>
      <c r="J453" t="n">
        <v>0</v>
      </c>
      <c r="K453" t="n">
        <v>0</v>
      </c>
      <c r="L453" t="n">
        <v>0</v>
      </c>
      <c r="M453" t="n">
        <v>0</v>
      </c>
      <c r="N453" t="n">
        <v>0</v>
      </c>
      <c r="O453" t="n">
        <v>0</v>
      </c>
      <c r="P453" t="n">
        <v>0</v>
      </c>
      <c r="Q453" t="n">
        <v>0</v>
      </c>
      <c r="R453" s="2" t="inlineStr"/>
    </row>
    <row r="454" ht="15" customHeight="1">
      <c r="A454" t="inlineStr">
        <is>
          <t>A 53560-2025</t>
        </is>
      </c>
      <c r="B454" s="1" t="n">
        <v>45960.39960648148</v>
      </c>
      <c r="C454" s="1" t="n">
        <v>46104</v>
      </c>
      <c r="D454" t="inlineStr">
        <is>
          <t>DALARNAS LÄN</t>
        </is>
      </c>
      <c r="E454" t="inlineStr">
        <is>
          <t>MORA</t>
        </is>
      </c>
      <c r="G454" t="n">
        <v>5.2</v>
      </c>
      <c r="H454" t="n">
        <v>0</v>
      </c>
      <c r="I454" t="n">
        <v>0</v>
      </c>
      <c r="J454" t="n">
        <v>0</v>
      </c>
      <c r="K454" t="n">
        <v>0</v>
      </c>
      <c r="L454" t="n">
        <v>0</v>
      </c>
      <c r="M454" t="n">
        <v>0</v>
      </c>
      <c r="N454" t="n">
        <v>0</v>
      </c>
      <c r="O454" t="n">
        <v>0</v>
      </c>
      <c r="P454" t="n">
        <v>0</v>
      </c>
      <c r="Q454" t="n">
        <v>0</v>
      </c>
      <c r="R454" s="2" t="inlineStr"/>
    </row>
    <row r="455" ht="15" customHeight="1">
      <c r="A455" t="inlineStr">
        <is>
          <t>A 43498-2023</t>
        </is>
      </c>
      <c r="B455" s="1" t="n">
        <v>45184</v>
      </c>
      <c r="C455" s="1" t="n">
        <v>46104</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32261-2022</t>
        </is>
      </c>
      <c r="B456" s="1" t="n">
        <v>44781.5350925926</v>
      </c>
      <c r="C456" s="1" t="n">
        <v>46104</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11716-2026</t>
        </is>
      </c>
      <c r="B457" s="1" t="n">
        <v>46084.62465277778</v>
      </c>
      <c r="C457" s="1" t="n">
        <v>46104</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53562-2025</t>
        </is>
      </c>
      <c r="B458" s="1" t="n">
        <v>45960.40662037037</v>
      </c>
      <c r="C458" s="1" t="n">
        <v>46104</v>
      </c>
      <c r="D458" t="inlineStr">
        <is>
          <t>DALARNAS LÄN</t>
        </is>
      </c>
      <c r="E458" t="inlineStr">
        <is>
          <t>MORA</t>
        </is>
      </c>
      <c r="G458" t="n">
        <v>5.1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46104</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3742-2026</t>
        </is>
      </c>
      <c r="B460" s="1" t="n">
        <v>46043</v>
      </c>
      <c r="C460" s="1" t="n">
        <v>46104</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35381-2024</t>
        </is>
      </c>
      <c r="B461" s="1" t="n">
        <v>45531.38372685185</v>
      </c>
      <c r="C461" s="1" t="n">
        <v>46104</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13479-2024</t>
        </is>
      </c>
      <c r="B462" s="1" t="n">
        <v>45387.5900925926</v>
      </c>
      <c r="C462" s="1" t="n">
        <v>46104</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53418-2025</t>
        </is>
      </c>
      <c r="B463" s="1" t="n">
        <v>45959</v>
      </c>
      <c r="C463" s="1" t="n">
        <v>46104</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9788-2026</t>
        </is>
      </c>
      <c r="B464" s="1" t="n">
        <v>46072</v>
      </c>
      <c r="C464" s="1" t="n">
        <v>46104</v>
      </c>
      <c r="D464" t="inlineStr">
        <is>
          <t>DALARNAS LÄN</t>
        </is>
      </c>
      <c r="E464" t="inlineStr">
        <is>
          <t>MORA</t>
        </is>
      </c>
      <c r="G464" t="n">
        <v>12</v>
      </c>
      <c r="H464" t="n">
        <v>0</v>
      </c>
      <c r="I464" t="n">
        <v>0</v>
      </c>
      <c r="J464" t="n">
        <v>0</v>
      </c>
      <c r="K464" t="n">
        <v>0</v>
      </c>
      <c r="L464" t="n">
        <v>0</v>
      </c>
      <c r="M464" t="n">
        <v>0</v>
      </c>
      <c r="N464" t="n">
        <v>0</v>
      </c>
      <c r="O464" t="n">
        <v>0</v>
      </c>
      <c r="P464" t="n">
        <v>0</v>
      </c>
      <c r="Q464" t="n">
        <v>0</v>
      </c>
      <c r="R464" s="2" t="inlineStr"/>
    </row>
    <row r="465" ht="15" customHeight="1">
      <c r="A465" t="inlineStr">
        <is>
          <t>A 53556-2025</t>
        </is>
      </c>
      <c r="B465" s="1" t="n">
        <v>45960.3921875</v>
      </c>
      <c r="C465" s="1" t="n">
        <v>46104</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4155-2026</t>
        </is>
      </c>
      <c r="B466" s="1" t="n">
        <v>46044.6533449074</v>
      </c>
      <c r="C466" s="1" t="n">
        <v>46104</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54508-2025</t>
        </is>
      </c>
      <c r="B467" s="1" t="n">
        <v>45965.61844907407</v>
      </c>
      <c r="C467" s="1" t="n">
        <v>46104</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8075-2026</t>
        </is>
      </c>
      <c r="B468" s="1" t="n">
        <v>46063</v>
      </c>
      <c r="C468" s="1" t="n">
        <v>46104</v>
      </c>
      <c r="D468" t="inlineStr">
        <is>
          <t>DALARNAS LÄN</t>
        </is>
      </c>
      <c r="E468" t="inlineStr">
        <is>
          <t>MORA</t>
        </is>
      </c>
      <c r="G468" t="n">
        <v>1.3</v>
      </c>
      <c r="H468" t="n">
        <v>0</v>
      </c>
      <c r="I468" t="n">
        <v>0</v>
      </c>
      <c r="J468" t="n">
        <v>0</v>
      </c>
      <c r="K468" t="n">
        <v>0</v>
      </c>
      <c r="L468" t="n">
        <v>0</v>
      </c>
      <c r="M468" t="n">
        <v>0</v>
      </c>
      <c r="N468" t="n">
        <v>0</v>
      </c>
      <c r="O468" t="n">
        <v>0</v>
      </c>
      <c r="P468" t="n">
        <v>0</v>
      </c>
      <c r="Q468" t="n">
        <v>0</v>
      </c>
      <c r="R468" s="2" t="inlineStr"/>
    </row>
    <row r="469" ht="15" customHeight="1">
      <c r="A469" t="inlineStr">
        <is>
          <t>A 54518-2025</t>
        </is>
      </c>
      <c r="B469" s="1" t="n">
        <v>45965.62608796296</v>
      </c>
      <c r="C469" s="1" t="n">
        <v>46104</v>
      </c>
      <c r="D469" t="inlineStr">
        <is>
          <t>DALARNAS LÄN</t>
        </is>
      </c>
      <c r="E469" t="inlineStr">
        <is>
          <t>MORA</t>
        </is>
      </c>
      <c r="G469" t="n">
        <v>7.1</v>
      </c>
      <c r="H469" t="n">
        <v>0</v>
      </c>
      <c r="I469" t="n">
        <v>0</v>
      </c>
      <c r="J469" t="n">
        <v>0</v>
      </c>
      <c r="K469" t="n">
        <v>0</v>
      </c>
      <c r="L469" t="n">
        <v>0</v>
      </c>
      <c r="M469" t="n">
        <v>0</v>
      </c>
      <c r="N469" t="n">
        <v>0</v>
      </c>
      <c r="O469" t="n">
        <v>0</v>
      </c>
      <c r="P469" t="n">
        <v>0</v>
      </c>
      <c r="Q469" t="n">
        <v>0</v>
      </c>
      <c r="R469" s="2" t="inlineStr"/>
    </row>
    <row r="470" ht="15" customHeight="1">
      <c r="A470" t="inlineStr">
        <is>
          <t>A 54099-2025</t>
        </is>
      </c>
      <c r="B470" s="1" t="n">
        <v>45964.41665509259</v>
      </c>
      <c r="C470" s="1" t="n">
        <v>46104</v>
      </c>
      <c r="D470" t="inlineStr">
        <is>
          <t>DALARNAS LÄN</t>
        </is>
      </c>
      <c r="E470" t="inlineStr">
        <is>
          <t>MORA</t>
        </is>
      </c>
      <c r="G470" t="n">
        <v>5.3</v>
      </c>
      <c r="H470" t="n">
        <v>0</v>
      </c>
      <c r="I470" t="n">
        <v>0</v>
      </c>
      <c r="J470" t="n">
        <v>0</v>
      </c>
      <c r="K470" t="n">
        <v>0</v>
      </c>
      <c r="L470" t="n">
        <v>0</v>
      </c>
      <c r="M470" t="n">
        <v>0</v>
      </c>
      <c r="N470" t="n">
        <v>0</v>
      </c>
      <c r="O470" t="n">
        <v>0</v>
      </c>
      <c r="P470" t="n">
        <v>0</v>
      </c>
      <c r="Q470" t="n">
        <v>0</v>
      </c>
      <c r="R470" s="2" t="inlineStr"/>
    </row>
    <row r="471" ht="15" customHeight="1">
      <c r="A471" t="inlineStr">
        <is>
          <t>A 54367-2025</t>
        </is>
      </c>
      <c r="B471" s="1" t="n">
        <v>45965.4031712963</v>
      </c>
      <c r="C471" s="1" t="n">
        <v>46104</v>
      </c>
      <c r="D471" t="inlineStr">
        <is>
          <t>DALARNAS LÄN</t>
        </is>
      </c>
      <c r="E471" t="inlineStr">
        <is>
          <t>MORA</t>
        </is>
      </c>
      <c r="G471" t="n">
        <v>7</v>
      </c>
      <c r="H471" t="n">
        <v>0</v>
      </c>
      <c r="I471" t="n">
        <v>0</v>
      </c>
      <c r="J471" t="n">
        <v>0</v>
      </c>
      <c r="K471" t="n">
        <v>0</v>
      </c>
      <c r="L471" t="n">
        <v>0</v>
      </c>
      <c r="M471" t="n">
        <v>0</v>
      </c>
      <c r="N471" t="n">
        <v>0</v>
      </c>
      <c r="O471" t="n">
        <v>0</v>
      </c>
      <c r="P471" t="n">
        <v>0</v>
      </c>
      <c r="Q471" t="n">
        <v>0</v>
      </c>
      <c r="R471" s="2" t="inlineStr"/>
    </row>
    <row r="472" ht="15" customHeight="1">
      <c r="A472" t="inlineStr">
        <is>
          <t>A 9733-2026</t>
        </is>
      </c>
      <c r="B472" s="1" t="n">
        <v>46072</v>
      </c>
      <c r="C472" s="1" t="n">
        <v>46104</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54504-2025</t>
        </is>
      </c>
      <c r="B473" s="1" t="n">
        <v>45965.61686342592</v>
      </c>
      <c r="C473" s="1" t="n">
        <v>46104</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20299-2023</t>
        </is>
      </c>
      <c r="B474" s="1" t="n">
        <v>45056</v>
      </c>
      <c r="C474" s="1" t="n">
        <v>46104</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54868-2025</t>
        </is>
      </c>
      <c r="B475" s="1" t="n">
        <v>45966.85649305556</v>
      </c>
      <c r="C475" s="1" t="n">
        <v>46104</v>
      </c>
      <c r="D475" t="inlineStr">
        <is>
          <t>DALARNAS LÄN</t>
        </is>
      </c>
      <c r="E475" t="inlineStr">
        <is>
          <t>MORA</t>
        </is>
      </c>
      <c r="F475" t="inlineStr">
        <is>
          <t>Bergvik skog väst AB</t>
        </is>
      </c>
      <c r="G475" t="n">
        <v>5.6</v>
      </c>
      <c r="H475" t="n">
        <v>0</v>
      </c>
      <c r="I475" t="n">
        <v>0</v>
      </c>
      <c r="J475" t="n">
        <v>0</v>
      </c>
      <c r="K475" t="n">
        <v>0</v>
      </c>
      <c r="L475" t="n">
        <v>0</v>
      </c>
      <c r="M475" t="n">
        <v>0</v>
      </c>
      <c r="N475" t="n">
        <v>0</v>
      </c>
      <c r="O475" t="n">
        <v>0</v>
      </c>
      <c r="P475" t="n">
        <v>0</v>
      </c>
      <c r="Q475" t="n">
        <v>0</v>
      </c>
      <c r="R475" s="2" t="inlineStr"/>
    </row>
    <row r="476" ht="15" customHeight="1">
      <c r="A476" t="inlineStr">
        <is>
          <t>A 9740-2026</t>
        </is>
      </c>
      <c r="B476" s="1" t="n">
        <v>46072</v>
      </c>
      <c r="C476" s="1" t="n">
        <v>46104</v>
      </c>
      <c r="D476" t="inlineStr">
        <is>
          <t>DALARNAS LÄN</t>
        </is>
      </c>
      <c r="E476" t="inlineStr">
        <is>
          <t>MORA</t>
        </is>
      </c>
      <c r="G476" t="n">
        <v>2</v>
      </c>
      <c r="H476" t="n">
        <v>0</v>
      </c>
      <c r="I476" t="n">
        <v>0</v>
      </c>
      <c r="J476" t="n">
        <v>0</v>
      </c>
      <c r="K476" t="n">
        <v>0</v>
      </c>
      <c r="L476" t="n">
        <v>0</v>
      </c>
      <c r="M476" t="n">
        <v>0</v>
      </c>
      <c r="N476" t="n">
        <v>0</v>
      </c>
      <c r="O476" t="n">
        <v>0</v>
      </c>
      <c r="P476" t="n">
        <v>0</v>
      </c>
      <c r="Q476" t="n">
        <v>0</v>
      </c>
      <c r="R476" s="2" t="inlineStr"/>
    </row>
    <row r="477" ht="15" customHeight="1">
      <c r="A477" t="inlineStr">
        <is>
          <t>A 54862-2025</t>
        </is>
      </c>
      <c r="B477" s="1" t="n">
        <v>45966.76542824074</v>
      </c>
      <c r="C477" s="1" t="n">
        <v>46104</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28487-2024</t>
        </is>
      </c>
      <c r="B478" s="1" t="n">
        <v>45477.75744212963</v>
      </c>
      <c r="C478" s="1" t="n">
        <v>46104</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23586-2023</t>
        </is>
      </c>
      <c r="B479" s="1" t="n">
        <v>45077</v>
      </c>
      <c r="C479" s="1" t="n">
        <v>46104</v>
      </c>
      <c r="D479" t="inlineStr">
        <is>
          <t>DALARNAS LÄN</t>
        </is>
      </c>
      <c r="E479" t="inlineStr">
        <is>
          <t>MORA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4213-2026</t>
        </is>
      </c>
      <c r="B480" s="1" t="n">
        <v>46044.741875</v>
      </c>
      <c r="C480" s="1" t="n">
        <v>46104</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12610-2026</t>
        </is>
      </c>
      <c r="B481" s="1" t="n">
        <v>46091.38306712963</v>
      </c>
      <c r="C481" s="1" t="n">
        <v>46104</v>
      </c>
      <c r="D481" t="inlineStr">
        <is>
          <t>DALARNAS LÄN</t>
        </is>
      </c>
      <c r="E481" t="inlineStr">
        <is>
          <t>MORA</t>
        </is>
      </c>
      <c r="G481" t="n">
        <v>8.1</v>
      </c>
      <c r="H481" t="n">
        <v>0</v>
      </c>
      <c r="I481" t="n">
        <v>0</v>
      </c>
      <c r="J481" t="n">
        <v>0</v>
      </c>
      <c r="K481" t="n">
        <v>0</v>
      </c>
      <c r="L481" t="n">
        <v>0</v>
      </c>
      <c r="M481" t="n">
        <v>0</v>
      </c>
      <c r="N481" t="n">
        <v>0</v>
      </c>
      <c r="O481" t="n">
        <v>0</v>
      </c>
      <c r="P481" t="n">
        <v>0</v>
      </c>
      <c r="Q481" t="n">
        <v>0</v>
      </c>
      <c r="R481" s="2" t="inlineStr"/>
    </row>
    <row r="482" ht="15" customHeight="1">
      <c r="A482" t="inlineStr">
        <is>
          <t>A 54909-2025</t>
        </is>
      </c>
      <c r="B482" s="1" t="n">
        <v>45967.374375</v>
      </c>
      <c r="C482" s="1" t="n">
        <v>46104</v>
      </c>
      <c r="D482" t="inlineStr">
        <is>
          <t>DALARNAS LÄN</t>
        </is>
      </c>
      <c r="E482" t="inlineStr">
        <is>
          <t>MORA</t>
        </is>
      </c>
      <c r="G482" t="n">
        <v>1.7</v>
      </c>
      <c r="H482" t="n">
        <v>0</v>
      </c>
      <c r="I482" t="n">
        <v>0</v>
      </c>
      <c r="J482" t="n">
        <v>0</v>
      </c>
      <c r="K482" t="n">
        <v>0</v>
      </c>
      <c r="L482" t="n">
        <v>0</v>
      </c>
      <c r="M482" t="n">
        <v>0</v>
      </c>
      <c r="N482" t="n">
        <v>0</v>
      </c>
      <c r="O482" t="n">
        <v>0</v>
      </c>
      <c r="P482" t="n">
        <v>0</v>
      </c>
      <c r="Q482" t="n">
        <v>0</v>
      </c>
      <c r="R482" s="2" t="inlineStr"/>
    </row>
    <row r="483" ht="15" customHeight="1">
      <c r="A483" t="inlineStr">
        <is>
          <t>A 54919-2025</t>
        </is>
      </c>
      <c r="B483" s="1" t="n">
        <v>45967.38884259259</v>
      </c>
      <c r="C483" s="1" t="n">
        <v>46104</v>
      </c>
      <c r="D483" t="inlineStr">
        <is>
          <t>DALARNAS LÄN</t>
        </is>
      </c>
      <c r="E483" t="inlineStr">
        <is>
          <t>MORA</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54905-2025</t>
        </is>
      </c>
      <c r="B484" s="1" t="n">
        <v>45967.3700462963</v>
      </c>
      <c r="C484" s="1" t="n">
        <v>46104</v>
      </c>
      <c r="D484" t="inlineStr">
        <is>
          <t>DALARNAS LÄN</t>
        </is>
      </c>
      <c r="E484" t="inlineStr">
        <is>
          <t>MORA</t>
        </is>
      </c>
      <c r="G484" t="n">
        <v>0.4</v>
      </c>
      <c r="H484" t="n">
        <v>0</v>
      </c>
      <c r="I484" t="n">
        <v>0</v>
      </c>
      <c r="J484" t="n">
        <v>0</v>
      </c>
      <c r="K484" t="n">
        <v>0</v>
      </c>
      <c r="L484" t="n">
        <v>0</v>
      </c>
      <c r="M484" t="n">
        <v>0</v>
      </c>
      <c r="N484" t="n">
        <v>0</v>
      </c>
      <c r="O484" t="n">
        <v>0</v>
      </c>
      <c r="P484" t="n">
        <v>0</v>
      </c>
      <c r="Q484" t="n">
        <v>0</v>
      </c>
      <c r="R484" s="2" t="inlineStr"/>
    </row>
    <row r="485" ht="15" customHeight="1">
      <c r="A485" t="inlineStr">
        <is>
          <t>A 54910-2025</t>
        </is>
      </c>
      <c r="B485" s="1" t="n">
        <v>45967.37679398148</v>
      </c>
      <c r="C485" s="1" t="n">
        <v>46104</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58972-2023</t>
        </is>
      </c>
      <c r="B486" s="1" t="n">
        <v>45252</v>
      </c>
      <c r="C486" s="1" t="n">
        <v>46104</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55123-2025</t>
        </is>
      </c>
      <c r="B487" s="1" t="n">
        <v>45968.40056712963</v>
      </c>
      <c r="C487" s="1" t="n">
        <v>46104</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46104</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4752-2026</t>
        </is>
      </c>
      <c r="B489" s="1" t="n">
        <v>46048</v>
      </c>
      <c r="C489" s="1" t="n">
        <v>46104</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4906-2026</t>
        </is>
      </c>
      <c r="B490" s="1" t="n">
        <v>46048.70013888889</v>
      </c>
      <c r="C490" s="1" t="n">
        <v>46104</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46188-2022</t>
        </is>
      </c>
      <c r="B491" s="1" t="n">
        <v>44847.518125</v>
      </c>
      <c r="C491" s="1" t="n">
        <v>46104</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5116-2026</t>
        </is>
      </c>
      <c r="B492" s="1" t="n">
        <v>46049.57591435185</v>
      </c>
      <c r="C492" s="1" t="n">
        <v>46104</v>
      </c>
      <c r="D492" t="inlineStr">
        <is>
          <t>DALARNAS LÄN</t>
        </is>
      </c>
      <c r="E492" t="inlineStr">
        <is>
          <t>MORA</t>
        </is>
      </c>
      <c r="F492" t="inlineStr">
        <is>
          <t>Bergvik skog öst AB</t>
        </is>
      </c>
      <c r="G492" t="n">
        <v>2.9</v>
      </c>
      <c r="H492" t="n">
        <v>0</v>
      </c>
      <c r="I492" t="n">
        <v>0</v>
      </c>
      <c r="J492" t="n">
        <v>0</v>
      </c>
      <c r="K492" t="n">
        <v>0</v>
      </c>
      <c r="L492" t="n">
        <v>0</v>
      </c>
      <c r="M492" t="n">
        <v>0</v>
      </c>
      <c r="N492" t="n">
        <v>0</v>
      </c>
      <c r="O492" t="n">
        <v>0</v>
      </c>
      <c r="P492" t="n">
        <v>0</v>
      </c>
      <c r="Q492" t="n">
        <v>0</v>
      </c>
      <c r="R492" s="2" t="inlineStr"/>
    </row>
    <row r="493" ht="15" customHeight="1">
      <c r="A493" t="inlineStr">
        <is>
          <t>A 4744-2026</t>
        </is>
      </c>
      <c r="B493" s="1" t="n">
        <v>46048</v>
      </c>
      <c r="C493" s="1" t="n">
        <v>46104</v>
      </c>
      <c r="D493" t="inlineStr">
        <is>
          <t>DALARNAS LÄN</t>
        </is>
      </c>
      <c r="E493" t="inlineStr">
        <is>
          <t>MORA</t>
        </is>
      </c>
      <c r="G493" t="n">
        <v>15.8</v>
      </c>
      <c r="H493" t="n">
        <v>0</v>
      </c>
      <c r="I493" t="n">
        <v>0</v>
      </c>
      <c r="J493" t="n">
        <v>0</v>
      </c>
      <c r="K493" t="n">
        <v>0</v>
      </c>
      <c r="L493" t="n">
        <v>0</v>
      </c>
      <c r="M493" t="n">
        <v>0</v>
      </c>
      <c r="N493" t="n">
        <v>0</v>
      </c>
      <c r="O493" t="n">
        <v>0</v>
      </c>
      <c r="P493" t="n">
        <v>0</v>
      </c>
      <c r="Q493" t="n">
        <v>0</v>
      </c>
      <c r="R493" s="2" t="inlineStr"/>
    </row>
    <row r="494" ht="15" customHeight="1">
      <c r="A494" t="inlineStr">
        <is>
          <t>A 42035-2022</t>
        </is>
      </c>
      <c r="B494" s="1" t="n">
        <v>44830</v>
      </c>
      <c r="C494" s="1" t="n">
        <v>46104</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5803-2026</t>
        </is>
      </c>
      <c r="B495" s="1" t="n">
        <v>46051</v>
      </c>
      <c r="C495" s="1" t="n">
        <v>46104</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5473-2026</t>
        </is>
      </c>
      <c r="B496" s="1" t="n">
        <v>46050</v>
      </c>
      <c r="C496" s="1" t="n">
        <v>46104</v>
      </c>
      <c r="D496" t="inlineStr">
        <is>
          <t>DALARNAS LÄN</t>
        </is>
      </c>
      <c r="E496" t="inlineStr">
        <is>
          <t>MORA</t>
        </is>
      </c>
      <c r="G496" t="n">
        <v>10.2</v>
      </c>
      <c r="H496" t="n">
        <v>0</v>
      </c>
      <c r="I496" t="n">
        <v>0</v>
      </c>
      <c r="J496" t="n">
        <v>0</v>
      </c>
      <c r="K496" t="n">
        <v>0</v>
      </c>
      <c r="L496" t="n">
        <v>0</v>
      </c>
      <c r="M496" t="n">
        <v>0</v>
      </c>
      <c r="N496" t="n">
        <v>0</v>
      </c>
      <c r="O496" t="n">
        <v>0</v>
      </c>
      <c r="P496" t="n">
        <v>0</v>
      </c>
      <c r="Q496" t="n">
        <v>0</v>
      </c>
      <c r="R496" s="2" t="inlineStr"/>
    </row>
    <row r="497" ht="15" customHeight="1">
      <c r="A497" t="inlineStr">
        <is>
          <t>A 12527-2026</t>
        </is>
      </c>
      <c r="B497" s="1" t="n">
        <v>46090</v>
      </c>
      <c r="C497" s="1" t="n">
        <v>46104</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15817-2024</t>
        </is>
      </c>
      <c r="B498" s="1" t="n">
        <v>45404.67387731482</v>
      </c>
      <c r="C498" s="1" t="n">
        <v>46104</v>
      </c>
      <c r="D498" t="inlineStr">
        <is>
          <t>DALARNAS LÄN</t>
        </is>
      </c>
      <c r="E498" t="inlineStr">
        <is>
          <t>MORA</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58116-2022</t>
        </is>
      </c>
      <c r="B499" s="1" t="n">
        <v>44900.65716435185</v>
      </c>
      <c r="C499" s="1" t="n">
        <v>46104</v>
      </c>
      <c r="D499" t="inlineStr">
        <is>
          <t>DALARNAS LÄN</t>
        </is>
      </c>
      <c r="E499" t="inlineStr">
        <is>
          <t>MORA</t>
        </is>
      </c>
      <c r="G499" t="n">
        <v>2.9</v>
      </c>
      <c r="H499" t="n">
        <v>0</v>
      </c>
      <c r="I499" t="n">
        <v>0</v>
      </c>
      <c r="J499" t="n">
        <v>0</v>
      </c>
      <c r="K499" t="n">
        <v>0</v>
      </c>
      <c r="L499" t="n">
        <v>0</v>
      </c>
      <c r="M499" t="n">
        <v>0</v>
      </c>
      <c r="N499" t="n">
        <v>0</v>
      </c>
      <c r="O499" t="n">
        <v>0</v>
      </c>
      <c r="P499" t="n">
        <v>0</v>
      </c>
      <c r="Q499" t="n">
        <v>0</v>
      </c>
      <c r="R499" s="2" t="inlineStr"/>
    </row>
    <row r="500" ht="15" customHeight="1">
      <c r="A500" t="inlineStr">
        <is>
          <t>A 5709-2026</t>
        </is>
      </c>
      <c r="B500" s="1" t="n">
        <v>46051</v>
      </c>
      <c r="C500" s="1" t="n">
        <v>46104</v>
      </c>
      <c r="D500" t="inlineStr">
        <is>
          <t>DALARNAS LÄN</t>
        </is>
      </c>
      <c r="E500" t="inlineStr">
        <is>
          <t>MORA</t>
        </is>
      </c>
      <c r="G500" t="n">
        <v>2.7</v>
      </c>
      <c r="H500" t="n">
        <v>0</v>
      </c>
      <c r="I500" t="n">
        <v>0</v>
      </c>
      <c r="J500" t="n">
        <v>0</v>
      </c>
      <c r="K500" t="n">
        <v>0</v>
      </c>
      <c r="L500" t="n">
        <v>0</v>
      </c>
      <c r="M500" t="n">
        <v>0</v>
      </c>
      <c r="N500" t="n">
        <v>0</v>
      </c>
      <c r="O500" t="n">
        <v>0</v>
      </c>
      <c r="P500" t="n">
        <v>0</v>
      </c>
      <c r="Q500" t="n">
        <v>0</v>
      </c>
      <c r="R500" s="2" t="inlineStr"/>
    </row>
    <row r="501" ht="15" customHeight="1">
      <c r="A501" t="inlineStr">
        <is>
          <t>A 18992-2024</t>
        </is>
      </c>
      <c r="B501" s="1" t="n">
        <v>45427.61516203704</v>
      </c>
      <c r="C501" s="1" t="n">
        <v>46104</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60647-2022</t>
        </is>
      </c>
      <c r="B502" s="1" t="n">
        <v>44911</v>
      </c>
      <c r="C502" s="1" t="n">
        <v>46104</v>
      </c>
      <c r="D502" t="inlineStr">
        <is>
          <t>DALARNAS LÄN</t>
        </is>
      </c>
      <c r="E502" t="inlineStr">
        <is>
          <t>MORA</t>
        </is>
      </c>
      <c r="G502" t="n">
        <v>4.8</v>
      </c>
      <c r="H502" t="n">
        <v>0</v>
      </c>
      <c r="I502" t="n">
        <v>0</v>
      </c>
      <c r="J502" t="n">
        <v>0</v>
      </c>
      <c r="K502" t="n">
        <v>0</v>
      </c>
      <c r="L502" t="n">
        <v>0</v>
      </c>
      <c r="M502" t="n">
        <v>0</v>
      </c>
      <c r="N502" t="n">
        <v>0</v>
      </c>
      <c r="O502" t="n">
        <v>0</v>
      </c>
      <c r="P502" t="n">
        <v>0</v>
      </c>
      <c r="Q502" t="n">
        <v>0</v>
      </c>
      <c r="R502" s="2" t="inlineStr"/>
    </row>
    <row r="503" ht="15" customHeight="1">
      <c r="A503" t="inlineStr">
        <is>
          <t>A 1174-2026</t>
        </is>
      </c>
      <c r="B503" s="1" t="n">
        <v>46031</v>
      </c>
      <c r="C503" s="1" t="n">
        <v>46104</v>
      </c>
      <c r="D503" t="inlineStr">
        <is>
          <t>DALARNAS LÄN</t>
        </is>
      </c>
      <c r="E503" t="inlineStr">
        <is>
          <t>MORA</t>
        </is>
      </c>
      <c r="G503" t="n">
        <v>2.8</v>
      </c>
      <c r="H503" t="n">
        <v>0</v>
      </c>
      <c r="I503" t="n">
        <v>0</v>
      </c>
      <c r="J503" t="n">
        <v>0</v>
      </c>
      <c r="K503" t="n">
        <v>0</v>
      </c>
      <c r="L503" t="n">
        <v>0</v>
      </c>
      <c r="M503" t="n">
        <v>0</v>
      </c>
      <c r="N503" t="n">
        <v>0</v>
      </c>
      <c r="O503" t="n">
        <v>0</v>
      </c>
      <c r="P503" t="n">
        <v>0</v>
      </c>
      <c r="Q503" t="n">
        <v>0</v>
      </c>
      <c r="R503" s="2" t="inlineStr"/>
    </row>
    <row r="504" ht="15" customHeight="1">
      <c r="A504" t="inlineStr">
        <is>
          <t>A 13476-2026</t>
        </is>
      </c>
      <c r="B504" s="1" t="n">
        <v>46094.57229166666</v>
      </c>
      <c r="C504" s="1" t="n">
        <v>46104</v>
      </c>
      <c r="D504" t="inlineStr">
        <is>
          <t>DALARNAS LÄN</t>
        </is>
      </c>
      <c r="E504" t="inlineStr">
        <is>
          <t>MORA</t>
        </is>
      </c>
      <c r="F504" t="inlineStr">
        <is>
          <t>Bergvik skog öst AB</t>
        </is>
      </c>
      <c r="G504" t="n">
        <v>11.5</v>
      </c>
      <c r="H504" t="n">
        <v>0</v>
      </c>
      <c r="I504" t="n">
        <v>0</v>
      </c>
      <c r="J504" t="n">
        <v>0</v>
      </c>
      <c r="K504" t="n">
        <v>0</v>
      </c>
      <c r="L504" t="n">
        <v>0</v>
      </c>
      <c r="M504" t="n">
        <v>0</v>
      </c>
      <c r="N504" t="n">
        <v>0</v>
      </c>
      <c r="O504" t="n">
        <v>0</v>
      </c>
      <c r="P504" t="n">
        <v>0</v>
      </c>
      <c r="Q504" t="n">
        <v>0</v>
      </c>
      <c r="R504" s="2" t="inlineStr"/>
    </row>
    <row r="505" ht="15" customHeight="1">
      <c r="A505" t="inlineStr">
        <is>
          <t>A 13483-2026</t>
        </is>
      </c>
      <c r="B505" s="1" t="n">
        <v>46094</v>
      </c>
      <c r="C505" s="1" t="n">
        <v>46104</v>
      </c>
      <c r="D505" t="inlineStr">
        <is>
          <t>DALARNAS LÄN</t>
        </is>
      </c>
      <c r="E505" t="inlineStr">
        <is>
          <t>MORA</t>
        </is>
      </c>
      <c r="G505" t="n">
        <v>4</v>
      </c>
      <c r="H505" t="n">
        <v>0</v>
      </c>
      <c r="I505" t="n">
        <v>0</v>
      </c>
      <c r="J505" t="n">
        <v>0</v>
      </c>
      <c r="K505" t="n">
        <v>0</v>
      </c>
      <c r="L505" t="n">
        <v>0</v>
      </c>
      <c r="M505" t="n">
        <v>0</v>
      </c>
      <c r="N505" t="n">
        <v>0</v>
      </c>
      <c r="O505" t="n">
        <v>0</v>
      </c>
      <c r="P505" t="n">
        <v>0</v>
      </c>
      <c r="Q505" t="n">
        <v>0</v>
      </c>
      <c r="R505" s="2" t="inlineStr"/>
    </row>
    <row r="506" ht="15" customHeight="1">
      <c r="A506" t="inlineStr">
        <is>
          <t>A 11176-2026</t>
        </is>
      </c>
      <c r="B506" s="1" t="n">
        <v>46080</v>
      </c>
      <c r="C506" s="1" t="n">
        <v>46104</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26532-2025</t>
        </is>
      </c>
      <c r="B507" s="1" t="n">
        <v>45807</v>
      </c>
      <c r="C507" s="1" t="n">
        <v>46104</v>
      </c>
      <c r="D507" t="inlineStr">
        <is>
          <t>DALARNAS LÄN</t>
        </is>
      </c>
      <c r="E507" t="inlineStr">
        <is>
          <t>MORA</t>
        </is>
      </c>
      <c r="G507" t="n">
        <v>4.4</v>
      </c>
      <c r="H507" t="n">
        <v>0</v>
      </c>
      <c r="I507" t="n">
        <v>0</v>
      </c>
      <c r="J507" t="n">
        <v>0</v>
      </c>
      <c r="K507" t="n">
        <v>0</v>
      </c>
      <c r="L507" t="n">
        <v>0</v>
      </c>
      <c r="M507" t="n">
        <v>0</v>
      </c>
      <c r="N507" t="n">
        <v>0</v>
      </c>
      <c r="O507" t="n">
        <v>0</v>
      </c>
      <c r="P507" t="n">
        <v>0</v>
      </c>
      <c r="Q507" t="n">
        <v>0</v>
      </c>
      <c r="R507" s="2" t="inlineStr"/>
    </row>
    <row r="508" ht="15" customHeight="1">
      <c r="A508" t="inlineStr">
        <is>
          <t>A 5936-2026</t>
        </is>
      </c>
      <c r="B508" s="1" t="n">
        <v>46052.47197916666</v>
      </c>
      <c r="C508" s="1" t="n">
        <v>46104</v>
      </c>
      <c r="D508" t="inlineStr">
        <is>
          <t>DALARNAS LÄN</t>
        </is>
      </c>
      <c r="E508" t="inlineStr">
        <is>
          <t>MORA</t>
        </is>
      </c>
      <c r="G508" t="n">
        <v>11.1</v>
      </c>
      <c r="H508" t="n">
        <v>0</v>
      </c>
      <c r="I508" t="n">
        <v>0</v>
      </c>
      <c r="J508" t="n">
        <v>0</v>
      </c>
      <c r="K508" t="n">
        <v>0</v>
      </c>
      <c r="L508" t="n">
        <v>0</v>
      </c>
      <c r="M508" t="n">
        <v>0</v>
      </c>
      <c r="N508" t="n">
        <v>0</v>
      </c>
      <c r="O508" t="n">
        <v>0</v>
      </c>
      <c r="P508" t="n">
        <v>0</v>
      </c>
      <c r="Q508" t="n">
        <v>0</v>
      </c>
      <c r="R508" s="2" t="inlineStr"/>
    </row>
    <row r="509" ht="15" customHeight="1">
      <c r="A509" t="inlineStr">
        <is>
          <t>A 56460-2022</t>
        </is>
      </c>
      <c r="B509" s="1" t="n">
        <v>44893</v>
      </c>
      <c r="C509" s="1" t="n">
        <v>46104</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30819-2024</t>
        </is>
      </c>
      <c r="B510" s="1" t="n">
        <v>45497</v>
      </c>
      <c r="C510" s="1" t="n">
        <v>46104</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437-2024</t>
        </is>
      </c>
      <c r="B511" s="1" t="n">
        <v>45296</v>
      </c>
      <c r="C511" s="1" t="n">
        <v>46104</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26731-2025</t>
        </is>
      </c>
      <c r="B512" s="1" t="n">
        <v>45810.50702546296</v>
      </c>
      <c r="C512" s="1" t="n">
        <v>46104</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20885-2024</t>
        </is>
      </c>
      <c r="B513" s="1" t="n">
        <v>45439.45527777778</v>
      </c>
      <c r="C513" s="1" t="n">
        <v>46104</v>
      </c>
      <c r="D513" t="inlineStr">
        <is>
          <t>DALARNAS LÄN</t>
        </is>
      </c>
      <c r="E513" t="inlineStr">
        <is>
          <t>MORA</t>
        </is>
      </c>
      <c r="G513" t="n">
        <v>5</v>
      </c>
      <c r="H513" t="n">
        <v>0</v>
      </c>
      <c r="I513" t="n">
        <v>0</v>
      </c>
      <c r="J513" t="n">
        <v>0</v>
      </c>
      <c r="K513" t="n">
        <v>0</v>
      </c>
      <c r="L513" t="n">
        <v>0</v>
      </c>
      <c r="M513" t="n">
        <v>0</v>
      </c>
      <c r="N513" t="n">
        <v>0</v>
      </c>
      <c r="O513" t="n">
        <v>0</v>
      </c>
      <c r="P513" t="n">
        <v>0</v>
      </c>
      <c r="Q513" t="n">
        <v>0</v>
      </c>
      <c r="R513" s="2" t="inlineStr"/>
    </row>
    <row r="514" ht="15" customHeight="1">
      <c r="A514" t="inlineStr">
        <is>
          <t>A 5959-2026</t>
        </is>
      </c>
      <c r="B514" s="1" t="n">
        <v>46052.50533564815</v>
      </c>
      <c r="C514" s="1" t="n">
        <v>46104</v>
      </c>
      <c r="D514" t="inlineStr">
        <is>
          <t>DALARNAS LÄN</t>
        </is>
      </c>
      <c r="E514" t="inlineStr">
        <is>
          <t>MORA</t>
        </is>
      </c>
      <c r="G514" t="n">
        <v>9.5</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46104</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13515-2026</t>
        </is>
      </c>
      <c r="B516" s="1" t="n">
        <v>46094.61391203704</v>
      </c>
      <c r="C516" s="1" t="n">
        <v>46104</v>
      </c>
      <c r="D516" t="inlineStr">
        <is>
          <t>DALARNAS LÄN</t>
        </is>
      </c>
      <c r="E516" t="inlineStr">
        <is>
          <t>MORA</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26711-2025</t>
        </is>
      </c>
      <c r="B517" s="1" t="n">
        <v>45810.46144675926</v>
      </c>
      <c r="C517" s="1" t="n">
        <v>46104</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6182-2026</t>
        </is>
      </c>
      <c r="B518" s="1" t="n">
        <v>46055.36231481482</v>
      </c>
      <c r="C518" s="1" t="n">
        <v>46104</v>
      </c>
      <c r="D518" t="inlineStr">
        <is>
          <t>DALARNAS LÄN</t>
        </is>
      </c>
      <c r="E518" t="inlineStr">
        <is>
          <t>MORA</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5836-2026</t>
        </is>
      </c>
      <c r="B519" s="1" t="n">
        <v>46052.33809027778</v>
      </c>
      <c r="C519" s="1" t="n">
        <v>46104</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31395-2024</t>
        </is>
      </c>
      <c r="B520" s="1" t="n">
        <v>45505.47716435185</v>
      </c>
      <c r="C520" s="1" t="n">
        <v>46104</v>
      </c>
      <c r="D520" t="inlineStr">
        <is>
          <t>DALARNAS LÄN</t>
        </is>
      </c>
      <c r="E520" t="inlineStr">
        <is>
          <t>MORA</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13543-2026</t>
        </is>
      </c>
      <c r="B521" s="1" t="n">
        <v>46094.6853125</v>
      </c>
      <c r="C521" s="1" t="n">
        <v>46104</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7565-2025</t>
        </is>
      </c>
      <c r="B522" s="1" t="n">
        <v>45705.59269675926</v>
      </c>
      <c r="C522" s="1" t="n">
        <v>46104</v>
      </c>
      <c r="D522" t="inlineStr">
        <is>
          <t>DALARNAS LÄN</t>
        </is>
      </c>
      <c r="E522" t="inlineStr">
        <is>
          <t>MORA</t>
        </is>
      </c>
      <c r="G522" t="n">
        <v>3</v>
      </c>
      <c r="H522" t="n">
        <v>0</v>
      </c>
      <c r="I522" t="n">
        <v>0</v>
      </c>
      <c r="J522" t="n">
        <v>0</v>
      </c>
      <c r="K522" t="n">
        <v>0</v>
      </c>
      <c r="L522" t="n">
        <v>0</v>
      </c>
      <c r="M522" t="n">
        <v>0</v>
      </c>
      <c r="N522" t="n">
        <v>0</v>
      </c>
      <c r="O522" t="n">
        <v>0</v>
      </c>
      <c r="P522" t="n">
        <v>0</v>
      </c>
      <c r="Q522" t="n">
        <v>0</v>
      </c>
      <c r="R522" s="2" t="inlineStr"/>
    </row>
    <row r="523" ht="15" customHeight="1">
      <c r="A523" t="inlineStr">
        <is>
          <t>A 26854-2025</t>
        </is>
      </c>
      <c r="B523" s="1" t="n">
        <v>45810.67462962963</v>
      </c>
      <c r="C523" s="1" t="n">
        <v>46104</v>
      </c>
      <c r="D523" t="inlineStr">
        <is>
          <t>DALARNAS LÄN</t>
        </is>
      </c>
      <c r="E523" t="inlineStr">
        <is>
          <t>MORA</t>
        </is>
      </c>
      <c r="G523" t="n">
        <v>4.4</v>
      </c>
      <c r="H523" t="n">
        <v>0</v>
      </c>
      <c r="I523" t="n">
        <v>0</v>
      </c>
      <c r="J523" t="n">
        <v>0</v>
      </c>
      <c r="K523" t="n">
        <v>0</v>
      </c>
      <c r="L523" t="n">
        <v>0</v>
      </c>
      <c r="M523" t="n">
        <v>0</v>
      </c>
      <c r="N523" t="n">
        <v>0</v>
      </c>
      <c r="O523" t="n">
        <v>0</v>
      </c>
      <c r="P523" t="n">
        <v>0</v>
      </c>
      <c r="Q523" t="n">
        <v>0</v>
      </c>
      <c r="R523" s="2" t="inlineStr"/>
    </row>
    <row r="524" ht="15" customHeight="1">
      <c r="A524" t="inlineStr">
        <is>
          <t>A 26647-2025</t>
        </is>
      </c>
      <c r="B524" s="1" t="n">
        <v>45810.38439814815</v>
      </c>
      <c r="C524" s="1" t="n">
        <v>46104</v>
      </c>
      <c r="D524" t="inlineStr">
        <is>
          <t>DALARNAS LÄN</t>
        </is>
      </c>
      <c r="E524" t="inlineStr">
        <is>
          <t>MORA</t>
        </is>
      </c>
      <c r="G524" t="n">
        <v>7.9</v>
      </c>
      <c r="H524" t="n">
        <v>0</v>
      </c>
      <c r="I524" t="n">
        <v>0</v>
      </c>
      <c r="J524" t="n">
        <v>0</v>
      </c>
      <c r="K524" t="n">
        <v>0</v>
      </c>
      <c r="L524" t="n">
        <v>0</v>
      </c>
      <c r="M524" t="n">
        <v>0</v>
      </c>
      <c r="N524" t="n">
        <v>0</v>
      </c>
      <c r="O524" t="n">
        <v>0</v>
      </c>
      <c r="P524" t="n">
        <v>0</v>
      </c>
      <c r="Q524" t="n">
        <v>0</v>
      </c>
      <c r="R524" s="2" t="inlineStr"/>
    </row>
    <row r="525" ht="15" customHeight="1">
      <c r="A525" t="inlineStr">
        <is>
          <t>A 60847-2021</t>
        </is>
      </c>
      <c r="B525" s="1" t="n">
        <v>44497</v>
      </c>
      <c r="C525" s="1" t="n">
        <v>46104</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12664-2026</t>
        </is>
      </c>
      <c r="B526" s="1" t="n">
        <v>46091</v>
      </c>
      <c r="C526" s="1" t="n">
        <v>46104</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15435-2024</t>
        </is>
      </c>
      <c r="B527" s="1" t="n">
        <v>45401.40806712963</v>
      </c>
      <c r="C527" s="1" t="n">
        <v>46104</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31085-2024</t>
        </is>
      </c>
      <c r="B528" s="1" t="n">
        <v>45502.48047453703</v>
      </c>
      <c r="C528" s="1" t="n">
        <v>46104</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43863-2023</t>
        </is>
      </c>
      <c r="B529" s="1" t="n">
        <v>45187.62532407408</v>
      </c>
      <c r="C529" s="1" t="n">
        <v>46104</v>
      </c>
      <c r="D529" t="inlineStr">
        <is>
          <t>DALARNAS LÄN</t>
        </is>
      </c>
      <c r="E529" t="inlineStr">
        <is>
          <t>MORA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60051-2022</t>
        </is>
      </c>
      <c r="B530" s="1" t="n">
        <v>44909.52385416667</v>
      </c>
      <c r="C530" s="1" t="n">
        <v>46104</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13262-2022</t>
        </is>
      </c>
      <c r="B531" s="1" t="n">
        <v>44644.70184027778</v>
      </c>
      <c r="C531" s="1" t="n">
        <v>46104</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26630-2025</t>
        </is>
      </c>
      <c r="B532" s="1" t="n">
        <v>45809</v>
      </c>
      <c r="C532" s="1" t="n">
        <v>46104</v>
      </c>
      <c r="D532" t="inlineStr">
        <is>
          <t>DALARNAS LÄN</t>
        </is>
      </c>
      <c r="E532" t="inlineStr">
        <is>
          <t>MORA</t>
        </is>
      </c>
      <c r="G532" t="n">
        <v>32.1</v>
      </c>
      <c r="H532" t="n">
        <v>0</v>
      </c>
      <c r="I532" t="n">
        <v>0</v>
      </c>
      <c r="J532" t="n">
        <v>0</v>
      </c>
      <c r="K532" t="n">
        <v>0</v>
      </c>
      <c r="L532" t="n">
        <v>0</v>
      </c>
      <c r="M532" t="n">
        <v>0</v>
      </c>
      <c r="N532" t="n">
        <v>0</v>
      </c>
      <c r="O532" t="n">
        <v>0</v>
      </c>
      <c r="P532" t="n">
        <v>0</v>
      </c>
      <c r="Q532" t="n">
        <v>0</v>
      </c>
      <c r="R532" s="2" t="inlineStr"/>
    </row>
    <row r="533" ht="15" customHeight="1">
      <c r="A533" t="inlineStr">
        <is>
          <t>A 27194-2025</t>
        </is>
      </c>
      <c r="B533" s="1" t="n">
        <v>45812.37965277778</v>
      </c>
      <c r="C533" s="1" t="n">
        <v>46104</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11452-2026</t>
        </is>
      </c>
      <c r="B534" s="1" t="n">
        <v>46083</v>
      </c>
      <c r="C534" s="1" t="n">
        <v>46104</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56767-2023</t>
        </is>
      </c>
      <c r="B535" s="1" t="n">
        <v>45244</v>
      </c>
      <c r="C535" s="1" t="n">
        <v>46104</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17268-2025</t>
        </is>
      </c>
      <c r="B536" s="1" t="n">
        <v>45756</v>
      </c>
      <c r="C536" s="1" t="n">
        <v>46104</v>
      </c>
      <c r="D536" t="inlineStr">
        <is>
          <t>DALARNAS LÄN</t>
        </is>
      </c>
      <c r="E536" t="inlineStr">
        <is>
          <t>MORA</t>
        </is>
      </c>
      <c r="G536" t="n">
        <v>6.8</v>
      </c>
      <c r="H536" t="n">
        <v>0</v>
      </c>
      <c r="I536" t="n">
        <v>0</v>
      </c>
      <c r="J536" t="n">
        <v>0</v>
      </c>
      <c r="K536" t="n">
        <v>0</v>
      </c>
      <c r="L536" t="n">
        <v>0</v>
      </c>
      <c r="M536" t="n">
        <v>0</v>
      </c>
      <c r="N536" t="n">
        <v>0</v>
      </c>
      <c r="O536" t="n">
        <v>0</v>
      </c>
      <c r="P536" t="n">
        <v>0</v>
      </c>
      <c r="Q536" t="n">
        <v>0</v>
      </c>
      <c r="R536" s="2" t="inlineStr"/>
    </row>
    <row r="537" ht="15" customHeight="1">
      <c r="A537" t="inlineStr">
        <is>
          <t>A 6967-2026</t>
        </is>
      </c>
      <c r="B537" s="1" t="n">
        <v>46057.58777777778</v>
      </c>
      <c r="C537" s="1" t="n">
        <v>46104</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27642-2025</t>
        </is>
      </c>
      <c r="B538" s="1" t="n">
        <v>45813.59405092592</v>
      </c>
      <c r="C538" s="1" t="n">
        <v>46104</v>
      </c>
      <c r="D538" t="inlineStr">
        <is>
          <t>DALARNAS LÄN</t>
        </is>
      </c>
      <c r="E538" t="inlineStr">
        <is>
          <t>MORA</t>
        </is>
      </c>
      <c r="G538" t="n">
        <v>2.5</v>
      </c>
      <c r="H538" t="n">
        <v>0</v>
      </c>
      <c r="I538" t="n">
        <v>0</v>
      </c>
      <c r="J538" t="n">
        <v>0</v>
      </c>
      <c r="K538" t="n">
        <v>0</v>
      </c>
      <c r="L538" t="n">
        <v>0</v>
      </c>
      <c r="M538" t="n">
        <v>0</v>
      </c>
      <c r="N538" t="n">
        <v>0</v>
      </c>
      <c r="O538" t="n">
        <v>0</v>
      </c>
      <c r="P538" t="n">
        <v>0</v>
      </c>
      <c r="Q538" t="n">
        <v>0</v>
      </c>
      <c r="R538" s="2" t="inlineStr"/>
    </row>
    <row r="539" ht="15" customHeight="1">
      <c r="A539" t="inlineStr">
        <is>
          <t>A 50056-2022</t>
        </is>
      </c>
      <c r="B539" s="1" t="n">
        <v>44865</v>
      </c>
      <c r="C539" s="1" t="n">
        <v>46104</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27184-2025</t>
        </is>
      </c>
      <c r="B540" s="1" t="n">
        <v>45812.36133101852</v>
      </c>
      <c r="C540" s="1" t="n">
        <v>46104</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6971-2026</t>
        </is>
      </c>
      <c r="B541" s="1" t="n">
        <v>46057</v>
      </c>
      <c r="C541" s="1" t="n">
        <v>46104</v>
      </c>
      <c r="D541" t="inlineStr">
        <is>
          <t>DALARNAS LÄN</t>
        </is>
      </c>
      <c r="E541" t="inlineStr">
        <is>
          <t>MORA</t>
        </is>
      </c>
      <c r="G541" t="n">
        <v>1.9</v>
      </c>
      <c r="H541" t="n">
        <v>0</v>
      </c>
      <c r="I541" t="n">
        <v>0</v>
      </c>
      <c r="J541" t="n">
        <v>0</v>
      </c>
      <c r="K541" t="n">
        <v>0</v>
      </c>
      <c r="L541" t="n">
        <v>0</v>
      </c>
      <c r="M541" t="n">
        <v>0</v>
      </c>
      <c r="N541" t="n">
        <v>0</v>
      </c>
      <c r="O541" t="n">
        <v>0</v>
      </c>
      <c r="P541" t="n">
        <v>0</v>
      </c>
      <c r="Q541" t="n">
        <v>0</v>
      </c>
      <c r="R541" s="2" t="inlineStr"/>
    </row>
    <row r="542" ht="15" customHeight="1">
      <c r="A542" t="inlineStr">
        <is>
          <t>A 13853-2026</t>
        </is>
      </c>
      <c r="B542" s="1" t="n">
        <v>46098.39268518519</v>
      </c>
      <c r="C542" s="1" t="n">
        <v>46104</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15499-2024</t>
        </is>
      </c>
      <c r="B543" s="1" t="n">
        <v>45401.53798611111</v>
      </c>
      <c r="C543" s="1" t="n">
        <v>46104</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6674-2026</t>
        </is>
      </c>
      <c r="B544" s="1" t="n">
        <v>46056.60297453704</v>
      </c>
      <c r="C544" s="1" t="n">
        <v>46104</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6690-2026</t>
        </is>
      </c>
      <c r="B545" s="1" t="n">
        <v>46056.6352662037</v>
      </c>
      <c r="C545" s="1" t="n">
        <v>46104</v>
      </c>
      <c r="D545" t="inlineStr">
        <is>
          <t>DALARNAS LÄN</t>
        </is>
      </c>
      <c r="E545" t="inlineStr">
        <is>
          <t>MORA</t>
        </is>
      </c>
      <c r="G545" t="n">
        <v>1.9</v>
      </c>
      <c r="H545" t="n">
        <v>0</v>
      </c>
      <c r="I545" t="n">
        <v>0</v>
      </c>
      <c r="J545" t="n">
        <v>0</v>
      </c>
      <c r="K545" t="n">
        <v>0</v>
      </c>
      <c r="L545" t="n">
        <v>0</v>
      </c>
      <c r="M545" t="n">
        <v>0</v>
      </c>
      <c r="N545" t="n">
        <v>0</v>
      </c>
      <c r="O545" t="n">
        <v>0</v>
      </c>
      <c r="P545" t="n">
        <v>0</v>
      </c>
      <c r="Q545" t="n">
        <v>0</v>
      </c>
      <c r="R545" s="2" t="inlineStr"/>
    </row>
    <row r="546" ht="15" customHeight="1">
      <c r="A546" t="inlineStr">
        <is>
          <t>A 13902-2026</t>
        </is>
      </c>
      <c r="B546" s="1" t="n">
        <v>46098.46834490741</v>
      </c>
      <c r="C546" s="1" t="n">
        <v>46104</v>
      </c>
      <c r="D546" t="inlineStr">
        <is>
          <t>DALARNAS LÄN</t>
        </is>
      </c>
      <c r="E546" t="inlineStr">
        <is>
          <t>MORA</t>
        </is>
      </c>
      <c r="G546" t="n">
        <v>5.3</v>
      </c>
      <c r="H546" t="n">
        <v>0</v>
      </c>
      <c r="I546" t="n">
        <v>0</v>
      </c>
      <c r="J546" t="n">
        <v>0</v>
      </c>
      <c r="K546" t="n">
        <v>0</v>
      </c>
      <c r="L546" t="n">
        <v>0</v>
      </c>
      <c r="M546" t="n">
        <v>0</v>
      </c>
      <c r="N546" t="n">
        <v>0</v>
      </c>
      <c r="O546" t="n">
        <v>0</v>
      </c>
      <c r="P546" t="n">
        <v>0</v>
      </c>
      <c r="Q546" t="n">
        <v>0</v>
      </c>
      <c r="R546" s="2" t="inlineStr"/>
    </row>
    <row r="547" ht="15" customHeight="1">
      <c r="A547" t="inlineStr">
        <is>
          <t>A 27177-2025</t>
        </is>
      </c>
      <c r="B547" s="1" t="n">
        <v>45812.3533912037</v>
      </c>
      <c r="C547" s="1" t="n">
        <v>46104</v>
      </c>
      <c r="D547" t="inlineStr">
        <is>
          <t>DALARNAS LÄN</t>
        </is>
      </c>
      <c r="E547" t="inlineStr">
        <is>
          <t>MORA</t>
        </is>
      </c>
      <c r="F547" t="inlineStr">
        <is>
          <t>Bergvik skog öst AB</t>
        </is>
      </c>
      <c r="G547" t="n">
        <v>2.5</v>
      </c>
      <c r="H547" t="n">
        <v>0</v>
      </c>
      <c r="I547" t="n">
        <v>0</v>
      </c>
      <c r="J547" t="n">
        <v>0</v>
      </c>
      <c r="K547" t="n">
        <v>0</v>
      </c>
      <c r="L547" t="n">
        <v>0</v>
      </c>
      <c r="M547" t="n">
        <v>0</v>
      </c>
      <c r="N547" t="n">
        <v>0</v>
      </c>
      <c r="O547" t="n">
        <v>0</v>
      </c>
      <c r="P547" t="n">
        <v>0</v>
      </c>
      <c r="Q547" t="n">
        <v>0</v>
      </c>
      <c r="R547" s="2" t="inlineStr"/>
    </row>
    <row r="548" ht="15" customHeight="1">
      <c r="A548" t="inlineStr">
        <is>
          <t>A 14611-2025</t>
        </is>
      </c>
      <c r="B548" s="1" t="n">
        <v>45742.38511574074</v>
      </c>
      <c r="C548" s="1" t="n">
        <v>46104</v>
      </c>
      <c r="D548" t="inlineStr">
        <is>
          <t>DALARNAS LÄN</t>
        </is>
      </c>
      <c r="E548" t="inlineStr">
        <is>
          <t>MORA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15643-2025</t>
        </is>
      </c>
      <c r="B549" s="1" t="n">
        <v>45748.39222222222</v>
      </c>
      <c r="C549" s="1" t="n">
        <v>46104</v>
      </c>
      <c r="D549" t="inlineStr">
        <is>
          <t>DALARNAS LÄN</t>
        </is>
      </c>
      <c r="E549" t="inlineStr">
        <is>
          <t>MORA</t>
        </is>
      </c>
      <c r="G549" t="n">
        <v>7.6</v>
      </c>
      <c r="H549" t="n">
        <v>0</v>
      </c>
      <c r="I549" t="n">
        <v>0</v>
      </c>
      <c r="J549" t="n">
        <v>0</v>
      </c>
      <c r="K549" t="n">
        <v>0</v>
      </c>
      <c r="L549" t="n">
        <v>0</v>
      </c>
      <c r="M549" t="n">
        <v>0</v>
      </c>
      <c r="N549" t="n">
        <v>0</v>
      </c>
      <c r="O549" t="n">
        <v>0</v>
      </c>
      <c r="P549" t="n">
        <v>0</v>
      </c>
      <c r="Q549" t="n">
        <v>0</v>
      </c>
      <c r="R549" s="2" t="inlineStr"/>
    </row>
    <row r="550" ht="15" customHeight="1">
      <c r="A550" t="inlineStr">
        <is>
          <t>A 6802-2026</t>
        </is>
      </c>
      <c r="B550" s="1" t="n">
        <v>46057.35288194445</v>
      </c>
      <c r="C550" s="1" t="n">
        <v>46104</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6923-2026</t>
        </is>
      </c>
      <c r="B551" s="1" t="n">
        <v>46057.53868055555</v>
      </c>
      <c r="C551" s="1" t="n">
        <v>46104</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46755-2023</t>
        </is>
      </c>
      <c r="B552" s="1" t="n">
        <v>45198.61314814815</v>
      </c>
      <c r="C552" s="1" t="n">
        <v>46104</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27175-2025</t>
        </is>
      </c>
      <c r="B553" s="1" t="n">
        <v>45812.35072916667</v>
      </c>
      <c r="C553" s="1" t="n">
        <v>46104</v>
      </c>
      <c r="D553" t="inlineStr">
        <is>
          <t>DALARNAS LÄN</t>
        </is>
      </c>
      <c r="E553" t="inlineStr">
        <is>
          <t>MORA</t>
        </is>
      </c>
      <c r="F553" t="inlineStr">
        <is>
          <t>Bergvik skog öst AB</t>
        </is>
      </c>
      <c r="G553" t="n">
        <v>4</v>
      </c>
      <c r="H553" t="n">
        <v>0</v>
      </c>
      <c r="I553" t="n">
        <v>0</v>
      </c>
      <c r="J553" t="n">
        <v>0</v>
      </c>
      <c r="K553" t="n">
        <v>0</v>
      </c>
      <c r="L553" t="n">
        <v>0</v>
      </c>
      <c r="M553" t="n">
        <v>0</v>
      </c>
      <c r="N553" t="n">
        <v>0</v>
      </c>
      <c r="O553" t="n">
        <v>0</v>
      </c>
      <c r="P553" t="n">
        <v>0</v>
      </c>
      <c r="Q553" t="n">
        <v>0</v>
      </c>
      <c r="R553" s="2" t="inlineStr"/>
    </row>
    <row r="554" ht="15" customHeight="1">
      <c r="A554" t="inlineStr">
        <is>
          <t>A 6892-2026</t>
        </is>
      </c>
      <c r="B554" s="1" t="n">
        <v>46057.47490740741</v>
      </c>
      <c r="C554" s="1" t="n">
        <v>46104</v>
      </c>
      <c r="D554" t="inlineStr">
        <is>
          <t>DALARNAS LÄN</t>
        </is>
      </c>
      <c r="E554" t="inlineStr">
        <is>
          <t>MORA</t>
        </is>
      </c>
      <c r="G554" t="n">
        <v>9</v>
      </c>
      <c r="H554" t="n">
        <v>0</v>
      </c>
      <c r="I554" t="n">
        <v>0</v>
      </c>
      <c r="J554" t="n">
        <v>0</v>
      </c>
      <c r="K554" t="n">
        <v>0</v>
      </c>
      <c r="L554" t="n">
        <v>0</v>
      </c>
      <c r="M554" t="n">
        <v>0</v>
      </c>
      <c r="N554" t="n">
        <v>0</v>
      </c>
      <c r="O554" t="n">
        <v>0</v>
      </c>
      <c r="P554" t="n">
        <v>0</v>
      </c>
      <c r="Q554" t="n">
        <v>0</v>
      </c>
      <c r="R554" s="2" t="inlineStr"/>
    </row>
    <row r="555" ht="15" customHeight="1">
      <c r="A555" t="inlineStr">
        <is>
          <t>A 6619-2026</t>
        </is>
      </c>
      <c r="B555" s="1" t="n">
        <v>46056.49622685185</v>
      </c>
      <c r="C555" s="1" t="n">
        <v>46104</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316-2026</t>
        </is>
      </c>
      <c r="B556" s="1" t="n">
        <v>46027</v>
      </c>
      <c r="C556" s="1" t="n">
        <v>46104</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6595-2026</t>
        </is>
      </c>
      <c r="B557" s="1" t="n">
        <v>46056</v>
      </c>
      <c r="C557" s="1" t="n">
        <v>46104</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28033-2025</t>
        </is>
      </c>
      <c r="B558" s="1" t="n">
        <v>45817.6325462963</v>
      </c>
      <c r="C558" s="1" t="n">
        <v>46104</v>
      </c>
      <c r="D558" t="inlineStr">
        <is>
          <t>DALARNAS LÄN</t>
        </is>
      </c>
      <c r="E558" t="inlineStr">
        <is>
          <t>MORA</t>
        </is>
      </c>
      <c r="F558" t="inlineStr">
        <is>
          <t>Bergvik skog öst AB</t>
        </is>
      </c>
      <c r="G558" t="n">
        <v>12.8</v>
      </c>
      <c r="H558" t="n">
        <v>0</v>
      </c>
      <c r="I558" t="n">
        <v>0</v>
      </c>
      <c r="J558" t="n">
        <v>0</v>
      </c>
      <c r="K558" t="n">
        <v>0</v>
      </c>
      <c r="L558" t="n">
        <v>0</v>
      </c>
      <c r="M558" t="n">
        <v>0</v>
      </c>
      <c r="N558" t="n">
        <v>0</v>
      </c>
      <c r="O558" t="n">
        <v>0</v>
      </c>
      <c r="P558" t="n">
        <v>0</v>
      </c>
      <c r="Q558" t="n">
        <v>0</v>
      </c>
      <c r="R558" s="2" t="inlineStr"/>
    </row>
    <row r="559" ht="15" customHeight="1">
      <c r="A559" t="inlineStr">
        <is>
          <t>A 18122-2025</t>
        </is>
      </c>
      <c r="B559" s="1" t="n">
        <v>45761.59221064814</v>
      </c>
      <c r="C559" s="1" t="n">
        <v>46104</v>
      </c>
      <c r="D559" t="inlineStr">
        <is>
          <t>DALARNAS LÄN</t>
        </is>
      </c>
      <c r="E559" t="inlineStr">
        <is>
          <t>MORA</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6947-2026</t>
        </is>
      </c>
      <c r="B560" s="1" t="n">
        <v>46057.56855324074</v>
      </c>
      <c r="C560" s="1" t="n">
        <v>46104</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6719-2026</t>
        </is>
      </c>
      <c r="B561" s="1" t="n">
        <v>46056.66945601852</v>
      </c>
      <c r="C561" s="1" t="n">
        <v>46104</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7446-2026</t>
        </is>
      </c>
      <c r="B562" s="1" t="n">
        <v>46059</v>
      </c>
      <c r="C562" s="1" t="n">
        <v>46104</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44817-2023</t>
        </is>
      </c>
      <c r="B563" s="1" t="n">
        <v>45190.51887731482</v>
      </c>
      <c r="C563" s="1" t="n">
        <v>46104</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14397-2026</t>
        </is>
      </c>
      <c r="B564" s="1" t="n">
        <v>46100.40832175926</v>
      </c>
      <c r="C564" s="1" t="n">
        <v>46104</v>
      </c>
      <c r="D564" t="inlineStr">
        <is>
          <t>DALARNAS LÄN</t>
        </is>
      </c>
      <c r="E564" t="inlineStr">
        <is>
          <t>MORA</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43569-2025</t>
        </is>
      </c>
      <c r="B565" s="1" t="n">
        <v>45911.63363425926</v>
      </c>
      <c r="C565" s="1" t="n">
        <v>46104</v>
      </c>
      <c r="D565" t="inlineStr">
        <is>
          <t>DALARNAS LÄN</t>
        </is>
      </c>
      <c r="E565" t="inlineStr">
        <is>
          <t>MORA</t>
        </is>
      </c>
      <c r="G565" t="n">
        <v>4.7</v>
      </c>
      <c r="H565" t="n">
        <v>0</v>
      </c>
      <c r="I565" t="n">
        <v>0</v>
      </c>
      <c r="J565" t="n">
        <v>0</v>
      </c>
      <c r="K565" t="n">
        <v>0</v>
      </c>
      <c r="L565" t="n">
        <v>0</v>
      </c>
      <c r="M565" t="n">
        <v>0</v>
      </c>
      <c r="N565" t="n">
        <v>0</v>
      </c>
      <c r="O565" t="n">
        <v>0</v>
      </c>
      <c r="P565" t="n">
        <v>0</v>
      </c>
      <c r="Q565" t="n">
        <v>0</v>
      </c>
      <c r="R565" s="2" t="inlineStr"/>
    </row>
    <row r="566" ht="15" customHeight="1">
      <c r="A566" t="inlineStr">
        <is>
          <t>A 39511-2024</t>
        </is>
      </c>
      <c r="B566" s="1" t="n">
        <v>45551.68347222222</v>
      </c>
      <c r="C566" s="1" t="n">
        <v>46104</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57797-2022</t>
        </is>
      </c>
      <c r="B567" s="1" t="n">
        <v>44897</v>
      </c>
      <c r="C567" s="1" t="n">
        <v>46104</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27125-2024</t>
        </is>
      </c>
      <c r="B568" s="1" t="n">
        <v>45471</v>
      </c>
      <c r="C568" s="1" t="n">
        <v>46104</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7418-2026</t>
        </is>
      </c>
      <c r="B569" s="1" t="n">
        <v>46059.42018518518</v>
      </c>
      <c r="C569" s="1" t="n">
        <v>46104</v>
      </c>
      <c r="D569" t="inlineStr">
        <is>
          <t>DALARNAS LÄN</t>
        </is>
      </c>
      <c r="E569" t="inlineStr">
        <is>
          <t>MORA</t>
        </is>
      </c>
      <c r="G569" t="n">
        <v>4</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46101.60760416667</v>
      </c>
      <c r="C570" s="1" t="n">
        <v>46104</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30822-2024</t>
        </is>
      </c>
      <c r="B571" s="1" t="n">
        <v>45497</v>
      </c>
      <c r="C571" s="1" t="n">
        <v>46104</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29068-2025</t>
        </is>
      </c>
      <c r="B572" s="1" t="n">
        <v>45821.50900462963</v>
      </c>
      <c r="C572" s="1" t="n">
        <v>46104</v>
      </c>
      <c r="D572" t="inlineStr">
        <is>
          <t>DALARNAS LÄN</t>
        </is>
      </c>
      <c r="E572" t="inlineStr">
        <is>
          <t>MORA</t>
        </is>
      </c>
      <c r="G572" t="n">
        <v>1.2</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46104</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6371-2022</t>
        </is>
      </c>
      <c r="B574" s="1" t="n">
        <v>44600</v>
      </c>
      <c r="C574" s="1" t="n">
        <v>46104</v>
      </c>
      <c r="D574" t="inlineStr">
        <is>
          <t>DALARNAS LÄN</t>
        </is>
      </c>
      <c r="E574" t="inlineStr">
        <is>
          <t>MORA</t>
        </is>
      </c>
      <c r="G574" t="n">
        <v>4.6</v>
      </c>
      <c r="H574" t="n">
        <v>0</v>
      </c>
      <c r="I574" t="n">
        <v>0</v>
      </c>
      <c r="J574" t="n">
        <v>0</v>
      </c>
      <c r="K574" t="n">
        <v>0</v>
      </c>
      <c r="L574" t="n">
        <v>0</v>
      </c>
      <c r="M574" t="n">
        <v>0</v>
      </c>
      <c r="N574" t="n">
        <v>0</v>
      </c>
      <c r="O574" t="n">
        <v>0</v>
      </c>
      <c r="P574" t="n">
        <v>0</v>
      </c>
      <c r="Q574" t="n">
        <v>0</v>
      </c>
      <c r="R574" s="2" t="inlineStr"/>
    </row>
    <row r="575" ht="15" customHeight="1">
      <c r="A575" t="inlineStr">
        <is>
          <t>A 28925-2025</t>
        </is>
      </c>
      <c r="B575" s="1" t="n">
        <v>45820.67107638889</v>
      </c>
      <c r="C575" s="1" t="n">
        <v>46104</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28927-2025</t>
        </is>
      </c>
      <c r="B576" s="1" t="n">
        <v>45820.67221064815</v>
      </c>
      <c r="C576" s="1" t="n">
        <v>46104</v>
      </c>
      <c r="D576" t="inlineStr">
        <is>
          <t>DALARNAS LÄN</t>
        </is>
      </c>
      <c r="E576" t="inlineStr">
        <is>
          <t>MORA</t>
        </is>
      </c>
      <c r="G576" t="n">
        <v>0.4</v>
      </c>
      <c r="H576" t="n">
        <v>0</v>
      </c>
      <c r="I576" t="n">
        <v>0</v>
      </c>
      <c r="J576" t="n">
        <v>0</v>
      </c>
      <c r="K576" t="n">
        <v>0</v>
      </c>
      <c r="L576" t="n">
        <v>0</v>
      </c>
      <c r="M576" t="n">
        <v>0</v>
      </c>
      <c r="N576" t="n">
        <v>0</v>
      </c>
      <c r="O576" t="n">
        <v>0</v>
      </c>
      <c r="P576" t="n">
        <v>0</v>
      </c>
      <c r="Q576" t="n">
        <v>0</v>
      </c>
      <c r="R576" s="2" t="inlineStr"/>
    </row>
    <row r="577" ht="15" customHeight="1">
      <c r="A577" t="inlineStr">
        <is>
          <t>A 61350-2024</t>
        </is>
      </c>
      <c r="B577" s="1" t="n">
        <v>45646.37872685185</v>
      </c>
      <c r="C577" s="1" t="n">
        <v>46104</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28924-2025</t>
        </is>
      </c>
      <c r="B578" s="1" t="n">
        <v>45820.66846064815</v>
      </c>
      <c r="C578" s="1" t="n">
        <v>46104</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28751-2025</t>
        </is>
      </c>
      <c r="B579" s="1" t="n">
        <v>45820.40034722222</v>
      </c>
      <c r="C579" s="1" t="n">
        <v>46104</v>
      </c>
      <c r="D579" t="inlineStr">
        <is>
          <t>DALARNAS LÄN</t>
        </is>
      </c>
      <c r="E579" t="inlineStr">
        <is>
          <t>MORA</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20126-2025</t>
        </is>
      </c>
      <c r="B580" s="1" t="n">
        <v>45772.49640046297</v>
      </c>
      <c r="C580" s="1" t="n">
        <v>46104</v>
      </c>
      <c r="D580" t="inlineStr">
        <is>
          <t>DALARNAS LÄN</t>
        </is>
      </c>
      <c r="E580" t="inlineStr">
        <is>
          <t>MORA</t>
        </is>
      </c>
      <c r="G580" t="n">
        <v>12.1</v>
      </c>
      <c r="H580" t="n">
        <v>0</v>
      </c>
      <c r="I580" t="n">
        <v>0</v>
      </c>
      <c r="J580" t="n">
        <v>0</v>
      </c>
      <c r="K580" t="n">
        <v>0</v>
      </c>
      <c r="L580" t="n">
        <v>0</v>
      </c>
      <c r="M580" t="n">
        <v>0</v>
      </c>
      <c r="N580" t="n">
        <v>0</v>
      </c>
      <c r="O580" t="n">
        <v>0</v>
      </c>
      <c r="P580" t="n">
        <v>0</v>
      </c>
      <c r="Q580" t="n">
        <v>0</v>
      </c>
      <c r="R580" s="2" t="inlineStr"/>
    </row>
    <row r="581" ht="15" customHeight="1">
      <c r="A581" t="inlineStr">
        <is>
          <t>A 27420-2024</t>
        </is>
      </c>
      <c r="B581" s="1" t="n">
        <v>45474.37850694444</v>
      </c>
      <c r="C581" s="1" t="n">
        <v>46104</v>
      </c>
      <c r="D581" t="inlineStr">
        <is>
          <t>DALARNAS LÄN</t>
        </is>
      </c>
      <c r="E581" t="inlineStr">
        <is>
          <t>MORA</t>
        </is>
      </c>
      <c r="G581" t="n">
        <v>7.3</v>
      </c>
      <c r="H581" t="n">
        <v>0</v>
      </c>
      <c r="I581" t="n">
        <v>0</v>
      </c>
      <c r="J581" t="n">
        <v>0</v>
      </c>
      <c r="K581" t="n">
        <v>0</v>
      </c>
      <c r="L581" t="n">
        <v>0</v>
      </c>
      <c r="M581" t="n">
        <v>0</v>
      </c>
      <c r="N581" t="n">
        <v>0</v>
      </c>
      <c r="O581" t="n">
        <v>0</v>
      </c>
      <c r="P581" t="n">
        <v>0</v>
      </c>
      <c r="Q581" t="n">
        <v>0</v>
      </c>
      <c r="R581" s="2" t="inlineStr"/>
    </row>
    <row r="582" ht="15" customHeight="1">
      <c r="A582" t="inlineStr">
        <is>
          <t>A 39344-2024</t>
        </is>
      </c>
      <c r="B582" s="1" t="n">
        <v>45551.44503472222</v>
      </c>
      <c r="C582" s="1" t="n">
        <v>46104</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29528-2025</t>
        </is>
      </c>
      <c r="B583" s="1" t="n">
        <v>45825.34322916667</v>
      </c>
      <c r="C583" s="1" t="n">
        <v>46104</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24590-2024</t>
        </is>
      </c>
      <c r="B584" s="1" t="n">
        <v>45460</v>
      </c>
      <c r="C584" s="1" t="n">
        <v>46104</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29440-2025</t>
        </is>
      </c>
      <c r="B585" s="1" t="n">
        <v>45824.65862268519</v>
      </c>
      <c r="C585" s="1" t="n">
        <v>46104</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29425-2025</t>
        </is>
      </c>
      <c r="B586" s="1" t="n">
        <v>45824.64524305556</v>
      </c>
      <c r="C586" s="1" t="n">
        <v>46104</v>
      </c>
      <c r="D586" t="inlineStr">
        <is>
          <t>DALARNAS LÄN</t>
        </is>
      </c>
      <c r="E586" t="inlineStr">
        <is>
          <t>MORA</t>
        </is>
      </c>
      <c r="G586" t="n">
        <v>4.4</v>
      </c>
      <c r="H586" t="n">
        <v>0</v>
      </c>
      <c r="I586" t="n">
        <v>0</v>
      </c>
      <c r="J586" t="n">
        <v>0</v>
      </c>
      <c r="K586" t="n">
        <v>0</v>
      </c>
      <c r="L586" t="n">
        <v>0</v>
      </c>
      <c r="M586" t="n">
        <v>0</v>
      </c>
      <c r="N586" t="n">
        <v>0</v>
      </c>
      <c r="O586" t="n">
        <v>0</v>
      </c>
      <c r="P586" t="n">
        <v>0</v>
      </c>
      <c r="Q586" t="n">
        <v>0</v>
      </c>
      <c r="R586" s="2" t="inlineStr"/>
    </row>
    <row r="587" ht="15" customHeight="1">
      <c r="A587" t="inlineStr">
        <is>
          <t>A 24169-2022</t>
        </is>
      </c>
      <c r="B587" s="1" t="n">
        <v>44725.50280092593</v>
      </c>
      <c r="C587" s="1" t="n">
        <v>46104</v>
      </c>
      <c r="D587" t="inlineStr">
        <is>
          <t>DALARNAS LÄN</t>
        </is>
      </c>
      <c r="E587" t="inlineStr">
        <is>
          <t>MORA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43641-2022</t>
        </is>
      </c>
      <c r="B588" s="1" t="n">
        <v>44837</v>
      </c>
      <c r="C588" s="1" t="n">
        <v>46104</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53750-2024</t>
        </is>
      </c>
      <c r="B589" s="1" t="n">
        <v>45615.48465277778</v>
      </c>
      <c r="C589" s="1" t="n">
        <v>46104</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30087-2025</t>
        </is>
      </c>
      <c r="B590" s="1" t="n">
        <v>45826.6575</v>
      </c>
      <c r="C590" s="1" t="n">
        <v>46104</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10777-2025</t>
        </is>
      </c>
      <c r="B591" s="1" t="n">
        <v>45722.47743055555</v>
      </c>
      <c r="C591" s="1" t="n">
        <v>46104</v>
      </c>
      <c r="D591" t="inlineStr">
        <is>
          <t>DALARNAS LÄN</t>
        </is>
      </c>
      <c r="E591" t="inlineStr">
        <is>
          <t>MORA</t>
        </is>
      </c>
      <c r="G591" t="n">
        <v>9.9</v>
      </c>
      <c r="H591" t="n">
        <v>0</v>
      </c>
      <c r="I591" t="n">
        <v>0</v>
      </c>
      <c r="J591" t="n">
        <v>0</v>
      </c>
      <c r="K591" t="n">
        <v>0</v>
      </c>
      <c r="L591" t="n">
        <v>0</v>
      </c>
      <c r="M591" t="n">
        <v>0</v>
      </c>
      <c r="N591" t="n">
        <v>0</v>
      </c>
      <c r="O591" t="n">
        <v>0</v>
      </c>
      <c r="P591" t="n">
        <v>0</v>
      </c>
      <c r="Q591" t="n">
        <v>0</v>
      </c>
      <c r="R591" s="2" t="inlineStr"/>
    </row>
    <row r="592" ht="15" customHeight="1">
      <c r="A592" t="inlineStr">
        <is>
          <t>A 30166-2025</t>
        </is>
      </c>
      <c r="B592" s="1" t="n">
        <v>45827.33116898148</v>
      </c>
      <c r="C592" s="1" t="n">
        <v>46104</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29870-2025</t>
        </is>
      </c>
      <c r="B593" s="1" t="n">
        <v>45826.35716435185</v>
      </c>
      <c r="C593" s="1" t="n">
        <v>46104</v>
      </c>
      <c r="D593" t="inlineStr">
        <is>
          <t>DALARNAS LÄN</t>
        </is>
      </c>
      <c r="E593" t="inlineStr">
        <is>
          <t>MORA</t>
        </is>
      </c>
      <c r="G593" t="n">
        <v>1.2</v>
      </c>
      <c r="H593" t="n">
        <v>0</v>
      </c>
      <c r="I593" t="n">
        <v>0</v>
      </c>
      <c r="J593" t="n">
        <v>0</v>
      </c>
      <c r="K593" t="n">
        <v>0</v>
      </c>
      <c r="L593" t="n">
        <v>0</v>
      </c>
      <c r="M593" t="n">
        <v>0</v>
      </c>
      <c r="N593" t="n">
        <v>0</v>
      </c>
      <c r="O593" t="n">
        <v>0</v>
      </c>
      <c r="P593" t="n">
        <v>0</v>
      </c>
      <c r="Q593" t="n">
        <v>0</v>
      </c>
      <c r="R593" s="2" t="inlineStr"/>
    </row>
    <row r="594" ht="15" customHeight="1">
      <c r="A594" t="inlineStr">
        <is>
          <t>A 29873-2025</t>
        </is>
      </c>
      <c r="B594" s="1" t="n">
        <v>45826</v>
      </c>
      <c r="C594" s="1" t="n">
        <v>46104</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19842-2025</t>
        </is>
      </c>
      <c r="B595" s="1" t="n">
        <v>45771.47938657407</v>
      </c>
      <c r="C595" s="1" t="n">
        <v>46104</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44177-2023</t>
        </is>
      </c>
      <c r="B596" s="1" t="n">
        <v>45188.51439814815</v>
      </c>
      <c r="C596" s="1" t="n">
        <v>46104</v>
      </c>
      <c r="D596" t="inlineStr">
        <is>
          <t>DALARNAS LÄN</t>
        </is>
      </c>
      <c r="E596" t="inlineStr">
        <is>
          <t>MORA</t>
        </is>
      </c>
      <c r="G596" t="n">
        <v>2</v>
      </c>
      <c r="H596" t="n">
        <v>0</v>
      </c>
      <c r="I596" t="n">
        <v>0</v>
      </c>
      <c r="J596" t="n">
        <v>0</v>
      </c>
      <c r="K596" t="n">
        <v>0</v>
      </c>
      <c r="L596" t="n">
        <v>0</v>
      </c>
      <c r="M596" t="n">
        <v>0</v>
      </c>
      <c r="N596" t="n">
        <v>0</v>
      </c>
      <c r="O596" t="n">
        <v>0</v>
      </c>
      <c r="P596" t="n">
        <v>0</v>
      </c>
      <c r="Q596" t="n">
        <v>0</v>
      </c>
      <c r="R596" s="2" t="inlineStr"/>
    </row>
    <row r="597" ht="15" customHeight="1">
      <c r="A597" t="inlineStr">
        <is>
          <t>A 30507-2025</t>
        </is>
      </c>
      <c r="B597" s="1" t="n">
        <v>45831.24760416667</v>
      </c>
      <c r="C597" s="1" t="n">
        <v>46104</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30509-2025</t>
        </is>
      </c>
      <c r="B598" s="1" t="n">
        <v>45831.25519675926</v>
      </c>
      <c r="C598" s="1" t="n">
        <v>46104</v>
      </c>
      <c r="D598" t="inlineStr">
        <is>
          <t>DALARNAS LÄN</t>
        </is>
      </c>
      <c r="E598" t="inlineStr">
        <is>
          <t>MORA</t>
        </is>
      </c>
      <c r="G598" t="n">
        <v>1.7</v>
      </c>
      <c r="H598" t="n">
        <v>0</v>
      </c>
      <c r="I598" t="n">
        <v>0</v>
      </c>
      <c r="J598" t="n">
        <v>0</v>
      </c>
      <c r="K598" t="n">
        <v>0</v>
      </c>
      <c r="L598" t="n">
        <v>0</v>
      </c>
      <c r="M598" t="n">
        <v>0</v>
      </c>
      <c r="N598" t="n">
        <v>0</v>
      </c>
      <c r="O598" t="n">
        <v>0</v>
      </c>
      <c r="P598" t="n">
        <v>0</v>
      </c>
      <c r="Q598" t="n">
        <v>0</v>
      </c>
      <c r="R598" s="2" t="inlineStr"/>
    </row>
    <row r="599" ht="15" customHeight="1">
      <c r="A599" t="inlineStr">
        <is>
          <t>A 30989-2025</t>
        </is>
      </c>
      <c r="B599" s="1" t="n">
        <v>45832.48185185185</v>
      </c>
      <c r="C599" s="1" t="n">
        <v>46104</v>
      </c>
      <c r="D599" t="inlineStr">
        <is>
          <t>DALARNAS LÄN</t>
        </is>
      </c>
      <c r="E599" t="inlineStr">
        <is>
          <t>MORA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18134-2025</t>
        </is>
      </c>
      <c r="B600" s="1" t="n">
        <v>45761.60189814815</v>
      </c>
      <c r="C600" s="1" t="n">
        <v>46104</v>
      </c>
      <c r="D600" t="inlineStr">
        <is>
          <t>DALARNAS LÄN</t>
        </is>
      </c>
      <c r="E600" t="inlineStr">
        <is>
          <t>MORA</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35327-2024</t>
        </is>
      </c>
      <c r="B601" s="1" t="n">
        <v>45530.71334490741</v>
      </c>
      <c r="C601" s="1" t="n">
        <v>46104</v>
      </c>
      <c r="D601" t="inlineStr">
        <is>
          <t>DALARNAS LÄN</t>
        </is>
      </c>
      <c r="E601" t="inlineStr">
        <is>
          <t>MORA</t>
        </is>
      </c>
      <c r="G601" t="n">
        <v>5</v>
      </c>
      <c r="H601" t="n">
        <v>0</v>
      </c>
      <c r="I601" t="n">
        <v>0</v>
      </c>
      <c r="J601" t="n">
        <v>0</v>
      </c>
      <c r="K601" t="n">
        <v>0</v>
      </c>
      <c r="L601" t="n">
        <v>0</v>
      </c>
      <c r="M601" t="n">
        <v>0</v>
      </c>
      <c r="N601" t="n">
        <v>0</v>
      </c>
      <c r="O601" t="n">
        <v>0</v>
      </c>
      <c r="P601" t="n">
        <v>0</v>
      </c>
      <c r="Q601" t="n">
        <v>0</v>
      </c>
      <c r="R601" s="2" t="inlineStr"/>
    </row>
    <row r="602" ht="15" customHeight="1">
      <c r="A602" t="inlineStr">
        <is>
          <t>A 30858-2025</t>
        </is>
      </c>
      <c r="B602" s="1" t="n">
        <v>45831.92416666666</v>
      </c>
      <c r="C602" s="1" t="n">
        <v>46104</v>
      </c>
      <c r="D602" t="inlineStr">
        <is>
          <t>DALARNAS LÄN</t>
        </is>
      </c>
      <c r="E602" t="inlineStr">
        <is>
          <t>MORA</t>
        </is>
      </c>
      <c r="G602" t="n">
        <v>2.9</v>
      </c>
      <c r="H602" t="n">
        <v>0</v>
      </c>
      <c r="I602" t="n">
        <v>0</v>
      </c>
      <c r="J602" t="n">
        <v>0</v>
      </c>
      <c r="K602" t="n">
        <v>0</v>
      </c>
      <c r="L602" t="n">
        <v>0</v>
      </c>
      <c r="M602" t="n">
        <v>0</v>
      </c>
      <c r="N602" t="n">
        <v>0</v>
      </c>
      <c r="O602" t="n">
        <v>0</v>
      </c>
      <c r="P602" t="n">
        <v>0</v>
      </c>
      <c r="Q602" t="n">
        <v>0</v>
      </c>
      <c r="R602" s="2" t="inlineStr"/>
    </row>
    <row r="603" ht="15" customHeight="1">
      <c r="A603" t="inlineStr">
        <is>
          <t>A 30859-2025</t>
        </is>
      </c>
      <c r="B603" s="1" t="n">
        <v>45831.93105324074</v>
      </c>
      <c r="C603" s="1" t="n">
        <v>46104</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31112-2024</t>
        </is>
      </c>
      <c r="B604" s="1" t="n">
        <v>45502.55185185185</v>
      </c>
      <c r="C604" s="1" t="n">
        <v>46104</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442-2024</t>
        </is>
      </c>
      <c r="B605" s="1" t="n">
        <v>45296.60353009259</v>
      </c>
      <c r="C605" s="1" t="n">
        <v>46104</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46104</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48570-2022</t>
        </is>
      </c>
      <c r="B607" s="1" t="n">
        <v>44859</v>
      </c>
      <c r="C607" s="1" t="n">
        <v>46104</v>
      </c>
      <c r="D607" t="inlineStr">
        <is>
          <t>DALARNAS LÄN</t>
        </is>
      </c>
      <c r="E607" t="inlineStr">
        <is>
          <t>MORA</t>
        </is>
      </c>
      <c r="G607" t="n">
        <v>6.2</v>
      </c>
      <c r="H607" t="n">
        <v>0</v>
      </c>
      <c r="I607" t="n">
        <v>0</v>
      </c>
      <c r="J607" t="n">
        <v>0</v>
      </c>
      <c r="K607" t="n">
        <v>0</v>
      </c>
      <c r="L607" t="n">
        <v>0</v>
      </c>
      <c r="M607" t="n">
        <v>0</v>
      </c>
      <c r="N607" t="n">
        <v>0</v>
      </c>
      <c r="O607" t="n">
        <v>0</v>
      </c>
      <c r="P607" t="n">
        <v>0</v>
      </c>
      <c r="Q607" t="n">
        <v>0</v>
      </c>
      <c r="R607" s="2" t="inlineStr"/>
    </row>
    <row r="608" ht="15" customHeight="1">
      <c r="A608" t="inlineStr">
        <is>
          <t>A 19814-2025</t>
        </is>
      </c>
      <c r="B608" s="1" t="n">
        <v>45771.45686342593</v>
      </c>
      <c r="C608" s="1" t="n">
        <v>46104</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60526-2023</t>
        </is>
      </c>
      <c r="B609" s="1" t="n">
        <v>45259</v>
      </c>
      <c r="C609" s="1" t="n">
        <v>46104</v>
      </c>
      <c r="D609" t="inlineStr">
        <is>
          <t>DALARNAS LÄN</t>
        </is>
      </c>
      <c r="E609" t="inlineStr">
        <is>
          <t>MORA</t>
        </is>
      </c>
      <c r="G609" t="n">
        <v>6.7</v>
      </c>
      <c r="H609" t="n">
        <v>0</v>
      </c>
      <c r="I609" t="n">
        <v>0</v>
      </c>
      <c r="J609" t="n">
        <v>0</v>
      </c>
      <c r="K609" t="n">
        <v>0</v>
      </c>
      <c r="L609" t="n">
        <v>0</v>
      </c>
      <c r="M609" t="n">
        <v>0</v>
      </c>
      <c r="N609" t="n">
        <v>0</v>
      </c>
      <c r="O609" t="n">
        <v>0</v>
      </c>
      <c r="P609" t="n">
        <v>0</v>
      </c>
      <c r="Q609" t="n">
        <v>0</v>
      </c>
      <c r="R609" s="2" t="inlineStr"/>
    </row>
    <row r="610" ht="15" customHeight="1">
      <c r="A610" t="inlineStr">
        <is>
          <t>A 31846-2025</t>
        </is>
      </c>
      <c r="B610" s="1" t="n">
        <v>45834.60209490741</v>
      </c>
      <c r="C610" s="1" t="n">
        <v>46104</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31849-2025</t>
        </is>
      </c>
      <c r="B611" s="1" t="n">
        <v>45834.60525462963</v>
      </c>
      <c r="C611" s="1" t="n">
        <v>46104</v>
      </c>
      <c r="D611" t="inlineStr">
        <is>
          <t>DALARNAS LÄN</t>
        </is>
      </c>
      <c r="E611" t="inlineStr">
        <is>
          <t>MORA</t>
        </is>
      </c>
      <c r="G611" t="n">
        <v>3.9</v>
      </c>
      <c r="H611" t="n">
        <v>0</v>
      </c>
      <c r="I611" t="n">
        <v>0</v>
      </c>
      <c r="J611" t="n">
        <v>0</v>
      </c>
      <c r="K611" t="n">
        <v>0</v>
      </c>
      <c r="L611" t="n">
        <v>0</v>
      </c>
      <c r="M611" t="n">
        <v>0</v>
      </c>
      <c r="N611" t="n">
        <v>0</v>
      </c>
      <c r="O611" t="n">
        <v>0</v>
      </c>
      <c r="P611" t="n">
        <v>0</v>
      </c>
      <c r="Q611" t="n">
        <v>0</v>
      </c>
      <c r="R611" s="2" t="inlineStr"/>
    </row>
    <row r="612" ht="15" customHeight="1">
      <c r="A612" t="inlineStr">
        <is>
          <t>A 53341-2023</t>
        </is>
      </c>
      <c r="B612" s="1" t="n">
        <v>45229</v>
      </c>
      <c r="C612" s="1" t="n">
        <v>46104</v>
      </c>
      <c r="D612" t="inlineStr">
        <is>
          <t>DALARNAS LÄN</t>
        </is>
      </c>
      <c r="E612" t="inlineStr">
        <is>
          <t>MORA</t>
        </is>
      </c>
      <c r="G612" t="n">
        <v>2.1</v>
      </c>
      <c r="H612" t="n">
        <v>0</v>
      </c>
      <c r="I612" t="n">
        <v>0</v>
      </c>
      <c r="J612" t="n">
        <v>0</v>
      </c>
      <c r="K612" t="n">
        <v>0</v>
      </c>
      <c r="L612" t="n">
        <v>0</v>
      </c>
      <c r="M612" t="n">
        <v>0</v>
      </c>
      <c r="N612" t="n">
        <v>0</v>
      </c>
      <c r="O612" t="n">
        <v>0</v>
      </c>
      <c r="P612" t="n">
        <v>0</v>
      </c>
      <c r="Q612" t="n">
        <v>0</v>
      </c>
      <c r="R612" s="2" t="inlineStr"/>
    </row>
    <row r="613" ht="15" customHeight="1">
      <c r="A613" t="inlineStr">
        <is>
          <t>A 12828-2023</t>
        </is>
      </c>
      <c r="B613" s="1" t="n">
        <v>45001</v>
      </c>
      <c r="C613" s="1" t="n">
        <v>46104</v>
      </c>
      <c r="D613" t="inlineStr">
        <is>
          <t>DALARNAS LÄN</t>
        </is>
      </c>
      <c r="E613" t="inlineStr">
        <is>
          <t>MORA</t>
        </is>
      </c>
      <c r="F613" t="inlineStr">
        <is>
          <t>Bergvik skog väst AB</t>
        </is>
      </c>
      <c r="G613" t="n">
        <v>5.4</v>
      </c>
      <c r="H613" t="n">
        <v>0</v>
      </c>
      <c r="I613" t="n">
        <v>0</v>
      </c>
      <c r="J613" t="n">
        <v>0</v>
      </c>
      <c r="K613" t="n">
        <v>0</v>
      </c>
      <c r="L613" t="n">
        <v>0</v>
      </c>
      <c r="M613" t="n">
        <v>0</v>
      </c>
      <c r="N613" t="n">
        <v>0</v>
      </c>
      <c r="O613" t="n">
        <v>0</v>
      </c>
      <c r="P613" t="n">
        <v>0</v>
      </c>
      <c r="Q613" t="n">
        <v>0</v>
      </c>
      <c r="R613" s="2" t="inlineStr"/>
    </row>
    <row r="614" ht="15" customHeight="1">
      <c r="A614" t="inlineStr">
        <is>
          <t>A 31842-2025</t>
        </is>
      </c>
      <c r="B614" s="1" t="n">
        <v>45834.59822916667</v>
      </c>
      <c r="C614" s="1" t="n">
        <v>46104</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21410-2023</t>
        </is>
      </c>
      <c r="B615" s="1" t="n">
        <v>45063</v>
      </c>
      <c r="C615" s="1" t="n">
        <v>46104</v>
      </c>
      <c r="D615" t="inlineStr">
        <is>
          <t>DALARNAS LÄN</t>
        </is>
      </c>
      <c r="E615" t="inlineStr">
        <is>
          <t>MORA</t>
        </is>
      </c>
      <c r="G615" t="n">
        <v>7</v>
      </c>
      <c r="H615" t="n">
        <v>0</v>
      </c>
      <c r="I615" t="n">
        <v>0</v>
      </c>
      <c r="J615" t="n">
        <v>0</v>
      </c>
      <c r="K615" t="n">
        <v>0</v>
      </c>
      <c r="L615" t="n">
        <v>0</v>
      </c>
      <c r="M615" t="n">
        <v>0</v>
      </c>
      <c r="N615" t="n">
        <v>0</v>
      </c>
      <c r="O615" t="n">
        <v>0</v>
      </c>
      <c r="P615" t="n">
        <v>0</v>
      </c>
      <c r="Q615" t="n">
        <v>0</v>
      </c>
      <c r="R615" s="2" t="inlineStr"/>
    </row>
    <row r="616" ht="15" customHeight="1">
      <c r="A616" t="inlineStr">
        <is>
          <t>A 32852-2025</t>
        </is>
      </c>
      <c r="B616" s="1" t="n">
        <v>45839.57559027777</v>
      </c>
      <c r="C616" s="1" t="n">
        <v>46104</v>
      </c>
      <c r="D616" t="inlineStr">
        <is>
          <t>DALARNAS LÄN</t>
        </is>
      </c>
      <c r="E616" t="inlineStr">
        <is>
          <t>MORA</t>
        </is>
      </c>
      <c r="G616" t="n">
        <v>1.7</v>
      </c>
      <c r="H616" t="n">
        <v>0</v>
      </c>
      <c r="I616" t="n">
        <v>0</v>
      </c>
      <c r="J616" t="n">
        <v>0</v>
      </c>
      <c r="K616" t="n">
        <v>0</v>
      </c>
      <c r="L616" t="n">
        <v>0</v>
      </c>
      <c r="M616" t="n">
        <v>0</v>
      </c>
      <c r="N616" t="n">
        <v>0</v>
      </c>
      <c r="O616" t="n">
        <v>0</v>
      </c>
      <c r="P616" t="n">
        <v>0</v>
      </c>
      <c r="Q616" t="n">
        <v>0</v>
      </c>
      <c r="R616" s="2" t="inlineStr"/>
    </row>
    <row r="617" ht="15" customHeight="1">
      <c r="A617" t="inlineStr">
        <is>
          <t>A 3531-2024</t>
        </is>
      </c>
      <c r="B617" s="1" t="n">
        <v>45320</v>
      </c>
      <c r="C617" s="1" t="n">
        <v>46104</v>
      </c>
      <c r="D617" t="inlineStr">
        <is>
          <t>DALARNAS LÄN</t>
        </is>
      </c>
      <c r="E617" t="inlineStr">
        <is>
          <t>MORA</t>
        </is>
      </c>
      <c r="G617" t="n">
        <v>1.4</v>
      </c>
      <c r="H617" t="n">
        <v>0</v>
      </c>
      <c r="I617" t="n">
        <v>0</v>
      </c>
      <c r="J617" t="n">
        <v>0</v>
      </c>
      <c r="K617" t="n">
        <v>0</v>
      </c>
      <c r="L617" t="n">
        <v>0</v>
      </c>
      <c r="M617" t="n">
        <v>0</v>
      </c>
      <c r="N617" t="n">
        <v>0</v>
      </c>
      <c r="O617" t="n">
        <v>0</v>
      </c>
      <c r="P617" t="n">
        <v>0</v>
      </c>
      <c r="Q617" t="n">
        <v>0</v>
      </c>
      <c r="R617" s="2" t="inlineStr"/>
      <c r="U617">
        <f>HYPERLINK("https://klasma.github.io/Logging_2062/knärot/A 3531-2024 karta knärot.png", "A 3531-2024")</f>
        <v/>
      </c>
      <c r="V617">
        <f>HYPERLINK("https://klasma.github.io/Logging_2062/klagomål/A 3531-2024 FSC-klagomål.docx", "A 3531-2024")</f>
        <v/>
      </c>
      <c r="W617">
        <f>HYPERLINK("https://klasma.github.io/Logging_2062/klagomålsmail/A 3531-2024 FSC-klagomål mail.docx", "A 3531-2024")</f>
        <v/>
      </c>
      <c r="X617">
        <f>HYPERLINK("https://klasma.github.io/Logging_2062/tillsyn/A 3531-2024 tillsynsbegäran.docx", "A 3531-2024")</f>
        <v/>
      </c>
      <c r="Y617">
        <f>HYPERLINK("https://klasma.github.io/Logging_2062/tillsynsmail/A 3531-2024 tillsynsbegäran mail.docx", "A 3531-2024")</f>
        <v/>
      </c>
    </row>
    <row r="618" ht="15" customHeight="1">
      <c r="A618" t="inlineStr">
        <is>
          <t>A 45475-2023</t>
        </is>
      </c>
      <c r="B618" s="1" t="n">
        <v>45188</v>
      </c>
      <c r="C618" s="1" t="n">
        <v>46104</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44071-2024</t>
        </is>
      </c>
      <c r="B619" s="1" t="n">
        <v>45572.60915509259</v>
      </c>
      <c r="C619" s="1" t="n">
        <v>46104</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11463-2024</t>
        </is>
      </c>
      <c r="B620" s="1" t="n">
        <v>45372.58969907407</v>
      </c>
      <c r="C620" s="1" t="n">
        <v>46104</v>
      </c>
      <c r="D620" t="inlineStr">
        <is>
          <t>DALARNAS LÄN</t>
        </is>
      </c>
      <c r="E620" t="inlineStr">
        <is>
          <t>MORA</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57903-2022</t>
        </is>
      </c>
      <c r="B621" s="1" t="n">
        <v>44900.3521412037</v>
      </c>
      <c r="C621" s="1" t="n">
        <v>46104</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46129-2024</t>
        </is>
      </c>
      <c r="B622" s="1" t="n">
        <v>45581.43337962963</v>
      </c>
      <c r="C622" s="1" t="n">
        <v>46104</v>
      </c>
      <c r="D622" t="inlineStr">
        <is>
          <t>DALARNAS LÄN</t>
        </is>
      </c>
      <c r="E622" t="inlineStr">
        <is>
          <t>MORA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33443-2025</t>
        </is>
      </c>
      <c r="B623" s="1" t="n">
        <v>45841</v>
      </c>
      <c r="C623" s="1" t="n">
        <v>46104</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19193-2025</t>
        </is>
      </c>
      <c r="B624" s="1" t="n">
        <v>45769.42203703704</v>
      </c>
      <c r="C624" s="1" t="n">
        <v>46104</v>
      </c>
      <c r="D624" t="inlineStr">
        <is>
          <t>DALARNAS LÄN</t>
        </is>
      </c>
      <c r="E624" t="inlineStr">
        <is>
          <t>MORA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6183-2024</t>
        </is>
      </c>
      <c r="B625" s="1" t="n">
        <v>45337.54135416666</v>
      </c>
      <c r="C625" s="1" t="n">
        <v>46104</v>
      </c>
      <c r="D625" t="inlineStr">
        <is>
          <t>DALARNAS LÄN</t>
        </is>
      </c>
      <c r="E625" t="inlineStr">
        <is>
          <t>MORA</t>
        </is>
      </c>
      <c r="G625" t="n">
        <v>7.9</v>
      </c>
      <c r="H625" t="n">
        <v>0</v>
      </c>
      <c r="I625" t="n">
        <v>0</v>
      </c>
      <c r="J625" t="n">
        <v>0</v>
      </c>
      <c r="K625" t="n">
        <v>0</v>
      </c>
      <c r="L625" t="n">
        <v>0</v>
      </c>
      <c r="M625" t="n">
        <v>0</v>
      </c>
      <c r="N625" t="n">
        <v>0</v>
      </c>
      <c r="O625" t="n">
        <v>0</v>
      </c>
      <c r="P625" t="n">
        <v>0</v>
      </c>
      <c r="Q625" t="n">
        <v>0</v>
      </c>
      <c r="R625" s="2" t="inlineStr"/>
    </row>
    <row r="626" ht="15" customHeight="1">
      <c r="A626" t="inlineStr">
        <is>
          <t>A 34182-2025</t>
        </is>
      </c>
      <c r="B626" s="1" t="n">
        <v>45845.60520833333</v>
      </c>
      <c r="C626" s="1" t="n">
        <v>46104</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34005-2025</t>
        </is>
      </c>
      <c r="B627" s="1" t="n">
        <v>45844.58890046296</v>
      </c>
      <c r="C627" s="1" t="n">
        <v>46104</v>
      </c>
      <c r="D627" t="inlineStr">
        <is>
          <t>DALARNAS LÄN</t>
        </is>
      </c>
      <c r="E627" t="inlineStr">
        <is>
          <t>MORA</t>
        </is>
      </c>
      <c r="G627" t="n">
        <v>7.2</v>
      </c>
      <c r="H627" t="n">
        <v>0</v>
      </c>
      <c r="I627" t="n">
        <v>0</v>
      </c>
      <c r="J627" t="n">
        <v>0</v>
      </c>
      <c r="K627" t="n">
        <v>0</v>
      </c>
      <c r="L627" t="n">
        <v>0</v>
      </c>
      <c r="M627" t="n">
        <v>0</v>
      </c>
      <c r="N627" t="n">
        <v>0</v>
      </c>
      <c r="O627" t="n">
        <v>0</v>
      </c>
      <c r="P627" t="n">
        <v>0</v>
      </c>
      <c r="Q627" t="n">
        <v>0</v>
      </c>
      <c r="R627" s="2" t="inlineStr"/>
    </row>
    <row r="628" ht="15" customHeight="1">
      <c r="A628" t="inlineStr">
        <is>
          <t>A 34482-2025</t>
        </is>
      </c>
      <c r="B628" s="1" t="n">
        <v>45847.38469907407</v>
      </c>
      <c r="C628" s="1" t="n">
        <v>46104</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34382-2025</t>
        </is>
      </c>
      <c r="B629" s="1" t="n">
        <v>45846</v>
      </c>
      <c r="C629" s="1" t="n">
        <v>46104</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45196.58278935185</v>
      </c>
      <c r="C630" s="1" t="n">
        <v>46104</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28832-2023</t>
        </is>
      </c>
      <c r="B631" s="1" t="n">
        <v>45104.40493055555</v>
      </c>
      <c r="C631" s="1" t="n">
        <v>46104</v>
      </c>
      <c r="D631" t="inlineStr">
        <is>
          <t>DALARNAS LÄN</t>
        </is>
      </c>
      <c r="E631" t="inlineStr">
        <is>
          <t>MORA</t>
        </is>
      </c>
      <c r="F631" t="inlineStr">
        <is>
          <t>Bergvik skog öst AB</t>
        </is>
      </c>
      <c r="G631" t="n">
        <v>2</v>
      </c>
      <c r="H631" t="n">
        <v>0</v>
      </c>
      <c r="I631" t="n">
        <v>0</v>
      </c>
      <c r="J631" t="n">
        <v>0</v>
      </c>
      <c r="K631" t="n">
        <v>0</v>
      </c>
      <c r="L631" t="n">
        <v>0</v>
      </c>
      <c r="M631" t="n">
        <v>0</v>
      </c>
      <c r="N631" t="n">
        <v>0</v>
      </c>
      <c r="O631" t="n">
        <v>0</v>
      </c>
      <c r="P631" t="n">
        <v>0</v>
      </c>
      <c r="Q631" t="n">
        <v>0</v>
      </c>
      <c r="R631" s="2" t="inlineStr"/>
    </row>
    <row r="632" ht="15" customHeight="1">
      <c r="A632" t="inlineStr">
        <is>
          <t>A 34933-2025</t>
        </is>
      </c>
      <c r="B632" s="1" t="n">
        <v>45849.57297453703</v>
      </c>
      <c r="C632" s="1" t="n">
        <v>46104</v>
      </c>
      <c r="D632" t="inlineStr">
        <is>
          <t>DALARNAS LÄN</t>
        </is>
      </c>
      <c r="E632" t="inlineStr">
        <is>
          <t>MORA</t>
        </is>
      </c>
      <c r="F632" t="inlineStr">
        <is>
          <t>Bergvik skog väst AB</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46104</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35121-2025</t>
        </is>
      </c>
      <c r="B634" s="1" t="n">
        <v>45852.60936342592</v>
      </c>
      <c r="C634" s="1" t="n">
        <v>46104</v>
      </c>
      <c r="D634" t="inlineStr">
        <is>
          <t>DALARNAS LÄN</t>
        </is>
      </c>
      <c r="E634" t="inlineStr">
        <is>
          <t>MORA</t>
        </is>
      </c>
      <c r="F634" t="inlineStr">
        <is>
          <t>Bergvik skog öst AB</t>
        </is>
      </c>
      <c r="G634" t="n">
        <v>15.9</v>
      </c>
      <c r="H634" t="n">
        <v>0</v>
      </c>
      <c r="I634" t="n">
        <v>0</v>
      </c>
      <c r="J634" t="n">
        <v>0</v>
      </c>
      <c r="K634" t="n">
        <v>0</v>
      </c>
      <c r="L634" t="n">
        <v>0</v>
      </c>
      <c r="M634" t="n">
        <v>0</v>
      </c>
      <c r="N634" t="n">
        <v>0</v>
      </c>
      <c r="O634" t="n">
        <v>0</v>
      </c>
      <c r="P634" t="n">
        <v>0</v>
      </c>
      <c r="Q634" t="n">
        <v>0</v>
      </c>
      <c r="R634" s="2" t="inlineStr"/>
    </row>
    <row r="635" ht="15" customHeight="1">
      <c r="A635" t="inlineStr">
        <is>
          <t>A 8343-2025</t>
        </is>
      </c>
      <c r="B635" s="1" t="n">
        <v>45708.67253472222</v>
      </c>
      <c r="C635" s="1" t="n">
        <v>46104</v>
      </c>
      <c r="D635" t="inlineStr">
        <is>
          <t>DALARNAS LÄN</t>
        </is>
      </c>
      <c r="E635" t="inlineStr">
        <is>
          <t>MORA</t>
        </is>
      </c>
      <c r="G635" t="n">
        <v>3.4</v>
      </c>
      <c r="H635" t="n">
        <v>0</v>
      </c>
      <c r="I635" t="n">
        <v>0</v>
      </c>
      <c r="J635" t="n">
        <v>0</v>
      </c>
      <c r="K635" t="n">
        <v>0</v>
      </c>
      <c r="L635" t="n">
        <v>0</v>
      </c>
      <c r="M635" t="n">
        <v>0</v>
      </c>
      <c r="N635" t="n">
        <v>0</v>
      </c>
      <c r="O635" t="n">
        <v>0</v>
      </c>
      <c r="P635" t="n">
        <v>0</v>
      </c>
      <c r="Q635" t="n">
        <v>0</v>
      </c>
      <c r="R635" s="2" t="inlineStr"/>
    </row>
    <row r="636" ht="15" customHeight="1">
      <c r="A636" t="inlineStr">
        <is>
          <t>A 17163-2025</t>
        </is>
      </c>
      <c r="B636" s="1" t="n">
        <v>45756.35998842592</v>
      </c>
      <c r="C636" s="1" t="n">
        <v>46104</v>
      </c>
      <c r="D636" t="inlineStr">
        <is>
          <t>DALARNAS LÄN</t>
        </is>
      </c>
      <c r="E636" t="inlineStr">
        <is>
          <t>MORA</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34272-2024</t>
        </is>
      </c>
      <c r="B637" s="1" t="n">
        <v>45524.61752314815</v>
      </c>
      <c r="C637" s="1" t="n">
        <v>46104</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35407-2025</t>
        </is>
      </c>
      <c r="B638" s="1" t="n">
        <v>45855.35989583333</v>
      </c>
      <c r="C638" s="1" t="n">
        <v>46104</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9277-2024</t>
        </is>
      </c>
      <c r="B639" s="1" t="n">
        <v>45358.63265046296</v>
      </c>
      <c r="C639" s="1" t="n">
        <v>46104</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35611-2025</t>
        </is>
      </c>
      <c r="B640" s="1" t="n">
        <v>45859.35384259259</v>
      </c>
      <c r="C640" s="1" t="n">
        <v>46104</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36579-2022</t>
        </is>
      </c>
      <c r="B641" s="1" t="n">
        <v>44804.61636574074</v>
      </c>
      <c r="C641" s="1" t="n">
        <v>46104</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30030-2021</t>
        </is>
      </c>
      <c r="B642" s="1" t="n">
        <v>44363</v>
      </c>
      <c r="C642" s="1" t="n">
        <v>46104</v>
      </c>
      <c r="D642" t="inlineStr">
        <is>
          <t>DALARNAS LÄN</t>
        </is>
      </c>
      <c r="E642" t="inlineStr">
        <is>
          <t>MORA</t>
        </is>
      </c>
      <c r="G642" t="n">
        <v>7.1</v>
      </c>
      <c r="H642" t="n">
        <v>0</v>
      </c>
      <c r="I642" t="n">
        <v>0</v>
      </c>
      <c r="J642" t="n">
        <v>0</v>
      </c>
      <c r="K642" t="n">
        <v>0</v>
      </c>
      <c r="L642" t="n">
        <v>0</v>
      </c>
      <c r="M642" t="n">
        <v>0</v>
      </c>
      <c r="N642" t="n">
        <v>0</v>
      </c>
      <c r="O642" t="n">
        <v>0</v>
      </c>
      <c r="P642" t="n">
        <v>0</v>
      </c>
      <c r="Q642" t="n">
        <v>0</v>
      </c>
      <c r="R642" s="2" t="inlineStr"/>
    </row>
    <row r="643" ht="15" customHeight="1">
      <c r="A643" t="inlineStr">
        <is>
          <t>A 35734-2025</t>
        </is>
      </c>
      <c r="B643" s="1" t="n">
        <v>45860.471875</v>
      </c>
      <c r="C643" s="1" t="n">
        <v>46104</v>
      </c>
      <c r="D643" t="inlineStr">
        <is>
          <t>DALARNAS LÄN</t>
        </is>
      </c>
      <c r="E643" t="inlineStr">
        <is>
          <t>MORA</t>
        </is>
      </c>
      <c r="G643" t="n">
        <v>1.3</v>
      </c>
      <c r="H643" t="n">
        <v>0</v>
      </c>
      <c r="I643" t="n">
        <v>0</v>
      </c>
      <c r="J643" t="n">
        <v>0</v>
      </c>
      <c r="K643" t="n">
        <v>0</v>
      </c>
      <c r="L643" t="n">
        <v>0</v>
      </c>
      <c r="M643" t="n">
        <v>0</v>
      </c>
      <c r="N643" t="n">
        <v>0</v>
      </c>
      <c r="O643" t="n">
        <v>0</v>
      </c>
      <c r="P643" t="n">
        <v>0</v>
      </c>
      <c r="Q643" t="n">
        <v>0</v>
      </c>
      <c r="R643" s="2" t="inlineStr"/>
    </row>
    <row r="644" ht="15" customHeight="1">
      <c r="A644" t="inlineStr">
        <is>
          <t>A 35623-2025</t>
        </is>
      </c>
      <c r="B644" s="1" t="n">
        <v>45859</v>
      </c>
      <c r="C644" s="1" t="n">
        <v>46104</v>
      </c>
      <c r="D644" t="inlineStr">
        <is>
          <t>DALARNAS LÄN</t>
        </is>
      </c>
      <c r="E644" t="inlineStr">
        <is>
          <t>MORA</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33531-2024</t>
        </is>
      </c>
      <c r="B645" s="1" t="n">
        <v>45519.67503472222</v>
      </c>
      <c r="C645" s="1" t="n">
        <v>46104</v>
      </c>
      <c r="D645" t="inlineStr">
        <is>
          <t>DALARNAS LÄN</t>
        </is>
      </c>
      <c r="E645" t="inlineStr">
        <is>
          <t>MORA</t>
        </is>
      </c>
      <c r="G645" t="n">
        <v>14.8</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46104</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35624-2025</t>
        </is>
      </c>
      <c r="B647" s="1" t="n">
        <v>45859</v>
      </c>
      <c r="C647" s="1" t="n">
        <v>46104</v>
      </c>
      <c r="D647" t="inlineStr">
        <is>
          <t>DALARNAS LÄN</t>
        </is>
      </c>
      <c r="E647" t="inlineStr">
        <is>
          <t>MORA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36041-2025</t>
        </is>
      </c>
      <c r="B648" s="1" t="n">
        <v>45866.34385416667</v>
      </c>
      <c r="C648" s="1" t="n">
        <v>46104</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51780-2023</t>
        </is>
      </c>
      <c r="B649" s="1" t="n">
        <v>45222</v>
      </c>
      <c r="C649" s="1" t="n">
        <v>46104</v>
      </c>
      <c r="D649" t="inlineStr">
        <is>
          <t>DALARNAS LÄN</t>
        </is>
      </c>
      <c r="E649" t="inlineStr">
        <is>
          <t>MORA</t>
        </is>
      </c>
      <c r="G649" t="n">
        <v>9.9</v>
      </c>
      <c r="H649" t="n">
        <v>0</v>
      </c>
      <c r="I649" t="n">
        <v>0</v>
      </c>
      <c r="J649" t="n">
        <v>0</v>
      </c>
      <c r="K649" t="n">
        <v>0</v>
      </c>
      <c r="L649" t="n">
        <v>0</v>
      </c>
      <c r="M649" t="n">
        <v>0</v>
      </c>
      <c r="N649" t="n">
        <v>0</v>
      </c>
      <c r="O649" t="n">
        <v>0</v>
      </c>
      <c r="P649" t="n">
        <v>0</v>
      </c>
      <c r="Q649" t="n">
        <v>0</v>
      </c>
      <c r="R649" s="2" t="inlineStr"/>
    </row>
    <row r="650" ht="15" customHeight="1">
      <c r="A650" t="inlineStr">
        <is>
          <t>A 15818-2024</t>
        </is>
      </c>
      <c r="B650" s="1" t="n">
        <v>45404.67442129629</v>
      </c>
      <c r="C650" s="1" t="n">
        <v>46104</v>
      </c>
      <c r="D650" t="inlineStr">
        <is>
          <t>DALARNAS LÄN</t>
        </is>
      </c>
      <c r="E650" t="inlineStr">
        <is>
          <t>MORA</t>
        </is>
      </c>
      <c r="G650" t="n">
        <v>7</v>
      </c>
      <c r="H650" t="n">
        <v>0</v>
      </c>
      <c r="I650" t="n">
        <v>0</v>
      </c>
      <c r="J650" t="n">
        <v>0</v>
      </c>
      <c r="K650" t="n">
        <v>0</v>
      </c>
      <c r="L650" t="n">
        <v>0</v>
      </c>
      <c r="M650" t="n">
        <v>0</v>
      </c>
      <c r="N650" t="n">
        <v>0</v>
      </c>
      <c r="O650" t="n">
        <v>0</v>
      </c>
      <c r="P650" t="n">
        <v>0</v>
      </c>
      <c r="Q650" t="n">
        <v>0</v>
      </c>
      <c r="R650" s="2" t="inlineStr"/>
    </row>
    <row r="651" ht="15" customHeight="1">
      <c r="A651" t="inlineStr">
        <is>
          <t>A 16174-2025</t>
        </is>
      </c>
      <c r="B651" s="1" t="n">
        <v>45750</v>
      </c>
      <c r="C651" s="1" t="n">
        <v>46104</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33513-2024</t>
        </is>
      </c>
      <c r="B652" s="1" t="n">
        <v>45519.644375</v>
      </c>
      <c r="C652" s="1" t="n">
        <v>46104</v>
      </c>
      <c r="D652" t="inlineStr">
        <is>
          <t>DALARNAS LÄN</t>
        </is>
      </c>
      <c r="E652" t="inlineStr">
        <is>
          <t>MORA</t>
        </is>
      </c>
      <c r="G652" t="n">
        <v>5.9</v>
      </c>
      <c r="H652" t="n">
        <v>0</v>
      </c>
      <c r="I652" t="n">
        <v>0</v>
      </c>
      <c r="J652" t="n">
        <v>0</v>
      </c>
      <c r="K652" t="n">
        <v>0</v>
      </c>
      <c r="L652" t="n">
        <v>0</v>
      </c>
      <c r="M652" t="n">
        <v>0</v>
      </c>
      <c r="N652" t="n">
        <v>0</v>
      </c>
      <c r="O652" t="n">
        <v>0</v>
      </c>
      <c r="P652" t="n">
        <v>0</v>
      </c>
      <c r="Q652" t="n">
        <v>0</v>
      </c>
      <c r="R652" s="2" t="inlineStr"/>
    </row>
    <row r="653" ht="15" customHeight="1">
      <c r="A653" t="inlineStr">
        <is>
          <t>A 35040-2023</t>
        </is>
      </c>
      <c r="B653" s="1" t="n">
        <v>45145.36853009259</v>
      </c>
      <c r="C653" s="1" t="n">
        <v>46104</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36586-2025</t>
        </is>
      </c>
      <c r="B654" s="1" t="n">
        <v>45869</v>
      </c>
      <c r="C654" s="1" t="n">
        <v>46104</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36760-2025</t>
        </is>
      </c>
      <c r="B655" s="1" t="n">
        <v>45873.57319444444</v>
      </c>
      <c r="C655" s="1" t="n">
        <v>46104</v>
      </c>
      <c r="D655" t="inlineStr">
        <is>
          <t>DALARNAS LÄN</t>
        </is>
      </c>
      <c r="E655" t="inlineStr">
        <is>
          <t>MORA</t>
        </is>
      </c>
      <c r="G655" t="n">
        <v>4.6</v>
      </c>
      <c r="H655" t="n">
        <v>0</v>
      </c>
      <c r="I655" t="n">
        <v>0</v>
      </c>
      <c r="J655" t="n">
        <v>0</v>
      </c>
      <c r="K655" t="n">
        <v>0</v>
      </c>
      <c r="L655" t="n">
        <v>0</v>
      </c>
      <c r="M655" t="n">
        <v>0</v>
      </c>
      <c r="N655" t="n">
        <v>0</v>
      </c>
      <c r="O655" t="n">
        <v>0</v>
      </c>
      <c r="P655" t="n">
        <v>0</v>
      </c>
      <c r="Q655" t="n">
        <v>0</v>
      </c>
      <c r="R655" s="2" t="inlineStr"/>
    </row>
    <row r="656" ht="15" customHeight="1">
      <c r="A656" t="inlineStr">
        <is>
          <t>A 44595-2024</t>
        </is>
      </c>
      <c r="B656" s="1" t="n">
        <v>45574.51053240741</v>
      </c>
      <c r="C656" s="1" t="n">
        <v>46104</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36846-2025</t>
        </is>
      </c>
      <c r="B657" s="1" t="n">
        <v>45874.38655092593</v>
      </c>
      <c r="C657" s="1" t="n">
        <v>46104</v>
      </c>
      <c r="D657" t="inlineStr">
        <is>
          <t>DALARNAS LÄN</t>
        </is>
      </c>
      <c r="E657" t="inlineStr">
        <is>
          <t>MORA</t>
        </is>
      </c>
      <c r="G657" t="n">
        <v>10.7</v>
      </c>
      <c r="H657" t="n">
        <v>0</v>
      </c>
      <c r="I657" t="n">
        <v>0</v>
      </c>
      <c r="J657" t="n">
        <v>0</v>
      </c>
      <c r="K657" t="n">
        <v>0</v>
      </c>
      <c r="L657" t="n">
        <v>0</v>
      </c>
      <c r="M657" t="n">
        <v>0</v>
      </c>
      <c r="N657" t="n">
        <v>0</v>
      </c>
      <c r="O657" t="n">
        <v>0</v>
      </c>
      <c r="P657" t="n">
        <v>0</v>
      </c>
      <c r="Q657" t="n">
        <v>0</v>
      </c>
      <c r="R657" s="2" t="inlineStr"/>
    </row>
    <row r="658" ht="15" customHeight="1">
      <c r="A658" t="inlineStr">
        <is>
          <t>A 22854-2023</t>
        </is>
      </c>
      <c r="B658" s="1" t="n">
        <v>45072</v>
      </c>
      <c r="C658" s="1" t="n">
        <v>46104</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61293-2022</t>
        </is>
      </c>
      <c r="B659" s="1" t="n">
        <v>44915.62751157407</v>
      </c>
      <c r="C659" s="1" t="n">
        <v>46104</v>
      </c>
      <c r="D659" t="inlineStr">
        <is>
          <t>DALARNAS LÄN</t>
        </is>
      </c>
      <c r="E659" t="inlineStr">
        <is>
          <t>MORA</t>
        </is>
      </c>
      <c r="G659" t="n">
        <v>0.3</v>
      </c>
      <c r="H659" t="n">
        <v>0</v>
      </c>
      <c r="I659" t="n">
        <v>0</v>
      </c>
      <c r="J659" t="n">
        <v>0</v>
      </c>
      <c r="K659" t="n">
        <v>0</v>
      </c>
      <c r="L659" t="n">
        <v>0</v>
      </c>
      <c r="M659" t="n">
        <v>0</v>
      </c>
      <c r="N659" t="n">
        <v>0</v>
      </c>
      <c r="O659" t="n">
        <v>0</v>
      </c>
      <c r="P659" t="n">
        <v>0</v>
      </c>
      <c r="Q659" t="n">
        <v>0</v>
      </c>
      <c r="R659" s="2" t="inlineStr"/>
    </row>
    <row r="660" ht="15" customHeight="1">
      <c r="A660" t="inlineStr">
        <is>
          <t>A 46412-2024</t>
        </is>
      </c>
      <c r="B660" s="1" t="n">
        <v>45582.44894675926</v>
      </c>
      <c r="C660" s="1" t="n">
        <v>46104</v>
      </c>
      <c r="D660" t="inlineStr">
        <is>
          <t>DALARNAS LÄN</t>
        </is>
      </c>
      <c r="E660" t="inlineStr">
        <is>
          <t>MORA</t>
        </is>
      </c>
      <c r="G660" t="n">
        <v>4.1</v>
      </c>
      <c r="H660" t="n">
        <v>0</v>
      </c>
      <c r="I660" t="n">
        <v>0</v>
      </c>
      <c r="J660" t="n">
        <v>0</v>
      </c>
      <c r="K660" t="n">
        <v>0</v>
      </c>
      <c r="L660" t="n">
        <v>0</v>
      </c>
      <c r="M660" t="n">
        <v>0</v>
      </c>
      <c r="N660" t="n">
        <v>0</v>
      </c>
      <c r="O660" t="n">
        <v>0</v>
      </c>
      <c r="P660" t="n">
        <v>0</v>
      </c>
      <c r="Q660" t="n">
        <v>0</v>
      </c>
      <c r="R660" s="2" t="inlineStr"/>
    </row>
    <row r="661" ht="15" customHeight="1">
      <c r="A661" t="inlineStr">
        <is>
          <t>A 57091-2021</t>
        </is>
      </c>
      <c r="B661" s="1" t="n">
        <v>44482</v>
      </c>
      <c r="C661" s="1" t="n">
        <v>46104</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50685-2023</t>
        </is>
      </c>
      <c r="B662" s="1" t="n">
        <v>45210</v>
      </c>
      <c r="C662" s="1" t="n">
        <v>46104</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36740-2023</t>
        </is>
      </c>
      <c r="B663" s="1" t="n">
        <v>45153</v>
      </c>
      <c r="C663" s="1" t="n">
        <v>46104</v>
      </c>
      <c r="D663" t="inlineStr">
        <is>
          <t>DALARNAS LÄN</t>
        </is>
      </c>
      <c r="E663" t="inlineStr">
        <is>
          <t>MORA</t>
        </is>
      </c>
      <c r="G663" t="n">
        <v>0.2</v>
      </c>
      <c r="H663" t="n">
        <v>0</v>
      </c>
      <c r="I663" t="n">
        <v>0</v>
      </c>
      <c r="J663" t="n">
        <v>0</v>
      </c>
      <c r="K663" t="n">
        <v>0</v>
      </c>
      <c r="L663" t="n">
        <v>0</v>
      </c>
      <c r="M663" t="n">
        <v>0</v>
      </c>
      <c r="N663" t="n">
        <v>0</v>
      </c>
      <c r="O663" t="n">
        <v>0</v>
      </c>
      <c r="P663" t="n">
        <v>0</v>
      </c>
      <c r="Q663" t="n">
        <v>0</v>
      </c>
      <c r="R663" s="2" t="inlineStr"/>
    </row>
    <row r="664" ht="15" customHeight="1">
      <c r="A664" t="inlineStr">
        <is>
          <t>A 37070-2025</t>
        </is>
      </c>
      <c r="B664" s="1" t="n">
        <v>45875.39822916667</v>
      </c>
      <c r="C664" s="1" t="n">
        <v>46104</v>
      </c>
      <c r="D664" t="inlineStr">
        <is>
          <t>DALARNAS LÄN</t>
        </is>
      </c>
      <c r="E664" t="inlineStr">
        <is>
          <t>MORA</t>
        </is>
      </c>
      <c r="G664" t="n">
        <v>2.7</v>
      </c>
      <c r="H664" t="n">
        <v>0</v>
      </c>
      <c r="I664" t="n">
        <v>0</v>
      </c>
      <c r="J664" t="n">
        <v>0</v>
      </c>
      <c r="K664" t="n">
        <v>0</v>
      </c>
      <c r="L664" t="n">
        <v>0</v>
      </c>
      <c r="M664" t="n">
        <v>0</v>
      </c>
      <c r="N664" t="n">
        <v>0</v>
      </c>
      <c r="O664" t="n">
        <v>0</v>
      </c>
      <c r="P664" t="n">
        <v>0</v>
      </c>
      <c r="Q664" t="n">
        <v>0</v>
      </c>
      <c r="R664" s="2" t="inlineStr"/>
    </row>
    <row r="665" ht="15" customHeight="1">
      <c r="A665" t="inlineStr">
        <is>
          <t>A 37268-2025</t>
        </is>
      </c>
      <c r="B665" s="1" t="n">
        <v>45876.46681712963</v>
      </c>
      <c r="C665" s="1" t="n">
        <v>46104</v>
      </c>
      <c r="D665" t="inlineStr">
        <is>
          <t>DALARNAS LÄN</t>
        </is>
      </c>
      <c r="E665" t="inlineStr">
        <is>
          <t>MORA</t>
        </is>
      </c>
      <c r="G665" t="n">
        <v>2.1</v>
      </c>
      <c r="H665" t="n">
        <v>0</v>
      </c>
      <c r="I665" t="n">
        <v>0</v>
      </c>
      <c r="J665" t="n">
        <v>0</v>
      </c>
      <c r="K665" t="n">
        <v>0</v>
      </c>
      <c r="L665" t="n">
        <v>0</v>
      </c>
      <c r="M665" t="n">
        <v>0</v>
      </c>
      <c r="N665" t="n">
        <v>0</v>
      </c>
      <c r="O665" t="n">
        <v>0</v>
      </c>
      <c r="P665" t="n">
        <v>0</v>
      </c>
      <c r="Q665" t="n">
        <v>0</v>
      </c>
      <c r="R665" s="2" t="inlineStr"/>
    </row>
    <row r="666" ht="15" customHeight="1">
      <c r="A666" t="inlineStr">
        <is>
          <t>A 31177-2021</t>
        </is>
      </c>
      <c r="B666" s="1" t="n">
        <v>44368</v>
      </c>
      <c r="C666" s="1" t="n">
        <v>46104</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65186-2021</t>
        </is>
      </c>
      <c r="B667" s="1" t="n">
        <v>44515</v>
      </c>
      <c r="C667" s="1" t="n">
        <v>46104</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58171-2024</t>
        </is>
      </c>
      <c r="B668" s="1" t="n">
        <v>45632.46545138889</v>
      </c>
      <c r="C668" s="1" t="n">
        <v>46104</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17167-2025</t>
        </is>
      </c>
      <c r="B669" s="1" t="n">
        <v>45756.36844907407</v>
      </c>
      <c r="C669" s="1" t="n">
        <v>46104</v>
      </c>
      <c r="D669" t="inlineStr">
        <is>
          <t>DALARNAS LÄN</t>
        </is>
      </c>
      <c r="E669" t="inlineStr">
        <is>
          <t>MORA</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37879-2025</t>
        </is>
      </c>
      <c r="B670" s="1" t="n">
        <v>45881.48791666667</v>
      </c>
      <c r="C670" s="1" t="n">
        <v>46104</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38086-2025</t>
        </is>
      </c>
      <c r="B671" s="1" t="n">
        <v>45882.47625</v>
      </c>
      <c r="C671" s="1" t="n">
        <v>46104</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20504-2023</t>
        </is>
      </c>
      <c r="B672" s="1" t="n">
        <v>45057</v>
      </c>
      <c r="C672" s="1" t="n">
        <v>46104</v>
      </c>
      <c r="D672" t="inlineStr">
        <is>
          <t>DALARNAS LÄN</t>
        </is>
      </c>
      <c r="E672" t="inlineStr">
        <is>
          <t>MORA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53527-2024</t>
        </is>
      </c>
      <c r="B673" s="1" t="n">
        <v>45614.61569444444</v>
      </c>
      <c r="C673" s="1" t="n">
        <v>46104</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36184-2021</t>
        </is>
      </c>
      <c r="B674" s="1" t="n">
        <v>44389</v>
      </c>
      <c r="C674" s="1" t="n">
        <v>46104</v>
      </c>
      <c r="D674" t="inlineStr">
        <is>
          <t>DALARNAS LÄN</t>
        </is>
      </c>
      <c r="E674" t="inlineStr">
        <is>
          <t>MORA</t>
        </is>
      </c>
      <c r="G674" t="n">
        <v>0.5</v>
      </c>
      <c r="H674" t="n">
        <v>0</v>
      </c>
      <c r="I674" t="n">
        <v>0</v>
      </c>
      <c r="J674" t="n">
        <v>0</v>
      </c>
      <c r="K674" t="n">
        <v>0</v>
      </c>
      <c r="L674" t="n">
        <v>0</v>
      </c>
      <c r="M674" t="n">
        <v>0</v>
      </c>
      <c r="N674" t="n">
        <v>0</v>
      </c>
      <c r="O674" t="n">
        <v>0</v>
      </c>
      <c r="P674" t="n">
        <v>0</v>
      </c>
      <c r="Q674" t="n">
        <v>0</v>
      </c>
      <c r="R674" s="2" t="inlineStr"/>
    </row>
    <row r="675" ht="15" customHeight="1">
      <c r="A675" t="inlineStr">
        <is>
          <t>A 38073-2025</t>
        </is>
      </c>
      <c r="B675" s="1" t="n">
        <v>45882</v>
      </c>
      <c r="C675" s="1" t="n">
        <v>46104</v>
      </c>
      <c r="D675" t="inlineStr">
        <is>
          <t>DALARNAS LÄN</t>
        </is>
      </c>
      <c r="E675" t="inlineStr">
        <is>
          <t>MORA</t>
        </is>
      </c>
      <c r="G675" t="n">
        <v>2.5</v>
      </c>
      <c r="H675" t="n">
        <v>0</v>
      </c>
      <c r="I675" t="n">
        <v>0</v>
      </c>
      <c r="J675" t="n">
        <v>0</v>
      </c>
      <c r="K675" t="n">
        <v>0</v>
      </c>
      <c r="L675" t="n">
        <v>0</v>
      </c>
      <c r="M675" t="n">
        <v>0</v>
      </c>
      <c r="N675" t="n">
        <v>0</v>
      </c>
      <c r="O675" t="n">
        <v>0</v>
      </c>
      <c r="P675" t="n">
        <v>0</v>
      </c>
      <c r="Q675" t="n">
        <v>0</v>
      </c>
      <c r="R675" s="2" t="inlineStr"/>
    </row>
    <row r="676" ht="15" customHeight="1">
      <c r="A676" t="inlineStr">
        <is>
          <t>A 17529-2023</t>
        </is>
      </c>
      <c r="B676" s="1" t="n">
        <v>45036.46804398148</v>
      </c>
      <c r="C676" s="1" t="n">
        <v>46104</v>
      </c>
      <c r="D676" t="inlineStr">
        <is>
          <t>DALARNAS LÄN</t>
        </is>
      </c>
      <c r="E676" t="inlineStr">
        <is>
          <t>MORA</t>
        </is>
      </c>
      <c r="G676" t="n">
        <v>6</v>
      </c>
      <c r="H676" t="n">
        <v>0</v>
      </c>
      <c r="I676" t="n">
        <v>0</v>
      </c>
      <c r="J676" t="n">
        <v>0</v>
      </c>
      <c r="K676" t="n">
        <v>0</v>
      </c>
      <c r="L676" t="n">
        <v>0</v>
      </c>
      <c r="M676" t="n">
        <v>0</v>
      </c>
      <c r="N676" t="n">
        <v>0</v>
      </c>
      <c r="O676" t="n">
        <v>0</v>
      </c>
      <c r="P676" t="n">
        <v>0</v>
      </c>
      <c r="Q676" t="n">
        <v>0</v>
      </c>
      <c r="R676" s="2" t="inlineStr"/>
    </row>
    <row r="677" ht="15" customHeight="1">
      <c r="A677" t="inlineStr">
        <is>
          <t>A 44201-2023</t>
        </is>
      </c>
      <c r="B677" s="1" t="n">
        <v>45188</v>
      </c>
      <c r="C677" s="1" t="n">
        <v>46104</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16522-2024</t>
        </is>
      </c>
      <c r="B678" s="1" t="n">
        <v>45408.41166666667</v>
      </c>
      <c r="C678" s="1" t="n">
        <v>46104</v>
      </c>
      <c r="D678" t="inlineStr">
        <is>
          <t>DALARNAS LÄN</t>
        </is>
      </c>
      <c r="E678" t="inlineStr">
        <is>
          <t>MORA</t>
        </is>
      </c>
      <c r="G678" t="n">
        <v>11.2</v>
      </c>
      <c r="H678" t="n">
        <v>0</v>
      </c>
      <c r="I678" t="n">
        <v>0</v>
      </c>
      <c r="J678" t="n">
        <v>0</v>
      </c>
      <c r="K678" t="n">
        <v>0</v>
      </c>
      <c r="L678" t="n">
        <v>0</v>
      </c>
      <c r="M678" t="n">
        <v>0</v>
      </c>
      <c r="N678" t="n">
        <v>0</v>
      </c>
      <c r="O678" t="n">
        <v>0</v>
      </c>
      <c r="P678" t="n">
        <v>0</v>
      </c>
      <c r="Q678" t="n">
        <v>0</v>
      </c>
      <c r="R678" s="2" t="inlineStr"/>
    </row>
    <row r="679" ht="15" customHeight="1">
      <c r="A679" t="inlineStr">
        <is>
          <t>A 36038-2024</t>
        </is>
      </c>
      <c r="B679" s="1" t="n">
        <v>45533</v>
      </c>
      <c r="C679" s="1" t="n">
        <v>46104</v>
      </c>
      <c r="D679" t="inlineStr">
        <is>
          <t>DALARNAS LÄN</t>
        </is>
      </c>
      <c r="E679" t="inlineStr">
        <is>
          <t>MORA</t>
        </is>
      </c>
      <c r="G679" t="n">
        <v>5.1</v>
      </c>
      <c r="H679" t="n">
        <v>0</v>
      </c>
      <c r="I679" t="n">
        <v>0</v>
      </c>
      <c r="J679" t="n">
        <v>0</v>
      </c>
      <c r="K679" t="n">
        <v>0</v>
      </c>
      <c r="L679" t="n">
        <v>0</v>
      </c>
      <c r="M679" t="n">
        <v>0</v>
      </c>
      <c r="N679" t="n">
        <v>0</v>
      </c>
      <c r="O679" t="n">
        <v>0</v>
      </c>
      <c r="P679" t="n">
        <v>0</v>
      </c>
      <c r="Q679" t="n">
        <v>0</v>
      </c>
      <c r="R679" s="2" t="inlineStr"/>
    </row>
    <row r="680" ht="15" customHeight="1">
      <c r="A680" t="inlineStr">
        <is>
          <t>A 2865-2022</t>
        </is>
      </c>
      <c r="B680" s="1" t="n">
        <v>44581</v>
      </c>
      <c r="C680" s="1" t="n">
        <v>46104</v>
      </c>
      <c r="D680" t="inlineStr">
        <is>
          <t>DALARNAS LÄN</t>
        </is>
      </c>
      <c r="E680" t="inlineStr">
        <is>
          <t>MORA</t>
        </is>
      </c>
      <c r="G680" t="n">
        <v>2</v>
      </c>
      <c r="H680" t="n">
        <v>0</v>
      </c>
      <c r="I680" t="n">
        <v>0</v>
      </c>
      <c r="J680" t="n">
        <v>0</v>
      </c>
      <c r="K680" t="n">
        <v>0</v>
      </c>
      <c r="L680" t="n">
        <v>0</v>
      </c>
      <c r="M680" t="n">
        <v>0</v>
      </c>
      <c r="N680" t="n">
        <v>0</v>
      </c>
      <c r="O680" t="n">
        <v>0</v>
      </c>
      <c r="P680" t="n">
        <v>0</v>
      </c>
      <c r="Q680" t="n">
        <v>0</v>
      </c>
      <c r="R680" s="2" t="inlineStr"/>
    </row>
    <row r="681" ht="15" customHeight="1">
      <c r="A681" t="inlineStr">
        <is>
          <t>A 56834-2024</t>
        </is>
      </c>
      <c r="B681" s="1" t="n">
        <v>45628.49931712963</v>
      </c>
      <c r="C681" s="1" t="n">
        <v>46104</v>
      </c>
      <c r="D681" t="inlineStr">
        <is>
          <t>DALARNAS LÄN</t>
        </is>
      </c>
      <c r="E681" t="inlineStr">
        <is>
          <t>MORA</t>
        </is>
      </c>
      <c r="G681" t="n">
        <v>0.4</v>
      </c>
      <c r="H681" t="n">
        <v>0</v>
      </c>
      <c r="I681" t="n">
        <v>0</v>
      </c>
      <c r="J681" t="n">
        <v>0</v>
      </c>
      <c r="K681" t="n">
        <v>0</v>
      </c>
      <c r="L681" t="n">
        <v>0</v>
      </c>
      <c r="M681" t="n">
        <v>0</v>
      </c>
      <c r="N681" t="n">
        <v>0</v>
      </c>
      <c r="O681" t="n">
        <v>0</v>
      </c>
      <c r="P681" t="n">
        <v>0</v>
      </c>
      <c r="Q681" t="n">
        <v>0</v>
      </c>
      <c r="R681" s="2" t="inlineStr"/>
    </row>
    <row r="682" ht="15" customHeight="1">
      <c r="A682" t="inlineStr">
        <is>
          <t>A 16967-2025</t>
        </is>
      </c>
      <c r="B682" s="1" t="n">
        <v>45755.46106481482</v>
      </c>
      <c r="C682" s="1" t="n">
        <v>46104</v>
      </c>
      <c r="D682" t="inlineStr">
        <is>
          <t>DALARNAS LÄN</t>
        </is>
      </c>
      <c r="E682" t="inlineStr">
        <is>
          <t>MORA</t>
        </is>
      </c>
      <c r="F682" t="inlineStr">
        <is>
          <t>Bergvik skog öst AB</t>
        </is>
      </c>
      <c r="G682" t="n">
        <v>2.9</v>
      </c>
      <c r="H682" t="n">
        <v>0</v>
      </c>
      <c r="I682" t="n">
        <v>0</v>
      </c>
      <c r="J682" t="n">
        <v>0</v>
      </c>
      <c r="K682" t="n">
        <v>0</v>
      </c>
      <c r="L682" t="n">
        <v>0</v>
      </c>
      <c r="M682" t="n">
        <v>0</v>
      </c>
      <c r="N682" t="n">
        <v>0</v>
      </c>
      <c r="O682" t="n">
        <v>0</v>
      </c>
      <c r="P682" t="n">
        <v>0</v>
      </c>
      <c r="Q682" t="n">
        <v>0</v>
      </c>
      <c r="R682" s="2" t="inlineStr"/>
    </row>
    <row r="683" ht="15" customHeight="1">
      <c r="A683" t="inlineStr">
        <is>
          <t>A 47036-2023</t>
        </is>
      </c>
      <c r="B683" s="1" t="n">
        <v>45196</v>
      </c>
      <c r="C683" s="1" t="n">
        <v>46104</v>
      </c>
      <c r="D683" t="inlineStr">
        <is>
          <t>DALARNAS LÄN</t>
        </is>
      </c>
      <c r="E683" t="inlineStr">
        <is>
          <t>MORA</t>
        </is>
      </c>
      <c r="G683" t="n">
        <v>2.7</v>
      </c>
      <c r="H683" t="n">
        <v>0</v>
      </c>
      <c r="I683" t="n">
        <v>0</v>
      </c>
      <c r="J683" t="n">
        <v>0</v>
      </c>
      <c r="K683" t="n">
        <v>0</v>
      </c>
      <c r="L683" t="n">
        <v>0</v>
      </c>
      <c r="M683" t="n">
        <v>0</v>
      </c>
      <c r="N683" t="n">
        <v>0</v>
      </c>
      <c r="O683" t="n">
        <v>0</v>
      </c>
      <c r="P683" t="n">
        <v>0</v>
      </c>
      <c r="Q683" t="n">
        <v>0</v>
      </c>
      <c r="R683" s="2" t="inlineStr"/>
    </row>
    <row r="684" ht="15" customHeight="1">
      <c r="A684" t="inlineStr">
        <is>
          <t>A 61278-2024</t>
        </is>
      </c>
      <c r="B684" s="1" t="n">
        <v>45645.76561342592</v>
      </c>
      <c r="C684" s="1" t="n">
        <v>46104</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20544-2025</t>
        </is>
      </c>
      <c r="B685" s="1" t="n">
        <v>45775.63119212963</v>
      </c>
      <c r="C685" s="1" t="n">
        <v>46104</v>
      </c>
      <c r="D685" t="inlineStr">
        <is>
          <t>DALARNAS LÄN</t>
        </is>
      </c>
      <c r="E685" t="inlineStr">
        <is>
          <t>MORA</t>
        </is>
      </c>
      <c r="G685" t="n">
        <v>3.6</v>
      </c>
      <c r="H685" t="n">
        <v>0</v>
      </c>
      <c r="I685" t="n">
        <v>0</v>
      </c>
      <c r="J685" t="n">
        <v>0</v>
      </c>
      <c r="K685" t="n">
        <v>0</v>
      </c>
      <c r="L685" t="n">
        <v>0</v>
      </c>
      <c r="M685" t="n">
        <v>0</v>
      </c>
      <c r="N685" t="n">
        <v>0</v>
      </c>
      <c r="O685" t="n">
        <v>0</v>
      </c>
      <c r="P685" t="n">
        <v>0</v>
      </c>
      <c r="Q685" t="n">
        <v>0</v>
      </c>
      <c r="R685" s="2" t="inlineStr"/>
    </row>
    <row r="686" ht="15" customHeight="1">
      <c r="A686" t="inlineStr">
        <is>
          <t>A 51965-2024</t>
        </is>
      </c>
      <c r="B686" s="1" t="n">
        <v>45607.65123842593</v>
      </c>
      <c r="C686" s="1" t="n">
        <v>46104</v>
      </c>
      <c r="D686" t="inlineStr">
        <is>
          <t>DALARNAS LÄN</t>
        </is>
      </c>
      <c r="E686" t="inlineStr">
        <is>
          <t>MORA</t>
        </is>
      </c>
      <c r="G686" t="n">
        <v>1.3</v>
      </c>
      <c r="H686" t="n">
        <v>0</v>
      </c>
      <c r="I686" t="n">
        <v>0</v>
      </c>
      <c r="J686" t="n">
        <v>0</v>
      </c>
      <c r="K686" t="n">
        <v>0</v>
      </c>
      <c r="L686" t="n">
        <v>0</v>
      </c>
      <c r="M686" t="n">
        <v>0</v>
      </c>
      <c r="N686" t="n">
        <v>0</v>
      </c>
      <c r="O686" t="n">
        <v>0</v>
      </c>
      <c r="P686" t="n">
        <v>0</v>
      </c>
      <c r="Q686" t="n">
        <v>0</v>
      </c>
      <c r="R686" s="2" t="inlineStr"/>
    </row>
    <row r="687" ht="15" customHeight="1">
      <c r="A687" t="inlineStr">
        <is>
          <t>A 20401-2022</t>
        </is>
      </c>
      <c r="B687" s="1" t="n">
        <v>44699</v>
      </c>
      <c r="C687" s="1" t="n">
        <v>46104</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38627-2023</t>
        </is>
      </c>
      <c r="B688" s="1" t="n">
        <v>45162.68787037037</v>
      </c>
      <c r="C688" s="1" t="n">
        <v>46104</v>
      </c>
      <c r="D688" t="inlineStr">
        <is>
          <t>DALARNAS LÄN</t>
        </is>
      </c>
      <c r="E688" t="inlineStr">
        <is>
          <t>MORA</t>
        </is>
      </c>
      <c r="G688" t="n">
        <v>6.5</v>
      </c>
      <c r="H688" t="n">
        <v>0</v>
      </c>
      <c r="I688" t="n">
        <v>0</v>
      </c>
      <c r="J688" t="n">
        <v>0</v>
      </c>
      <c r="K688" t="n">
        <v>0</v>
      </c>
      <c r="L688" t="n">
        <v>0</v>
      </c>
      <c r="M688" t="n">
        <v>0</v>
      </c>
      <c r="N688" t="n">
        <v>0</v>
      </c>
      <c r="O688" t="n">
        <v>0</v>
      </c>
      <c r="P688" t="n">
        <v>0</v>
      </c>
      <c r="Q688" t="n">
        <v>0</v>
      </c>
      <c r="R688" s="2" t="inlineStr"/>
    </row>
    <row r="689" ht="15" customHeight="1">
      <c r="A689" t="inlineStr">
        <is>
          <t>A 64088-2023</t>
        </is>
      </c>
      <c r="B689" s="1" t="n">
        <v>45279.43570601852</v>
      </c>
      <c r="C689" s="1" t="n">
        <v>46104</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2830-2023</t>
        </is>
      </c>
      <c r="B690" s="1" t="n">
        <v>44945.32997685186</v>
      </c>
      <c r="C690" s="1" t="n">
        <v>46104</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39882-2024</t>
        </is>
      </c>
      <c r="B691" s="1" t="n">
        <v>45553</v>
      </c>
      <c r="C691" s="1" t="n">
        <v>46104</v>
      </c>
      <c r="D691" t="inlineStr">
        <is>
          <t>DALARNAS LÄN</t>
        </is>
      </c>
      <c r="E691" t="inlineStr">
        <is>
          <t>MORA</t>
        </is>
      </c>
      <c r="G691" t="n">
        <v>14.6</v>
      </c>
      <c r="H691" t="n">
        <v>0</v>
      </c>
      <c r="I691" t="n">
        <v>0</v>
      </c>
      <c r="J691" t="n">
        <v>0</v>
      </c>
      <c r="K691" t="n">
        <v>0</v>
      </c>
      <c r="L691" t="n">
        <v>0</v>
      </c>
      <c r="M691" t="n">
        <v>0</v>
      </c>
      <c r="N691" t="n">
        <v>0</v>
      </c>
      <c r="O691" t="n">
        <v>0</v>
      </c>
      <c r="P691" t="n">
        <v>0</v>
      </c>
      <c r="Q691" t="n">
        <v>0</v>
      </c>
      <c r="R691" s="2" t="inlineStr"/>
    </row>
    <row r="692" ht="15" customHeight="1">
      <c r="A692" t="inlineStr">
        <is>
          <t>A 43566-2023</t>
        </is>
      </c>
      <c r="B692" s="1" t="n">
        <v>45184.58199074074</v>
      </c>
      <c r="C692" s="1" t="n">
        <v>46104</v>
      </c>
      <c r="D692" t="inlineStr">
        <is>
          <t>DALARNAS LÄN</t>
        </is>
      </c>
      <c r="E692" t="inlineStr">
        <is>
          <t>MORA</t>
        </is>
      </c>
      <c r="F692" t="inlineStr">
        <is>
          <t>Bergvik skog väst AB</t>
        </is>
      </c>
      <c r="G692" t="n">
        <v>4.3</v>
      </c>
      <c r="H692" t="n">
        <v>0</v>
      </c>
      <c r="I692" t="n">
        <v>0</v>
      </c>
      <c r="J692" t="n">
        <v>0</v>
      </c>
      <c r="K692" t="n">
        <v>0</v>
      </c>
      <c r="L692" t="n">
        <v>0</v>
      </c>
      <c r="M692" t="n">
        <v>0</v>
      </c>
      <c r="N692" t="n">
        <v>0</v>
      </c>
      <c r="O692" t="n">
        <v>0</v>
      </c>
      <c r="P692" t="n">
        <v>0</v>
      </c>
      <c r="Q692" t="n">
        <v>0</v>
      </c>
      <c r="R692" s="2" t="inlineStr"/>
    </row>
    <row r="693" ht="15" customHeight="1">
      <c r="A693" t="inlineStr">
        <is>
          <t>A 46414-2024</t>
        </is>
      </c>
      <c r="B693" s="1" t="n">
        <v>45582.45226851852</v>
      </c>
      <c r="C693" s="1" t="n">
        <v>46104</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46417-2024</t>
        </is>
      </c>
      <c r="B694" s="1" t="n">
        <v>45582.45449074074</v>
      </c>
      <c r="C694" s="1" t="n">
        <v>46104</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5491-2023</t>
        </is>
      </c>
      <c r="B695" s="1" t="n">
        <v>44957</v>
      </c>
      <c r="C695" s="1" t="n">
        <v>46104</v>
      </c>
      <c r="D695" t="inlineStr">
        <is>
          <t>DALARNAS LÄN</t>
        </is>
      </c>
      <c r="E695" t="inlineStr">
        <is>
          <t>MORA</t>
        </is>
      </c>
      <c r="G695" t="n">
        <v>3.5</v>
      </c>
      <c r="H695" t="n">
        <v>0</v>
      </c>
      <c r="I695" t="n">
        <v>0</v>
      </c>
      <c r="J695" t="n">
        <v>0</v>
      </c>
      <c r="K695" t="n">
        <v>0</v>
      </c>
      <c r="L695" t="n">
        <v>0</v>
      </c>
      <c r="M695" t="n">
        <v>0</v>
      </c>
      <c r="N695" t="n">
        <v>0</v>
      </c>
      <c r="O695" t="n">
        <v>0</v>
      </c>
      <c r="P695" t="n">
        <v>0</v>
      </c>
      <c r="Q695" t="n">
        <v>0</v>
      </c>
      <c r="R695" s="2" t="inlineStr"/>
    </row>
    <row r="696" ht="15" customHeight="1">
      <c r="A696" t="inlineStr">
        <is>
          <t>A 5493-2023</t>
        </is>
      </c>
      <c r="B696" s="1" t="n">
        <v>44957</v>
      </c>
      <c r="C696" s="1" t="n">
        <v>46104</v>
      </c>
      <c r="D696" t="inlineStr">
        <is>
          <t>DALARNAS LÄN</t>
        </is>
      </c>
      <c r="E696" t="inlineStr">
        <is>
          <t>MORA</t>
        </is>
      </c>
      <c r="F696" t="inlineStr">
        <is>
          <t>Allmännings- och besparingsskogar</t>
        </is>
      </c>
      <c r="G696" t="n">
        <v>14.9</v>
      </c>
      <c r="H696" t="n">
        <v>0</v>
      </c>
      <c r="I696" t="n">
        <v>0</v>
      </c>
      <c r="J696" t="n">
        <v>0</v>
      </c>
      <c r="K696" t="n">
        <v>0</v>
      </c>
      <c r="L696" t="n">
        <v>0</v>
      </c>
      <c r="M696" t="n">
        <v>0</v>
      </c>
      <c r="N696" t="n">
        <v>0</v>
      </c>
      <c r="O696" t="n">
        <v>0</v>
      </c>
      <c r="P696" t="n">
        <v>0</v>
      </c>
      <c r="Q696" t="n">
        <v>0</v>
      </c>
      <c r="R696" s="2" t="inlineStr"/>
    </row>
    <row r="697" ht="15" customHeight="1">
      <c r="A697" t="inlineStr">
        <is>
          <t>A 48825-2023</t>
        </is>
      </c>
      <c r="B697" s="1" t="n">
        <v>45203</v>
      </c>
      <c r="C697" s="1" t="n">
        <v>46104</v>
      </c>
      <c r="D697" t="inlineStr">
        <is>
          <t>DALARNAS LÄN</t>
        </is>
      </c>
      <c r="E697" t="inlineStr">
        <is>
          <t>MORA</t>
        </is>
      </c>
      <c r="G697" t="n">
        <v>7.9</v>
      </c>
      <c r="H697" t="n">
        <v>0</v>
      </c>
      <c r="I697" t="n">
        <v>0</v>
      </c>
      <c r="J697" t="n">
        <v>0</v>
      </c>
      <c r="K697" t="n">
        <v>0</v>
      </c>
      <c r="L697" t="n">
        <v>0</v>
      </c>
      <c r="M697" t="n">
        <v>0</v>
      </c>
      <c r="N697" t="n">
        <v>0</v>
      </c>
      <c r="O697" t="n">
        <v>0</v>
      </c>
      <c r="P697" t="n">
        <v>0</v>
      </c>
      <c r="Q697" t="n">
        <v>0</v>
      </c>
      <c r="R697" s="2" t="inlineStr"/>
    </row>
    <row r="698" ht="15" customHeight="1">
      <c r="A698" t="inlineStr">
        <is>
          <t>A 29193-2023</t>
        </is>
      </c>
      <c r="B698" s="1" t="n">
        <v>45105.54791666667</v>
      </c>
      <c r="C698" s="1" t="n">
        <v>46104</v>
      </c>
      <c r="D698" t="inlineStr">
        <is>
          <t>DALARNAS LÄN</t>
        </is>
      </c>
      <c r="E698" t="inlineStr">
        <is>
          <t>MORA</t>
        </is>
      </c>
      <c r="G698" t="n">
        <v>0.4</v>
      </c>
      <c r="H698" t="n">
        <v>0</v>
      </c>
      <c r="I698" t="n">
        <v>0</v>
      </c>
      <c r="J698" t="n">
        <v>0</v>
      </c>
      <c r="K698" t="n">
        <v>0</v>
      </c>
      <c r="L698" t="n">
        <v>0</v>
      </c>
      <c r="M698" t="n">
        <v>0</v>
      </c>
      <c r="N698" t="n">
        <v>0</v>
      </c>
      <c r="O698" t="n">
        <v>0</v>
      </c>
      <c r="P698" t="n">
        <v>0</v>
      </c>
      <c r="Q698" t="n">
        <v>0</v>
      </c>
      <c r="R698" s="2" t="inlineStr"/>
    </row>
    <row r="699" ht="15" customHeight="1">
      <c r="A699" t="inlineStr">
        <is>
          <t>A 18444-2024</t>
        </is>
      </c>
      <c r="B699" s="1" t="n">
        <v>45425.45568287037</v>
      </c>
      <c r="C699" s="1" t="n">
        <v>46104</v>
      </c>
      <c r="D699" t="inlineStr">
        <is>
          <t>DALARNAS LÄN</t>
        </is>
      </c>
      <c r="E699" t="inlineStr">
        <is>
          <t>MORA</t>
        </is>
      </c>
      <c r="G699" t="n">
        <v>5</v>
      </c>
      <c r="H699" t="n">
        <v>0</v>
      </c>
      <c r="I699" t="n">
        <v>0</v>
      </c>
      <c r="J699" t="n">
        <v>0</v>
      </c>
      <c r="K699" t="n">
        <v>0</v>
      </c>
      <c r="L699" t="n">
        <v>0</v>
      </c>
      <c r="M699" t="n">
        <v>0</v>
      </c>
      <c r="N699" t="n">
        <v>0</v>
      </c>
      <c r="O699" t="n">
        <v>0</v>
      </c>
      <c r="P699" t="n">
        <v>0</v>
      </c>
      <c r="Q699" t="n">
        <v>0</v>
      </c>
      <c r="R699" s="2" t="inlineStr"/>
    </row>
    <row r="700" ht="15" customHeight="1">
      <c r="A700" t="inlineStr">
        <is>
          <t>A 47784-2024</t>
        </is>
      </c>
      <c r="B700" s="1" t="n">
        <v>45588.59290509259</v>
      </c>
      <c r="C700" s="1" t="n">
        <v>46104</v>
      </c>
      <c r="D700" t="inlineStr">
        <is>
          <t>DALARNAS LÄN</t>
        </is>
      </c>
      <c r="E700" t="inlineStr">
        <is>
          <t>MORA</t>
        </is>
      </c>
      <c r="G700" t="n">
        <v>15.3</v>
      </c>
      <c r="H700" t="n">
        <v>0</v>
      </c>
      <c r="I700" t="n">
        <v>0</v>
      </c>
      <c r="J700" t="n">
        <v>0</v>
      </c>
      <c r="K700" t="n">
        <v>0</v>
      </c>
      <c r="L700" t="n">
        <v>0</v>
      </c>
      <c r="M700" t="n">
        <v>0</v>
      </c>
      <c r="N700" t="n">
        <v>0</v>
      </c>
      <c r="O700" t="n">
        <v>0</v>
      </c>
      <c r="P700" t="n">
        <v>0</v>
      </c>
      <c r="Q700" t="n">
        <v>0</v>
      </c>
      <c r="R700" s="2" t="inlineStr"/>
    </row>
    <row r="701" ht="15" customHeight="1">
      <c r="A701" t="inlineStr">
        <is>
          <t>A 35551-2023</t>
        </is>
      </c>
      <c r="B701" s="1" t="n">
        <v>45147.3934837963</v>
      </c>
      <c r="C701" s="1" t="n">
        <v>46104</v>
      </c>
      <c r="D701" t="inlineStr">
        <is>
          <t>DALARNAS LÄN</t>
        </is>
      </c>
      <c r="E701" t="inlineStr">
        <is>
          <t>MORA</t>
        </is>
      </c>
      <c r="G701" t="n">
        <v>1.1</v>
      </c>
      <c r="H701" t="n">
        <v>0</v>
      </c>
      <c r="I701" t="n">
        <v>0</v>
      </c>
      <c r="J701" t="n">
        <v>0</v>
      </c>
      <c r="K701" t="n">
        <v>0</v>
      </c>
      <c r="L701" t="n">
        <v>0</v>
      </c>
      <c r="M701" t="n">
        <v>0</v>
      </c>
      <c r="N701" t="n">
        <v>0</v>
      </c>
      <c r="O701" t="n">
        <v>0</v>
      </c>
      <c r="P701" t="n">
        <v>0</v>
      </c>
      <c r="Q701" t="n">
        <v>0</v>
      </c>
      <c r="R701" s="2" t="inlineStr"/>
    </row>
    <row r="702" ht="15" customHeight="1">
      <c r="A702" t="inlineStr">
        <is>
          <t>A 59174-2023</t>
        </is>
      </c>
      <c r="B702" s="1" t="n">
        <v>45253.43202546296</v>
      </c>
      <c r="C702" s="1" t="n">
        <v>46104</v>
      </c>
      <c r="D702" t="inlineStr">
        <is>
          <t>DALARNAS LÄN</t>
        </is>
      </c>
      <c r="E702" t="inlineStr">
        <is>
          <t>MORA</t>
        </is>
      </c>
      <c r="G702" t="n">
        <v>2.5</v>
      </c>
      <c r="H702" t="n">
        <v>0</v>
      </c>
      <c r="I702" t="n">
        <v>0</v>
      </c>
      <c r="J702" t="n">
        <v>0</v>
      </c>
      <c r="K702" t="n">
        <v>0</v>
      </c>
      <c r="L702" t="n">
        <v>0</v>
      </c>
      <c r="M702" t="n">
        <v>0</v>
      </c>
      <c r="N702" t="n">
        <v>0</v>
      </c>
      <c r="O702" t="n">
        <v>0</v>
      </c>
      <c r="P702" t="n">
        <v>0</v>
      </c>
      <c r="Q702" t="n">
        <v>0</v>
      </c>
      <c r="R702" s="2" t="inlineStr"/>
    </row>
    <row r="703" ht="15" customHeight="1">
      <c r="A703" t="inlineStr">
        <is>
          <t>A 55331-2022</t>
        </is>
      </c>
      <c r="B703" s="1" t="n">
        <v>44887.43714120371</v>
      </c>
      <c r="C703" s="1" t="n">
        <v>46104</v>
      </c>
      <c r="D703" t="inlineStr">
        <is>
          <t>DALARNAS LÄN</t>
        </is>
      </c>
      <c r="E703" t="inlineStr">
        <is>
          <t>MORA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42085-2024</t>
        </is>
      </c>
      <c r="B704" s="1" t="n">
        <v>45562.33179398148</v>
      </c>
      <c r="C704" s="1" t="n">
        <v>46104</v>
      </c>
      <c r="D704" t="inlineStr">
        <is>
          <t>DALARNAS LÄN</t>
        </is>
      </c>
      <c r="E704" t="inlineStr">
        <is>
          <t>MORA</t>
        </is>
      </c>
      <c r="G704" t="n">
        <v>4.9</v>
      </c>
      <c r="H704" t="n">
        <v>0</v>
      </c>
      <c r="I704" t="n">
        <v>0</v>
      </c>
      <c r="J704" t="n">
        <v>0</v>
      </c>
      <c r="K704" t="n">
        <v>0</v>
      </c>
      <c r="L704" t="n">
        <v>0</v>
      </c>
      <c r="M704" t="n">
        <v>0</v>
      </c>
      <c r="N704" t="n">
        <v>0</v>
      </c>
      <c r="O704" t="n">
        <v>0</v>
      </c>
      <c r="P704" t="n">
        <v>0</v>
      </c>
      <c r="Q704" t="n">
        <v>0</v>
      </c>
      <c r="R704" s="2" t="inlineStr"/>
    </row>
    <row r="705" ht="15" customHeight="1">
      <c r="A705" t="inlineStr">
        <is>
          <t>A 60187-2024</t>
        </is>
      </c>
      <c r="B705" s="1" t="n">
        <v>45642.64803240741</v>
      </c>
      <c r="C705" s="1" t="n">
        <v>46104</v>
      </c>
      <c r="D705" t="inlineStr">
        <is>
          <t>DALARNAS LÄN</t>
        </is>
      </c>
      <c r="E705" t="inlineStr">
        <is>
          <t>MORA</t>
        </is>
      </c>
      <c r="F705" t="inlineStr">
        <is>
          <t>Allmännings- och besparingsskogar</t>
        </is>
      </c>
      <c r="G705" t="n">
        <v>24.6</v>
      </c>
      <c r="H705" t="n">
        <v>0</v>
      </c>
      <c r="I705" t="n">
        <v>0</v>
      </c>
      <c r="J705" t="n">
        <v>0</v>
      </c>
      <c r="K705" t="n">
        <v>0</v>
      </c>
      <c r="L705" t="n">
        <v>0</v>
      </c>
      <c r="M705" t="n">
        <v>0</v>
      </c>
      <c r="N705" t="n">
        <v>0</v>
      </c>
      <c r="O705" t="n">
        <v>0</v>
      </c>
      <c r="P705" t="n">
        <v>0</v>
      </c>
      <c r="Q705" t="n">
        <v>0</v>
      </c>
      <c r="R705" s="2" t="inlineStr"/>
    </row>
    <row r="706" ht="15" customHeight="1">
      <c r="A706" t="inlineStr">
        <is>
          <t>A 61222-2023</t>
        </is>
      </c>
      <c r="B706" s="1" t="n">
        <v>45264</v>
      </c>
      <c r="C706" s="1" t="n">
        <v>46104</v>
      </c>
      <c r="D706" t="inlineStr">
        <is>
          <t>DALARNAS LÄN</t>
        </is>
      </c>
      <c r="E706" t="inlineStr">
        <is>
          <t>MORA</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row>
    <row r="707" ht="15" customHeight="1">
      <c r="A707" t="inlineStr">
        <is>
          <t>A 40949-2023</t>
        </is>
      </c>
      <c r="B707" s="1" t="n">
        <v>45173</v>
      </c>
      <c r="C707" s="1" t="n">
        <v>46104</v>
      </c>
      <c r="D707" t="inlineStr">
        <is>
          <t>DALARNAS LÄN</t>
        </is>
      </c>
      <c r="E707" t="inlineStr">
        <is>
          <t>MORA</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5216-2025</t>
        </is>
      </c>
      <c r="B708" s="1" t="n">
        <v>45691.69671296296</v>
      </c>
      <c r="C708" s="1" t="n">
        <v>46104</v>
      </c>
      <c r="D708" t="inlineStr">
        <is>
          <t>DALARNAS LÄN</t>
        </is>
      </c>
      <c r="E708" t="inlineStr">
        <is>
          <t>MORA</t>
        </is>
      </c>
      <c r="G708" t="n">
        <v>2.5</v>
      </c>
      <c r="H708" t="n">
        <v>0</v>
      </c>
      <c r="I708" t="n">
        <v>0</v>
      </c>
      <c r="J708" t="n">
        <v>0</v>
      </c>
      <c r="K708" t="n">
        <v>0</v>
      </c>
      <c r="L708" t="n">
        <v>0</v>
      </c>
      <c r="M708" t="n">
        <v>0</v>
      </c>
      <c r="N708" t="n">
        <v>0</v>
      </c>
      <c r="O708" t="n">
        <v>0</v>
      </c>
      <c r="P708" t="n">
        <v>0</v>
      </c>
      <c r="Q708" t="n">
        <v>0</v>
      </c>
      <c r="R708" s="2" t="inlineStr"/>
    </row>
    <row r="709" ht="15" customHeight="1">
      <c r="A709" t="inlineStr">
        <is>
          <t>A 45674-2024</t>
        </is>
      </c>
      <c r="B709" s="1" t="n">
        <v>45573</v>
      </c>
      <c r="C709" s="1" t="n">
        <v>46104</v>
      </c>
      <c r="D709" t="inlineStr">
        <is>
          <t>DALARNAS LÄN</t>
        </is>
      </c>
      <c r="E709" t="inlineStr">
        <is>
          <t>MORA</t>
        </is>
      </c>
      <c r="G709" t="n">
        <v>3.2</v>
      </c>
      <c r="H709" t="n">
        <v>0</v>
      </c>
      <c r="I709" t="n">
        <v>0</v>
      </c>
      <c r="J709" t="n">
        <v>0</v>
      </c>
      <c r="K709" t="n">
        <v>0</v>
      </c>
      <c r="L709" t="n">
        <v>0</v>
      </c>
      <c r="M709" t="n">
        <v>0</v>
      </c>
      <c r="N709" t="n">
        <v>0</v>
      </c>
      <c r="O709" t="n">
        <v>0</v>
      </c>
      <c r="P709" t="n">
        <v>0</v>
      </c>
      <c r="Q709" t="n">
        <v>0</v>
      </c>
      <c r="R709" s="2" t="inlineStr"/>
    </row>
    <row r="710" ht="15" customHeight="1">
      <c r="A710" t="inlineStr">
        <is>
          <t>A 18139-2025</t>
        </is>
      </c>
      <c r="B710" s="1" t="n">
        <v>45761.60459490741</v>
      </c>
      <c r="C710" s="1" t="n">
        <v>46104</v>
      </c>
      <c r="D710" t="inlineStr">
        <is>
          <t>DALARNAS LÄN</t>
        </is>
      </c>
      <c r="E710" t="inlineStr">
        <is>
          <t>MORA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57999-2023</t>
        </is>
      </c>
      <c r="B711" s="1" t="n">
        <v>45247</v>
      </c>
      <c r="C711" s="1" t="n">
        <v>46104</v>
      </c>
      <c r="D711" t="inlineStr">
        <is>
          <t>DALARNAS LÄN</t>
        </is>
      </c>
      <c r="E711" t="inlineStr">
        <is>
          <t>MORA</t>
        </is>
      </c>
      <c r="G711" t="n">
        <v>0.4</v>
      </c>
      <c r="H711" t="n">
        <v>0</v>
      </c>
      <c r="I711" t="n">
        <v>0</v>
      </c>
      <c r="J711" t="n">
        <v>0</v>
      </c>
      <c r="K711" t="n">
        <v>0</v>
      </c>
      <c r="L711" t="n">
        <v>0</v>
      </c>
      <c r="M711" t="n">
        <v>0</v>
      </c>
      <c r="N711" t="n">
        <v>0</v>
      </c>
      <c r="O711" t="n">
        <v>0</v>
      </c>
      <c r="P711" t="n">
        <v>0</v>
      </c>
      <c r="Q711" t="n">
        <v>0</v>
      </c>
      <c r="R711" s="2" t="inlineStr"/>
    </row>
    <row r="712" ht="15" customHeight="1">
      <c r="A712" t="inlineStr">
        <is>
          <t>A 24335-2022</t>
        </is>
      </c>
      <c r="B712" s="1" t="n">
        <v>44725</v>
      </c>
      <c r="C712" s="1" t="n">
        <v>46104</v>
      </c>
      <c r="D712" t="inlineStr">
        <is>
          <t>DALARNAS LÄN</t>
        </is>
      </c>
      <c r="E712" t="inlineStr">
        <is>
          <t>MORA</t>
        </is>
      </c>
      <c r="G712" t="n">
        <v>16</v>
      </c>
      <c r="H712" t="n">
        <v>0</v>
      </c>
      <c r="I712" t="n">
        <v>0</v>
      </c>
      <c r="J712" t="n">
        <v>0</v>
      </c>
      <c r="K712" t="n">
        <v>0</v>
      </c>
      <c r="L712" t="n">
        <v>0</v>
      </c>
      <c r="M712" t="n">
        <v>0</v>
      </c>
      <c r="N712" t="n">
        <v>0</v>
      </c>
      <c r="O712" t="n">
        <v>0</v>
      </c>
      <c r="P712" t="n">
        <v>0</v>
      </c>
      <c r="Q712" t="n">
        <v>0</v>
      </c>
      <c r="R712" s="2" t="inlineStr"/>
    </row>
    <row r="713" ht="15" customHeight="1">
      <c r="A713" t="inlineStr">
        <is>
          <t>A 55120-2024</t>
        </is>
      </c>
      <c r="B713" s="1" t="n">
        <v>45621.45765046297</v>
      </c>
      <c r="C713" s="1" t="n">
        <v>46104</v>
      </c>
      <c r="D713" t="inlineStr">
        <is>
          <t>DALARNAS LÄN</t>
        </is>
      </c>
      <c r="E713" t="inlineStr">
        <is>
          <t>MORA</t>
        </is>
      </c>
      <c r="G713" t="n">
        <v>1.9</v>
      </c>
      <c r="H713" t="n">
        <v>0</v>
      </c>
      <c r="I713" t="n">
        <v>0</v>
      </c>
      <c r="J713" t="n">
        <v>0</v>
      </c>
      <c r="K713" t="n">
        <v>0</v>
      </c>
      <c r="L713" t="n">
        <v>0</v>
      </c>
      <c r="M713" t="n">
        <v>0</v>
      </c>
      <c r="N713" t="n">
        <v>0</v>
      </c>
      <c r="O713" t="n">
        <v>0</v>
      </c>
      <c r="P713" t="n">
        <v>0</v>
      </c>
      <c r="Q713" t="n">
        <v>0</v>
      </c>
      <c r="R713" s="2" t="inlineStr"/>
    </row>
    <row r="714" ht="15" customHeight="1">
      <c r="A714" t="inlineStr">
        <is>
          <t>A 34660-2021</t>
        </is>
      </c>
      <c r="B714" s="1" t="n">
        <v>44382.57981481482</v>
      </c>
      <c r="C714" s="1" t="n">
        <v>46104</v>
      </c>
      <c r="D714" t="inlineStr">
        <is>
          <t>DALARNAS LÄN</t>
        </is>
      </c>
      <c r="E714" t="inlineStr">
        <is>
          <t>MORA</t>
        </is>
      </c>
      <c r="G714" t="n">
        <v>7.5</v>
      </c>
      <c r="H714" t="n">
        <v>0</v>
      </c>
      <c r="I714" t="n">
        <v>0</v>
      </c>
      <c r="J714" t="n">
        <v>0</v>
      </c>
      <c r="K714" t="n">
        <v>0</v>
      </c>
      <c r="L714" t="n">
        <v>0</v>
      </c>
      <c r="M714" t="n">
        <v>0</v>
      </c>
      <c r="N714" t="n">
        <v>0</v>
      </c>
      <c r="O714" t="n">
        <v>0</v>
      </c>
      <c r="P714" t="n">
        <v>0</v>
      </c>
      <c r="Q714" t="n">
        <v>0</v>
      </c>
      <c r="R714" s="2" t="inlineStr"/>
    </row>
    <row r="715" ht="15" customHeight="1">
      <c r="A715" t="inlineStr">
        <is>
          <t>A 42934-2024</t>
        </is>
      </c>
      <c r="B715" s="1" t="n">
        <v>45567.33655092592</v>
      </c>
      <c r="C715" s="1" t="n">
        <v>46104</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17516-2024</t>
        </is>
      </c>
      <c r="B716" s="1" t="n">
        <v>45415.58502314815</v>
      </c>
      <c r="C716" s="1" t="n">
        <v>46104</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49159-2023</t>
        </is>
      </c>
      <c r="B717" s="1" t="n">
        <v>45210</v>
      </c>
      <c r="C717" s="1" t="n">
        <v>46104</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29188-2023</t>
        </is>
      </c>
      <c r="B718" s="1" t="n">
        <v>45105.54270833333</v>
      </c>
      <c r="C718" s="1" t="n">
        <v>46104</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26314-2021</t>
        </is>
      </c>
      <c r="B719" s="1" t="n">
        <v>44347</v>
      </c>
      <c r="C719" s="1" t="n">
        <v>46104</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30985-2024</t>
        </is>
      </c>
      <c r="B720" s="1" t="n">
        <v>45499.51721064815</v>
      </c>
      <c r="C720" s="1" t="n">
        <v>46104</v>
      </c>
      <c r="D720" t="inlineStr">
        <is>
          <t>DALARNAS LÄN</t>
        </is>
      </c>
      <c r="E720" t="inlineStr">
        <is>
          <t>MORA</t>
        </is>
      </c>
      <c r="G720" t="n">
        <v>0.7</v>
      </c>
      <c r="H720" t="n">
        <v>0</v>
      </c>
      <c r="I720" t="n">
        <v>0</v>
      </c>
      <c r="J720" t="n">
        <v>0</v>
      </c>
      <c r="K720" t="n">
        <v>0</v>
      </c>
      <c r="L720" t="n">
        <v>0</v>
      </c>
      <c r="M720" t="n">
        <v>0</v>
      </c>
      <c r="N720" t="n">
        <v>0</v>
      </c>
      <c r="O720" t="n">
        <v>0</v>
      </c>
      <c r="P720" t="n">
        <v>0</v>
      </c>
      <c r="Q720" t="n">
        <v>0</v>
      </c>
      <c r="R720" s="2" t="inlineStr"/>
    </row>
    <row r="721" ht="15" customHeight="1">
      <c r="A721" t="inlineStr">
        <is>
          <t>A 18202-2024</t>
        </is>
      </c>
      <c r="B721" s="1" t="n">
        <v>45420.68172453704</v>
      </c>
      <c r="C721" s="1" t="n">
        <v>46104</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40286-2024</t>
        </is>
      </c>
      <c r="B722" s="1" t="n">
        <v>45554.6687037037</v>
      </c>
      <c r="C722" s="1" t="n">
        <v>46104</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41169-2023</t>
        </is>
      </c>
      <c r="B723" s="1" t="n">
        <v>45174.34662037037</v>
      </c>
      <c r="C723" s="1" t="n">
        <v>46104</v>
      </c>
      <c r="D723" t="inlineStr">
        <is>
          <t>DALARNAS LÄN</t>
        </is>
      </c>
      <c r="E723" t="inlineStr">
        <is>
          <t>MORA</t>
        </is>
      </c>
      <c r="G723" t="n">
        <v>3</v>
      </c>
      <c r="H723" t="n">
        <v>0</v>
      </c>
      <c r="I723" t="n">
        <v>0</v>
      </c>
      <c r="J723" t="n">
        <v>0</v>
      </c>
      <c r="K723" t="n">
        <v>0</v>
      </c>
      <c r="L723" t="n">
        <v>0</v>
      </c>
      <c r="M723" t="n">
        <v>0</v>
      </c>
      <c r="N723" t="n">
        <v>0</v>
      </c>
      <c r="O723" t="n">
        <v>0</v>
      </c>
      <c r="P723" t="n">
        <v>0</v>
      </c>
      <c r="Q723" t="n">
        <v>0</v>
      </c>
      <c r="R723" s="2" t="inlineStr"/>
    </row>
    <row r="724" ht="15" customHeight="1">
      <c r="A724" t="inlineStr">
        <is>
          <t>A 43826-2022</t>
        </is>
      </c>
      <c r="B724" s="1" t="n">
        <v>44838</v>
      </c>
      <c r="C724" s="1" t="n">
        <v>46104</v>
      </c>
      <c r="D724" t="inlineStr">
        <is>
          <t>DALARNAS LÄN</t>
        </is>
      </c>
      <c r="E724" t="inlineStr">
        <is>
          <t>MORA</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44106-2023</t>
        </is>
      </c>
      <c r="B725" s="1" t="n">
        <v>45188</v>
      </c>
      <c r="C725" s="1" t="n">
        <v>46104</v>
      </c>
      <c r="D725" t="inlineStr">
        <is>
          <t>DALARNAS LÄN</t>
        </is>
      </c>
      <c r="E725" t="inlineStr">
        <is>
          <t>MORA</t>
        </is>
      </c>
      <c r="G725" t="n">
        <v>10.1</v>
      </c>
      <c r="H725" t="n">
        <v>0</v>
      </c>
      <c r="I725" t="n">
        <v>0</v>
      </c>
      <c r="J725" t="n">
        <v>0</v>
      </c>
      <c r="K725" t="n">
        <v>0</v>
      </c>
      <c r="L725" t="n">
        <v>0</v>
      </c>
      <c r="M725" t="n">
        <v>0</v>
      </c>
      <c r="N725" t="n">
        <v>0</v>
      </c>
      <c r="O725" t="n">
        <v>0</v>
      </c>
      <c r="P725" t="n">
        <v>0</v>
      </c>
      <c r="Q725" t="n">
        <v>0</v>
      </c>
      <c r="R725" s="2" t="inlineStr"/>
    </row>
    <row r="726" ht="15" customHeight="1">
      <c r="A726" t="inlineStr">
        <is>
          <t>A 59002-2024</t>
        </is>
      </c>
      <c r="B726" s="1" t="n">
        <v>45636</v>
      </c>
      <c r="C726" s="1" t="n">
        <v>46104</v>
      </c>
      <c r="D726" t="inlineStr">
        <is>
          <t>DALARNAS LÄN</t>
        </is>
      </c>
      <c r="E726" t="inlineStr">
        <is>
          <t>MORA</t>
        </is>
      </c>
      <c r="F726" t="inlineStr">
        <is>
          <t>Bergvik skog väst AB</t>
        </is>
      </c>
      <c r="G726" t="n">
        <v>24.8</v>
      </c>
      <c r="H726" t="n">
        <v>0</v>
      </c>
      <c r="I726" t="n">
        <v>0</v>
      </c>
      <c r="J726" t="n">
        <v>0</v>
      </c>
      <c r="K726" t="n">
        <v>0</v>
      </c>
      <c r="L726" t="n">
        <v>0</v>
      </c>
      <c r="M726" t="n">
        <v>0</v>
      </c>
      <c r="N726" t="n">
        <v>0</v>
      </c>
      <c r="O726" t="n">
        <v>0</v>
      </c>
      <c r="P726" t="n">
        <v>0</v>
      </c>
      <c r="Q726" t="n">
        <v>0</v>
      </c>
      <c r="R726" s="2" t="inlineStr"/>
    </row>
    <row r="727" ht="15" customHeight="1">
      <c r="A727" t="inlineStr">
        <is>
          <t>A 5980-2025</t>
        </is>
      </c>
      <c r="B727" s="1" t="n">
        <v>45695.54651620371</v>
      </c>
      <c r="C727" s="1" t="n">
        <v>46104</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5527-2024</t>
        </is>
      </c>
      <c r="B728" s="1" t="n">
        <v>45334.38981481481</v>
      </c>
      <c r="C728" s="1" t="n">
        <v>46104</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39856-2024</t>
        </is>
      </c>
      <c r="B729" s="1" t="n">
        <v>45553.44084490741</v>
      </c>
      <c r="C729" s="1" t="n">
        <v>46104</v>
      </c>
      <c r="D729" t="inlineStr">
        <is>
          <t>DALARNAS LÄN</t>
        </is>
      </c>
      <c r="E729" t="inlineStr">
        <is>
          <t>MORA</t>
        </is>
      </c>
      <c r="G729" t="n">
        <v>4.8</v>
      </c>
      <c r="H729" t="n">
        <v>0</v>
      </c>
      <c r="I729" t="n">
        <v>0</v>
      </c>
      <c r="J729" t="n">
        <v>0</v>
      </c>
      <c r="K729" t="n">
        <v>0</v>
      </c>
      <c r="L729" t="n">
        <v>0</v>
      </c>
      <c r="M729" t="n">
        <v>0</v>
      </c>
      <c r="N729" t="n">
        <v>0</v>
      </c>
      <c r="O729" t="n">
        <v>0</v>
      </c>
      <c r="P729" t="n">
        <v>0</v>
      </c>
      <c r="Q729" t="n">
        <v>0</v>
      </c>
      <c r="R729" s="2" t="inlineStr"/>
    </row>
    <row r="730" ht="15" customHeight="1">
      <c r="A730" t="inlineStr">
        <is>
          <t>A 52288-2024</t>
        </is>
      </c>
      <c r="B730" s="1" t="n">
        <v>45608.69395833334</v>
      </c>
      <c r="C730" s="1" t="n">
        <v>46104</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43879-2022</t>
        </is>
      </c>
      <c r="B731" s="1" t="n">
        <v>44838.46721064814</v>
      </c>
      <c r="C731" s="1" t="n">
        <v>46104</v>
      </c>
      <c r="D731" t="inlineStr">
        <is>
          <t>DALARNAS LÄN</t>
        </is>
      </c>
      <c r="E731" t="inlineStr">
        <is>
          <t>MORA</t>
        </is>
      </c>
      <c r="G731" t="n">
        <v>3.4</v>
      </c>
      <c r="H731" t="n">
        <v>0</v>
      </c>
      <c r="I731" t="n">
        <v>0</v>
      </c>
      <c r="J731" t="n">
        <v>0</v>
      </c>
      <c r="K731" t="n">
        <v>0</v>
      </c>
      <c r="L731" t="n">
        <v>0</v>
      </c>
      <c r="M731" t="n">
        <v>0</v>
      </c>
      <c r="N731" t="n">
        <v>0</v>
      </c>
      <c r="O731" t="n">
        <v>0</v>
      </c>
      <c r="P731" t="n">
        <v>0</v>
      </c>
      <c r="Q731" t="n">
        <v>0</v>
      </c>
      <c r="R731" s="2" t="inlineStr"/>
    </row>
    <row r="732" ht="15" customHeight="1">
      <c r="A732" t="inlineStr">
        <is>
          <t>A 12920-2022</t>
        </is>
      </c>
      <c r="B732" s="1" t="n">
        <v>44642.65418981481</v>
      </c>
      <c r="C732" s="1" t="n">
        <v>46104</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17280-2025</t>
        </is>
      </c>
      <c r="B733" s="1" t="n">
        <v>45756</v>
      </c>
      <c r="C733" s="1" t="n">
        <v>46104</v>
      </c>
      <c r="D733" t="inlineStr">
        <is>
          <t>DALARNAS LÄN</t>
        </is>
      </c>
      <c r="E733" t="inlineStr">
        <is>
          <t>MORA</t>
        </is>
      </c>
      <c r="G733" t="n">
        <v>2.1</v>
      </c>
      <c r="H733" t="n">
        <v>0</v>
      </c>
      <c r="I733" t="n">
        <v>0</v>
      </c>
      <c r="J733" t="n">
        <v>0</v>
      </c>
      <c r="K733" t="n">
        <v>0</v>
      </c>
      <c r="L733" t="n">
        <v>0</v>
      </c>
      <c r="M733" t="n">
        <v>0</v>
      </c>
      <c r="N733" t="n">
        <v>0</v>
      </c>
      <c r="O733" t="n">
        <v>0</v>
      </c>
      <c r="P733" t="n">
        <v>0</v>
      </c>
      <c r="Q733" t="n">
        <v>0</v>
      </c>
      <c r="R733" s="2" t="inlineStr"/>
    </row>
    <row r="734" ht="15" customHeight="1">
      <c r="A734" t="inlineStr">
        <is>
          <t>A 34282-2024</t>
        </is>
      </c>
      <c r="B734" s="1" t="n">
        <v>45524.62600694445</v>
      </c>
      <c r="C734" s="1" t="n">
        <v>46104</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38055-2024</t>
        </is>
      </c>
      <c r="B735" s="1" t="n">
        <v>45544</v>
      </c>
      <c r="C735" s="1" t="n">
        <v>46104</v>
      </c>
      <c r="D735" t="inlineStr">
        <is>
          <t>DALARNAS LÄN</t>
        </is>
      </c>
      <c r="E735" t="inlineStr">
        <is>
          <t>MORA</t>
        </is>
      </c>
      <c r="G735" t="n">
        <v>0.7</v>
      </c>
      <c r="H735" t="n">
        <v>0</v>
      </c>
      <c r="I735" t="n">
        <v>0</v>
      </c>
      <c r="J735" t="n">
        <v>0</v>
      </c>
      <c r="K735" t="n">
        <v>0</v>
      </c>
      <c r="L735" t="n">
        <v>0</v>
      </c>
      <c r="M735" t="n">
        <v>0</v>
      </c>
      <c r="N735" t="n">
        <v>0</v>
      </c>
      <c r="O735" t="n">
        <v>0</v>
      </c>
      <c r="P735" t="n">
        <v>0</v>
      </c>
      <c r="Q735" t="n">
        <v>0</v>
      </c>
      <c r="R735" s="2" t="inlineStr"/>
    </row>
    <row r="736" ht="15" customHeight="1">
      <c r="A736" t="inlineStr">
        <is>
          <t>A 7116-2024</t>
        </is>
      </c>
      <c r="B736" s="1" t="n">
        <v>45343.95445601852</v>
      </c>
      <c r="C736" s="1" t="n">
        <v>46104</v>
      </c>
      <c r="D736" t="inlineStr">
        <is>
          <t>DALARNAS LÄN</t>
        </is>
      </c>
      <c r="E736" t="inlineStr">
        <is>
          <t>MORA</t>
        </is>
      </c>
      <c r="G736" t="n">
        <v>0.3</v>
      </c>
      <c r="H736" t="n">
        <v>0</v>
      </c>
      <c r="I736" t="n">
        <v>0</v>
      </c>
      <c r="J736" t="n">
        <v>0</v>
      </c>
      <c r="K736" t="n">
        <v>0</v>
      </c>
      <c r="L736" t="n">
        <v>0</v>
      </c>
      <c r="M736" t="n">
        <v>0</v>
      </c>
      <c r="N736" t="n">
        <v>0</v>
      </c>
      <c r="O736" t="n">
        <v>0</v>
      </c>
      <c r="P736" t="n">
        <v>0</v>
      </c>
      <c r="Q736" t="n">
        <v>0</v>
      </c>
      <c r="R736" s="2" t="inlineStr"/>
    </row>
    <row r="737" ht="15" customHeight="1">
      <c r="A737" t="inlineStr">
        <is>
          <t>A 22785-2023</t>
        </is>
      </c>
      <c r="B737" s="1" t="n">
        <v>45072.34796296297</v>
      </c>
      <c r="C737" s="1" t="n">
        <v>46104</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60718-2023</t>
        </is>
      </c>
      <c r="B738" s="1" t="n">
        <v>45260.5284375</v>
      </c>
      <c r="C738" s="1" t="n">
        <v>46104</v>
      </c>
      <c r="D738" t="inlineStr">
        <is>
          <t>DALARNAS LÄN</t>
        </is>
      </c>
      <c r="E738" t="inlineStr">
        <is>
          <t>MORA</t>
        </is>
      </c>
      <c r="G738" t="n">
        <v>2.6</v>
      </c>
      <c r="H738" t="n">
        <v>0</v>
      </c>
      <c r="I738" t="n">
        <v>0</v>
      </c>
      <c r="J738" t="n">
        <v>0</v>
      </c>
      <c r="K738" t="n">
        <v>0</v>
      </c>
      <c r="L738" t="n">
        <v>0</v>
      </c>
      <c r="M738" t="n">
        <v>0</v>
      </c>
      <c r="N738" t="n">
        <v>0</v>
      </c>
      <c r="O738" t="n">
        <v>0</v>
      </c>
      <c r="P738" t="n">
        <v>0</v>
      </c>
      <c r="Q738" t="n">
        <v>0</v>
      </c>
      <c r="R738" s="2" t="inlineStr"/>
    </row>
    <row r="739" ht="15" customHeight="1">
      <c r="A739" t="inlineStr">
        <is>
          <t>A 7972-2024</t>
        </is>
      </c>
      <c r="B739" s="1" t="n">
        <v>45350</v>
      </c>
      <c r="C739" s="1" t="n">
        <v>46104</v>
      </c>
      <c r="D739" t="inlineStr">
        <is>
          <t>DALARNAS LÄN</t>
        </is>
      </c>
      <c r="E739" t="inlineStr">
        <is>
          <t>MORA</t>
        </is>
      </c>
      <c r="G739" t="n">
        <v>2.4</v>
      </c>
      <c r="H739" t="n">
        <v>0</v>
      </c>
      <c r="I739" t="n">
        <v>0</v>
      </c>
      <c r="J739" t="n">
        <v>0</v>
      </c>
      <c r="K739" t="n">
        <v>0</v>
      </c>
      <c r="L739" t="n">
        <v>0</v>
      </c>
      <c r="M739" t="n">
        <v>0</v>
      </c>
      <c r="N739" t="n">
        <v>0</v>
      </c>
      <c r="O739" t="n">
        <v>0</v>
      </c>
      <c r="P739" t="n">
        <v>0</v>
      </c>
      <c r="Q739" t="n">
        <v>0</v>
      </c>
      <c r="R739" s="2" t="inlineStr"/>
    </row>
    <row r="740" ht="15" customHeight="1">
      <c r="A740" t="inlineStr">
        <is>
          <t>A 16637-2025</t>
        </is>
      </c>
      <c r="B740" s="1" t="n">
        <v>45754.36738425926</v>
      </c>
      <c r="C740" s="1" t="n">
        <v>46104</v>
      </c>
      <c r="D740" t="inlineStr">
        <is>
          <t>DALARNAS LÄN</t>
        </is>
      </c>
      <c r="E740" t="inlineStr">
        <is>
          <t>MORA</t>
        </is>
      </c>
      <c r="G740" t="n">
        <v>1.1</v>
      </c>
      <c r="H740" t="n">
        <v>0</v>
      </c>
      <c r="I740" t="n">
        <v>0</v>
      </c>
      <c r="J740" t="n">
        <v>0</v>
      </c>
      <c r="K740" t="n">
        <v>0</v>
      </c>
      <c r="L740" t="n">
        <v>0</v>
      </c>
      <c r="M740" t="n">
        <v>0</v>
      </c>
      <c r="N740" t="n">
        <v>0</v>
      </c>
      <c r="O740" t="n">
        <v>0</v>
      </c>
      <c r="P740" t="n">
        <v>0</v>
      </c>
      <c r="Q740" t="n">
        <v>0</v>
      </c>
      <c r="R740" s="2" t="inlineStr"/>
    </row>
    <row r="741" ht="15" customHeight="1">
      <c r="A741" t="inlineStr">
        <is>
          <t>A 49991-2023</t>
        </is>
      </c>
      <c r="B741" s="1" t="n">
        <v>45215.43879629629</v>
      </c>
      <c r="C741" s="1" t="n">
        <v>46104</v>
      </c>
      <c r="D741" t="inlineStr">
        <is>
          <t>DALARNAS LÄN</t>
        </is>
      </c>
      <c r="E741" t="inlineStr">
        <is>
          <t>MORA</t>
        </is>
      </c>
      <c r="G741" t="n">
        <v>1.8</v>
      </c>
      <c r="H741" t="n">
        <v>0</v>
      </c>
      <c r="I741" t="n">
        <v>0</v>
      </c>
      <c r="J741" t="n">
        <v>0</v>
      </c>
      <c r="K741" t="n">
        <v>0</v>
      </c>
      <c r="L741" t="n">
        <v>0</v>
      </c>
      <c r="M741" t="n">
        <v>0</v>
      </c>
      <c r="N741" t="n">
        <v>0</v>
      </c>
      <c r="O741" t="n">
        <v>0</v>
      </c>
      <c r="P741" t="n">
        <v>0</v>
      </c>
      <c r="Q741" t="n">
        <v>0</v>
      </c>
      <c r="R741" s="2" t="inlineStr"/>
    </row>
    <row r="742" ht="15" customHeight="1">
      <c r="A742" t="inlineStr">
        <is>
          <t>A 28131-2024</t>
        </is>
      </c>
      <c r="B742" s="1" t="n">
        <v>45476.68435185185</v>
      </c>
      <c r="C742" s="1" t="n">
        <v>46104</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28132-2024</t>
        </is>
      </c>
      <c r="B743" s="1" t="n">
        <v>45476.68616898148</v>
      </c>
      <c r="C743" s="1" t="n">
        <v>46104</v>
      </c>
      <c r="D743" t="inlineStr">
        <is>
          <t>DALARNAS LÄN</t>
        </is>
      </c>
      <c r="E743" t="inlineStr">
        <is>
          <t>MORA</t>
        </is>
      </c>
      <c r="G743" t="n">
        <v>0.2</v>
      </c>
      <c r="H743" t="n">
        <v>0</v>
      </c>
      <c r="I743" t="n">
        <v>0</v>
      </c>
      <c r="J743" t="n">
        <v>0</v>
      </c>
      <c r="K743" t="n">
        <v>0</v>
      </c>
      <c r="L743" t="n">
        <v>0</v>
      </c>
      <c r="M743" t="n">
        <v>0</v>
      </c>
      <c r="N743" t="n">
        <v>0</v>
      </c>
      <c r="O743" t="n">
        <v>0</v>
      </c>
      <c r="P743" t="n">
        <v>0</v>
      </c>
      <c r="Q743" t="n">
        <v>0</v>
      </c>
      <c r="R743" s="2" t="inlineStr"/>
    </row>
    <row r="744" ht="15" customHeight="1">
      <c r="A744" t="inlineStr">
        <is>
          <t>A 12987-2024</t>
        </is>
      </c>
      <c r="B744" s="1" t="n">
        <v>45385.55375</v>
      </c>
      <c r="C744" s="1" t="n">
        <v>46104</v>
      </c>
      <c r="D744" t="inlineStr">
        <is>
          <t>DALARNAS LÄN</t>
        </is>
      </c>
      <c r="E744" t="inlineStr">
        <is>
          <t>MORA</t>
        </is>
      </c>
      <c r="G744" t="n">
        <v>1.3</v>
      </c>
      <c r="H744" t="n">
        <v>0</v>
      </c>
      <c r="I744" t="n">
        <v>0</v>
      </c>
      <c r="J744" t="n">
        <v>0</v>
      </c>
      <c r="K744" t="n">
        <v>0</v>
      </c>
      <c r="L744" t="n">
        <v>0</v>
      </c>
      <c r="M744" t="n">
        <v>0</v>
      </c>
      <c r="N744" t="n">
        <v>0</v>
      </c>
      <c r="O744" t="n">
        <v>0</v>
      </c>
      <c r="P744" t="n">
        <v>0</v>
      </c>
      <c r="Q744" t="n">
        <v>0</v>
      </c>
      <c r="R744" s="2" t="inlineStr"/>
    </row>
    <row r="745" ht="15" customHeight="1">
      <c r="A745" t="inlineStr">
        <is>
          <t>A 48170-2024</t>
        </is>
      </c>
      <c r="B745" s="1" t="n">
        <v>45589.76975694444</v>
      </c>
      <c r="C745" s="1" t="n">
        <v>46104</v>
      </c>
      <c r="D745" t="inlineStr">
        <is>
          <t>DALARNAS LÄN</t>
        </is>
      </c>
      <c r="E745" t="inlineStr">
        <is>
          <t>MORA</t>
        </is>
      </c>
      <c r="G745" t="n">
        <v>2.4</v>
      </c>
      <c r="H745" t="n">
        <v>0</v>
      </c>
      <c r="I745" t="n">
        <v>0</v>
      </c>
      <c r="J745" t="n">
        <v>0</v>
      </c>
      <c r="K745" t="n">
        <v>0</v>
      </c>
      <c r="L745" t="n">
        <v>0</v>
      </c>
      <c r="M745" t="n">
        <v>0</v>
      </c>
      <c r="N745" t="n">
        <v>0</v>
      </c>
      <c r="O745" t="n">
        <v>0</v>
      </c>
      <c r="P745" t="n">
        <v>0</v>
      </c>
      <c r="Q745" t="n">
        <v>0</v>
      </c>
      <c r="R745" s="2" t="inlineStr"/>
    </row>
    <row r="746" ht="15" customHeight="1">
      <c r="A746" t="inlineStr">
        <is>
          <t>A 58892-2023</t>
        </is>
      </c>
      <c r="B746" s="1" t="n">
        <v>45252.48592592592</v>
      </c>
      <c r="C746" s="1" t="n">
        <v>46104</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27975-2023</t>
        </is>
      </c>
      <c r="B747" s="1" t="n">
        <v>45098</v>
      </c>
      <c r="C747" s="1" t="n">
        <v>46104</v>
      </c>
      <c r="D747" t="inlineStr">
        <is>
          <t>DALARNAS LÄN</t>
        </is>
      </c>
      <c r="E747" t="inlineStr">
        <is>
          <t>MORA</t>
        </is>
      </c>
      <c r="G747" t="n">
        <v>1.1</v>
      </c>
      <c r="H747" t="n">
        <v>0</v>
      </c>
      <c r="I747" t="n">
        <v>0</v>
      </c>
      <c r="J747" t="n">
        <v>0</v>
      </c>
      <c r="K747" t="n">
        <v>0</v>
      </c>
      <c r="L747" t="n">
        <v>0</v>
      </c>
      <c r="M747" t="n">
        <v>0</v>
      </c>
      <c r="N747" t="n">
        <v>0</v>
      </c>
      <c r="O747" t="n">
        <v>0</v>
      </c>
      <c r="P747" t="n">
        <v>0</v>
      </c>
      <c r="Q747" t="n">
        <v>0</v>
      </c>
      <c r="R747" s="2" t="inlineStr"/>
    </row>
    <row r="748" ht="15" customHeight="1">
      <c r="A748" t="inlineStr">
        <is>
          <t>A 55222-2023</t>
        </is>
      </c>
      <c r="B748" s="1" t="n">
        <v>45237.60775462963</v>
      </c>
      <c r="C748" s="1" t="n">
        <v>46104</v>
      </c>
      <c r="D748" t="inlineStr">
        <is>
          <t>DALARNAS LÄN</t>
        </is>
      </c>
      <c r="E748" t="inlineStr">
        <is>
          <t>MORA</t>
        </is>
      </c>
      <c r="F748" t="inlineStr">
        <is>
          <t>Allmännings- och besparingsskogar</t>
        </is>
      </c>
      <c r="G748" t="n">
        <v>19.8</v>
      </c>
      <c r="H748" t="n">
        <v>0</v>
      </c>
      <c r="I748" t="n">
        <v>0</v>
      </c>
      <c r="J748" t="n">
        <v>0</v>
      </c>
      <c r="K748" t="n">
        <v>0</v>
      </c>
      <c r="L748" t="n">
        <v>0</v>
      </c>
      <c r="M748" t="n">
        <v>0</v>
      </c>
      <c r="N748" t="n">
        <v>0</v>
      </c>
      <c r="O748" t="n">
        <v>0</v>
      </c>
      <c r="P748" t="n">
        <v>0</v>
      </c>
      <c r="Q748" t="n">
        <v>0</v>
      </c>
      <c r="R748" s="2" t="inlineStr"/>
    </row>
    <row r="749" ht="15" customHeight="1">
      <c r="A749" t="inlineStr">
        <is>
          <t>A 24772-2024</t>
        </is>
      </c>
      <c r="B749" s="1" t="n">
        <v>45460.70204861111</v>
      </c>
      <c r="C749" s="1" t="n">
        <v>46104</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5486-2023</t>
        </is>
      </c>
      <c r="B750" s="1" t="n">
        <v>44957</v>
      </c>
      <c r="C750" s="1" t="n">
        <v>46104</v>
      </c>
      <c r="D750" t="inlineStr">
        <is>
          <t>DALARNAS LÄN</t>
        </is>
      </c>
      <c r="E750" t="inlineStr">
        <is>
          <t>MORA</t>
        </is>
      </c>
      <c r="G750" t="n">
        <v>3.2</v>
      </c>
      <c r="H750" t="n">
        <v>0</v>
      </c>
      <c r="I750" t="n">
        <v>0</v>
      </c>
      <c r="J750" t="n">
        <v>0</v>
      </c>
      <c r="K750" t="n">
        <v>0</v>
      </c>
      <c r="L750" t="n">
        <v>0</v>
      </c>
      <c r="M750" t="n">
        <v>0</v>
      </c>
      <c r="N750" t="n">
        <v>0</v>
      </c>
      <c r="O750" t="n">
        <v>0</v>
      </c>
      <c r="P750" t="n">
        <v>0</v>
      </c>
      <c r="Q750" t="n">
        <v>0</v>
      </c>
      <c r="R750" s="2" t="inlineStr"/>
    </row>
    <row r="751" ht="15" customHeight="1">
      <c r="A751" t="inlineStr">
        <is>
          <t>A 42943-2024</t>
        </is>
      </c>
      <c r="B751" s="1" t="n">
        <v>45567.35359953704</v>
      </c>
      <c r="C751" s="1" t="n">
        <v>46104</v>
      </c>
      <c r="D751" t="inlineStr">
        <is>
          <t>DALARNAS LÄN</t>
        </is>
      </c>
      <c r="E751" t="inlineStr">
        <is>
          <t>MORA</t>
        </is>
      </c>
      <c r="G751" t="n">
        <v>0.5</v>
      </c>
      <c r="H751" t="n">
        <v>0</v>
      </c>
      <c r="I751" t="n">
        <v>0</v>
      </c>
      <c r="J751" t="n">
        <v>0</v>
      </c>
      <c r="K751" t="n">
        <v>0</v>
      </c>
      <c r="L751" t="n">
        <v>0</v>
      </c>
      <c r="M751" t="n">
        <v>0</v>
      </c>
      <c r="N751" t="n">
        <v>0</v>
      </c>
      <c r="O751" t="n">
        <v>0</v>
      </c>
      <c r="P751" t="n">
        <v>0</v>
      </c>
      <c r="Q751" t="n">
        <v>0</v>
      </c>
      <c r="R751" s="2" t="inlineStr"/>
    </row>
    <row r="752" ht="15" customHeight="1">
      <c r="A752" t="inlineStr">
        <is>
          <t>A 9855-2024</t>
        </is>
      </c>
      <c r="B752" s="1" t="n">
        <v>45363.40368055556</v>
      </c>
      <c r="C752" s="1" t="n">
        <v>46104</v>
      </c>
      <c r="D752" t="inlineStr">
        <is>
          <t>DALARNAS LÄN</t>
        </is>
      </c>
      <c r="E752" t="inlineStr">
        <is>
          <t>MORA</t>
        </is>
      </c>
      <c r="G752" t="n">
        <v>8.6</v>
      </c>
      <c r="H752" t="n">
        <v>0</v>
      </c>
      <c r="I752" t="n">
        <v>0</v>
      </c>
      <c r="J752" t="n">
        <v>0</v>
      </c>
      <c r="K752" t="n">
        <v>0</v>
      </c>
      <c r="L752" t="n">
        <v>0</v>
      </c>
      <c r="M752" t="n">
        <v>0</v>
      </c>
      <c r="N752" t="n">
        <v>0</v>
      </c>
      <c r="O752" t="n">
        <v>0</v>
      </c>
      <c r="P752" t="n">
        <v>0</v>
      </c>
      <c r="Q752" t="n">
        <v>0</v>
      </c>
      <c r="R752" s="2" t="inlineStr"/>
    </row>
    <row r="753" ht="15" customHeight="1">
      <c r="A753" t="inlineStr">
        <is>
          <t>A 21244-2024</t>
        </is>
      </c>
      <c r="B753" s="1" t="n">
        <v>45440.59936342593</v>
      </c>
      <c r="C753" s="1" t="n">
        <v>46104</v>
      </c>
      <c r="D753" t="inlineStr">
        <is>
          <t>DALARNAS LÄN</t>
        </is>
      </c>
      <c r="E753" t="inlineStr">
        <is>
          <t>MORA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28964-2024</t>
        </is>
      </c>
      <c r="B754" s="1" t="n">
        <v>45481.42923611111</v>
      </c>
      <c r="C754" s="1" t="n">
        <v>46104</v>
      </c>
      <c r="D754" t="inlineStr">
        <is>
          <t>DALARNAS LÄN</t>
        </is>
      </c>
      <c r="E754" t="inlineStr">
        <is>
          <t>MORA</t>
        </is>
      </c>
      <c r="G754" t="n">
        <v>1.3</v>
      </c>
      <c r="H754" t="n">
        <v>0</v>
      </c>
      <c r="I754" t="n">
        <v>0</v>
      </c>
      <c r="J754" t="n">
        <v>0</v>
      </c>
      <c r="K754" t="n">
        <v>0</v>
      </c>
      <c r="L754" t="n">
        <v>0</v>
      </c>
      <c r="M754" t="n">
        <v>0</v>
      </c>
      <c r="N754" t="n">
        <v>0</v>
      </c>
      <c r="O754" t="n">
        <v>0</v>
      </c>
      <c r="P754" t="n">
        <v>0</v>
      </c>
      <c r="Q754" t="n">
        <v>0</v>
      </c>
      <c r="R754" s="2" t="inlineStr"/>
    </row>
    <row r="755" ht="15" customHeight="1">
      <c r="A755" t="inlineStr">
        <is>
          <t>A 30194-2024</t>
        </is>
      </c>
      <c r="B755" s="1" t="n">
        <v>45490.33387731481</v>
      </c>
      <c r="C755" s="1" t="n">
        <v>46104</v>
      </c>
      <c r="D755" t="inlineStr">
        <is>
          <t>DALARNAS LÄN</t>
        </is>
      </c>
      <c r="E755" t="inlineStr">
        <is>
          <t>MORA</t>
        </is>
      </c>
      <c r="G755" t="n">
        <v>3.1</v>
      </c>
      <c r="H755" t="n">
        <v>0</v>
      </c>
      <c r="I755" t="n">
        <v>0</v>
      </c>
      <c r="J755" t="n">
        <v>0</v>
      </c>
      <c r="K755" t="n">
        <v>0</v>
      </c>
      <c r="L755" t="n">
        <v>0</v>
      </c>
      <c r="M755" t="n">
        <v>0</v>
      </c>
      <c r="N755" t="n">
        <v>0</v>
      </c>
      <c r="O755" t="n">
        <v>0</v>
      </c>
      <c r="P755" t="n">
        <v>0</v>
      </c>
      <c r="Q755" t="n">
        <v>0</v>
      </c>
      <c r="R755" s="2" t="inlineStr"/>
    </row>
    <row r="756" ht="15" customHeight="1">
      <c r="A756" t="inlineStr">
        <is>
          <t>A 58177-2024</t>
        </is>
      </c>
      <c r="B756" s="1" t="n">
        <v>45632.46821759259</v>
      </c>
      <c r="C756" s="1" t="n">
        <v>46104</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45390-2024</t>
        </is>
      </c>
      <c r="B757" s="1" t="n">
        <v>45576.54820601852</v>
      </c>
      <c r="C757" s="1" t="n">
        <v>46104</v>
      </c>
      <c r="D757" t="inlineStr">
        <is>
          <t>DALARNAS LÄN</t>
        </is>
      </c>
      <c r="E757" t="inlineStr">
        <is>
          <t>MORA</t>
        </is>
      </c>
      <c r="F757" t="inlineStr">
        <is>
          <t>Bergvik skog väst AB</t>
        </is>
      </c>
      <c r="G757" t="n">
        <v>5.6</v>
      </c>
      <c r="H757" t="n">
        <v>0</v>
      </c>
      <c r="I757" t="n">
        <v>0</v>
      </c>
      <c r="J757" t="n">
        <v>0</v>
      </c>
      <c r="K757" t="n">
        <v>0</v>
      </c>
      <c r="L757" t="n">
        <v>0</v>
      </c>
      <c r="M757" t="n">
        <v>0</v>
      </c>
      <c r="N757" t="n">
        <v>0</v>
      </c>
      <c r="O757" t="n">
        <v>0</v>
      </c>
      <c r="P757" t="n">
        <v>0</v>
      </c>
      <c r="Q757" t="n">
        <v>0</v>
      </c>
      <c r="R757" s="2" t="inlineStr"/>
    </row>
    <row r="758" ht="15" customHeight="1">
      <c r="A758" t="inlineStr">
        <is>
          <t>A 58089-2024</t>
        </is>
      </c>
      <c r="B758" s="1" t="n">
        <v>45632.34984953704</v>
      </c>
      <c r="C758" s="1" t="n">
        <v>46104</v>
      </c>
      <c r="D758" t="inlineStr">
        <is>
          <t>DALARNAS LÄN</t>
        </is>
      </c>
      <c r="E758" t="inlineStr">
        <is>
          <t>MORA</t>
        </is>
      </c>
      <c r="G758" t="n">
        <v>1.4</v>
      </c>
      <c r="H758" t="n">
        <v>0</v>
      </c>
      <c r="I758" t="n">
        <v>0</v>
      </c>
      <c r="J758" t="n">
        <v>0</v>
      </c>
      <c r="K758" t="n">
        <v>0</v>
      </c>
      <c r="L758" t="n">
        <v>0</v>
      </c>
      <c r="M758" t="n">
        <v>0</v>
      </c>
      <c r="N758" t="n">
        <v>0</v>
      </c>
      <c r="O758" t="n">
        <v>0</v>
      </c>
      <c r="P758" t="n">
        <v>0</v>
      </c>
      <c r="Q758" t="n">
        <v>0</v>
      </c>
      <c r="R758" s="2" t="inlineStr"/>
    </row>
    <row r="759" ht="15" customHeight="1">
      <c r="A759" t="inlineStr">
        <is>
          <t>A 4208-2023</t>
        </is>
      </c>
      <c r="B759" s="1" t="n">
        <v>44953</v>
      </c>
      <c r="C759" s="1" t="n">
        <v>46104</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4210-2023</t>
        </is>
      </c>
      <c r="B760" s="1" t="n">
        <v>44953.44965277778</v>
      </c>
      <c r="C760" s="1" t="n">
        <v>46104</v>
      </c>
      <c r="D760" t="inlineStr">
        <is>
          <t>DALARNAS LÄN</t>
        </is>
      </c>
      <c r="E760" t="inlineStr">
        <is>
          <t>MORA</t>
        </is>
      </c>
      <c r="G760" t="n">
        <v>0.9</v>
      </c>
      <c r="H760" t="n">
        <v>0</v>
      </c>
      <c r="I760" t="n">
        <v>0</v>
      </c>
      <c r="J760" t="n">
        <v>0</v>
      </c>
      <c r="K760" t="n">
        <v>0</v>
      </c>
      <c r="L760" t="n">
        <v>0</v>
      </c>
      <c r="M760" t="n">
        <v>0</v>
      </c>
      <c r="N760" t="n">
        <v>0</v>
      </c>
      <c r="O760" t="n">
        <v>0</v>
      </c>
      <c r="P760" t="n">
        <v>0</v>
      </c>
      <c r="Q760" t="n">
        <v>0</v>
      </c>
      <c r="R760" s="2" t="inlineStr"/>
    </row>
    <row r="761" ht="15" customHeight="1">
      <c r="A761" t="inlineStr">
        <is>
          <t>A 44769-2021</t>
        </is>
      </c>
      <c r="B761" s="1" t="n">
        <v>44438</v>
      </c>
      <c r="C761" s="1" t="n">
        <v>46104</v>
      </c>
      <c r="D761" t="inlineStr">
        <is>
          <t>DALARNAS LÄN</t>
        </is>
      </c>
      <c r="E761" t="inlineStr">
        <is>
          <t>MORA</t>
        </is>
      </c>
      <c r="G761" t="n">
        <v>0.9</v>
      </c>
      <c r="H761" t="n">
        <v>0</v>
      </c>
      <c r="I761" t="n">
        <v>0</v>
      </c>
      <c r="J761" t="n">
        <v>0</v>
      </c>
      <c r="K761" t="n">
        <v>0</v>
      </c>
      <c r="L761" t="n">
        <v>0</v>
      </c>
      <c r="M761" t="n">
        <v>0</v>
      </c>
      <c r="N761" t="n">
        <v>0</v>
      </c>
      <c r="O761" t="n">
        <v>0</v>
      </c>
      <c r="P761" t="n">
        <v>0</v>
      </c>
      <c r="Q761" t="n">
        <v>0</v>
      </c>
      <c r="R761" s="2" t="inlineStr"/>
    </row>
    <row r="762" ht="15" customHeight="1">
      <c r="A762" t="inlineStr">
        <is>
          <t>A 58036-2024</t>
        </is>
      </c>
      <c r="B762" s="1" t="n">
        <v>45631.71893518518</v>
      </c>
      <c r="C762" s="1" t="n">
        <v>46104</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3430-2023</t>
        </is>
      </c>
      <c r="B763" s="1" t="n">
        <v>44949.57856481482</v>
      </c>
      <c r="C763" s="1" t="n">
        <v>46104</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15172-2025</t>
        </is>
      </c>
      <c r="B764" s="1" t="n">
        <v>45744.50722222222</v>
      </c>
      <c r="C764" s="1" t="n">
        <v>46104</v>
      </c>
      <c r="D764" t="inlineStr">
        <is>
          <t>DALARNAS LÄN</t>
        </is>
      </c>
      <c r="E764" t="inlineStr">
        <is>
          <t>MORA</t>
        </is>
      </c>
      <c r="G764" t="n">
        <v>3.2</v>
      </c>
      <c r="H764" t="n">
        <v>0</v>
      </c>
      <c r="I764" t="n">
        <v>0</v>
      </c>
      <c r="J764" t="n">
        <v>0</v>
      </c>
      <c r="K764" t="n">
        <v>0</v>
      </c>
      <c r="L764" t="n">
        <v>0</v>
      </c>
      <c r="M764" t="n">
        <v>0</v>
      </c>
      <c r="N764" t="n">
        <v>0</v>
      </c>
      <c r="O764" t="n">
        <v>0</v>
      </c>
      <c r="P764" t="n">
        <v>0</v>
      </c>
      <c r="Q764" t="n">
        <v>0</v>
      </c>
      <c r="R764" s="2" t="inlineStr"/>
    </row>
    <row r="765" ht="15" customHeight="1">
      <c r="A765" t="inlineStr">
        <is>
          <t>A 39897-2022</t>
        </is>
      </c>
      <c r="B765" s="1" t="n">
        <v>44819.66083333334</v>
      </c>
      <c r="C765" s="1" t="n">
        <v>46104</v>
      </c>
      <c r="D765" t="inlineStr">
        <is>
          <t>DALARNAS LÄN</t>
        </is>
      </c>
      <c r="E765" t="inlineStr">
        <is>
          <t>MORA</t>
        </is>
      </c>
      <c r="G765" t="n">
        <v>15.8</v>
      </c>
      <c r="H765" t="n">
        <v>0</v>
      </c>
      <c r="I765" t="n">
        <v>0</v>
      </c>
      <c r="J765" t="n">
        <v>0</v>
      </c>
      <c r="K765" t="n">
        <v>0</v>
      </c>
      <c r="L765" t="n">
        <v>0</v>
      </c>
      <c r="M765" t="n">
        <v>0</v>
      </c>
      <c r="N765" t="n">
        <v>0</v>
      </c>
      <c r="O765" t="n">
        <v>0</v>
      </c>
      <c r="P765" t="n">
        <v>0</v>
      </c>
      <c r="Q765" t="n">
        <v>0</v>
      </c>
      <c r="R765" s="2" t="inlineStr"/>
    </row>
    <row r="766" ht="15" customHeight="1">
      <c r="A766" t="inlineStr">
        <is>
          <t>A 62853-2023</t>
        </is>
      </c>
      <c r="B766" s="1" t="n">
        <v>45272</v>
      </c>
      <c r="C766" s="1" t="n">
        <v>46104</v>
      </c>
      <c r="D766" t="inlineStr">
        <is>
          <t>DALARNAS LÄN</t>
        </is>
      </c>
      <c r="E766" t="inlineStr">
        <is>
          <t>MORA</t>
        </is>
      </c>
      <c r="G766" t="n">
        <v>13.6</v>
      </c>
      <c r="H766" t="n">
        <v>0</v>
      </c>
      <c r="I766" t="n">
        <v>0</v>
      </c>
      <c r="J766" t="n">
        <v>0</v>
      </c>
      <c r="K766" t="n">
        <v>0</v>
      </c>
      <c r="L766" t="n">
        <v>0</v>
      </c>
      <c r="M766" t="n">
        <v>0</v>
      </c>
      <c r="N766" t="n">
        <v>0</v>
      </c>
      <c r="O766" t="n">
        <v>0</v>
      </c>
      <c r="P766" t="n">
        <v>0</v>
      </c>
      <c r="Q766" t="n">
        <v>0</v>
      </c>
      <c r="R766" s="2" t="inlineStr"/>
    </row>
    <row r="767" ht="15" customHeight="1">
      <c r="A767" t="inlineStr">
        <is>
          <t>A 11919-2024</t>
        </is>
      </c>
      <c r="B767" s="1" t="n">
        <v>45376.61019675926</v>
      </c>
      <c r="C767" s="1" t="n">
        <v>46104</v>
      </c>
      <c r="D767" t="inlineStr">
        <is>
          <t>DALARNAS LÄN</t>
        </is>
      </c>
      <c r="E767" t="inlineStr">
        <is>
          <t>MORA</t>
        </is>
      </c>
      <c r="G767" t="n">
        <v>3.5</v>
      </c>
      <c r="H767" t="n">
        <v>0</v>
      </c>
      <c r="I767" t="n">
        <v>0</v>
      </c>
      <c r="J767" t="n">
        <v>0</v>
      </c>
      <c r="K767" t="n">
        <v>0</v>
      </c>
      <c r="L767" t="n">
        <v>0</v>
      </c>
      <c r="M767" t="n">
        <v>0</v>
      </c>
      <c r="N767" t="n">
        <v>0</v>
      </c>
      <c r="O767" t="n">
        <v>0</v>
      </c>
      <c r="P767" t="n">
        <v>0</v>
      </c>
      <c r="Q767" t="n">
        <v>0</v>
      </c>
      <c r="R767" s="2" t="inlineStr"/>
    </row>
    <row r="768" ht="15" customHeight="1">
      <c r="A768" t="inlineStr">
        <is>
          <t>A 1897-2023</t>
        </is>
      </c>
      <c r="B768" s="1" t="n">
        <v>44937</v>
      </c>
      <c r="C768" s="1" t="n">
        <v>46104</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37385-2022</t>
        </is>
      </c>
      <c r="B769" s="1" t="n">
        <v>44806</v>
      </c>
      <c r="C769" s="1" t="n">
        <v>46104</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42391-2023</t>
        </is>
      </c>
      <c r="B770" s="1" t="n">
        <v>45180</v>
      </c>
      <c r="C770" s="1" t="n">
        <v>46104</v>
      </c>
      <c r="D770" t="inlineStr">
        <is>
          <t>DALARNAS LÄN</t>
        </is>
      </c>
      <c r="E770" t="inlineStr">
        <is>
          <t>MORA</t>
        </is>
      </c>
      <c r="F770" t="inlineStr">
        <is>
          <t>Kommuner</t>
        </is>
      </c>
      <c r="G770" t="n">
        <v>0.3</v>
      </c>
      <c r="H770" t="n">
        <v>0</v>
      </c>
      <c r="I770" t="n">
        <v>0</v>
      </c>
      <c r="J770" t="n">
        <v>0</v>
      </c>
      <c r="K770" t="n">
        <v>0</v>
      </c>
      <c r="L770" t="n">
        <v>0</v>
      </c>
      <c r="M770" t="n">
        <v>0</v>
      </c>
      <c r="N770" t="n">
        <v>0</v>
      </c>
      <c r="O770" t="n">
        <v>0</v>
      </c>
      <c r="P770" t="n">
        <v>0</v>
      </c>
      <c r="Q770" t="n">
        <v>0</v>
      </c>
      <c r="R770" s="2" t="inlineStr"/>
    </row>
    <row r="771" ht="15" customHeight="1">
      <c r="A771" t="inlineStr">
        <is>
          <t>A 70141-2021</t>
        </is>
      </c>
      <c r="B771" s="1" t="n">
        <v>44533</v>
      </c>
      <c r="C771" s="1" t="n">
        <v>46104</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64093-2023</t>
        </is>
      </c>
      <c r="B772" s="1" t="n">
        <v>45279</v>
      </c>
      <c r="C772" s="1" t="n">
        <v>46104</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37471-2024</t>
        </is>
      </c>
      <c r="B773" s="1" t="n">
        <v>45540.85054398148</v>
      </c>
      <c r="C773" s="1" t="n">
        <v>46104</v>
      </c>
      <c r="D773" t="inlineStr">
        <is>
          <t>DALARNAS LÄN</t>
        </is>
      </c>
      <c r="E773" t="inlineStr">
        <is>
          <t>MORA</t>
        </is>
      </c>
      <c r="G773" t="n">
        <v>3.5</v>
      </c>
      <c r="H773" t="n">
        <v>0</v>
      </c>
      <c r="I773" t="n">
        <v>0</v>
      </c>
      <c r="J773" t="n">
        <v>0</v>
      </c>
      <c r="K773" t="n">
        <v>0</v>
      </c>
      <c r="L773" t="n">
        <v>0</v>
      </c>
      <c r="M773" t="n">
        <v>0</v>
      </c>
      <c r="N773" t="n">
        <v>0</v>
      </c>
      <c r="O773" t="n">
        <v>0</v>
      </c>
      <c r="P773" t="n">
        <v>0</v>
      </c>
      <c r="Q773" t="n">
        <v>0</v>
      </c>
      <c r="R773" s="2" t="inlineStr"/>
    </row>
    <row r="774" ht="15" customHeight="1">
      <c r="A774" t="inlineStr">
        <is>
          <t>A 14936-2025</t>
        </is>
      </c>
      <c r="B774" s="1" t="n">
        <v>45743.55756944444</v>
      </c>
      <c r="C774" s="1" t="n">
        <v>46104</v>
      </c>
      <c r="D774" t="inlineStr">
        <is>
          <t>DALARNAS LÄN</t>
        </is>
      </c>
      <c r="E774" t="inlineStr">
        <is>
          <t>MORA</t>
        </is>
      </c>
      <c r="G774" t="n">
        <v>2.4</v>
      </c>
      <c r="H774" t="n">
        <v>0</v>
      </c>
      <c r="I774" t="n">
        <v>0</v>
      </c>
      <c r="J774" t="n">
        <v>0</v>
      </c>
      <c r="K774" t="n">
        <v>0</v>
      </c>
      <c r="L774" t="n">
        <v>0</v>
      </c>
      <c r="M774" t="n">
        <v>0</v>
      </c>
      <c r="N774" t="n">
        <v>0</v>
      </c>
      <c r="O774" t="n">
        <v>0</v>
      </c>
      <c r="P774" t="n">
        <v>0</v>
      </c>
      <c r="Q774" t="n">
        <v>0</v>
      </c>
      <c r="R774" s="2" t="inlineStr"/>
    </row>
    <row r="775" ht="15" customHeight="1">
      <c r="A775" t="inlineStr">
        <is>
          <t>A 53344-2023</t>
        </is>
      </c>
      <c r="B775" s="1" t="n">
        <v>45229</v>
      </c>
      <c r="C775" s="1" t="n">
        <v>46104</v>
      </c>
      <c r="D775" t="inlineStr">
        <is>
          <t>DALARNAS LÄN</t>
        </is>
      </c>
      <c r="E775" t="inlineStr">
        <is>
          <t>MORA</t>
        </is>
      </c>
      <c r="G775" t="n">
        <v>2.4</v>
      </c>
      <c r="H775" t="n">
        <v>0</v>
      </c>
      <c r="I775" t="n">
        <v>0</v>
      </c>
      <c r="J775" t="n">
        <v>0</v>
      </c>
      <c r="K775" t="n">
        <v>0</v>
      </c>
      <c r="L775" t="n">
        <v>0</v>
      </c>
      <c r="M775" t="n">
        <v>0</v>
      </c>
      <c r="N775" t="n">
        <v>0</v>
      </c>
      <c r="O775" t="n">
        <v>0</v>
      </c>
      <c r="P775" t="n">
        <v>0</v>
      </c>
      <c r="Q775" t="n">
        <v>0</v>
      </c>
      <c r="R775" s="2" t="inlineStr"/>
    </row>
    <row r="776" ht="15" customHeight="1">
      <c r="A776" t="inlineStr">
        <is>
          <t>A 53754-2024</t>
        </is>
      </c>
      <c r="B776" s="1" t="n">
        <v>45615.49371527778</v>
      </c>
      <c r="C776" s="1" t="n">
        <v>46104</v>
      </c>
      <c r="D776" t="inlineStr">
        <is>
          <t>DALARNAS LÄN</t>
        </is>
      </c>
      <c r="E776" t="inlineStr">
        <is>
          <t>MORA</t>
        </is>
      </c>
      <c r="G776" t="n">
        <v>4.8</v>
      </c>
      <c r="H776" t="n">
        <v>0</v>
      </c>
      <c r="I776" t="n">
        <v>0</v>
      </c>
      <c r="J776" t="n">
        <v>0</v>
      </c>
      <c r="K776" t="n">
        <v>0</v>
      </c>
      <c r="L776" t="n">
        <v>0</v>
      </c>
      <c r="M776" t="n">
        <v>0</v>
      </c>
      <c r="N776" t="n">
        <v>0</v>
      </c>
      <c r="O776" t="n">
        <v>0</v>
      </c>
      <c r="P776" t="n">
        <v>0</v>
      </c>
      <c r="Q776" t="n">
        <v>0</v>
      </c>
      <c r="R776" s="2" t="inlineStr"/>
    </row>
    <row r="777" ht="15" customHeight="1">
      <c r="A777" t="inlineStr">
        <is>
          <t>A 14040-2023</t>
        </is>
      </c>
      <c r="B777" s="1" t="n">
        <v>45008.64575231481</v>
      </c>
      <c r="C777" s="1" t="n">
        <v>46104</v>
      </c>
      <c r="D777" t="inlineStr">
        <is>
          <t>DALARNAS LÄN</t>
        </is>
      </c>
      <c r="E777" t="inlineStr">
        <is>
          <t>MORA</t>
        </is>
      </c>
      <c r="G777" t="n">
        <v>1.3</v>
      </c>
      <c r="H777" t="n">
        <v>0</v>
      </c>
      <c r="I777" t="n">
        <v>0</v>
      </c>
      <c r="J777" t="n">
        <v>0</v>
      </c>
      <c r="K777" t="n">
        <v>0</v>
      </c>
      <c r="L777" t="n">
        <v>0</v>
      </c>
      <c r="M777" t="n">
        <v>0</v>
      </c>
      <c r="N777" t="n">
        <v>0</v>
      </c>
      <c r="O777" t="n">
        <v>0</v>
      </c>
      <c r="P777" t="n">
        <v>0</v>
      </c>
      <c r="Q777" t="n">
        <v>0</v>
      </c>
      <c r="R777" s="2" t="inlineStr"/>
    </row>
    <row r="778" ht="15" customHeight="1">
      <c r="A778" t="inlineStr">
        <is>
          <t>A 56770-2024</t>
        </is>
      </c>
      <c r="B778" s="1" t="n">
        <v>45628.41587962963</v>
      </c>
      <c r="C778" s="1" t="n">
        <v>46104</v>
      </c>
      <c r="D778" t="inlineStr">
        <is>
          <t>DALARNAS LÄN</t>
        </is>
      </c>
      <c r="E778" t="inlineStr">
        <is>
          <t>MORA</t>
        </is>
      </c>
      <c r="G778" t="n">
        <v>1.1</v>
      </c>
      <c r="H778" t="n">
        <v>0</v>
      </c>
      <c r="I778" t="n">
        <v>0</v>
      </c>
      <c r="J778" t="n">
        <v>0</v>
      </c>
      <c r="K778" t="n">
        <v>0</v>
      </c>
      <c r="L778" t="n">
        <v>0</v>
      </c>
      <c r="M778" t="n">
        <v>0</v>
      </c>
      <c r="N778" t="n">
        <v>0</v>
      </c>
      <c r="O778" t="n">
        <v>0</v>
      </c>
      <c r="P778" t="n">
        <v>0</v>
      </c>
      <c r="Q778" t="n">
        <v>0</v>
      </c>
      <c r="R778" s="2" t="inlineStr"/>
    </row>
    <row r="779" ht="15" customHeight="1">
      <c r="A779" t="inlineStr">
        <is>
          <t>A 18120-2025</t>
        </is>
      </c>
      <c r="B779" s="1" t="n">
        <v>45761</v>
      </c>
      <c r="C779" s="1" t="n">
        <v>46104</v>
      </c>
      <c r="D779" t="inlineStr">
        <is>
          <t>DALARNAS LÄN</t>
        </is>
      </c>
      <c r="E779" t="inlineStr">
        <is>
          <t>MORA</t>
        </is>
      </c>
      <c r="F779" t="inlineStr">
        <is>
          <t>Bergvik skog väst AB</t>
        </is>
      </c>
      <c r="G779" t="n">
        <v>6.4</v>
      </c>
      <c r="H779" t="n">
        <v>0</v>
      </c>
      <c r="I779" t="n">
        <v>0</v>
      </c>
      <c r="J779" t="n">
        <v>0</v>
      </c>
      <c r="K779" t="n">
        <v>0</v>
      </c>
      <c r="L779" t="n">
        <v>0</v>
      </c>
      <c r="M779" t="n">
        <v>0</v>
      </c>
      <c r="N779" t="n">
        <v>0</v>
      </c>
      <c r="O779" t="n">
        <v>0</v>
      </c>
      <c r="P779" t="n">
        <v>0</v>
      </c>
      <c r="Q779" t="n">
        <v>0</v>
      </c>
      <c r="R779" s="2" t="inlineStr"/>
    </row>
    <row r="780" ht="15" customHeight="1">
      <c r="A780" t="inlineStr">
        <is>
          <t>A 18127-2025</t>
        </is>
      </c>
      <c r="B780" s="1" t="n">
        <v>45761.59523148148</v>
      </c>
      <c r="C780" s="1" t="n">
        <v>46104</v>
      </c>
      <c r="D780" t="inlineStr">
        <is>
          <t>DALARNAS LÄN</t>
        </is>
      </c>
      <c r="E780" t="inlineStr">
        <is>
          <t>MORA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4489-2022</t>
        </is>
      </c>
      <c r="B781" s="1" t="n">
        <v>44589</v>
      </c>
      <c r="C781" s="1" t="n">
        <v>46104</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45574-2023</t>
        </is>
      </c>
      <c r="B782" s="1" t="n">
        <v>45194</v>
      </c>
      <c r="C782" s="1" t="n">
        <v>46104</v>
      </c>
      <c r="D782" t="inlineStr">
        <is>
          <t>DALARNAS LÄN</t>
        </is>
      </c>
      <c r="E782" t="inlineStr">
        <is>
          <t>MORA</t>
        </is>
      </c>
      <c r="G782" t="n">
        <v>6.3</v>
      </c>
      <c r="H782" t="n">
        <v>0</v>
      </c>
      <c r="I782" t="n">
        <v>0</v>
      </c>
      <c r="J782" t="n">
        <v>0</v>
      </c>
      <c r="K782" t="n">
        <v>0</v>
      </c>
      <c r="L782" t="n">
        <v>0</v>
      </c>
      <c r="M782" t="n">
        <v>0</v>
      </c>
      <c r="N782" t="n">
        <v>0</v>
      </c>
      <c r="O782" t="n">
        <v>0</v>
      </c>
      <c r="P782" t="n">
        <v>0</v>
      </c>
      <c r="Q782" t="n">
        <v>0</v>
      </c>
      <c r="R782" s="2" t="inlineStr"/>
    </row>
    <row r="783" ht="15" customHeight="1">
      <c r="A783" t="inlineStr">
        <is>
          <t>A 45315-2024</t>
        </is>
      </c>
      <c r="B783" s="1" t="n">
        <v>45576.43782407408</v>
      </c>
      <c r="C783" s="1" t="n">
        <v>46104</v>
      </c>
      <c r="D783" t="inlineStr">
        <is>
          <t>DALARNAS LÄN</t>
        </is>
      </c>
      <c r="E783" t="inlineStr">
        <is>
          <t>MORA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17172-2025</t>
        </is>
      </c>
      <c r="B784" s="1" t="n">
        <v>45756.37201388889</v>
      </c>
      <c r="C784" s="1" t="n">
        <v>46104</v>
      </c>
      <c r="D784" t="inlineStr">
        <is>
          <t>DALARNAS LÄN</t>
        </is>
      </c>
      <c r="E784" t="inlineStr">
        <is>
          <t>MORA</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39009-2023</t>
        </is>
      </c>
      <c r="B785" s="1" t="n">
        <v>45162</v>
      </c>
      <c r="C785" s="1" t="n">
        <v>46104</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56532-2024</t>
        </is>
      </c>
      <c r="B786" s="1" t="n">
        <v>45625.55440972222</v>
      </c>
      <c r="C786" s="1" t="n">
        <v>46104</v>
      </c>
      <c r="D786" t="inlineStr">
        <is>
          <t>DALARNAS LÄN</t>
        </is>
      </c>
      <c r="E786" t="inlineStr">
        <is>
          <t>MORA</t>
        </is>
      </c>
      <c r="G786" t="n">
        <v>6.9</v>
      </c>
      <c r="H786" t="n">
        <v>0</v>
      </c>
      <c r="I786" t="n">
        <v>0</v>
      </c>
      <c r="J786" t="n">
        <v>0</v>
      </c>
      <c r="K786" t="n">
        <v>0</v>
      </c>
      <c r="L786" t="n">
        <v>0</v>
      </c>
      <c r="M786" t="n">
        <v>0</v>
      </c>
      <c r="N786" t="n">
        <v>0</v>
      </c>
      <c r="O786" t="n">
        <v>0</v>
      </c>
      <c r="P786" t="n">
        <v>0</v>
      </c>
      <c r="Q786" t="n">
        <v>0</v>
      </c>
      <c r="R786" s="2" t="inlineStr"/>
    </row>
    <row r="787" ht="15" customHeight="1">
      <c r="A787" t="inlineStr">
        <is>
          <t>A 5001-2025</t>
        </is>
      </c>
      <c r="B787" s="1" t="n">
        <v>45691.36403935185</v>
      </c>
      <c r="C787" s="1" t="n">
        <v>46104</v>
      </c>
      <c r="D787" t="inlineStr">
        <is>
          <t>DALARNAS LÄN</t>
        </is>
      </c>
      <c r="E787" t="inlineStr">
        <is>
          <t>MORA</t>
        </is>
      </c>
      <c r="G787" t="n">
        <v>1.3</v>
      </c>
      <c r="H787" t="n">
        <v>0</v>
      </c>
      <c r="I787" t="n">
        <v>0</v>
      </c>
      <c r="J787" t="n">
        <v>0</v>
      </c>
      <c r="K787" t="n">
        <v>0</v>
      </c>
      <c r="L787" t="n">
        <v>0</v>
      </c>
      <c r="M787" t="n">
        <v>0</v>
      </c>
      <c r="N787" t="n">
        <v>0</v>
      </c>
      <c r="O787" t="n">
        <v>0</v>
      </c>
      <c r="P787" t="n">
        <v>0</v>
      </c>
      <c r="Q787" t="n">
        <v>0</v>
      </c>
      <c r="R787" s="2" t="inlineStr"/>
    </row>
    <row r="788" ht="15" customHeight="1">
      <c r="A788" t="inlineStr">
        <is>
          <t>A 60360-2023</t>
        </is>
      </c>
      <c r="B788" s="1" t="n">
        <v>45259</v>
      </c>
      <c r="C788" s="1" t="n">
        <v>46104</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17164-2025</t>
        </is>
      </c>
      <c r="B789" s="1" t="n">
        <v>45756.36403935185</v>
      </c>
      <c r="C789" s="1" t="n">
        <v>46104</v>
      </c>
      <c r="D789" t="inlineStr">
        <is>
          <t>DALARNAS LÄN</t>
        </is>
      </c>
      <c r="E789" t="inlineStr">
        <is>
          <t>MORA</t>
        </is>
      </c>
      <c r="F789" t="inlineStr">
        <is>
          <t>Bergvik skog öst AB</t>
        </is>
      </c>
      <c r="G789" t="n">
        <v>0.3</v>
      </c>
      <c r="H789" t="n">
        <v>0</v>
      </c>
      <c r="I789" t="n">
        <v>0</v>
      </c>
      <c r="J789" t="n">
        <v>0</v>
      </c>
      <c r="K789" t="n">
        <v>0</v>
      </c>
      <c r="L789" t="n">
        <v>0</v>
      </c>
      <c r="M789" t="n">
        <v>0</v>
      </c>
      <c r="N789" t="n">
        <v>0</v>
      </c>
      <c r="O789" t="n">
        <v>0</v>
      </c>
      <c r="P789" t="n">
        <v>0</v>
      </c>
      <c r="Q789" t="n">
        <v>0</v>
      </c>
      <c r="R789" s="2" t="inlineStr"/>
    </row>
    <row r="790" ht="15" customHeight="1">
      <c r="A790" t="inlineStr">
        <is>
          <t>A 24768-2024</t>
        </is>
      </c>
      <c r="B790" s="1" t="n">
        <v>45460.69545138889</v>
      </c>
      <c r="C790" s="1" t="n">
        <v>46104</v>
      </c>
      <c r="D790" t="inlineStr">
        <is>
          <t>DALARNAS LÄN</t>
        </is>
      </c>
      <c r="E790" t="inlineStr">
        <is>
          <t>MORA</t>
        </is>
      </c>
      <c r="G790" t="n">
        <v>2.4</v>
      </c>
      <c r="H790" t="n">
        <v>0</v>
      </c>
      <c r="I790" t="n">
        <v>0</v>
      </c>
      <c r="J790" t="n">
        <v>0</v>
      </c>
      <c r="K790" t="n">
        <v>0</v>
      </c>
      <c r="L790" t="n">
        <v>0</v>
      </c>
      <c r="M790" t="n">
        <v>0</v>
      </c>
      <c r="N790" t="n">
        <v>0</v>
      </c>
      <c r="O790" t="n">
        <v>0</v>
      </c>
      <c r="P790" t="n">
        <v>0</v>
      </c>
      <c r="Q790" t="n">
        <v>0</v>
      </c>
      <c r="R790" s="2" t="inlineStr"/>
    </row>
    <row r="791" ht="15" customHeight="1">
      <c r="A791" t="inlineStr">
        <is>
          <t>A 17278-2025</t>
        </is>
      </c>
      <c r="B791" s="1" t="n">
        <v>45756.56131944444</v>
      </c>
      <c r="C791" s="1" t="n">
        <v>46104</v>
      </c>
      <c r="D791" t="inlineStr">
        <is>
          <t>DALARNAS LÄN</t>
        </is>
      </c>
      <c r="E791" t="inlineStr">
        <is>
          <t>MORA</t>
        </is>
      </c>
      <c r="G791" t="n">
        <v>3</v>
      </c>
      <c r="H791" t="n">
        <v>0</v>
      </c>
      <c r="I791" t="n">
        <v>0</v>
      </c>
      <c r="J791" t="n">
        <v>0</v>
      </c>
      <c r="K791" t="n">
        <v>0</v>
      </c>
      <c r="L791" t="n">
        <v>0</v>
      </c>
      <c r="M791" t="n">
        <v>0</v>
      </c>
      <c r="N791" t="n">
        <v>0</v>
      </c>
      <c r="O791" t="n">
        <v>0</v>
      </c>
      <c r="P791" t="n">
        <v>0</v>
      </c>
      <c r="Q791" t="n">
        <v>0</v>
      </c>
      <c r="R791" s="2" t="inlineStr"/>
    </row>
    <row r="792" ht="15" customHeight="1">
      <c r="A792" t="inlineStr">
        <is>
          <t>A 4209-2023</t>
        </is>
      </c>
      <c r="B792" s="1" t="n">
        <v>44953</v>
      </c>
      <c r="C792" s="1" t="n">
        <v>46104</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44205-2023</t>
        </is>
      </c>
      <c r="B793" s="1" t="n">
        <v>45188</v>
      </c>
      <c r="C793" s="1" t="n">
        <v>46104</v>
      </c>
      <c r="D793" t="inlineStr">
        <is>
          <t>DALARNAS LÄN</t>
        </is>
      </c>
      <c r="E793" t="inlineStr">
        <is>
          <t>MORA</t>
        </is>
      </c>
      <c r="G793" t="n">
        <v>0.7</v>
      </c>
      <c r="H793" t="n">
        <v>0</v>
      </c>
      <c r="I793" t="n">
        <v>0</v>
      </c>
      <c r="J793" t="n">
        <v>0</v>
      </c>
      <c r="K793" t="n">
        <v>0</v>
      </c>
      <c r="L793" t="n">
        <v>0</v>
      </c>
      <c r="M793" t="n">
        <v>0</v>
      </c>
      <c r="N793" t="n">
        <v>0</v>
      </c>
      <c r="O793" t="n">
        <v>0</v>
      </c>
      <c r="P793" t="n">
        <v>0</v>
      </c>
      <c r="Q793" t="n">
        <v>0</v>
      </c>
      <c r="R793" s="2" t="inlineStr"/>
    </row>
    <row r="794" ht="15" customHeight="1">
      <c r="A794" t="inlineStr">
        <is>
          <t>A 22732-2024</t>
        </is>
      </c>
      <c r="B794" s="1" t="n">
        <v>45448.38677083333</v>
      </c>
      <c r="C794" s="1" t="n">
        <v>46104</v>
      </c>
      <c r="D794" t="inlineStr">
        <is>
          <t>DALARNAS LÄN</t>
        </is>
      </c>
      <c r="E794" t="inlineStr">
        <is>
          <t>MORA</t>
        </is>
      </c>
      <c r="G794" t="n">
        <v>3.6</v>
      </c>
      <c r="H794" t="n">
        <v>0</v>
      </c>
      <c r="I794" t="n">
        <v>0</v>
      </c>
      <c r="J794" t="n">
        <v>0</v>
      </c>
      <c r="K794" t="n">
        <v>0</v>
      </c>
      <c r="L794" t="n">
        <v>0</v>
      </c>
      <c r="M794" t="n">
        <v>0</v>
      </c>
      <c r="N794" t="n">
        <v>0</v>
      </c>
      <c r="O794" t="n">
        <v>0</v>
      </c>
      <c r="P794" t="n">
        <v>0</v>
      </c>
      <c r="Q794" t="n">
        <v>0</v>
      </c>
      <c r="R794" s="2" t="inlineStr"/>
    </row>
    <row r="795" ht="15" customHeight="1">
      <c r="A795" t="inlineStr">
        <is>
          <t>A 19756-2022</t>
        </is>
      </c>
      <c r="B795" s="1" t="n">
        <v>44694.62913194444</v>
      </c>
      <c r="C795" s="1" t="n">
        <v>46104</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46801-2022</t>
        </is>
      </c>
      <c r="B796" s="1" t="n">
        <v>44851</v>
      </c>
      <c r="C796" s="1" t="n">
        <v>46104</v>
      </c>
      <c r="D796" t="inlineStr">
        <is>
          <t>DALARNAS LÄN</t>
        </is>
      </c>
      <c r="E796" t="inlineStr">
        <is>
          <t>MORA</t>
        </is>
      </c>
      <c r="G796" t="n">
        <v>1.5</v>
      </c>
      <c r="H796" t="n">
        <v>0</v>
      </c>
      <c r="I796" t="n">
        <v>0</v>
      </c>
      <c r="J796" t="n">
        <v>0</v>
      </c>
      <c r="K796" t="n">
        <v>0</v>
      </c>
      <c r="L796" t="n">
        <v>0</v>
      </c>
      <c r="M796" t="n">
        <v>0</v>
      </c>
      <c r="N796" t="n">
        <v>0</v>
      </c>
      <c r="O796" t="n">
        <v>0</v>
      </c>
      <c r="P796" t="n">
        <v>0</v>
      </c>
      <c r="Q796" t="n">
        <v>0</v>
      </c>
      <c r="R796" s="2" t="inlineStr"/>
    </row>
    <row r="797" ht="15" customHeight="1">
      <c r="A797" t="inlineStr">
        <is>
          <t>A 5644-2024</t>
        </is>
      </c>
      <c r="B797" s="1" t="n">
        <v>45334</v>
      </c>
      <c r="C797" s="1" t="n">
        <v>46104</v>
      </c>
      <c r="D797" t="inlineStr">
        <is>
          <t>DALARNAS LÄN</t>
        </is>
      </c>
      <c r="E797" t="inlineStr">
        <is>
          <t>MORA</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33627-2024</t>
        </is>
      </c>
      <c r="B798" s="1" t="n">
        <v>45520</v>
      </c>
      <c r="C798" s="1" t="n">
        <v>46104</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46923-2024</t>
        </is>
      </c>
      <c r="B799" s="1" t="n">
        <v>45584.42887731481</v>
      </c>
      <c r="C799" s="1" t="n">
        <v>46104</v>
      </c>
      <c r="D799" t="inlineStr">
        <is>
          <t>DALARNAS LÄN</t>
        </is>
      </c>
      <c r="E799" t="inlineStr">
        <is>
          <t>MORA</t>
        </is>
      </c>
      <c r="G799" t="n">
        <v>3.4</v>
      </c>
      <c r="H799" t="n">
        <v>0</v>
      </c>
      <c r="I799" t="n">
        <v>0</v>
      </c>
      <c r="J799" t="n">
        <v>0</v>
      </c>
      <c r="K799" t="n">
        <v>0</v>
      </c>
      <c r="L799" t="n">
        <v>0</v>
      </c>
      <c r="M799" t="n">
        <v>0</v>
      </c>
      <c r="N799" t="n">
        <v>0</v>
      </c>
      <c r="O799" t="n">
        <v>0</v>
      </c>
      <c r="P799" t="n">
        <v>0</v>
      </c>
      <c r="Q799" t="n">
        <v>0</v>
      </c>
      <c r="R799" s="2" t="inlineStr"/>
    </row>
    <row r="800" ht="15" customHeight="1">
      <c r="A800" t="inlineStr">
        <is>
          <t>A 39888-2024</t>
        </is>
      </c>
      <c r="B800" s="1" t="n">
        <v>45553.47538194444</v>
      </c>
      <c r="C800" s="1" t="n">
        <v>46104</v>
      </c>
      <c r="D800" t="inlineStr">
        <is>
          <t>DALARNAS LÄN</t>
        </is>
      </c>
      <c r="E800" t="inlineStr">
        <is>
          <t>MORA</t>
        </is>
      </c>
      <c r="G800" t="n">
        <v>5.4</v>
      </c>
      <c r="H800" t="n">
        <v>0</v>
      </c>
      <c r="I800" t="n">
        <v>0</v>
      </c>
      <c r="J800" t="n">
        <v>0</v>
      </c>
      <c r="K800" t="n">
        <v>0</v>
      </c>
      <c r="L800" t="n">
        <v>0</v>
      </c>
      <c r="M800" t="n">
        <v>0</v>
      </c>
      <c r="N800" t="n">
        <v>0</v>
      </c>
      <c r="O800" t="n">
        <v>0</v>
      </c>
      <c r="P800" t="n">
        <v>0</v>
      </c>
      <c r="Q800" t="n">
        <v>0</v>
      </c>
      <c r="R800" s="2" t="inlineStr"/>
    </row>
    <row r="801" ht="15" customHeight="1">
      <c r="A801" t="inlineStr">
        <is>
          <t>A 33666-2024</t>
        </is>
      </c>
      <c r="B801" s="1" t="n">
        <v>45520.48304398148</v>
      </c>
      <c r="C801" s="1" t="n">
        <v>46104</v>
      </c>
      <c r="D801" t="inlineStr">
        <is>
          <t>DALARNAS LÄN</t>
        </is>
      </c>
      <c r="E801" t="inlineStr">
        <is>
          <t>MORA</t>
        </is>
      </c>
      <c r="G801" t="n">
        <v>0.7</v>
      </c>
      <c r="H801" t="n">
        <v>0</v>
      </c>
      <c r="I801" t="n">
        <v>0</v>
      </c>
      <c r="J801" t="n">
        <v>0</v>
      </c>
      <c r="K801" t="n">
        <v>0</v>
      </c>
      <c r="L801" t="n">
        <v>0</v>
      </c>
      <c r="M801" t="n">
        <v>0</v>
      </c>
      <c r="N801" t="n">
        <v>0</v>
      </c>
      <c r="O801" t="n">
        <v>0</v>
      </c>
      <c r="P801" t="n">
        <v>0</v>
      </c>
      <c r="Q801" t="n">
        <v>0</v>
      </c>
      <c r="R801" s="2" t="inlineStr"/>
    </row>
    <row r="802" ht="15" customHeight="1">
      <c r="A802" t="inlineStr">
        <is>
          <t>A 20989-2024</t>
        </is>
      </c>
      <c r="B802" s="1" t="n">
        <v>45439</v>
      </c>
      <c r="C802" s="1" t="n">
        <v>46104</v>
      </c>
      <c r="D802" t="inlineStr">
        <is>
          <t>DALARNAS LÄN</t>
        </is>
      </c>
      <c r="E802" t="inlineStr">
        <is>
          <t>MORA</t>
        </is>
      </c>
      <c r="F802" t="inlineStr">
        <is>
          <t>Bergvik skog öst AB</t>
        </is>
      </c>
      <c r="G802" t="n">
        <v>14.7</v>
      </c>
      <c r="H802" t="n">
        <v>0</v>
      </c>
      <c r="I802" t="n">
        <v>0</v>
      </c>
      <c r="J802" t="n">
        <v>0</v>
      </c>
      <c r="K802" t="n">
        <v>0</v>
      </c>
      <c r="L802" t="n">
        <v>0</v>
      </c>
      <c r="M802" t="n">
        <v>0</v>
      </c>
      <c r="N802" t="n">
        <v>0</v>
      </c>
      <c r="O802" t="n">
        <v>0</v>
      </c>
      <c r="P802" t="n">
        <v>0</v>
      </c>
      <c r="Q802" t="n">
        <v>0</v>
      </c>
      <c r="R802" s="2" t="inlineStr"/>
    </row>
    <row r="803" ht="15" customHeight="1">
      <c r="A803" t="inlineStr">
        <is>
          <t>A 41812-2024</t>
        </is>
      </c>
      <c r="B803" s="1" t="n">
        <v>45561.3771412037</v>
      </c>
      <c r="C803" s="1" t="n">
        <v>46104</v>
      </c>
      <c r="D803" t="inlineStr">
        <is>
          <t>DALARNAS LÄN</t>
        </is>
      </c>
      <c r="E803" t="inlineStr">
        <is>
          <t>MORA</t>
        </is>
      </c>
      <c r="G803" t="n">
        <v>2.2</v>
      </c>
      <c r="H803" t="n">
        <v>0</v>
      </c>
      <c r="I803" t="n">
        <v>0</v>
      </c>
      <c r="J803" t="n">
        <v>0</v>
      </c>
      <c r="K803" t="n">
        <v>0</v>
      </c>
      <c r="L803" t="n">
        <v>0</v>
      </c>
      <c r="M803" t="n">
        <v>0</v>
      </c>
      <c r="N803" t="n">
        <v>0</v>
      </c>
      <c r="O803" t="n">
        <v>0</v>
      </c>
      <c r="P803" t="n">
        <v>0</v>
      </c>
      <c r="Q803" t="n">
        <v>0</v>
      </c>
      <c r="R803" s="2" t="inlineStr"/>
    </row>
    <row r="804" ht="15" customHeight="1">
      <c r="A804" t="inlineStr">
        <is>
          <t>A 51888-2024</t>
        </is>
      </c>
      <c r="B804" s="1" t="n">
        <v>45607.57142361111</v>
      </c>
      <c r="C804" s="1" t="n">
        <v>46104</v>
      </c>
      <c r="D804" t="inlineStr">
        <is>
          <t>DALARNAS LÄN</t>
        </is>
      </c>
      <c r="E804" t="inlineStr">
        <is>
          <t>MORA</t>
        </is>
      </c>
      <c r="G804" t="n">
        <v>0.9</v>
      </c>
      <c r="H804" t="n">
        <v>0</v>
      </c>
      <c r="I804" t="n">
        <v>0</v>
      </c>
      <c r="J804" t="n">
        <v>0</v>
      </c>
      <c r="K804" t="n">
        <v>0</v>
      </c>
      <c r="L804" t="n">
        <v>0</v>
      </c>
      <c r="M804" t="n">
        <v>0</v>
      </c>
      <c r="N804" t="n">
        <v>0</v>
      </c>
      <c r="O804" t="n">
        <v>0</v>
      </c>
      <c r="P804" t="n">
        <v>0</v>
      </c>
      <c r="Q804" t="n">
        <v>0</v>
      </c>
      <c r="R804" s="2" t="inlineStr"/>
    </row>
    <row r="805" ht="15" customHeight="1">
      <c r="A805" t="inlineStr">
        <is>
          <t>A 32721-2024</t>
        </is>
      </c>
      <c r="B805" s="1" t="n">
        <v>45516.40261574074</v>
      </c>
      <c r="C805" s="1" t="n">
        <v>46104</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25749-2023</t>
        </is>
      </c>
      <c r="B806" s="1" t="n">
        <v>45090</v>
      </c>
      <c r="C806" s="1" t="n">
        <v>46104</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40325-2024</t>
        </is>
      </c>
      <c r="B807" s="1" t="n">
        <v>45554.88538194444</v>
      </c>
      <c r="C807" s="1" t="n">
        <v>46104</v>
      </c>
      <c r="D807" t="inlineStr">
        <is>
          <t>DALARNAS LÄN</t>
        </is>
      </c>
      <c r="E807" t="inlineStr">
        <is>
          <t>MORA</t>
        </is>
      </c>
      <c r="G807" t="n">
        <v>2.8</v>
      </c>
      <c r="H807" t="n">
        <v>0</v>
      </c>
      <c r="I807" t="n">
        <v>0</v>
      </c>
      <c r="J807" t="n">
        <v>0</v>
      </c>
      <c r="K807" t="n">
        <v>0</v>
      </c>
      <c r="L807" t="n">
        <v>0</v>
      </c>
      <c r="M807" t="n">
        <v>0</v>
      </c>
      <c r="N807" t="n">
        <v>0</v>
      </c>
      <c r="O807" t="n">
        <v>0</v>
      </c>
      <c r="P807" t="n">
        <v>0</v>
      </c>
      <c r="Q807" t="n">
        <v>0</v>
      </c>
      <c r="R807" s="2" t="inlineStr"/>
    </row>
    <row r="808" ht="15" customHeight="1">
      <c r="A808" t="inlineStr">
        <is>
          <t>A 43964-2024</t>
        </is>
      </c>
      <c r="B808" s="1" t="n">
        <v>45572.48407407408</v>
      </c>
      <c r="C808" s="1" t="n">
        <v>46104</v>
      </c>
      <c r="D808" t="inlineStr">
        <is>
          <t>DALARNAS LÄN</t>
        </is>
      </c>
      <c r="E808" t="inlineStr">
        <is>
          <t>MORA</t>
        </is>
      </c>
      <c r="G808" t="n">
        <v>0.9</v>
      </c>
      <c r="H808" t="n">
        <v>0</v>
      </c>
      <c r="I808" t="n">
        <v>0</v>
      </c>
      <c r="J808" t="n">
        <v>0</v>
      </c>
      <c r="K808" t="n">
        <v>0</v>
      </c>
      <c r="L808" t="n">
        <v>0</v>
      </c>
      <c r="M808" t="n">
        <v>0</v>
      </c>
      <c r="N808" t="n">
        <v>0</v>
      </c>
      <c r="O808" t="n">
        <v>0</v>
      </c>
      <c r="P808" t="n">
        <v>0</v>
      </c>
      <c r="Q808" t="n">
        <v>0</v>
      </c>
      <c r="R808" s="2" t="inlineStr"/>
    </row>
    <row r="809" ht="15" customHeight="1">
      <c r="A809" t="inlineStr">
        <is>
          <t>A 51883-2024</t>
        </is>
      </c>
      <c r="B809" s="1" t="n">
        <v>45607</v>
      </c>
      <c r="C809" s="1" t="n">
        <v>46104</v>
      </c>
      <c r="D809" t="inlineStr">
        <is>
          <t>DALARNAS LÄN</t>
        </is>
      </c>
      <c r="E809" t="inlineStr">
        <is>
          <t>MORA</t>
        </is>
      </c>
      <c r="G809" t="n">
        <v>0.2</v>
      </c>
      <c r="H809" t="n">
        <v>0</v>
      </c>
      <c r="I809" t="n">
        <v>0</v>
      </c>
      <c r="J809" t="n">
        <v>0</v>
      </c>
      <c r="K809" t="n">
        <v>0</v>
      </c>
      <c r="L809" t="n">
        <v>0</v>
      </c>
      <c r="M809" t="n">
        <v>0</v>
      </c>
      <c r="N809" t="n">
        <v>0</v>
      </c>
      <c r="O809" t="n">
        <v>0</v>
      </c>
      <c r="P809" t="n">
        <v>0</v>
      </c>
      <c r="Q809" t="n">
        <v>0</v>
      </c>
      <c r="R809" s="2" t="inlineStr"/>
    </row>
    <row r="810" ht="15" customHeight="1">
      <c r="A810" t="inlineStr">
        <is>
          <t>A 42941-2024</t>
        </is>
      </c>
      <c r="B810" s="1" t="n">
        <v>45567.3515162037</v>
      </c>
      <c r="C810" s="1" t="n">
        <v>46104</v>
      </c>
      <c r="D810" t="inlineStr">
        <is>
          <t>DALARNAS LÄN</t>
        </is>
      </c>
      <c r="E810" t="inlineStr">
        <is>
          <t>MORA</t>
        </is>
      </c>
      <c r="G810" t="n">
        <v>1.6</v>
      </c>
      <c r="H810" t="n">
        <v>0</v>
      </c>
      <c r="I810" t="n">
        <v>0</v>
      </c>
      <c r="J810" t="n">
        <v>0</v>
      </c>
      <c r="K810" t="n">
        <v>0</v>
      </c>
      <c r="L810" t="n">
        <v>0</v>
      </c>
      <c r="M810" t="n">
        <v>0</v>
      </c>
      <c r="N810" t="n">
        <v>0</v>
      </c>
      <c r="O810" t="n">
        <v>0</v>
      </c>
      <c r="P810" t="n">
        <v>0</v>
      </c>
      <c r="Q810" t="n">
        <v>0</v>
      </c>
      <c r="R810" s="2" t="inlineStr"/>
    </row>
    <row r="811" ht="15" customHeight="1">
      <c r="A811" t="inlineStr">
        <is>
          <t>A 43873-2024</t>
        </is>
      </c>
      <c r="B811" s="1" t="n">
        <v>45572.38429398148</v>
      </c>
      <c r="C811" s="1" t="n">
        <v>46104</v>
      </c>
      <c r="D811" t="inlineStr">
        <is>
          <t>DALARNAS LÄN</t>
        </is>
      </c>
      <c r="E811" t="inlineStr">
        <is>
          <t>MORA</t>
        </is>
      </c>
      <c r="G811" t="n">
        <v>4.1</v>
      </c>
      <c r="H811" t="n">
        <v>0</v>
      </c>
      <c r="I811" t="n">
        <v>0</v>
      </c>
      <c r="J811" t="n">
        <v>0</v>
      </c>
      <c r="K811" t="n">
        <v>0</v>
      </c>
      <c r="L811" t="n">
        <v>0</v>
      </c>
      <c r="M811" t="n">
        <v>0</v>
      </c>
      <c r="N811" t="n">
        <v>0</v>
      </c>
      <c r="O811" t="n">
        <v>0</v>
      </c>
      <c r="P811" t="n">
        <v>0</v>
      </c>
      <c r="Q811" t="n">
        <v>0</v>
      </c>
      <c r="R811" s="2" t="inlineStr"/>
    </row>
    <row r="812" ht="15" customHeight="1">
      <c r="A812" t="inlineStr">
        <is>
          <t>A 14372-2025</t>
        </is>
      </c>
      <c r="B812" s="1" t="n">
        <v>45741.4050462963</v>
      </c>
      <c r="C812" s="1" t="n">
        <v>46104</v>
      </c>
      <c r="D812" t="inlineStr">
        <is>
          <t>DALARNAS LÄN</t>
        </is>
      </c>
      <c r="E812" t="inlineStr">
        <is>
          <t>MORA</t>
        </is>
      </c>
      <c r="G812" t="n">
        <v>5.1</v>
      </c>
      <c r="H812" t="n">
        <v>0</v>
      </c>
      <c r="I812" t="n">
        <v>0</v>
      </c>
      <c r="J812" t="n">
        <v>0</v>
      </c>
      <c r="K812" t="n">
        <v>0</v>
      </c>
      <c r="L812" t="n">
        <v>0</v>
      </c>
      <c r="M812" t="n">
        <v>0</v>
      </c>
      <c r="N812" t="n">
        <v>0</v>
      </c>
      <c r="O812" t="n">
        <v>0</v>
      </c>
      <c r="P812" t="n">
        <v>0</v>
      </c>
      <c r="Q812" t="n">
        <v>0</v>
      </c>
      <c r="R812" s="2" t="inlineStr"/>
    </row>
    <row r="813" ht="15" customHeight="1">
      <c r="A813" t="inlineStr">
        <is>
          <t>A 14378-2025</t>
        </is>
      </c>
      <c r="B813" s="1" t="n">
        <v>45741</v>
      </c>
      <c r="C813" s="1" t="n">
        <v>46104</v>
      </c>
      <c r="D813" t="inlineStr">
        <is>
          <t>DALARNAS LÄN</t>
        </is>
      </c>
      <c r="E813" t="inlineStr">
        <is>
          <t>MORA</t>
        </is>
      </c>
      <c r="G813" t="n">
        <v>5.2</v>
      </c>
      <c r="H813" t="n">
        <v>0</v>
      </c>
      <c r="I813" t="n">
        <v>0</v>
      </c>
      <c r="J813" t="n">
        <v>0</v>
      </c>
      <c r="K813" t="n">
        <v>0</v>
      </c>
      <c r="L813" t="n">
        <v>0</v>
      </c>
      <c r="M813" t="n">
        <v>0</v>
      </c>
      <c r="N813" t="n">
        <v>0</v>
      </c>
      <c r="O813" t="n">
        <v>0</v>
      </c>
      <c r="P813" t="n">
        <v>0</v>
      </c>
      <c r="Q813" t="n">
        <v>0</v>
      </c>
      <c r="R813" s="2" t="inlineStr"/>
    </row>
    <row r="814" ht="15" customHeight="1">
      <c r="A814" t="inlineStr">
        <is>
          <t>A 16733-2024</t>
        </is>
      </c>
      <c r="B814" s="1" t="n">
        <v>45410.78502314815</v>
      </c>
      <c r="C814" s="1" t="n">
        <v>46104</v>
      </c>
      <c r="D814" t="inlineStr">
        <is>
          <t>DALARNAS LÄN</t>
        </is>
      </c>
      <c r="E814" t="inlineStr">
        <is>
          <t>MORA</t>
        </is>
      </c>
      <c r="G814" t="n">
        <v>6.3</v>
      </c>
      <c r="H814" t="n">
        <v>0</v>
      </c>
      <c r="I814" t="n">
        <v>0</v>
      </c>
      <c r="J814" t="n">
        <v>0</v>
      </c>
      <c r="K814" t="n">
        <v>0</v>
      </c>
      <c r="L814" t="n">
        <v>0</v>
      </c>
      <c r="M814" t="n">
        <v>0</v>
      </c>
      <c r="N814" t="n">
        <v>0</v>
      </c>
      <c r="O814" t="n">
        <v>0</v>
      </c>
      <c r="P814" t="n">
        <v>0</v>
      </c>
      <c r="Q814" t="n">
        <v>0</v>
      </c>
      <c r="R814" s="2" t="inlineStr"/>
    </row>
    <row r="815" ht="15" customHeight="1">
      <c r="A815" t="inlineStr">
        <is>
          <t>A 61217-2023</t>
        </is>
      </c>
      <c r="B815" s="1" t="n">
        <v>45264.43802083333</v>
      </c>
      <c r="C815" s="1" t="n">
        <v>46104</v>
      </c>
      <c r="D815" t="inlineStr">
        <is>
          <t>DALARNAS LÄN</t>
        </is>
      </c>
      <c r="E815" t="inlineStr">
        <is>
          <t>MORA</t>
        </is>
      </c>
      <c r="F815" t="inlineStr">
        <is>
          <t>Allmännings- och besparingsskogar</t>
        </is>
      </c>
      <c r="G815" t="n">
        <v>2</v>
      </c>
      <c r="H815" t="n">
        <v>0</v>
      </c>
      <c r="I815" t="n">
        <v>0</v>
      </c>
      <c r="J815" t="n">
        <v>0</v>
      </c>
      <c r="K815" t="n">
        <v>0</v>
      </c>
      <c r="L815" t="n">
        <v>0</v>
      </c>
      <c r="M815" t="n">
        <v>0</v>
      </c>
      <c r="N815" t="n">
        <v>0</v>
      </c>
      <c r="O815" t="n">
        <v>0</v>
      </c>
      <c r="P815" t="n">
        <v>0</v>
      </c>
      <c r="Q815" t="n">
        <v>0</v>
      </c>
      <c r="R815" s="2" t="inlineStr"/>
    </row>
    <row r="816" ht="15" customHeight="1">
      <c r="A816" t="inlineStr">
        <is>
          <t>A 61218-2023</t>
        </is>
      </c>
      <c r="B816" s="1" t="n">
        <v>45264</v>
      </c>
      <c r="C816" s="1" t="n">
        <v>46104</v>
      </c>
      <c r="D816" t="inlineStr">
        <is>
          <t>DALARNAS LÄN</t>
        </is>
      </c>
      <c r="E816" t="inlineStr">
        <is>
          <t>MORA</t>
        </is>
      </c>
      <c r="F816" t="inlineStr">
        <is>
          <t>Allmännings- och besparingsskogar</t>
        </is>
      </c>
      <c r="G816" t="n">
        <v>2.6</v>
      </c>
      <c r="H816" t="n">
        <v>0</v>
      </c>
      <c r="I816" t="n">
        <v>0</v>
      </c>
      <c r="J816" t="n">
        <v>0</v>
      </c>
      <c r="K816" t="n">
        <v>0</v>
      </c>
      <c r="L816" t="n">
        <v>0</v>
      </c>
      <c r="M816" t="n">
        <v>0</v>
      </c>
      <c r="N816" t="n">
        <v>0</v>
      </c>
      <c r="O816" t="n">
        <v>0</v>
      </c>
      <c r="P816" t="n">
        <v>0</v>
      </c>
      <c r="Q816" t="n">
        <v>0</v>
      </c>
      <c r="R816" s="2" t="inlineStr"/>
    </row>
    <row r="817" ht="15" customHeight="1">
      <c r="A817" t="inlineStr">
        <is>
          <t>A 39348-2024</t>
        </is>
      </c>
      <c r="B817" s="1" t="n">
        <v>45551.45322916667</v>
      </c>
      <c r="C817" s="1" t="n">
        <v>46104</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54903-2024</t>
        </is>
      </c>
      <c r="B818" s="1" t="n">
        <v>45618</v>
      </c>
      <c r="C818" s="1" t="n">
        <v>46104</v>
      </c>
      <c r="D818" t="inlineStr">
        <is>
          <t>DALARNAS LÄN</t>
        </is>
      </c>
      <c r="E818" t="inlineStr">
        <is>
          <t>MORA</t>
        </is>
      </c>
      <c r="G818" t="n">
        <v>28.2</v>
      </c>
      <c r="H818" t="n">
        <v>0</v>
      </c>
      <c r="I818" t="n">
        <v>0</v>
      </c>
      <c r="J818" t="n">
        <v>0</v>
      </c>
      <c r="K818" t="n">
        <v>0</v>
      </c>
      <c r="L818" t="n">
        <v>0</v>
      </c>
      <c r="M818" t="n">
        <v>0</v>
      </c>
      <c r="N818" t="n">
        <v>0</v>
      </c>
      <c r="O818" t="n">
        <v>0</v>
      </c>
      <c r="P818" t="n">
        <v>0</v>
      </c>
      <c r="Q818" t="n">
        <v>0</v>
      </c>
      <c r="R818" s="2" t="inlineStr"/>
    </row>
    <row r="819" ht="15" customHeight="1">
      <c r="A819" t="inlineStr">
        <is>
          <t>A 23302-2024</t>
        </is>
      </c>
      <c r="B819" s="1" t="n">
        <v>45453.44091435185</v>
      </c>
      <c r="C819" s="1" t="n">
        <v>46104</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16573-2024</t>
        </is>
      </c>
      <c r="B820" s="1" t="n">
        <v>45408.46980324074</v>
      </c>
      <c r="C820" s="1" t="n">
        <v>46104</v>
      </c>
      <c r="D820" t="inlineStr">
        <is>
          <t>DALARNAS LÄN</t>
        </is>
      </c>
      <c r="E820" t="inlineStr">
        <is>
          <t>MORA</t>
        </is>
      </c>
      <c r="G820" t="n">
        <v>4.5</v>
      </c>
      <c r="H820" t="n">
        <v>0</v>
      </c>
      <c r="I820" t="n">
        <v>0</v>
      </c>
      <c r="J820" t="n">
        <v>0</v>
      </c>
      <c r="K820" t="n">
        <v>0</v>
      </c>
      <c r="L820" t="n">
        <v>0</v>
      </c>
      <c r="M820" t="n">
        <v>0</v>
      </c>
      <c r="N820" t="n">
        <v>0</v>
      </c>
      <c r="O820" t="n">
        <v>0</v>
      </c>
      <c r="P820" t="n">
        <v>0</v>
      </c>
      <c r="Q820" t="n">
        <v>0</v>
      </c>
      <c r="R820" s="2" t="inlineStr"/>
    </row>
    <row r="821" ht="15" customHeight="1">
      <c r="A821" t="inlineStr">
        <is>
          <t>A 21894-2025</t>
        </is>
      </c>
      <c r="B821" s="1" t="n">
        <v>45784.45060185185</v>
      </c>
      <c r="C821" s="1" t="n">
        <v>46104</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21890-2025</t>
        </is>
      </c>
      <c r="B822" s="1" t="n">
        <v>45784.44481481481</v>
      </c>
      <c r="C822" s="1" t="n">
        <v>46104</v>
      </c>
      <c r="D822" t="inlineStr">
        <is>
          <t>DALARNAS LÄN</t>
        </is>
      </c>
      <c r="E822" t="inlineStr">
        <is>
          <t>MORA</t>
        </is>
      </c>
      <c r="G822" t="n">
        <v>3.8</v>
      </c>
      <c r="H822" t="n">
        <v>0</v>
      </c>
      <c r="I822" t="n">
        <v>0</v>
      </c>
      <c r="J822" t="n">
        <v>0</v>
      </c>
      <c r="K822" t="n">
        <v>0</v>
      </c>
      <c r="L822" t="n">
        <v>0</v>
      </c>
      <c r="M822" t="n">
        <v>0</v>
      </c>
      <c r="N822" t="n">
        <v>0</v>
      </c>
      <c r="O822" t="n">
        <v>0</v>
      </c>
      <c r="P822" t="n">
        <v>0</v>
      </c>
      <c r="Q822" t="n">
        <v>0</v>
      </c>
      <c r="R822" s="2" t="inlineStr"/>
    </row>
    <row r="823">
      <c r="A823" t="inlineStr">
        <is>
          <t>A 21895-2025</t>
        </is>
      </c>
      <c r="B823" s="1" t="n">
        <v>45784.45273148148</v>
      </c>
      <c r="C823" s="1" t="n">
        <v>46104</v>
      </c>
      <c r="D823" t="inlineStr">
        <is>
          <t>DALARNAS LÄN</t>
        </is>
      </c>
      <c r="E823" t="inlineStr">
        <is>
          <t>MORA</t>
        </is>
      </c>
      <c r="G823" t="n">
        <v>0.4</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2026-03-23T11:33:23Z</dcterms:created>
  <dcterms:modified xmlns:dcterms="http://purl.org/dc/terms/" xmlns:xsi="http://www.w3.org/2001/XMLSchema-instance" xsi:type="dcterms:W3CDTF">2026-03-23T11:33:23Z</dcterms:modified>
</cp:coreProperties>
</file>