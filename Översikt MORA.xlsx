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46098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46098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46098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46098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46098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46098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46098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46098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46098</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46098</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46098</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46098</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46098</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46098</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46098</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46098</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46098</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46098</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46098</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46098</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50759-2023</t>
        </is>
      </c>
      <c r="B22" s="1" t="n">
        <v>45217.60914351852</v>
      </c>
      <c r="C22" s="1" t="n">
        <v>46098</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46098</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44318-2025</t>
        </is>
      </c>
      <c r="B24" s="1" t="n">
        <v>45916.39680555555</v>
      </c>
      <c r="C24" s="1" t="n">
        <v>46098</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34714-2025</t>
        </is>
      </c>
      <c r="B25" s="1" t="n">
        <v>45848</v>
      </c>
      <c r="C25" s="1" t="n">
        <v>46098</v>
      </c>
      <c r="D25" t="inlineStr">
        <is>
          <t>DALARNAS LÄN</t>
        </is>
      </c>
      <c r="E25" t="inlineStr">
        <is>
          <t>MORA</t>
        </is>
      </c>
      <c r="G25" t="n">
        <v>8.199999999999999</v>
      </c>
      <c r="H25" t="n">
        <v>5</v>
      </c>
      <c r="I25" t="n">
        <v>3</v>
      </c>
      <c r="J25" t="n">
        <v>5</v>
      </c>
      <c r="K25" t="n">
        <v>1</v>
      </c>
      <c r="L25" t="n">
        <v>0</v>
      </c>
      <c r="M25" t="n">
        <v>0</v>
      </c>
      <c r="N25" t="n">
        <v>0</v>
      </c>
      <c r="O25" t="n">
        <v>6</v>
      </c>
      <c r="P25" t="n">
        <v>1</v>
      </c>
      <c r="Q25" t="n">
        <v>10</v>
      </c>
      <c r="R25" s="2" t="inlineStr">
        <is>
          <t>Knärot
Dvärgbägarlav
Garnlav
Kolflarnlav
Mörk kolflarnlav
Tretåig hackspett
Korallrot
Mindre märgborre
Spindelblomster
Tjäder</t>
        </is>
      </c>
      <c r="S25">
        <f>HYPERLINK("https://klasma.github.io/Logging_2062/artfynd/A 34714-2025 artfynd.xlsx", "A 34714-2025")</f>
        <v/>
      </c>
      <c r="T25">
        <f>HYPERLINK("https://klasma.github.io/Logging_2062/kartor/A 34714-2025 karta.png", "A 34714-2025")</f>
        <v/>
      </c>
      <c r="U25">
        <f>HYPERLINK("https://klasma.github.io/Logging_2062/knärot/A 34714-2025 karta knärot.png", "A 34714-2025")</f>
        <v/>
      </c>
      <c r="V25">
        <f>HYPERLINK("https://klasma.github.io/Logging_2062/klagomål/A 34714-2025 FSC-klagomål.docx", "A 34714-2025")</f>
        <v/>
      </c>
      <c r="W25">
        <f>HYPERLINK("https://klasma.github.io/Logging_2062/klagomålsmail/A 34714-2025 FSC-klagomål mail.docx", "A 34714-2025")</f>
        <v/>
      </c>
      <c r="X25">
        <f>HYPERLINK("https://klasma.github.io/Logging_2062/tillsyn/A 34714-2025 tillsynsbegäran.docx", "A 34714-2025")</f>
        <v/>
      </c>
      <c r="Y25">
        <f>HYPERLINK("https://klasma.github.io/Logging_2062/tillsynsmail/A 34714-2025 tillsynsbegäran mail.docx", "A 34714-2025")</f>
        <v/>
      </c>
      <c r="Z25">
        <f>HYPERLINK("https://klasma.github.io/Logging_2062/fåglar/A 34714-2025 prioriterade fågelarter.docx", "A 34714-2025")</f>
        <v/>
      </c>
    </row>
    <row r="26" ht="15" customHeight="1">
      <c r="A26" t="inlineStr">
        <is>
          <t>A 56940-2025</t>
        </is>
      </c>
      <c r="B26" s="1" t="n">
        <v>45978.62241898148</v>
      </c>
      <c r="C26" s="1" t="n">
        <v>46098</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29934-2025</t>
        </is>
      </c>
      <c r="B27" s="1" t="n">
        <v>45826</v>
      </c>
      <c r="C27" s="1" t="n">
        <v>46098</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5064-2023</t>
        </is>
      </c>
      <c r="B28" s="1" t="n">
        <v>44958.60337962963</v>
      </c>
      <c r="C28" s="1" t="n">
        <v>46098</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35944-2024</t>
        </is>
      </c>
      <c r="B29" s="1" t="n">
        <v>45533.45853009259</v>
      </c>
      <c r="C29" s="1" t="n">
        <v>46098</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40313-2025</t>
        </is>
      </c>
      <c r="B30" s="1" t="n">
        <v>45895.42209490741</v>
      </c>
      <c r="C30" s="1" t="n">
        <v>46098</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46098</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46098</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v>
      </c>
      <c r="C33" s="1" t="n">
        <v>46098</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61943-2024</t>
        </is>
      </c>
      <c r="B34" s="1" t="n">
        <v>45653.49774305556</v>
      </c>
      <c r="C34" s="1" t="n">
        <v>46098</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46098</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46098</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46098</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30904-2025</t>
        </is>
      </c>
      <c r="B38" s="1" t="n">
        <v>45832</v>
      </c>
      <c r="C38" s="1" t="n">
        <v>46098</v>
      </c>
      <c r="D38" t="inlineStr">
        <is>
          <t>DALARNAS LÄN</t>
        </is>
      </c>
      <c r="E38" t="inlineStr">
        <is>
          <t>MORA</t>
        </is>
      </c>
      <c r="G38" t="n">
        <v>6.6</v>
      </c>
      <c r="H38" t="n">
        <v>3</v>
      </c>
      <c r="I38" t="n">
        <v>1</v>
      </c>
      <c r="J38" t="n">
        <v>6</v>
      </c>
      <c r="K38" t="n">
        <v>0</v>
      </c>
      <c r="L38" t="n">
        <v>0</v>
      </c>
      <c r="M38" t="n">
        <v>0</v>
      </c>
      <c r="N38" t="n">
        <v>0</v>
      </c>
      <c r="O38" t="n">
        <v>6</v>
      </c>
      <c r="P38" t="n">
        <v>0</v>
      </c>
      <c r="Q38" t="n">
        <v>8</v>
      </c>
      <c r="R38" s="2" t="inlineStr">
        <is>
          <t>Garnlav
Spillkråka
Tallticka
Talltita
Vedflamlav
Vedskivlav
Mindre märgborre
Kungsfågel</t>
        </is>
      </c>
      <c r="S38">
        <f>HYPERLINK("https://klasma.github.io/Logging_2062/artfynd/A 30904-2025 artfynd.xlsx", "A 30904-2025")</f>
        <v/>
      </c>
      <c r="T38">
        <f>HYPERLINK("https://klasma.github.io/Logging_2062/kartor/A 30904-2025 karta.png", "A 30904-2025")</f>
        <v/>
      </c>
      <c r="V38">
        <f>HYPERLINK("https://klasma.github.io/Logging_2062/klagomål/A 30904-2025 FSC-klagomål.docx", "A 30904-2025")</f>
        <v/>
      </c>
      <c r="W38">
        <f>HYPERLINK("https://klasma.github.io/Logging_2062/klagomålsmail/A 30904-2025 FSC-klagomål mail.docx", "A 30904-2025")</f>
        <v/>
      </c>
      <c r="X38">
        <f>HYPERLINK("https://klasma.github.io/Logging_2062/tillsyn/A 30904-2025 tillsynsbegäran.docx", "A 30904-2025")</f>
        <v/>
      </c>
      <c r="Y38">
        <f>HYPERLINK("https://klasma.github.io/Logging_2062/tillsynsmail/A 30904-2025 tillsynsbegäran mail.docx", "A 30904-2025")</f>
        <v/>
      </c>
      <c r="Z38">
        <f>HYPERLINK("https://klasma.github.io/Logging_2062/fåglar/A 30904-2025 prioriterade fågelarter.docx", "A 30904-2025")</f>
        <v/>
      </c>
    </row>
    <row r="39" ht="15" customHeight="1">
      <c r="A39" t="inlineStr">
        <is>
          <t>A 46450-2025</t>
        </is>
      </c>
      <c r="B39" s="1" t="n">
        <v>45925.6530324074</v>
      </c>
      <c r="C39" s="1" t="n">
        <v>46098</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33380-2025</t>
        </is>
      </c>
      <c r="B40" s="1" t="n">
        <v>45841.40309027778</v>
      </c>
      <c r="C40" s="1" t="n">
        <v>46098</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46098</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2729-2026</t>
        </is>
      </c>
      <c r="B42" s="1" t="n">
        <v>46037.84224537037</v>
      </c>
      <c r="C42" s="1" t="n">
        <v>46098</v>
      </c>
      <c r="D42" t="inlineStr">
        <is>
          <t>DALARNAS LÄN</t>
        </is>
      </c>
      <c r="E42" t="inlineStr">
        <is>
          <t>MORA</t>
        </is>
      </c>
      <c r="G42" t="n">
        <v>18.5</v>
      </c>
      <c r="H42" t="n">
        <v>4</v>
      </c>
      <c r="I42" t="n">
        <v>0</v>
      </c>
      <c r="J42" t="n">
        <v>6</v>
      </c>
      <c r="K42" t="n">
        <v>1</v>
      </c>
      <c r="L42" t="n">
        <v>0</v>
      </c>
      <c r="M42" t="n">
        <v>0</v>
      </c>
      <c r="N42" t="n">
        <v>0</v>
      </c>
      <c r="O42" t="n">
        <v>7</v>
      </c>
      <c r="P42" t="n">
        <v>1</v>
      </c>
      <c r="Q42" t="n">
        <v>8</v>
      </c>
      <c r="R42" s="2" t="inlineStr">
        <is>
          <t>Knärot
Garnlav
Spillkråka
Tretåig hackspett
Vedflamlav
Vedskivlav
Vitgrynig nållav
Tjäder</t>
        </is>
      </c>
      <c r="S42">
        <f>HYPERLINK("https://klasma.github.io/Logging_2062/artfynd/A 2729-2026 artfynd.xlsx", "A 2729-2026")</f>
        <v/>
      </c>
      <c r="T42">
        <f>HYPERLINK("https://klasma.github.io/Logging_2062/kartor/A 2729-2026 karta.png", "A 2729-2026")</f>
        <v/>
      </c>
      <c r="U42">
        <f>HYPERLINK("https://klasma.github.io/Logging_2062/knärot/A 2729-2026 karta knärot.png", "A 2729-2026")</f>
        <v/>
      </c>
      <c r="V42">
        <f>HYPERLINK("https://klasma.github.io/Logging_2062/klagomål/A 2729-2026 FSC-klagomål.docx", "A 2729-2026")</f>
        <v/>
      </c>
      <c r="W42">
        <f>HYPERLINK("https://klasma.github.io/Logging_2062/klagomålsmail/A 2729-2026 FSC-klagomål mail.docx", "A 2729-2026")</f>
        <v/>
      </c>
      <c r="X42">
        <f>HYPERLINK("https://klasma.github.io/Logging_2062/tillsyn/A 2729-2026 tillsynsbegäran.docx", "A 2729-2026")</f>
        <v/>
      </c>
      <c r="Y42">
        <f>HYPERLINK("https://klasma.github.io/Logging_2062/tillsynsmail/A 2729-2026 tillsynsbegäran mail.docx", "A 2729-2026")</f>
        <v/>
      </c>
      <c r="Z42">
        <f>HYPERLINK("https://klasma.github.io/Logging_2062/fåglar/A 2729-2026 prioriterade fågelarter.docx", "A 2729-2026")</f>
        <v/>
      </c>
    </row>
    <row r="43" ht="15" customHeight="1">
      <c r="A43" t="inlineStr">
        <is>
          <t>A 29520-2025</t>
        </is>
      </c>
      <c r="B43" s="1" t="n">
        <v>45825.3303125</v>
      </c>
      <c r="C43" s="1" t="n">
        <v>46098</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29380-2025</t>
        </is>
      </c>
      <c r="B44" s="1" t="n">
        <v>45824.59025462963</v>
      </c>
      <c r="C44" s="1" t="n">
        <v>46098</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58839-2025</t>
        </is>
      </c>
      <c r="B45" s="1" t="n">
        <v>45987.36070601852</v>
      </c>
      <c r="C45" s="1" t="n">
        <v>46098</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61259-2023</t>
        </is>
      </c>
      <c r="B46" s="1" t="n">
        <v>45264</v>
      </c>
      <c r="C46" s="1" t="n">
        <v>46098</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34447-2024</t>
        </is>
      </c>
      <c r="B47" s="1" t="n">
        <v>45525</v>
      </c>
      <c r="C47" s="1" t="n">
        <v>46098</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34719-2025</t>
        </is>
      </c>
      <c r="B48" s="1" t="n">
        <v>45848</v>
      </c>
      <c r="C48" s="1" t="n">
        <v>46098</v>
      </c>
      <c r="D48" t="inlineStr">
        <is>
          <t>DALARNAS LÄN</t>
        </is>
      </c>
      <c r="E48" t="inlineStr">
        <is>
          <t>MORA</t>
        </is>
      </c>
      <c r="G48" t="n">
        <v>1.9</v>
      </c>
      <c r="H48" t="n">
        <v>2</v>
      </c>
      <c r="I48" t="n">
        <v>1</v>
      </c>
      <c r="J48" t="n">
        <v>5</v>
      </c>
      <c r="K48" t="n">
        <v>0</v>
      </c>
      <c r="L48" t="n">
        <v>0</v>
      </c>
      <c r="M48" t="n">
        <v>0</v>
      </c>
      <c r="N48" t="n">
        <v>0</v>
      </c>
      <c r="O48" t="n">
        <v>5</v>
      </c>
      <c r="P48" t="n">
        <v>0</v>
      </c>
      <c r="Q48" t="n">
        <v>6</v>
      </c>
      <c r="R48" s="2" t="inlineStr">
        <is>
          <t>Dvärgbägarlav
Garnlav
Spillkråka
Tallticka
Tretåig hackspett
Mindre märgborre</t>
        </is>
      </c>
      <c r="S48">
        <f>HYPERLINK("https://klasma.github.io/Logging_2062/artfynd/A 34719-2025 artfynd.xlsx", "A 34719-2025")</f>
        <v/>
      </c>
      <c r="T48">
        <f>HYPERLINK("https://klasma.github.io/Logging_2062/kartor/A 34719-2025 karta.png", "A 34719-2025")</f>
        <v/>
      </c>
      <c r="V48">
        <f>HYPERLINK("https://klasma.github.io/Logging_2062/klagomål/A 34719-2025 FSC-klagomål.docx", "A 34719-2025")</f>
        <v/>
      </c>
      <c r="W48">
        <f>HYPERLINK("https://klasma.github.io/Logging_2062/klagomålsmail/A 34719-2025 FSC-klagomål mail.docx", "A 34719-2025")</f>
        <v/>
      </c>
      <c r="X48">
        <f>HYPERLINK("https://klasma.github.io/Logging_2062/tillsyn/A 34719-2025 tillsynsbegäran.docx", "A 34719-2025")</f>
        <v/>
      </c>
      <c r="Y48">
        <f>HYPERLINK("https://klasma.github.io/Logging_2062/tillsynsmail/A 34719-2025 tillsynsbegäran mail.docx", "A 34719-2025")</f>
        <v/>
      </c>
      <c r="Z48">
        <f>HYPERLINK("https://klasma.github.io/Logging_2062/fåglar/A 34719-2025 prioriterade fågelarter.docx", "A 34719-2025")</f>
        <v/>
      </c>
    </row>
    <row r="49" ht="15" customHeight="1">
      <c r="A49" t="inlineStr">
        <is>
          <t>A 58169-2025</t>
        </is>
      </c>
      <c r="B49" s="1" t="n">
        <v>45982.72690972222</v>
      </c>
      <c r="C49" s="1" t="n">
        <v>46098</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62154-2025</t>
        </is>
      </c>
      <c r="B50" s="1" t="n">
        <v>46006.48664351852</v>
      </c>
      <c r="C50" s="1" t="n">
        <v>46098</v>
      </c>
      <c r="D50" t="inlineStr">
        <is>
          <t>DALARNAS LÄN</t>
        </is>
      </c>
      <c r="E50" t="inlineStr">
        <is>
          <t>MORA</t>
        </is>
      </c>
      <c r="G50" t="n">
        <v>7.2</v>
      </c>
      <c r="H50" t="n">
        <v>2</v>
      </c>
      <c r="I50" t="n">
        <v>3</v>
      </c>
      <c r="J50" t="n">
        <v>3</v>
      </c>
      <c r="K50" t="n">
        <v>0</v>
      </c>
      <c r="L50" t="n">
        <v>0</v>
      </c>
      <c r="M50" t="n">
        <v>0</v>
      </c>
      <c r="N50" t="n">
        <v>0</v>
      </c>
      <c r="O50" t="n">
        <v>3</v>
      </c>
      <c r="P50" t="n">
        <v>0</v>
      </c>
      <c r="Q50" t="n">
        <v>6</v>
      </c>
      <c r="R50" s="2" t="inlineStr">
        <is>
          <t>Garnlav
Spillkråka
Tretåig hackspett
Bronshjon
Mindre märgborre
Vågbandad barkbock</t>
        </is>
      </c>
      <c r="S50">
        <f>HYPERLINK("https://klasma.github.io/Logging_2062/artfynd/A 62154-2025 artfynd.xlsx", "A 62154-2025")</f>
        <v/>
      </c>
      <c r="T50">
        <f>HYPERLINK("https://klasma.github.io/Logging_2062/kartor/A 62154-2025 karta.png", "A 62154-2025")</f>
        <v/>
      </c>
      <c r="V50">
        <f>HYPERLINK("https://klasma.github.io/Logging_2062/klagomål/A 62154-2025 FSC-klagomål.docx", "A 62154-2025")</f>
        <v/>
      </c>
      <c r="W50">
        <f>HYPERLINK("https://klasma.github.io/Logging_2062/klagomålsmail/A 62154-2025 FSC-klagomål mail.docx", "A 62154-2025")</f>
        <v/>
      </c>
      <c r="X50">
        <f>HYPERLINK("https://klasma.github.io/Logging_2062/tillsyn/A 62154-2025 tillsynsbegäran.docx", "A 62154-2025")</f>
        <v/>
      </c>
      <c r="Y50">
        <f>HYPERLINK("https://klasma.github.io/Logging_2062/tillsynsmail/A 62154-2025 tillsynsbegäran mail.docx", "A 62154-2025")</f>
        <v/>
      </c>
      <c r="Z50">
        <f>HYPERLINK("https://klasma.github.io/Logging_2062/fåglar/A 62154-2025 prioriterade fågelarter.docx", "A 62154-2025")</f>
        <v/>
      </c>
    </row>
    <row r="51" ht="15" customHeight="1">
      <c r="A51" t="inlineStr">
        <is>
          <t>A 53426-2025</t>
        </is>
      </c>
      <c r="B51" s="1" t="n">
        <v>45959.6131712963</v>
      </c>
      <c r="C51" s="1" t="n">
        <v>46098</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46098</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46098</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35487-2025</t>
        </is>
      </c>
      <c r="B54" s="1" t="n">
        <v>45855</v>
      </c>
      <c r="C54" s="1" t="n">
        <v>46098</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58478-2025</t>
        </is>
      </c>
      <c r="B55" s="1" t="n">
        <v>45985.64645833334</v>
      </c>
      <c r="C55" s="1" t="n">
        <v>46098</v>
      </c>
      <c r="D55" t="inlineStr">
        <is>
          <t>DALARNAS LÄN</t>
        </is>
      </c>
      <c r="E55" t="inlineStr">
        <is>
          <t>MORA</t>
        </is>
      </c>
      <c r="G55" t="n">
        <v>6</v>
      </c>
      <c r="H55" t="n">
        <v>2</v>
      </c>
      <c r="I55" t="n">
        <v>1</v>
      </c>
      <c r="J55" t="n">
        <v>4</v>
      </c>
      <c r="K55" t="n">
        <v>0</v>
      </c>
      <c r="L55" t="n">
        <v>0</v>
      </c>
      <c r="M55" t="n">
        <v>0</v>
      </c>
      <c r="N55" t="n">
        <v>0</v>
      </c>
      <c r="O55" t="n">
        <v>4</v>
      </c>
      <c r="P55" t="n">
        <v>0</v>
      </c>
      <c r="Q55" t="n">
        <v>5</v>
      </c>
      <c r="R55" s="2" t="inlineStr">
        <is>
          <t>Garnlav
Skogshare
Spillkråka
Tretåig hackspett
Mindre märgborre</t>
        </is>
      </c>
      <c r="S55">
        <f>HYPERLINK("https://klasma.github.io/Logging_2062/artfynd/A 58478-2025 artfynd.xlsx", "A 58478-2025")</f>
        <v/>
      </c>
      <c r="T55">
        <f>HYPERLINK("https://klasma.github.io/Logging_2062/kartor/A 58478-2025 karta.png", "A 58478-2025")</f>
        <v/>
      </c>
      <c r="V55">
        <f>HYPERLINK("https://klasma.github.io/Logging_2062/klagomål/A 58478-2025 FSC-klagomål.docx", "A 58478-2025")</f>
        <v/>
      </c>
      <c r="W55">
        <f>HYPERLINK("https://klasma.github.io/Logging_2062/klagomålsmail/A 58478-2025 FSC-klagomål mail.docx", "A 58478-2025")</f>
        <v/>
      </c>
      <c r="X55">
        <f>HYPERLINK("https://klasma.github.io/Logging_2062/tillsyn/A 58478-2025 tillsynsbegäran.docx", "A 58478-2025")</f>
        <v/>
      </c>
      <c r="Y55">
        <f>HYPERLINK("https://klasma.github.io/Logging_2062/tillsynsmail/A 58478-2025 tillsynsbegäran mail.docx", "A 58478-2025")</f>
        <v/>
      </c>
      <c r="Z55">
        <f>HYPERLINK("https://klasma.github.io/Logging_2062/fåglar/A 58478-2025 prioriterade fågelarter.docx", "A 58478-2025")</f>
        <v/>
      </c>
    </row>
    <row r="56" ht="15" customHeight="1">
      <c r="A56" t="inlineStr">
        <is>
          <t>A 8760-2025</t>
        </is>
      </c>
      <c r="B56" s="1" t="n">
        <v>45712.57467592593</v>
      </c>
      <c r="C56" s="1" t="n">
        <v>46098</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39478-2025</t>
        </is>
      </c>
      <c r="B57" s="1" t="n">
        <v>45890.3469212963</v>
      </c>
      <c r="C57" s="1" t="n">
        <v>46098</v>
      </c>
      <c r="D57" t="inlineStr">
        <is>
          <t>DALARNAS LÄN</t>
        </is>
      </c>
      <c r="E57" t="inlineStr">
        <is>
          <t>MORA</t>
        </is>
      </c>
      <c r="G57" t="n">
        <v>1.8</v>
      </c>
      <c r="H57" t="n">
        <v>0</v>
      </c>
      <c r="I57" t="n">
        <v>0</v>
      </c>
      <c r="J57" t="n">
        <v>4</v>
      </c>
      <c r="K57" t="n">
        <v>0</v>
      </c>
      <c r="L57" t="n">
        <v>0</v>
      </c>
      <c r="M57" t="n">
        <v>0</v>
      </c>
      <c r="N57" t="n">
        <v>0</v>
      </c>
      <c r="O57" t="n">
        <v>4</v>
      </c>
      <c r="P57" t="n">
        <v>0</v>
      </c>
      <c r="Q57" t="n">
        <v>4</v>
      </c>
      <c r="R57" s="2" t="inlineStr">
        <is>
          <t>Garnlav
Mörk kolflarnlav
Vedflamlav
Vedskivlav</t>
        </is>
      </c>
      <c r="S57">
        <f>HYPERLINK("https://klasma.github.io/Logging_2062/artfynd/A 39478-2025 artfynd.xlsx", "A 39478-2025")</f>
        <v/>
      </c>
      <c r="T57">
        <f>HYPERLINK("https://klasma.github.io/Logging_2062/kartor/A 39478-2025 karta.png", "A 39478-2025")</f>
        <v/>
      </c>
      <c r="V57">
        <f>HYPERLINK("https://klasma.github.io/Logging_2062/klagomål/A 39478-2025 FSC-klagomål.docx", "A 39478-2025")</f>
        <v/>
      </c>
      <c r="W57">
        <f>HYPERLINK("https://klasma.github.io/Logging_2062/klagomålsmail/A 39478-2025 FSC-klagomål mail.docx", "A 39478-2025")</f>
        <v/>
      </c>
      <c r="X57">
        <f>HYPERLINK("https://klasma.github.io/Logging_2062/tillsyn/A 39478-2025 tillsynsbegäran.docx", "A 39478-2025")</f>
        <v/>
      </c>
      <c r="Y57">
        <f>HYPERLINK("https://klasma.github.io/Logging_2062/tillsynsmail/A 39478-2025 tillsynsbegäran mail.docx", "A 39478-2025")</f>
        <v/>
      </c>
    </row>
    <row r="58" ht="15" customHeight="1">
      <c r="A58" t="inlineStr">
        <is>
          <t>A 39483-2025</t>
        </is>
      </c>
      <c r="B58" s="1" t="n">
        <v>45890.35881944445</v>
      </c>
      <c r="C58" s="1" t="n">
        <v>46098</v>
      </c>
      <c r="D58" t="inlineStr">
        <is>
          <t>DALARNAS LÄN</t>
        </is>
      </c>
      <c r="E58" t="inlineStr">
        <is>
          <t>MORA</t>
        </is>
      </c>
      <c r="G58" t="n">
        <v>0.4</v>
      </c>
      <c r="H58" t="n">
        <v>2</v>
      </c>
      <c r="I58" t="n">
        <v>0</v>
      </c>
      <c r="J58" t="n">
        <v>3</v>
      </c>
      <c r="K58" t="n">
        <v>0</v>
      </c>
      <c r="L58" t="n">
        <v>0</v>
      </c>
      <c r="M58" t="n">
        <v>0</v>
      </c>
      <c r="N58" t="n">
        <v>0</v>
      </c>
      <c r="O58" t="n">
        <v>3</v>
      </c>
      <c r="P58" t="n">
        <v>0</v>
      </c>
      <c r="Q58" t="n">
        <v>4</v>
      </c>
      <c r="R58" s="2" t="inlineStr">
        <is>
          <t>Garnlav
Spillkråka
Vitgrynig nållav
Revlummer</t>
        </is>
      </c>
      <c r="S58">
        <f>HYPERLINK("https://klasma.github.io/Logging_2062/artfynd/A 39483-2025 artfynd.xlsx", "A 39483-2025")</f>
        <v/>
      </c>
      <c r="T58">
        <f>HYPERLINK("https://klasma.github.io/Logging_2062/kartor/A 39483-2025 karta.png", "A 39483-2025")</f>
        <v/>
      </c>
      <c r="V58">
        <f>HYPERLINK("https://klasma.github.io/Logging_2062/klagomål/A 39483-2025 FSC-klagomål.docx", "A 39483-2025")</f>
        <v/>
      </c>
      <c r="W58">
        <f>HYPERLINK("https://klasma.github.io/Logging_2062/klagomålsmail/A 39483-2025 FSC-klagomål mail.docx", "A 39483-2025")</f>
        <v/>
      </c>
      <c r="X58">
        <f>HYPERLINK("https://klasma.github.io/Logging_2062/tillsyn/A 39483-2025 tillsynsbegäran.docx", "A 39483-2025")</f>
        <v/>
      </c>
      <c r="Y58">
        <f>HYPERLINK("https://klasma.github.io/Logging_2062/tillsynsmail/A 39483-2025 tillsynsbegäran mail.docx", "A 39483-2025")</f>
        <v/>
      </c>
      <c r="Z58">
        <f>HYPERLINK("https://klasma.github.io/Logging_2062/fåglar/A 39483-2025 prioriterade fågelarter.docx", "A 39483-2025")</f>
        <v/>
      </c>
    </row>
    <row r="59" ht="15" customHeight="1">
      <c r="A59" t="inlineStr">
        <is>
          <t>A 32222-2025</t>
        </is>
      </c>
      <c r="B59" s="1" t="n">
        <v>45835.59140046296</v>
      </c>
      <c r="C59" s="1" t="n">
        <v>46098</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34715-2025</t>
        </is>
      </c>
      <c r="B60" s="1" t="n">
        <v>45848</v>
      </c>
      <c r="C60" s="1" t="n">
        <v>46098</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11973-2026</t>
        </is>
      </c>
      <c r="B61" s="1" t="n">
        <v>46085.62635416666</v>
      </c>
      <c r="C61" s="1" t="n">
        <v>46098</v>
      </c>
      <c r="D61" t="inlineStr">
        <is>
          <t>DALARNAS LÄN</t>
        </is>
      </c>
      <c r="E61" t="inlineStr">
        <is>
          <t>MORA</t>
        </is>
      </c>
      <c r="G61" t="n">
        <v>5.4</v>
      </c>
      <c r="H61" t="n">
        <v>1</v>
      </c>
      <c r="I61" t="n">
        <v>1</v>
      </c>
      <c r="J61" t="n">
        <v>3</v>
      </c>
      <c r="K61" t="n">
        <v>0</v>
      </c>
      <c r="L61" t="n">
        <v>0</v>
      </c>
      <c r="M61" t="n">
        <v>0</v>
      </c>
      <c r="N61" t="n">
        <v>0</v>
      </c>
      <c r="O61" t="n">
        <v>3</v>
      </c>
      <c r="P61" t="n">
        <v>0</v>
      </c>
      <c r="Q61" t="n">
        <v>4</v>
      </c>
      <c r="R61" s="2" t="inlineStr">
        <is>
          <t>Garnlav
Mörk kolflarnlav
Spillkråka
Mindre märgborre</t>
        </is>
      </c>
      <c r="S61">
        <f>HYPERLINK("https://klasma.github.io/Logging_2062/artfynd/A 11973-2026 artfynd.xlsx", "A 11973-2026")</f>
        <v/>
      </c>
      <c r="T61">
        <f>HYPERLINK("https://klasma.github.io/Logging_2062/kartor/A 11973-2026 karta.png", "A 11973-2026")</f>
        <v/>
      </c>
      <c r="V61">
        <f>HYPERLINK("https://klasma.github.io/Logging_2062/klagomål/A 11973-2026 FSC-klagomål.docx", "A 11973-2026")</f>
        <v/>
      </c>
      <c r="W61">
        <f>HYPERLINK("https://klasma.github.io/Logging_2062/klagomålsmail/A 11973-2026 FSC-klagomål mail.docx", "A 11973-2026")</f>
        <v/>
      </c>
      <c r="X61">
        <f>HYPERLINK("https://klasma.github.io/Logging_2062/tillsyn/A 11973-2026 tillsynsbegäran.docx", "A 11973-2026")</f>
        <v/>
      </c>
      <c r="Y61">
        <f>HYPERLINK("https://klasma.github.io/Logging_2062/tillsynsmail/A 11973-2026 tillsynsbegäran mail.docx", "A 11973-2026")</f>
        <v/>
      </c>
      <c r="Z61">
        <f>HYPERLINK("https://klasma.github.io/Logging_2062/fåglar/A 11973-2026 prioriterade fågelarter.docx", "A 11973-2026")</f>
        <v/>
      </c>
    </row>
    <row r="62" ht="15" customHeight="1">
      <c r="A62" t="inlineStr">
        <is>
          <t>A 61770-2025</t>
        </is>
      </c>
      <c r="B62" s="1" t="n">
        <v>46002.64605324074</v>
      </c>
      <c r="C62" s="1" t="n">
        <v>46098</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14829-2025</t>
        </is>
      </c>
      <c r="B63" s="1" t="n">
        <v>45743.36951388889</v>
      </c>
      <c r="C63" s="1" t="n">
        <v>46098</v>
      </c>
      <c r="D63" t="inlineStr">
        <is>
          <t>DALARNAS LÄN</t>
        </is>
      </c>
      <c r="E63" t="inlineStr">
        <is>
          <t>MORA</t>
        </is>
      </c>
      <c r="G63" t="n">
        <v>6.4</v>
      </c>
      <c r="H63" t="n">
        <v>1</v>
      </c>
      <c r="I63" t="n">
        <v>1</v>
      </c>
      <c r="J63" t="n">
        <v>3</v>
      </c>
      <c r="K63" t="n">
        <v>0</v>
      </c>
      <c r="L63" t="n">
        <v>0</v>
      </c>
      <c r="M63" t="n">
        <v>0</v>
      </c>
      <c r="N63" t="n">
        <v>0</v>
      </c>
      <c r="O63" t="n">
        <v>3</v>
      </c>
      <c r="P63" t="n">
        <v>0</v>
      </c>
      <c r="Q63" t="n">
        <v>4</v>
      </c>
      <c r="R63" s="2" t="inlineStr">
        <is>
          <t>Garnlav
Motaggsvamp
Spillkråka
Dropptaggsvamp</t>
        </is>
      </c>
      <c r="S63">
        <f>HYPERLINK("https://klasma.github.io/Logging_2062/artfynd/A 14829-2025 artfynd.xlsx", "A 14829-2025")</f>
        <v/>
      </c>
      <c r="T63">
        <f>HYPERLINK("https://klasma.github.io/Logging_2062/kartor/A 14829-2025 karta.png", "A 14829-2025")</f>
        <v/>
      </c>
      <c r="V63">
        <f>HYPERLINK("https://klasma.github.io/Logging_2062/klagomål/A 14829-2025 FSC-klagomål.docx", "A 14829-2025")</f>
        <v/>
      </c>
      <c r="W63">
        <f>HYPERLINK("https://klasma.github.io/Logging_2062/klagomålsmail/A 14829-2025 FSC-klagomål mail.docx", "A 14829-2025")</f>
        <v/>
      </c>
      <c r="X63">
        <f>HYPERLINK("https://klasma.github.io/Logging_2062/tillsyn/A 14829-2025 tillsynsbegäran.docx", "A 14829-2025")</f>
        <v/>
      </c>
      <c r="Y63">
        <f>HYPERLINK("https://klasma.github.io/Logging_2062/tillsynsmail/A 14829-2025 tillsynsbegäran mail.docx", "A 14829-2025")</f>
        <v/>
      </c>
      <c r="Z63">
        <f>HYPERLINK("https://klasma.github.io/Logging_2062/fåglar/A 14829-2025 prioriterade fågelarter.docx", "A 14829-2025")</f>
        <v/>
      </c>
    </row>
    <row r="64" ht="15" customHeight="1">
      <c r="A64" t="inlineStr">
        <is>
          <t>A 14293-2024</t>
        </is>
      </c>
      <c r="B64" s="1" t="n">
        <v>45393.63902777778</v>
      </c>
      <c r="C64" s="1" t="n">
        <v>46098</v>
      </c>
      <c r="D64" t="inlineStr">
        <is>
          <t>DALARNAS LÄN</t>
        </is>
      </c>
      <c r="E64" t="inlineStr">
        <is>
          <t>MORA</t>
        </is>
      </c>
      <c r="G64" t="n">
        <v>7.4</v>
      </c>
      <c r="H64" t="n">
        <v>2</v>
      </c>
      <c r="I64" t="n">
        <v>1</v>
      </c>
      <c r="J64" t="n">
        <v>2</v>
      </c>
      <c r="K64" t="n">
        <v>0</v>
      </c>
      <c r="L64" t="n">
        <v>0</v>
      </c>
      <c r="M64" t="n">
        <v>0</v>
      </c>
      <c r="N64" t="n">
        <v>0</v>
      </c>
      <c r="O64" t="n">
        <v>2</v>
      </c>
      <c r="P64" t="n">
        <v>0</v>
      </c>
      <c r="Q64" t="n">
        <v>4</v>
      </c>
      <c r="R64" s="2" t="inlineStr">
        <is>
          <t>Garnlav
Talltita
Dropptaggsvamp
Tjäder</t>
        </is>
      </c>
      <c r="S64">
        <f>HYPERLINK("https://klasma.github.io/Logging_2062/artfynd/A 14293-2024 artfynd.xlsx", "A 14293-2024")</f>
        <v/>
      </c>
      <c r="T64">
        <f>HYPERLINK("https://klasma.github.io/Logging_2062/kartor/A 14293-2024 karta.png", "A 14293-2024")</f>
        <v/>
      </c>
      <c r="V64">
        <f>HYPERLINK("https://klasma.github.io/Logging_2062/klagomål/A 14293-2024 FSC-klagomål.docx", "A 14293-2024")</f>
        <v/>
      </c>
      <c r="W64">
        <f>HYPERLINK("https://klasma.github.io/Logging_2062/klagomålsmail/A 14293-2024 FSC-klagomål mail.docx", "A 14293-2024")</f>
        <v/>
      </c>
      <c r="X64">
        <f>HYPERLINK("https://klasma.github.io/Logging_2062/tillsyn/A 14293-2024 tillsynsbegäran.docx", "A 14293-2024")</f>
        <v/>
      </c>
      <c r="Y64">
        <f>HYPERLINK("https://klasma.github.io/Logging_2062/tillsynsmail/A 14293-2024 tillsynsbegäran mail.docx", "A 14293-2024")</f>
        <v/>
      </c>
      <c r="Z64">
        <f>HYPERLINK("https://klasma.github.io/Logging_2062/fåglar/A 14293-2024 prioriterade fågelarter.docx", "A 14293-2024")</f>
        <v/>
      </c>
    </row>
    <row r="65" ht="15" customHeight="1">
      <c r="A65" t="inlineStr">
        <is>
          <t>A 17648-2024</t>
        </is>
      </c>
      <c r="B65" s="1" t="n">
        <v>45418.39261574074</v>
      </c>
      <c r="C65" s="1" t="n">
        <v>46098</v>
      </c>
      <c r="D65" t="inlineStr">
        <is>
          <t>DALARNAS LÄN</t>
        </is>
      </c>
      <c r="E65" t="inlineStr">
        <is>
          <t>MORA</t>
        </is>
      </c>
      <c r="G65" t="n">
        <v>1.7</v>
      </c>
      <c r="H65" t="n">
        <v>4</v>
      </c>
      <c r="I65" t="n">
        <v>0</v>
      </c>
      <c r="J65" t="n">
        <v>2</v>
      </c>
      <c r="K65" t="n">
        <v>0</v>
      </c>
      <c r="L65" t="n">
        <v>0</v>
      </c>
      <c r="M65" t="n">
        <v>0</v>
      </c>
      <c r="N65" t="n">
        <v>0</v>
      </c>
      <c r="O65" t="n">
        <v>2</v>
      </c>
      <c r="P65" t="n">
        <v>0</v>
      </c>
      <c r="Q65" t="n">
        <v>4</v>
      </c>
      <c r="R65" s="2" t="inlineStr">
        <is>
          <t>Brunlångöra
Nordfladdermus
Dvärgpipistrell
Vattenfladdermus</t>
        </is>
      </c>
      <c r="S65">
        <f>HYPERLINK("https://klasma.github.io/Logging_2062/artfynd/A 17648-2024 artfynd.xlsx", "A 17648-2024")</f>
        <v/>
      </c>
      <c r="T65">
        <f>HYPERLINK("https://klasma.github.io/Logging_2062/kartor/A 17648-2024 karta.png", "A 17648-2024")</f>
        <v/>
      </c>
      <c r="V65">
        <f>HYPERLINK("https://klasma.github.io/Logging_2062/klagomål/A 17648-2024 FSC-klagomål.docx", "A 17648-2024")</f>
        <v/>
      </c>
      <c r="W65">
        <f>HYPERLINK("https://klasma.github.io/Logging_2062/klagomålsmail/A 17648-2024 FSC-klagomål mail.docx", "A 17648-2024")</f>
        <v/>
      </c>
      <c r="X65">
        <f>HYPERLINK("https://klasma.github.io/Logging_2062/tillsyn/A 17648-2024 tillsynsbegäran.docx", "A 17648-2024")</f>
        <v/>
      </c>
      <c r="Y65">
        <f>HYPERLINK("https://klasma.github.io/Logging_2062/tillsynsmail/A 17648-2024 tillsynsbegäran mail.docx", "A 17648-2024")</f>
        <v/>
      </c>
    </row>
    <row r="66" ht="15" customHeight="1">
      <c r="A66" t="inlineStr">
        <is>
          <t>A 49695-2025</t>
        </is>
      </c>
      <c r="B66" s="1" t="n">
        <v>45939.67418981482</v>
      </c>
      <c r="C66" s="1" t="n">
        <v>46098</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39481-2025</t>
        </is>
      </c>
      <c r="B67" s="1" t="n">
        <v>45890.35545138889</v>
      </c>
      <c r="C67" s="1" t="n">
        <v>46098</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39481-2025 artfynd.xlsx", "A 39481-2025")</f>
        <v/>
      </c>
      <c r="T67">
        <f>HYPERLINK("https://klasma.github.io/Logging_2062/kartor/A 39481-2025 karta.png", "A 39481-2025")</f>
        <v/>
      </c>
      <c r="V67">
        <f>HYPERLINK("https://klasma.github.io/Logging_2062/klagomål/A 39481-2025 FSC-klagomål.docx", "A 39481-2025")</f>
        <v/>
      </c>
      <c r="W67">
        <f>HYPERLINK("https://klasma.github.io/Logging_2062/klagomålsmail/A 39481-2025 FSC-klagomål mail.docx", "A 39481-2025")</f>
        <v/>
      </c>
      <c r="X67">
        <f>HYPERLINK("https://klasma.github.io/Logging_2062/tillsyn/A 39481-2025 tillsynsbegäran.docx", "A 39481-2025")</f>
        <v/>
      </c>
      <c r="Y67">
        <f>HYPERLINK("https://klasma.github.io/Logging_2062/tillsynsmail/A 39481-2025 tillsynsbegäran mail.docx", "A 39481-2025")</f>
        <v/>
      </c>
      <c r="Z67">
        <f>HYPERLINK("https://klasma.github.io/Logging_2062/fåglar/A 39481-2025 prioriterade fågelarter.docx", "A 39481-2025")</f>
        <v/>
      </c>
    </row>
    <row r="68" ht="15" customHeight="1">
      <c r="A68" t="inlineStr">
        <is>
          <t>A 23163-2025</t>
        </is>
      </c>
      <c r="B68" s="1" t="n">
        <v>45791.41832175926</v>
      </c>
      <c r="C68" s="1" t="n">
        <v>46098</v>
      </c>
      <c r="D68" t="inlineStr">
        <is>
          <t>DALARNAS LÄN</t>
        </is>
      </c>
      <c r="E68" t="inlineStr">
        <is>
          <t>MORA</t>
        </is>
      </c>
      <c r="G68" t="n">
        <v>4.2</v>
      </c>
      <c r="H68" t="n">
        <v>2</v>
      </c>
      <c r="I68" t="n">
        <v>0</v>
      </c>
      <c r="J68" t="n">
        <v>3</v>
      </c>
      <c r="K68" t="n">
        <v>0</v>
      </c>
      <c r="L68" t="n">
        <v>0</v>
      </c>
      <c r="M68" t="n">
        <v>0</v>
      </c>
      <c r="N68" t="n">
        <v>0</v>
      </c>
      <c r="O68" t="n">
        <v>3</v>
      </c>
      <c r="P68" t="n">
        <v>0</v>
      </c>
      <c r="Q68" t="n">
        <v>3</v>
      </c>
      <c r="R68" s="2" t="inlineStr">
        <is>
          <t>Garnlav
Spillkråka
Talltita</t>
        </is>
      </c>
      <c r="S68">
        <f>HYPERLINK("https://klasma.github.io/Logging_2062/artfynd/A 23163-2025 artfynd.xlsx", "A 23163-2025")</f>
        <v/>
      </c>
      <c r="T68">
        <f>HYPERLINK("https://klasma.github.io/Logging_2062/kartor/A 23163-2025 karta.png", "A 23163-2025")</f>
        <v/>
      </c>
      <c r="U68">
        <f>HYPERLINK("https://klasma.github.io/Logging_2062/knärot/A 23163-2025 karta knärot.png", "A 23163-2025")</f>
        <v/>
      </c>
      <c r="V68">
        <f>HYPERLINK("https://klasma.github.io/Logging_2062/klagomål/A 23163-2025 FSC-klagomål.docx", "A 23163-2025")</f>
        <v/>
      </c>
      <c r="W68">
        <f>HYPERLINK("https://klasma.github.io/Logging_2062/klagomålsmail/A 23163-2025 FSC-klagomål mail.docx", "A 23163-2025")</f>
        <v/>
      </c>
      <c r="X68">
        <f>HYPERLINK("https://klasma.github.io/Logging_2062/tillsyn/A 23163-2025 tillsynsbegäran.docx", "A 23163-2025")</f>
        <v/>
      </c>
      <c r="Y68">
        <f>HYPERLINK("https://klasma.github.io/Logging_2062/tillsynsmail/A 23163-2025 tillsynsbegäran mail.docx", "A 23163-2025")</f>
        <v/>
      </c>
      <c r="Z68">
        <f>HYPERLINK("https://klasma.github.io/Logging_2062/fåglar/A 23163-2025 prioriterade fågelarter.docx", "A 23163-2025")</f>
        <v/>
      </c>
    </row>
    <row r="69" ht="15" customHeight="1">
      <c r="A69" t="inlineStr">
        <is>
          <t>A 29392-2025</t>
        </is>
      </c>
      <c r="B69" s="1" t="n">
        <v>45824.60537037037</v>
      </c>
      <c r="C69" s="1" t="n">
        <v>46098</v>
      </c>
      <c r="D69" t="inlineStr">
        <is>
          <t>DALARNAS LÄN</t>
        </is>
      </c>
      <c r="E69" t="inlineStr">
        <is>
          <t>MORA</t>
        </is>
      </c>
      <c r="G69" t="n">
        <v>1</v>
      </c>
      <c r="H69" t="n">
        <v>1</v>
      </c>
      <c r="I69" t="n">
        <v>2</v>
      </c>
      <c r="J69" t="n">
        <v>1</v>
      </c>
      <c r="K69" t="n">
        <v>0</v>
      </c>
      <c r="L69" t="n">
        <v>0</v>
      </c>
      <c r="M69" t="n">
        <v>0</v>
      </c>
      <c r="N69" t="n">
        <v>0</v>
      </c>
      <c r="O69" t="n">
        <v>1</v>
      </c>
      <c r="P69" t="n">
        <v>0</v>
      </c>
      <c r="Q69" t="n">
        <v>3</v>
      </c>
      <c r="R69" s="2" t="inlineStr">
        <is>
          <t>Garnlav
Mindre märgborre
Plattlummer</t>
        </is>
      </c>
      <c r="S69">
        <f>HYPERLINK("https://klasma.github.io/Logging_2062/artfynd/A 29392-2025 artfynd.xlsx", "A 29392-2025")</f>
        <v/>
      </c>
      <c r="T69">
        <f>HYPERLINK("https://klasma.github.io/Logging_2062/kartor/A 29392-2025 karta.png", "A 29392-2025")</f>
        <v/>
      </c>
      <c r="V69">
        <f>HYPERLINK("https://klasma.github.io/Logging_2062/klagomål/A 29392-2025 FSC-klagomål.docx", "A 29392-2025")</f>
        <v/>
      </c>
      <c r="W69">
        <f>HYPERLINK("https://klasma.github.io/Logging_2062/klagomålsmail/A 29392-2025 FSC-klagomål mail.docx", "A 29392-2025")</f>
        <v/>
      </c>
      <c r="X69">
        <f>HYPERLINK("https://klasma.github.io/Logging_2062/tillsyn/A 29392-2025 tillsynsbegäran.docx", "A 29392-2025")</f>
        <v/>
      </c>
      <c r="Y69">
        <f>HYPERLINK("https://klasma.github.io/Logging_2062/tillsynsmail/A 29392-2025 tillsynsbegäran mail.docx", "A 29392-2025")</f>
        <v/>
      </c>
    </row>
    <row r="70" ht="15" customHeight="1">
      <c r="A70" t="inlineStr">
        <is>
          <t>A 62620-2025</t>
        </is>
      </c>
      <c r="B70" s="1" t="n">
        <v>46008.34148148148</v>
      </c>
      <c r="C70" s="1" t="n">
        <v>46098</v>
      </c>
      <c r="D70" t="inlineStr">
        <is>
          <t>DALARNAS LÄN</t>
        </is>
      </c>
      <c r="E70" t="inlineStr">
        <is>
          <t>MORA</t>
        </is>
      </c>
      <c r="G70" t="n">
        <v>3.3</v>
      </c>
      <c r="H70" t="n">
        <v>1</v>
      </c>
      <c r="I70" t="n">
        <v>1</v>
      </c>
      <c r="J70" t="n">
        <v>2</v>
      </c>
      <c r="K70" t="n">
        <v>0</v>
      </c>
      <c r="L70" t="n">
        <v>0</v>
      </c>
      <c r="M70" t="n">
        <v>0</v>
      </c>
      <c r="N70" t="n">
        <v>0</v>
      </c>
      <c r="O70" t="n">
        <v>2</v>
      </c>
      <c r="P70" t="n">
        <v>0</v>
      </c>
      <c r="Q70" t="n">
        <v>3</v>
      </c>
      <c r="R70" s="2" t="inlineStr">
        <is>
          <t>Garnlav
Tretåig hackspett
Mindre märgborre</t>
        </is>
      </c>
      <c r="S70">
        <f>HYPERLINK("https://klasma.github.io/Logging_2062/artfynd/A 62620-2025 artfynd.xlsx", "A 62620-2025")</f>
        <v/>
      </c>
      <c r="T70">
        <f>HYPERLINK("https://klasma.github.io/Logging_2062/kartor/A 62620-2025 karta.png", "A 62620-2025")</f>
        <v/>
      </c>
      <c r="V70">
        <f>HYPERLINK("https://klasma.github.io/Logging_2062/klagomål/A 62620-2025 FSC-klagomål.docx", "A 62620-2025")</f>
        <v/>
      </c>
      <c r="W70">
        <f>HYPERLINK("https://klasma.github.io/Logging_2062/klagomålsmail/A 62620-2025 FSC-klagomål mail.docx", "A 62620-2025")</f>
        <v/>
      </c>
      <c r="X70">
        <f>HYPERLINK("https://klasma.github.io/Logging_2062/tillsyn/A 62620-2025 tillsynsbegäran.docx", "A 62620-2025")</f>
        <v/>
      </c>
      <c r="Y70">
        <f>HYPERLINK("https://klasma.github.io/Logging_2062/tillsynsmail/A 62620-2025 tillsynsbegäran mail.docx", "A 62620-2025")</f>
        <v/>
      </c>
      <c r="Z70">
        <f>HYPERLINK("https://klasma.github.io/Logging_2062/fåglar/A 62620-2025 prioriterade fågelarter.docx", "A 62620-2025")</f>
        <v/>
      </c>
    </row>
    <row r="71" ht="15" customHeight="1">
      <c r="A71" t="inlineStr">
        <is>
          <t>A 8878-2026</t>
        </is>
      </c>
      <c r="B71" s="1" t="n">
        <v>46067.50817129629</v>
      </c>
      <c r="C71" s="1" t="n">
        <v>46098</v>
      </c>
      <c r="D71" t="inlineStr">
        <is>
          <t>DALARNAS LÄN</t>
        </is>
      </c>
      <c r="E71" t="inlineStr">
        <is>
          <t>MORA</t>
        </is>
      </c>
      <c r="G71" t="n">
        <v>2.3</v>
      </c>
      <c r="H71" t="n">
        <v>3</v>
      </c>
      <c r="I71" t="n">
        <v>0</v>
      </c>
      <c r="J71" t="n">
        <v>1</v>
      </c>
      <c r="K71" t="n">
        <v>0</v>
      </c>
      <c r="L71" t="n">
        <v>0</v>
      </c>
      <c r="M71" t="n">
        <v>0</v>
      </c>
      <c r="N71" t="n">
        <v>0</v>
      </c>
      <c r="O71" t="n">
        <v>1</v>
      </c>
      <c r="P71" t="n">
        <v>0</v>
      </c>
      <c r="Q71" t="n">
        <v>3</v>
      </c>
      <c r="R71" s="2" t="inlineStr">
        <is>
          <t>Järpe
Tjäder
Revlummer</t>
        </is>
      </c>
      <c r="S71">
        <f>HYPERLINK("https://klasma.github.io/Logging_2062/artfynd/A 8878-2026 artfynd.xlsx", "A 8878-2026")</f>
        <v/>
      </c>
      <c r="T71">
        <f>HYPERLINK("https://klasma.github.io/Logging_2062/kartor/A 8878-2026 karta.png", "A 8878-2026")</f>
        <v/>
      </c>
      <c r="V71">
        <f>HYPERLINK("https://klasma.github.io/Logging_2062/klagomål/A 8878-2026 FSC-klagomål.docx", "A 8878-2026")</f>
        <v/>
      </c>
      <c r="W71">
        <f>HYPERLINK("https://klasma.github.io/Logging_2062/klagomålsmail/A 8878-2026 FSC-klagomål mail.docx", "A 8878-2026")</f>
        <v/>
      </c>
      <c r="X71">
        <f>HYPERLINK("https://klasma.github.io/Logging_2062/tillsyn/A 8878-2026 tillsynsbegäran.docx", "A 8878-2026")</f>
        <v/>
      </c>
      <c r="Y71">
        <f>HYPERLINK("https://klasma.github.io/Logging_2062/tillsynsmail/A 8878-2026 tillsynsbegäran mail.docx", "A 8878-2026")</f>
        <v/>
      </c>
      <c r="Z71">
        <f>HYPERLINK("https://klasma.github.io/Logging_2062/fåglar/A 8878-2026 prioriterade fågelarter.docx", "A 8878-2026")</f>
        <v/>
      </c>
    </row>
    <row r="72" ht="15" customHeight="1">
      <c r="A72" t="inlineStr">
        <is>
          <t>A 35068-2025</t>
        </is>
      </c>
      <c r="B72" s="1" t="n">
        <v>45852.45686342593</v>
      </c>
      <c r="C72" s="1" t="n">
        <v>46098</v>
      </c>
      <c r="D72" t="inlineStr">
        <is>
          <t>DALARNAS LÄN</t>
        </is>
      </c>
      <c r="E72" t="inlineStr">
        <is>
          <t>MORA</t>
        </is>
      </c>
      <c r="G72" t="n">
        <v>0.7</v>
      </c>
      <c r="H72" t="n">
        <v>0</v>
      </c>
      <c r="I72" t="n">
        <v>1</v>
      </c>
      <c r="J72" t="n">
        <v>1</v>
      </c>
      <c r="K72" t="n">
        <v>0</v>
      </c>
      <c r="L72" t="n">
        <v>0</v>
      </c>
      <c r="M72" t="n">
        <v>0</v>
      </c>
      <c r="N72" t="n">
        <v>0</v>
      </c>
      <c r="O72" t="n">
        <v>1</v>
      </c>
      <c r="P72" t="n">
        <v>0</v>
      </c>
      <c r="Q72" t="n">
        <v>2</v>
      </c>
      <c r="R72" s="2" t="inlineStr">
        <is>
          <t>Garnlav
Mindre märgborre</t>
        </is>
      </c>
      <c r="S72">
        <f>HYPERLINK("https://klasma.github.io/Logging_2062/artfynd/A 35068-2025 artfynd.xlsx", "A 35068-2025")</f>
        <v/>
      </c>
      <c r="T72">
        <f>HYPERLINK("https://klasma.github.io/Logging_2062/kartor/A 35068-2025 karta.png", "A 35068-2025")</f>
        <v/>
      </c>
      <c r="V72">
        <f>HYPERLINK("https://klasma.github.io/Logging_2062/klagomål/A 35068-2025 FSC-klagomål.docx", "A 35068-2025")</f>
        <v/>
      </c>
      <c r="W72">
        <f>HYPERLINK("https://klasma.github.io/Logging_2062/klagomålsmail/A 35068-2025 FSC-klagomål mail.docx", "A 35068-2025")</f>
        <v/>
      </c>
      <c r="X72">
        <f>HYPERLINK("https://klasma.github.io/Logging_2062/tillsyn/A 35068-2025 tillsynsbegäran.docx", "A 35068-2025")</f>
        <v/>
      </c>
      <c r="Y72">
        <f>HYPERLINK("https://klasma.github.io/Logging_2062/tillsynsmail/A 35068-2025 tillsynsbegäran mail.docx", "A 35068-2025")</f>
        <v/>
      </c>
    </row>
    <row r="73" ht="15" customHeight="1">
      <c r="A73" t="inlineStr">
        <is>
          <t>A 42028-2023</t>
        </is>
      </c>
      <c r="B73" s="1" t="n">
        <v>45177.49715277777</v>
      </c>
      <c r="C73" s="1" t="n">
        <v>46098</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37552-2023</t>
        </is>
      </c>
      <c r="B74" s="1" t="n">
        <v>45159.32799768518</v>
      </c>
      <c r="C74" s="1" t="n">
        <v>46098</v>
      </c>
      <c r="D74" t="inlineStr">
        <is>
          <t>DALARNAS LÄN</t>
        </is>
      </c>
      <c r="E74" t="inlineStr">
        <is>
          <t>MORA</t>
        </is>
      </c>
      <c r="G74" t="n">
        <v>4</v>
      </c>
      <c r="H74" t="n">
        <v>0</v>
      </c>
      <c r="I74" t="n">
        <v>0</v>
      </c>
      <c r="J74" t="n">
        <v>2</v>
      </c>
      <c r="K74" t="n">
        <v>0</v>
      </c>
      <c r="L74" t="n">
        <v>0</v>
      </c>
      <c r="M74" t="n">
        <v>0</v>
      </c>
      <c r="N74" t="n">
        <v>0</v>
      </c>
      <c r="O74" t="n">
        <v>2</v>
      </c>
      <c r="P74" t="n">
        <v>0</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36058-2024</t>
        </is>
      </c>
      <c r="B75" s="1" t="n">
        <v>45533</v>
      </c>
      <c r="C75" s="1" t="n">
        <v>46098</v>
      </c>
      <c r="D75" t="inlineStr">
        <is>
          <t>DALARNAS LÄN</t>
        </is>
      </c>
      <c r="E75" t="inlineStr">
        <is>
          <t>MORA</t>
        </is>
      </c>
      <c r="G75" t="n">
        <v>1</v>
      </c>
      <c r="H75" t="n">
        <v>0</v>
      </c>
      <c r="I75" t="n">
        <v>0</v>
      </c>
      <c r="J75" t="n">
        <v>1</v>
      </c>
      <c r="K75" t="n">
        <v>0</v>
      </c>
      <c r="L75" t="n">
        <v>0</v>
      </c>
      <c r="M75" t="n">
        <v>0</v>
      </c>
      <c r="N75" t="n">
        <v>0</v>
      </c>
      <c r="O75" t="n">
        <v>1</v>
      </c>
      <c r="P75" t="n">
        <v>0</v>
      </c>
      <c r="Q75" t="n">
        <v>1</v>
      </c>
      <c r="R75" s="2" t="inlineStr">
        <is>
          <t>Garnlav</t>
        </is>
      </c>
      <c r="S75">
        <f>HYPERLINK("https://klasma.github.io/Logging_2062/artfynd/A 36058-2024 artfynd.xlsx", "A 36058-2024")</f>
        <v/>
      </c>
      <c r="T75">
        <f>HYPERLINK("https://klasma.github.io/Logging_2062/kartor/A 36058-2024 karta.png", "A 36058-2024")</f>
        <v/>
      </c>
      <c r="V75">
        <f>HYPERLINK("https://klasma.github.io/Logging_2062/klagomål/A 36058-2024 FSC-klagomål.docx", "A 36058-2024")</f>
        <v/>
      </c>
      <c r="W75">
        <f>HYPERLINK("https://klasma.github.io/Logging_2062/klagomålsmail/A 36058-2024 FSC-klagomål mail.docx", "A 36058-2024")</f>
        <v/>
      </c>
      <c r="X75">
        <f>HYPERLINK("https://klasma.github.io/Logging_2062/tillsyn/A 36058-2024 tillsynsbegäran.docx", "A 36058-2024")</f>
        <v/>
      </c>
      <c r="Y75">
        <f>HYPERLINK("https://klasma.github.io/Logging_2062/tillsynsmail/A 36058-2024 tillsynsbegäran mail.docx", "A 36058-2024")</f>
        <v/>
      </c>
    </row>
    <row r="76" ht="15" customHeight="1">
      <c r="A76" t="inlineStr">
        <is>
          <t>A 5304-2023</t>
        </is>
      </c>
      <c r="B76" s="1" t="n">
        <v>44959.55116898148</v>
      </c>
      <c r="C76" s="1" t="n">
        <v>46098</v>
      </c>
      <c r="D76" t="inlineStr">
        <is>
          <t>DALARNAS LÄN</t>
        </is>
      </c>
      <c r="E76" t="inlineStr">
        <is>
          <t>MORA</t>
        </is>
      </c>
      <c r="F76" t="inlineStr">
        <is>
          <t>Bergvik skog väst AB</t>
        </is>
      </c>
      <c r="G76" t="n">
        <v>7.3</v>
      </c>
      <c r="H76" t="n">
        <v>0</v>
      </c>
      <c r="I76" t="n">
        <v>0</v>
      </c>
      <c r="J76" t="n">
        <v>1</v>
      </c>
      <c r="K76" t="n">
        <v>0</v>
      </c>
      <c r="L76" t="n">
        <v>0</v>
      </c>
      <c r="M76" t="n">
        <v>0</v>
      </c>
      <c r="N76" t="n">
        <v>0</v>
      </c>
      <c r="O76" t="n">
        <v>1</v>
      </c>
      <c r="P76" t="n">
        <v>0</v>
      </c>
      <c r="Q76" t="n">
        <v>1</v>
      </c>
      <c r="R76" s="2" t="inlineStr">
        <is>
          <t>Backruta</t>
        </is>
      </c>
      <c r="S76">
        <f>HYPERLINK("https://klasma.github.io/Logging_2062/artfynd/A 5304-2023 artfynd.xlsx", "A 5304-2023")</f>
        <v/>
      </c>
      <c r="T76">
        <f>HYPERLINK("https://klasma.github.io/Logging_2062/kartor/A 5304-2023 karta.png", "A 5304-2023")</f>
        <v/>
      </c>
      <c r="V76">
        <f>HYPERLINK("https://klasma.github.io/Logging_2062/klagomål/A 5304-2023 FSC-klagomål.docx", "A 5304-2023")</f>
        <v/>
      </c>
      <c r="W76">
        <f>HYPERLINK("https://klasma.github.io/Logging_2062/klagomålsmail/A 5304-2023 FSC-klagomål mail.docx", "A 5304-2023")</f>
        <v/>
      </c>
      <c r="X76">
        <f>HYPERLINK("https://klasma.github.io/Logging_2062/tillsyn/A 5304-2023 tillsynsbegäran.docx", "A 5304-2023")</f>
        <v/>
      </c>
      <c r="Y76">
        <f>HYPERLINK("https://klasma.github.io/Logging_2062/tillsynsmail/A 5304-2023 tillsynsbegäran mail.docx", "A 5304-2023")</f>
        <v/>
      </c>
    </row>
    <row r="77" ht="15" customHeight="1">
      <c r="A77" t="inlineStr">
        <is>
          <t>A 27113-2024</t>
        </is>
      </c>
      <c r="B77" s="1" t="n">
        <v>45471</v>
      </c>
      <c r="C77" s="1" t="n">
        <v>46098</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16094-2024</t>
        </is>
      </c>
      <c r="B78" s="1" t="n">
        <v>45406.41648148148</v>
      </c>
      <c r="C78" s="1" t="n">
        <v>46098</v>
      </c>
      <c r="D78" t="inlineStr">
        <is>
          <t>DALARNAS LÄN</t>
        </is>
      </c>
      <c r="E78" t="inlineStr">
        <is>
          <t>MORA</t>
        </is>
      </c>
      <c r="F78" t="inlineStr">
        <is>
          <t>Bergvik skog väst AB</t>
        </is>
      </c>
      <c r="G78" t="n">
        <v>22.6</v>
      </c>
      <c r="H78" t="n">
        <v>0</v>
      </c>
      <c r="I78" t="n">
        <v>0</v>
      </c>
      <c r="J78" t="n">
        <v>1</v>
      </c>
      <c r="K78" t="n">
        <v>0</v>
      </c>
      <c r="L78" t="n">
        <v>0</v>
      </c>
      <c r="M78" t="n">
        <v>0</v>
      </c>
      <c r="N78" t="n">
        <v>0</v>
      </c>
      <c r="O78" t="n">
        <v>1</v>
      </c>
      <c r="P78" t="n">
        <v>0</v>
      </c>
      <c r="Q78" t="n">
        <v>1</v>
      </c>
      <c r="R78" s="2" t="inlineStr">
        <is>
          <t>Reliktbock</t>
        </is>
      </c>
      <c r="S78">
        <f>HYPERLINK("https://klasma.github.io/Logging_2062/artfynd/A 16094-2024 artfynd.xlsx", "A 16094-2024")</f>
        <v/>
      </c>
      <c r="T78">
        <f>HYPERLINK("https://klasma.github.io/Logging_2062/kartor/A 16094-2024 karta.png", "A 16094-2024")</f>
        <v/>
      </c>
      <c r="V78">
        <f>HYPERLINK("https://klasma.github.io/Logging_2062/klagomål/A 16094-2024 FSC-klagomål.docx", "A 16094-2024")</f>
        <v/>
      </c>
      <c r="W78">
        <f>HYPERLINK("https://klasma.github.io/Logging_2062/klagomålsmail/A 16094-2024 FSC-klagomål mail.docx", "A 16094-2024")</f>
        <v/>
      </c>
      <c r="X78">
        <f>HYPERLINK("https://klasma.github.io/Logging_2062/tillsyn/A 16094-2024 tillsynsbegäran.docx", "A 16094-2024")</f>
        <v/>
      </c>
      <c r="Y78">
        <f>HYPERLINK("https://klasma.github.io/Logging_2062/tillsynsmail/A 16094-2024 tillsynsbegäran mail.docx", "A 16094-2024")</f>
        <v/>
      </c>
    </row>
    <row r="79" ht="15" customHeight="1">
      <c r="A79" t="inlineStr">
        <is>
          <t>A 62096-2025</t>
        </is>
      </c>
      <c r="B79" s="1" t="n">
        <v>46006.38961805555</v>
      </c>
      <c r="C79" s="1" t="n">
        <v>46098</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Garnlav</t>
        </is>
      </c>
      <c r="S79">
        <f>HYPERLINK("https://klasma.github.io/Logging_2062/artfynd/A 62096-2025 artfynd.xlsx", "A 62096-2025")</f>
        <v/>
      </c>
      <c r="T79">
        <f>HYPERLINK("https://klasma.github.io/Logging_2062/kartor/A 62096-2025 karta.png", "A 62096-2025")</f>
        <v/>
      </c>
      <c r="V79">
        <f>HYPERLINK("https://klasma.github.io/Logging_2062/klagomål/A 62096-2025 FSC-klagomål.docx", "A 62096-2025")</f>
        <v/>
      </c>
      <c r="W79">
        <f>HYPERLINK("https://klasma.github.io/Logging_2062/klagomålsmail/A 62096-2025 FSC-klagomål mail.docx", "A 62096-2025")</f>
        <v/>
      </c>
      <c r="X79">
        <f>HYPERLINK("https://klasma.github.io/Logging_2062/tillsyn/A 62096-2025 tillsynsbegäran.docx", "A 62096-2025")</f>
        <v/>
      </c>
      <c r="Y79">
        <f>HYPERLINK("https://klasma.github.io/Logging_2062/tillsynsmail/A 62096-2025 tillsynsbegäran mail.docx", "A 62096-2025")</f>
        <v/>
      </c>
    </row>
    <row r="80" ht="15" customHeight="1">
      <c r="A80" t="inlineStr">
        <is>
          <t>A 831-2025</t>
        </is>
      </c>
      <c r="B80" s="1" t="n">
        <v>45665.58001157407</v>
      </c>
      <c r="C80" s="1" t="n">
        <v>46098</v>
      </c>
      <c r="D80" t="inlineStr">
        <is>
          <t>DALARNAS LÄN</t>
        </is>
      </c>
      <c r="E80" t="inlineStr">
        <is>
          <t>MORA</t>
        </is>
      </c>
      <c r="G80" t="n">
        <v>2.5</v>
      </c>
      <c r="H80" t="n">
        <v>0</v>
      </c>
      <c r="I80" t="n">
        <v>1</v>
      </c>
      <c r="J80" t="n">
        <v>0</v>
      </c>
      <c r="K80" t="n">
        <v>0</v>
      </c>
      <c r="L80" t="n">
        <v>0</v>
      </c>
      <c r="M80" t="n">
        <v>0</v>
      </c>
      <c r="N80" t="n">
        <v>0</v>
      </c>
      <c r="O80" t="n">
        <v>0</v>
      </c>
      <c r="P80" t="n">
        <v>0</v>
      </c>
      <c r="Q80" t="n">
        <v>1</v>
      </c>
      <c r="R80" s="2" t="inlineStr">
        <is>
          <t>Stekelbock</t>
        </is>
      </c>
      <c r="S80">
        <f>HYPERLINK("https://klasma.github.io/Logging_2062/artfynd/A 831-2025 artfynd.xlsx", "A 831-2025")</f>
        <v/>
      </c>
      <c r="T80">
        <f>HYPERLINK("https://klasma.github.io/Logging_2062/kartor/A 831-2025 karta.png", "A 831-2025")</f>
        <v/>
      </c>
      <c r="V80">
        <f>HYPERLINK("https://klasma.github.io/Logging_2062/klagomål/A 831-2025 FSC-klagomål.docx", "A 831-2025")</f>
        <v/>
      </c>
      <c r="W80">
        <f>HYPERLINK("https://klasma.github.io/Logging_2062/klagomålsmail/A 831-2025 FSC-klagomål mail.docx", "A 831-2025")</f>
        <v/>
      </c>
      <c r="X80">
        <f>HYPERLINK("https://klasma.github.io/Logging_2062/tillsyn/A 831-2025 tillsynsbegäran.docx", "A 831-2025")</f>
        <v/>
      </c>
      <c r="Y80">
        <f>HYPERLINK("https://klasma.github.io/Logging_2062/tillsynsmail/A 831-2025 tillsynsbegäran mail.docx", "A 831-2025")</f>
        <v/>
      </c>
    </row>
    <row r="81" ht="15" customHeight="1">
      <c r="A81" t="inlineStr">
        <is>
          <t>A 68415-2021</t>
        </is>
      </c>
      <c r="B81" s="1" t="n">
        <v>44529</v>
      </c>
      <c r="C81" s="1" t="n">
        <v>46098</v>
      </c>
      <c r="D81" t="inlineStr">
        <is>
          <t>DALARNAS LÄN</t>
        </is>
      </c>
      <c r="E81" t="inlineStr">
        <is>
          <t>MORA</t>
        </is>
      </c>
      <c r="G81" t="n">
        <v>1.2</v>
      </c>
      <c r="H81" t="n">
        <v>1</v>
      </c>
      <c r="I81" t="n">
        <v>0</v>
      </c>
      <c r="J81" t="n">
        <v>0</v>
      </c>
      <c r="K81" t="n">
        <v>0</v>
      </c>
      <c r="L81" t="n">
        <v>0</v>
      </c>
      <c r="M81" t="n">
        <v>0</v>
      </c>
      <c r="N81" t="n">
        <v>0</v>
      </c>
      <c r="O81" t="n">
        <v>0</v>
      </c>
      <c r="P81" t="n">
        <v>0</v>
      </c>
      <c r="Q81" t="n">
        <v>1</v>
      </c>
      <c r="R81" s="2" t="inlineStr">
        <is>
          <t>Sparvuggla</t>
        </is>
      </c>
      <c r="S81">
        <f>HYPERLINK("https://klasma.github.io/Logging_2062/artfynd/A 68415-2021 artfynd.xlsx", "A 68415-2021")</f>
        <v/>
      </c>
      <c r="T81">
        <f>HYPERLINK("https://klasma.github.io/Logging_2062/kartor/A 68415-2021 karta.png", "A 68415-2021")</f>
        <v/>
      </c>
      <c r="V81">
        <f>HYPERLINK("https://klasma.github.io/Logging_2062/klagomål/A 68415-2021 FSC-klagomål.docx", "A 68415-2021")</f>
        <v/>
      </c>
      <c r="W81">
        <f>HYPERLINK("https://klasma.github.io/Logging_2062/klagomålsmail/A 68415-2021 FSC-klagomål mail.docx", "A 68415-2021")</f>
        <v/>
      </c>
      <c r="X81">
        <f>HYPERLINK("https://klasma.github.io/Logging_2062/tillsyn/A 68415-2021 tillsynsbegäran.docx", "A 68415-2021")</f>
        <v/>
      </c>
      <c r="Y81">
        <f>HYPERLINK("https://klasma.github.io/Logging_2062/tillsynsmail/A 68415-2021 tillsynsbegäran mail.docx", "A 68415-2021")</f>
        <v/>
      </c>
      <c r="Z81">
        <f>HYPERLINK("https://klasma.github.io/Logging_2062/fåglar/A 68415-2021 prioriterade fågelarter.docx", "A 68415-2021")</f>
        <v/>
      </c>
    </row>
    <row r="82" ht="15" customHeight="1">
      <c r="A82" t="inlineStr">
        <is>
          <t>A 57669-2022</t>
        </is>
      </c>
      <c r="B82" s="1" t="n">
        <v>44897</v>
      </c>
      <c r="C82" s="1" t="n">
        <v>46098</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Igelkott</t>
        </is>
      </c>
      <c r="S82">
        <f>HYPERLINK("https://klasma.github.io/Logging_2062/artfynd/A 57669-2022 artfynd.xlsx", "A 57669-2022")</f>
        <v/>
      </c>
      <c r="T82">
        <f>HYPERLINK("https://klasma.github.io/Logging_2062/kartor/A 57669-2022 karta.png", "A 57669-2022")</f>
        <v/>
      </c>
      <c r="V82">
        <f>HYPERLINK("https://klasma.github.io/Logging_2062/klagomål/A 57669-2022 FSC-klagomål.docx", "A 57669-2022")</f>
        <v/>
      </c>
      <c r="W82">
        <f>HYPERLINK("https://klasma.github.io/Logging_2062/klagomålsmail/A 57669-2022 FSC-klagomål mail.docx", "A 57669-2022")</f>
        <v/>
      </c>
      <c r="X82">
        <f>HYPERLINK("https://klasma.github.io/Logging_2062/tillsyn/A 57669-2022 tillsynsbegäran.docx", "A 57669-2022")</f>
        <v/>
      </c>
      <c r="Y82">
        <f>HYPERLINK("https://klasma.github.io/Logging_2062/tillsynsmail/A 57669-2022 tillsynsbegäran mail.docx", "A 57669-2022")</f>
        <v/>
      </c>
    </row>
    <row r="83" ht="15" customHeight="1">
      <c r="A83" t="inlineStr">
        <is>
          <t>A 23736-2023</t>
        </is>
      </c>
      <c r="B83" s="1" t="n">
        <v>45077</v>
      </c>
      <c r="C83" s="1" t="n">
        <v>46098</v>
      </c>
      <c r="D83" t="inlineStr">
        <is>
          <t>DALARNAS LÄN</t>
        </is>
      </c>
      <c r="E83" t="inlineStr">
        <is>
          <t>MORA</t>
        </is>
      </c>
      <c r="G83" t="n">
        <v>7.2</v>
      </c>
      <c r="H83" t="n">
        <v>0</v>
      </c>
      <c r="I83" t="n">
        <v>0</v>
      </c>
      <c r="J83" t="n">
        <v>1</v>
      </c>
      <c r="K83" t="n">
        <v>0</v>
      </c>
      <c r="L83" t="n">
        <v>0</v>
      </c>
      <c r="M83" t="n">
        <v>0</v>
      </c>
      <c r="N83" t="n">
        <v>0</v>
      </c>
      <c r="O83" t="n">
        <v>1</v>
      </c>
      <c r="P83" t="n">
        <v>0</v>
      </c>
      <c r="Q83" t="n">
        <v>1</v>
      </c>
      <c r="R83" s="2" t="inlineStr">
        <is>
          <t>Reliktbock</t>
        </is>
      </c>
      <c r="S83">
        <f>HYPERLINK("https://klasma.github.io/Logging_2062/artfynd/A 23736-2023 artfynd.xlsx", "A 23736-2023")</f>
        <v/>
      </c>
      <c r="T83">
        <f>HYPERLINK("https://klasma.github.io/Logging_2062/kartor/A 23736-2023 karta.png", "A 23736-2023")</f>
        <v/>
      </c>
      <c r="V83">
        <f>HYPERLINK("https://klasma.github.io/Logging_2062/klagomål/A 23736-2023 FSC-klagomål.docx", "A 23736-2023")</f>
        <v/>
      </c>
      <c r="W83">
        <f>HYPERLINK("https://klasma.github.io/Logging_2062/klagomålsmail/A 23736-2023 FSC-klagomål mail.docx", "A 23736-2023")</f>
        <v/>
      </c>
      <c r="X83">
        <f>HYPERLINK("https://klasma.github.io/Logging_2062/tillsyn/A 23736-2023 tillsynsbegäran.docx", "A 23736-2023")</f>
        <v/>
      </c>
      <c r="Y83">
        <f>HYPERLINK("https://klasma.github.io/Logging_2062/tillsynsmail/A 23736-2023 tillsynsbegäran mail.docx", "A 23736-2023")</f>
        <v/>
      </c>
    </row>
    <row r="84" ht="15" customHeight="1">
      <c r="A84" t="inlineStr">
        <is>
          <t>A 45344-2024</t>
        </is>
      </c>
      <c r="B84" s="1" t="n">
        <v>45576</v>
      </c>
      <c r="C84" s="1" t="n">
        <v>46098</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30328-2021</t>
        </is>
      </c>
      <c r="B85" s="1" t="n">
        <v>44364</v>
      </c>
      <c r="C85" s="1" t="n">
        <v>46098</v>
      </c>
      <c r="D85" t="inlineStr">
        <is>
          <t>DALARNAS LÄN</t>
        </is>
      </c>
      <c r="E85" t="inlineStr">
        <is>
          <t>MORA</t>
        </is>
      </c>
      <c r="F85" t="inlineStr">
        <is>
          <t>Bergvik skog öst AB</t>
        </is>
      </c>
      <c r="G85" t="n">
        <v>1.1</v>
      </c>
      <c r="H85" t="n">
        <v>1</v>
      </c>
      <c r="I85" t="n">
        <v>0</v>
      </c>
      <c r="J85" t="n">
        <v>1</v>
      </c>
      <c r="K85" t="n">
        <v>0</v>
      </c>
      <c r="L85" t="n">
        <v>0</v>
      </c>
      <c r="M85" t="n">
        <v>0</v>
      </c>
      <c r="N85" t="n">
        <v>0</v>
      </c>
      <c r="O85" t="n">
        <v>1</v>
      </c>
      <c r="P85" t="n">
        <v>0</v>
      </c>
      <c r="Q85" t="n">
        <v>1</v>
      </c>
      <c r="R85" s="2" t="inlineStr">
        <is>
          <t>Fjällvråk</t>
        </is>
      </c>
      <c r="S85">
        <f>HYPERLINK("https://klasma.github.io/Logging_2062/artfynd/A 30328-2021 artfynd.xlsx", "A 30328-2021")</f>
        <v/>
      </c>
      <c r="T85">
        <f>HYPERLINK("https://klasma.github.io/Logging_2062/kartor/A 30328-2021 karta.png", "A 30328-2021")</f>
        <v/>
      </c>
      <c r="V85">
        <f>HYPERLINK("https://klasma.github.io/Logging_2062/klagomål/A 30328-2021 FSC-klagomål.docx", "A 30328-2021")</f>
        <v/>
      </c>
      <c r="W85">
        <f>HYPERLINK("https://klasma.github.io/Logging_2062/klagomålsmail/A 30328-2021 FSC-klagomål mail.docx", "A 30328-2021")</f>
        <v/>
      </c>
      <c r="X85">
        <f>HYPERLINK("https://klasma.github.io/Logging_2062/tillsyn/A 30328-2021 tillsynsbegäran.docx", "A 30328-2021")</f>
        <v/>
      </c>
      <c r="Y85">
        <f>HYPERLINK("https://klasma.github.io/Logging_2062/tillsynsmail/A 30328-2021 tillsynsbegäran mail.docx", "A 30328-2021")</f>
        <v/>
      </c>
      <c r="Z85">
        <f>HYPERLINK("https://klasma.github.io/Logging_2062/fåglar/A 30328-2021 prioriterade fågelarter.docx", "A 30328-2021")</f>
        <v/>
      </c>
    </row>
    <row r="86" ht="15" customHeight="1">
      <c r="A86" t="inlineStr">
        <is>
          <t>A 13717-2023</t>
        </is>
      </c>
      <c r="B86" s="1" t="n">
        <v>45007</v>
      </c>
      <c r="C86" s="1" t="n">
        <v>46098</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20538-2025</t>
        </is>
      </c>
      <c r="B87" s="1" t="n">
        <v>45775.62283564815</v>
      </c>
      <c r="C87" s="1" t="n">
        <v>46098</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38769-2021</t>
        </is>
      </c>
      <c r="B88" s="1" t="n">
        <v>44410</v>
      </c>
      <c r="C88" s="1" t="n">
        <v>46098</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46098</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66158-2021</t>
        </is>
      </c>
      <c r="B90" s="1" t="n">
        <v>44517.934375</v>
      </c>
      <c r="C90" s="1" t="n">
        <v>46098</v>
      </c>
      <c r="D90" t="inlineStr">
        <is>
          <t>DALARNAS LÄN</t>
        </is>
      </c>
      <c r="E90" t="inlineStr">
        <is>
          <t>MORA</t>
        </is>
      </c>
      <c r="G90" t="n">
        <v>3.3</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46098</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34897-2022</t>
        </is>
      </c>
      <c r="B92" s="1" t="n">
        <v>44796</v>
      </c>
      <c r="C92" s="1" t="n">
        <v>46098</v>
      </c>
      <c r="D92" t="inlineStr">
        <is>
          <t>DALARNAS LÄN</t>
        </is>
      </c>
      <c r="E92" t="inlineStr">
        <is>
          <t>MORA</t>
        </is>
      </c>
      <c r="F92" t="inlineStr">
        <is>
          <t>Bergvik skog väst AB</t>
        </is>
      </c>
      <c r="G92" t="n">
        <v>8</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46098</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46098</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46098</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46098</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29697-2021</t>
        </is>
      </c>
      <c r="B97" s="1" t="n">
        <v>44362.38358796296</v>
      </c>
      <c r="C97" s="1" t="n">
        <v>46098</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54239-2021</t>
        </is>
      </c>
      <c r="B98" s="1" t="n">
        <v>44470.63695601852</v>
      </c>
      <c r="C98" s="1" t="n">
        <v>46098</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46098</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46098</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46098</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46098</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46098</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49583-2021</t>
        </is>
      </c>
      <c r="B104" s="1" t="n">
        <v>44455</v>
      </c>
      <c r="C104" s="1" t="n">
        <v>46098</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46098</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46098</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46098</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46098</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46098</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46098</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46098</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46098</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46098</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30888-2021</t>
        </is>
      </c>
      <c r="B114" s="1" t="n">
        <v>44365.58731481482</v>
      </c>
      <c r="C114" s="1" t="n">
        <v>46098</v>
      </c>
      <c r="D114" t="inlineStr">
        <is>
          <t>DALARNAS LÄN</t>
        </is>
      </c>
      <c r="E114" t="inlineStr">
        <is>
          <t>MORA</t>
        </is>
      </c>
      <c r="G114" t="n">
        <v>0.4</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46098</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46098</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46098</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46098</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46098</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46098</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46098</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46098</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46098</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46098</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46098</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46098</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46098</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46098</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46098</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46098</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46098</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46098</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46098</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46098</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46098</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46098</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46098</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46098</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46098</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46098</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46098</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46098</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46098</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46098</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46098</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46098</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46098</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46098</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46098</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46098</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46098</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46098</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46098</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20594-2025</t>
        </is>
      </c>
      <c r="B154" s="1" t="n">
        <v>45775.74009259259</v>
      </c>
      <c r="C154" s="1" t="n">
        <v>46098</v>
      </c>
      <c r="D154" t="inlineStr">
        <is>
          <t>DALARNAS LÄN</t>
        </is>
      </c>
      <c r="E154" t="inlineStr">
        <is>
          <t>MORA</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35287-2024</t>
        </is>
      </c>
      <c r="B155" s="1" t="n">
        <v>45530</v>
      </c>
      <c r="C155" s="1" t="n">
        <v>46098</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46098</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46098</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5418-2025</t>
        </is>
      </c>
      <c r="B158" s="1" t="n">
        <v>45692.68561342593</v>
      </c>
      <c r="C158" s="1" t="n">
        <v>46098</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39348-2024</t>
        </is>
      </c>
      <c r="B159" s="1" t="n">
        <v>45551.45322916667</v>
      </c>
      <c r="C159" s="1" t="n">
        <v>46098</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52525-2022</t>
        </is>
      </c>
      <c r="B160" s="1" t="n">
        <v>44874</v>
      </c>
      <c r="C160" s="1" t="n">
        <v>46098</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17176-2025</t>
        </is>
      </c>
      <c r="B161" s="1" t="n">
        <v>45756.37520833333</v>
      </c>
      <c r="C161" s="1" t="n">
        <v>46098</v>
      </c>
      <c r="D161" t="inlineStr">
        <is>
          <t>DALARNAS LÄN</t>
        </is>
      </c>
      <c r="E161" t="inlineStr">
        <is>
          <t>MORA</t>
        </is>
      </c>
      <c r="F161" t="inlineStr">
        <is>
          <t>Bergvik skog öst AB</t>
        </is>
      </c>
      <c r="G161" t="n">
        <v>1.7</v>
      </c>
      <c r="H161" t="n">
        <v>0</v>
      </c>
      <c r="I161" t="n">
        <v>0</v>
      </c>
      <c r="J161" t="n">
        <v>0</v>
      </c>
      <c r="K161" t="n">
        <v>0</v>
      </c>
      <c r="L161" t="n">
        <v>0</v>
      </c>
      <c r="M161" t="n">
        <v>0</v>
      </c>
      <c r="N161" t="n">
        <v>0</v>
      </c>
      <c r="O161" t="n">
        <v>0</v>
      </c>
      <c r="P161" t="n">
        <v>0</v>
      </c>
      <c r="Q161" t="n">
        <v>0</v>
      </c>
      <c r="R161" s="2" t="inlineStr"/>
    </row>
    <row r="162" ht="15" customHeight="1">
      <c r="A162" t="inlineStr">
        <is>
          <t>A 59101-2024</t>
        </is>
      </c>
      <c r="B162" s="1" t="n">
        <v>45637.34074074074</v>
      </c>
      <c r="C162" s="1" t="n">
        <v>46098</v>
      </c>
      <c r="D162" t="inlineStr">
        <is>
          <t>DALARNAS LÄN</t>
        </is>
      </c>
      <c r="E162" t="inlineStr">
        <is>
          <t>MORA</t>
        </is>
      </c>
      <c r="F162" t="inlineStr">
        <is>
          <t>Allmännings- och besparingsskogar</t>
        </is>
      </c>
      <c r="G162" t="n">
        <v>1.2</v>
      </c>
      <c r="H162" t="n">
        <v>0</v>
      </c>
      <c r="I162" t="n">
        <v>0</v>
      </c>
      <c r="J162" t="n">
        <v>0</v>
      </c>
      <c r="K162" t="n">
        <v>0</v>
      </c>
      <c r="L162" t="n">
        <v>0</v>
      </c>
      <c r="M162" t="n">
        <v>0</v>
      </c>
      <c r="N162" t="n">
        <v>0</v>
      </c>
      <c r="O162" t="n">
        <v>0</v>
      </c>
      <c r="P162" t="n">
        <v>0</v>
      </c>
      <c r="Q162" t="n">
        <v>0</v>
      </c>
      <c r="R162" s="2" t="inlineStr"/>
    </row>
    <row r="163" ht="15" customHeight="1">
      <c r="A163" t="inlineStr">
        <is>
          <t>A 48390-2024</t>
        </is>
      </c>
      <c r="B163" s="1" t="n">
        <v>45590.60216435185</v>
      </c>
      <c r="C163" s="1" t="n">
        <v>46098</v>
      </c>
      <c r="D163" t="inlineStr">
        <is>
          <t>DALARNAS LÄN</t>
        </is>
      </c>
      <c r="E163" t="inlineStr">
        <is>
          <t>MORA</t>
        </is>
      </c>
      <c r="G163" t="n">
        <v>5</v>
      </c>
      <c r="H163" t="n">
        <v>0</v>
      </c>
      <c r="I163" t="n">
        <v>0</v>
      </c>
      <c r="J163" t="n">
        <v>0</v>
      </c>
      <c r="K163" t="n">
        <v>0</v>
      </c>
      <c r="L163" t="n">
        <v>0</v>
      </c>
      <c r="M163" t="n">
        <v>0</v>
      </c>
      <c r="N163" t="n">
        <v>0</v>
      </c>
      <c r="O163" t="n">
        <v>0</v>
      </c>
      <c r="P163" t="n">
        <v>0</v>
      </c>
      <c r="Q163" t="n">
        <v>0</v>
      </c>
      <c r="R163" s="2" t="inlineStr"/>
    </row>
    <row r="164" ht="15" customHeight="1">
      <c r="A164" t="inlineStr">
        <is>
          <t>A 11442-2022</t>
        </is>
      </c>
      <c r="B164" s="1" t="n">
        <v>44630.62788194444</v>
      </c>
      <c r="C164" s="1" t="n">
        <v>46098</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47414-2025</t>
        </is>
      </c>
      <c r="B165" s="1" t="n">
        <v>45930.61896990741</v>
      </c>
      <c r="C165" s="1" t="n">
        <v>46098</v>
      </c>
      <c r="D165" t="inlineStr">
        <is>
          <t>DALARNAS LÄN</t>
        </is>
      </c>
      <c r="E165" t="inlineStr">
        <is>
          <t>MORA</t>
        </is>
      </c>
      <c r="G165" t="n">
        <v>6.1</v>
      </c>
      <c r="H165" t="n">
        <v>0</v>
      </c>
      <c r="I165" t="n">
        <v>0</v>
      </c>
      <c r="J165" t="n">
        <v>0</v>
      </c>
      <c r="K165" t="n">
        <v>0</v>
      </c>
      <c r="L165" t="n">
        <v>0</v>
      </c>
      <c r="M165" t="n">
        <v>0</v>
      </c>
      <c r="N165" t="n">
        <v>0</v>
      </c>
      <c r="O165" t="n">
        <v>0</v>
      </c>
      <c r="P165" t="n">
        <v>0</v>
      </c>
      <c r="Q165" t="n">
        <v>0</v>
      </c>
      <c r="R165" s="2" t="inlineStr"/>
    </row>
    <row r="166" ht="15" customHeight="1">
      <c r="A166" t="inlineStr">
        <is>
          <t>A 47765-2025</t>
        </is>
      </c>
      <c r="B166" s="1" t="n">
        <v>45931.69100694444</v>
      </c>
      <c r="C166" s="1" t="n">
        <v>46098</v>
      </c>
      <c r="D166" t="inlineStr">
        <is>
          <t>DALARNAS LÄN</t>
        </is>
      </c>
      <c r="E166" t="inlineStr">
        <is>
          <t>MORA</t>
        </is>
      </c>
      <c r="G166" t="n">
        <v>1.7</v>
      </c>
      <c r="H166" t="n">
        <v>0</v>
      </c>
      <c r="I166" t="n">
        <v>0</v>
      </c>
      <c r="J166" t="n">
        <v>0</v>
      </c>
      <c r="K166" t="n">
        <v>0</v>
      </c>
      <c r="L166" t="n">
        <v>0</v>
      </c>
      <c r="M166" t="n">
        <v>0</v>
      </c>
      <c r="N166" t="n">
        <v>0</v>
      </c>
      <c r="O166" t="n">
        <v>0</v>
      </c>
      <c r="P166" t="n">
        <v>0</v>
      </c>
      <c r="Q166" t="n">
        <v>0</v>
      </c>
      <c r="R166" s="2" t="inlineStr"/>
    </row>
    <row r="167" ht="15" customHeight="1">
      <c r="A167" t="inlineStr">
        <is>
          <t>A 47769-2025</t>
        </is>
      </c>
      <c r="B167" s="1" t="n">
        <v>45931.70715277778</v>
      </c>
      <c r="C167" s="1" t="n">
        <v>46098</v>
      </c>
      <c r="D167" t="inlineStr">
        <is>
          <t>DALARNAS LÄN</t>
        </is>
      </c>
      <c r="E167" t="inlineStr">
        <is>
          <t>MORA</t>
        </is>
      </c>
      <c r="G167" t="n">
        <v>6.7</v>
      </c>
      <c r="H167" t="n">
        <v>0</v>
      </c>
      <c r="I167" t="n">
        <v>0</v>
      </c>
      <c r="J167" t="n">
        <v>0</v>
      </c>
      <c r="K167" t="n">
        <v>0</v>
      </c>
      <c r="L167" t="n">
        <v>0</v>
      </c>
      <c r="M167" t="n">
        <v>0</v>
      </c>
      <c r="N167" t="n">
        <v>0</v>
      </c>
      <c r="O167" t="n">
        <v>0</v>
      </c>
      <c r="P167" t="n">
        <v>0</v>
      </c>
      <c r="Q167" t="n">
        <v>0</v>
      </c>
      <c r="R167" s="2" t="inlineStr"/>
    </row>
    <row r="168" ht="15" customHeight="1">
      <c r="A168" t="inlineStr">
        <is>
          <t>A 54903-2024</t>
        </is>
      </c>
      <c r="B168" s="1" t="n">
        <v>45618</v>
      </c>
      <c r="C168" s="1" t="n">
        <v>46098</v>
      </c>
      <c r="D168" t="inlineStr">
        <is>
          <t>DALARNAS LÄN</t>
        </is>
      </c>
      <c r="E168" t="inlineStr">
        <is>
          <t>MORA</t>
        </is>
      </c>
      <c r="G168" t="n">
        <v>28.2</v>
      </c>
      <c r="H168" t="n">
        <v>0</v>
      </c>
      <c r="I168" t="n">
        <v>0</v>
      </c>
      <c r="J168" t="n">
        <v>0</v>
      </c>
      <c r="K168" t="n">
        <v>0</v>
      </c>
      <c r="L168" t="n">
        <v>0</v>
      </c>
      <c r="M168" t="n">
        <v>0</v>
      </c>
      <c r="N168" t="n">
        <v>0</v>
      </c>
      <c r="O168" t="n">
        <v>0</v>
      </c>
      <c r="P168" t="n">
        <v>0</v>
      </c>
      <c r="Q168" t="n">
        <v>0</v>
      </c>
      <c r="R168" s="2" t="inlineStr"/>
    </row>
    <row r="169" ht="15" customHeight="1">
      <c r="A169" t="inlineStr">
        <is>
          <t>A 23302-2024</t>
        </is>
      </c>
      <c r="B169" s="1" t="n">
        <v>45453.44091435185</v>
      </c>
      <c r="C169" s="1" t="n">
        <v>46098</v>
      </c>
      <c r="D169" t="inlineStr">
        <is>
          <t>DALARNAS LÄN</t>
        </is>
      </c>
      <c r="E169" t="inlineStr">
        <is>
          <t>MORA</t>
        </is>
      </c>
      <c r="G169" t="n">
        <v>1.3</v>
      </c>
      <c r="H169" t="n">
        <v>0</v>
      </c>
      <c r="I169" t="n">
        <v>0</v>
      </c>
      <c r="J169" t="n">
        <v>0</v>
      </c>
      <c r="K169" t="n">
        <v>0</v>
      </c>
      <c r="L169" t="n">
        <v>0</v>
      </c>
      <c r="M169" t="n">
        <v>0</v>
      </c>
      <c r="N169" t="n">
        <v>0</v>
      </c>
      <c r="O169" t="n">
        <v>0</v>
      </c>
      <c r="P169" t="n">
        <v>0</v>
      </c>
      <c r="Q169" t="n">
        <v>0</v>
      </c>
      <c r="R169" s="2" t="inlineStr"/>
    </row>
    <row r="170" ht="15" customHeight="1">
      <c r="A170" t="inlineStr">
        <is>
          <t>A 48376-2025</t>
        </is>
      </c>
      <c r="B170" s="1" t="n">
        <v>45933.71648148148</v>
      </c>
      <c r="C170" s="1" t="n">
        <v>46098</v>
      </c>
      <c r="D170" t="inlineStr">
        <is>
          <t>DALARNAS LÄN</t>
        </is>
      </c>
      <c r="E170" t="inlineStr">
        <is>
          <t>MORA</t>
        </is>
      </c>
      <c r="G170" t="n">
        <v>0.8</v>
      </c>
      <c r="H170" t="n">
        <v>0</v>
      </c>
      <c r="I170" t="n">
        <v>0</v>
      </c>
      <c r="J170" t="n">
        <v>0</v>
      </c>
      <c r="K170" t="n">
        <v>0</v>
      </c>
      <c r="L170" t="n">
        <v>0</v>
      </c>
      <c r="M170" t="n">
        <v>0</v>
      </c>
      <c r="N170" t="n">
        <v>0</v>
      </c>
      <c r="O170" t="n">
        <v>0</v>
      </c>
      <c r="P170" t="n">
        <v>0</v>
      </c>
      <c r="Q170" t="n">
        <v>0</v>
      </c>
      <c r="R170" s="2" t="inlineStr"/>
    </row>
    <row r="171" ht="15" customHeight="1">
      <c r="A171" t="inlineStr">
        <is>
          <t>A 47860-2025</t>
        </is>
      </c>
      <c r="B171" s="1" t="n">
        <v>45932.42298611111</v>
      </c>
      <c r="C171" s="1" t="n">
        <v>46098</v>
      </c>
      <c r="D171" t="inlineStr">
        <is>
          <t>DALARNAS LÄN</t>
        </is>
      </c>
      <c r="E171" t="inlineStr">
        <is>
          <t>MORA</t>
        </is>
      </c>
      <c r="G171" t="n">
        <v>2.1</v>
      </c>
      <c r="H171" t="n">
        <v>0</v>
      </c>
      <c r="I171" t="n">
        <v>0</v>
      </c>
      <c r="J171" t="n">
        <v>0</v>
      </c>
      <c r="K171" t="n">
        <v>0</v>
      </c>
      <c r="L171" t="n">
        <v>0</v>
      </c>
      <c r="M171" t="n">
        <v>0</v>
      </c>
      <c r="N171" t="n">
        <v>0</v>
      </c>
      <c r="O171" t="n">
        <v>0</v>
      </c>
      <c r="P171" t="n">
        <v>0</v>
      </c>
      <c r="Q171" t="n">
        <v>0</v>
      </c>
      <c r="R171" s="2" t="inlineStr"/>
    </row>
    <row r="172" ht="15" customHeight="1">
      <c r="A172" t="inlineStr">
        <is>
          <t>A 48377-2025</t>
        </is>
      </c>
      <c r="B172" s="1" t="n">
        <v>45933.71896990741</v>
      </c>
      <c r="C172" s="1" t="n">
        <v>46098</v>
      </c>
      <c r="D172" t="inlineStr">
        <is>
          <t>DALARNAS LÄN</t>
        </is>
      </c>
      <c r="E172" t="inlineStr">
        <is>
          <t>MORA</t>
        </is>
      </c>
      <c r="G172" t="n">
        <v>2</v>
      </c>
      <c r="H172" t="n">
        <v>0</v>
      </c>
      <c r="I172" t="n">
        <v>0</v>
      </c>
      <c r="J172" t="n">
        <v>0</v>
      </c>
      <c r="K172" t="n">
        <v>0</v>
      </c>
      <c r="L172" t="n">
        <v>0</v>
      </c>
      <c r="M172" t="n">
        <v>0</v>
      </c>
      <c r="N172" t="n">
        <v>0</v>
      </c>
      <c r="O172" t="n">
        <v>0</v>
      </c>
      <c r="P172" t="n">
        <v>0</v>
      </c>
      <c r="Q172" t="n">
        <v>0</v>
      </c>
      <c r="R172" s="2" t="inlineStr"/>
    </row>
    <row r="173" ht="15" customHeight="1">
      <c r="A173" t="inlineStr">
        <is>
          <t>A 43874-2024</t>
        </is>
      </c>
      <c r="B173" s="1" t="n">
        <v>45572.38476851852</v>
      </c>
      <c r="C173" s="1" t="n">
        <v>46098</v>
      </c>
      <c r="D173" t="inlineStr">
        <is>
          <t>DALARNAS LÄN</t>
        </is>
      </c>
      <c r="E173" t="inlineStr">
        <is>
          <t>MORA</t>
        </is>
      </c>
      <c r="G173" t="n">
        <v>3.6</v>
      </c>
      <c r="H173" t="n">
        <v>0</v>
      </c>
      <c r="I173" t="n">
        <v>0</v>
      </c>
      <c r="J173" t="n">
        <v>0</v>
      </c>
      <c r="K173" t="n">
        <v>0</v>
      </c>
      <c r="L173" t="n">
        <v>0</v>
      </c>
      <c r="M173" t="n">
        <v>0</v>
      </c>
      <c r="N173" t="n">
        <v>0</v>
      </c>
      <c r="O173" t="n">
        <v>0</v>
      </c>
      <c r="P173" t="n">
        <v>0</v>
      </c>
      <c r="Q173" t="n">
        <v>0</v>
      </c>
      <c r="R173" s="2" t="inlineStr"/>
    </row>
    <row r="174" ht="15" customHeight="1">
      <c r="A174" t="inlineStr">
        <is>
          <t>A 60099-2024</t>
        </is>
      </c>
      <c r="B174" s="1" t="n">
        <v>45642.55645833333</v>
      </c>
      <c r="C174" s="1" t="n">
        <v>46098</v>
      </c>
      <c r="D174" t="inlineStr">
        <is>
          <t>DALARNAS LÄN</t>
        </is>
      </c>
      <c r="E174" t="inlineStr">
        <is>
          <t>MORA</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47716-2025</t>
        </is>
      </c>
      <c r="B175" s="1" t="n">
        <v>45931</v>
      </c>
      <c r="C175" s="1" t="n">
        <v>46098</v>
      </c>
      <c r="D175" t="inlineStr">
        <is>
          <t>DALARNAS LÄN</t>
        </is>
      </c>
      <c r="E175" t="inlineStr">
        <is>
          <t>MORA</t>
        </is>
      </c>
      <c r="G175" t="n">
        <v>8.9</v>
      </c>
      <c r="H175" t="n">
        <v>0</v>
      </c>
      <c r="I175" t="n">
        <v>0</v>
      </c>
      <c r="J175" t="n">
        <v>0</v>
      </c>
      <c r="K175" t="n">
        <v>0</v>
      </c>
      <c r="L175" t="n">
        <v>0</v>
      </c>
      <c r="M175" t="n">
        <v>0</v>
      </c>
      <c r="N175" t="n">
        <v>0</v>
      </c>
      <c r="O175" t="n">
        <v>0</v>
      </c>
      <c r="P175" t="n">
        <v>0</v>
      </c>
      <c r="Q175" t="n">
        <v>0</v>
      </c>
      <c r="R175" s="2" t="inlineStr"/>
    </row>
    <row r="176" ht="15" customHeight="1">
      <c r="A176" t="inlineStr">
        <is>
          <t>A 48927-2025</t>
        </is>
      </c>
      <c r="B176" s="1" t="n">
        <v>45931</v>
      </c>
      <c r="C176" s="1" t="n">
        <v>46098</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48926-2025</t>
        </is>
      </c>
      <c r="B177" s="1" t="n">
        <v>45937.50666666667</v>
      </c>
      <c r="C177" s="1" t="n">
        <v>46098</v>
      </c>
      <c r="D177" t="inlineStr">
        <is>
          <t>DALARNAS LÄN</t>
        </is>
      </c>
      <c r="E177" t="inlineStr">
        <is>
          <t>MORA</t>
        </is>
      </c>
      <c r="G177" t="n">
        <v>0.6</v>
      </c>
      <c r="H177" t="n">
        <v>0</v>
      </c>
      <c r="I177" t="n">
        <v>0</v>
      </c>
      <c r="J177" t="n">
        <v>0</v>
      </c>
      <c r="K177" t="n">
        <v>0</v>
      </c>
      <c r="L177" t="n">
        <v>0</v>
      </c>
      <c r="M177" t="n">
        <v>0</v>
      </c>
      <c r="N177" t="n">
        <v>0</v>
      </c>
      <c r="O177" t="n">
        <v>0</v>
      </c>
      <c r="P177" t="n">
        <v>0</v>
      </c>
      <c r="Q177" t="n">
        <v>0</v>
      </c>
      <c r="R177" s="2" t="inlineStr"/>
    </row>
    <row r="178" ht="15" customHeight="1">
      <c r="A178" t="inlineStr">
        <is>
          <t>A 48929-2025</t>
        </is>
      </c>
      <c r="B178" s="1" t="n">
        <v>45937.51315972222</v>
      </c>
      <c r="C178" s="1" t="n">
        <v>46098</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15443-2025</t>
        </is>
      </c>
      <c r="B179" s="1" t="n">
        <v>45747.48371527778</v>
      </c>
      <c r="C179" s="1" t="n">
        <v>46098</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16573-2024</t>
        </is>
      </c>
      <c r="B180" s="1" t="n">
        <v>45408.46980324074</v>
      </c>
      <c r="C180" s="1" t="n">
        <v>46098</v>
      </c>
      <c r="D180" t="inlineStr">
        <is>
          <t>DALARNAS LÄN</t>
        </is>
      </c>
      <c r="E180" t="inlineStr">
        <is>
          <t>MORA</t>
        </is>
      </c>
      <c r="G180" t="n">
        <v>4.5</v>
      </c>
      <c r="H180" t="n">
        <v>0</v>
      </c>
      <c r="I180" t="n">
        <v>0</v>
      </c>
      <c r="J180" t="n">
        <v>0</v>
      </c>
      <c r="K180" t="n">
        <v>0</v>
      </c>
      <c r="L180" t="n">
        <v>0</v>
      </c>
      <c r="M180" t="n">
        <v>0</v>
      </c>
      <c r="N180" t="n">
        <v>0</v>
      </c>
      <c r="O180" t="n">
        <v>0</v>
      </c>
      <c r="P180" t="n">
        <v>0</v>
      </c>
      <c r="Q180" t="n">
        <v>0</v>
      </c>
      <c r="R180" s="2" t="inlineStr"/>
    </row>
    <row r="181" ht="15" customHeight="1">
      <c r="A181" t="inlineStr">
        <is>
          <t>A 21894-2025</t>
        </is>
      </c>
      <c r="B181" s="1" t="n">
        <v>45784.45060185185</v>
      </c>
      <c r="C181" s="1" t="n">
        <v>46098</v>
      </c>
      <c r="D181" t="inlineStr">
        <is>
          <t>DALARNAS LÄN</t>
        </is>
      </c>
      <c r="E181" t="inlineStr">
        <is>
          <t>MORA</t>
        </is>
      </c>
      <c r="G181" t="n">
        <v>0.7</v>
      </c>
      <c r="H181" t="n">
        <v>0</v>
      </c>
      <c r="I181" t="n">
        <v>0</v>
      </c>
      <c r="J181" t="n">
        <v>0</v>
      </c>
      <c r="K181" t="n">
        <v>0</v>
      </c>
      <c r="L181" t="n">
        <v>0</v>
      </c>
      <c r="M181" t="n">
        <v>0</v>
      </c>
      <c r="N181" t="n">
        <v>0</v>
      </c>
      <c r="O181" t="n">
        <v>0</v>
      </c>
      <c r="P181" t="n">
        <v>0</v>
      </c>
      <c r="Q181" t="n">
        <v>0</v>
      </c>
      <c r="R181" s="2" t="inlineStr"/>
    </row>
    <row r="182" ht="15" customHeight="1">
      <c r="A182" t="inlineStr">
        <is>
          <t>A 49404-2025</t>
        </is>
      </c>
      <c r="B182" s="1" t="n">
        <v>45938.67662037037</v>
      </c>
      <c r="C182" s="1" t="n">
        <v>46098</v>
      </c>
      <c r="D182" t="inlineStr">
        <is>
          <t>DALARNAS LÄN</t>
        </is>
      </c>
      <c r="E182" t="inlineStr">
        <is>
          <t>MORA</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21890-2025</t>
        </is>
      </c>
      <c r="B183" s="1" t="n">
        <v>45784.44481481481</v>
      </c>
      <c r="C183" s="1" t="n">
        <v>46098</v>
      </c>
      <c r="D183" t="inlineStr">
        <is>
          <t>DALARNAS LÄN</t>
        </is>
      </c>
      <c r="E183" t="inlineStr">
        <is>
          <t>MORA</t>
        </is>
      </c>
      <c r="G183" t="n">
        <v>3.8</v>
      </c>
      <c r="H183" t="n">
        <v>0</v>
      </c>
      <c r="I183" t="n">
        <v>0</v>
      </c>
      <c r="J183" t="n">
        <v>0</v>
      </c>
      <c r="K183" t="n">
        <v>0</v>
      </c>
      <c r="L183" t="n">
        <v>0</v>
      </c>
      <c r="M183" t="n">
        <v>0</v>
      </c>
      <c r="N183" t="n">
        <v>0</v>
      </c>
      <c r="O183" t="n">
        <v>0</v>
      </c>
      <c r="P183" t="n">
        <v>0</v>
      </c>
      <c r="Q183" t="n">
        <v>0</v>
      </c>
      <c r="R183" s="2" t="inlineStr"/>
    </row>
    <row r="184" ht="15" customHeight="1">
      <c r="A184" t="inlineStr">
        <is>
          <t>A 21895-2025</t>
        </is>
      </c>
      <c r="B184" s="1" t="n">
        <v>45784.45273148148</v>
      </c>
      <c r="C184" s="1" t="n">
        <v>46098</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49401-2025</t>
        </is>
      </c>
      <c r="B185" s="1" t="n">
        <v>45938.66932870371</v>
      </c>
      <c r="C185" s="1" t="n">
        <v>46098</v>
      </c>
      <c r="D185" t="inlineStr">
        <is>
          <t>DALARNAS LÄN</t>
        </is>
      </c>
      <c r="E185" t="inlineStr">
        <is>
          <t>MORA</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49574-2025</t>
        </is>
      </c>
      <c r="B186" s="1" t="n">
        <v>45939.49045138889</v>
      </c>
      <c r="C186" s="1" t="n">
        <v>46098</v>
      </c>
      <c r="D186" t="inlineStr">
        <is>
          <t>DALARNAS LÄN</t>
        </is>
      </c>
      <c r="E186" t="inlineStr">
        <is>
          <t>MORA</t>
        </is>
      </c>
      <c r="G186" t="n">
        <v>6.3</v>
      </c>
      <c r="H186" t="n">
        <v>0</v>
      </c>
      <c r="I186" t="n">
        <v>0</v>
      </c>
      <c r="J186" t="n">
        <v>0</v>
      </c>
      <c r="K186" t="n">
        <v>0</v>
      </c>
      <c r="L186" t="n">
        <v>0</v>
      </c>
      <c r="M186" t="n">
        <v>0</v>
      </c>
      <c r="N186" t="n">
        <v>0</v>
      </c>
      <c r="O186" t="n">
        <v>0</v>
      </c>
      <c r="P186" t="n">
        <v>0</v>
      </c>
      <c r="Q186" t="n">
        <v>0</v>
      </c>
      <c r="R186" s="2" t="inlineStr"/>
    </row>
    <row r="187" ht="15" customHeight="1">
      <c r="A187" t="inlineStr">
        <is>
          <t>A 49828-2025</t>
        </is>
      </c>
      <c r="B187" s="1" t="n">
        <v>45940.44993055556</v>
      </c>
      <c r="C187" s="1" t="n">
        <v>46098</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22354-2025</t>
        </is>
      </c>
      <c r="B188" s="1" t="n">
        <v>45786.45721064815</v>
      </c>
      <c r="C188" s="1" t="n">
        <v>46098</v>
      </c>
      <c r="D188" t="inlineStr">
        <is>
          <t>DALARNAS LÄN</t>
        </is>
      </c>
      <c r="E188" t="inlineStr">
        <is>
          <t>MORA</t>
        </is>
      </c>
      <c r="F188" t="inlineStr">
        <is>
          <t>Bergvik skog öst AB</t>
        </is>
      </c>
      <c r="G188" t="n">
        <v>2</v>
      </c>
      <c r="H188" t="n">
        <v>0</v>
      </c>
      <c r="I188" t="n">
        <v>0</v>
      </c>
      <c r="J188" t="n">
        <v>0</v>
      </c>
      <c r="K188" t="n">
        <v>0</v>
      </c>
      <c r="L188" t="n">
        <v>0</v>
      </c>
      <c r="M188" t="n">
        <v>0</v>
      </c>
      <c r="N188" t="n">
        <v>0</v>
      </c>
      <c r="O188" t="n">
        <v>0</v>
      </c>
      <c r="P188" t="n">
        <v>0</v>
      </c>
      <c r="Q188" t="n">
        <v>0</v>
      </c>
      <c r="R188" s="2" t="inlineStr"/>
    </row>
    <row r="189" ht="15" customHeight="1">
      <c r="A189" t="inlineStr">
        <is>
          <t>A 47686-2025</t>
        </is>
      </c>
      <c r="B189" s="1" t="n">
        <v>45931</v>
      </c>
      <c r="C189" s="1" t="n">
        <v>46098</v>
      </c>
      <c r="D189" t="inlineStr">
        <is>
          <t>DALARNAS LÄN</t>
        </is>
      </c>
      <c r="E189" t="inlineStr">
        <is>
          <t>MORA</t>
        </is>
      </c>
      <c r="G189" t="n">
        <v>1.3</v>
      </c>
      <c r="H189" t="n">
        <v>0</v>
      </c>
      <c r="I189" t="n">
        <v>0</v>
      </c>
      <c r="J189" t="n">
        <v>0</v>
      </c>
      <c r="K189" t="n">
        <v>0</v>
      </c>
      <c r="L189" t="n">
        <v>0</v>
      </c>
      <c r="M189" t="n">
        <v>0</v>
      </c>
      <c r="N189" t="n">
        <v>0</v>
      </c>
      <c r="O189" t="n">
        <v>0</v>
      </c>
      <c r="P189" t="n">
        <v>0</v>
      </c>
      <c r="Q189" t="n">
        <v>0</v>
      </c>
      <c r="R189" s="2" t="inlineStr"/>
    </row>
    <row r="190" ht="15" customHeight="1">
      <c r="A190" t="inlineStr">
        <is>
          <t>A 22409-2025</t>
        </is>
      </c>
      <c r="B190" s="1" t="n">
        <v>45786.54940972223</v>
      </c>
      <c r="C190" s="1" t="n">
        <v>46098</v>
      </c>
      <c r="D190" t="inlineStr">
        <is>
          <t>DALARNAS LÄN</t>
        </is>
      </c>
      <c r="E190" t="inlineStr">
        <is>
          <t>MORA</t>
        </is>
      </c>
      <c r="F190" t="inlineStr">
        <is>
          <t>Bergvik skog öst AB</t>
        </is>
      </c>
      <c r="G190" t="n">
        <v>5</v>
      </c>
      <c r="H190" t="n">
        <v>0</v>
      </c>
      <c r="I190" t="n">
        <v>0</v>
      </c>
      <c r="J190" t="n">
        <v>0</v>
      </c>
      <c r="K190" t="n">
        <v>0</v>
      </c>
      <c r="L190" t="n">
        <v>0</v>
      </c>
      <c r="M190" t="n">
        <v>0</v>
      </c>
      <c r="N190" t="n">
        <v>0</v>
      </c>
      <c r="O190" t="n">
        <v>0</v>
      </c>
      <c r="P190" t="n">
        <v>0</v>
      </c>
      <c r="Q190" t="n">
        <v>0</v>
      </c>
      <c r="R190" s="2" t="inlineStr"/>
    </row>
    <row r="191" ht="15" customHeight="1">
      <c r="A191" t="inlineStr">
        <is>
          <t>A 23368-2025</t>
        </is>
      </c>
      <c r="B191" s="1" t="n">
        <v>45791.70299768518</v>
      </c>
      <c r="C191" s="1" t="n">
        <v>46098</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56935-2024</t>
        </is>
      </c>
      <c r="B192" s="1" t="n">
        <v>45625</v>
      </c>
      <c r="C192" s="1" t="n">
        <v>46098</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56927-2024</t>
        </is>
      </c>
      <c r="B193" s="1" t="n">
        <v>45625</v>
      </c>
      <c r="C193" s="1" t="n">
        <v>46098</v>
      </c>
      <c r="D193" t="inlineStr">
        <is>
          <t>DALARNAS LÄN</t>
        </is>
      </c>
      <c r="E193" t="inlineStr">
        <is>
          <t>MORA</t>
        </is>
      </c>
      <c r="G193" t="n">
        <v>2.8</v>
      </c>
      <c r="H193" t="n">
        <v>0</v>
      </c>
      <c r="I193" t="n">
        <v>0</v>
      </c>
      <c r="J193" t="n">
        <v>0</v>
      </c>
      <c r="K193" t="n">
        <v>0</v>
      </c>
      <c r="L193" t="n">
        <v>0</v>
      </c>
      <c r="M193" t="n">
        <v>0</v>
      </c>
      <c r="N193" t="n">
        <v>0</v>
      </c>
      <c r="O193" t="n">
        <v>0</v>
      </c>
      <c r="P193" t="n">
        <v>0</v>
      </c>
      <c r="Q193" t="n">
        <v>0</v>
      </c>
      <c r="R193" s="2" t="inlineStr"/>
    </row>
    <row r="194" ht="15" customHeight="1">
      <c r="A194" t="inlineStr">
        <is>
          <t>A 22185-2025</t>
        </is>
      </c>
      <c r="B194" s="1" t="n">
        <v>45785</v>
      </c>
      <c r="C194" s="1" t="n">
        <v>46098</v>
      </c>
      <c r="D194" t="inlineStr">
        <is>
          <t>DALARNAS LÄN</t>
        </is>
      </c>
      <c r="E194" t="inlineStr">
        <is>
          <t>MORA</t>
        </is>
      </c>
      <c r="G194" t="n">
        <v>2.4</v>
      </c>
      <c r="H194" t="n">
        <v>0</v>
      </c>
      <c r="I194" t="n">
        <v>0</v>
      </c>
      <c r="J194" t="n">
        <v>0</v>
      </c>
      <c r="K194" t="n">
        <v>0</v>
      </c>
      <c r="L194" t="n">
        <v>0</v>
      </c>
      <c r="M194" t="n">
        <v>0</v>
      </c>
      <c r="N194" t="n">
        <v>0</v>
      </c>
      <c r="O194" t="n">
        <v>0</v>
      </c>
      <c r="P194" t="n">
        <v>0</v>
      </c>
      <c r="Q194" t="n">
        <v>0</v>
      </c>
      <c r="R194" s="2" t="inlineStr"/>
    </row>
    <row r="195" ht="15" customHeight="1">
      <c r="A195" t="inlineStr">
        <is>
          <t>A 39456-2025</t>
        </is>
      </c>
      <c r="B195" s="1" t="n">
        <v>45889.76200231481</v>
      </c>
      <c r="C195" s="1" t="n">
        <v>46098</v>
      </c>
      <c r="D195" t="inlineStr">
        <is>
          <t>DALARNAS LÄN</t>
        </is>
      </c>
      <c r="E195" t="inlineStr">
        <is>
          <t>MORA</t>
        </is>
      </c>
      <c r="F195" t="inlineStr">
        <is>
          <t>Bergvik skog öst AB</t>
        </is>
      </c>
      <c r="G195" t="n">
        <v>16.7</v>
      </c>
      <c r="H195" t="n">
        <v>0</v>
      </c>
      <c r="I195" t="n">
        <v>0</v>
      </c>
      <c r="J195" t="n">
        <v>0</v>
      </c>
      <c r="K195" t="n">
        <v>0</v>
      </c>
      <c r="L195" t="n">
        <v>0</v>
      </c>
      <c r="M195" t="n">
        <v>0</v>
      </c>
      <c r="N195" t="n">
        <v>0</v>
      </c>
      <c r="O195" t="n">
        <v>0</v>
      </c>
      <c r="P195" t="n">
        <v>0</v>
      </c>
      <c r="Q195" t="n">
        <v>0</v>
      </c>
      <c r="R195" s="2" t="inlineStr"/>
    </row>
    <row r="196" ht="15" customHeight="1">
      <c r="A196" t="inlineStr">
        <is>
          <t>A 39824-2025</t>
        </is>
      </c>
      <c r="B196" s="1" t="n">
        <v>45891</v>
      </c>
      <c r="C196" s="1" t="n">
        <v>46098</v>
      </c>
      <c r="D196" t="inlineStr">
        <is>
          <t>DALARNAS LÄN</t>
        </is>
      </c>
      <c r="E196" t="inlineStr">
        <is>
          <t>MORA</t>
        </is>
      </c>
      <c r="G196" t="n">
        <v>2</v>
      </c>
      <c r="H196" t="n">
        <v>0</v>
      </c>
      <c r="I196" t="n">
        <v>0</v>
      </c>
      <c r="J196" t="n">
        <v>0</v>
      </c>
      <c r="K196" t="n">
        <v>0</v>
      </c>
      <c r="L196" t="n">
        <v>0</v>
      </c>
      <c r="M196" t="n">
        <v>0</v>
      </c>
      <c r="N196" t="n">
        <v>0</v>
      </c>
      <c r="O196" t="n">
        <v>0</v>
      </c>
      <c r="P196" t="n">
        <v>0</v>
      </c>
      <c r="Q196" t="n">
        <v>0</v>
      </c>
      <c r="R196" s="2" t="inlineStr"/>
    </row>
    <row r="197" ht="15" customHeight="1">
      <c r="A197" t="inlineStr">
        <is>
          <t>A 59404-2024</t>
        </is>
      </c>
      <c r="B197" s="1" t="n">
        <v>45638</v>
      </c>
      <c r="C197" s="1" t="n">
        <v>46098</v>
      </c>
      <c r="D197" t="inlineStr">
        <is>
          <t>DALARNAS LÄN</t>
        </is>
      </c>
      <c r="E197" t="inlineStr">
        <is>
          <t>MORA</t>
        </is>
      </c>
      <c r="G197" t="n">
        <v>2.6</v>
      </c>
      <c r="H197" t="n">
        <v>0</v>
      </c>
      <c r="I197" t="n">
        <v>0</v>
      </c>
      <c r="J197" t="n">
        <v>0</v>
      </c>
      <c r="K197" t="n">
        <v>0</v>
      </c>
      <c r="L197" t="n">
        <v>0</v>
      </c>
      <c r="M197" t="n">
        <v>0</v>
      </c>
      <c r="N197" t="n">
        <v>0</v>
      </c>
      <c r="O197" t="n">
        <v>0</v>
      </c>
      <c r="P197" t="n">
        <v>0</v>
      </c>
      <c r="Q197" t="n">
        <v>0</v>
      </c>
      <c r="R197" s="2" t="inlineStr"/>
    </row>
    <row r="198" ht="15" customHeight="1">
      <c r="A198" t="inlineStr">
        <is>
          <t>A 39787-2025</t>
        </is>
      </c>
      <c r="B198" s="1" t="n">
        <v>45891</v>
      </c>
      <c r="C198" s="1" t="n">
        <v>46098</v>
      </c>
      <c r="D198" t="inlineStr">
        <is>
          <t>DALARNAS LÄN</t>
        </is>
      </c>
      <c r="E198" t="inlineStr">
        <is>
          <t>MORA</t>
        </is>
      </c>
      <c r="G198" t="n">
        <v>1.6</v>
      </c>
      <c r="H198" t="n">
        <v>0</v>
      </c>
      <c r="I198" t="n">
        <v>0</v>
      </c>
      <c r="J198" t="n">
        <v>0</v>
      </c>
      <c r="K198" t="n">
        <v>0</v>
      </c>
      <c r="L198" t="n">
        <v>0</v>
      </c>
      <c r="M198" t="n">
        <v>0</v>
      </c>
      <c r="N198" t="n">
        <v>0</v>
      </c>
      <c r="O198" t="n">
        <v>0</v>
      </c>
      <c r="P198" t="n">
        <v>0</v>
      </c>
      <c r="Q198" t="n">
        <v>0</v>
      </c>
      <c r="R198" s="2" t="inlineStr"/>
    </row>
    <row r="199" ht="15" customHeight="1">
      <c r="A199" t="inlineStr">
        <is>
          <t>A 11193-2025</t>
        </is>
      </c>
      <c r="B199" s="1" t="n">
        <v>45725</v>
      </c>
      <c r="C199" s="1" t="n">
        <v>46098</v>
      </c>
      <c r="D199" t="inlineStr">
        <is>
          <t>DALARNAS LÄN</t>
        </is>
      </c>
      <c r="E199" t="inlineStr">
        <is>
          <t>MORA</t>
        </is>
      </c>
      <c r="G199" t="n">
        <v>4.1</v>
      </c>
      <c r="H199" t="n">
        <v>0</v>
      </c>
      <c r="I199" t="n">
        <v>0</v>
      </c>
      <c r="J199" t="n">
        <v>0</v>
      </c>
      <c r="K199" t="n">
        <v>0</v>
      </c>
      <c r="L199" t="n">
        <v>0</v>
      </c>
      <c r="M199" t="n">
        <v>0</v>
      </c>
      <c r="N199" t="n">
        <v>0</v>
      </c>
      <c r="O199" t="n">
        <v>0</v>
      </c>
      <c r="P199" t="n">
        <v>0</v>
      </c>
      <c r="Q199" t="n">
        <v>0</v>
      </c>
      <c r="R199" s="2" t="inlineStr"/>
    </row>
    <row r="200" ht="15" customHeight="1">
      <c r="A200" t="inlineStr">
        <is>
          <t>A 51771-2025</t>
        </is>
      </c>
      <c r="B200" s="1" t="n">
        <v>45951.64653935185</v>
      </c>
      <c r="C200" s="1" t="n">
        <v>46098</v>
      </c>
      <c r="D200" t="inlineStr">
        <is>
          <t>DALARNAS LÄN</t>
        </is>
      </c>
      <c r="E200" t="inlineStr">
        <is>
          <t>MORA</t>
        </is>
      </c>
      <c r="G200" t="n">
        <v>0.7</v>
      </c>
      <c r="H200" t="n">
        <v>0</v>
      </c>
      <c r="I200" t="n">
        <v>0</v>
      </c>
      <c r="J200" t="n">
        <v>0</v>
      </c>
      <c r="K200" t="n">
        <v>0</v>
      </c>
      <c r="L200" t="n">
        <v>0</v>
      </c>
      <c r="M200" t="n">
        <v>0</v>
      </c>
      <c r="N200" t="n">
        <v>0</v>
      </c>
      <c r="O200" t="n">
        <v>0</v>
      </c>
      <c r="P200" t="n">
        <v>0</v>
      </c>
      <c r="Q200" t="n">
        <v>0</v>
      </c>
      <c r="R200" s="2" t="inlineStr"/>
    </row>
    <row r="201" ht="15" customHeight="1">
      <c r="A201" t="inlineStr">
        <is>
          <t>A 56900-2024</t>
        </is>
      </c>
      <c r="B201" s="1" t="n">
        <v>45625</v>
      </c>
      <c r="C201" s="1" t="n">
        <v>46098</v>
      </c>
      <c r="D201" t="inlineStr">
        <is>
          <t>DALARNAS LÄN</t>
        </is>
      </c>
      <c r="E201" t="inlineStr">
        <is>
          <t>MORA</t>
        </is>
      </c>
      <c r="G201" t="n">
        <v>2.7</v>
      </c>
      <c r="H201" t="n">
        <v>0</v>
      </c>
      <c r="I201" t="n">
        <v>0</v>
      </c>
      <c r="J201" t="n">
        <v>0</v>
      </c>
      <c r="K201" t="n">
        <v>0</v>
      </c>
      <c r="L201" t="n">
        <v>0</v>
      </c>
      <c r="M201" t="n">
        <v>0</v>
      </c>
      <c r="N201" t="n">
        <v>0</v>
      </c>
      <c r="O201" t="n">
        <v>0</v>
      </c>
      <c r="P201" t="n">
        <v>0</v>
      </c>
      <c r="Q201" t="n">
        <v>0</v>
      </c>
      <c r="R201" s="2" t="inlineStr"/>
    </row>
    <row r="202" ht="15" customHeight="1">
      <c r="A202" t="inlineStr">
        <is>
          <t>A 31929-2024</t>
        </is>
      </c>
      <c r="B202" s="1" t="n">
        <v>45510.40587962963</v>
      </c>
      <c r="C202" s="1" t="n">
        <v>46098</v>
      </c>
      <c r="D202" t="inlineStr">
        <is>
          <t>DALARNAS LÄN</t>
        </is>
      </c>
      <c r="E202" t="inlineStr">
        <is>
          <t>MORA</t>
        </is>
      </c>
      <c r="G202" t="n">
        <v>10.8</v>
      </c>
      <c r="H202" t="n">
        <v>0</v>
      </c>
      <c r="I202" t="n">
        <v>0</v>
      </c>
      <c r="J202" t="n">
        <v>0</v>
      </c>
      <c r="K202" t="n">
        <v>0</v>
      </c>
      <c r="L202" t="n">
        <v>0</v>
      </c>
      <c r="M202" t="n">
        <v>0</v>
      </c>
      <c r="N202" t="n">
        <v>0</v>
      </c>
      <c r="O202" t="n">
        <v>0</v>
      </c>
      <c r="P202" t="n">
        <v>0</v>
      </c>
      <c r="Q202" t="n">
        <v>0</v>
      </c>
      <c r="R202" s="2" t="inlineStr"/>
    </row>
    <row r="203" ht="15" customHeight="1">
      <c r="A203" t="inlineStr">
        <is>
          <t>A 23354-2022</t>
        </is>
      </c>
      <c r="B203" s="1" t="n">
        <v>44720</v>
      </c>
      <c r="C203" s="1" t="n">
        <v>46098</v>
      </c>
      <c r="D203" t="inlineStr">
        <is>
          <t>DALARNAS LÄN</t>
        </is>
      </c>
      <c r="E203" t="inlineStr">
        <is>
          <t>MORA</t>
        </is>
      </c>
      <c r="G203" t="n">
        <v>5.2</v>
      </c>
      <c r="H203" t="n">
        <v>0</v>
      </c>
      <c r="I203" t="n">
        <v>0</v>
      </c>
      <c r="J203" t="n">
        <v>0</v>
      </c>
      <c r="K203" t="n">
        <v>0</v>
      </c>
      <c r="L203" t="n">
        <v>0</v>
      </c>
      <c r="M203" t="n">
        <v>0</v>
      </c>
      <c r="N203" t="n">
        <v>0</v>
      </c>
      <c r="O203" t="n">
        <v>0</v>
      </c>
      <c r="P203" t="n">
        <v>0</v>
      </c>
      <c r="Q203" t="n">
        <v>0</v>
      </c>
      <c r="R203" s="2" t="inlineStr"/>
    </row>
    <row r="204" ht="15" customHeight="1">
      <c r="A204" t="inlineStr">
        <is>
          <t>A 54192-2023</t>
        </is>
      </c>
      <c r="B204" s="1" t="n">
        <v>45232.53052083333</v>
      </c>
      <c r="C204" s="1" t="n">
        <v>46098</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40471-2025</t>
        </is>
      </c>
      <c r="B205" s="1" t="n">
        <v>45895.67356481482</v>
      </c>
      <c r="C205" s="1" t="n">
        <v>46098</v>
      </c>
      <c r="D205" t="inlineStr">
        <is>
          <t>DALARNAS LÄN</t>
        </is>
      </c>
      <c r="E205" t="inlineStr">
        <is>
          <t>MORA</t>
        </is>
      </c>
      <c r="G205" t="n">
        <v>2.8</v>
      </c>
      <c r="H205" t="n">
        <v>0</v>
      </c>
      <c r="I205" t="n">
        <v>0</v>
      </c>
      <c r="J205" t="n">
        <v>0</v>
      </c>
      <c r="K205" t="n">
        <v>0</v>
      </c>
      <c r="L205" t="n">
        <v>0</v>
      </c>
      <c r="M205" t="n">
        <v>0</v>
      </c>
      <c r="N205" t="n">
        <v>0</v>
      </c>
      <c r="O205" t="n">
        <v>0</v>
      </c>
      <c r="P205" t="n">
        <v>0</v>
      </c>
      <c r="Q205" t="n">
        <v>0</v>
      </c>
      <c r="R205" s="2" t="inlineStr"/>
    </row>
    <row r="206" ht="15" customHeight="1">
      <c r="A206" t="inlineStr">
        <is>
          <t>A 23229-2025</t>
        </is>
      </c>
      <c r="B206" s="1" t="n">
        <v>45791</v>
      </c>
      <c r="C206" s="1" t="n">
        <v>46098</v>
      </c>
      <c r="D206" t="inlineStr">
        <is>
          <t>DALARNAS LÄN</t>
        </is>
      </c>
      <c r="E206" t="inlineStr">
        <is>
          <t>MORA</t>
        </is>
      </c>
      <c r="G206" t="n">
        <v>2.2</v>
      </c>
      <c r="H206" t="n">
        <v>0</v>
      </c>
      <c r="I206" t="n">
        <v>0</v>
      </c>
      <c r="J206" t="n">
        <v>0</v>
      </c>
      <c r="K206" t="n">
        <v>0</v>
      </c>
      <c r="L206" t="n">
        <v>0</v>
      </c>
      <c r="M206" t="n">
        <v>0</v>
      </c>
      <c r="N206" t="n">
        <v>0</v>
      </c>
      <c r="O206" t="n">
        <v>0</v>
      </c>
      <c r="P206" t="n">
        <v>0</v>
      </c>
      <c r="Q206" t="n">
        <v>0</v>
      </c>
      <c r="R206" s="2" t="inlineStr"/>
    </row>
    <row r="207" ht="15" customHeight="1">
      <c r="A207" t="inlineStr">
        <is>
          <t>A 52110-2025</t>
        </is>
      </c>
      <c r="B207" s="1" t="n">
        <v>45952.69306712963</v>
      </c>
      <c r="C207" s="1" t="n">
        <v>46098</v>
      </c>
      <c r="D207" t="inlineStr">
        <is>
          <t>DALARNAS LÄN</t>
        </is>
      </c>
      <c r="E207" t="inlineStr">
        <is>
          <t>MORA</t>
        </is>
      </c>
      <c r="G207" t="n">
        <v>2.2</v>
      </c>
      <c r="H207" t="n">
        <v>0</v>
      </c>
      <c r="I207" t="n">
        <v>0</v>
      </c>
      <c r="J207" t="n">
        <v>0</v>
      </c>
      <c r="K207" t="n">
        <v>0</v>
      </c>
      <c r="L207" t="n">
        <v>0</v>
      </c>
      <c r="M207" t="n">
        <v>0</v>
      </c>
      <c r="N207" t="n">
        <v>0</v>
      </c>
      <c r="O207" t="n">
        <v>0</v>
      </c>
      <c r="P207" t="n">
        <v>0</v>
      </c>
      <c r="Q207" t="n">
        <v>0</v>
      </c>
      <c r="R207" s="2" t="inlineStr"/>
    </row>
    <row r="208" ht="15" customHeight="1">
      <c r="A208" t="inlineStr">
        <is>
          <t>A 62854-2023</t>
        </is>
      </c>
      <c r="B208" s="1" t="n">
        <v>45272</v>
      </c>
      <c r="C208" s="1" t="n">
        <v>46098</v>
      </c>
      <c r="D208" t="inlineStr">
        <is>
          <t>DALARNAS LÄN</t>
        </is>
      </c>
      <c r="E208" t="inlineStr">
        <is>
          <t>MORA</t>
        </is>
      </c>
      <c r="G208" t="n">
        <v>11.3</v>
      </c>
      <c r="H208" t="n">
        <v>0</v>
      </c>
      <c r="I208" t="n">
        <v>0</v>
      </c>
      <c r="J208" t="n">
        <v>0</v>
      </c>
      <c r="K208" t="n">
        <v>0</v>
      </c>
      <c r="L208" t="n">
        <v>0</v>
      </c>
      <c r="M208" t="n">
        <v>0</v>
      </c>
      <c r="N208" t="n">
        <v>0</v>
      </c>
      <c r="O208" t="n">
        <v>0</v>
      </c>
      <c r="P208" t="n">
        <v>0</v>
      </c>
      <c r="Q208" t="n">
        <v>0</v>
      </c>
      <c r="R208" s="2" t="inlineStr"/>
    </row>
    <row r="209" ht="15" customHeight="1">
      <c r="A209" t="inlineStr">
        <is>
          <t>A 24127-2025</t>
        </is>
      </c>
      <c r="B209" s="1" t="n">
        <v>45796.63137731481</v>
      </c>
      <c r="C209" s="1" t="n">
        <v>46098</v>
      </c>
      <c r="D209" t="inlineStr">
        <is>
          <t>DALARNAS LÄN</t>
        </is>
      </c>
      <c r="E209" t="inlineStr">
        <is>
          <t>MORA</t>
        </is>
      </c>
      <c r="G209" t="n">
        <v>1.2</v>
      </c>
      <c r="H209" t="n">
        <v>0</v>
      </c>
      <c r="I209" t="n">
        <v>0</v>
      </c>
      <c r="J209" t="n">
        <v>0</v>
      </c>
      <c r="K209" t="n">
        <v>0</v>
      </c>
      <c r="L209" t="n">
        <v>0</v>
      </c>
      <c r="M209" t="n">
        <v>0</v>
      </c>
      <c r="N209" t="n">
        <v>0</v>
      </c>
      <c r="O209" t="n">
        <v>0</v>
      </c>
      <c r="P209" t="n">
        <v>0</v>
      </c>
      <c r="Q209" t="n">
        <v>0</v>
      </c>
      <c r="R209" s="2" t="inlineStr"/>
    </row>
    <row r="210" ht="15" customHeight="1">
      <c r="A210" t="inlineStr">
        <is>
          <t>A 25737-2025</t>
        </is>
      </c>
      <c r="B210" s="1" t="n">
        <v>45800</v>
      </c>
      <c r="C210" s="1" t="n">
        <v>46098</v>
      </c>
      <c r="D210" t="inlineStr">
        <is>
          <t>DALARNAS LÄN</t>
        </is>
      </c>
      <c r="E210" t="inlineStr">
        <is>
          <t>MORA</t>
        </is>
      </c>
      <c r="G210" t="n">
        <v>9.6</v>
      </c>
      <c r="H210" t="n">
        <v>0</v>
      </c>
      <c r="I210" t="n">
        <v>0</v>
      </c>
      <c r="J210" t="n">
        <v>0</v>
      </c>
      <c r="K210" t="n">
        <v>0</v>
      </c>
      <c r="L210" t="n">
        <v>0</v>
      </c>
      <c r="M210" t="n">
        <v>0</v>
      </c>
      <c r="N210" t="n">
        <v>0</v>
      </c>
      <c r="O210" t="n">
        <v>0</v>
      </c>
      <c r="P210" t="n">
        <v>0</v>
      </c>
      <c r="Q210" t="n">
        <v>0</v>
      </c>
      <c r="R210" s="2" t="inlineStr"/>
    </row>
    <row r="211" ht="15" customHeight="1">
      <c r="A211" t="inlineStr">
        <is>
          <t>A 24249-2025</t>
        </is>
      </c>
      <c r="B211" s="1" t="n">
        <v>45797.40260416667</v>
      </c>
      <c r="C211" s="1" t="n">
        <v>46098</v>
      </c>
      <c r="D211" t="inlineStr">
        <is>
          <t>DALARNAS LÄN</t>
        </is>
      </c>
      <c r="E211" t="inlineStr">
        <is>
          <t>MORA</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40140-2025</t>
        </is>
      </c>
      <c r="B212" s="1" t="n">
        <v>45894.57016203704</v>
      </c>
      <c r="C212" s="1" t="n">
        <v>46098</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40142-2025</t>
        </is>
      </c>
      <c r="B213" s="1" t="n">
        <v>45894.57202546296</v>
      </c>
      <c r="C213" s="1" t="n">
        <v>46098</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40147-2025</t>
        </is>
      </c>
      <c r="B214" s="1" t="n">
        <v>45894.57918981482</v>
      </c>
      <c r="C214" s="1" t="n">
        <v>46098</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9461-2025</t>
        </is>
      </c>
      <c r="B215" s="1" t="n">
        <v>45715.45341435185</v>
      </c>
      <c r="C215" s="1" t="n">
        <v>46098</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34928-2022</t>
        </is>
      </c>
      <c r="B216" s="1" t="n">
        <v>44796.60479166666</v>
      </c>
      <c r="C216" s="1" t="n">
        <v>46098</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52804-2025</t>
        </is>
      </c>
      <c r="B217" s="1" t="n">
        <v>45957.44552083333</v>
      </c>
      <c r="C217" s="1" t="n">
        <v>46098</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19286-2023</t>
        </is>
      </c>
      <c r="B218" s="1" t="n">
        <v>45049</v>
      </c>
      <c r="C218" s="1" t="n">
        <v>46098</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24230-2025</t>
        </is>
      </c>
      <c r="B219" s="1" t="n">
        <v>45797.37607638889</v>
      </c>
      <c r="C219" s="1" t="n">
        <v>46098</v>
      </c>
      <c r="D219" t="inlineStr">
        <is>
          <t>DALARNAS LÄN</t>
        </is>
      </c>
      <c r="E219" t="inlineStr">
        <is>
          <t>MORA</t>
        </is>
      </c>
      <c r="G219" t="n">
        <v>6.8</v>
      </c>
      <c r="H219" t="n">
        <v>0</v>
      </c>
      <c r="I219" t="n">
        <v>0</v>
      </c>
      <c r="J219" t="n">
        <v>0</v>
      </c>
      <c r="K219" t="n">
        <v>0</v>
      </c>
      <c r="L219" t="n">
        <v>0</v>
      </c>
      <c r="M219" t="n">
        <v>0</v>
      </c>
      <c r="N219" t="n">
        <v>0</v>
      </c>
      <c r="O219" t="n">
        <v>0</v>
      </c>
      <c r="P219" t="n">
        <v>0</v>
      </c>
      <c r="Q219" t="n">
        <v>0</v>
      </c>
      <c r="R219" s="2" t="inlineStr"/>
    </row>
    <row r="220" ht="15" customHeight="1">
      <c r="A220" t="inlineStr">
        <is>
          <t>A 24280-2025</t>
        </is>
      </c>
      <c r="B220" s="1" t="n">
        <v>45797.45581018519</v>
      </c>
      <c r="C220" s="1" t="n">
        <v>46098</v>
      </c>
      <c r="D220" t="inlineStr">
        <is>
          <t>DALARNAS LÄN</t>
        </is>
      </c>
      <c r="E220" t="inlineStr">
        <is>
          <t>MORA</t>
        </is>
      </c>
      <c r="G220" t="n">
        <v>1.1</v>
      </c>
      <c r="H220" t="n">
        <v>0</v>
      </c>
      <c r="I220" t="n">
        <v>0</v>
      </c>
      <c r="J220" t="n">
        <v>0</v>
      </c>
      <c r="K220" t="n">
        <v>0</v>
      </c>
      <c r="L220" t="n">
        <v>0</v>
      </c>
      <c r="M220" t="n">
        <v>0</v>
      </c>
      <c r="N220" t="n">
        <v>0</v>
      </c>
      <c r="O220" t="n">
        <v>0</v>
      </c>
      <c r="P220" t="n">
        <v>0</v>
      </c>
      <c r="Q220" t="n">
        <v>0</v>
      </c>
      <c r="R220" s="2" t="inlineStr"/>
    </row>
    <row r="221" ht="15" customHeight="1">
      <c r="A221" t="inlineStr">
        <is>
          <t>A 40660-2025</t>
        </is>
      </c>
      <c r="B221" s="1" t="n">
        <v>45896.64631944444</v>
      </c>
      <c r="C221" s="1" t="n">
        <v>46098</v>
      </c>
      <c r="D221" t="inlineStr">
        <is>
          <t>DALARNAS LÄN</t>
        </is>
      </c>
      <c r="E221" t="inlineStr">
        <is>
          <t>MORA</t>
        </is>
      </c>
      <c r="F221" t="inlineStr">
        <is>
          <t>Bergvik skog väst AB</t>
        </is>
      </c>
      <c r="G221" t="n">
        <v>5.4</v>
      </c>
      <c r="H221" t="n">
        <v>0</v>
      </c>
      <c r="I221" t="n">
        <v>0</v>
      </c>
      <c r="J221" t="n">
        <v>0</v>
      </c>
      <c r="K221" t="n">
        <v>0</v>
      </c>
      <c r="L221" t="n">
        <v>0</v>
      </c>
      <c r="M221" t="n">
        <v>0</v>
      </c>
      <c r="N221" t="n">
        <v>0</v>
      </c>
      <c r="O221" t="n">
        <v>0</v>
      </c>
      <c r="P221" t="n">
        <v>0</v>
      </c>
      <c r="Q221" t="n">
        <v>0</v>
      </c>
      <c r="R221" s="2" t="inlineStr"/>
    </row>
    <row r="222" ht="15" customHeight="1">
      <c r="A222" t="inlineStr">
        <is>
          <t>A 40805-2025</t>
        </is>
      </c>
      <c r="B222" s="1" t="n">
        <v>45897.46659722222</v>
      </c>
      <c r="C222" s="1" t="n">
        <v>46098</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40661-2025</t>
        </is>
      </c>
      <c r="B223" s="1" t="n">
        <v>45896.64715277778</v>
      </c>
      <c r="C223" s="1" t="n">
        <v>46098</v>
      </c>
      <c r="D223" t="inlineStr">
        <is>
          <t>DALARNAS LÄN</t>
        </is>
      </c>
      <c r="E223" t="inlineStr">
        <is>
          <t>MORA</t>
        </is>
      </c>
      <c r="G223" t="n">
        <v>2.8</v>
      </c>
      <c r="H223" t="n">
        <v>0</v>
      </c>
      <c r="I223" t="n">
        <v>0</v>
      </c>
      <c r="J223" t="n">
        <v>0</v>
      </c>
      <c r="K223" t="n">
        <v>0</v>
      </c>
      <c r="L223" t="n">
        <v>0</v>
      </c>
      <c r="M223" t="n">
        <v>0</v>
      </c>
      <c r="N223" t="n">
        <v>0</v>
      </c>
      <c r="O223" t="n">
        <v>0</v>
      </c>
      <c r="P223" t="n">
        <v>0</v>
      </c>
      <c r="Q223" t="n">
        <v>0</v>
      </c>
      <c r="R223" s="2" t="inlineStr"/>
    </row>
    <row r="224" ht="15" customHeight="1">
      <c r="A224" t="inlineStr">
        <is>
          <t>A 19183-2025</t>
        </is>
      </c>
      <c r="B224" s="1" t="n">
        <v>45769</v>
      </c>
      <c r="C224" s="1" t="n">
        <v>46098</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25345-2025</t>
        </is>
      </c>
      <c r="B225" s="1" t="n">
        <v>45799</v>
      </c>
      <c r="C225" s="1" t="n">
        <v>46098</v>
      </c>
      <c r="D225" t="inlineStr">
        <is>
          <t>DALARNAS LÄN</t>
        </is>
      </c>
      <c r="E225" t="inlineStr">
        <is>
          <t>MORA</t>
        </is>
      </c>
      <c r="G225" t="n">
        <v>3.1</v>
      </c>
      <c r="H225" t="n">
        <v>0</v>
      </c>
      <c r="I225" t="n">
        <v>0</v>
      </c>
      <c r="J225" t="n">
        <v>0</v>
      </c>
      <c r="K225" t="n">
        <v>0</v>
      </c>
      <c r="L225" t="n">
        <v>0</v>
      </c>
      <c r="M225" t="n">
        <v>0</v>
      </c>
      <c r="N225" t="n">
        <v>0</v>
      </c>
      <c r="O225" t="n">
        <v>0</v>
      </c>
      <c r="P225" t="n">
        <v>0</v>
      </c>
      <c r="Q225" t="n">
        <v>0</v>
      </c>
      <c r="R225" s="2" t="inlineStr"/>
    </row>
    <row r="226" ht="15" customHeight="1">
      <c r="A226" t="inlineStr">
        <is>
          <t>A 24640-2025</t>
        </is>
      </c>
      <c r="B226" s="1" t="n">
        <v>45798.62243055556</v>
      </c>
      <c r="C226" s="1" t="n">
        <v>46098</v>
      </c>
      <c r="D226" t="inlineStr">
        <is>
          <t>DALARNAS LÄN</t>
        </is>
      </c>
      <c r="E226" t="inlineStr">
        <is>
          <t>MORA</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5309-2023</t>
        </is>
      </c>
      <c r="B227" s="1" t="n">
        <v>44956</v>
      </c>
      <c r="C227" s="1" t="n">
        <v>46098</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41200-2025</t>
        </is>
      </c>
      <c r="B228" s="1" t="n">
        <v>45898.5738425926</v>
      </c>
      <c r="C228" s="1" t="n">
        <v>46098</v>
      </c>
      <c r="D228" t="inlineStr">
        <is>
          <t>DALARNAS LÄN</t>
        </is>
      </c>
      <c r="E228" t="inlineStr">
        <is>
          <t>MORA</t>
        </is>
      </c>
      <c r="G228" t="n">
        <v>8.9</v>
      </c>
      <c r="H228" t="n">
        <v>0</v>
      </c>
      <c r="I228" t="n">
        <v>0</v>
      </c>
      <c r="J228" t="n">
        <v>0</v>
      </c>
      <c r="K228" t="n">
        <v>0</v>
      </c>
      <c r="L228" t="n">
        <v>0</v>
      </c>
      <c r="M228" t="n">
        <v>0</v>
      </c>
      <c r="N228" t="n">
        <v>0</v>
      </c>
      <c r="O228" t="n">
        <v>0</v>
      </c>
      <c r="P228" t="n">
        <v>0</v>
      </c>
      <c r="Q228" t="n">
        <v>0</v>
      </c>
      <c r="R228" s="2" t="inlineStr"/>
    </row>
    <row r="229" ht="15" customHeight="1">
      <c r="A229" t="inlineStr">
        <is>
          <t>A 53151-2025</t>
        </is>
      </c>
      <c r="B229" s="1" t="n">
        <v>45958.48611111111</v>
      </c>
      <c r="C229" s="1" t="n">
        <v>46098</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53150-2025</t>
        </is>
      </c>
      <c r="B230" s="1" t="n">
        <v>45958.48280092593</v>
      </c>
      <c r="C230" s="1" t="n">
        <v>46098</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41175-2025</t>
        </is>
      </c>
      <c r="B231" s="1" t="n">
        <v>45898.55165509259</v>
      </c>
      <c r="C231" s="1" t="n">
        <v>46098</v>
      </c>
      <c r="D231" t="inlineStr">
        <is>
          <t>DALARNAS LÄN</t>
        </is>
      </c>
      <c r="E231" t="inlineStr">
        <is>
          <t>MORA</t>
        </is>
      </c>
      <c r="G231" t="n">
        <v>4.5</v>
      </c>
      <c r="H231" t="n">
        <v>0</v>
      </c>
      <c r="I231" t="n">
        <v>0</v>
      </c>
      <c r="J231" t="n">
        <v>0</v>
      </c>
      <c r="K231" t="n">
        <v>0</v>
      </c>
      <c r="L231" t="n">
        <v>0</v>
      </c>
      <c r="M231" t="n">
        <v>0</v>
      </c>
      <c r="N231" t="n">
        <v>0</v>
      </c>
      <c r="O231" t="n">
        <v>0</v>
      </c>
      <c r="P231" t="n">
        <v>0</v>
      </c>
      <c r="Q231" t="n">
        <v>0</v>
      </c>
      <c r="R231" s="2" t="inlineStr"/>
    </row>
    <row r="232" ht="15" customHeight="1">
      <c r="A232" t="inlineStr">
        <is>
          <t>A 41614-2025</t>
        </is>
      </c>
      <c r="B232" s="1" t="n">
        <v>45901.68267361111</v>
      </c>
      <c r="C232" s="1" t="n">
        <v>46098</v>
      </c>
      <c r="D232" t="inlineStr">
        <is>
          <t>DALARNAS LÄN</t>
        </is>
      </c>
      <c r="E232" t="inlineStr">
        <is>
          <t>MORA</t>
        </is>
      </c>
      <c r="F232" t="inlineStr">
        <is>
          <t>Bergvik skog väst AB</t>
        </is>
      </c>
      <c r="G232" t="n">
        <v>13.8</v>
      </c>
      <c r="H232" t="n">
        <v>0</v>
      </c>
      <c r="I232" t="n">
        <v>0</v>
      </c>
      <c r="J232" t="n">
        <v>0</v>
      </c>
      <c r="K232" t="n">
        <v>0</v>
      </c>
      <c r="L232" t="n">
        <v>0</v>
      </c>
      <c r="M232" t="n">
        <v>0</v>
      </c>
      <c r="N232" t="n">
        <v>0</v>
      </c>
      <c r="O232" t="n">
        <v>0</v>
      </c>
      <c r="P232" t="n">
        <v>0</v>
      </c>
      <c r="Q232" t="n">
        <v>0</v>
      </c>
      <c r="R232" s="2" t="inlineStr"/>
    </row>
    <row r="233" ht="15" customHeight="1">
      <c r="A233" t="inlineStr">
        <is>
          <t>A 53982-2025</t>
        </is>
      </c>
      <c r="B233" s="1" t="n">
        <v>45961.57019675926</v>
      </c>
      <c r="C233" s="1" t="n">
        <v>46098</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53565-2025</t>
        </is>
      </c>
      <c r="B234" s="1" t="n">
        <v>45960.40711805555</v>
      </c>
      <c r="C234" s="1" t="n">
        <v>46098</v>
      </c>
      <c r="D234" t="inlineStr">
        <is>
          <t>DALARNAS LÄN</t>
        </is>
      </c>
      <c r="E234" t="inlineStr">
        <is>
          <t>MORA</t>
        </is>
      </c>
      <c r="G234" t="n">
        <v>5.1</v>
      </c>
      <c r="H234" t="n">
        <v>0</v>
      </c>
      <c r="I234" t="n">
        <v>0</v>
      </c>
      <c r="J234" t="n">
        <v>0</v>
      </c>
      <c r="K234" t="n">
        <v>0</v>
      </c>
      <c r="L234" t="n">
        <v>0</v>
      </c>
      <c r="M234" t="n">
        <v>0</v>
      </c>
      <c r="N234" t="n">
        <v>0</v>
      </c>
      <c r="O234" t="n">
        <v>0</v>
      </c>
      <c r="P234" t="n">
        <v>0</v>
      </c>
      <c r="Q234" t="n">
        <v>0</v>
      </c>
      <c r="R234" s="2" t="inlineStr"/>
    </row>
    <row r="235" ht="15" customHeight="1">
      <c r="A235" t="inlineStr">
        <is>
          <t>A 53632-2025</t>
        </is>
      </c>
      <c r="B235" s="1" t="n">
        <v>45960.49972222222</v>
      </c>
      <c r="C235" s="1" t="n">
        <v>46098</v>
      </c>
      <c r="D235" t="inlineStr">
        <is>
          <t>DALARNAS LÄN</t>
        </is>
      </c>
      <c r="E235" t="inlineStr">
        <is>
          <t>MORA</t>
        </is>
      </c>
      <c r="G235" t="n">
        <v>3.1</v>
      </c>
      <c r="H235" t="n">
        <v>0</v>
      </c>
      <c r="I235" t="n">
        <v>0</v>
      </c>
      <c r="J235" t="n">
        <v>0</v>
      </c>
      <c r="K235" t="n">
        <v>0</v>
      </c>
      <c r="L235" t="n">
        <v>0</v>
      </c>
      <c r="M235" t="n">
        <v>0</v>
      </c>
      <c r="N235" t="n">
        <v>0</v>
      </c>
      <c r="O235" t="n">
        <v>0</v>
      </c>
      <c r="P235" t="n">
        <v>0</v>
      </c>
      <c r="Q235" t="n">
        <v>0</v>
      </c>
      <c r="R235" s="2" t="inlineStr"/>
    </row>
    <row r="236" ht="15" customHeight="1">
      <c r="A236" t="inlineStr">
        <is>
          <t>A 2879-2022</t>
        </is>
      </c>
      <c r="B236" s="1" t="n">
        <v>44581</v>
      </c>
      <c r="C236" s="1" t="n">
        <v>46098</v>
      </c>
      <c r="D236" t="inlineStr">
        <is>
          <t>DALARNAS LÄN</t>
        </is>
      </c>
      <c r="E236" t="inlineStr">
        <is>
          <t>MORA</t>
        </is>
      </c>
      <c r="G236" t="n">
        <v>2.3</v>
      </c>
      <c r="H236" t="n">
        <v>0</v>
      </c>
      <c r="I236" t="n">
        <v>0</v>
      </c>
      <c r="J236" t="n">
        <v>0</v>
      </c>
      <c r="K236" t="n">
        <v>0</v>
      </c>
      <c r="L236" t="n">
        <v>0</v>
      </c>
      <c r="M236" t="n">
        <v>0</v>
      </c>
      <c r="N236" t="n">
        <v>0</v>
      </c>
      <c r="O236" t="n">
        <v>0</v>
      </c>
      <c r="P236" t="n">
        <v>0</v>
      </c>
      <c r="Q236" t="n">
        <v>0</v>
      </c>
      <c r="R236" s="2" t="inlineStr"/>
    </row>
    <row r="237" ht="15" customHeight="1">
      <c r="A237" t="inlineStr">
        <is>
          <t>A 24947-2025</t>
        </is>
      </c>
      <c r="B237" s="1" t="n">
        <v>45799.56524305556</v>
      </c>
      <c r="C237" s="1" t="n">
        <v>46098</v>
      </c>
      <c r="D237" t="inlineStr">
        <is>
          <t>DALARNAS LÄN</t>
        </is>
      </c>
      <c r="E237" t="inlineStr">
        <is>
          <t>MORA</t>
        </is>
      </c>
      <c r="G237" t="n">
        <v>2</v>
      </c>
      <c r="H237" t="n">
        <v>0</v>
      </c>
      <c r="I237" t="n">
        <v>0</v>
      </c>
      <c r="J237" t="n">
        <v>0</v>
      </c>
      <c r="K237" t="n">
        <v>0</v>
      </c>
      <c r="L237" t="n">
        <v>0</v>
      </c>
      <c r="M237" t="n">
        <v>0</v>
      </c>
      <c r="N237" t="n">
        <v>0</v>
      </c>
      <c r="O237" t="n">
        <v>0</v>
      </c>
      <c r="P237" t="n">
        <v>0</v>
      </c>
      <c r="Q237" t="n">
        <v>0</v>
      </c>
      <c r="R237" s="2" t="inlineStr"/>
    </row>
    <row r="238" ht="15" customHeight="1">
      <c r="A238" t="inlineStr">
        <is>
          <t>A 24630-2025</t>
        </is>
      </c>
      <c r="B238" s="1" t="n">
        <v>45798.6003587963</v>
      </c>
      <c r="C238" s="1" t="n">
        <v>46098</v>
      </c>
      <c r="D238" t="inlineStr">
        <is>
          <t>DALARNAS LÄN</t>
        </is>
      </c>
      <c r="E238" t="inlineStr">
        <is>
          <t>MORA</t>
        </is>
      </c>
      <c r="F238" t="inlineStr">
        <is>
          <t>Bergvik skog väst AB</t>
        </is>
      </c>
      <c r="G238" t="n">
        <v>10.4</v>
      </c>
      <c r="H238" t="n">
        <v>0</v>
      </c>
      <c r="I238" t="n">
        <v>0</v>
      </c>
      <c r="J238" t="n">
        <v>0</v>
      </c>
      <c r="K238" t="n">
        <v>0</v>
      </c>
      <c r="L238" t="n">
        <v>0</v>
      </c>
      <c r="M238" t="n">
        <v>0</v>
      </c>
      <c r="N238" t="n">
        <v>0</v>
      </c>
      <c r="O238" t="n">
        <v>0</v>
      </c>
      <c r="P238" t="n">
        <v>0</v>
      </c>
      <c r="Q238" t="n">
        <v>0</v>
      </c>
      <c r="R238" s="2" t="inlineStr"/>
    </row>
    <row r="239" ht="15" customHeight="1">
      <c r="A239" t="inlineStr">
        <is>
          <t>A 24960-2025</t>
        </is>
      </c>
      <c r="B239" s="1" t="n">
        <v>45799.57666666667</v>
      </c>
      <c r="C239" s="1" t="n">
        <v>46098</v>
      </c>
      <c r="D239" t="inlineStr">
        <is>
          <t>DALARNAS LÄN</t>
        </is>
      </c>
      <c r="E239" t="inlineStr">
        <is>
          <t>MORA</t>
        </is>
      </c>
      <c r="G239" t="n">
        <v>3.2</v>
      </c>
      <c r="H239" t="n">
        <v>0</v>
      </c>
      <c r="I239" t="n">
        <v>0</v>
      </c>
      <c r="J239" t="n">
        <v>0</v>
      </c>
      <c r="K239" t="n">
        <v>0</v>
      </c>
      <c r="L239" t="n">
        <v>0</v>
      </c>
      <c r="M239" t="n">
        <v>0</v>
      </c>
      <c r="N239" t="n">
        <v>0</v>
      </c>
      <c r="O239" t="n">
        <v>0</v>
      </c>
      <c r="P239" t="n">
        <v>0</v>
      </c>
      <c r="Q239" t="n">
        <v>0</v>
      </c>
      <c r="R239" s="2" t="inlineStr"/>
    </row>
    <row r="240" ht="15" customHeight="1">
      <c r="A240" t="inlineStr">
        <is>
          <t>A 24642-2025</t>
        </is>
      </c>
      <c r="B240" s="1" t="n">
        <v>45798.62894675926</v>
      </c>
      <c r="C240" s="1" t="n">
        <v>46098</v>
      </c>
      <c r="D240" t="inlineStr">
        <is>
          <t>DALARNAS LÄN</t>
        </is>
      </c>
      <c r="E240" t="inlineStr">
        <is>
          <t>MORA</t>
        </is>
      </c>
      <c r="F240" t="inlineStr">
        <is>
          <t>Bergvik skog väst AB</t>
        </is>
      </c>
      <c r="G240" t="n">
        <v>1.7</v>
      </c>
      <c r="H240" t="n">
        <v>0</v>
      </c>
      <c r="I240" t="n">
        <v>0</v>
      </c>
      <c r="J240" t="n">
        <v>0</v>
      </c>
      <c r="K240" t="n">
        <v>0</v>
      </c>
      <c r="L240" t="n">
        <v>0</v>
      </c>
      <c r="M240" t="n">
        <v>0</v>
      </c>
      <c r="N240" t="n">
        <v>0</v>
      </c>
      <c r="O240" t="n">
        <v>0</v>
      </c>
      <c r="P240" t="n">
        <v>0</v>
      </c>
      <c r="Q240" t="n">
        <v>0</v>
      </c>
      <c r="R240" s="2" t="inlineStr"/>
    </row>
    <row r="241" ht="15" customHeight="1">
      <c r="A241" t="inlineStr">
        <is>
          <t>A 53560-2025</t>
        </is>
      </c>
      <c r="B241" s="1" t="n">
        <v>45960.39960648148</v>
      </c>
      <c r="C241" s="1" t="n">
        <v>46098</v>
      </c>
      <c r="D241" t="inlineStr">
        <is>
          <t>DALARNAS LÄN</t>
        </is>
      </c>
      <c r="E241" t="inlineStr">
        <is>
          <t>MORA</t>
        </is>
      </c>
      <c r="G241" t="n">
        <v>5.2</v>
      </c>
      <c r="H241" t="n">
        <v>0</v>
      </c>
      <c r="I241" t="n">
        <v>0</v>
      </c>
      <c r="J241" t="n">
        <v>0</v>
      </c>
      <c r="K241" t="n">
        <v>0</v>
      </c>
      <c r="L241" t="n">
        <v>0</v>
      </c>
      <c r="M241" t="n">
        <v>0</v>
      </c>
      <c r="N241" t="n">
        <v>0</v>
      </c>
      <c r="O241" t="n">
        <v>0</v>
      </c>
      <c r="P241" t="n">
        <v>0</v>
      </c>
      <c r="Q241" t="n">
        <v>0</v>
      </c>
      <c r="R241" s="2" t="inlineStr"/>
    </row>
    <row r="242" ht="15" customHeight="1">
      <c r="A242" t="inlineStr">
        <is>
          <t>A 24620-2025</t>
        </is>
      </c>
      <c r="B242" s="1" t="n">
        <v>45798.59290509259</v>
      </c>
      <c r="C242" s="1" t="n">
        <v>46098</v>
      </c>
      <c r="D242" t="inlineStr">
        <is>
          <t>DALARNAS LÄN</t>
        </is>
      </c>
      <c r="E242" t="inlineStr">
        <is>
          <t>MORA</t>
        </is>
      </c>
      <c r="F242" t="inlineStr">
        <is>
          <t>Bergvik skog väst AB</t>
        </is>
      </c>
      <c r="G242" t="n">
        <v>4.9</v>
      </c>
      <c r="H242" t="n">
        <v>0</v>
      </c>
      <c r="I242" t="n">
        <v>0</v>
      </c>
      <c r="J242" t="n">
        <v>0</v>
      </c>
      <c r="K242" t="n">
        <v>0</v>
      </c>
      <c r="L242" t="n">
        <v>0</v>
      </c>
      <c r="M242" t="n">
        <v>0</v>
      </c>
      <c r="N242" t="n">
        <v>0</v>
      </c>
      <c r="O242" t="n">
        <v>0</v>
      </c>
      <c r="P242" t="n">
        <v>0</v>
      </c>
      <c r="Q242" t="n">
        <v>0</v>
      </c>
      <c r="R242" s="2" t="inlineStr"/>
    </row>
    <row r="243" ht="15" customHeight="1">
      <c r="A243" t="inlineStr">
        <is>
          <t>A 53562-2025</t>
        </is>
      </c>
      <c r="B243" s="1" t="n">
        <v>45960.40662037037</v>
      </c>
      <c r="C243" s="1" t="n">
        <v>46098</v>
      </c>
      <c r="D243" t="inlineStr">
        <is>
          <t>DALARNAS LÄN</t>
        </is>
      </c>
      <c r="E243" t="inlineStr">
        <is>
          <t>MORA</t>
        </is>
      </c>
      <c r="G243" t="n">
        <v>5.1</v>
      </c>
      <c r="H243" t="n">
        <v>0</v>
      </c>
      <c r="I243" t="n">
        <v>0</v>
      </c>
      <c r="J243" t="n">
        <v>0</v>
      </c>
      <c r="K243" t="n">
        <v>0</v>
      </c>
      <c r="L243" t="n">
        <v>0</v>
      </c>
      <c r="M243" t="n">
        <v>0</v>
      </c>
      <c r="N243" t="n">
        <v>0</v>
      </c>
      <c r="O243" t="n">
        <v>0</v>
      </c>
      <c r="P243" t="n">
        <v>0</v>
      </c>
      <c r="Q243" t="n">
        <v>0</v>
      </c>
      <c r="R243" s="2" t="inlineStr"/>
    </row>
    <row r="244" ht="15" customHeight="1">
      <c r="A244" t="inlineStr">
        <is>
          <t>A 53591-2025</t>
        </is>
      </c>
      <c r="B244" s="1" t="n">
        <v>45960.43893518519</v>
      </c>
      <c r="C244" s="1" t="n">
        <v>46098</v>
      </c>
      <c r="D244" t="inlineStr">
        <is>
          <t>DALARNAS LÄN</t>
        </is>
      </c>
      <c r="E244" t="inlineStr">
        <is>
          <t>MORA</t>
        </is>
      </c>
      <c r="G244" t="n">
        <v>3.8</v>
      </c>
      <c r="H244" t="n">
        <v>0</v>
      </c>
      <c r="I244" t="n">
        <v>0</v>
      </c>
      <c r="J244" t="n">
        <v>0</v>
      </c>
      <c r="K244" t="n">
        <v>0</v>
      </c>
      <c r="L244" t="n">
        <v>0</v>
      </c>
      <c r="M244" t="n">
        <v>0</v>
      </c>
      <c r="N244" t="n">
        <v>0</v>
      </c>
      <c r="O244" t="n">
        <v>0</v>
      </c>
      <c r="P244" t="n">
        <v>0</v>
      </c>
      <c r="Q244" t="n">
        <v>0</v>
      </c>
      <c r="R244" s="2" t="inlineStr"/>
    </row>
    <row r="245" ht="15" customHeight="1">
      <c r="A245" t="inlineStr">
        <is>
          <t>A 24653-2025</t>
        </is>
      </c>
      <c r="B245" s="1" t="n">
        <v>45798.63875</v>
      </c>
      <c r="C245" s="1" t="n">
        <v>46098</v>
      </c>
      <c r="D245" t="inlineStr">
        <is>
          <t>DALARNAS LÄN</t>
        </is>
      </c>
      <c r="E245" t="inlineStr">
        <is>
          <t>MORA</t>
        </is>
      </c>
      <c r="F245" t="inlineStr">
        <is>
          <t>Bergvik skog väst AB</t>
        </is>
      </c>
      <c r="G245" t="n">
        <v>4.9</v>
      </c>
      <c r="H245" t="n">
        <v>0</v>
      </c>
      <c r="I245" t="n">
        <v>0</v>
      </c>
      <c r="J245" t="n">
        <v>0</v>
      </c>
      <c r="K245" t="n">
        <v>0</v>
      </c>
      <c r="L245" t="n">
        <v>0</v>
      </c>
      <c r="M245" t="n">
        <v>0</v>
      </c>
      <c r="N245" t="n">
        <v>0</v>
      </c>
      <c r="O245" t="n">
        <v>0</v>
      </c>
      <c r="P245" t="n">
        <v>0</v>
      </c>
      <c r="Q245" t="n">
        <v>0</v>
      </c>
      <c r="R245" s="2" t="inlineStr"/>
    </row>
    <row r="246" ht="15" customHeight="1">
      <c r="A246" t="inlineStr">
        <is>
          <t>A 53418-2025</t>
        </is>
      </c>
      <c r="B246" s="1" t="n">
        <v>45959</v>
      </c>
      <c r="C246" s="1" t="n">
        <v>46098</v>
      </c>
      <c r="D246" t="inlineStr">
        <is>
          <t>DALARNAS LÄN</t>
        </is>
      </c>
      <c r="E246" t="inlineStr">
        <is>
          <t>MORA</t>
        </is>
      </c>
      <c r="G246" t="n">
        <v>1</v>
      </c>
      <c r="H246" t="n">
        <v>0</v>
      </c>
      <c r="I246" t="n">
        <v>0</v>
      </c>
      <c r="J246" t="n">
        <v>0</v>
      </c>
      <c r="K246" t="n">
        <v>0</v>
      </c>
      <c r="L246" t="n">
        <v>0</v>
      </c>
      <c r="M246" t="n">
        <v>0</v>
      </c>
      <c r="N246" t="n">
        <v>0</v>
      </c>
      <c r="O246" t="n">
        <v>0</v>
      </c>
      <c r="P246" t="n">
        <v>0</v>
      </c>
      <c r="Q246" t="n">
        <v>0</v>
      </c>
      <c r="R246" s="2" t="inlineStr"/>
    </row>
    <row r="247" ht="15" customHeight="1">
      <c r="A247" t="inlineStr">
        <is>
          <t>A 61405-2023</t>
        </is>
      </c>
      <c r="B247" s="1" t="n">
        <v>45264.65987268519</v>
      </c>
      <c r="C247" s="1" t="n">
        <v>46098</v>
      </c>
      <c r="D247" t="inlineStr">
        <is>
          <t>DALARNAS LÄN</t>
        </is>
      </c>
      <c r="E247" t="inlineStr">
        <is>
          <t>MORA</t>
        </is>
      </c>
      <c r="G247" t="n">
        <v>0.4</v>
      </c>
      <c r="H247" t="n">
        <v>0</v>
      </c>
      <c r="I247" t="n">
        <v>0</v>
      </c>
      <c r="J247" t="n">
        <v>0</v>
      </c>
      <c r="K247" t="n">
        <v>0</v>
      </c>
      <c r="L247" t="n">
        <v>0</v>
      </c>
      <c r="M247" t="n">
        <v>0</v>
      </c>
      <c r="N247" t="n">
        <v>0</v>
      </c>
      <c r="O247" t="n">
        <v>0</v>
      </c>
      <c r="P247" t="n">
        <v>0</v>
      </c>
      <c r="Q247" t="n">
        <v>0</v>
      </c>
      <c r="R247" s="2" t="inlineStr"/>
    </row>
    <row r="248" ht="15" customHeight="1">
      <c r="A248" t="inlineStr">
        <is>
          <t>A 41783-2025</t>
        </is>
      </c>
      <c r="B248" s="1" t="n">
        <v>45902.58721064815</v>
      </c>
      <c r="C248" s="1" t="n">
        <v>46098</v>
      </c>
      <c r="D248" t="inlineStr">
        <is>
          <t>DALARNAS LÄN</t>
        </is>
      </c>
      <c r="E248" t="inlineStr">
        <is>
          <t>MORA</t>
        </is>
      </c>
      <c r="G248" t="n">
        <v>0.6</v>
      </c>
      <c r="H248" t="n">
        <v>0</v>
      </c>
      <c r="I248" t="n">
        <v>0</v>
      </c>
      <c r="J248" t="n">
        <v>0</v>
      </c>
      <c r="K248" t="n">
        <v>0</v>
      </c>
      <c r="L248" t="n">
        <v>0</v>
      </c>
      <c r="M248" t="n">
        <v>0</v>
      </c>
      <c r="N248" t="n">
        <v>0</v>
      </c>
      <c r="O248" t="n">
        <v>0</v>
      </c>
      <c r="P248" t="n">
        <v>0</v>
      </c>
      <c r="Q248" t="n">
        <v>0</v>
      </c>
      <c r="R248" s="2" t="inlineStr"/>
    </row>
    <row r="249" ht="15" customHeight="1">
      <c r="A249" t="inlineStr">
        <is>
          <t>A 54398-2021</t>
        </is>
      </c>
      <c r="B249" s="1" t="n">
        <v>44473.39252314815</v>
      </c>
      <c r="C249" s="1" t="n">
        <v>46098</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53556-2025</t>
        </is>
      </c>
      <c r="B250" s="1" t="n">
        <v>45960.3921875</v>
      </c>
      <c r="C250" s="1" t="n">
        <v>46098</v>
      </c>
      <c r="D250" t="inlineStr">
        <is>
          <t>DALARNAS LÄN</t>
        </is>
      </c>
      <c r="E250" t="inlineStr">
        <is>
          <t>MORA</t>
        </is>
      </c>
      <c r="G250" t="n">
        <v>3.3</v>
      </c>
      <c r="H250" t="n">
        <v>0</v>
      </c>
      <c r="I250" t="n">
        <v>0</v>
      </c>
      <c r="J250" t="n">
        <v>0</v>
      </c>
      <c r="K250" t="n">
        <v>0</v>
      </c>
      <c r="L250" t="n">
        <v>0</v>
      </c>
      <c r="M250" t="n">
        <v>0</v>
      </c>
      <c r="N250" t="n">
        <v>0</v>
      </c>
      <c r="O250" t="n">
        <v>0</v>
      </c>
      <c r="P250" t="n">
        <v>0</v>
      </c>
      <c r="Q250" t="n">
        <v>0</v>
      </c>
      <c r="R250" s="2" t="inlineStr"/>
    </row>
    <row r="251" ht="15" customHeight="1">
      <c r="A251" t="inlineStr">
        <is>
          <t>A 14832-2025</t>
        </is>
      </c>
      <c r="B251" s="1" t="n">
        <v>45743</v>
      </c>
      <c r="C251" s="1" t="n">
        <v>46098</v>
      </c>
      <c r="D251" t="inlineStr">
        <is>
          <t>DALARNAS LÄN</t>
        </is>
      </c>
      <c r="E251" t="inlineStr">
        <is>
          <t>MORA</t>
        </is>
      </c>
      <c r="G251" t="n">
        <v>9.1</v>
      </c>
      <c r="H251" t="n">
        <v>0</v>
      </c>
      <c r="I251" t="n">
        <v>0</v>
      </c>
      <c r="J251" t="n">
        <v>0</v>
      </c>
      <c r="K251" t="n">
        <v>0</v>
      </c>
      <c r="L251" t="n">
        <v>0</v>
      </c>
      <c r="M251" t="n">
        <v>0</v>
      </c>
      <c r="N251" t="n">
        <v>0</v>
      </c>
      <c r="O251" t="n">
        <v>0</v>
      </c>
      <c r="P251" t="n">
        <v>0</v>
      </c>
      <c r="Q251" t="n">
        <v>0</v>
      </c>
      <c r="R251" s="2" t="inlineStr"/>
    </row>
    <row r="252" ht="15" customHeight="1">
      <c r="A252" t="inlineStr">
        <is>
          <t>A 54508-2025</t>
        </is>
      </c>
      <c r="B252" s="1" t="n">
        <v>45965.61844907407</v>
      </c>
      <c r="C252" s="1" t="n">
        <v>46098</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54518-2025</t>
        </is>
      </c>
      <c r="B253" s="1" t="n">
        <v>45965.62608796296</v>
      </c>
      <c r="C253" s="1" t="n">
        <v>46098</v>
      </c>
      <c r="D253" t="inlineStr">
        <is>
          <t>DALARNAS LÄN</t>
        </is>
      </c>
      <c r="E253" t="inlineStr">
        <is>
          <t>MORA</t>
        </is>
      </c>
      <c r="G253" t="n">
        <v>7.1</v>
      </c>
      <c r="H253" t="n">
        <v>0</v>
      </c>
      <c r="I253" t="n">
        <v>0</v>
      </c>
      <c r="J253" t="n">
        <v>0</v>
      </c>
      <c r="K253" t="n">
        <v>0</v>
      </c>
      <c r="L253" t="n">
        <v>0</v>
      </c>
      <c r="M253" t="n">
        <v>0</v>
      </c>
      <c r="N253" t="n">
        <v>0</v>
      </c>
      <c r="O253" t="n">
        <v>0</v>
      </c>
      <c r="P253" t="n">
        <v>0</v>
      </c>
      <c r="Q253" t="n">
        <v>0</v>
      </c>
      <c r="R253" s="2" t="inlineStr"/>
    </row>
    <row r="254" ht="15" customHeight="1">
      <c r="A254" t="inlineStr">
        <is>
          <t>A 54099-2025</t>
        </is>
      </c>
      <c r="B254" s="1" t="n">
        <v>45964.41665509259</v>
      </c>
      <c r="C254" s="1" t="n">
        <v>46098</v>
      </c>
      <c r="D254" t="inlineStr">
        <is>
          <t>DALARNAS LÄN</t>
        </is>
      </c>
      <c r="E254" t="inlineStr">
        <is>
          <t>MORA</t>
        </is>
      </c>
      <c r="G254" t="n">
        <v>5.3</v>
      </c>
      <c r="H254" t="n">
        <v>0</v>
      </c>
      <c r="I254" t="n">
        <v>0</v>
      </c>
      <c r="J254" t="n">
        <v>0</v>
      </c>
      <c r="K254" t="n">
        <v>0</v>
      </c>
      <c r="L254" t="n">
        <v>0</v>
      </c>
      <c r="M254" t="n">
        <v>0</v>
      </c>
      <c r="N254" t="n">
        <v>0</v>
      </c>
      <c r="O254" t="n">
        <v>0</v>
      </c>
      <c r="P254" t="n">
        <v>0</v>
      </c>
      <c r="Q254" t="n">
        <v>0</v>
      </c>
      <c r="R254" s="2" t="inlineStr"/>
    </row>
    <row r="255" ht="15" customHeight="1">
      <c r="A255" t="inlineStr">
        <is>
          <t>A 54367-2025</t>
        </is>
      </c>
      <c r="B255" s="1" t="n">
        <v>45965.4031712963</v>
      </c>
      <c r="C255" s="1" t="n">
        <v>46098</v>
      </c>
      <c r="D255" t="inlineStr">
        <is>
          <t>DALARNAS LÄN</t>
        </is>
      </c>
      <c r="E255" t="inlineStr">
        <is>
          <t>MORA</t>
        </is>
      </c>
      <c r="G255" t="n">
        <v>7</v>
      </c>
      <c r="H255" t="n">
        <v>0</v>
      </c>
      <c r="I255" t="n">
        <v>0</v>
      </c>
      <c r="J255" t="n">
        <v>0</v>
      </c>
      <c r="K255" t="n">
        <v>0</v>
      </c>
      <c r="L255" t="n">
        <v>0</v>
      </c>
      <c r="M255" t="n">
        <v>0</v>
      </c>
      <c r="N255" t="n">
        <v>0</v>
      </c>
      <c r="O255" t="n">
        <v>0</v>
      </c>
      <c r="P255" t="n">
        <v>0</v>
      </c>
      <c r="Q255" t="n">
        <v>0</v>
      </c>
      <c r="R255" s="2" t="inlineStr"/>
    </row>
    <row r="256" ht="15" customHeight="1">
      <c r="A256" t="inlineStr">
        <is>
          <t>A 41855-2025</t>
        </is>
      </c>
      <c r="B256" s="1" t="n">
        <v>45902.93693287037</v>
      </c>
      <c r="C256" s="1" t="n">
        <v>46098</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42319-2025</t>
        </is>
      </c>
      <c r="B257" s="1" t="n">
        <v>45903</v>
      </c>
      <c r="C257" s="1" t="n">
        <v>46098</v>
      </c>
      <c r="D257" t="inlineStr">
        <is>
          <t>DALARNAS LÄN</t>
        </is>
      </c>
      <c r="E257" t="inlineStr">
        <is>
          <t>MORA</t>
        </is>
      </c>
      <c r="G257" t="n">
        <v>2.3</v>
      </c>
      <c r="H257" t="n">
        <v>0</v>
      </c>
      <c r="I257" t="n">
        <v>0</v>
      </c>
      <c r="J257" t="n">
        <v>0</v>
      </c>
      <c r="K257" t="n">
        <v>0</v>
      </c>
      <c r="L257" t="n">
        <v>0</v>
      </c>
      <c r="M257" t="n">
        <v>0</v>
      </c>
      <c r="N257" t="n">
        <v>0</v>
      </c>
      <c r="O257" t="n">
        <v>0</v>
      </c>
      <c r="P257" t="n">
        <v>0</v>
      </c>
      <c r="Q257" t="n">
        <v>0</v>
      </c>
      <c r="R257" s="2" t="inlineStr"/>
    </row>
    <row r="258" ht="15" customHeight="1">
      <c r="A258" t="inlineStr">
        <is>
          <t>A 54504-2025</t>
        </is>
      </c>
      <c r="B258" s="1" t="n">
        <v>45965.61686342592</v>
      </c>
      <c r="C258" s="1" t="n">
        <v>46098</v>
      </c>
      <c r="D258" t="inlineStr">
        <is>
          <t>DALARNAS LÄN</t>
        </is>
      </c>
      <c r="E258" t="inlineStr">
        <is>
          <t>MORA</t>
        </is>
      </c>
      <c r="G258" t="n">
        <v>0.9</v>
      </c>
      <c r="H258" t="n">
        <v>0</v>
      </c>
      <c r="I258" t="n">
        <v>0</v>
      </c>
      <c r="J258" t="n">
        <v>0</v>
      </c>
      <c r="K258" t="n">
        <v>0</v>
      </c>
      <c r="L258" t="n">
        <v>0</v>
      </c>
      <c r="M258" t="n">
        <v>0</v>
      </c>
      <c r="N258" t="n">
        <v>0</v>
      </c>
      <c r="O258" t="n">
        <v>0</v>
      </c>
      <c r="P258" t="n">
        <v>0</v>
      </c>
      <c r="Q258" t="n">
        <v>0</v>
      </c>
      <c r="R258" s="2" t="inlineStr"/>
    </row>
    <row r="259" ht="15" customHeight="1">
      <c r="A259" t="inlineStr">
        <is>
          <t>A 54868-2025</t>
        </is>
      </c>
      <c r="B259" s="1" t="n">
        <v>45966.85649305556</v>
      </c>
      <c r="C259" s="1" t="n">
        <v>46098</v>
      </c>
      <c r="D259" t="inlineStr">
        <is>
          <t>DALARNAS LÄN</t>
        </is>
      </c>
      <c r="E259" t="inlineStr">
        <is>
          <t>MORA</t>
        </is>
      </c>
      <c r="F259" t="inlineStr">
        <is>
          <t>Bergvik skog väst AB</t>
        </is>
      </c>
      <c r="G259" t="n">
        <v>5.6</v>
      </c>
      <c r="H259" t="n">
        <v>0</v>
      </c>
      <c r="I259" t="n">
        <v>0</v>
      </c>
      <c r="J259" t="n">
        <v>0</v>
      </c>
      <c r="K259" t="n">
        <v>0</v>
      </c>
      <c r="L259" t="n">
        <v>0</v>
      </c>
      <c r="M259" t="n">
        <v>0</v>
      </c>
      <c r="N259" t="n">
        <v>0</v>
      </c>
      <c r="O259" t="n">
        <v>0</v>
      </c>
      <c r="P259" t="n">
        <v>0</v>
      </c>
      <c r="Q259" t="n">
        <v>0</v>
      </c>
      <c r="R259" s="2" t="inlineStr"/>
    </row>
    <row r="260" ht="15" customHeight="1">
      <c r="A260" t="inlineStr">
        <is>
          <t>A 54862-2025</t>
        </is>
      </c>
      <c r="B260" s="1" t="n">
        <v>45966.76542824074</v>
      </c>
      <c r="C260" s="1" t="n">
        <v>46098</v>
      </c>
      <c r="D260" t="inlineStr">
        <is>
          <t>DALARNAS LÄN</t>
        </is>
      </c>
      <c r="E260" t="inlineStr">
        <is>
          <t>MORA</t>
        </is>
      </c>
      <c r="G260" t="n">
        <v>1.2</v>
      </c>
      <c r="H260" t="n">
        <v>0</v>
      </c>
      <c r="I260" t="n">
        <v>0</v>
      </c>
      <c r="J260" t="n">
        <v>0</v>
      </c>
      <c r="K260" t="n">
        <v>0</v>
      </c>
      <c r="L260" t="n">
        <v>0</v>
      </c>
      <c r="M260" t="n">
        <v>0</v>
      </c>
      <c r="N260" t="n">
        <v>0</v>
      </c>
      <c r="O260" t="n">
        <v>0</v>
      </c>
      <c r="P260" t="n">
        <v>0</v>
      </c>
      <c r="Q260" t="n">
        <v>0</v>
      </c>
      <c r="R260" s="2" t="inlineStr"/>
    </row>
    <row r="261" ht="15" customHeight="1">
      <c r="A261" t="inlineStr">
        <is>
          <t>A 39674-2023</t>
        </is>
      </c>
      <c r="B261" s="1" t="n">
        <v>45167</v>
      </c>
      <c r="C261" s="1" t="n">
        <v>46098</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54909-2025</t>
        </is>
      </c>
      <c r="B262" s="1" t="n">
        <v>45967.374375</v>
      </c>
      <c r="C262" s="1" t="n">
        <v>46098</v>
      </c>
      <c r="D262" t="inlineStr">
        <is>
          <t>DALARNAS LÄN</t>
        </is>
      </c>
      <c r="E262" t="inlineStr">
        <is>
          <t>MORA</t>
        </is>
      </c>
      <c r="G262" t="n">
        <v>1.7</v>
      </c>
      <c r="H262" t="n">
        <v>0</v>
      </c>
      <c r="I262" t="n">
        <v>0</v>
      </c>
      <c r="J262" t="n">
        <v>0</v>
      </c>
      <c r="K262" t="n">
        <v>0</v>
      </c>
      <c r="L262" t="n">
        <v>0</v>
      </c>
      <c r="M262" t="n">
        <v>0</v>
      </c>
      <c r="N262" t="n">
        <v>0</v>
      </c>
      <c r="O262" t="n">
        <v>0</v>
      </c>
      <c r="P262" t="n">
        <v>0</v>
      </c>
      <c r="Q262" t="n">
        <v>0</v>
      </c>
      <c r="R262" s="2" t="inlineStr"/>
    </row>
    <row r="263" ht="15" customHeight="1">
      <c r="A263" t="inlineStr">
        <is>
          <t>A 54919-2025</t>
        </is>
      </c>
      <c r="B263" s="1" t="n">
        <v>45967.38884259259</v>
      </c>
      <c r="C263" s="1" t="n">
        <v>46098</v>
      </c>
      <c r="D263" t="inlineStr">
        <is>
          <t>DALARNAS LÄN</t>
        </is>
      </c>
      <c r="E263" t="inlineStr">
        <is>
          <t>MORA</t>
        </is>
      </c>
      <c r="F263" t="inlineStr">
        <is>
          <t>Bergvik skog väst AB</t>
        </is>
      </c>
      <c r="G263" t="n">
        <v>5.6</v>
      </c>
      <c r="H263" t="n">
        <v>0</v>
      </c>
      <c r="I263" t="n">
        <v>0</v>
      </c>
      <c r="J263" t="n">
        <v>0</v>
      </c>
      <c r="K263" t="n">
        <v>0</v>
      </c>
      <c r="L263" t="n">
        <v>0</v>
      </c>
      <c r="M263" t="n">
        <v>0</v>
      </c>
      <c r="N263" t="n">
        <v>0</v>
      </c>
      <c r="O263" t="n">
        <v>0</v>
      </c>
      <c r="P263" t="n">
        <v>0</v>
      </c>
      <c r="Q263" t="n">
        <v>0</v>
      </c>
      <c r="R263" s="2" t="inlineStr"/>
    </row>
    <row r="264" ht="15" customHeight="1">
      <c r="A264" t="inlineStr">
        <is>
          <t>A 26532-2025</t>
        </is>
      </c>
      <c r="B264" s="1" t="n">
        <v>45807</v>
      </c>
      <c r="C264" s="1" t="n">
        <v>46098</v>
      </c>
      <c r="D264" t="inlineStr">
        <is>
          <t>DALARNAS LÄN</t>
        </is>
      </c>
      <c r="E264" t="inlineStr">
        <is>
          <t>MORA</t>
        </is>
      </c>
      <c r="G264" t="n">
        <v>4.4</v>
      </c>
      <c r="H264" t="n">
        <v>0</v>
      </c>
      <c r="I264" t="n">
        <v>0</v>
      </c>
      <c r="J264" t="n">
        <v>0</v>
      </c>
      <c r="K264" t="n">
        <v>0</v>
      </c>
      <c r="L264" t="n">
        <v>0</v>
      </c>
      <c r="M264" t="n">
        <v>0</v>
      </c>
      <c r="N264" t="n">
        <v>0</v>
      </c>
      <c r="O264" t="n">
        <v>0</v>
      </c>
      <c r="P264" t="n">
        <v>0</v>
      </c>
      <c r="Q264" t="n">
        <v>0</v>
      </c>
      <c r="R264" s="2" t="inlineStr"/>
    </row>
    <row r="265" ht="15" customHeight="1">
      <c r="A265" t="inlineStr">
        <is>
          <t>A 54905-2025</t>
        </is>
      </c>
      <c r="B265" s="1" t="n">
        <v>45967.3700462963</v>
      </c>
      <c r="C265" s="1" t="n">
        <v>46098</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54910-2025</t>
        </is>
      </c>
      <c r="B266" s="1" t="n">
        <v>45967.37679398148</v>
      </c>
      <c r="C266" s="1" t="n">
        <v>46098</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30819-2024</t>
        </is>
      </c>
      <c r="B267" s="1" t="n">
        <v>45497</v>
      </c>
      <c r="C267" s="1" t="n">
        <v>46098</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42112-2025</t>
        </is>
      </c>
      <c r="B268" s="1" t="n">
        <v>45904.32134259259</v>
      </c>
      <c r="C268" s="1" t="n">
        <v>46098</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26731-2025</t>
        </is>
      </c>
      <c r="B269" s="1" t="n">
        <v>45810.50702546296</v>
      </c>
      <c r="C269" s="1" t="n">
        <v>46098</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20885-2024</t>
        </is>
      </c>
      <c r="B270" s="1" t="n">
        <v>45439.45527777778</v>
      </c>
      <c r="C270" s="1" t="n">
        <v>46098</v>
      </c>
      <c r="D270" t="inlineStr">
        <is>
          <t>DALARNAS LÄN</t>
        </is>
      </c>
      <c r="E270" t="inlineStr">
        <is>
          <t>MORA</t>
        </is>
      </c>
      <c r="G270" t="n">
        <v>5</v>
      </c>
      <c r="H270" t="n">
        <v>0</v>
      </c>
      <c r="I270" t="n">
        <v>0</v>
      </c>
      <c r="J270" t="n">
        <v>0</v>
      </c>
      <c r="K270" t="n">
        <v>0</v>
      </c>
      <c r="L270" t="n">
        <v>0</v>
      </c>
      <c r="M270" t="n">
        <v>0</v>
      </c>
      <c r="N270" t="n">
        <v>0</v>
      </c>
      <c r="O270" t="n">
        <v>0</v>
      </c>
      <c r="P270" t="n">
        <v>0</v>
      </c>
      <c r="Q270" t="n">
        <v>0</v>
      </c>
      <c r="R270" s="2" t="inlineStr"/>
    </row>
    <row r="271" ht="15" customHeight="1">
      <c r="A271" t="inlineStr">
        <is>
          <t>A 56425-2024</t>
        </is>
      </c>
      <c r="B271" s="1" t="n">
        <v>45625.38677083333</v>
      </c>
      <c r="C271" s="1" t="n">
        <v>46098</v>
      </c>
      <c r="D271" t="inlineStr">
        <is>
          <t>DALARNAS LÄN</t>
        </is>
      </c>
      <c r="E271" t="inlineStr">
        <is>
          <t>MORA</t>
        </is>
      </c>
      <c r="G271" t="n">
        <v>2.1</v>
      </c>
      <c r="H271" t="n">
        <v>0</v>
      </c>
      <c r="I271" t="n">
        <v>0</v>
      </c>
      <c r="J271" t="n">
        <v>0</v>
      </c>
      <c r="K271" t="n">
        <v>0</v>
      </c>
      <c r="L271" t="n">
        <v>0</v>
      </c>
      <c r="M271" t="n">
        <v>0</v>
      </c>
      <c r="N271" t="n">
        <v>0</v>
      </c>
      <c r="O271" t="n">
        <v>0</v>
      </c>
      <c r="P271" t="n">
        <v>0</v>
      </c>
      <c r="Q271" t="n">
        <v>0</v>
      </c>
      <c r="R271" s="2" t="inlineStr"/>
    </row>
    <row r="272" ht="15" customHeight="1">
      <c r="A272" t="inlineStr">
        <is>
          <t>A 26711-2025</t>
        </is>
      </c>
      <c r="B272" s="1" t="n">
        <v>45810.46144675926</v>
      </c>
      <c r="C272" s="1" t="n">
        <v>46098</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7565-2025</t>
        </is>
      </c>
      <c r="B273" s="1" t="n">
        <v>45705.59269675926</v>
      </c>
      <c r="C273" s="1" t="n">
        <v>46098</v>
      </c>
      <c r="D273" t="inlineStr">
        <is>
          <t>DALARNAS LÄN</t>
        </is>
      </c>
      <c r="E273" t="inlineStr">
        <is>
          <t>MORA</t>
        </is>
      </c>
      <c r="G273" t="n">
        <v>3</v>
      </c>
      <c r="H273" t="n">
        <v>0</v>
      </c>
      <c r="I273" t="n">
        <v>0</v>
      </c>
      <c r="J273" t="n">
        <v>0</v>
      </c>
      <c r="K273" t="n">
        <v>0</v>
      </c>
      <c r="L273" t="n">
        <v>0</v>
      </c>
      <c r="M273" t="n">
        <v>0</v>
      </c>
      <c r="N273" t="n">
        <v>0</v>
      </c>
      <c r="O273" t="n">
        <v>0</v>
      </c>
      <c r="P273" t="n">
        <v>0</v>
      </c>
      <c r="Q273" t="n">
        <v>0</v>
      </c>
      <c r="R273" s="2" t="inlineStr"/>
    </row>
    <row r="274" ht="15" customHeight="1">
      <c r="A274" t="inlineStr">
        <is>
          <t>A 26854-2025</t>
        </is>
      </c>
      <c r="B274" s="1" t="n">
        <v>45810.67462962963</v>
      </c>
      <c r="C274" s="1" t="n">
        <v>46098</v>
      </c>
      <c r="D274" t="inlineStr">
        <is>
          <t>DALARNAS LÄN</t>
        </is>
      </c>
      <c r="E274" t="inlineStr">
        <is>
          <t>MORA</t>
        </is>
      </c>
      <c r="G274" t="n">
        <v>4.4</v>
      </c>
      <c r="H274" t="n">
        <v>0</v>
      </c>
      <c r="I274" t="n">
        <v>0</v>
      </c>
      <c r="J274" t="n">
        <v>0</v>
      </c>
      <c r="K274" t="n">
        <v>0</v>
      </c>
      <c r="L274" t="n">
        <v>0</v>
      </c>
      <c r="M274" t="n">
        <v>0</v>
      </c>
      <c r="N274" t="n">
        <v>0</v>
      </c>
      <c r="O274" t="n">
        <v>0</v>
      </c>
      <c r="P274" t="n">
        <v>0</v>
      </c>
      <c r="Q274" t="n">
        <v>0</v>
      </c>
      <c r="R274" s="2" t="inlineStr"/>
    </row>
    <row r="275" ht="15" customHeight="1">
      <c r="A275" t="inlineStr">
        <is>
          <t>A 26647-2025</t>
        </is>
      </c>
      <c r="B275" s="1" t="n">
        <v>45810.38439814815</v>
      </c>
      <c r="C275" s="1" t="n">
        <v>46098</v>
      </c>
      <c r="D275" t="inlineStr">
        <is>
          <t>DALARNAS LÄN</t>
        </is>
      </c>
      <c r="E275" t="inlineStr">
        <is>
          <t>MORA</t>
        </is>
      </c>
      <c r="G275" t="n">
        <v>7.9</v>
      </c>
      <c r="H275" t="n">
        <v>0</v>
      </c>
      <c r="I275" t="n">
        <v>0</v>
      </c>
      <c r="J275" t="n">
        <v>0</v>
      </c>
      <c r="K275" t="n">
        <v>0</v>
      </c>
      <c r="L275" t="n">
        <v>0</v>
      </c>
      <c r="M275" t="n">
        <v>0</v>
      </c>
      <c r="N275" t="n">
        <v>0</v>
      </c>
      <c r="O275" t="n">
        <v>0</v>
      </c>
      <c r="P275" t="n">
        <v>0</v>
      </c>
      <c r="Q275" t="n">
        <v>0</v>
      </c>
      <c r="R275" s="2" t="inlineStr"/>
    </row>
    <row r="276" ht="15" customHeight="1">
      <c r="A276" t="inlineStr">
        <is>
          <t>A 55123-2025</t>
        </is>
      </c>
      <c r="B276" s="1" t="n">
        <v>45968.40056712963</v>
      </c>
      <c r="C276" s="1" t="n">
        <v>46098</v>
      </c>
      <c r="D276" t="inlineStr">
        <is>
          <t>DALARNAS LÄN</t>
        </is>
      </c>
      <c r="E276" t="inlineStr">
        <is>
          <t>MORA</t>
        </is>
      </c>
      <c r="G276" t="n">
        <v>1.6</v>
      </c>
      <c r="H276" t="n">
        <v>0</v>
      </c>
      <c r="I276" t="n">
        <v>0</v>
      </c>
      <c r="J276" t="n">
        <v>0</v>
      </c>
      <c r="K276" t="n">
        <v>0</v>
      </c>
      <c r="L276" t="n">
        <v>0</v>
      </c>
      <c r="M276" t="n">
        <v>0</v>
      </c>
      <c r="N276" t="n">
        <v>0</v>
      </c>
      <c r="O276" t="n">
        <v>0</v>
      </c>
      <c r="P276" t="n">
        <v>0</v>
      </c>
      <c r="Q276" t="n">
        <v>0</v>
      </c>
      <c r="R276" s="2" t="inlineStr"/>
    </row>
    <row r="277" ht="15" customHeight="1">
      <c r="A277" t="inlineStr">
        <is>
          <t>A 55262-2025</t>
        </is>
      </c>
      <c r="B277" s="1" t="n">
        <v>45968.64847222222</v>
      </c>
      <c r="C277" s="1" t="n">
        <v>46098</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42813-2025</t>
        </is>
      </c>
      <c r="B278" s="1" t="n">
        <v>45908.56168981481</v>
      </c>
      <c r="C278" s="1" t="n">
        <v>46098</v>
      </c>
      <c r="D278" t="inlineStr">
        <is>
          <t>DALARNAS LÄN</t>
        </is>
      </c>
      <c r="E278" t="inlineStr">
        <is>
          <t>MORA</t>
        </is>
      </c>
      <c r="G278" t="n">
        <v>4.3</v>
      </c>
      <c r="H278" t="n">
        <v>0</v>
      </c>
      <c r="I278" t="n">
        <v>0</v>
      </c>
      <c r="J278" t="n">
        <v>0</v>
      </c>
      <c r="K278" t="n">
        <v>0</v>
      </c>
      <c r="L278" t="n">
        <v>0</v>
      </c>
      <c r="M278" t="n">
        <v>0</v>
      </c>
      <c r="N278" t="n">
        <v>0</v>
      </c>
      <c r="O278" t="n">
        <v>0</v>
      </c>
      <c r="P278" t="n">
        <v>0</v>
      </c>
      <c r="Q278" t="n">
        <v>0</v>
      </c>
      <c r="R278" s="2" t="inlineStr"/>
    </row>
    <row r="279" ht="15" customHeight="1">
      <c r="A279" t="inlineStr">
        <is>
          <t>A 55284-2025</t>
        </is>
      </c>
      <c r="B279" s="1" t="n">
        <v>45968.8227662037</v>
      </c>
      <c r="C279" s="1" t="n">
        <v>46098</v>
      </c>
      <c r="D279" t="inlineStr">
        <is>
          <t>DALARNAS LÄN</t>
        </is>
      </c>
      <c r="E279" t="inlineStr">
        <is>
          <t>MORA</t>
        </is>
      </c>
      <c r="G279" t="n">
        <v>2</v>
      </c>
      <c r="H279" t="n">
        <v>0</v>
      </c>
      <c r="I279" t="n">
        <v>0</v>
      </c>
      <c r="J279" t="n">
        <v>0</v>
      </c>
      <c r="K279" t="n">
        <v>0</v>
      </c>
      <c r="L279" t="n">
        <v>0</v>
      </c>
      <c r="M279" t="n">
        <v>0</v>
      </c>
      <c r="N279" t="n">
        <v>0</v>
      </c>
      <c r="O279" t="n">
        <v>0</v>
      </c>
      <c r="P279" t="n">
        <v>0</v>
      </c>
      <c r="Q279" t="n">
        <v>0</v>
      </c>
      <c r="R279" s="2" t="inlineStr"/>
    </row>
    <row r="280" ht="15" customHeight="1">
      <c r="A280" t="inlineStr">
        <is>
          <t>A 55124-2025</t>
        </is>
      </c>
      <c r="B280" s="1" t="n">
        <v>45968.40621527778</v>
      </c>
      <c r="C280" s="1" t="n">
        <v>46098</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42947-2025</t>
        </is>
      </c>
      <c r="B281" s="1" t="n">
        <v>45909.34799768519</v>
      </c>
      <c r="C281" s="1" t="n">
        <v>46098</v>
      </c>
      <c r="D281" t="inlineStr">
        <is>
          <t>DALARNAS LÄN</t>
        </is>
      </c>
      <c r="E281" t="inlineStr">
        <is>
          <t>MORA</t>
        </is>
      </c>
      <c r="F281" t="inlineStr">
        <is>
          <t>Allmännings- och besparingsskogar</t>
        </is>
      </c>
      <c r="G281" t="n">
        <v>6.2</v>
      </c>
      <c r="H281" t="n">
        <v>0</v>
      </c>
      <c r="I281" t="n">
        <v>0</v>
      </c>
      <c r="J281" t="n">
        <v>0</v>
      </c>
      <c r="K281" t="n">
        <v>0</v>
      </c>
      <c r="L281" t="n">
        <v>0</v>
      </c>
      <c r="M281" t="n">
        <v>0</v>
      </c>
      <c r="N281" t="n">
        <v>0</v>
      </c>
      <c r="O281" t="n">
        <v>0</v>
      </c>
      <c r="P281" t="n">
        <v>0</v>
      </c>
      <c r="Q281" t="n">
        <v>0</v>
      </c>
      <c r="R281" s="2" t="inlineStr"/>
    </row>
    <row r="282" ht="15" customHeight="1">
      <c r="A282" t="inlineStr">
        <is>
          <t>A 42960-2025</t>
        </is>
      </c>
      <c r="B282" s="1" t="n">
        <v>45909.36631944445</v>
      </c>
      <c r="C282" s="1" t="n">
        <v>46098</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26630-2025</t>
        </is>
      </c>
      <c r="B283" s="1" t="n">
        <v>45809</v>
      </c>
      <c r="C283" s="1" t="n">
        <v>46098</v>
      </c>
      <c r="D283" t="inlineStr">
        <is>
          <t>DALARNAS LÄN</t>
        </is>
      </c>
      <c r="E283" t="inlineStr">
        <is>
          <t>MORA</t>
        </is>
      </c>
      <c r="G283" t="n">
        <v>32.1</v>
      </c>
      <c r="H283" t="n">
        <v>0</v>
      </c>
      <c r="I283" t="n">
        <v>0</v>
      </c>
      <c r="J283" t="n">
        <v>0</v>
      </c>
      <c r="K283" t="n">
        <v>0</v>
      </c>
      <c r="L283" t="n">
        <v>0</v>
      </c>
      <c r="M283" t="n">
        <v>0</v>
      </c>
      <c r="N283" t="n">
        <v>0</v>
      </c>
      <c r="O283" t="n">
        <v>0</v>
      </c>
      <c r="P283" t="n">
        <v>0</v>
      </c>
      <c r="Q283" t="n">
        <v>0</v>
      </c>
      <c r="R283" s="2" t="inlineStr"/>
    </row>
    <row r="284" ht="15" customHeight="1">
      <c r="A284" t="inlineStr">
        <is>
          <t>A 27194-2025</t>
        </is>
      </c>
      <c r="B284" s="1" t="n">
        <v>45812.37965277778</v>
      </c>
      <c r="C284" s="1" t="n">
        <v>46098</v>
      </c>
      <c r="D284" t="inlineStr">
        <is>
          <t>DALARNAS LÄN</t>
        </is>
      </c>
      <c r="E284" t="inlineStr">
        <is>
          <t>MORA</t>
        </is>
      </c>
      <c r="G284" t="n">
        <v>2.4</v>
      </c>
      <c r="H284" t="n">
        <v>0</v>
      </c>
      <c r="I284" t="n">
        <v>0</v>
      </c>
      <c r="J284" t="n">
        <v>0</v>
      </c>
      <c r="K284" t="n">
        <v>0</v>
      </c>
      <c r="L284" t="n">
        <v>0</v>
      </c>
      <c r="M284" t="n">
        <v>0</v>
      </c>
      <c r="N284" t="n">
        <v>0</v>
      </c>
      <c r="O284" t="n">
        <v>0</v>
      </c>
      <c r="P284" t="n">
        <v>0</v>
      </c>
      <c r="Q284" t="n">
        <v>0</v>
      </c>
      <c r="R284" s="2" t="inlineStr"/>
    </row>
    <row r="285" ht="15" customHeight="1">
      <c r="A285" t="inlineStr">
        <is>
          <t>A 42954-2025</t>
        </is>
      </c>
      <c r="B285" s="1" t="n">
        <v>45909.3578125</v>
      </c>
      <c r="C285" s="1" t="n">
        <v>46098</v>
      </c>
      <c r="D285" t="inlineStr">
        <is>
          <t>DALARNAS LÄN</t>
        </is>
      </c>
      <c r="E285" t="inlineStr">
        <is>
          <t>MORA</t>
        </is>
      </c>
      <c r="G285" t="n">
        <v>2.5</v>
      </c>
      <c r="H285" t="n">
        <v>0</v>
      </c>
      <c r="I285" t="n">
        <v>0</v>
      </c>
      <c r="J285" t="n">
        <v>0</v>
      </c>
      <c r="K285" t="n">
        <v>0</v>
      </c>
      <c r="L285" t="n">
        <v>0</v>
      </c>
      <c r="M285" t="n">
        <v>0</v>
      </c>
      <c r="N285" t="n">
        <v>0</v>
      </c>
      <c r="O285" t="n">
        <v>0</v>
      </c>
      <c r="P285" t="n">
        <v>0</v>
      </c>
      <c r="Q285" t="n">
        <v>0</v>
      </c>
      <c r="R285" s="2" t="inlineStr"/>
    </row>
    <row r="286" ht="15" customHeight="1">
      <c r="A286" t="inlineStr">
        <is>
          <t>A 42830-2025</t>
        </is>
      </c>
      <c r="B286" s="1" t="n">
        <v>45908.57753472222</v>
      </c>
      <c r="C286" s="1" t="n">
        <v>46098</v>
      </c>
      <c r="D286" t="inlineStr">
        <is>
          <t>DALARNAS LÄN</t>
        </is>
      </c>
      <c r="E286" t="inlineStr">
        <is>
          <t>MORA</t>
        </is>
      </c>
      <c r="G286" t="n">
        <v>1</v>
      </c>
      <c r="H286" t="n">
        <v>0</v>
      </c>
      <c r="I286" t="n">
        <v>0</v>
      </c>
      <c r="J286" t="n">
        <v>0</v>
      </c>
      <c r="K286" t="n">
        <v>0</v>
      </c>
      <c r="L286" t="n">
        <v>0</v>
      </c>
      <c r="M286" t="n">
        <v>0</v>
      </c>
      <c r="N286" t="n">
        <v>0</v>
      </c>
      <c r="O286" t="n">
        <v>0</v>
      </c>
      <c r="P286" t="n">
        <v>0</v>
      </c>
      <c r="Q286" t="n">
        <v>0</v>
      </c>
      <c r="R286" s="2" t="inlineStr"/>
    </row>
    <row r="287" ht="15" customHeight="1">
      <c r="A287" t="inlineStr">
        <is>
          <t>A 17268-2025</t>
        </is>
      </c>
      <c r="B287" s="1" t="n">
        <v>45756</v>
      </c>
      <c r="C287" s="1" t="n">
        <v>46098</v>
      </c>
      <c r="D287" t="inlineStr">
        <is>
          <t>DALARNAS LÄN</t>
        </is>
      </c>
      <c r="E287" t="inlineStr">
        <is>
          <t>MORA</t>
        </is>
      </c>
      <c r="G287" t="n">
        <v>6.8</v>
      </c>
      <c r="H287" t="n">
        <v>0</v>
      </c>
      <c r="I287" t="n">
        <v>0</v>
      </c>
      <c r="J287" t="n">
        <v>0</v>
      </c>
      <c r="K287" t="n">
        <v>0</v>
      </c>
      <c r="L287" t="n">
        <v>0</v>
      </c>
      <c r="M287" t="n">
        <v>0</v>
      </c>
      <c r="N287" t="n">
        <v>0</v>
      </c>
      <c r="O287" t="n">
        <v>0</v>
      </c>
      <c r="P287" t="n">
        <v>0</v>
      </c>
      <c r="Q287" t="n">
        <v>0</v>
      </c>
      <c r="R287" s="2" t="inlineStr"/>
    </row>
    <row r="288" ht="15" customHeight="1">
      <c r="A288" t="inlineStr">
        <is>
          <t>A 27642-2025</t>
        </is>
      </c>
      <c r="B288" s="1" t="n">
        <v>45813.59405092592</v>
      </c>
      <c r="C288" s="1" t="n">
        <v>46098</v>
      </c>
      <c r="D288" t="inlineStr">
        <is>
          <t>DALARNAS LÄN</t>
        </is>
      </c>
      <c r="E288" t="inlineStr">
        <is>
          <t>MORA</t>
        </is>
      </c>
      <c r="G288" t="n">
        <v>2.5</v>
      </c>
      <c r="H288" t="n">
        <v>0</v>
      </c>
      <c r="I288" t="n">
        <v>0</v>
      </c>
      <c r="J288" t="n">
        <v>0</v>
      </c>
      <c r="K288" t="n">
        <v>0</v>
      </c>
      <c r="L288" t="n">
        <v>0</v>
      </c>
      <c r="M288" t="n">
        <v>0</v>
      </c>
      <c r="N288" t="n">
        <v>0</v>
      </c>
      <c r="O288" t="n">
        <v>0</v>
      </c>
      <c r="P288" t="n">
        <v>0</v>
      </c>
      <c r="Q288" t="n">
        <v>0</v>
      </c>
      <c r="R288" s="2" t="inlineStr"/>
    </row>
    <row r="289" ht="15" customHeight="1">
      <c r="A289" t="inlineStr">
        <is>
          <t>A 43157-2025</t>
        </is>
      </c>
      <c r="B289" s="1" t="n">
        <v>45910.34953703704</v>
      </c>
      <c r="C289" s="1" t="n">
        <v>46098</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27184-2025</t>
        </is>
      </c>
      <c r="B290" s="1" t="n">
        <v>45812.36133101852</v>
      </c>
      <c r="C290" s="1" t="n">
        <v>46098</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43569-2025</t>
        </is>
      </c>
      <c r="B291" s="1" t="n">
        <v>45911.63363425926</v>
      </c>
      <c r="C291" s="1" t="n">
        <v>46098</v>
      </c>
      <c r="D291" t="inlineStr">
        <is>
          <t>DALARNAS LÄN</t>
        </is>
      </c>
      <c r="E291" t="inlineStr">
        <is>
          <t>MORA</t>
        </is>
      </c>
      <c r="G291" t="n">
        <v>4.7</v>
      </c>
      <c r="H291" t="n">
        <v>0</v>
      </c>
      <c r="I291" t="n">
        <v>0</v>
      </c>
      <c r="J291" t="n">
        <v>0</v>
      </c>
      <c r="K291" t="n">
        <v>0</v>
      </c>
      <c r="L291" t="n">
        <v>0</v>
      </c>
      <c r="M291" t="n">
        <v>0</v>
      </c>
      <c r="N291" t="n">
        <v>0</v>
      </c>
      <c r="O291" t="n">
        <v>0</v>
      </c>
      <c r="P291" t="n">
        <v>0</v>
      </c>
      <c r="Q291" t="n">
        <v>0</v>
      </c>
      <c r="R291" s="2" t="inlineStr"/>
    </row>
    <row r="292" ht="15" customHeight="1">
      <c r="A292" t="inlineStr">
        <is>
          <t>A 27177-2025</t>
        </is>
      </c>
      <c r="B292" s="1" t="n">
        <v>45812.3533912037</v>
      </c>
      <c r="C292" s="1" t="n">
        <v>46098</v>
      </c>
      <c r="D292" t="inlineStr">
        <is>
          <t>DALARNAS LÄN</t>
        </is>
      </c>
      <c r="E292" t="inlineStr">
        <is>
          <t>MORA</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14611-2025</t>
        </is>
      </c>
      <c r="B293" s="1" t="n">
        <v>45742.38511574074</v>
      </c>
      <c r="C293" s="1" t="n">
        <v>46098</v>
      </c>
      <c r="D293" t="inlineStr">
        <is>
          <t>DALARNAS LÄN</t>
        </is>
      </c>
      <c r="E293" t="inlineStr">
        <is>
          <t>MORA</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27175-2025</t>
        </is>
      </c>
      <c r="B294" s="1" t="n">
        <v>45812.35072916667</v>
      </c>
      <c r="C294" s="1" t="n">
        <v>46098</v>
      </c>
      <c r="D294" t="inlineStr">
        <is>
          <t>DALARNAS LÄN</t>
        </is>
      </c>
      <c r="E294" t="inlineStr">
        <is>
          <t>MORA</t>
        </is>
      </c>
      <c r="F294" t="inlineStr">
        <is>
          <t>Bergvik skog öst AB</t>
        </is>
      </c>
      <c r="G294" t="n">
        <v>4</v>
      </c>
      <c r="H294" t="n">
        <v>0</v>
      </c>
      <c r="I294" t="n">
        <v>0</v>
      </c>
      <c r="J294" t="n">
        <v>0</v>
      </c>
      <c r="K294" t="n">
        <v>0</v>
      </c>
      <c r="L294" t="n">
        <v>0</v>
      </c>
      <c r="M294" t="n">
        <v>0</v>
      </c>
      <c r="N294" t="n">
        <v>0</v>
      </c>
      <c r="O294" t="n">
        <v>0</v>
      </c>
      <c r="P294" t="n">
        <v>0</v>
      </c>
      <c r="Q294" t="n">
        <v>0</v>
      </c>
      <c r="R294" s="2" t="inlineStr"/>
    </row>
    <row r="295" ht="15" customHeight="1">
      <c r="A295" t="inlineStr">
        <is>
          <t>A 28033-2025</t>
        </is>
      </c>
      <c r="B295" s="1" t="n">
        <v>45817.6325462963</v>
      </c>
      <c r="C295" s="1" t="n">
        <v>46098</v>
      </c>
      <c r="D295" t="inlineStr">
        <is>
          <t>DALARNAS LÄN</t>
        </is>
      </c>
      <c r="E295" t="inlineStr">
        <is>
          <t>MORA</t>
        </is>
      </c>
      <c r="F295" t="inlineStr">
        <is>
          <t>Bergvik skog öst AB</t>
        </is>
      </c>
      <c r="G295" t="n">
        <v>12.8</v>
      </c>
      <c r="H295" t="n">
        <v>0</v>
      </c>
      <c r="I295" t="n">
        <v>0</v>
      </c>
      <c r="J295" t="n">
        <v>0</v>
      </c>
      <c r="K295" t="n">
        <v>0</v>
      </c>
      <c r="L295" t="n">
        <v>0</v>
      </c>
      <c r="M295" t="n">
        <v>0</v>
      </c>
      <c r="N295" t="n">
        <v>0</v>
      </c>
      <c r="O295" t="n">
        <v>0</v>
      </c>
      <c r="P295" t="n">
        <v>0</v>
      </c>
      <c r="Q295" t="n">
        <v>0</v>
      </c>
      <c r="R295" s="2" t="inlineStr"/>
    </row>
    <row r="296" ht="15" customHeight="1">
      <c r="A296" t="inlineStr">
        <is>
          <t>A 43153-2025</t>
        </is>
      </c>
      <c r="B296" s="1" t="n">
        <v>45910.34449074074</v>
      </c>
      <c r="C296" s="1" t="n">
        <v>46098</v>
      </c>
      <c r="D296" t="inlineStr">
        <is>
          <t>DALARNAS LÄN</t>
        </is>
      </c>
      <c r="E296" t="inlineStr">
        <is>
          <t>MORA</t>
        </is>
      </c>
      <c r="G296" t="n">
        <v>3.9</v>
      </c>
      <c r="H296" t="n">
        <v>0</v>
      </c>
      <c r="I296" t="n">
        <v>0</v>
      </c>
      <c r="J296" t="n">
        <v>0</v>
      </c>
      <c r="K296" t="n">
        <v>0</v>
      </c>
      <c r="L296" t="n">
        <v>0</v>
      </c>
      <c r="M296" t="n">
        <v>0</v>
      </c>
      <c r="N296" t="n">
        <v>0</v>
      </c>
      <c r="O296" t="n">
        <v>0</v>
      </c>
      <c r="P296" t="n">
        <v>0</v>
      </c>
      <c r="Q296" t="n">
        <v>0</v>
      </c>
      <c r="R296" s="2" t="inlineStr"/>
    </row>
    <row r="297" ht="15" customHeight="1">
      <c r="A297" t="inlineStr">
        <is>
          <t>A 43474-2025</t>
        </is>
      </c>
      <c r="B297" s="1" t="n">
        <v>45911.48967592593</v>
      </c>
      <c r="C297" s="1" t="n">
        <v>46098</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56702-2025</t>
        </is>
      </c>
      <c r="B298" s="1" t="n">
        <v>45977.45586805556</v>
      </c>
      <c r="C298" s="1" t="n">
        <v>46098</v>
      </c>
      <c r="D298" t="inlineStr">
        <is>
          <t>DALARNAS LÄN</t>
        </is>
      </c>
      <c r="E298" t="inlineStr">
        <is>
          <t>MORA</t>
        </is>
      </c>
      <c r="G298" t="n">
        <v>2.2</v>
      </c>
      <c r="H298" t="n">
        <v>0</v>
      </c>
      <c r="I298" t="n">
        <v>0</v>
      </c>
      <c r="J298" t="n">
        <v>0</v>
      </c>
      <c r="K298" t="n">
        <v>0</v>
      </c>
      <c r="L298" t="n">
        <v>0</v>
      </c>
      <c r="M298" t="n">
        <v>0</v>
      </c>
      <c r="N298" t="n">
        <v>0</v>
      </c>
      <c r="O298" t="n">
        <v>0</v>
      </c>
      <c r="P298" t="n">
        <v>0</v>
      </c>
      <c r="Q298" t="n">
        <v>0</v>
      </c>
      <c r="R298" s="2" t="inlineStr"/>
    </row>
    <row r="299" ht="15" customHeight="1">
      <c r="A299" t="inlineStr">
        <is>
          <t>A 57097-2025</t>
        </is>
      </c>
      <c r="B299" s="1" t="n">
        <v>45979.43388888889</v>
      </c>
      <c r="C299" s="1" t="n">
        <v>46098</v>
      </c>
      <c r="D299" t="inlineStr">
        <is>
          <t>DALARNAS LÄN</t>
        </is>
      </c>
      <c r="E299" t="inlineStr">
        <is>
          <t>MORA</t>
        </is>
      </c>
      <c r="G299" t="n">
        <v>7.5</v>
      </c>
      <c r="H299" t="n">
        <v>0</v>
      </c>
      <c r="I299" t="n">
        <v>0</v>
      </c>
      <c r="J299" t="n">
        <v>0</v>
      </c>
      <c r="K299" t="n">
        <v>0</v>
      </c>
      <c r="L299" t="n">
        <v>0</v>
      </c>
      <c r="M299" t="n">
        <v>0</v>
      </c>
      <c r="N299" t="n">
        <v>0</v>
      </c>
      <c r="O299" t="n">
        <v>0</v>
      </c>
      <c r="P299" t="n">
        <v>0</v>
      </c>
      <c r="Q299" t="n">
        <v>0</v>
      </c>
      <c r="R299" s="2" t="inlineStr"/>
    </row>
    <row r="300" ht="15" customHeight="1">
      <c r="A300" t="inlineStr">
        <is>
          <t>A 57101-2025</t>
        </is>
      </c>
      <c r="B300" s="1" t="n">
        <v>45979.44006944444</v>
      </c>
      <c r="C300" s="1" t="n">
        <v>46098</v>
      </c>
      <c r="D300" t="inlineStr">
        <is>
          <t>DALARNAS LÄN</t>
        </is>
      </c>
      <c r="E300" t="inlineStr">
        <is>
          <t>MORA</t>
        </is>
      </c>
      <c r="G300" t="n">
        <v>7.5</v>
      </c>
      <c r="H300" t="n">
        <v>0</v>
      </c>
      <c r="I300" t="n">
        <v>0</v>
      </c>
      <c r="J300" t="n">
        <v>0</v>
      </c>
      <c r="K300" t="n">
        <v>0</v>
      </c>
      <c r="L300" t="n">
        <v>0</v>
      </c>
      <c r="M300" t="n">
        <v>0</v>
      </c>
      <c r="N300" t="n">
        <v>0</v>
      </c>
      <c r="O300" t="n">
        <v>0</v>
      </c>
      <c r="P300" t="n">
        <v>0</v>
      </c>
      <c r="Q300" t="n">
        <v>0</v>
      </c>
      <c r="R300" s="2" t="inlineStr"/>
    </row>
    <row r="301" ht="15" customHeight="1">
      <c r="A301" t="inlineStr">
        <is>
          <t>A 43811-2025</t>
        </is>
      </c>
      <c r="B301" s="1" t="n">
        <v>45912.58710648148</v>
      </c>
      <c r="C301" s="1" t="n">
        <v>46098</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57659-2025</t>
        </is>
      </c>
      <c r="B302" s="1" t="n">
        <v>45981.41228009259</v>
      </c>
      <c r="C302" s="1" t="n">
        <v>46098</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29068-2025</t>
        </is>
      </c>
      <c r="B303" s="1" t="n">
        <v>45821.50900462963</v>
      </c>
      <c r="C303" s="1" t="n">
        <v>46098</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57647-2025</t>
        </is>
      </c>
      <c r="B304" s="1" t="n">
        <v>45981.37621527778</v>
      </c>
      <c r="C304" s="1" t="n">
        <v>46098</v>
      </c>
      <c r="D304" t="inlineStr">
        <is>
          <t>DALARNAS LÄN</t>
        </is>
      </c>
      <c r="E304" t="inlineStr">
        <is>
          <t>MORA</t>
        </is>
      </c>
      <c r="G304" t="n">
        <v>3.9</v>
      </c>
      <c r="H304" t="n">
        <v>0</v>
      </c>
      <c r="I304" t="n">
        <v>0</v>
      </c>
      <c r="J304" t="n">
        <v>0</v>
      </c>
      <c r="K304" t="n">
        <v>0</v>
      </c>
      <c r="L304" t="n">
        <v>0</v>
      </c>
      <c r="M304" t="n">
        <v>0</v>
      </c>
      <c r="N304" t="n">
        <v>0</v>
      </c>
      <c r="O304" t="n">
        <v>0</v>
      </c>
      <c r="P304" t="n">
        <v>0</v>
      </c>
      <c r="Q304" t="n">
        <v>0</v>
      </c>
      <c r="R304" s="2" t="inlineStr"/>
    </row>
    <row r="305" ht="15" customHeight="1">
      <c r="A305" t="inlineStr">
        <is>
          <t>A 28976-2025</t>
        </is>
      </c>
      <c r="B305" s="1" t="n">
        <v>45821.34855324074</v>
      </c>
      <c r="C305" s="1" t="n">
        <v>46098</v>
      </c>
      <c r="D305" t="inlineStr">
        <is>
          <t>DALARNAS LÄN</t>
        </is>
      </c>
      <c r="E305" t="inlineStr">
        <is>
          <t>MORA</t>
        </is>
      </c>
      <c r="F305" t="inlineStr">
        <is>
          <t>Bergvik skog öst AB</t>
        </is>
      </c>
      <c r="G305" t="n">
        <v>1.2</v>
      </c>
      <c r="H305" t="n">
        <v>0</v>
      </c>
      <c r="I305" t="n">
        <v>0</v>
      </c>
      <c r="J305" t="n">
        <v>0</v>
      </c>
      <c r="K305" t="n">
        <v>0</v>
      </c>
      <c r="L305" t="n">
        <v>0</v>
      </c>
      <c r="M305" t="n">
        <v>0</v>
      </c>
      <c r="N305" t="n">
        <v>0</v>
      </c>
      <c r="O305" t="n">
        <v>0</v>
      </c>
      <c r="P305" t="n">
        <v>0</v>
      </c>
      <c r="Q305" t="n">
        <v>0</v>
      </c>
      <c r="R305" s="2" t="inlineStr"/>
    </row>
    <row r="306" ht="15" customHeight="1">
      <c r="A306" t="inlineStr">
        <is>
          <t>A 28925-2025</t>
        </is>
      </c>
      <c r="B306" s="1" t="n">
        <v>45820.67107638889</v>
      </c>
      <c r="C306" s="1" t="n">
        <v>46098</v>
      </c>
      <c r="D306" t="inlineStr">
        <is>
          <t>DALARNAS LÄN</t>
        </is>
      </c>
      <c r="E306" t="inlineStr">
        <is>
          <t>MORA</t>
        </is>
      </c>
      <c r="G306" t="n">
        <v>3.7</v>
      </c>
      <c r="H306" t="n">
        <v>0</v>
      </c>
      <c r="I306" t="n">
        <v>0</v>
      </c>
      <c r="J306" t="n">
        <v>0</v>
      </c>
      <c r="K306" t="n">
        <v>0</v>
      </c>
      <c r="L306" t="n">
        <v>0</v>
      </c>
      <c r="M306" t="n">
        <v>0</v>
      </c>
      <c r="N306" t="n">
        <v>0</v>
      </c>
      <c r="O306" t="n">
        <v>0</v>
      </c>
      <c r="P306" t="n">
        <v>0</v>
      </c>
      <c r="Q306" t="n">
        <v>0</v>
      </c>
      <c r="R306" s="2" t="inlineStr"/>
    </row>
    <row r="307" ht="15" customHeight="1">
      <c r="A307" t="inlineStr">
        <is>
          <t>A 28927-2025</t>
        </is>
      </c>
      <c r="B307" s="1" t="n">
        <v>45820.67221064815</v>
      </c>
      <c r="C307" s="1" t="n">
        <v>46098</v>
      </c>
      <c r="D307" t="inlineStr">
        <is>
          <t>DALARNAS LÄN</t>
        </is>
      </c>
      <c r="E307" t="inlineStr">
        <is>
          <t>MORA</t>
        </is>
      </c>
      <c r="G307" t="n">
        <v>0.4</v>
      </c>
      <c r="H307" t="n">
        <v>0</v>
      </c>
      <c r="I307" t="n">
        <v>0</v>
      </c>
      <c r="J307" t="n">
        <v>0</v>
      </c>
      <c r="K307" t="n">
        <v>0</v>
      </c>
      <c r="L307" t="n">
        <v>0</v>
      </c>
      <c r="M307" t="n">
        <v>0</v>
      </c>
      <c r="N307" t="n">
        <v>0</v>
      </c>
      <c r="O307" t="n">
        <v>0</v>
      </c>
      <c r="P307" t="n">
        <v>0</v>
      </c>
      <c r="Q307" t="n">
        <v>0</v>
      </c>
      <c r="R307" s="2" t="inlineStr"/>
    </row>
    <row r="308" ht="15" customHeight="1">
      <c r="A308" t="inlineStr">
        <is>
          <t>A 57843-2025</t>
        </is>
      </c>
      <c r="B308" s="1" t="n">
        <v>45981.62792824074</v>
      </c>
      <c r="C308" s="1" t="n">
        <v>46098</v>
      </c>
      <c r="D308" t="inlineStr">
        <is>
          <t>DALARNAS LÄN</t>
        </is>
      </c>
      <c r="E308" t="inlineStr">
        <is>
          <t>MORA</t>
        </is>
      </c>
      <c r="G308" t="n">
        <v>4.5</v>
      </c>
      <c r="H308" t="n">
        <v>0</v>
      </c>
      <c r="I308" t="n">
        <v>0</v>
      </c>
      <c r="J308" t="n">
        <v>0</v>
      </c>
      <c r="K308" t="n">
        <v>0</v>
      </c>
      <c r="L308" t="n">
        <v>0</v>
      </c>
      <c r="M308" t="n">
        <v>0</v>
      </c>
      <c r="N308" t="n">
        <v>0</v>
      </c>
      <c r="O308" t="n">
        <v>0</v>
      </c>
      <c r="P308" t="n">
        <v>0</v>
      </c>
      <c r="Q308" t="n">
        <v>0</v>
      </c>
      <c r="R308" s="2" t="inlineStr"/>
    </row>
    <row r="309" ht="15" customHeight="1">
      <c r="A309" t="inlineStr">
        <is>
          <t>A 28924-2025</t>
        </is>
      </c>
      <c r="B309" s="1" t="n">
        <v>45820.66846064815</v>
      </c>
      <c r="C309" s="1" t="n">
        <v>46098</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28751-2025</t>
        </is>
      </c>
      <c r="B310" s="1" t="n">
        <v>45820.40034722222</v>
      </c>
      <c r="C310" s="1" t="n">
        <v>46098</v>
      </c>
      <c r="D310" t="inlineStr">
        <is>
          <t>DALARNAS LÄN</t>
        </is>
      </c>
      <c r="E310" t="inlineStr">
        <is>
          <t>MORA</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57855-2025</t>
        </is>
      </c>
      <c r="B311" s="1" t="n">
        <v>45981.63909722222</v>
      </c>
      <c r="C311" s="1" t="n">
        <v>46098</v>
      </c>
      <c r="D311" t="inlineStr">
        <is>
          <t>DALARNAS LÄN</t>
        </is>
      </c>
      <c r="E311" t="inlineStr">
        <is>
          <t>MORA</t>
        </is>
      </c>
      <c r="G311" t="n">
        <v>9.9</v>
      </c>
      <c r="H311" t="n">
        <v>0</v>
      </c>
      <c r="I311" t="n">
        <v>0</v>
      </c>
      <c r="J311" t="n">
        <v>0</v>
      </c>
      <c r="K311" t="n">
        <v>0</v>
      </c>
      <c r="L311" t="n">
        <v>0</v>
      </c>
      <c r="M311" t="n">
        <v>0</v>
      </c>
      <c r="N311" t="n">
        <v>0</v>
      </c>
      <c r="O311" t="n">
        <v>0</v>
      </c>
      <c r="P311" t="n">
        <v>0</v>
      </c>
      <c r="Q311" t="n">
        <v>0</v>
      </c>
      <c r="R311" s="2" t="inlineStr"/>
    </row>
    <row r="312" ht="15" customHeight="1">
      <c r="A312" t="inlineStr">
        <is>
          <t>A 57453-2025</t>
        </is>
      </c>
      <c r="B312" s="1" t="n">
        <v>45980.5122337963</v>
      </c>
      <c r="C312" s="1" t="n">
        <v>46098</v>
      </c>
      <c r="D312" t="inlineStr">
        <is>
          <t>DALARNAS LÄN</t>
        </is>
      </c>
      <c r="E312" t="inlineStr">
        <is>
          <t>MORA</t>
        </is>
      </c>
      <c r="F312" t="inlineStr">
        <is>
          <t>Allmännings- och besparingsskogar</t>
        </is>
      </c>
      <c r="G312" t="n">
        <v>2.9</v>
      </c>
      <c r="H312" t="n">
        <v>0</v>
      </c>
      <c r="I312" t="n">
        <v>0</v>
      </c>
      <c r="J312" t="n">
        <v>0</v>
      </c>
      <c r="K312" t="n">
        <v>0</v>
      </c>
      <c r="L312" t="n">
        <v>0</v>
      </c>
      <c r="M312" t="n">
        <v>0</v>
      </c>
      <c r="N312" t="n">
        <v>0</v>
      </c>
      <c r="O312" t="n">
        <v>0</v>
      </c>
      <c r="P312" t="n">
        <v>0</v>
      </c>
      <c r="Q312" t="n">
        <v>0</v>
      </c>
      <c r="R312" s="2" t="inlineStr"/>
    </row>
    <row r="313" ht="15" customHeight="1">
      <c r="A313" t="inlineStr">
        <is>
          <t>A 44384-2025</t>
        </is>
      </c>
      <c r="B313" s="1" t="n">
        <v>45916.48513888889</v>
      </c>
      <c r="C313" s="1" t="n">
        <v>46098</v>
      </c>
      <c r="D313" t="inlineStr">
        <is>
          <t>DALARNAS LÄN</t>
        </is>
      </c>
      <c r="E313" t="inlineStr">
        <is>
          <t>MORA</t>
        </is>
      </c>
      <c r="F313" t="inlineStr">
        <is>
          <t>Kyrkan</t>
        </is>
      </c>
      <c r="G313" t="n">
        <v>5.1</v>
      </c>
      <c r="H313" t="n">
        <v>0</v>
      </c>
      <c r="I313" t="n">
        <v>0</v>
      </c>
      <c r="J313" t="n">
        <v>0</v>
      </c>
      <c r="K313" t="n">
        <v>0</v>
      </c>
      <c r="L313" t="n">
        <v>0</v>
      </c>
      <c r="M313" t="n">
        <v>0</v>
      </c>
      <c r="N313" t="n">
        <v>0</v>
      </c>
      <c r="O313" t="n">
        <v>0</v>
      </c>
      <c r="P313" t="n">
        <v>0</v>
      </c>
      <c r="Q313" t="n">
        <v>0</v>
      </c>
      <c r="R313" s="2" t="inlineStr"/>
    </row>
    <row r="314" ht="15" customHeight="1">
      <c r="A314" t="inlineStr">
        <is>
          <t>A 58473-2025</t>
        </is>
      </c>
      <c r="B314" s="1" t="n">
        <v>45985.63859953704</v>
      </c>
      <c r="C314" s="1" t="n">
        <v>46098</v>
      </c>
      <c r="D314" t="inlineStr">
        <is>
          <t>DALARNAS LÄN</t>
        </is>
      </c>
      <c r="E314" t="inlineStr">
        <is>
          <t>MORA</t>
        </is>
      </c>
      <c r="G314" t="n">
        <v>2.3</v>
      </c>
      <c r="H314" t="n">
        <v>0</v>
      </c>
      <c r="I314" t="n">
        <v>0</v>
      </c>
      <c r="J314" t="n">
        <v>0</v>
      </c>
      <c r="K314" t="n">
        <v>0</v>
      </c>
      <c r="L314" t="n">
        <v>0</v>
      </c>
      <c r="M314" t="n">
        <v>0</v>
      </c>
      <c r="N314" t="n">
        <v>0</v>
      </c>
      <c r="O314" t="n">
        <v>0</v>
      </c>
      <c r="P314" t="n">
        <v>0</v>
      </c>
      <c r="Q314" t="n">
        <v>0</v>
      </c>
      <c r="R314" s="2" t="inlineStr"/>
    </row>
    <row r="315" ht="15" customHeight="1">
      <c r="A315" t="inlineStr">
        <is>
          <t>A 58001-2025</t>
        </is>
      </c>
      <c r="B315" s="1" t="n">
        <v>45982.43615740741</v>
      </c>
      <c r="C315" s="1" t="n">
        <v>46098</v>
      </c>
      <c r="D315" t="inlineStr">
        <is>
          <t>DALARNAS LÄN</t>
        </is>
      </c>
      <c r="E315" t="inlineStr">
        <is>
          <t>MORA</t>
        </is>
      </c>
      <c r="G315" t="n">
        <v>3.2</v>
      </c>
      <c r="H315" t="n">
        <v>0</v>
      </c>
      <c r="I315" t="n">
        <v>0</v>
      </c>
      <c r="J315" t="n">
        <v>0</v>
      </c>
      <c r="K315" t="n">
        <v>0</v>
      </c>
      <c r="L315" t="n">
        <v>0</v>
      </c>
      <c r="M315" t="n">
        <v>0</v>
      </c>
      <c r="N315" t="n">
        <v>0</v>
      </c>
      <c r="O315" t="n">
        <v>0</v>
      </c>
      <c r="P315" t="n">
        <v>0</v>
      </c>
      <c r="Q315" t="n">
        <v>0</v>
      </c>
      <c r="R315" s="2" t="inlineStr"/>
    </row>
    <row r="316" ht="15" customHeight="1">
      <c r="A316" t="inlineStr">
        <is>
          <t>A 57976-2025</t>
        </is>
      </c>
      <c r="B316" s="1" t="n">
        <v>45982.39435185185</v>
      </c>
      <c r="C316" s="1" t="n">
        <v>46098</v>
      </c>
      <c r="D316" t="inlineStr">
        <is>
          <t>DALARNAS LÄN</t>
        </is>
      </c>
      <c r="E316" t="inlineStr">
        <is>
          <t>MORA</t>
        </is>
      </c>
      <c r="G316" t="n">
        <v>7.4</v>
      </c>
      <c r="H316" t="n">
        <v>0</v>
      </c>
      <c r="I316" t="n">
        <v>0</v>
      </c>
      <c r="J316" t="n">
        <v>0</v>
      </c>
      <c r="K316" t="n">
        <v>0</v>
      </c>
      <c r="L316" t="n">
        <v>0</v>
      </c>
      <c r="M316" t="n">
        <v>0</v>
      </c>
      <c r="N316" t="n">
        <v>0</v>
      </c>
      <c r="O316" t="n">
        <v>0</v>
      </c>
      <c r="P316" t="n">
        <v>0</v>
      </c>
      <c r="Q316" t="n">
        <v>0</v>
      </c>
      <c r="R316" s="2" t="inlineStr"/>
    </row>
    <row r="317" ht="15" customHeight="1">
      <c r="A317" t="inlineStr">
        <is>
          <t>A 29528-2025</t>
        </is>
      </c>
      <c r="B317" s="1" t="n">
        <v>45825.34322916667</v>
      </c>
      <c r="C317" s="1" t="n">
        <v>46098</v>
      </c>
      <c r="D317" t="inlineStr">
        <is>
          <t>DALARNAS LÄN</t>
        </is>
      </c>
      <c r="E317" t="inlineStr">
        <is>
          <t>MORA</t>
        </is>
      </c>
      <c r="G317" t="n">
        <v>2.2</v>
      </c>
      <c r="H317" t="n">
        <v>0</v>
      </c>
      <c r="I317" t="n">
        <v>0</v>
      </c>
      <c r="J317" t="n">
        <v>0</v>
      </c>
      <c r="K317" t="n">
        <v>0</v>
      </c>
      <c r="L317" t="n">
        <v>0</v>
      </c>
      <c r="M317" t="n">
        <v>0</v>
      </c>
      <c r="N317" t="n">
        <v>0</v>
      </c>
      <c r="O317" t="n">
        <v>0</v>
      </c>
      <c r="P317" t="n">
        <v>0</v>
      </c>
      <c r="Q317" t="n">
        <v>0</v>
      </c>
      <c r="R317" s="2" t="inlineStr"/>
    </row>
    <row r="318" ht="15" customHeight="1">
      <c r="A318" t="inlineStr">
        <is>
          <t>A 18702-2025</t>
        </is>
      </c>
      <c r="B318" s="1" t="n">
        <v>45763.63166666667</v>
      </c>
      <c r="C318" s="1" t="n">
        <v>46098</v>
      </c>
      <c r="D318" t="inlineStr">
        <is>
          <t>DALARNAS LÄN</t>
        </is>
      </c>
      <c r="E318" t="inlineStr">
        <is>
          <t>MORA</t>
        </is>
      </c>
      <c r="G318" t="n">
        <v>3.6</v>
      </c>
      <c r="H318" t="n">
        <v>0</v>
      </c>
      <c r="I318" t="n">
        <v>0</v>
      </c>
      <c r="J318" t="n">
        <v>0</v>
      </c>
      <c r="K318" t="n">
        <v>0</v>
      </c>
      <c r="L318" t="n">
        <v>0</v>
      </c>
      <c r="M318" t="n">
        <v>0</v>
      </c>
      <c r="N318" t="n">
        <v>0</v>
      </c>
      <c r="O318" t="n">
        <v>0</v>
      </c>
      <c r="P318" t="n">
        <v>0</v>
      </c>
      <c r="Q318" t="n">
        <v>0</v>
      </c>
      <c r="R318" s="2" t="inlineStr"/>
    </row>
    <row r="319" ht="15" customHeight="1">
      <c r="A319" t="inlineStr">
        <is>
          <t>A 43432-2024</t>
        </is>
      </c>
      <c r="B319" s="1" t="n">
        <v>45568.64337962963</v>
      </c>
      <c r="C319" s="1" t="n">
        <v>46098</v>
      </c>
      <c r="D319" t="inlineStr">
        <is>
          <t>DALARNAS LÄN</t>
        </is>
      </c>
      <c r="E319" t="inlineStr">
        <is>
          <t>MORA</t>
        </is>
      </c>
      <c r="G319" t="n">
        <v>0.4</v>
      </c>
      <c r="H319" t="n">
        <v>0</v>
      </c>
      <c r="I319" t="n">
        <v>0</v>
      </c>
      <c r="J319" t="n">
        <v>0</v>
      </c>
      <c r="K319" t="n">
        <v>0</v>
      </c>
      <c r="L319" t="n">
        <v>0</v>
      </c>
      <c r="M319" t="n">
        <v>0</v>
      </c>
      <c r="N319" t="n">
        <v>0</v>
      </c>
      <c r="O319" t="n">
        <v>0</v>
      </c>
      <c r="P319" t="n">
        <v>0</v>
      </c>
      <c r="Q319" t="n">
        <v>0</v>
      </c>
      <c r="R319" s="2" t="inlineStr"/>
    </row>
    <row r="320" ht="15" customHeight="1">
      <c r="A320" t="inlineStr">
        <is>
          <t>A 29440-2025</t>
        </is>
      </c>
      <c r="B320" s="1" t="n">
        <v>45824.65862268519</v>
      </c>
      <c r="C320" s="1" t="n">
        <v>46098</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44621-2025</t>
        </is>
      </c>
      <c r="B321" s="1" t="n">
        <v>45917.466875</v>
      </c>
      <c r="C321" s="1" t="n">
        <v>46098</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29425-2025</t>
        </is>
      </c>
      <c r="B322" s="1" t="n">
        <v>45824.64524305556</v>
      </c>
      <c r="C322" s="1" t="n">
        <v>46098</v>
      </c>
      <c r="D322" t="inlineStr">
        <is>
          <t>DALARNAS LÄN</t>
        </is>
      </c>
      <c r="E322" t="inlineStr">
        <is>
          <t>MORA</t>
        </is>
      </c>
      <c r="G322" t="n">
        <v>4.4</v>
      </c>
      <c r="H322" t="n">
        <v>0</v>
      </c>
      <c r="I322" t="n">
        <v>0</v>
      </c>
      <c r="J322" t="n">
        <v>0</v>
      </c>
      <c r="K322" t="n">
        <v>0</v>
      </c>
      <c r="L322" t="n">
        <v>0</v>
      </c>
      <c r="M322" t="n">
        <v>0</v>
      </c>
      <c r="N322" t="n">
        <v>0</v>
      </c>
      <c r="O322" t="n">
        <v>0</v>
      </c>
      <c r="P322" t="n">
        <v>0</v>
      </c>
      <c r="Q322" t="n">
        <v>0</v>
      </c>
      <c r="R322" s="2" t="inlineStr"/>
    </row>
    <row r="323" ht="15" customHeight="1">
      <c r="A323" t="inlineStr">
        <is>
          <t>A 45181-2025</t>
        </is>
      </c>
      <c r="B323" s="1" t="n">
        <v>45919.53329861111</v>
      </c>
      <c r="C323" s="1" t="n">
        <v>46098</v>
      </c>
      <c r="D323" t="inlineStr">
        <is>
          <t>DALARNAS LÄN</t>
        </is>
      </c>
      <c r="E323" t="inlineStr">
        <is>
          <t>MORA</t>
        </is>
      </c>
      <c r="G323" t="n">
        <v>4.5</v>
      </c>
      <c r="H323" t="n">
        <v>0</v>
      </c>
      <c r="I323" t="n">
        <v>0</v>
      </c>
      <c r="J323" t="n">
        <v>0</v>
      </c>
      <c r="K323" t="n">
        <v>0</v>
      </c>
      <c r="L323" t="n">
        <v>0</v>
      </c>
      <c r="M323" t="n">
        <v>0</v>
      </c>
      <c r="N323" t="n">
        <v>0</v>
      </c>
      <c r="O323" t="n">
        <v>0</v>
      </c>
      <c r="P323" t="n">
        <v>0</v>
      </c>
      <c r="Q323" t="n">
        <v>0</v>
      </c>
      <c r="R323" s="2" t="inlineStr"/>
    </row>
    <row r="324" ht="15" customHeight="1">
      <c r="A324" t="inlineStr">
        <is>
          <t>A 37971-2024</t>
        </is>
      </c>
      <c r="B324" s="1" t="n">
        <v>45544</v>
      </c>
      <c r="C324" s="1" t="n">
        <v>46098</v>
      </c>
      <c r="D324" t="inlineStr">
        <is>
          <t>DALARNAS LÄN</t>
        </is>
      </c>
      <c r="E324" t="inlineStr">
        <is>
          <t>MORA</t>
        </is>
      </c>
      <c r="G324" t="n">
        <v>2.3</v>
      </c>
      <c r="H324" t="n">
        <v>0</v>
      </c>
      <c r="I324" t="n">
        <v>0</v>
      </c>
      <c r="J324" t="n">
        <v>0</v>
      </c>
      <c r="K324" t="n">
        <v>0</v>
      </c>
      <c r="L324" t="n">
        <v>0</v>
      </c>
      <c r="M324" t="n">
        <v>0</v>
      </c>
      <c r="N324" t="n">
        <v>0</v>
      </c>
      <c r="O324" t="n">
        <v>0</v>
      </c>
      <c r="P324" t="n">
        <v>0</v>
      </c>
      <c r="Q324" t="n">
        <v>0</v>
      </c>
      <c r="R324" s="2" t="inlineStr"/>
    </row>
    <row r="325" ht="15" customHeight="1">
      <c r="A325" t="inlineStr">
        <is>
          <t>A 12490-2025</t>
        </is>
      </c>
      <c r="B325" s="1" t="n">
        <v>45730.59239583334</v>
      </c>
      <c r="C325" s="1" t="n">
        <v>46098</v>
      </c>
      <c r="D325" t="inlineStr">
        <is>
          <t>DALARNAS LÄN</t>
        </is>
      </c>
      <c r="E325" t="inlineStr">
        <is>
          <t>MORA</t>
        </is>
      </c>
      <c r="F325" t="inlineStr">
        <is>
          <t>Bergvik skog öst AB</t>
        </is>
      </c>
      <c r="G325" t="n">
        <v>1.6</v>
      </c>
      <c r="H325" t="n">
        <v>0</v>
      </c>
      <c r="I325" t="n">
        <v>0</v>
      </c>
      <c r="J325" t="n">
        <v>0</v>
      </c>
      <c r="K325" t="n">
        <v>0</v>
      </c>
      <c r="L325" t="n">
        <v>0</v>
      </c>
      <c r="M325" t="n">
        <v>0</v>
      </c>
      <c r="N325" t="n">
        <v>0</v>
      </c>
      <c r="O325" t="n">
        <v>0</v>
      </c>
      <c r="P325" t="n">
        <v>0</v>
      </c>
      <c r="Q325" t="n">
        <v>0</v>
      </c>
      <c r="R325" s="2" t="inlineStr"/>
    </row>
    <row r="326" ht="15" customHeight="1">
      <c r="A326" t="inlineStr">
        <is>
          <t>A 30087-2025</t>
        </is>
      </c>
      <c r="B326" s="1" t="n">
        <v>45826.6575</v>
      </c>
      <c r="C326" s="1" t="n">
        <v>46098</v>
      </c>
      <c r="D326" t="inlineStr">
        <is>
          <t>DALARNAS LÄN</t>
        </is>
      </c>
      <c r="E326" t="inlineStr">
        <is>
          <t>MORA</t>
        </is>
      </c>
      <c r="G326" t="n">
        <v>1.6</v>
      </c>
      <c r="H326" t="n">
        <v>0</v>
      </c>
      <c r="I326" t="n">
        <v>0</v>
      </c>
      <c r="J326" t="n">
        <v>0</v>
      </c>
      <c r="K326" t="n">
        <v>0</v>
      </c>
      <c r="L326" t="n">
        <v>0</v>
      </c>
      <c r="M326" t="n">
        <v>0</v>
      </c>
      <c r="N326" t="n">
        <v>0</v>
      </c>
      <c r="O326" t="n">
        <v>0</v>
      </c>
      <c r="P326" t="n">
        <v>0</v>
      </c>
      <c r="Q326" t="n">
        <v>0</v>
      </c>
      <c r="R326" s="2" t="inlineStr"/>
    </row>
    <row r="327" ht="15" customHeight="1">
      <c r="A327" t="inlineStr">
        <is>
          <t>A 45191-2025</t>
        </is>
      </c>
      <c r="B327" s="1" t="n">
        <v>45919.54811342592</v>
      </c>
      <c r="C327" s="1" t="n">
        <v>46098</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55671-2024</t>
        </is>
      </c>
      <c r="B328" s="1" t="n">
        <v>45622.65269675926</v>
      </c>
      <c r="C328" s="1" t="n">
        <v>46098</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30166-2025</t>
        </is>
      </c>
      <c r="B329" s="1" t="n">
        <v>45827.33116898148</v>
      </c>
      <c r="C329" s="1" t="n">
        <v>46098</v>
      </c>
      <c r="D329" t="inlineStr">
        <is>
          <t>DALARNAS LÄN</t>
        </is>
      </c>
      <c r="E329" t="inlineStr">
        <is>
          <t>MORA</t>
        </is>
      </c>
      <c r="G329" t="n">
        <v>1.3</v>
      </c>
      <c r="H329" t="n">
        <v>0</v>
      </c>
      <c r="I329" t="n">
        <v>0</v>
      </c>
      <c r="J329" t="n">
        <v>0</v>
      </c>
      <c r="K329" t="n">
        <v>0</v>
      </c>
      <c r="L329" t="n">
        <v>0</v>
      </c>
      <c r="M329" t="n">
        <v>0</v>
      </c>
      <c r="N329" t="n">
        <v>0</v>
      </c>
      <c r="O329" t="n">
        <v>0</v>
      </c>
      <c r="P329" t="n">
        <v>0</v>
      </c>
      <c r="Q329" t="n">
        <v>0</v>
      </c>
      <c r="R329" s="2" t="inlineStr"/>
    </row>
    <row r="330" ht="15" customHeight="1">
      <c r="A330" t="inlineStr">
        <is>
          <t>A 29870-2025</t>
        </is>
      </c>
      <c r="B330" s="1" t="n">
        <v>45826.35716435185</v>
      </c>
      <c r="C330" s="1" t="n">
        <v>46098</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45349-2024</t>
        </is>
      </c>
      <c r="B331" s="1" t="n">
        <v>45576</v>
      </c>
      <c r="C331" s="1" t="n">
        <v>46098</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29873-2025</t>
        </is>
      </c>
      <c r="B332" s="1" t="n">
        <v>45826</v>
      </c>
      <c r="C332" s="1" t="n">
        <v>46098</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54548-2025</t>
        </is>
      </c>
      <c r="B333" s="1" t="n">
        <v>45965.6534837963</v>
      </c>
      <c r="C333" s="1" t="n">
        <v>46098</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55135-2025</t>
        </is>
      </c>
      <c r="B334" s="1" t="n">
        <v>45968.42591435185</v>
      </c>
      <c r="C334" s="1" t="n">
        <v>46098</v>
      </c>
      <c r="D334" t="inlineStr">
        <is>
          <t>DALARNAS LÄN</t>
        </is>
      </c>
      <c r="E334" t="inlineStr">
        <is>
          <t>MORA</t>
        </is>
      </c>
      <c r="G334" t="n">
        <v>5.1</v>
      </c>
      <c r="H334" t="n">
        <v>0</v>
      </c>
      <c r="I334" t="n">
        <v>0</v>
      </c>
      <c r="J334" t="n">
        <v>0</v>
      </c>
      <c r="K334" t="n">
        <v>0</v>
      </c>
      <c r="L334" t="n">
        <v>0</v>
      </c>
      <c r="M334" t="n">
        <v>0</v>
      </c>
      <c r="N334" t="n">
        <v>0</v>
      </c>
      <c r="O334" t="n">
        <v>0</v>
      </c>
      <c r="P334" t="n">
        <v>0</v>
      </c>
      <c r="Q334" t="n">
        <v>0</v>
      </c>
      <c r="R334" s="2" t="inlineStr"/>
    </row>
    <row r="335" ht="15" customHeight="1">
      <c r="A335" t="inlineStr">
        <is>
          <t>A 30507-2025</t>
        </is>
      </c>
      <c r="B335" s="1" t="n">
        <v>45831.24760416667</v>
      </c>
      <c r="C335" s="1" t="n">
        <v>46098</v>
      </c>
      <c r="D335" t="inlineStr">
        <is>
          <t>DALARNAS LÄN</t>
        </is>
      </c>
      <c r="E335" t="inlineStr">
        <is>
          <t>MORA</t>
        </is>
      </c>
      <c r="G335" t="n">
        <v>1.6</v>
      </c>
      <c r="H335" t="n">
        <v>0</v>
      </c>
      <c r="I335" t="n">
        <v>0</v>
      </c>
      <c r="J335" t="n">
        <v>0</v>
      </c>
      <c r="K335" t="n">
        <v>0</v>
      </c>
      <c r="L335" t="n">
        <v>0</v>
      </c>
      <c r="M335" t="n">
        <v>0</v>
      </c>
      <c r="N335" t="n">
        <v>0</v>
      </c>
      <c r="O335" t="n">
        <v>0</v>
      </c>
      <c r="P335" t="n">
        <v>0</v>
      </c>
      <c r="Q335" t="n">
        <v>0</v>
      </c>
      <c r="R335" s="2" t="inlineStr"/>
    </row>
    <row r="336" ht="15" customHeight="1">
      <c r="A336" t="inlineStr">
        <is>
          <t>A 30509-2025</t>
        </is>
      </c>
      <c r="B336" s="1" t="n">
        <v>45831.25519675926</v>
      </c>
      <c r="C336" s="1" t="n">
        <v>46098</v>
      </c>
      <c r="D336" t="inlineStr">
        <is>
          <t>DALARNAS LÄN</t>
        </is>
      </c>
      <c r="E336" t="inlineStr">
        <is>
          <t>MORA</t>
        </is>
      </c>
      <c r="G336" t="n">
        <v>1.7</v>
      </c>
      <c r="H336" t="n">
        <v>0</v>
      </c>
      <c r="I336" t="n">
        <v>0</v>
      </c>
      <c r="J336" t="n">
        <v>0</v>
      </c>
      <c r="K336" t="n">
        <v>0</v>
      </c>
      <c r="L336" t="n">
        <v>0</v>
      </c>
      <c r="M336" t="n">
        <v>0</v>
      </c>
      <c r="N336" t="n">
        <v>0</v>
      </c>
      <c r="O336" t="n">
        <v>0</v>
      </c>
      <c r="P336" t="n">
        <v>0</v>
      </c>
      <c r="Q336" t="n">
        <v>0</v>
      </c>
      <c r="R336" s="2" t="inlineStr"/>
    </row>
    <row r="337" ht="15" customHeight="1">
      <c r="A337" t="inlineStr">
        <is>
          <t>A 69483-2021</t>
        </is>
      </c>
      <c r="B337" s="1" t="n">
        <v>44531</v>
      </c>
      <c r="C337" s="1" t="n">
        <v>46098</v>
      </c>
      <c r="D337" t="inlineStr">
        <is>
          <t>DALARNAS LÄN</t>
        </is>
      </c>
      <c r="E337" t="inlineStr">
        <is>
          <t>MORA</t>
        </is>
      </c>
      <c r="G337" t="n">
        <v>1.5</v>
      </c>
      <c r="H337" t="n">
        <v>0</v>
      </c>
      <c r="I337" t="n">
        <v>0</v>
      </c>
      <c r="J337" t="n">
        <v>0</v>
      </c>
      <c r="K337" t="n">
        <v>0</v>
      </c>
      <c r="L337" t="n">
        <v>0</v>
      </c>
      <c r="M337" t="n">
        <v>0</v>
      </c>
      <c r="N337" t="n">
        <v>0</v>
      </c>
      <c r="O337" t="n">
        <v>0</v>
      </c>
      <c r="P337" t="n">
        <v>0</v>
      </c>
      <c r="Q337" t="n">
        <v>0</v>
      </c>
      <c r="R337" s="2" t="inlineStr"/>
    </row>
    <row r="338" ht="15" customHeight="1">
      <c r="A338" t="inlineStr">
        <is>
          <t>A 30989-2025</t>
        </is>
      </c>
      <c r="B338" s="1" t="n">
        <v>45832.48185185185</v>
      </c>
      <c r="C338" s="1" t="n">
        <v>46098</v>
      </c>
      <c r="D338" t="inlineStr">
        <is>
          <t>DALARNAS LÄN</t>
        </is>
      </c>
      <c r="E338" t="inlineStr">
        <is>
          <t>MORA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59094-2025</t>
        </is>
      </c>
      <c r="B339" s="1" t="n">
        <v>45988.45105324074</v>
      </c>
      <c r="C339" s="1" t="n">
        <v>46098</v>
      </c>
      <c r="D339" t="inlineStr">
        <is>
          <t>DALARNAS LÄN</t>
        </is>
      </c>
      <c r="E339" t="inlineStr">
        <is>
          <t>MORA</t>
        </is>
      </c>
      <c r="G339" t="n">
        <v>10</v>
      </c>
      <c r="H339" t="n">
        <v>0</v>
      </c>
      <c r="I339" t="n">
        <v>0</v>
      </c>
      <c r="J339" t="n">
        <v>0</v>
      </c>
      <c r="K339" t="n">
        <v>0</v>
      </c>
      <c r="L339" t="n">
        <v>0</v>
      </c>
      <c r="M339" t="n">
        <v>0</v>
      </c>
      <c r="N339" t="n">
        <v>0</v>
      </c>
      <c r="O339" t="n">
        <v>0</v>
      </c>
      <c r="P339" t="n">
        <v>0</v>
      </c>
      <c r="Q339" t="n">
        <v>0</v>
      </c>
      <c r="R339" s="2" t="inlineStr"/>
    </row>
    <row r="340" ht="15" customHeight="1">
      <c r="A340" t="inlineStr">
        <is>
          <t>A 59805-2025</t>
        </is>
      </c>
      <c r="B340" s="1" t="n">
        <v>45992.62635416666</v>
      </c>
      <c r="C340" s="1" t="n">
        <v>46098</v>
      </c>
      <c r="D340" t="inlineStr">
        <is>
          <t>DALARNAS LÄN</t>
        </is>
      </c>
      <c r="E340" t="inlineStr">
        <is>
          <t>MORA</t>
        </is>
      </c>
      <c r="G340" t="n">
        <v>4.2</v>
      </c>
      <c r="H340" t="n">
        <v>0</v>
      </c>
      <c r="I340" t="n">
        <v>0</v>
      </c>
      <c r="J340" t="n">
        <v>0</v>
      </c>
      <c r="K340" t="n">
        <v>0</v>
      </c>
      <c r="L340" t="n">
        <v>0</v>
      </c>
      <c r="M340" t="n">
        <v>0</v>
      </c>
      <c r="N340" t="n">
        <v>0</v>
      </c>
      <c r="O340" t="n">
        <v>0</v>
      </c>
      <c r="P340" t="n">
        <v>0</v>
      </c>
      <c r="Q340" t="n">
        <v>0</v>
      </c>
      <c r="R340" s="2" t="inlineStr"/>
    </row>
    <row r="341" ht="15" customHeight="1">
      <c r="A341" t="inlineStr">
        <is>
          <t>A 30858-2025</t>
        </is>
      </c>
      <c r="B341" s="1" t="n">
        <v>45831.92416666666</v>
      </c>
      <c r="C341" s="1" t="n">
        <v>46098</v>
      </c>
      <c r="D341" t="inlineStr">
        <is>
          <t>DALARNAS LÄN</t>
        </is>
      </c>
      <c r="E341" t="inlineStr">
        <is>
          <t>MORA</t>
        </is>
      </c>
      <c r="G341" t="n">
        <v>2.9</v>
      </c>
      <c r="H341" t="n">
        <v>0</v>
      </c>
      <c r="I341" t="n">
        <v>0</v>
      </c>
      <c r="J341" t="n">
        <v>0</v>
      </c>
      <c r="K341" t="n">
        <v>0</v>
      </c>
      <c r="L341" t="n">
        <v>0</v>
      </c>
      <c r="M341" t="n">
        <v>0</v>
      </c>
      <c r="N341" t="n">
        <v>0</v>
      </c>
      <c r="O341" t="n">
        <v>0</v>
      </c>
      <c r="P341" t="n">
        <v>0</v>
      </c>
      <c r="Q341" t="n">
        <v>0</v>
      </c>
      <c r="R341" s="2" t="inlineStr"/>
    </row>
    <row r="342" ht="15" customHeight="1">
      <c r="A342" t="inlineStr">
        <is>
          <t>A 30859-2025</t>
        </is>
      </c>
      <c r="B342" s="1" t="n">
        <v>45831.93105324074</v>
      </c>
      <c r="C342" s="1" t="n">
        <v>46098</v>
      </c>
      <c r="D342" t="inlineStr">
        <is>
          <t>DALARNAS LÄN</t>
        </is>
      </c>
      <c r="E342" t="inlineStr">
        <is>
          <t>MORA</t>
        </is>
      </c>
      <c r="G342" t="n">
        <v>0.7</v>
      </c>
      <c r="H342" t="n">
        <v>0</v>
      </c>
      <c r="I342" t="n">
        <v>0</v>
      </c>
      <c r="J342" t="n">
        <v>0</v>
      </c>
      <c r="K342" t="n">
        <v>0</v>
      </c>
      <c r="L342" t="n">
        <v>0</v>
      </c>
      <c r="M342" t="n">
        <v>0</v>
      </c>
      <c r="N342" t="n">
        <v>0</v>
      </c>
      <c r="O342" t="n">
        <v>0</v>
      </c>
      <c r="P342" t="n">
        <v>0</v>
      </c>
      <c r="Q342" t="n">
        <v>0</v>
      </c>
      <c r="R342" s="2" t="inlineStr"/>
    </row>
    <row r="343" ht="15" customHeight="1">
      <c r="A343" t="inlineStr">
        <is>
          <t>A 59768-2025</t>
        </is>
      </c>
      <c r="B343" s="1" t="n">
        <v>45992</v>
      </c>
      <c r="C343" s="1" t="n">
        <v>46098</v>
      </c>
      <c r="D343" t="inlineStr">
        <is>
          <t>DALARNAS LÄN</t>
        </is>
      </c>
      <c r="E343" t="inlineStr">
        <is>
          <t>MORA</t>
        </is>
      </c>
      <c r="G343" t="n">
        <v>4</v>
      </c>
      <c r="H343" t="n">
        <v>0</v>
      </c>
      <c r="I343" t="n">
        <v>0</v>
      </c>
      <c r="J343" t="n">
        <v>0</v>
      </c>
      <c r="K343" t="n">
        <v>0</v>
      </c>
      <c r="L343" t="n">
        <v>0</v>
      </c>
      <c r="M343" t="n">
        <v>0</v>
      </c>
      <c r="N343" t="n">
        <v>0</v>
      </c>
      <c r="O343" t="n">
        <v>0</v>
      </c>
      <c r="P343" t="n">
        <v>0</v>
      </c>
      <c r="Q343" t="n">
        <v>0</v>
      </c>
      <c r="R343" s="2" t="inlineStr"/>
    </row>
    <row r="344" ht="15" customHeight="1">
      <c r="A344" t="inlineStr">
        <is>
          <t>A 59669-2025</t>
        </is>
      </c>
      <c r="B344" s="1" t="n">
        <v>45992.45640046296</v>
      </c>
      <c r="C344" s="1" t="n">
        <v>46098</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46090-2025</t>
        </is>
      </c>
      <c r="B345" s="1" t="n">
        <v>45924.5253125</v>
      </c>
      <c r="C345" s="1" t="n">
        <v>46098</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46091-2025</t>
        </is>
      </c>
      <c r="B346" s="1" t="n">
        <v>45924.52871527777</v>
      </c>
      <c r="C346" s="1" t="n">
        <v>46098</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46283-2025</t>
        </is>
      </c>
      <c r="B347" s="1" t="n">
        <v>45925</v>
      </c>
      <c r="C347" s="1" t="n">
        <v>46098</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17494-2025</t>
        </is>
      </c>
      <c r="B348" s="1" t="n">
        <v>45757.52033564815</v>
      </c>
      <c r="C348" s="1" t="n">
        <v>46098</v>
      </c>
      <c r="D348" t="inlineStr">
        <is>
          <t>DALARNAS LÄN</t>
        </is>
      </c>
      <c r="E348" t="inlineStr">
        <is>
          <t>MORA</t>
        </is>
      </c>
      <c r="G348" t="n">
        <v>5.3</v>
      </c>
      <c r="H348" t="n">
        <v>0</v>
      </c>
      <c r="I348" t="n">
        <v>0</v>
      </c>
      <c r="J348" t="n">
        <v>0</v>
      </c>
      <c r="K348" t="n">
        <v>0</v>
      </c>
      <c r="L348" t="n">
        <v>0</v>
      </c>
      <c r="M348" t="n">
        <v>0</v>
      </c>
      <c r="N348" t="n">
        <v>0</v>
      </c>
      <c r="O348" t="n">
        <v>0</v>
      </c>
      <c r="P348" t="n">
        <v>0</v>
      </c>
      <c r="Q348" t="n">
        <v>0</v>
      </c>
      <c r="R348" s="2" t="inlineStr"/>
    </row>
    <row r="349" ht="15" customHeight="1">
      <c r="A349" t="inlineStr">
        <is>
          <t>A 31846-2025</t>
        </is>
      </c>
      <c r="B349" s="1" t="n">
        <v>45834.60209490741</v>
      </c>
      <c r="C349" s="1" t="n">
        <v>46098</v>
      </c>
      <c r="D349" t="inlineStr">
        <is>
          <t>DALARNAS LÄN</t>
        </is>
      </c>
      <c r="E349" t="inlineStr">
        <is>
          <t>MORA</t>
        </is>
      </c>
      <c r="G349" t="n">
        <v>3.6</v>
      </c>
      <c r="H349" t="n">
        <v>0</v>
      </c>
      <c r="I349" t="n">
        <v>0</v>
      </c>
      <c r="J349" t="n">
        <v>0</v>
      </c>
      <c r="K349" t="n">
        <v>0</v>
      </c>
      <c r="L349" t="n">
        <v>0</v>
      </c>
      <c r="M349" t="n">
        <v>0</v>
      </c>
      <c r="N349" t="n">
        <v>0</v>
      </c>
      <c r="O349" t="n">
        <v>0</v>
      </c>
      <c r="P349" t="n">
        <v>0</v>
      </c>
      <c r="Q349" t="n">
        <v>0</v>
      </c>
      <c r="R349" s="2" t="inlineStr"/>
    </row>
    <row r="350" ht="15" customHeight="1">
      <c r="A350" t="inlineStr">
        <is>
          <t>A 31849-2025</t>
        </is>
      </c>
      <c r="B350" s="1" t="n">
        <v>45834.60525462963</v>
      </c>
      <c r="C350" s="1" t="n">
        <v>46098</v>
      </c>
      <c r="D350" t="inlineStr">
        <is>
          <t>DALARNAS LÄN</t>
        </is>
      </c>
      <c r="E350" t="inlineStr">
        <is>
          <t>MORA</t>
        </is>
      </c>
      <c r="G350" t="n">
        <v>3.9</v>
      </c>
      <c r="H350" t="n">
        <v>0</v>
      </c>
      <c r="I350" t="n">
        <v>0</v>
      </c>
      <c r="J350" t="n">
        <v>0</v>
      </c>
      <c r="K350" t="n">
        <v>0</v>
      </c>
      <c r="L350" t="n">
        <v>0</v>
      </c>
      <c r="M350" t="n">
        <v>0</v>
      </c>
      <c r="N350" t="n">
        <v>0</v>
      </c>
      <c r="O350" t="n">
        <v>0</v>
      </c>
      <c r="P350" t="n">
        <v>0</v>
      </c>
      <c r="Q350" t="n">
        <v>0</v>
      </c>
      <c r="R350" s="2" t="inlineStr"/>
    </row>
    <row r="351" ht="15" customHeight="1">
      <c r="A351" t="inlineStr">
        <is>
          <t>A 30998-2022</t>
        </is>
      </c>
      <c r="B351" s="1" t="n">
        <v>44768</v>
      </c>
      <c r="C351" s="1" t="n">
        <v>46098</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47143-2022</t>
        </is>
      </c>
      <c r="B352" s="1" t="n">
        <v>44852</v>
      </c>
      <c r="C352" s="1" t="n">
        <v>46098</v>
      </c>
      <c r="D352" t="inlineStr">
        <is>
          <t>DALARNAS LÄN</t>
        </is>
      </c>
      <c r="E352" t="inlineStr">
        <is>
          <t>MORA</t>
        </is>
      </c>
      <c r="G352" t="n">
        <v>3.9</v>
      </c>
      <c r="H352" t="n">
        <v>0</v>
      </c>
      <c r="I352" t="n">
        <v>0</v>
      </c>
      <c r="J352" t="n">
        <v>0</v>
      </c>
      <c r="K352" t="n">
        <v>0</v>
      </c>
      <c r="L352" t="n">
        <v>0</v>
      </c>
      <c r="M352" t="n">
        <v>0</v>
      </c>
      <c r="N352" t="n">
        <v>0</v>
      </c>
      <c r="O352" t="n">
        <v>0</v>
      </c>
      <c r="P352" t="n">
        <v>0</v>
      </c>
      <c r="Q352" t="n">
        <v>0</v>
      </c>
      <c r="R352" s="2" t="inlineStr"/>
    </row>
    <row r="353" ht="15" customHeight="1">
      <c r="A353" t="inlineStr">
        <is>
          <t>A 48522-2024</t>
        </is>
      </c>
      <c r="B353" s="1" t="n">
        <v>45593.32924768519</v>
      </c>
      <c r="C353" s="1" t="n">
        <v>46098</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48342-2023</t>
        </is>
      </c>
      <c r="B354" s="1" t="n">
        <v>45205</v>
      </c>
      <c r="C354" s="1" t="n">
        <v>46098</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50911-2024</t>
        </is>
      </c>
      <c r="B355" s="1" t="n">
        <v>45602.7022337963</v>
      </c>
      <c r="C355" s="1" t="n">
        <v>46098</v>
      </c>
      <c r="D355" t="inlineStr">
        <is>
          <t>DALARNAS LÄN</t>
        </is>
      </c>
      <c r="E355" t="inlineStr">
        <is>
          <t>MORA</t>
        </is>
      </c>
      <c r="G355" t="n">
        <v>1.7</v>
      </c>
      <c r="H355" t="n">
        <v>0</v>
      </c>
      <c r="I355" t="n">
        <v>0</v>
      </c>
      <c r="J355" t="n">
        <v>0</v>
      </c>
      <c r="K355" t="n">
        <v>0</v>
      </c>
      <c r="L355" t="n">
        <v>0</v>
      </c>
      <c r="M355" t="n">
        <v>0</v>
      </c>
      <c r="N355" t="n">
        <v>0</v>
      </c>
      <c r="O355" t="n">
        <v>0</v>
      </c>
      <c r="P355" t="n">
        <v>0</v>
      </c>
      <c r="Q355" t="n">
        <v>0</v>
      </c>
      <c r="R355" s="2" t="inlineStr"/>
    </row>
    <row r="356" ht="15" customHeight="1">
      <c r="A356" t="inlineStr">
        <is>
          <t>A 15440-2024</t>
        </is>
      </c>
      <c r="B356" s="1" t="n">
        <v>45401.4194212963</v>
      </c>
      <c r="C356" s="1" t="n">
        <v>46098</v>
      </c>
      <c r="D356" t="inlineStr">
        <is>
          <t>DALARNAS LÄN</t>
        </is>
      </c>
      <c r="E356" t="inlineStr">
        <is>
          <t>MORA</t>
        </is>
      </c>
      <c r="G356" t="n">
        <v>1.1</v>
      </c>
      <c r="H356" t="n">
        <v>0</v>
      </c>
      <c r="I356" t="n">
        <v>0</v>
      </c>
      <c r="J356" t="n">
        <v>0</v>
      </c>
      <c r="K356" t="n">
        <v>0</v>
      </c>
      <c r="L356" t="n">
        <v>0</v>
      </c>
      <c r="M356" t="n">
        <v>0</v>
      </c>
      <c r="N356" t="n">
        <v>0</v>
      </c>
      <c r="O356" t="n">
        <v>0</v>
      </c>
      <c r="P356" t="n">
        <v>0</v>
      </c>
      <c r="Q356" t="n">
        <v>0</v>
      </c>
      <c r="R356" s="2" t="inlineStr"/>
    </row>
    <row r="357" ht="15" customHeight="1">
      <c r="A357" t="inlineStr">
        <is>
          <t>A 31842-2025</t>
        </is>
      </c>
      <c r="B357" s="1" t="n">
        <v>45834.59822916667</v>
      </c>
      <c r="C357" s="1" t="n">
        <v>46098</v>
      </c>
      <c r="D357" t="inlineStr">
        <is>
          <t>DALARNAS LÄN</t>
        </is>
      </c>
      <c r="E357" t="inlineStr">
        <is>
          <t>MORA</t>
        </is>
      </c>
      <c r="G357" t="n">
        <v>1.1</v>
      </c>
      <c r="H357" t="n">
        <v>0</v>
      </c>
      <c r="I357" t="n">
        <v>0</v>
      </c>
      <c r="J357" t="n">
        <v>0</v>
      </c>
      <c r="K357" t="n">
        <v>0</v>
      </c>
      <c r="L357" t="n">
        <v>0</v>
      </c>
      <c r="M357" t="n">
        <v>0</v>
      </c>
      <c r="N357" t="n">
        <v>0</v>
      </c>
      <c r="O357" t="n">
        <v>0</v>
      </c>
      <c r="P357" t="n">
        <v>0</v>
      </c>
      <c r="Q357" t="n">
        <v>0</v>
      </c>
      <c r="R357" s="2" t="inlineStr"/>
    </row>
    <row r="358" ht="15" customHeight="1">
      <c r="A358" t="inlineStr">
        <is>
          <t>A 46525-2025</t>
        </is>
      </c>
      <c r="B358" s="1" t="n">
        <v>45926.3312962963</v>
      </c>
      <c r="C358" s="1" t="n">
        <v>46098</v>
      </c>
      <c r="D358" t="inlineStr">
        <is>
          <t>DALARNAS LÄN</t>
        </is>
      </c>
      <c r="E358" t="inlineStr">
        <is>
          <t>MORA</t>
        </is>
      </c>
      <c r="G358" t="n">
        <v>6.3</v>
      </c>
      <c r="H358" t="n">
        <v>0</v>
      </c>
      <c r="I358" t="n">
        <v>0</v>
      </c>
      <c r="J358" t="n">
        <v>0</v>
      </c>
      <c r="K358" t="n">
        <v>0</v>
      </c>
      <c r="L358" t="n">
        <v>0</v>
      </c>
      <c r="M358" t="n">
        <v>0</v>
      </c>
      <c r="N358" t="n">
        <v>0</v>
      </c>
      <c r="O358" t="n">
        <v>0</v>
      </c>
      <c r="P358" t="n">
        <v>0</v>
      </c>
      <c r="Q358" t="n">
        <v>0</v>
      </c>
      <c r="R358" s="2" t="inlineStr"/>
    </row>
    <row r="359" ht="15" customHeight="1">
      <c r="A359" t="inlineStr">
        <is>
          <t>A 60957-2025</t>
        </is>
      </c>
      <c r="B359" s="1" t="n">
        <v>45999.65799768519</v>
      </c>
      <c r="C359" s="1" t="n">
        <v>46098</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57475-2022</t>
        </is>
      </c>
      <c r="B360" s="1" t="n">
        <v>44896</v>
      </c>
      <c r="C360" s="1" t="n">
        <v>46098</v>
      </c>
      <c r="D360" t="inlineStr">
        <is>
          <t>DALARNAS LÄN</t>
        </is>
      </c>
      <c r="E360" t="inlineStr">
        <is>
          <t>MORA</t>
        </is>
      </c>
      <c r="G360" t="n">
        <v>5.7</v>
      </c>
      <c r="H360" t="n">
        <v>0</v>
      </c>
      <c r="I360" t="n">
        <v>0</v>
      </c>
      <c r="J360" t="n">
        <v>0</v>
      </c>
      <c r="K360" t="n">
        <v>0</v>
      </c>
      <c r="L360" t="n">
        <v>0</v>
      </c>
      <c r="M360" t="n">
        <v>0</v>
      </c>
      <c r="N360" t="n">
        <v>0</v>
      </c>
      <c r="O360" t="n">
        <v>0</v>
      </c>
      <c r="P360" t="n">
        <v>0</v>
      </c>
      <c r="Q360" t="n">
        <v>0</v>
      </c>
      <c r="R360" s="2" t="inlineStr"/>
    </row>
    <row r="361" ht="15" customHeight="1">
      <c r="A361" t="inlineStr">
        <is>
          <t>A 55691-2023</t>
        </is>
      </c>
      <c r="B361" s="1" t="n">
        <v>45239.36509259259</v>
      </c>
      <c r="C361" s="1" t="n">
        <v>46098</v>
      </c>
      <c r="D361" t="inlineStr">
        <is>
          <t>DALARNAS LÄN</t>
        </is>
      </c>
      <c r="E361" t="inlineStr">
        <is>
          <t>MORA</t>
        </is>
      </c>
      <c r="G361" t="n">
        <v>2.2</v>
      </c>
      <c r="H361" t="n">
        <v>0</v>
      </c>
      <c r="I361" t="n">
        <v>0</v>
      </c>
      <c r="J361" t="n">
        <v>0</v>
      </c>
      <c r="K361" t="n">
        <v>0</v>
      </c>
      <c r="L361" t="n">
        <v>0</v>
      </c>
      <c r="M361" t="n">
        <v>0</v>
      </c>
      <c r="N361" t="n">
        <v>0</v>
      </c>
      <c r="O361" t="n">
        <v>0</v>
      </c>
      <c r="P361" t="n">
        <v>0</v>
      </c>
      <c r="Q361" t="n">
        <v>0</v>
      </c>
      <c r="R361" s="2" t="inlineStr"/>
    </row>
    <row r="362" ht="15" customHeight="1">
      <c r="A362" t="inlineStr">
        <is>
          <t>A 63958-2023</t>
        </is>
      </c>
      <c r="B362" s="1" t="n">
        <v>45278</v>
      </c>
      <c r="C362" s="1" t="n">
        <v>46098</v>
      </c>
      <c r="D362" t="inlineStr">
        <is>
          <t>DALARNAS LÄN</t>
        </is>
      </c>
      <c r="E362" t="inlineStr">
        <is>
          <t>MORA</t>
        </is>
      </c>
      <c r="G362" t="n">
        <v>1.9</v>
      </c>
      <c r="H362" t="n">
        <v>0</v>
      </c>
      <c r="I362" t="n">
        <v>0</v>
      </c>
      <c r="J362" t="n">
        <v>0</v>
      </c>
      <c r="K362" t="n">
        <v>0</v>
      </c>
      <c r="L362" t="n">
        <v>0</v>
      </c>
      <c r="M362" t="n">
        <v>0</v>
      </c>
      <c r="N362" t="n">
        <v>0</v>
      </c>
      <c r="O362" t="n">
        <v>0</v>
      </c>
      <c r="P362" t="n">
        <v>0</v>
      </c>
      <c r="Q362" t="n">
        <v>0</v>
      </c>
      <c r="R362" s="2" t="inlineStr"/>
    </row>
    <row r="363" ht="15" customHeight="1">
      <c r="A363" t="inlineStr">
        <is>
          <t>A 25494-2024</t>
        </is>
      </c>
      <c r="B363" s="1" t="n">
        <v>45463</v>
      </c>
      <c r="C363" s="1" t="n">
        <v>46098</v>
      </c>
      <c r="D363" t="inlineStr">
        <is>
          <t>DALARNAS LÄN</t>
        </is>
      </c>
      <c r="E363" t="inlineStr">
        <is>
          <t>MORA</t>
        </is>
      </c>
      <c r="G363" t="n">
        <v>4.9</v>
      </c>
      <c r="H363" t="n">
        <v>0</v>
      </c>
      <c r="I363" t="n">
        <v>0</v>
      </c>
      <c r="J363" t="n">
        <v>0</v>
      </c>
      <c r="K363" t="n">
        <v>0</v>
      </c>
      <c r="L363" t="n">
        <v>0</v>
      </c>
      <c r="M363" t="n">
        <v>0</v>
      </c>
      <c r="N363" t="n">
        <v>0</v>
      </c>
      <c r="O363" t="n">
        <v>0</v>
      </c>
      <c r="P363" t="n">
        <v>0</v>
      </c>
      <c r="Q363" t="n">
        <v>0</v>
      </c>
      <c r="R363" s="2" t="inlineStr"/>
    </row>
    <row r="364" ht="15" customHeight="1">
      <c r="A364" t="inlineStr">
        <is>
          <t>A 35363-2024</t>
        </is>
      </c>
      <c r="B364" s="1" t="n">
        <v>45531.34050925926</v>
      </c>
      <c r="C364" s="1" t="n">
        <v>46098</v>
      </c>
      <c r="D364" t="inlineStr">
        <is>
          <t>DALARNAS LÄN</t>
        </is>
      </c>
      <c r="E364" t="inlineStr">
        <is>
          <t>MORA</t>
        </is>
      </c>
      <c r="G364" t="n">
        <v>2.5</v>
      </c>
      <c r="H364" t="n">
        <v>0</v>
      </c>
      <c r="I364" t="n">
        <v>0</v>
      </c>
      <c r="J364" t="n">
        <v>0</v>
      </c>
      <c r="K364" t="n">
        <v>0</v>
      </c>
      <c r="L364" t="n">
        <v>0</v>
      </c>
      <c r="M364" t="n">
        <v>0</v>
      </c>
      <c r="N364" t="n">
        <v>0</v>
      </c>
      <c r="O364" t="n">
        <v>0</v>
      </c>
      <c r="P364" t="n">
        <v>0</v>
      </c>
      <c r="Q364" t="n">
        <v>0</v>
      </c>
      <c r="R364" s="2" t="inlineStr"/>
    </row>
    <row r="365" ht="15" customHeight="1">
      <c r="A365" t="inlineStr">
        <is>
          <t>A 44307-2021</t>
        </is>
      </c>
      <c r="B365" s="1" t="n">
        <v>44435</v>
      </c>
      <c r="C365" s="1" t="n">
        <v>46098</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34923-2022</t>
        </is>
      </c>
      <c r="B366" s="1" t="n">
        <v>44796</v>
      </c>
      <c r="C366" s="1" t="n">
        <v>46098</v>
      </c>
      <c r="D366" t="inlineStr">
        <is>
          <t>DALARNAS LÄN</t>
        </is>
      </c>
      <c r="E366" t="inlineStr">
        <is>
          <t>MORA</t>
        </is>
      </c>
      <c r="G366" t="n">
        <v>5</v>
      </c>
      <c r="H366" t="n">
        <v>0</v>
      </c>
      <c r="I366" t="n">
        <v>0</v>
      </c>
      <c r="J366" t="n">
        <v>0</v>
      </c>
      <c r="K366" t="n">
        <v>0</v>
      </c>
      <c r="L366" t="n">
        <v>0</v>
      </c>
      <c r="M366" t="n">
        <v>0</v>
      </c>
      <c r="N366" t="n">
        <v>0</v>
      </c>
      <c r="O366" t="n">
        <v>0</v>
      </c>
      <c r="P366" t="n">
        <v>0</v>
      </c>
      <c r="Q366" t="n">
        <v>0</v>
      </c>
      <c r="R366" s="2" t="inlineStr"/>
    </row>
    <row r="367" ht="15" customHeight="1">
      <c r="A367" t="inlineStr">
        <is>
          <t>A 46537-2025</t>
        </is>
      </c>
      <c r="B367" s="1" t="n">
        <v>45926.34195601852</v>
      </c>
      <c r="C367" s="1" t="n">
        <v>46098</v>
      </c>
      <c r="D367" t="inlineStr">
        <is>
          <t>DALARNAS LÄN</t>
        </is>
      </c>
      <c r="E367" t="inlineStr">
        <is>
          <t>MORA</t>
        </is>
      </c>
      <c r="G367" t="n">
        <v>10.6</v>
      </c>
      <c r="H367" t="n">
        <v>0</v>
      </c>
      <c r="I367" t="n">
        <v>0</v>
      </c>
      <c r="J367" t="n">
        <v>0</v>
      </c>
      <c r="K367" t="n">
        <v>0</v>
      </c>
      <c r="L367" t="n">
        <v>0</v>
      </c>
      <c r="M367" t="n">
        <v>0</v>
      </c>
      <c r="N367" t="n">
        <v>0</v>
      </c>
      <c r="O367" t="n">
        <v>0</v>
      </c>
      <c r="P367" t="n">
        <v>0</v>
      </c>
      <c r="Q367" t="n">
        <v>0</v>
      </c>
      <c r="R367" s="2" t="inlineStr"/>
    </row>
    <row r="368" ht="15" customHeight="1">
      <c r="A368" t="inlineStr">
        <is>
          <t>A 47140-2025</t>
        </is>
      </c>
      <c r="B368" s="1" t="n">
        <v>45929</v>
      </c>
      <c r="C368" s="1" t="n">
        <v>46098</v>
      </c>
      <c r="D368" t="inlineStr">
        <is>
          <t>DALARNAS LÄN</t>
        </is>
      </c>
      <c r="E368" t="inlineStr">
        <is>
          <t>MORA</t>
        </is>
      </c>
      <c r="G368" t="n">
        <v>6.7</v>
      </c>
      <c r="H368" t="n">
        <v>0</v>
      </c>
      <c r="I368" t="n">
        <v>0</v>
      </c>
      <c r="J368" t="n">
        <v>0</v>
      </c>
      <c r="K368" t="n">
        <v>0</v>
      </c>
      <c r="L368" t="n">
        <v>0</v>
      </c>
      <c r="M368" t="n">
        <v>0</v>
      </c>
      <c r="N368" t="n">
        <v>0</v>
      </c>
      <c r="O368" t="n">
        <v>0</v>
      </c>
      <c r="P368" t="n">
        <v>0</v>
      </c>
      <c r="Q368" t="n">
        <v>0</v>
      </c>
      <c r="R368" s="2" t="inlineStr"/>
    </row>
    <row r="369" ht="15" customHeight="1">
      <c r="A369" t="inlineStr">
        <is>
          <t>A 47055-2025</t>
        </is>
      </c>
      <c r="B369" s="1" t="n">
        <v>45929.61931712963</v>
      </c>
      <c r="C369" s="1" t="n">
        <v>46098</v>
      </c>
      <c r="D369" t="inlineStr">
        <is>
          <t>DALARNAS LÄN</t>
        </is>
      </c>
      <c r="E369" t="inlineStr">
        <is>
          <t>MORA</t>
        </is>
      </c>
      <c r="G369" t="n">
        <v>28.1</v>
      </c>
      <c r="H369" t="n">
        <v>0</v>
      </c>
      <c r="I369" t="n">
        <v>0</v>
      </c>
      <c r="J369" t="n">
        <v>0</v>
      </c>
      <c r="K369" t="n">
        <v>0</v>
      </c>
      <c r="L369" t="n">
        <v>0</v>
      </c>
      <c r="M369" t="n">
        <v>0</v>
      </c>
      <c r="N369" t="n">
        <v>0</v>
      </c>
      <c r="O369" t="n">
        <v>0</v>
      </c>
      <c r="P369" t="n">
        <v>0</v>
      </c>
      <c r="Q369" t="n">
        <v>0</v>
      </c>
      <c r="R369" s="2" t="inlineStr"/>
    </row>
    <row r="370" ht="15" customHeight="1">
      <c r="A370" t="inlineStr">
        <is>
          <t>A 47072-2025</t>
        </is>
      </c>
      <c r="B370" s="1" t="n">
        <v>45929.6365162037</v>
      </c>
      <c r="C370" s="1" t="n">
        <v>46098</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32852-2025</t>
        </is>
      </c>
      <c r="B371" s="1" t="n">
        <v>45839.57559027777</v>
      </c>
      <c r="C371" s="1" t="n">
        <v>46098</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5922-2025</t>
        </is>
      </c>
      <c r="B372" s="1" t="n">
        <v>45695.42762731481</v>
      </c>
      <c r="C372" s="1" t="n">
        <v>46098</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43533-2023</t>
        </is>
      </c>
      <c r="B373" s="1" t="n">
        <v>45184.53412037037</v>
      </c>
      <c r="C373" s="1" t="n">
        <v>46098</v>
      </c>
      <c r="D373" t="inlineStr">
        <is>
          <t>DALARNAS LÄN</t>
        </is>
      </c>
      <c r="E373" t="inlineStr">
        <is>
          <t>MORA</t>
        </is>
      </c>
      <c r="F373" t="inlineStr">
        <is>
          <t>Bergvik skog väst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37774-2022</t>
        </is>
      </c>
      <c r="B374" s="1" t="n">
        <v>44810.64164351852</v>
      </c>
      <c r="C374" s="1" t="n">
        <v>46098</v>
      </c>
      <c r="D374" t="inlineStr">
        <is>
          <t>DALARNAS LÄN</t>
        </is>
      </c>
      <c r="E374" t="inlineStr">
        <is>
          <t>MORA</t>
        </is>
      </c>
      <c r="F374" t="inlineStr">
        <is>
          <t>Bergvik skog väst AB</t>
        </is>
      </c>
      <c r="G374" t="n">
        <v>8.5</v>
      </c>
      <c r="H374" t="n">
        <v>0</v>
      </c>
      <c r="I374" t="n">
        <v>0</v>
      </c>
      <c r="J374" t="n">
        <v>0</v>
      </c>
      <c r="K374" t="n">
        <v>0</v>
      </c>
      <c r="L374" t="n">
        <v>0</v>
      </c>
      <c r="M374" t="n">
        <v>0</v>
      </c>
      <c r="N374" t="n">
        <v>0</v>
      </c>
      <c r="O374" t="n">
        <v>0</v>
      </c>
      <c r="P374" t="n">
        <v>0</v>
      </c>
      <c r="Q374" t="n">
        <v>0</v>
      </c>
      <c r="R374" s="2" t="inlineStr"/>
    </row>
    <row r="375" ht="15" customHeight="1">
      <c r="A375" t="inlineStr">
        <is>
          <t>A 61412-2025</t>
        </is>
      </c>
      <c r="B375" s="1" t="n">
        <v>46001.5266087963</v>
      </c>
      <c r="C375" s="1" t="n">
        <v>46098</v>
      </c>
      <c r="D375" t="inlineStr">
        <is>
          <t>DALARNAS LÄN</t>
        </is>
      </c>
      <c r="E375" t="inlineStr">
        <is>
          <t>MORA</t>
        </is>
      </c>
      <c r="G375" t="n">
        <v>2.9</v>
      </c>
      <c r="H375" t="n">
        <v>0</v>
      </c>
      <c r="I375" t="n">
        <v>0</v>
      </c>
      <c r="J375" t="n">
        <v>0</v>
      </c>
      <c r="K375" t="n">
        <v>0</v>
      </c>
      <c r="L375" t="n">
        <v>0</v>
      </c>
      <c r="M375" t="n">
        <v>0</v>
      </c>
      <c r="N375" t="n">
        <v>0</v>
      </c>
      <c r="O375" t="n">
        <v>0</v>
      </c>
      <c r="P375" t="n">
        <v>0</v>
      </c>
      <c r="Q375" t="n">
        <v>0</v>
      </c>
      <c r="R375" s="2" t="inlineStr"/>
    </row>
    <row r="376" ht="15" customHeight="1">
      <c r="A376" t="inlineStr">
        <is>
          <t>A 61455-2025</t>
        </is>
      </c>
      <c r="B376" s="1" t="n">
        <v>46001.58590277778</v>
      </c>
      <c r="C376" s="1" t="n">
        <v>46098</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33443-2025</t>
        </is>
      </c>
      <c r="B377" s="1" t="n">
        <v>45841</v>
      </c>
      <c r="C377" s="1" t="n">
        <v>46098</v>
      </c>
      <c r="D377" t="inlineStr">
        <is>
          <t>DALARNAS LÄN</t>
        </is>
      </c>
      <c r="E377" t="inlineStr">
        <is>
          <t>MORA</t>
        </is>
      </c>
      <c r="G377" t="n">
        <v>2.7</v>
      </c>
      <c r="H377" t="n">
        <v>0</v>
      </c>
      <c r="I377" t="n">
        <v>0</v>
      </c>
      <c r="J377" t="n">
        <v>0</v>
      </c>
      <c r="K377" t="n">
        <v>0</v>
      </c>
      <c r="L377" t="n">
        <v>0</v>
      </c>
      <c r="M377" t="n">
        <v>0</v>
      </c>
      <c r="N377" t="n">
        <v>0</v>
      </c>
      <c r="O377" t="n">
        <v>0</v>
      </c>
      <c r="P377" t="n">
        <v>0</v>
      </c>
      <c r="Q377" t="n">
        <v>0</v>
      </c>
      <c r="R377" s="2" t="inlineStr"/>
    </row>
    <row r="378" ht="15" customHeight="1">
      <c r="A378" t="inlineStr">
        <is>
          <t>A 64327-2023</t>
        </is>
      </c>
      <c r="B378" s="1" t="n">
        <v>45280</v>
      </c>
      <c r="C378" s="1" t="n">
        <v>46098</v>
      </c>
      <c r="D378" t="inlineStr">
        <is>
          <t>DALARNAS LÄN</t>
        </is>
      </c>
      <c r="E378" t="inlineStr">
        <is>
          <t>MORA</t>
        </is>
      </c>
      <c r="G378" t="n">
        <v>0.8</v>
      </c>
      <c r="H378" t="n">
        <v>0</v>
      </c>
      <c r="I378" t="n">
        <v>0</v>
      </c>
      <c r="J378" t="n">
        <v>0</v>
      </c>
      <c r="K378" t="n">
        <v>0</v>
      </c>
      <c r="L378" t="n">
        <v>0</v>
      </c>
      <c r="M378" t="n">
        <v>0</v>
      </c>
      <c r="N378" t="n">
        <v>0</v>
      </c>
      <c r="O378" t="n">
        <v>0</v>
      </c>
      <c r="P378" t="n">
        <v>0</v>
      </c>
      <c r="Q378" t="n">
        <v>0</v>
      </c>
      <c r="R378" s="2" t="inlineStr"/>
    </row>
    <row r="379" ht="15" customHeight="1">
      <c r="A379" t="inlineStr">
        <is>
          <t>A 17145-2024</t>
        </is>
      </c>
      <c r="B379" s="1" t="n">
        <v>45412</v>
      </c>
      <c r="C379" s="1" t="n">
        <v>46098</v>
      </c>
      <c r="D379" t="inlineStr">
        <is>
          <t>DALARNAS LÄN</t>
        </is>
      </c>
      <c r="E379" t="inlineStr">
        <is>
          <t>MORA</t>
        </is>
      </c>
      <c r="G379" t="n">
        <v>1.4</v>
      </c>
      <c r="H379" t="n">
        <v>0</v>
      </c>
      <c r="I379" t="n">
        <v>0</v>
      </c>
      <c r="J379" t="n">
        <v>0</v>
      </c>
      <c r="K379" t="n">
        <v>0</v>
      </c>
      <c r="L379" t="n">
        <v>0</v>
      </c>
      <c r="M379" t="n">
        <v>0</v>
      </c>
      <c r="N379" t="n">
        <v>0</v>
      </c>
      <c r="O379" t="n">
        <v>0</v>
      </c>
      <c r="P379" t="n">
        <v>0</v>
      </c>
      <c r="Q379" t="n">
        <v>0</v>
      </c>
      <c r="R379" s="2" t="inlineStr"/>
    </row>
    <row r="380" ht="15" customHeight="1">
      <c r="A380" t="inlineStr">
        <is>
          <t>A 61606-2025</t>
        </is>
      </c>
      <c r="B380" s="1" t="n">
        <v>46002.37662037037</v>
      </c>
      <c r="C380" s="1" t="n">
        <v>46098</v>
      </c>
      <c r="D380" t="inlineStr">
        <is>
          <t>DALARNAS LÄN</t>
        </is>
      </c>
      <c r="E380" t="inlineStr">
        <is>
          <t>MORA</t>
        </is>
      </c>
      <c r="G380" t="n">
        <v>6.1</v>
      </c>
      <c r="H380" t="n">
        <v>0</v>
      </c>
      <c r="I380" t="n">
        <v>0</v>
      </c>
      <c r="J380" t="n">
        <v>0</v>
      </c>
      <c r="K380" t="n">
        <v>0</v>
      </c>
      <c r="L380" t="n">
        <v>0</v>
      </c>
      <c r="M380" t="n">
        <v>0</v>
      </c>
      <c r="N380" t="n">
        <v>0</v>
      </c>
      <c r="O380" t="n">
        <v>0</v>
      </c>
      <c r="P380" t="n">
        <v>0</v>
      </c>
      <c r="Q380" t="n">
        <v>0</v>
      </c>
      <c r="R380" s="2" t="inlineStr"/>
    </row>
    <row r="381" ht="15" customHeight="1">
      <c r="A381" t="inlineStr">
        <is>
          <t>A 61624-2025</t>
        </is>
      </c>
      <c r="B381" s="1" t="n">
        <v>46002.39755787037</v>
      </c>
      <c r="C381" s="1" t="n">
        <v>46098</v>
      </c>
      <c r="D381" t="inlineStr">
        <is>
          <t>DALARNAS LÄN</t>
        </is>
      </c>
      <c r="E381" t="inlineStr">
        <is>
          <t>MORA</t>
        </is>
      </c>
      <c r="G381" t="n">
        <v>0.6</v>
      </c>
      <c r="H381" t="n">
        <v>0</v>
      </c>
      <c r="I381" t="n">
        <v>0</v>
      </c>
      <c r="J381" t="n">
        <v>0</v>
      </c>
      <c r="K381" t="n">
        <v>0</v>
      </c>
      <c r="L381" t="n">
        <v>0</v>
      </c>
      <c r="M381" t="n">
        <v>0</v>
      </c>
      <c r="N381" t="n">
        <v>0</v>
      </c>
      <c r="O381" t="n">
        <v>0</v>
      </c>
      <c r="P381" t="n">
        <v>0</v>
      </c>
      <c r="Q381" t="n">
        <v>0</v>
      </c>
      <c r="R381" s="2" t="inlineStr"/>
    </row>
    <row r="382" ht="15" customHeight="1">
      <c r="A382" t="inlineStr">
        <is>
          <t>A 61620-2025</t>
        </is>
      </c>
      <c r="B382" s="1" t="n">
        <v>46002.39347222223</v>
      </c>
      <c r="C382" s="1" t="n">
        <v>46098</v>
      </c>
      <c r="D382" t="inlineStr">
        <is>
          <t>DALARNAS LÄN</t>
        </is>
      </c>
      <c r="E382" t="inlineStr">
        <is>
          <t>MORA</t>
        </is>
      </c>
      <c r="G382" t="n">
        <v>3</v>
      </c>
      <c r="H382" t="n">
        <v>0</v>
      </c>
      <c r="I382" t="n">
        <v>0</v>
      </c>
      <c r="J382" t="n">
        <v>0</v>
      </c>
      <c r="K382" t="n">
        <v>0</v>
      </c>
      <c r="L382" t="n">
        <v>0</v>
      </c>
      <c r="M382" t="n">
        <v>0</v>
      </c>
      <c r="N382" t="n">
        <v>0</v>
      </c>
      <c r="O382" t="n">
        <v>0</v>
      </c>
      <c r="P382" t="n">
        <v>0</v>
      </c>
      <c r="Q382" t="n">
        <v>0</v>
      </c>
      <c r="R382" s="2" t="inlineStr"/>
    </row>
    <row r="383" ht="15" customHeight="1">
      <c r="A383" t="inlineStr">
        <is>
          <t>A 61995-2025</t>
        </is>
      </c>
      <c r="B383" s="1" t="n">
        <v>46003.63954861111</v>
      </c>
      <c r="C383" s="1" t="n">
        <v>46098</v>
      </c>
      <c r="D383" t="inlineStr">
        <is>
          <t>DALARNAS LÄN</t>
        </is>
      </c>
      <c r="E383" t="inlineStr">
        <is>
          <t>MORA</t>
        </is>
      </c>
      <c r="G383" t="n">
        <v>1.3</v>
      </c>
      <c r="H383" t="n">
        <v>0</v>
      </c>
      <c r="I383" t="n">
        <v>0</v>
      </c>
      <c r="J383" t="n">
        <v>0</v>
      </c>
      <c r="K383" t="n">
        <v>0</v>
      </c>
      <c r="L383" t="n">
        <v>0</v>
      </c>
      <c r="M383" t="n">
        <v>0</v>
      </c>
      <c r="N383" t="n">
        <v>0</v>
      </c>
      <c r="O383" t="n">
        <v>0</v>
      </c>
      <c r="P383" t="n">
        <v>0</v>
      </c>
      <c r="Q383" t="n">
        <v>0</v>
      </c>
      <c r="R383" s="2" t="inlineStr"/>
    </row>
    <row r="384" ht="15" customHeight="1">
      <c r="A384" t="inlineStr">
        <is>
          <t>A 62055-2025</t>
        </is>
      </c>
      <c r="B384" s="1" t="n">
        <v>46006.3365625</v>
      </c>
      <c r="C384" s="1" t="n">
        <v>46098</v>
      </c>
      <c r="D384" t="inlineStr">
        <is>
          <t>DALARNAS LÄN</t>
        </is>
      </c>
      <c r="E384" t="inlineStr">
        <is>
          <t>MORA</t>
        </is>
      </c>
      <c r="G384" t="n">
        <v>1.5</v>
      </c>
      <c r="H384" t="n">
        <v>0</v>
      </c>
      <c r="I384" t="n">
        <v>0</v>
      </c>
      <c r="J384" t="n">
        <v>0</v>
      </c>
      <c r="K384" t="n">
        <v>0</v>
      </c>
      <c r="L384" t="n">
        <v>0</v>
      </c>
      <c r="M384" t="n">
        <v>0</v>
      </c>
      <c r="N384" t="n">
        <v>0</v>
      </c>
      <c r="O384" t="n">
        <v>0</v>
      </c>
      <c r="P384" t="n">
        <v>0</v>
      </c>
      <c r="Q384" t="n">
        <v>0</v>
      </c>
      <c r="R384" s="2" t="inlineStr"/>
    </row>
    <row r="385" ht="15" customHeight="1">
      <c r="A385" t="inlineStr">
        <is>
          <t>A 48728-2022</t>
        </is>
      </c>
      <c r="B385" s="1" t="n">
        <v>44859.52145833334</v>
      </c>
      <c r="C385" s="1" t="n">
        <v>46098</v>
      </c>
      <c r="D385" t="inlineStr">
        <is>
          <t>DALARNAS LÄN</t>
        </is>
      </c>
      <c r="E385" t="inlineStr">
        <is>
          <t>MORA</t>
        </is>
      </c>
      <c r="G385" t="n">
        <v>0.6</v>
      </c>
      <c r="H385" t="n">
        <v>0</v>
      </c>
      <c r="I385" t="n">
        <v>0</v>
      </c>
      <c r="J385" t="n">
        <v>0</v>
      </c>
      <c r="K385" t="n">
        <v>0</v>
      </c>
      <c r="L385" t="n">
        <v>0</v>
      </c>
      <c r="M385" t="n">
        <v>0</v>
      </c>
      <c r="N385" t="n">
        <v>0</v>
      </c>
      <c r="O385" t="n">
        <v>0</v>
      </c>
      <c r="P385" t="n">
        <v>0</v>
      </c>
      <c r="Q385" t="n">
        <v>0</v>
      </c>
      <c r="R385" s="2" t="inlineStr"/>
    </row>
    <row r="386" ht="15" customHeight="1">
      <c r="A386" t="inlineStr">
        <is>
          <t>A 62054-2025</t>
        </is>
      </c>
      <c r="B386" s="1" t="n">
        <v>46006.33462962963</v>
      </c>
      <c r="C386" s="1" t="n">
        <v>46098</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34182-2025</t>
        </is>
      </c>
      <c r="B387" s="1" t="n">
        <v>45845.60520833333</v>
      </c>
      <c r="C387" s="1" t="n">
        <v>46098</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34005-2025</t>
        </is>
      </c>
      <c r="B388" s="1" t="n">
        <v>45844.58890046296</v>
      </c>
      <c r="C388" s="1" t="n">
        <v>46098</v>
      </c>
      <c r="D388" t="inlineStr">
        <is>
          <t>DALARNAS LÄN</t>
        </is>
      </c>
      <c r="E388" t="inlineStr">
        <is>
          <t>MORA</t>
        </is>
      </c>
      <c r="G388" t="n">
        <v>7.2</v>
      </c>
      <c r="H388" t="n">
        <v>0</v>
      </c>
      <c r="I388" t="n">
        <v>0</v>
      </c>
      <c r="J388" t="n">
        <v>0</v>
      </c>
      <c r="K388" t="n">
        <v>0</v>
      </c>
      <c r="L388" t="n">
        <v>0</v>
      </c>
      <c r="M388" t="n">
        <v>0</v>
      </c>
      <c r="N388" t="n">
        <v>0</v>
      </c>
      <c r="O388" t="n">
        <v>0</v>
      </c>
      <c r="P388" t="n">
        <v>0</v>
      </c>
      <c r="Q388" t="n">
        <v>0</v>
      </c>
      <c r="R388" s="2" t="inlineStr"/>
    </row>
    <row r="389" ht="15" customHeight="1">
      <c r="A389" t="inlineStr">
        <is>
          <t>A 62548-2025</t>
        </is>
      </c>
      <c r="B389" s="1" t="n">
        <v>46007.66275462963</v>
      </c>
      <c r="C389" s="1" t="n">
        <v>46098</v>
      </c>
      <c r="D389" t="inlineStr">
        <is>
          <t>DALARNAS LÄN</t>
        </is>
      </c>
      <c r="E389" t="inlineStr">
        <is>
          <t>MORA</t>
        </is>
      </c>
      <c r="G389" t="n">
        <v>0.8</v>
      </c>
      <c r="H389" t="n">
        <v>0</v>
      </c>
      <c r="I389" t="n">
        <v>0</v>
      </c>
      <c r="J389" t="n">
        <v>0</v>
      </c>
      <c r="K389" t="n">
        <v>0</v>
      </c>
      <c r="L389" t="n">
        <v>0</v>
      </c>
      <c r="M389" t="n">
        <v>0</v>
      </c>
      <c r="N389" t="n">
        <v>0</v>
      </c>
      <c r="O389" t="n">
        <v>0</v>
      </c>
      <c r="P389" t="n">
        <v>0</v>
      </c>
      <c r="Q389" t="n">
        <v>0</v>
      </c>
      <c r="R389" s="2" t="inlineStr"/>
    </row>
    <row r="390" ht="15" customHeight="1">
      <c r="A390" t="inlineStr">
        <is>
          <t>A 34482-2025</t>
        </is>
      </c>
      <c r="B390" s="1" t="n">
        <v>45847.38469907407</v>
      </c>
      <c r="C390" s="1" t="n">
        <v>46098</v>
      </c>
      <c r="D390" t="inlineStr">
        <is>
          <t>DALARNAS LÄN</t>
        </is>
      </c>
      <c r="E390" t="inlineStr">
        <is>
          <t>MORA</t>
        </is>
      </c>
      <c r="G390" t="n">
        <v>1.5</v>
      </c>
      <c r="H390" t="n">
        <v>0</v>
      </c>
      <c r="I390" t="n">
        <v>0</v>
      </c>
      <c r="J390" t="n">
        <v>0</v>
      </c>
      <c r="K390" t="n">
        <v>0</v>
      </c>
      <c r="L390" t="n">
        <v>0</v>
      </c>
      <c r="M390" t="n">
        <v>0</v>
      </c>
      <c r="N390" t="n">
        <v>0</v>
      </c>
      <c r="O390" t="n">
        <v>0</v>
      </c>
      <c r="P390" t="n">
        <v>0</v>
      </c>
      <c r="Q390" t="n">
        <v>0</v>
      </c>
      <c r="R390" s="2" t="inlineStr"/>
    </row>
    <row r="391" ht="15" customHeight="1">
      <c r="A391" t="inlineStr">
        <is>
          <t>A 34382-2025</t>
        </is>
      </c>
      <c r="B391" s="1" t="n">
        <v>45846</v>
      </c>
      <c r="C391" s="1" t="n">
        <v>46098</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62959-2025</t>
        </is>
      </c>
      <c r="B392" s="1" t="n">
        <v>46009.45792824074</v>
      </c>
      <c r="C392" s="1" t="n">
        <v>46098</v>
      </c>
      <c r="D392" t="inlineStr">
        <is>
          <t>DALARNAS LÄN</t>
        </is>
      </c>
      <c r="E392" t="inlineStr">
        <is>
          <t>MORA</t>
        </is>
      </c>
      <c r="G392" t="n">
        <v>2.6</v>
      </c>
      <c r="H392" t="n">
        <v>0</v>
      </c>
      <c r="I392" t="n">
        <v>0</v>
      </c>
      <c r="J392" t="n">
        <v>0</v>
      </c>
      <c r="K392" t="n">
        <v>0</v>
      </c>
      <c r="L392" t="n">
        <v>0</v>
      </c>
      <c r="M392" t="n">
        <v>0</v>
      </c>
      <c r="N392" t="n">
        <v>0</v>
      </c>
      <c r="O392" t="n">
        <v>0</v>
      </c>
      <c r="P392" t="n">
        <v>0</v>
      </c>
      <c r="Q392" t="n">
        <v>0</v>
      </c>
      <c r="R392" s="2" t="inlineStr"/>
    </row>
    <row r="393" ht="15" customHeight="1">
      <c r="A393" t="inlineStr">
        <is>
          <t>A 62965-2025</t>
        </is>
      </c>
      <c r="B393" s="1" t="n">
        <v>46009.46129629629</v>
      </c>
      <c r="C393" s="1" t="n">
        <v>46098</v>
      </c>
      <c r="D393" t="inlineStr">
        <is>
          <t>DALARNAS LÄN</t>
        </is>
      </c>
      <c r="E393" t="inlineStr">
        <is>
          <t>MORA</t>
        </is>
      </c>
      <c r="G393" t="n">
        <v>9.1</v>
      </c>
      <c r="H393" t="n">
        <v>0</v>
      </c>
      <c r="I393" t="n">
        <v>0</v>
      </c>
      <c r="J393" t="n">
        <v>0</v>
      </c>
      <c r="K393" t="n">
        <v>0</v>
      </c>
      <c r="L393" t="n">
        <v>0</v>
      </c>
      <c r="M393" t="n">
        <v>0</v>
      </c>
      <c r="N393" t="n">
        <v>0</v>
      </c>
      <c r="O393" t="n">
        <v>0</v>
      </c>
      <c r="P393" t="n">
        <v>0</v>
      </c>
      <c r="Q393" t="n">
        <v>0</v>
      </c>
      <c r="R393" s="2" t="inlineStr"/>
    </row>
    <row r="394" ht="15" customHeight="1">
      <c r="A394" t="inlineStr">
        <is>
          <t>A 63030-2025</t>
        </is>
      </c>
      <c r="B394" s="1" t="n">
        <v>46009.60133101852</v>
      </c>
      <c r="C394" s="1" t="n">
        <v>46098</v>
      </c>
      <c r="D394" t="inlineStr">
        <is>
          <t>DALARNAS LÄN</t>
        </is>
      </c>
      <c r="E394" t="inlineStr">
        <is>
          <t>MORA</t>
        </is>
      </c>
      <c r="G394" t="n">
        <v>1.5</v>
      </c>
      <c r="H394" t="n">
        <v>0</v>
      </c>
      <c r="I394" t="n">
        <v>0</v>
      </c>
      <c r="J394" t="n">
        <v>0</v>
      </c>
      <c r="K394" t="n">
        <v>0</v>
      </c>
      <c r="L394" t="n">
        <v>0</v>
      </c>
      <c r="M394" t="n">
        <v>0</v>
      </c>
      <c r="N394" t="n">
        <v>0</v>
      </c>
      <c r="O394" t="n">
        <v>0</v>
      </c>
      <c r="P394" t="n">
        <v>0</v>
      </c>
      <c r="Q394" t="n">
        <v>0</v>
      </c>
      <c r="R394" s="2" t="inlineStr"/>
    </row>
    <row r="395" ht="15" customHeight="1">
      <c r="A395" t="inlineStr">
        <is>
          <t>A 5763-2026</t>
        </is>
      </c>
      <c r="B395" s="1" t="n">
        <v>46051.63380787037</v>
      </c>
      <c r="C395" s="1" t="n">
        <v>46098</v>
      </c>
      <c r="D395" t="inlineStr">
        <is>
          <t>DALARNAS LÄN</t>
        </is>
      </c>
      <c r="E395" t="inlineStr">
        <is>
          <t>MORA</t>
        </is>
      </c>
      <c r="G395" t="n">
        <v>0.3</v>
      </c>
      <c r="H395" t="n">
        <v>0</v>
      </c>
      <c r="I395" t="n">
        <v>0</v>
      </c>
      <c r="J395" t="n">
        <v>0</v>
      </c>
      <c r="K395" t="n">
        <v>0</v>
      </c>
      <c r="L395" t="n">
        <v>0</v>
      </c>
      <c r="M395" t="n">
        <v>0</v>
      </c>
      <c r="N395" t="n">
        <v>0</v>
      </c>
      <c r="O395" t="n">
        <v>0</v>
      </c>
      <c r="P395" t="n">
        <v>0</v>
      </c>
      <c r="Q395" t="n">
        <v>0</v>
      </c>
      <c r="R395" s="2" t="inlineStr"/>
    </row>
    <row r="396" ht="15" customHeight="1">
      <c r="A396" t="inlineStr">
        <is>
          <t>A 62619-2025</t>
        </is>
      </c>
      <c r="B396" s="1" t="n">
        <v>46008.33967592593</v>
      </c>
      <c r="C396" s="1" t="n">
        <v>46098</v>
      </c>
      <c r="D396" t="inlineStr">
        <is>
          <t>DALARNAS LÄN</t>
        </is>
      </c>
      <c r="E396" t="inlineStr">
        <is>
          <t>MORA</t>
        </is>
      </c>
      <c r="G396" t="n">
        <v>3.3</v>
      </c>
      <c r="H396" t="n">
        <v>0</v>
      </c>
      <c r="I396" t="n">
        <v>0</v>
      </c>
      <c r="J396" t="n">
        <v>0</v>
      </c>
      <c r="K396" t="n">
        <v>0</v>
      </c>
      <c r="L396" t="n">
        <v>0</v>
      </c>
      <c r="M396" t="n">
        <v>0</v>
      </c>
      <c r="N396" t="n">
        <v>0</v>
      </c>
      <c r="O396" t="n">
        <v>0</v>
      </c>
      <c r="P396" t="n">
        <v>0</v>
      </c>
      <c r="Q396" t="n">
        <v>0</v>
      </c>
      <c r="R396" s="2" t="inlineStr"/>
    </row>
    <row r="397" ht="15" customHeight="1">
      <c r="A397" t="inlineStr">
        <is>
          <t>A 62853-2025</t>
        </is>
      </c>
      <c r="B397" s="1" t="n">
        <v>46008.72493055555</v>
      </c>
      <c r="C397" s="1" t="n">
        <v>46098</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62628-2025</t>
        </is>
      </c>
      <c r="B398" s="1" t="n">
        <v>46008.35011574074</v>
      </c>
      <c r="C398" s="1" t="n">
        <v>46098</v>
      </c>
      <c r="D398" t="inlineStr">
        <is>
          <t>DALARNAS LÄN</t>
        </is>
      </c>
      <c r="E398" t="inlineStr">
        <is>
          <t>MORA</t>
        </is>
      </c>
      <c r="G398" t="n">
        <v>5.7</v>
      </c>
      <c r="H398" t="n">
        <v>0</v>
      </c>
      <c r="I398" t="n">
        <v>0</v>
      </c>
      <c r="J398" t="n">
        <v>0</v>
      </c>
      <c r="K398" t="n">
        <v>0</v>
      </c>
      <c r="L398" t="n">
        <v>0</v>
      </c>
      <c r="M398" t="n">
        <v>0</v>
      </c>
      <c r="N398" t="n">
        <v>0</v>
      </c>
      <c r="O398" t="n">
        <v>0</v>
      </c>
      <c r="P398" t="n">
        <v>0</v>
      </c>
      <c r="Q398" t="n">
        <v>0</v>
      </c>
      <c r="R398" s="2" t="inlineStr"/>
    </row>
    <row r="399" ht="15" customHeight="1">
      <c r="A399" t="inlineStr">
        <is>
          <t>A 34933-2025</t>
        </is>
      </c>
      <c r="B399" s="1" t="n">
        <v>45849.57297453703</v>
      </c>
      <c r="C399" s="1" t="n">
        <v>46098</v>
      </c>
      <c r="D399" t="inlineStr">
        <is>
          <t>DALARNAS LÄN</t>
        </is>
      </c>
      <c r="E399" t="inlineStr">
        <is>
          <t>MORA</t>
        </is>
      </c>
      <c r="F399" t="inlineStr">
        <is>
          <t>Bergvik skog väst AB</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62626-2025</t>
        </is>
      </c>
      <c r="B400" s="1" t="n">
        <v>46008.34541666666</v>
      </c>
      <c r="C400" s="1" t="n">
        <v>46098</v>
      </c>
      <c r="D400" t="inlineStr">
        <is>
          <t>DALARNAS LÄN</t>
        </is>
      </c>
      <c r="E400" t="inlineStr">
        <is>
          <t>MORA</t>
        </is>
      </c>
      <c r="G400" t="n">
        <v>6.7</v>
      </c>
      <c r="H400" t="n">
        <v>0</v>
      </c>
      <c r="I400" t="n">
        <v>0</v>
      </c>
      <c r="J400" t="n">
        <v>0</v>
      </c>
      <c r="K400" t="n">
        <v>0</v>
      </c>
      <c r="L400" t="n">
        <v>0</v>
      </c>
      <c r="M400" t="n">
        <v>0</v>
      </c>
      <c r="N400" t="n">
        <v>0</v>
      </c>
      <c r="O400" t="n">
        <v>0</v>
      </c>
      <c r="P400" t="n">
        <v>0</v>
      </c>
      <c r="Q400" t="n">
        <v>0</v>
      </c>
      <c r="R400" s="2" t="inlineStr"/>
    </row>
    <row r="401" ht="15" customHeight="1">
      <c r="A401" t="inlineStr">
        <is>
          <t>A 32410-2024</t>
        </is>
      </c>
      <c r="B401" s="1" t="n">
        <v>45512.70077546296</v>
      </c>
      <c r="C401" s="1" t="n">
        <v>46098</v>
      </c>
      <c r="D401" t="inlineStr">
        <is>
          <t>DALARNAS LÄN</t>
        </is>
      </c>
      <c r="E401" t="inlineStr">
        <is>
          <t>MORA</t>
        </is>
      </c>
      <c r="F401" t="inlineStr">
        <is>
          <t>Bergvik skog väst AB</t>
        </is>
      </c>
      <c r="G401" t="n">
        <v>2.2</v>
      </c>
      <c r="H401" t="n">
        <v>0</v>
      </c>
      <c r="I401" t="n">
        <v>0</v>
      </c>
      <c r="J401" t="n">
        <v>0</v>
      </c>
      <c r="K401" t="n">
        <v>0</v>
      </c>
      <c r="L401" t="n">
        <v>0</v>
      </c>
      <c r="M401" t="n">
        <v>0</v>
      </c>
      <c r="N401" t="n">
        <v>0</v>
      </c>
      <c r="O401" t="n">
        <v>0</v>
      </c>
      <c r="P401" t="n">
        <v>0</v>
      </c>
      <c r="Q401" t="n">
        <v>0</v>
      </c>
      <c r="R401" s="2" t="inlineStr"/>
    </row>
    <row r="402" ht="15" customHeight="1">
      <c r="A402" t="inlineStr">
        <is>
          <t>A 26546-2025</t>
        </is>
      </c>
      <c r="B402" s="1" t="n">
        <v>45807</v>
      </c>
      <c r="C402" s="1" t="n">
        <v>46098</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26573-2025</t>
        </is>
      </c>
      <c r="B403" s="1" t="n">
        <v>45807</v>
      </c>
      <c r="C403" s="1" t="n">
        <v>46098</v>
      </c>
      <c r="D403" t="inlineStr">
        <is>
          <t>DALARNAS LÄN</t>
        </is>
      </c>
      <c r="E403" t="inlineStr">
        <is>
          <t>MORA</t>
        </is>
      </c>
      <c r="G403" t="n">
        <v>4.3</v>
      </c>
      <c r="H403" t="n">
        <v>0</v>
      </c>
      <c r="I403" t="n">
        <v>0</v>
      </c>
      <c r="J403" t="n">
        <v>0</v>
      </c>
      <c r="K403" t="n">
        <v>0</v>
      </c>
      <c r="L403" t="n">
        <v>0</v>
      </c>
      <c r="M403" t="n">
        <v>0</v>
      </c>
      <c r="N403" t="n">
        <v>0</v>
      </c>
      <c r="O403" t="n">
        <v>0</v>
      </c>
      <c r="P403" t="n">
        <v>0</v>
      </c>
      <c r="Q403" t="n">
        <v>0</v>
      </c>
      <c r="R403" s="2" t="inlineStr"/>
    </row>
    <row r="404" ht="15" customHeight="1">
      <c r="A404" t="inlineStr">
        <is>
          <t>A 26577-2025</t>
        </is>
      </c>
      <c r="B404" s="1" t="n">
        <v>45807</v>
      </c>
      <c r="C404" s="1" t="n">
        <v>46098</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26545-2025</t>
        </is>
      </c>
      <c r="B405" s="1" t="n">
        <v>45807</v>
      </c>
      <c r="C405" s="1" t="n">
        <v>46098</v>
      </c>
      <c r="D405" t="inlineStr">
        <is>
          <t>DALARNAS LÄN</t>
        </is>
      </c>
      <c r="E405" t="inlineStr">
        <is>
          <t>MORA</t>
        </is>
      </c>
      <c r="G405" t="n">
        <v>1.3</v>
      </c>
      <c r="H405" t="n">
        <v>0</v>
      </c>
      <c r="I405" t="n">
        <v>0</v>
      </c>
      <c r="J405" t="n">
        <v>0</v>
      </c>
      <c r="K405" t="n">
        <v>0</v>
      </c>
      <c r="L405" t="n">
        <v>0</v>
      </c>
      <c r="M405" t="n">
        <v>0</v>
      </c>
      <c r="N405" t="n">
        <v>0</v>
      </c>
      <c r="O405" t="n">
        <v>0</v>
      </c>
      <c r="P405" t="n">
        <v>0</v>
      </c>
      <c r="Q405" t="n">
        <v>0</v>
      </c>
      <c r="R405" s="2" t="inlineStr"/>
    </row>
    <row r="406" ht="15" customHeight="1">
      <c r="A406" t="inlineStr">
        <is>
          <t>A 63434-2025</t>
        </is>
      </c>
      <c r="B406" s="1" t="n">
        <v>46013.36556712963</v>
      </c>
      <c r="C406" s="1" t="n">
        <v>46098</v>
      </c>
      <c r="D406" t="inlineStr">
        <is>
          <t>DALARNAS LÄN</t>
        </is>
      </c>
      <c r="E406" t="inlineStr">
        <is>
          <t>MORA</t>
        </is>
      </c>
      <c r="F406" t="inlineStr">
        <is>
          <t>Allmännings- och besparingsskogar</t>
        </is>
      </c>
      <c r="G406" t="n">
        <v>3.6</v>
      </c>
      <c r="H406" t="n">
        <v>0</v>
      </c>
      <c r="I406" t="n">
        <v>0</v>
      </c>
      <c r="J406" t="n">
        <v>0</v>
      </c>
      <c r="K406" t="n">
        <v>0</v>
      </c>
      <c r="L406" t="n">
        <v>0</v>
      </c>
      <c r="M406" t="n">
        <v>0</v>
      </c>
      <c r="N406" t="n">
        <v>0</v>
      </c>
      <c r="O406" t="n">
        <v>0</v>
      </c>
      <c r="P406" t="n">
        <v>0</v>
      </c>
      <c r="Q406" t="n">
        <v>0</v>
      </c>
      <c r="R406" s="2" t="inlineStr"/>
    </row>
    <row r="407" ht="15" customHeight="1">
      <c r="A407" t="inlineStr">
        <is>
          <t>A 63431-2025</t>
        </is>
      </c>
      <c r="B407" s="1" t="n">
        <v>46013.36268518519</v>
      </c>
      <c r="C407" s="1" t="n">
        <v>46098</v>
      </c>
      <c r="D407" t="inlineStr">
        <is>
          <t>DALARNAS LÄN</t>
        </is>
      </c>
      <c r="E407" t="inlineStr">
        <is>
          <t>MORA</t>
        </is>
      </c>
      <c r="F407" t="inlineStr">
        <is>
          <t>Allmännings- och besparingsskogar</t>
        </is>
      </c>
      <c r="G407" t="n">
        <v>5.7</v>
      </c>
      <c r="H407" t="n">
        <v>0</v>
      </c>
      <c r="I407" t="n">
        <v>0</v>
      </c>
      <c r="J407" t="n">
        <v>0</v>
      </c>
      <c r="K407" t="n">
        <v>0</v>
      </c>
      <c r="L407" t="n">
        <v>0</v>
      </c>
      <c r="M407" t="n">
        <v>0</v>
      </c>
      <c r="N407" t="n">
        <v>0</v>
      </c>
      <c r="O407" t="n">
        <v>0</v>
      </c>
      <c r="P407" t="n">
        <v>0</v>
      </c>
      <c r="Q407" t="n">
        <v>0</v>
      </c>
      <c r="R407" s="2" t="inlineStr"/>
    </row>
    <row r="408" ht="15" customHeight="1">
      <c r="A408" t="inlineStr">
        <is>
          <t>A 35121-2025</t>
        </is>
      </c>
      <c r="B408" s="1" t="n">
        <v>45852.60936342592</v>
      </c>
      <c r="C408" s="1" t="n">
        <v>46098</v>
      </c>
      <c r="D408" t="inlineStr">
        <is>
          <t>DALARNAS LÄN</t>
        </is>
      </c>
      <c r="E408" t="inlineStr">
        <is>
          <t>MORA</t>
        </is>
      </c>
      <c r="F408" t="inlineStr">
        <is>
          <t>Bergvik skog öst AB</t>
        </is>
      </c>
      <c r="G408" t="n">
        <v>15.9</v>
      </c>
      <c r="H408" t="n">
        <v>0</v>
      </c>
      <c r="I408" t="n">
        <v>0</v>
      </c>
      <c r="J408" t="n">
        <v>0</v>
      </c>
      <c r="K408" t="n">
        <v>0</v>
      </c>
      <c r="L408" t="n">
        <v>0</v>
      </c>
      <c r="M408" t="n">
        <v>0</v>
      </c>
      <c r="N408" t="n">
        <v>0</v>
      </c>
      <c r="O408" t="n">
        <v>0</v>
      </c>
      <c r="P408" t="n">
        <v>0</v>
      </c>
      <c r="Q408" t="n">
        <v>0</v>
      </c>
      <c r="R408" s="2" t="inlineStr"/>
    </row>
    <row r="409" ht="15" customHeight="1">
      <c r="A409" t="inlineStr">
        <is>
          <t>A 63457-2025</t>
        </is>
      </c>
      <c r="B409" s="1" t="n">
        <v>46013.42269675926</v>
      </c>
      <c r="C409" s="1" t="n">
        <v>46098</v>
      </c>
      <c r="D409" t="inlineStr">
        <is>
          <t>DALARNAS LÄN</t>
        </is>
      </c>
      <c r="E409" t="inlineStr">
        <is>
          <t>MORA</t>
        </is>
      </c>
      <c r="F409" t="inlineStr">
        <is>
          <t>Allmännings- och besparingsskogar</t>
        </is>
      </c>
      <c r="G409" t="n">
        <v>34.4</v>
      </c>
      <c r="H409" t="n">
        <v>0</v>
      </c>
      <c r="I409" t="n">
        <v>0</v>
      </c>
      <c r="J409" t="n">
        <v>0</v>
      </c>
      <c r="K409" t="n">
        <v>0</v>
      </c>
      <c r="L409" t="n">
        <v>0</v>
      </c>
      <c r="M409" t="n">
        <v>0</v>
      </c>
      <c r="N409" t="n">
        <v>0</v>
      </c>
      <c r="O409" t="n">
        <v>0</v>
      </c>
      <c r="P409" t="n">
        <v>0</v>
      </c>
      <c r="Q409" t="n">
        <v>0</v>
      </c>
      <c r="R409" s="2" t="inlineStr"/>
    </row>
    <row r="410" ht="15" customHeight="1">
      <c r="A410" t="inlineStr">
        <is>
          <t>A 4994-2025</t>
        </is>
      </c>
      <c r="B410" s="1" t="n">
        <v>45691.35427083333</v>
      </c>
      <c r="C410" s="1" t="n">
        <v>46098</v>
      </c>
      <c r="D410" t="inlineStr">
        <is>
          <t>DALARNAS LÄN</t>
        </is>
      </c>
      <c r="E410" t="inlineStr">
        <is>
          <t>MORA</t>
        </is>
      </c>
      <c r="G410" t="n">
        <v>4.6</v>
      </c>
      <c r="H410" t="n">
        <v>0</v>
      </c>
      <c r="I410" t="n">
        <v>0</v>
      </c>
      <c r="J410" t="n">
        <v>0</v>
      </c>
      <c r="K410" t="n">
        <v>0</v>
      </c>
      <c r="L410" t="n">
        <v>0</v>
      </c>
      <c r="M410" t="n">
        <v>0</v>
      </c>
      <c r="N410" t="n">
        <v>0</v>
      </c>
      <c r="O410" t="n">
        <v>0</v>
      </c>
      <c r="P410" t="n">
        <v>0</v>
      </c>
      <c r="Q410" t="n">
        <v>0</v>
      </c>
      <c r="R410" s="2" t="inlineStr"/>
    </row>
    <row r="411" ht="15" customHeight="1">
      <c r="A411" t="inlineStr">
        <is>
          <t>A 6947-2026</t>
        </is>
      </c>
      <c r="B411" s="1" t="n">
        <v>46057.56855324074</v>
      </c>
      <c r="C411" s="1" t="n">
        <v>46098</v>
      </c>
      <c r="D411" t="inlineStr">
        <is>
          <t>DALARNAS LÄN</t>
        </is>
      </c>
      <c r="E411" t="inlineStr">
        <is>
          <t>MORA</t>
        </is>
      </c>
      <c r="G411" t="n">
        <v>0.8</v>
      </c>
      <c r="H411" t="n">
        <v>0</v>
      </c>
      <c r="I411" t="n">
        <v>0</v>
      </c>
      <c r="J411" t="n">
        <v>0</v>
      </c>
      <c r="K411" t="n">
        <v>0</v>
      </c>
      <c r="L411" t="n">
        <v>0</v>
      </c>
      <c r="M411" t="n">
        <v>0</v>
      </c>
      <c r="N411" t="n">
        <v>0</v>
      </c>
      <c r="O411" t="n">
        <v>0</v>
      </c>
      <c r="P411" t="n">
        <v>0</v>
      </c>
      <c r="Q411" t="n">
        <v>0</v>
      </c>
      <c r="R411" s="2" t="inlineStr"/>
    </row>
    <row r="412" ht="15" customHeight="1">
      <c r="A412" t="inlineStr">
        <is>
          <t>A 6802-2026</t>
        </is>
      </c>
      <c r="B412" s="1" t="n">
        <v>46057.35288194445</v>
      </c>
      <c r="C412" s="1" t="n">
        <v>46098</v>
      </c>
      <c r="D412" t="inlineStr">
        <is>
          <t>DALARNAS LÄN</t>
        </is>
      </c>
      <c r="E412" t="inlineStr">
        <is>
          <t>MORA</t>
        </is>
      </c>
      <c r="G412" t="n">
        <v>5.8</v>
      </c>
      <c r="H412" t="n">
        <v>0</v>
      </c>
      <c r="I412" t="n">
        <v>0</v>
      </c>
      <c r="J412" t="n">
        <v>0</v>
      </c>
      <c r="K412" t="n">
        <v>0</v>
      </c>
      <c r="L412" t="n">
        <v>0</v>
      </c>
      <c r="M412" t="n">
        <v>0</v>
      </c>
      <c r="N412" t="n">
        <v>0</v>
      </c>
      <c r="O412" t="n">
        <v>0</v>
      </c>
      <c r="P412" t="n">
        <v>0</v>
      </c>
      <c r="Q412" t="n">
        <v>0</v>
      </c>
      <c r="R412" s="2" t="inlineStr"/>
    </row>
    <row r="413" ht="15" customHeight="1">
      <c r="A413" t="inlineStr">
        <is>
          <t>A 35407-2025</t>
        </is>
      </c>
      <c r="B413" s="1" t="n">
        <v>45855.35989583333</v>
      </c>
      <c r="C413" s="1" t="n">
        <v>46098</v>
      </c>
      <c r="D413" t="inlineStr">
        <is>
          <t>DALARNAS LÄN</t>
        </is>
      </c>
      <c r="E413" t="inlineStr">
        <is>
          <t>MORA</t>
        </is>
      </c>
      <c r="G413" t="n">
        <v>1.4</v>
      </c>
      <c r="H413" t="n">
        <v>0</v>
      </c>
      <c r="I413" t="n">
        <v>0</v>
      </c>
      <c r="J413" t="n">
        <v>0</v>
      </c>
      <c r="K413" t="n">
        <v>0</v>
      </c>
      <c r="L413" t="n">
        <v>0</v>
      </c>
      <c r="M413" t="n">
        <v>0</v>
      </c>
      <c r="N413" t="n">
        <v>0</v>
      </c>
      <c r="O413" t="n">
        <v>0</v>
      </c>
      <c r="P413" t="n">
        <v>0</v>
      </c>
      <c r="Q413" t="n">
        <v>0</v>
      </c>
      <c r="R413" s="2" t="inlineStr"/>
    </row>
    <row r="414" ht="15" customHeight="1">
      <c r="A414" t="inlineStr">
        <is>
          <t>A 15993-2025</t>
        </is>
      </c>
      <c r="B414" s="1" t="n">
        <v>45749.58428240741</v>
      </c>
      <c r="C414" s="1" t="n">
        <v>46098</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6967-2026</t>
        </is>
      </c>
      <c r="B415" s="1" t="n">
        <v>46057.58777777778</v>
      </c>
      <c r="C415" s="1" t="n">
        <v>46098</v>
      </c>
      <c r="D415" t="inlineStr">
        <is>
          <t>DALARNAS LÄN</t>
        </is>
      </c>
      <c r="E415" t="inlineStr">
        <is>
          <t>MORA</t>
        </is>
      </c>
      <c r="G415" t="n">
        <v>5</v>
      </c>
      <c r="H415" t="n">
        <v>0</v>
      </c>
      <c r="I415" t="n">
        <v>0</v>
      </c>
      <c r="J415" t="n">
        <v>0</v>
      </c>
      <c r="K415" t="n">
        <v>0</v>
      </c>
      <c r="L415" t="n">
        <v>0</v>
      </c>
      <c r="M415" t="n">
        <v>0</v>
      </c>
      <c r="N415" t="n">
        <v>0</v>
      </c>
      <c r="O415" t="n">
        <v>0</v>
      </c>
      <c r="P415" t="n">
        <v>0</v>
      </c>
      <c r="Q415" t="n">
        <v>0</v>
      </c>
      <c r="R415" s="2" t="inlineStr"/>
    </row>
    <row r="416" ht="15" customHeight="1">
      <c r="A416" t="inlineStr">
        <is>
          <t>A 52599-2025</t>
        </is>
      </c>
      <c r="B416" s="1" t="n">
        <v>45954.65564814815</v>
      </c>
      <c r="C416" s="1" t="n">
        <v>46098</v>
      </c>
      <c r="D416" t="inlineStr">
        <is>
          <t>DALARNAS LÄN</t>
        </is>
      </c>
      <c r="E416" t="inlineStr">
        <is>
          <t>MORA</t>
        </is>
      </c>
      <c r="G416" t="n">
        <v>10.8</v>
      </c>
      <c r="H416" t="n">
        <v>0</v>
      </c>
      <c r="I416" t="n">
        <v>0</v>
      </c>
      <c r="J416" t="n">
        <v>0</v>
      </c>
      <c r="K416" t="n">
        <v>0</v>
      </c>
      <c r="L416" t="n">
        <v>0</v>
      </c>
      <c r="M416" t="n">
        <v>0</v>
      </c>
      <c r="N416" t="n">
        <v>0</v>
      </c>
      <c r="O416" t="n">
        <v>0</v>
      </c>
      <c r="P416" t="n">
        <v>0</v>
      </c>
      <c r="Q416" t="n">
        <v>0</v>
      </c>
      <c r="R416" s="2" t="inlineStr"/>
    </row>
    <row r="417" ht="15" customHeight="1">
      <c r="A417" t="inlineStr">
        <is>
          <t>A 63596-2025</t>
        </is>
      </c>
      <c r="B417" s="1" t="n">
        <v>46013.96362268519</v>
      </c>
      <c r="C417" s="1" t="n">
        <v>46098</v>
      </c>
      <c r="D417" t="inlineStr">
        <is>
          <t>DALARNAS LÄN</t>
        </is>
      </c>
      <c r="E417" t="inlineStr">
        <is>
          <t>MORA</t>
        </is>
      </c>
      <c r="G417" t="n">
        <v>0.6</v>
      </c>
      <c r="H417" t="n">
        <v>0</v>
      </c>
      <c r="I417" t="n">
        <v>0</v>
      </c>
      <c r="J417" t="n">
        <v>0</v>
      </c>
      <c r="K417" t="n">
        <v>0</v>
      </c>
      <c r="L417" t="n">
        <v>0</v>
      </c>
      <c r="M417" t="n">
        <v>0</v>
      </c>
      <c r="N417" t="n">
        <v>0</v>
      </c>
      <c r="O417" t="n">
        <v>0</v>
      </c>
      <c r="P417" t="n">
        <v>0</v>
      </c>
      <c r="Q417" t="n">
        <v>0</v>
      </c>
      <c r="R417" s="2" t="inlineStr"/>
    </row>
    <row r="418" ht="15" customHeight="1">
      <c r="A418" t="inlineStr">
        <is>
          <t>A 63692-2025</t>
        </is>
      </c>
      <c r="B418" s="1" t="n">
        <v>46014.54496527778</v>
      </c>
      <c r="C418" s="1" t="n">
        <v>46098</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9277-2024</t>
        </is>
      </c>
      <c r="B419" s="1" t="n">
        <v>45358.63265046296</v>
      </c>
      <c r="C419" s="1" t="n">
        <v>46098</v>
      </c>
      <c r="D419" t="inlineStr">
        <is>
          <t>DALARNAS LÄN</t>
        </is>
      </c>
      <c r="E419" t="inlineStr">
        <is>
          <t>MORA</t>
        </is>
      </c>
      <c r="G419" t="n">
        <v>1.7</v>
      </c>
      <c r="H419" t="n">
        <v>0</v>
      </c>
      <c r="I419" t="n">
        <v>0</v>
      </c>
      <c r="J419" t="n">
        <v>0</v>
      </c>
      <c r="K419" t="n">
        <v>0</v>
      </c>
      <c r="L419" t="n">
        <v>0</v>
      </c>
      <c r="M419" t="n">
        <v>0</v>
      </c>
      <c r="N419" t="n">
        <v>0</v>
      </c>
      <c r="O419" t="n">
        <v>0</v>
      </c>
      <c r="P419" t="n">
        <v>0</v>
      </c>
      <c r="Q419" t="n">
        <v>0</v>
      </c>
      <c r="R419" s="2" t="inlineStr"/>
    </row>
    <row r="420" ht="15" customHeight="1">
      <c r="A420" t="inlineStr">
        <is>
          <t>A 6892-2026</t>
        </is>
      </c>
      <c r="B420" s="1" t="n">
        <v>46057.47490740741</v>
      </c>
      <c r="C420" s="1" t="n">
        <v>46098</v>
      </c>
      <c r="D420" t="inlineStr">
        <is>
          <t>DALARNAS LÄN</t>
        </is>
      </c>
      <c r="E420" t="inlineStr">
        <is>
          <t>MORA</t>
        </is>
      </c>
      <c r="G420" t="n">
        <v>9</v>
      </c>
      <c r="H420" t="n">
        <v>0</v>
      </c>
      <c r="I420" t="n">
        <v>0</v>
      </c>
      <c r="J420" t="n">
        <v>0</v>
      </c>
      <c r="K420" t="n">
        <v>0</v>
      </c>
      <c r="L420" t="n">
        <v>0</v>
      </c>
      <c r="M420" t="n">
        <v>0</v>
      </c>
      <c r="N420" t="n">
        <v>0</v>
      </c>
      <c r="O420" t="n">
        <v>0</v>
      </c>
      <c r="P420" t="n">
        <v>0</v>
      </c>
      <c r="Q420" t="n">
        <v>0</v>
      </c>
      <c r="R420" s="2" t="inlineStr"/>
    </row>
    <row r="421" ht="15" customHeight="1">
      <c r="A421" t="inlineStr">
        <is>
          <t>A 6690-2026</t>
        </is>
      </c>
      <c r="B421" s="1" t="n">
        <v>46056.6352662037</v>
      </c>
      <c r="C421" s="1" t="n">
        <v>46098</v>
      </c>
      <c r="D421" t="inlineStr">
        <is>
          <t>DALARNAS LÄN</t>
        </is>
      </c>
      <c r="E421" t="inlineStr">
        <is>
          <t>MORA</t>
        </is>
      </c>
      <c r="G421" t="n">
        <v>1.9</v>
      </c>
      <c r="H421" t="n">
        <v>0</v>
      </c>
      <c r="I421" t="n">
        <v>0</v>
      </c>
      <c r="J421" t="n">
        <v>0</v>
      </c>
      <c r="K421" t="n">
        <v>0</v>
      </c>
      <c r="L421" t="n">
        <v>0</v>
      </c>
      <c r="M421" t="n">
        <v>0</v>
      </c>
      <c r="N421" t="n">
        <v>0</v>
      </c>
      <c r="O421" t="n">
        <v>0</v>
      </c>
      <c r="P421" t="n">
        <v>0</v>
      </c>
      <c r="Q421" t="n">
        <v>0</v>
      </c>
      <c r="R421" s="2" t="inlineStr"/>
    </row>
    <row r="422" ht="15" customHeight="1">
      <c r="A422" t="inlineStr">
        <is>
          <t>A 35611-2025</t>
        </is>
      </c>
      <c r="B422" s="1" t="n">
        <v>45859.35384259259</v>
      </c>
      <c r="C422" s="1" t="n">
        <v>46098</v>
      </c>
      <c r="D422" t="inlineStr">
        <is>
          <t>DALARNAS LÄN</t>
        </is>
      </c>
      <c r="E422" t="inlineStr">
        <is>
          <t>MORA</t>
        </is>
      </c>
      <c r="G422" t="n">
        <v>2.5</v>
      </c>
      <c r="H422" t="n">
        <v>0</v>
      </c>
      <c r="I422" t="n">
        <v>0</v>
      </c>
      <c r="J422" t="n">
        <v>0</v>
      </c>
      <c r="K422" t="n">
        <v>0</v>
      </c>
      <c r="L422" t="n">
        <v>0</v>
      </c>
      <c r="M422" t="n">
        <v>0</v>
      </c>
      <c r="N422" t="n">
        <v>0</v>
      </c>
      <c r="O422" t="n">
        <v>0</v>
      </c>
      <c r="P422" t="n">
        <v>0</v>
      </c>
      <c r="Q422" t="n">
        <v>0</v>
      </c>
      <c r="R422" s="2" t="inlineStr"/>
    </row>
    <row r="423" ht="15" customHeight="1">
      <c r="A423" t="inlineStr">
        <is>
          <t>A 6619-2026</t>
        </is>
      </c>
      <c r="B423" s="1" t="n">
        <v>46056.49622685185</v>
      </c>
      <c r="C423" s="1" t="n">
        <v>46098</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6674-2026</t>
        </is>
      </c>
      <c r="B424" s="1" t="n">
        <v>46056.60297453704</v>
      </c>
      <c r="C424" s="1" t="n">
        <v>46098</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6719-2026</t>
        </is>
      </c>
      <c r="B425" s="1" t="n">
        <v>46056.66945601852</v>
      </c>
      <c r="C425" s="1" t="n">
        <v>46098</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35734-2025</t>
        </is>
      </c>
      <c r="B426" s="1" t="n">
        <v>45860.471875</v>
      </c>
      <c r="C426" s="1" t="n">
        <v>46098</v>
      </c>
      <c r="D426" t="inlineStr">
        <is>
          <t>DALARNAS LÄN</t>
        </is>
      </c>
      <c r="E426" t="inlineStr">
        <is>
          <t>MORA</t>
        </is>
      </c>
      <c r="G426" t="n">
        <v>1.3</v>
      </c>
      <c r="H426" t="n">
        <v>0</v>
      </c>
      <c r="I426" t="n">
        <v>0</v>
      </c>
      <c r="J426" t="n">
        <v>0</v>
      </c>
      <c r="K426" t="n">
        <v>0</v>
      </c>
      <c r="L426" t="n">
        <v>0</v>
      </c>
      <c r="M426" t="n">
        <v>0</v>
      </c>
      <c r="N426" t="n">
        <v>0</v>
      </c>
      <c r="O426" t="n">
        <v>0</v>
      </c>
      <c r="P426" t="n">
        <v>0</v>
      </c>
      <c r="Q426" t="n">
        <v>0</v>
      </c>
      <c r="R426" s="2" t="inlineStr"/>
    </row>
    <row r="427" ht="15" customHeight="1">
      <c r="A427" t="inlineStr">
        <is>
          <t>A 35623-2025</t>
        </is>
      </c>
      <c r="B427" s="1" t="n">
        <v>45859</v>
      </c>
      <c r="C427" s="1" t="n">
        <v>46098</v>
      </c>
      <c r="D427" t="inlineStr">
        <is>
          <t>DALARNAS LÄN</t>
        </is>
      </c>
      <c r="E427" t="inlineStr">
        <is>
          <t>MORA</t>
        </is>
      </c>
      <c r="F427" t="inlineStr">
        <is>
          <t>Bergvik skog öst AB</t>
        </is>
      </c>
      <c r="G427" t="n">
        <v>1</v>
      </c>
      <c r="H427" t="n">
        <v>0</v>
      </c>
      <c r="I427" t="n">
        <v>0</v>
      </c>
      <c r="J427" t="n">
        <v>0</v>
      </c>
      <c r="K427" t="n">
        <v>0</v>
      </c>
      <c r="L427" t="n">
        <v>0</v>
      </c>
      <c r="M427" t="n">
        <v>0</v>
      </c>
      <c r="N427" t="n">
        <v>0</v>
      </c>
      <c r="O427" t="n">
        <v>0</v>
      </c>
      <c r="P427" t="n">
        <v>0</v>
      </c>
      <c r="Q427" t="n">
        <v>0</v>
      </c>
      <c r="R427" s="2" t="inlineStr"/>
    </row>
    <row r="428" ht="15" customHeight="1">
      <c r="A428" t="inlineStr">
        <is>
          <t>A 63689-2025</t>
        </is>
      </c>
      <c r="B428" s="1" t="n">
        <v>46014.539375</v>
      </c>
      <c r="C428" s="1" t="n">
        <v>46098</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35622-2025</t>
        </is>
      </c>
      <c r="B429" s="1" t="n">
        <v>45859</v>
      </c>
      <c r="C429" s="1" t="n">
        <v>46098</v>
      </c>
      <c r="D429" t="inlineStr">
        <is>
          <t>DALARNAS LÄN</t>
        </is>
      </c>
      <c r="E429" t="inlineStr">
        <is>
          <t>MORA</t>
        </is>
      </c>
      <c r="F429" t="inlineStr">
        <is>
          <t>Bergvik skog öst AB</t>
        </is>
      </c>
      <c r="G429" t="n">
        <v>5.8</v>
      </c>
      <c r="H429" t="n">
        <v>0</v>
      </c>
      <c r="I429" t="n">
        <v>0</v>
      </c>
      <c r="J429" t="n">
        <v>0</v>
      </c>
      <c r="K429" t="n">
        <v>0</v>
      </c>
      <c r="L429" t="n">
        <v>0</v>
      </c>
      <c r="M429" t="n">
        <v>0</v>
      </c>
      <c r="N429" t="n">
        <v>0</v>
      </c>
      <c r="O429" t="n">
        <v>0</v>
      </c>
      <c r="P429" t="n">
        <v>0</v>
      </c>
      <c r="Q429" t="n">
        <v>0</v>
      </c>
      <c r="R429" s="2" t="inlineStr"/>
    </row>
    <row r="430" ht="15" customHeight="1">
      <c r="A430" t="inlineStr">
        <is>
          <t>A 51253-2023</t>
        </is>
      </c>
      <c r="B430" s="1" t="n">
        <v>45219</v>
      </c>
      <c r="C430" s="1" t="n">
        <v>46098</v>
      </c>
      <c r="D430" t="inlineStr">
        <is>
          <t>DALARNAS LÄN</t>
        </is>
      </c>
      <c r="E430" t="inlineStr">
        <is>
          <t>MORA</t>
        </is>
      </c>
      <c r="G430" t="n">
        <v>5</v>
      </c>
      <c r="H430" t="n">
        <v>0</v>
      </c>
      <c r="I430" t="n">
        <v>0</v>
      </c>
      <c r="J430" t="n">
        <v>0</v>
      </c>
      <c r="K430" t="n">
        <v>0</v>
      </c>
      <c r="L430" t="n">
        <v>0</v>
      </c>
      <c r="M430" t="n">
        <v>0</v>
      </c>
      <c r="N430" t="n">
        <v>0</v>
      </c>
      <c r="O430" t="n">
        <v>0</v>
      </c>
      <c r="P430" t="n">
        <v>0</v>
      </c>
      <c r="Q430" t="n">
        <v>0</v>
      </c>
      <c r="R430" s="2" t="inlineStr"/>
    </row>
    <row r="431" ht="15" customHeight="1">
      <c r="A431" t="inlineStr">
        <is>
          <t>A 6923-2026</t>
        </is>
      </c>
      <c r="B431" s="1" t="n">
        <v>46057.53868055555</v>
      </c>
      <c r="C431" s="1" t="n">
        <v>46098</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57110-2021</t>
        </is>
      </c>
      <c r="B432" s="1" t="n">
        <v>44482</v>
      </c>
      <c r="C432" s="1" t="n">
        <v>46098</v>
      </c>
      <c r="D432" t="inlineStr">
        <is>
          <t>DALARNAS LÄN</t>
        </is>
      </c>
      <c r="E432" t="inlineStr">
        <is>
          <t>MORA</t>
        </is>
      </c>
      <c r="G432" t="n">
        <v>5.4</v>
      </c>
      <c r="H432" t="n">
        <v>0</v>
      </c>
      <c r="I432" t="n">
        <v>0</v>
      </c>
      <c r="J432" t="n">
        <v>0</v>
      </c>
      <c r="K432" t="n">
        <v>0</v>
      </c>
      <c r="L432" t="n">
        <v>0</v>
      </c>
      <c r="M432" t="n">
        <v>0</v>
      </c>
      <c r="N432" t="n">
        <v>0</v>
      </c>
      <c r="O432" t="n">
        <v>0</v>
      </c>
      <c r="P432" t="n">
        <v>0</v>
      </c>
      <c r="Q432" t="n">
        <v>0</v>
      </c>
      <c r="R432" s="2" t="inlineStr"/>
    </row>
    <row r="433" ht="15" customHeight="1">
      <c r="A433" t="inlineStr">
        <is>
          <t>A 35624-2025</t>
        </is>
      </c>
      <c r="B433" s="1" t="n">
        <v>45859</v>
      </c>
      <c r="C433" s="1" t="n">
        <v>46098</v>
      </c>
      <c r="D433" t="inlineStr">
        <is>
          <t>DALARNAS LÄN</t>
        </is>
      </c>
      <c r="E433" t="inlineStr">
        <is>
          <t>MORA</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11857-2023</t>
        </is>
      </c>
      <c r="B434" s="1" t="n">
        <v>44995</v>
      </c>
      <c r="C434" s="1" t="n">
        <v>46098</v>
      </c>
      <c r="D434" t="inlineStr">
        <is>
          <t>DALARNAS LÄN</t>
        </is>
      </c>
      <c r="E434" t="inlineStr">
        <is>
          <t>MORA</t>
        </is>
      </c>
      <c r="G434" t="n">
        <v>1</v>
      </c>
      <c r="H434" t="n">
        <v>0</v>
      </c>
      <c r="I434" t="n">
        <v>0</v>
      </c>
      <c r="J434" t="n">
        <v>0</v>
      </c>
      <c r="K434" t="n">
        <v>0</v>
      </c>
      <c r="L434" t="n">
        <v>0</v>
      </c>
      <c r="M434" t="n">
        <v>0</v>
      </c>
      <c r="N434" t="n">
        <v>0</v>
      </c>
      <c r="O434" t="n">
        <v>0</v>
      </c>
      <c r="P434" t="n">
        <v>0</v>
      </c>
      <c r="Q434" t="n">
        <v>0</v>
      </c>
      <c r="R434" s="2" t="inlineStr"/>
    </row>
    <row r="435" ht="15" customHeight="1">
      <c r="A435" t="inlineStr">
        <is>
          <t>A 7418-2026</t>
        </is>
      </c>
      <c r="B435" s="1" t="n">
        <v>46059.42018518518</v>
      </c>
      <c r="C435" s="1" t="n">
        <v>46098</v>
      </c>
      <c r="D435" t="inlineStr">
        <is>
          <t>DALARNAS LÄN</t>
        </is>
      </c>
      <c r="E435" t="inlineStr">
        <is>
          <t>MORA</t>
        </is>
      </c>
      <c r="G435" t="n">
        <v>4</v>
      </c>
      <c r="H435" t="n">
        <v>0</v>
      </c>
      <c r="I435" t="n">
        <v>0</v>
      </c>
      <c r="J435" t="n">
        <v>0</v>
      </c>
      <c r="K435" t="n">
        <v>0</v>
      </c>
      <c r="L435" t="n">
        <v>0</v>
      </c>
      <c r="M435" t="n">
        <v>0</v>
      </c>
      <c r="N435" t="n">
        <v>0</v>
      </c>
      <c r="O435" t="n">
        <v>0</v>
      </c>
      <c r="P435" t="n">
        <v>0</v>
      </c>
      <c r="Q435" t="n">
        <v>0</v>
      </c>
      <c r="R435" s="2" t="inlineStr"/>
    </row>
    <row r="436" ht="15" customHeight="1">
      <c r="A436" t="inlineStr">
        <is>
          <t>A 36041-2025</t>
        </is>
      </c>
      <c r="B436" s="1" t="n">
        <v>45866.34385416667</v>
      </c>
      <c r="C436" s="1" t="n">
        <v>46098</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56012-2023</t>
        </is>
      </c>
      <c r="B437" s="1" t="n">
        <v>45240</v>
      </c>
      <c r="C437" s="1" t="n">
        <v>46098</v>
      </c>
      <c r="D437" t="inlineStr">
        <is>
          <t>DALARNAS LÄN</t>
        </is>
      </c>
      <c r="E437" t="inlineStr">
        <is>
          <t>MORA</t>
        </is>
      </c>
      <c r="G437" t="n">
        <v>0.3</v>
      </c>
      <c r="H437" t="n">
        <v>0</v>
      </c>
      <c r="I437" t="n">
        <v>0</v>
      </c>
      <c r="J437" t="n">
        <v>0</v>
      </c>
      <c r="K437" t="n">
        <v>0</v>
      </c>
      <c r="L437" t="n">
        <v>0</v>
      </c>
      <c r="M437" t="n">
        <v>0</v>
      </c>
      <c r="N437" t="n">
        <v>0</v>
      </c>
      <c r="O437" t="n">
        <v>0</v>
      </c>
      <c r="P437" t="n">
        <v>0</v>
      </c>
      <c r="Q437" t="n">
        <v>0</v>
      </c>
      <c r="R437" s="2" t="inlineStr"/>
    </row>
    <row r="438" ht="15" customHeight="1">
      <c r="A438" t="inlineStr">
        <is>
          <t>A 60674-2023</t>
        </is>
      </c>
      <c r="B438" s="1" t="n">
        <v>45260.46609953704</v>
      </c>
      <c r="C438" s="1" t="n">
        <v>46098</v>
      </c>
      <c r="D438" t="inlineStr">
        <is>
          <t>DALARNAS LÄN</t>
        </is>
      </c>
      <c r="E438" t="inlineStr">
        <is>
          <t>MORA</t>
        </is>
      </c>
      <c r="G438" t="n">
        <v>2.9</v>
      </c>
      <c r="H438" t="n">
        <v>0</v>
      </c>
      <c r="I438" t="n">
        <v>0</v>
      </c>
      <c r="J438" t="n">
        <v>0</v>
      </c>
      <c r="K438" t="n">
        <v>0</v>
      </c>
      <c r="L438" t="n">
        <v>0</v>
      </c>
      <c r="M438" t="n">
        <v>0</v>
      </c>
      <c r="N438" t="n">
        <v>0</v>
      </c>
      <c r="O438" t="n">
        <v>0</v>
      </c>
      <c r="P438" t="n">
        <v>0</v>
      </c>
      <c r="Q438" t="n">
        <v>0</v>
      </c>
      <c r="R438" s="2" t="inlineStr"/>
    </row>
    <row r="439" ht="15" customHeight="1">
      <c r="A439" t="inlineStr">
        <is>
          <t>A 5298-2023</t>
        </is>
      </c>
      <c r="B439" s="1" t="n">
        <v>44959.54355324074</v>
      </c>
      <c r="C439" s="1" t="n">
        <v>46098</v>
      </c>
      <c r="D439" t="inlineStr">
        <is>
          <t>DALARNAS LÄN</t>
        </is>
      </c>
      <c r="E439" t="inlineStr">
        <is>
          <t>MORA</t>
        </is>
      </c>
      <c r="F439" t="inlineStr">
        <is>
          <t>Bergvik skog väst AB</t>
        </is>
      </c>
      <c r="G439" t="n">
        <v>6.2</v>
      </c>
      <c r="H439" t="n">
        <v>0</v>
      </c>
      <c r="I439" t="n">
        <v>0</v>
      </c>
      <c r="J439" t="n">
        <v>0</v>
      </c>
      <c r="K439" t="n">
        <v>0</v>
      </c>
      <c r="L439" t="n">
        <v>0</v>
      </c>
      <c r="M439" t="n">
        <v>0</v>
      </c>
      <c r="N439" t="n">
        <v>0</v>
      </c>
      <c r="O439" t="n">
        <v>0</v>
      </c>
      <c r="P439" t="n">
        <v>0</v>
      </c>
      <c r="Q439" t="n">
        <v>0</v>
      </c>
      <c r="R439" s="2" t="inlineStr"/>
    </row>
    <row r="440" ht="15" customHeight="1">
      <c r="A440" t="inlineStr">
        <is>
          <t>A 57859-2022</t>
        </is>
      </c>
      <c r="B440" s="1" t="n">
        <v>44898</v>
      </c>
      <c r="C440" s="1" t="n">
        <v>46098</v>
      </c>
      <c r="D440" t="inlineStr">
        <is>
          <t>DALARNAS LÄN</t>
        </is>
      </c>
      <c r="E440" t="inlineStr">
        <is>
          <t>MORA</t>
        </is>
      </c>
      <c r="G440" t="n">
        <v>1.4</v>
      </c>
      <c r="H440" t="n">
        <v>0</v>
      </c>
      <c r="I440" t="n">
        <v>0</v>
      </c>
      <c r="J440" t="n">
        <v>0</v>
      </c>
      <c r="K440" t="n">
        <v>0</v>
      </c>
      <c r="L440" t="n">
        <v>0</v>
      </c>
      <c r="M440" t="n">
        <v>0</v>
      </c>
      <c r="N440" t="n">
        <v>0</v>
      </c>
      <c r="O440" t="n">
        <v>0</v>
      </c>
      <c r="P440" t="n">
        <v>0</v>
      </c>
      <c r="Q440" t="n">
        <v>0</v>
      </c>
      <c r="R440" s="2" t="inlineStr"/>
    </row>
    <row r="441" ht="15" customHeight="1">
      <c r="A441" t="inlineStr">
        <is>
          <t>A 16174-2025</t>
        </is>
      </c>
      <c r="B441" s="1" t="n">
        <v>45750</v>
      </c>
      <c r="C441" s="1" t="n">
        <v>46098</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61249-2023</t>
        </is>
      </c>
      <c r="B442" s="1" t="n">
        <v>45264</v>
      </c>
      <c r="C442" s="1" t="n">
        <v>46098</v>
      </c>
      <c r="D442" t="inlineStr">
        <is>
          <t>DALARNAS LÄN</t>
        </is>
      </c>
      <c r="E442" t="inlineStr">
        <is>
          <t>MORA</t>
        </is>
      </c>
      <c r="F442" t="inlineStr">
        <is>
          <t>Allmännings- och besparingsskogar</t>
        </is>
      </c>
      <c r="G442" t="n">
        <v>1.7</v>
      </c>
      <c r="H442" t="n">
        <v>0</v>
      </c>
      <c r="I442" t="n">
        <v>0</v>
      </c>
      <c r="J442" t="n">
        <v>0</v>
      </c>
      <c r="K442" t="n">
        <v>0</v>
      </c>
      <c r="L442" t="n">
        <v>0</v>
      </c>
      <c r="M442" t="n">
        <v>0</v>
      </c>
      <c r="N442" t="n">
        <v>0</v>
      </c>
      <c r="O442" t="n">
        <v>0</v>
      </c>
      <c r="P442" t="n">
        <v>0</v>
      </c>
      <c r="Q442" t="n">
        <v>0</v>
      </c>
      <c r="R442" s="2" t="inlineStr"/>
    </row>
    <row r="443" ht="15" customHeight="1">
      <c r="A443" t="inlineStr">
        <is>
          <t>A 36586-2025</t>
        </is>
      </c>
      <c r="B443" s="1" t="n">
        <v>45869</v>
      </c>
      <c r="C443" s="1" t="n">
        <v>46098</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36760-2025</t>
        </is>
      </c>
      <c r="B444" s="1" t="n">
        <v>45873.57319444444</v>
      </c>
      <c r="C444" s="1" t="n">
        <v>46098</v>
      </c>
      <c r="D444" t="inlineStr">
        <is>
          <t>DALARNAS LÄN</t>
        </is>
      </c>
      <c r="E444" t="inlineStr">
        <is>
          <t>MORA</t>
        </is>
      </c>
      <c r="G444" t="n">
        <v>4.6</v>
      </c>
      <c r="H444" t="n">
        <v>0</v>
      </c>
      <c r="I444" t="n">
        <v>0</v>
      </c>
      <c r="J444" t="n">
        <v>0</v>
      </c>
      <c r="K444" t="n">
        <v>0</v>
      </c>
      <c r="L444" t="n">
        <v>0</v>
      </c>
      <c r="M444" t="n">
        <v>0</v>
      </c>
      <c r="N444" t="n">
        <v>0</v>
      </c>
      <c r="O444" t="n">
        <v>0</v>
      </c>
      <c r="P444" t="n">
        <v>0</v>
      </c>
      <c r="Q444" t="n">
        <v>0</v>
      </c>
      <c r="R444" s="2" t="inlineStr"/>
    </row>
    <row r="445" ht="15" customHeight="1">
      <c r="A445" t="inlineStr">
        <is>
          <t>A 25935-2023</t>
        </is>
      </c>
      <c r="B445" s="1" t="n">
        <v>45090.68675925926</v>
      </c>
      <c r="C445" s="1" t="n">
        <v>46098</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23057-2024</t>
        </is>
      </c>
      <c r="B446" s="1" t="n">
        <v>45450</v>
      </c>
      <c r="C446" s="1" t="n">
        <v>46098</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51168-2024</t>
        </is>
      </c>
      <c r="B447" s="1" t="n">
        <v>45603.58619212963</v>
      </c>
      <c r="C447" s="1" t="n">
        <v>46098</v>
      </c>
      <c r="D447" t="inlineStr">
        <is>
          <t>DALARNAS LÄN</t>
        </is>
      </c>
      <c r="E447" t="inlineStr">
        <is>
          <t>MORA</t>
        </is>
      </c>
      <c r="G447" t="n">
        <v>3</v>
      </c>
      <c r="H447" t="n">
        <v>0</v>
      </c>
      <c r="I447" t="n">
        <v>0</v>
      </c>
      <c r="J447" t="n">
        <v>0</v>
      </c>
      <c r="K447" t="n">
        <v>0</v>
      </c>
      <c r="L447" t="n">
        <v>0</v>
      </c>
      <c r="M447" t="n">
        <v>0</v>
      </c>
      <c r="N447" t="n">
        <v>0</v>
      </c>
      <c r="O447" t="n">
        <v>0</v>
      </c>
      <c r="P447" t="n">
        <v>0</v>
      </c>
      <c r="Q447" t="n">
        <v>0</v>
      </c>
      <c r="R447" s="2" t="inlineStr"/>
    </row>
    <row r="448" ht="15" customHeight="1">
      <c r="A448" t="inlineStr">
        <is>
          <t>A 59182-2023</t>
        </is>
      </c>
      <c r="B448" s="1" t="n">
        <v>45253</v>
      </c>
      <c r="C448" s="1" t="n">
        <v>46098</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8007-2026</t>
        </is>
      </c>
      <c r="B449" s="1" t="n">
        <v>46063.52565972223</v>
      </c>
      <c r="C449" s="1" t="n">
        <v>46098</v>
      </c>
      <c r="D449" t="inlineStr">
        <is>
          <t>DALARNAS LÄN</t>
        </is>
      </c>
      <c r="E449" t="inlineStr">
        <is>
          <t>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7951-2026</t>
        </is>
      </c>
      <c r="B450" s="1" t="n">
        <v>46063.42481481482</v>
      </c>
      <c r="C450" s="1" t="n">
        <v>46098</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36600-2023</t>
        </is>
      </c>
      <c r="B451" s="1" t="n">
        <v>45153</v>
      </c>
      <c r="C451" s="1" t="n">
        <v>46098</v>
      </c>
      <c r="D451" t="inlineStr">
        <is>
          <t>DALARNAS LÄN</t>
        </is>
      </c>
      <c r="E451" t="inlineStr">
        <is>
          <t>MORA</t>
        </is>
      </c>
      <c r="G451" t="n">
        <v>7.3</v>
      </c>
      <c r="H451" t="n">
        <v>0</v>
      </c>
      <c r="I451" t="n">
        <v>0</v>
      </c>
      <c r="J451" t="n">
        <v>0</v>
      </c>
      <c r="K451" t="n">
        <v>0</v>
      </c>
      <c r="L451" t="n">
        <v>0</v>
      </c>
      <c r="M451" t="n">
        <v>0</v>
      </c>
      <c r="N451" t="n">
        <v>0</v>
      </c>
      <c r="O451" t="n">
        <v>0</v>
      </c>
      <c r="P451" t="n">
        <v>0</v>
      </c>
      <c r="Q451" t="n">
        <v>0</v>
      </c>
      <c r="R451" s="2" t="inlineStr"/>
    </row>
    <row r="452" ht="15" customHeight="1">
      <c r="A452" t="inlineStr">
        <is>
          <t>A 35325-2024</t>
        </is>
      </c>
      <c r="B452" s="1" t="n">
        <v>45530.71158564815</v>
      </c>
      <c r="C452" s="1" t="n">
        <v>46098</v>
      </c>
      <c r="D452" t="inlineStr">
        <is>
          <t>DALARNAS LÄN</t>
        </is>
      </c>
      <c r="E452" t="inlineStr">
        <is>
          <t>MORA</t>
        </is>
      </c>
      <c r="G452" t="n">
        <v>5</v>
      </c>
      <c r="H452" t="n">
        <v>0</v>
      </c>
      <c r="I452" t="n">
        <v>0</v>
      </c>
      <c r="J452" t="n">
        <v>0</v>
      </c>
      <c r="K452" t="n">
        <v>0</v>
      </c>
      <c r="L452" t="n">
        <v>0</v>
      </c>
      <c r="M452" t="n">
        <v>0</v>
      </c>
      <c r="N452" t="n">
        <v>0</v>
      </c>
      <c r="O452" t="n">
        <v>0</v>
      </c>
      <c r="P452" t="n">
        <v>0</v>
      </c>
      <c r="Q452" t="n">
        <v>0</v>
      </c>
      <c r="R452" s="2" t="inlineStr"/>
    </row>
    <row r="453" ht="15" customHeight="1">
      <c r="A453" t="inlineStr">
        <is>
          <t>A 63964-2025</t>
        </is>
      </c>
      <c r="B453" s="1" t="n">
        <v>46020</v>
      </c>
      <c r="C453" s="1" t="n">
        <v>46098</v>
      </c>
      <c r="D453" t="inlineStr">
        <is>
          <t>DALARNAS LÄN</t>
        </is>
      </c>
      <c r="E453" t="inlineStr">
        <is>
          <t>MORA</t>
        </is>
      </c>
      <c r="G453" t="n">
        <v>6.1</v>
      </c>
      <c r="H453" t="n">
        <v>0</v>
      </c>
      <c r="I453" t="n">
        <v>0</v>
      </c>
      <c r="J453" t="n">
        <v>0</v>
      </c>
      <c r="K453" t="n">
        <v>0</v>
      </c>
      <c r="L453" t="n">
        <v>0</v>
      </c>
      <c r="M453" t="n">
        <v>0</v>
      </c>
      <c r="N453" t="n">
        <v>0</v>
      </c>
      <c r="O453" t="n">
        <v>0</v>
      </c>
      <c r="P453" t="n">
        <v>0</v>
      </c>
      <c r="Q453" t="n">
        <v>0</v>
      </c>
      <c r="R453" s="2" t="inlineStr"/>
    </row>
    <row r="454" ht="15" customHeight="1">
      <c r="A454" t="inlineStr">
        <is>
          <t>A 66232-2021</t>
        </is>
      </c>
      <c r="B454" s="1" t="n">
        <v>44518.39234953704</v>
      </c>
      <c r="C454" s="1" t="n">
        <v>46098</v>
      </c>
      <c r="D454" t="inlineStr">
        <is>
          <t>DALARNAS LÄN</t>
        </is>
      </c>
      <c r="E454" t="inlineStr">
        <is>
          <t>MORA</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36846-2025</t>
        </is>
      </c>
      <c r="B455" s="1" t="n">
        <v>45874.38655092593</v>
      </c>
      <c r="C455" s="1" t="n">
        <v>46098</v>
      </c>
      <c r="D455" t="inlineStr">
        <is>
          <t>DALARNAS LÄN</t>
        </is>
      </c>
      <c r="E455" t="inlineStr">
        <is>
          <t>MORA</t>
        </is>
      </c>
      <c r="G455" t="n">
        <v>10.7</v>
      </c>
      <c r="H455" t="n">
        <v>0</v>
      </c>
      <c r="I455" t="n">
        <v>0</v>
      </c>
      <c r="J455" t="n">
        <v>0</v>
      </c>
      <c r="K455" t="n">
        <v>0</v>
      </c>
      <c r="L455" t="n">
        <v>0</v>
      </c>
      <c r="M455" t="n">
        <v>0</v>
      </c>
      <c r="N455" t="n">
        <v>0</v>
      </c>
      <c r="O455" t="n">
        <v>0</v>
      </c>
      <c r="P455" t="n">
        <v>0</v>
      </c>
      <c r="Q455" t="n">
        <v>0</v>
      </c>
      <c r="R455" s="2" t="inlineStr"/>
    </row>
    <row r="456" ht="15" customHeight="1">
      <c r="A456" t="inlineStr">
        <is>
          <t>A 8361-2026</t>
        </is>
      </c>
      <c r="B456" s="1" t="n">
        <v>46064.6643287037</v>
      </c>
      <c r="C456" s="1" t="n">
        <v>46098</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22854-2023</t>
        </is>
      </c>
      <c r="B457" s="1" t="n">
        <v>45072</v>
      </c>
      <c r="C457" s="1" t="n">
        <v>46098</v>
      </c>
      <c r="D457" t="inlineStr">
        <is>
          <t>DALARNAS LÄN</t>
        </is>
      </c>
      <c r="E457" t="inlineStr">
        <is>
          <t>MORA</t>
        </is>
      </c>
      <c r="G457" t="n">
        <v>3.3</v>
      </c>
      <c r="H457" t="n">
        <v>0</v>
      </c>
      <c r="I457" t="n">
        <v>0</v>
      </c>
      <c r="J457" t="n">
        <v>0</v>
      </c>
      <c r="K457" t="n">
        <v>0</v>
      </c>
      <c r="L457" t="n">
        <v>0</v>
      </c>
      <c r="M457" t="n">
        <v>0</v>
      </c>
      <c r="N457" t="n">
        <v>0</v>
      </c>
      <c r="O457" t="n">
        <v>0</v>
      </c>
      <c r="P457" t="n">
        <v>0</v>
      </c>
      <c r="Q457" t="n">
        <v>0</v>
      </c>
      <c r="R457" s="2" t="inlineStr"/>
    </row>
    <row r="458" ht="15" customHeight="1">
      <c r="A458" t="inlineStr">
        <is>
          <t>A 45562-2023</t>
        </is>
      </c>
      <c r="B458" s="1" t="n">
        <v>45194.59378472222</v>
      </c>
      <c r="C458" s="1" t="n">
        <v>46098</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8470-2026</t>
        </is>
      </c>
      <c r="B459" s="1" t="n">
        <v>46065.4490162037</v>
      </c>
      <c r="C459" s="1" t="n">
        <v>46098</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51570-2023</t>
        </is>
      </c>
      <c r="B460" s="1" t="n">
        <v>45222</v>
      </c>
      <c r="C460" s="1" t="n">
        <v>46098</v>
      </c>
      <c r="D460" t="inlineStr">
        <is>
          <t>DALARNAS LÄN</t>
        </is>
      </c>
      <c r="E460" t="inlineStr">
        <is>
          <t>MORA</t>
        </is>
      </c>
      <c r="G460" t="n">
        <v>10.1</v>
      </c>
      <c r="H460" t="n">
        <v>0</v>
      </c>
      <c r="I460" t="n">
        <v>0</v>
      </c>
      <c r="J460" t="n">
        <v>0</v>
      </c>
      <c r="K460" t="n">
        <v>0</v>
      </c>
      <c r="L460" t="n">
        <v>0</v>
      </c>
      <c r="M460" t="n">
        <v>0</v>
      </c>
      <c r="N460" t="n">
        <v>0</v>
      </c>
      <c r="O460" t="n">
        <v>0</v>
      </c>
      <c r="P460" t="n">
        <v>0</v>
      </c>
      <c r="Q460" t="n">
        <v>0</v>
      </c>
      <c r="R460" s="2" t="inlineStr"/>
    </row>
    <row r="461" ht="15" customHeight="1">
      <c r="A461" t="inlineStr">
        <is>
          <t>A 37070-2025</t>
        </is>
      </c>
      <c r="B461" s="1" t="n">
        <v>45875.39822916667</v>
      </c>
      <c r="C461" s="1" t="n">
        <v>46098</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8549-2026</t>
        </is>
      </c>
      <c r="B462" s="1" t="n">
        <v>46065.61790509259</v>
      </c>
      <c r="C462" s="1" t="n">
        <v>46098</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37268-2025</t>
        </is>
      </c>
      <c r="B463" s="1" t="n">
        <v>45876.46681712963</v>
      </c>
      <c r="C463" s="1" t="n">
        <v>46098</v>
      </c>
      <c r="D463" t="inlineStr">
        <is>
          <t>DALARNAS LÄN</t>
        </is>
      </c>
      <c r="E463" t="inlineStr">
        <is>
          <t>MORA</t>
        </is>
      </c>
      <c r="G463" t="n">
        <v>2.1</v>
      </c>
      <c r="H463" t="n">
        <v>0</v>
      </c>
      <c r="I463" t="n">
        <v>0</v>
      </c>
      <c r="J463" t="n">
        <v>0</v>
      </c>
      <c r="K463" t="n">
        <v>0</v>
      </c>
      <c r="L463" t="n">
        <v>0</v>
      </c>
      <c r="M463" t="n">
        <v>0</v>
      </c>
      <c r="N463" t="n">
        <v>0</v>
      </c>
      <c r="O463" t="n">
        <v>0</v>
      </c>
      <c r="P463" t="n">
        <v>0</v>
      </c>
      <c r="Q463" t="n">
        <v>0</v>
      </c>
      <c r="R463" s="2" t="inlineStr"/>
    </row>
    <row r="464" ht="15" customHeight="1">
      <c r="A464" t="inlineStr">
        <is>
          <t>A 56767-2024</t>
        </is>
      </c>
      <c r="B464" s="1" t="n">
        <v>45628.41274305555</v>
      </c>
      <c r="C464" s="1" t="n">
        <v>46098</v>
      </c>
      <c r="D464" t="inlineStr">
        <is>
          <t>DALARNAS LÄN</t>
        </is>
      </c>
      <c r="E464" t="inlineStr">
        <is>
          <t>MORA</t>
        </is>
      </c>
      <c r="G464" t="n">
        <v>5</v>
      </c>
      <c r="H464" t="n">
        <v>0</v>
      </c>
      <c r="I464" t="n">
        <v>0</v>
      </c>
      <c r="J464" t="n">
        <v>0</v>
      </c>
      <c r="K464" t="n">
        <v>0</v>
      </c>
      <c r="L464" t="n">
        <v>0</v>
      </c>
      <c r="M464" t="n">
        <v>0</v>
      </c>
      <c r="N464" t="n">
        <v>0</v>
      </c>
      <c r="O464" t="n">
        <v>0</v>
      </c>
      <c r="P464" t="n">
        <v>0</v>
      </c>
      <c r="Q464" t="n">
        <v>0</v>
      </c>
      <c r="R464" s="2" t="inlineStr"/>
    </row>
    <row r="465" ht="15" customHeight="1">
      <c r="A465" t="inlineStr">
        <is>
          <t>A 8762-2026</t>
        </is>
      </c>
      <c r="B465" s="1" t="n">
        <v>46066.55876157407</v>
      </c>
      <c r="C465" s="1" t="n">
        <v>46098</v>
      </c>
      <c r="D465" t="inlineStr">
        <is>
          <t>DALARNAS LÄN</t>
        </is>
      </c>
      <c r="E465" t="inlineStr">
        <is>
          <t>MORA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59995-2023</t>
        </is>
      </c>
      <c r="B466" s="1" t="n">
        <v>45254</v>
      </c>
      <c r="C466" s="1" t="n">
        <v>46098</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239-2026</t>
        </is>
      </c>
      <c r="B467" s="1" t="n">
        <v>46027</v>
      </c>
      <c r="C467" s="1" t="n">
        <v>46098</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141-2026</t>
        </is>
      </c>
      <c r="B468" s="1" t="n">
        <v>46024.62364583334</v>
      </c>
      <c r="C468" s="1" t="n">
        <v>46098</v>
      </c>
      <c r="D468" t="inlineStr">
        <is>
          <t>DALARNAS LÄN</t>
        </is>
      </c>
      <c r="E468" t="inlineStr">
        <is>
          <t>MORA</t>
        </is>
      </c>
      <c r="G468" t="n">
        <v>4.4</v>
      </c>
      <c r="H468" t="n">
        <v>0</v>
      </c>
      <c r="I468" t="n">
        <v>0</v>
      </c>
      <c r="J468" t="n">
        <v>0</v>
      </c>
      <c r="K468" t="n">
        <v>0</v>
      </c>
      <c r="L468" t="n">
        <v>0</v>
      </c>
      <c r="M468" t="n">
        <v>0</v>
      </c>
      <c r="N468" t="n">
        <v>0</v>
      </c>
      <c r="O468" t="n">
        <v>0</v>
      </c>
      <c r="P468" t="n">
        <v>0</v>
      </c>
      <c r="Q468" t="n">
        <v>0</v>
      </c>
      <c r="R468" s="2" t="inlineStr"/>
    </row>
    <row r="469" ht="15" customHeight="1">
      <c r="A469" t="inlineStr">
        <is>
          <t>A 8983-2026</t>
        </is>
      </c>
      <c r="B469" s="1" t="n">
        <v>46069</v>
      </c>
      <c r="C469" s="1" t="n">
        <v>46098</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9083-2026</t>
        </is>
      </c>
      <c r="B470" s="1" t="n">
        <v>46069</v>
      </c>
      <c r="C470" s="1" t="n">
        <v>46098</v>
      </c>
      <c r="D470" t="inlineStr">
        <is>
          <t>DALARNAS LÄN</t>
        </is>
      </c>
      <c r="E470" t="inlineStr">
        <is>
          <t>MORA</t>
        </is>
      </c>
      <c r="G470" t="n">
        <v>10.1</v>
      </c>
      <c r="H470" t="n">
        <v>0</v>
      </c>
      <c r="I470" t="n">
        <v>0</v>
      </c>
      <c r="J470" t="n">
        <v>0</v>
      </c>
      <c r="K470" t="n">
        <v>0</v>
      </c>
      <c r="L470" t="n">
        <v>0</v>
      </c>
      <c r="M470" t="n">
        <v>0</v>
      </c>
      <c r="N470" t="n">
        <v>0</v>
      </c>
      <c r="O470" t="n">
        <v>0</v>
      </c>
      <c r="P470" t="n">
        <v>0</v>
      </c>
      <c r="Q470" t="n">
        <v>0</v>
      </c>
      <c r="R470" s="2" t="inlineStr"/>
    </row>
    <row r="471" ht="15" customHeight="1">
      <c r="A471" t="inlineStr">
        <is>
          <t>A 9412-2026</t>
        </is>
      </c>
      <c r="B471" s="1" t="n">
        <v>46071.42309027778</v>
      </c>
      <c r="C471" s="1" t="n">
        <v>46098</v>
      </c>
      <c r="D471" t="inlineStr">
        <is>
          <t>DALARNAS LÄN</t>
        </is>
      </c>
      <c r="E471" t="inlineStr">
        <is>
          <t>MORA</t>
        </is>
      </c>
      <c r="G471" t="n">
        <v>3.4</v>
      </c>
      <c r="H471" t="n">
        <v>0</v>
      </c>
      <c r="I471" t="n">
        <v>0</v>
      </c>
      <c r="J471" t="n">
        <v>0</v>
      </c>
      <c r="K471" t="n">
        <v>0</v>
      </c>
      <c r="L471" t="n">
        <v>0</v>
      </c>
      <c r="M471" t="n">
        <v>0</v>
      </c>
      <c r="N471" t="n">
        <v>0</v>
      </c>
      <c r="O471" t="n">
        <v>0</v>
      </c>
      <c r="P471" t="n">
        <v>0</v>
      </c>
      <c r="Q471" t="n">
        <v>0</v>
      </c>
      <c r="R471" s="2" t="inlineStr"/>
    </row>
    <row r="472" ht="15" customHeight="1">
      <c r="A472" t="inlineStr">
        <is>
          <t>A 7849-2026</t>
        </is>
      </c>
      <c r="B472" s="1" t="n">
        <v>46062</v>
      </c>
      <c r="C472" s="1" t="n">
        <v>46098</v>
      </c>
      <c r="D472" t="inlineStr">
        <is>
          <t>DALARNAS LÄN</t>
        </is>
      </c>
      <c r="E472" t="inlineStr">
        <is>
          <t>MORA</t>
        </is>
      </c>
      <c r="G472" t="n">
        <v>1.7</v>
      </c>
      <c r="H472" t="n">
        <v>0</v>
      </c>
      <c r="I472" t="n">
        <v>0</v>
      </c>
      <c r="J472" t="n">
        <v>0</v>
      </c>
      <c r="K472" t="n">
        <v>0</v>
      </c>
      <c r="L472" t="n">
        <v>0</v>
      </c>
      <c r="M472" t="n">
        <v>0</v>
      </c>
      <c r="N472" t="n">
        <v>0</v>
      </c>
      <c r="O472" t="n">
        <v>0</v>
      </c>
      <c r="P472" t="n">
        <v>0</v>
      </c>
      <c r="Q472" t="n">
        <v>0</v>
      </c>
      <c r="R472" s="2" t="inlineStr"/>
    </row>
    <row r="473" ht="15" customHeight="1">
      <c r="A473" t="inlineStr">
        <is>
          <t>A 37879-2025</t>
        </is>
      </c>
      <c r="B473" s="1" t="n">
        <v>45881.48791666667</v>
      </c>
      <c r="C473" s="1" t="n">
        <v>46098</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38086-2025</t>
        </is>
      </c>
      <c r="B474" s="1" t="n">
        <v>45882.47625</v>
      </c>
      <c r="C474" s="1" t="n">
        <v>46098</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60962-2025</t>
        </is>
      </c>
      <c r="B475" s="1" t="n">
        <v>45999.66488425926</v>
      </c>
      <c r="C475" s="1" t="n">
        <v>46098</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7446-2026</t>
        </is>
      </c>
      <c r="B476" s="1" t="n">
        <v>46059</v>
      </c>
      <c r="C476" s="1" t="n">
        <v>46098</v>
      </c>
      <c r="D476" t="inlineStr">
        <is>
          <t>DALARNAS LÄN</t>
        </is>
      </c>
      <c r="E476" t="inlineStr">
        <is>
          <t>MORA</t>
        </is>
      </c>
      <c r="G476" t="n">
        <v>0.7</v>
      </c>
      <c r="H476" t="n">
        <v>0</v>
      </c>
      <c r="I476" t="n">
        <v>0</v>
      </c>
      <c r="J476" t="n">
        <v>0</v>
      </c>
      <c r="K476" t="n">
        <v>0</v>
      </c>
      <c r="L476" t="n">
        <v>0</v>
      </c>
      <c r="M476" t="n">
        <v>0</v>
      </c>
      <c r="N476" t="n">
        <v>0</v>
      </c>
      <c r="O476" t="n">
        <v>0</v>
      </c>
      <c r="P476" t="n">
        <v>0</v>
      </c>
      <c r="Q476" t="n">
        <v>0</v>
      </c>
      <c r="R476" s="2" t="inlineStr"/>
    </row>
    <row r="477" ht="15" customHeight="1">
      <c r="A477" t="inlineStr">
        <is>
          <t>A 53527-2024</t>
        </is>
      </c>
      <c r="B477" s="1" t="n">
        <v>45614.61569444444</v>
      </c>
      <c r="C477" s="1" t="n">
        <v>46098</v>
      </c>
      <c r="D477" t="inlineStr">
        <is>
          <t>DALARNAS LÄN</t>
        </is>
      </c>
      <c r="E477" t="inlineStr">
        <is>
          <t>MORA</t>
        </is>
      </c>
      <c r="G477" t="n">
        <v>3.3</v>
      </c>
      <c r="H477" t="n">
        <v>0</v>
      </c>
      <c r="I477" t="n">
        <v>0</v>
      </c>
      <c r="J477" t="n">
        <v>0</v>
      </c>
      <c r="K477" t="n">
        <v>0</v>
      </c>
      <c r="L477" t="n">
        <v>0</v>
      </c>
      <c r="M477" t="n">
        <v>0</v>
      </c>
      <c r="N477" t="n">
        <v>0</v>
      </c>
      <c r="O477" t="n">
        <v>0</v>
      </c>
      <c r="P477" t="n">
        <v>0</v>
      </c>
      <c r="Q477" t="n">
        <v>0</v>
      </c>
      <c r="R477" s="2" t="inlineStr"/>
    </row>
    <row r="478" ht="15" customHeight="1">
      <c r="A478" t="inlineStr">
        <is>
          <t>A 38073-2025</t>
        </is>
      </c>
      <c r="B478" s="1" t="n">
        <v>45882</v>
      </c>
      <c r="C478" s="1" t="n">
        <v>46098</v>
      </c>
      <c r="D478" t="inlineStr">
        <is>
          <t>DALARNAS LÄN</t>
        </is>
      </c>
      <c r="E478" t="inlineStr">
        <is>
          <t>MORA</t>
        </is>
      </c>
      <c r="G478" t="n">
        <v>2.5</v>
      </c>
      <c r="H478" t="n">
        <v>0</v>
      </c>
      <c r="I478" t="n">
        <v>0</v>
      </c>
      <c r="J478" t="n">
        <v>0</v>
      </c>
      <c r="K478" t="n">
        <v>0</v>
      </c>
      <c r="L478" t="n">
        <v>0</v>
      </c>
      <c r="M478" t="n">
        <v>0</v>
      </c>
      <c r="N478" t="n">
        <v>0</v>
      </c>
      <c r="O478" t="n">
        <v>0</v>
      </c>
      <c r="P478" t="n">
        <v>0</v>
      </c>
      <c r="Q478" t="n">
        <v>0</v>
      </c>
      <c r="R478" s="2" t="inlineStr"/>
    </row>
    <row r="479" ht="15" customHeight="1">
      <c r="A479" t="inlineStr">
        <is>
          <t>A 665-2026</t>
        </is>
      </c>
      <c r="B479" s="1" t="n">
        <v>46029</v>
      </c>
      <c r="C479" s="1" t="n">
        <v>46098</v>
      </c>
      <c r="D479" t="inlineStr">
        <is>
          <t>DALARNAS LÄN</t>
        </is>
      </c>
      <c r="E479" t="inlineStr">
        <is>
          <t>MORA</t>
        </is>
      </c>
      <c r="F479" t="inlineStr">
        <is>
          <t>Kommuner</t>
        </is>
      </c>
      <c r="G479" t="n">
        <v>20.9</v>
      </c>
      <c r="H479" t="n">
        <v>0</v>
      </c>
      <c r="I479" t="n">
        <v>0</v>
      </c>
      <c r="J479" t="n">
        <v>0</v>
      </c>
      <c r="K479" t="n">
        <v>0</v>
      </c>
      <c r="L479" t="n">
        <v>0</v>
      </c>
      <c r="M479" t="n">
        <v>0</v>
      </c>
      <c r="N479" t="n">
        <v>0</v>
      </c>
      <c r="O479" t="n">
        <v>0</v>
      </c>
      <c r="P479" t="n">
        <v>0</v>
      </c>
      <c r="Q479" t="n">
        <v>0</v>
      </c>
      <c r="R479" s="2" t="inlineStr"/>
    </row>
    <row r="480" ht="15" customHeight="1">
      <c r="A480" t="inlineStr">
        <is>
          <t>A 16967-2025</t>
        </is>
      </c>
      <c r="B480" s="1" t="n">
        <v>45755.46106481482</v>
      </c>
      <c r="C480" s="1" t="n">
        <v>46098</v>
      </c>
      <c r="D480" t="inlineStr">
        <is>
          <t>DALARNAS LÄN</t>
        </is>
      </c>
      <c r="E480" t="inlineStr">
        <is>
          <t>MORA</t>
        </is>
      </c>
      <c r="F480" t="inlineStr">
        <is>
          <t>Bergvik skog öst AB</t>
        </is>
      </c>
      <c r="G480" t="n">
        <v>2.9</v>
      </c>
      <c r="H480" t="n">
        <v>0</v>
      </c>
      <c r="I480" t="n">
        <v>0</v>
      </c>
      <c r="J480" t="n">
        <v>0</v>
      </c>
      <c r="K480" t="n">
        <v>0</v>
      </c>
      <c r="L480" t="n">
        <v>0</v>
      </c>
      <c r="M480" t="n">
        <v>0</v>
      </c>
      <c r="N480" t="n">
        <v>0</v>
      </c>
      <c r="O480" t="n">
        <v>0</v>
      </c>
      <c r="P480" t="n">
        <v>0</v>
      </c>
      <c r="Q480" t="n">
        <v>0</v>
      </c>
      <c r="R480" s="2" t="inlineStr"/>
    </row>
    <row r="481" ht="15" customHeight="1">
      <c r="A481" t="inlineStr">
        <is>
          <t>A 61278-2024</t>
        </is>
      </c>
      <c r="B481" s="1" t="n">
        <v>45645.76561342592</v>
      </c>
      <c r="C481" s="1" t="n">
        <v>46098</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60673-2023</t>
        </is>
      </c>
      <c r="B482" s="1" t="n">
        <v>45260.46438657407</v>
      </c>
      <c r="C482" s="1" t="n">
        <v>46098</v>
      </c>
      <c r="D482" t="inlineStr">
        <is>
          <t>DALARNAS LÄN</t>
        </is>
      </c>
      <c r="E482" t="inlineStr">
        <is>
          <t>MORA</t>
        </is>
      </c>
      <c r="G482" t="n">
        <v>0.7</v>
      </c>
      <c r="H482" t="n">
        <v>0</v>
      </c>
      <c r="I482" t="n">
        <v>0</v>
      </c>
      <c r="J482" t="n">
        <v>0</v>
      </c>
      <c r="K482" t="n">
        <v>0</v>
      </c>
      <c r="L482" t="n">
        <v>0</v>
      </c>
      <c r="M482" t="n">
        <v>0</v>
      </c>
      <c r="N482" t="n">
        <v>0</v>
      </c>
      <c r="O482" t="n">
        <v>0</v>
      </c>
      <c r="P482" t="n">
        <v>0</v>
      </c>
      <c r="Q482" t="n">
        <v>0</v>
      </c>
      <c r="R482" s="2" t="inlineStr"/>
    </row>
    <row r="483" ht="15" customHeight="1">
      <c r="A483" t="inlineStr">
        <is>
          <t>A 902-2026</t>
        </is>
      </c>
      <c r="B483" s="1" t="n">
        <v>46030.46954861111</v>
      </c>
      <c r="C483" s="1" t="n">
        <v>46098</v>
      </c>
      <c r="D483" t="inlineStr">
        <is>
          <t>DALARNAS LÄN</t>
        </is>
      </c>
      <c r="E483" t="inlineStr">
        <is>
          <t>MORA</t>
        </is>
      </c>
      <c r="G483" t="n">
        <v>4.2</v>
      </c>
      <c r="H483" t="n">
        <v>0</v>
      </c>
      <c r="I483" t="n">
        <v>0</v>
      </c>
      <c r="J483" t="n">
        <v>0</v>
      </c>
      <c r="K483" t="n">
        <v>0</v>
      </c>
      <c r="L483" t="n">
        <v>0</v>
      </c>
      <c r="M483" t="n">
        <v>0</v>
      </c>
      <c r="N483" t="n">
        <v>0</v>
      </c>
      <c r="O483" t="n">
        <v>0</v>
      </c>
      <c r="P483" t="n">
        <v>0</v>
      </c>
      <c r="Q483" t="n">
        <v>0</v>
      </c>
      <c r="R483" s="2" t="inlineStr"/>
    </row>
    <row r="484" ht="15" customHeight="1">
      <c r="A484" t="inlineStr">
        <is>
          <t>A 9421-2026</t>
        </is>
      </c>
      <c r="B484" s="1" t="n">
        <v>46071.44172453704</v>
      </c>
      <c r="C484" s="1" t="n">
        <v>46098</v>
      </c>
      <c r="D484" t="inlineStr">
        <is>
          <t>DALARNAS LÄN</t>
        </is>
      </c>
      <c r="E484" t="inlineStr">
        <is>
          <t>MORA</t>
        </is>
      </c>
      <c r="G484" t="n">
        <v>8.1</v>
      </c>
      <c r="H484" t="n">
        <v>0</v>
      </c>
      <c r="I484" t="n">
        <v>0</v>
      </c>
      <c r="J484" t="n">
        <v>0</v>
      </c>
      <c r="K484" t="n">
        <v>0</v>
      </c>
      <c r="L484" t="n">
        <v>0</v>
      </c>
      <c r="M484" t="n">
        <v>0</v>
      </c>
      <c r="N484" t="n">
        <v>0</v>
      </c>
      <c r="O484" t="n">
        <v>0</v>
      </c>
      <c r="P484" t="n">
        <v>0</v>
      </c>
      <c r="Q484" t="n">
        <v>0</v>
      </c>
      <c r="R484" s="2" t="inlineStr"/>
    </row>
    <row r="485" ht="15" customHeight="1">
      <c r="A485" t="inlineStr">
        <is>
          <t>A 24465-2021</t>
        </is>
      </c>
      <c r="B485" s="1" t="n">
        <v>44337</v>
      </c>
      <c r="C485" s="1" t="n">
        <v>46098</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61270-2024</t>
        </is>
      </c>
      <c r="B486" s="1" t="n">
        <v>45645.74694444444</v>
      </c>
      <c r="C486" s="1" t="n">
        <v>46098</v>
      </c>
      <c r="D486" t="inlineStr">
        <is>
          <t>DALARNAS LÄN</t>
        </is>
      </c>
      <c r="E486" t="inlineStr">
        <is>
          <t>MORA</t>
        </is>
      </c>
      <c r="G486" t="n">
        <v>5.1</v>
      </c>
      <c r="H486" t="n">
        <v>0</v>
      </c>
      <c r="I486" t="n">
        <v>0</v>
      </c>
      <c r="J486" t="n">
        <v>0</v>
      </c>
      <c r="K486" t="n">
        <v>0</v>
      </c>
      <c r="L486" t="n">
        <v>0</v>
      </c>
      <c r="M486" t="n">
        <v>0</v>
      </c>
      <c r="N486" t="n">
        <v>0</v>
      </c>
      <c r="O486" t="n">
        <v>0</v>
      </c>
      <c r="P486" t="n">
        <v>0</v>
      </c>
      <c r="Q486" t="n">
        <v>0</v>
      </c>
      <c r="R486" s="2" t="inlineStr"/>
    </row>
    <row r="487" ht="15" customHeight="1">
      <c r="A487" t="inlineStr">
        <is>
          <t>A 1068-2026</t>
        </is>
      </c>
      <c r="B487" s="1" t="n">
        <v>46030</v>
      </c>
      <c r="C487" s="1" t="n">
        <v>46098</v>
      </c>
      <c r="D487" t="inlineStr">
        <is>
          <t>DALARNAS LÄN</t>
        </is>
      </c>
      <c r="E487" t="inlineStr">
        <is>
          <t>MORA</t>
        </is>
      </c>
      <c r="G487" t="n">
        <v>1.4</v>
      </c>
      <c r="H487" t="n">
        <v>0</v>
      </c>
      <c r="I487" t="n">
        <v>0</v>
      </c>
      <c r="J487" t="n">
        <v>0</v>
      </c>
      <c r="K487" t="n">
        <v>0</v>
      </c>
      <c r="L487" t="n">
        <v>0</v>
      </c>
      <c r="M487" t="n">
        <v>0</v>
      </c>
      <c r="N487" t="n">
        <v>0</v>
      </c>
      <c r="O487" t="n">
        <v>0</v>
      </c>
      <c r="P487" t="n">
        <v>0</v>
      </c>
      <c r="Q487" t="n">
        <v>0</v>
      </c>
      <c r="R487" s="2" t="inlineStr"/>
    </row>
    <row r="488" ht="15" customHeight="1">
      <c r="A488" t="inlineStr">
        <is>
          <t>A 1102-2026</t>
        </is>
      </c>
      <c r="B488" s="1" t="n">
        <v>46030.66743055556</v>
      </c>
      <c r="C488" s="1" t="n">
        <v>46098</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8474-2026</t>
        </is>
      </c>
      <c r="B489" s="1" t="n">
        <v>46065</v>
      </c>
      <c r="C489" s="1" t="n">
        <v>46098</v>
      </c>
      <c r="D489" t="inlineStr">
        <is>
          <t>DALARNAS LÄN</t>
        </is>
      </c>
      <c r="E489" t="inlineStr">
        <is>
          <t>MORA</t>
        </is>
      </c>
      <c r="G489" t="n">
        <v>4.7</v>
      </c>
      <c r="H489" t="n">
        <v>0</v>
      </c>
      <c r="I489" t="n">
        <v>0</v>
      </c>
      <c r="J489" t="n">
        <v>0</v>
      </c>
      <c r="K489" t="n">
        <v>0</v>
      </c>
      <c r="L489" t="n">
        <v>0</v>
      </c>
      <c r="M489" t="n">
        <v>0</v>
      </c>
      <c r="N489" t="n">
        <v>0</v>
      </c>
      <c r="O489" t="n">
        <v>0</v>
      </c>
      <c r="P489" t="n">
        <v>0</v>
      </c>
      <c r="Q489" t="n">
        <v>0</v>
      </c>
      <c r="R489" s="2" t="inlineStr"/>
    </row>
    <row r="490" ht="15" customHeight="1">
      <c r="A490" t="inlineStr">
        <is>
          <t>A 1881-2026</t>
        </is>
      </c>
      <c r="B490" s="1" t="n">
        <v>46035.4731712963</v>
      </c>
      <c r="C490" s="1" t="n">
        <v>46098</v>
      </c>
      <c r="D490" t="inlineStr">
        <is>
          <t>DALARNAS LÄN</t>
        </is>
      </c>
      <c r="E490" t="inlineStr">
        <is>
          <t>MORA</t>
        </is>
      </c>
      <c r="G490" t="n">
        <v>5.2</v>
      </c>
      <c r="H490" t="n">
        <v>0</v>
      </c>
      <c r="I490" t="n">
        <v>0</v>
      </c>
      <c r="J490" t="n">
        <v>0</v>
      </c>
      <c r="K490" t="n">
        <v>0</v>
      </c>
      <c r="L490" t="n">
        <v>0</v>
      </c>
      <c r="M490" t="n">
        <v>0</v>
      </c>
      <c r="N490" t="n">
        <v>0</v>
      </c>
      <c r="O490" t="n">
        <v>0</v>
      </c>
      <c r="P490" t="n">
        <v>0</v>
      </c>
      <c r="Q490" t="n">
        <v>0</v>
      </c>
      <c r="R490" s="2" t="inlineStr"/>
    </row>
    <row r="491" ht="15" customHeight="1">
      <c r="A491" t="inlineStr">
        <is>
          <t>A 20930-2024</t>
        </is>
      </c>
      <c r="B491" s="1" t="n">
        <v>45439.51907407407</v>
      </c>
      <c r="C491" s="1" t="n">
        <v>46098</v>
      </c>
      <c r="D491" t="inlineStr">
        <is>
          <t>DALARNAS LÄN</t>
        </is>
      </c>
      <c r="E491" t="inlineStr">
        <is>
          <t>MORA</t>
        </is>
      </c>
      <c r="F491" t="inlineStr">
        <is>
          <t>Bergvik skog väst AB</t>
        </is>
      </c>
      <c r="G491" t="n">
        <v>5.3</v>
      </c>
      <c r="H491" t="n">
        <v>0</v>
      </c>
      <c r="I491" t="n">
        <v>0</v>
      </c>
      <c r="J491" t="n">
        <v>0</v>
      </c>
      <c r="K491" t="n">
        <v>0</v>
      </c>
      <c r="L491" t="n">
        <v>0</v>
      </c>
      <c r="M491" t="n">
        <v>0</v>
      </c>
      <c r="N491" t="n">
        <v>0</v>
      </c>
      <c r="O491" t="n">
        <v>0</v>
      </c>
      <c r="P491" t="n">
        <v>0</v>
      </c>
      <c r="Q491" t="n">
        <v>0</v>
      </c>
      <c r="R491" s="2" t="inlineStr"/>
    </row>
    <row r="492" ht="15" customHeight="1">
      <c r="A492" t="inlineStr">
        <is>
          <t>A 42611-2022</t>
        </is>
      </c>
      <c r="B492" s="1" t="n">
        <v>44831.81482638889</v>
      </c>
      <c r="C492" s="1" t="n">
        <v>46098</v>
      </c>
      <c r="D492" t="inlineStr">
        <is>
          <t>DALARNAS LÄN</t>
        </is>
      </c>
      <c r="E492" t="inlineStr">
        <is>
          <t>MORA</t>
        </is>
      </c>
      <c r="G492" t="n">
        <v>2.1</v>
      </c>
      <c r="H492" t="n">
        <v>0</v>
      </c>
      <c r="I492" t="n">
        <v>0</v>
      </c>
      <c r="J492" t="n">
        <v>0</v>
      </c>
      <c r="K492" t="n">
        <v>0</v>
      </c>
      <c r="L492" t="n">
        <v>0</v>
      </c>
      <c r="M492" t="n">
        <v>0</v>
      </c>
      <c r="N492" t="n">
        <v>0</v>
      </c>
      <c r="O492" t="n">
        <v>0</v>
      </c>
      <c r="P492" t="n">
        <v>0</v>
      </c>
      <c r="Q492" t="n">
        <v>0</v>
      </c>
      <c r="R492" s="2" t="inlineStr"/>
    </row>
    <row r="493" ht="15" customHeight="1">
      <c r="A493" t="inlineStr">
        <is>
          <t>A 17865-2025</t>
        </is>
      </c>
      <c r="B493" s="1" t="n">
        <v>45758.62951388889</v>
      </c>
      <c r="C493" s="1" t="n">
        <v>46098</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33676-2023</t>
        </is>
      </c>
      <c r="B494" s="1" t="n">
        <v>45132.6291550926</v>
      </c>
      <c r="C494" s="1" t="n">
        <v>46098</v>
      </c>
      <c r="D494" t="inlineStr">
        <is>
          <t>DALARNAS LÄN</t>
        </is>
      </c>
      <c r="E494" t="inlineStr">
        <is>
          <t>MORA</t>
        </is>
      </c>
      <c r="F494" t="inlineStr">
        <is>
          <t>Bergvik skog öst AB</t>
        </is>
      </c>
      <c r="G494" t="n">
        <v>2.7</v>
      </c>
      <c r="H494" t="n">
        <v>0</v>
      </c>
      <c r="I494" t="n">
        <v>0</v>
      </c>
      <c r="J494" t="n">
        <v>0</v>
      </c>
      <c r="K494" t="n">
        <v>0</v>
      </c>
      <c r="L494" t="n">
        <v>0</v>
      </c>
      <c r="M494" t="n">
        <v>0</v>
      </c>
      <c r="N494" t="n">
        <v>0</v>
      </c>
      <c r="O494" t="n">
        <v>0</v>
      </c>
      <c r="P494" t="n">
        <v>0</v>
      </c>
      <c r="Q494" t="n">
        <v>0</v>
      </c>
      <c r="R494" s="2" t="inlineStr"/>
    </row>
    <row r="495" ht="15" customHeight="1">
      <c r="A495" t="inlineStr">
        <is>
          <t>A 61188-2024</t>
        </is>
      </c>
      <c r="B495" s="1" t="n">
        <v>45645.62282407407</v>
      </c>
      <c r="C495" s="1" t="n">
        <v>46098</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37710-2023</t>
        </is>
      </c>
      <c r="B496" s="1" t="n">
        <v>45159.59186342593</v>
      </c>
      <c r="C496" s="1" t="n">
        <v>46098</v>
      </c>
      <c r="D496" t="inlineStr">
        <is>
          <t>DALARNAS LÄN</t>
        </is>
      </c>
      <c r="E496" t="inlineStr">
        <is>
          <t>MORA</t>
        </is>
      </c>
      <c r="G496" t="n">
        <v>1.9</v>
      </c>
      <c r="H496" t="n">
        <v>0</v>
      </c>
      <c r="I496" t="n">
        <v>0</v>
      </c>
      <c r="J496" t="n">
        <v>0</v>
      </c>
      <c r="K496" t="n">
        <v>0</v>
      </c>
      <c r="L496" t="n">
        <v>0</v>
      </c>
      <c r="M496" t="n">
        <v>0</v>
      </c>
      <c r="N496" t="n">
        <v>0</v>
      </c>
      <c r="O496" t="n">
        <v>0</v>
      </c>
      <c r="P496" t="n">
        <v>0</v>
      </c>
      <c r="Q496" t="n">
        <v>0</v>
      </c>
      <c r="R496" s="2" t="inlineStr"/>
    </row>
    <row r="497" ht="15" customHeight="1">
      <c r="A497" t="inlineStr">
        <is>
          <t>A 45355-2024</t>
        </is>
      </c>
      <c r="B497" s="1" t="n">
        <v>45576</v>
      </c>
      <c r="C497" s="1" t="n">
        <v>46098</v>
      </c>
      <c r="D497" t="inlineStr">
        <is>
          <t>DALARNAS LÄN</t>
        </is>
      </c>
      <c r="E497" t="inlineStr">
        <is>
          <t>MORA</t>
        </is>
      </c>
      <c r="G497" t="n">
        <v>1.4</v>
      </c>
      <c r="H497" t="n">
        <v>0</v>
      </c>
      <c r="I497" t="n">
        <v>0</v>
      </c>
      <c r="J497" t="n">
        <v>0</v>
      </c>
      <c r="K497" t="n">
        <v>0</v>
      </c>
      <c r="L497" t="n">
        <v>0</v>
      </c>
      <c r="M497" t="n">
        <v>0</v>
      </c>
      <c r="N497" t="n">
        <v>0</v>
      </c>
      <c r="O497" t="n">
        <v>0</v>
      </c>
      <c r="P497" t="n">
        <v>0</v>
      </c>
      <c r="Q497" t="n">
        <v>0</v>
      </c>
      <c r="R497" s="2" t="inlineStr"/>
    </row>
    <row r="498" ht="15" customHeight="1">
      <c r="A498" t="inlineStr">
        <is>
          <t>A 37695-2024</t>
        </is>
      </c>
      <c r="B498" s="1" t="n">
        <v>45541.61094907407</v>
      </c>
      <c r="C498" s="1" t="n">
        <v>46098</v>
      </c>
      <c r="D498" t="inlineStr">
        <is>
          <t>DALARNAS LÄN</t>
        </is>
      </c>
      <c r="E498" t="inlineStr">
        <is>
          <t>MORA</t>
        </is>
      </c>
      <c r="G498" t="n">
        <v>19.7</v>
      </c>
      <c r="H498" t="n">
        <v>0</v>
      </c>
      <c r="I498" t="n">
        <v>0</v>
      </c>
      <c r="J498" t="n">
        <v>0</v>
      </c>
      <c r="K498" t="n">
        <v>0</v>
      </c>
      <c r="L498" t="n">
        <v>0</v>
      </c>
      <c r="M498" t="n">
        <v>0</v>
      </c>
      <c r="N498" t="n">
        <v>0</v>
      </c>
      <c r="O498" t="n">
        <v>0</v>
      </c>
      <c r="P498" t="n">
        <v>0</v>
      </c>
      <c r="Q498" t="n">
        <v>0</v>
      </c>
      <c r="R498" s="2" t="inlineStr"/>
    </row>
    <row r="499" ht="15" customHeight="1">
      <c r="A499" t="inlineStr">
        <is>
          <t>A 10693-2026</t>
        </is>
      </c>
      <c r="B499" s="1" t="n">
        <v>46078.43366898148</v>
      </c>
      <c r="C499" s="1" t="n">
        <v>46098</v>
      </c>
      <c r="D499" t="inlineStr">
        <is>
          <t>DALARNAS LÄN</t>
        </is>
      </c>
      <c r="E499" t="inlineStr">
        <is>
          <t>MORA</t>
        </is>
      </c>
      <c r="G499" t="n">
        <v>1.2</v>
      </c>
      <c r="H499" t="n">
        <v>0</v>
      </c>
      <c r="I499" t="n">
        <v>0</v>
      </c>
      <c r="J499" t="n">
        <v>0</v>
      </c>
      <c r="K499" t="n">
        <v>0</v>
      </c>
      <c r="L499" t="n">
        <v>0</v>
      </c>
      <c r="M499" t="n">
        <v>0</v>
      </c>
      <c r="N499" t="n">
        <v>0</v>
      </c>
      <c r="O499" t="n">
        <v>0</v>
      </c>
      <c r="P499" t="n">
        <v>0</v>
      </c>
      <c r="Q499" t="n">
        <v>0</v>
      </c>
      <c r="R499" s="2" t="inlineStr"/>
    </row>
    <row r="500" ht="15" customHeight="1">
      <c r="A500" t="inlineStr">
        <is>
          <t>A 28934-2023</t>
        </is>
      </c>
      <c r="B500" s="1" t="n">
        <v>45104</v>
      </c>
      <c r="C500" s="1" t="n">
        <v>46098</v>
      </c>
      <c r="D500" t="inlineStr">
        <is>
          <t>DALARNAS LÄN</t>
        </is>
      </c>
      <c r="E500" t="inlineStr">
        <is>
          <t>MORA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2637-2026</t>
        </is>
      </c>
      <c r="B501" s="1" t="n">
        <v>46037.61490740741</v>
      </c>
      <c r="C501" s="1" t="n">
        <v>46098</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15416-2023</t>
        </is>
      </c>
      <c r="B502" s="1" t="n">
        <v>45019.71342592593</v>
      </c>
      <c r="C502" s="1" t="n">
        <v>46098</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6971-2026</t>
        </is>
      </c>
      <c r="B503" s="1" t="n">
        <v>46057</v>
      </c>
      <c r="C503" s="1" t="n">
        <v>46098</v>
      </c>
      <c r="D503" t="inlineStr">
        <is>
          <t>DALARNAS LÄN</t>
        </is>
      </c>
      <c r="E503" t="inlineStr">
        <is>
          <t>MORA</t>
        </is>
      </c>
      <c r="G503" t="n">
        <v>1.9</v>
      </c>
      <c r="H503" t="n">
        <v>0</v>
      </c>
      <c r="I503" t="n">
        <v>0</v>
      </c>
      <c r="J503" t="n">
        <v>0</v>
      </c>
      <c r="K503" t="n">
        <v>0</v>
      </c>
      <c r="L503" t="n">
        <v>0</v>
      </c>
      <c r="M503" t="n">
        <v>0</v>
      </c>
      <c r="N503" t="n">
        <v>0</v>
      </c>
      <c r="O503" t="n">
        <v>0</v>
      </c>
      <c r="P503" t="n">
        <v>0</v>
      </c>
      <c r="Q503" t="n">
        <v>0</v>
      </c>
      <c r="R503" s="2" t="inlineStr"/>
    </row>
    <row r="504" ht="15" customHeight="1">
      <c r="A504" t="inlineStr">
        <is>
          <t>A 5769-2025</t>
        </is>
      </c>
      <c r="B504" s="1" t="n">
        <v>45694.59288194445</v>
      </c>
      <c r="C504" s="1" t="n">
        <v>46098</v>
      </c>
      <c r="D504" t="inlineStr">
        <is>
          <t>DALARNAS LÄN</t>
        </is>
      </c>
      <c r="E504" t="inlineStr">
        <is>
          <t>MORA</t>
        </is>
      </c>
      <c r="G504" t="n">
        <v>15.7</v>
      </c>
      <c r="H504" t="n">
        <v>0</v>
      </c>
      <c r="I504" t="n">
        <v>0</v>
      </c>
      <c r="J504" t="n">
        <v>0</v>
      </c>
      <c r="K504" t="n">
        <v>0</v>
      </c>
      <c r="L504" t="n">
        <v>0</v>
      </c>
      <c r="M504" t="n">
        <v>0</v>
      </c>
      <c r="N504" t="n">
        <v>0</v>
      </c>
      <c r="O504" t="n">
        <v>0</v>
      </c>
      <c r="P504" t="n">
        <v>0</v>
      </c>
      <c r="Q504" t="n">
        <v>0</v>
      </c>
      <c r="R504" s="2" t="inlineStr"/>
    </row>
    <row r="505" ht="15" customHeight="1">
      <c r="A505" t="inlineStr">
        <is>
          <t>A 54253-2023</t>
        </is>
      </c>
      <c r="B505" s="1" t="n">
        <v>45232.63217592592</v>
      </c>
      <c r="C505" s="1" t="n">
        <v>46098</v>
      </c>
      <c r="D505" t="inlineStr">
        <is>
          <t>DALARNAS LÄN</t>
        </is>
      </c>
      <c r="E505" t="inlineStr">
        <is>
          <t>MORA</t>
        </is>
      </c>
      <c r="G505" t="n">
        <v>4.5</v>
      </c>
      <c r="H505" t="n">
        <v>0</v>
      </c>
      <c r="I505" t="n">
        <v>0</v>
      </c>
      <c r="J505" t="n">
        <v>0</v>
      </c>
      <c r="K505" t="n">
        <v>0</v>
      </c>
      <c r="L505" t="n">
        <v>0</v>
      </c>
      <c r="M505" t="n">
        <v>0</v>
      </c>
      <c r="N505" t="n">
        <v>0</v>
      </c>
      <c r="O505" t="n">
        <v>0</v>
      </c>
      <c r="P505" t="n">
        <v>0</v>
      </c>
      <c r="Q505" t="n">
        <v>0</v>
      </c>
      <c r="R505" s="2" t="inlineStr"/>
    </row>
    <row r="506" ht="15" customHeight="1">
      <c r="A506" t="inlineStr">
        <is>
          <t>A 57608-2021</t>
        </is>
      </c>
      <c r="B506" s="1" t="n">
        <v>44484</v>
      </c>
      <c r="C506" s="1" t="n">
        <v>46098</v>
      </c>
      <c r="D506" t="inlineStr">
        <is>
          <t>DALARNAS LÄN</t>
        </is>
      </c>
      <c r="E506" t="inlineStr">
        <is>
          <t>MORA</t>
        </is>
      </c>
      <c r="G506" t="n">
        <v>6.3</v>
      </c>
      <c r="H506" t="n">
        <v>0</v>
      </c>
      <c r="I506" t="n">
        <v>0</v>
      </c>
      <c r="J506" t="n">
        <v>0</v>
      </c>
      <c r="K506" t="n">
        <v>0</v>
      </c>
      <c r="L506" t="n">
        <v>0</v>
      </c>
      <c r="M506" t="n">
        <v>0</v>
      </c>
      <c r="N506" t="n">
        <v>0</v>
      </c>
      <c r="O506" t="n">
        <v>0</v>
      </c>
      <c r="P506" t="n">
        <v>0</v>
      </c>
      <c r="Q506" t="n">
        <v>0</v>
      </c>
      <c r="R506" s="2" t="inlineStr"/>
    </row>
    <row r="507" ht="15" customHeight="1">
      <c r="A507" t="inlineStr">
        <is>
          <t>A 9536-2026</t>
        </is>
      </c>
      <c r="B507" s="1" t="n">
        <v>46071</v>
      </c>
      <c r="C507" s="1" t="n">
        <v>46098</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2110-2026</t>
        </is>
      </c>
      <c r="B508" s="1" t="n">
        <v>46036</v>
      </c>
      <c r="C508" s="1" t="n">
        <v>46098</v>
      </c>
      <c r="D508" t="inlineStr">
        <is>
          <t>DALARNAS LÄN</t>
        </is>
      </c>
      <c r="E508" t="inlineStr">
        <is>
          <t>MORA</t>
        </is>
      </c>
      <c r="G508" t="n">
        <v>7.2</v>
      </c>
      <c r="H508" t="n">
        <v>0</v>
      </c>
      <c r="I508" t="n">
        <v>0</v>
      </c>
      <c r="J508" t="n">
        <v>0</v>
      </c>
      <c r="K508" t="n">
        <v>0</v>
      </c>
      <c r="L508" t="n">
        <v>0</v>
      </c>
      <c r="M508" t="n">
        <v>0</v>
      </c>
      <c r="N508" t="n">
        <v>0</v>
      </c>
      <c r="O508" t="n">
        <v>0</v>
      </c>
      <c r="P508" t="n">
        <v>0</v>
      </c>
      <c r="Q508" t="n">
        <v>0</v>
      </c>
      <c r="R508" s="2" t="inlineStr"/>
    </row>
    <row r="509" ht="15" customHeight="1">
      <c r="A509" t="inlineStr">
        <is>
          <t>A 673-2026</t>
        </is>
      </c>
      <c r="B509" s="1" t="n">
        <v>46029</v>
      </c>
      <c r="C509" s="1" t="n">
        <v>46098</v>
      </c>
      <c r="D509" t="inlineStr">
        <is>
          <t>DALARNAS LÄN</t>
        </is>
      </c>
      <c r="E509" t="inlineStr">
        <is>
          <t>MORA</t>
        </is>
      </c>
      <c r="F509" t="inlineStr">
        <is>
          <t>Kommuner</t>
        </is>
      </c>
      <c r="G509" t="n">
        <v>25.8</v>
      </c>
      <c r="H509" t="n">
        <v>0</v>
      </c>
      <c r="I509" t="n">
        <v>0</v>
      </c>
      <c r="J509" t="n">
        <v>0</v>
      </c>
      <c r="K509" t="n">
        <v>0</v>
      </c>
      <c r="L509" t="n">
        <v>0</v>
      </c>
      <c r="M509" t="n">
        <v>0</v>
      </c>
      <c r="N509" t="n">
        <v>0</v>
      </c>
      <c r="O509" t="n">
        <v>0</v>
      </c>
      <c r="P509" t="n">
        <v>0</v>
      </c>
      <c r="Q509" t="n">
        <v>0</v>
      </c>
      <c r="R509" s="2" t="inlineStr"/>
    </row>
    <row r="510" ht="15" customHeight="1">
      <c r="A510" t="inlineStr">
        <is>
          <t>A 2521-2026</t>
        </is>
      </c>
      <c r="B510" s="1" t="n">
        <v>46037.42600694444</v>
      </c>
      <c r="C510" s="1" t="n">
        <v>46098</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316-2026</t>
        </is>
      </c>
      <c r="B511" s="1" t="n">
        <v>46027</v>
      </c>
      <c r="C511" s="1" t="n">
        <v>46098</v>
      </c>
      <c r="D511" t="inlineStr">
        <is>
          <t>DALARNAS LÄN</t>
        </is>
      </c>
      <c r="E511" t="inlineStr">
        <is>
          <t>MORA</t>
        </is>
      </c>
      <c r="G511" t="n">
        <v>2.8</v>
      </c>
      <c r="H511" t="n">
        <v>0</v>
      </c>
      <c r="I511" t="n">
        <v>0</v>
      </c>
      <c r="J511" t="n">
        <v>0</v>
      </c>
      <c r="K511" t="n">
        <v>0</v>
      </c>
      <c r="L511" t="n">
        <v>0</v>
      </c>
      <c r="M511" t="n">
        <v>0</v>
      </c>
      <c r="N511" t="n">
        <v>0</v>
      </c>
      <c r="O511" t="n">
        <v>0</v>
      </c>
      <c r="P511" t="n">
        <v>0</v>
      </c>
      <c r="Q511" t="n">
        <v>0</v>
      </c>
      <c r="R511" s="2" t="inlineStr"/>
    </row>
    <row r="512" ht="15" customHeight="1">
      <c r="A512" t="inlineStr">
        <is>
          <t>A 9350-2026</t>
        </is>
      </c>
      <c r="B512" s="1" t="n">
        <v>46070</v>
      </c>
      <c r="C512" s="1" t="n">
        <v>46098</v>
      </c>
      <c r="D512" t="inlineStr">
        <is>
          <t>DALARNAS LÄN</t>
        </is>
      </c>
      <c r="E512" t="inlineStr">
        <is>
          <t>MORA</t>
        </is>
      </c>
      <c r="G512" t="n">
        <v>0.9</v>
      </c>
      <c r="H512" t="n">
        <v>0</v>
      </c>
      <c r="I512" t="n">
        <v>0</v>
      </c>
      <c r="J512" t="n">
        <v>0</v>
      </c>
      <c r="K512" t="n">
        <v>0</v>
      </c>
      <c r="L512" t="n">
        <v>0</v>
      </c>
      <c r="M512" t="n">
        <v>0</v>
      </c>
      <c r="N512" t="n">
        <v>0</v>
      </c>
      <c r="O512" t="n">
        <v>0</v>
      </c>
      <c r="P512" t="n">
        <v>0</v>
      </c>
      <c r="Q512" t="n">
        <v>0</v>
      </c>
      <c r="R512" s="2" t="inlineStr"/>
    </row>
    <row r="513" ht="15" customHeight="1">
      <c r="A513" t="inlineStr">
        <is>
          <t>A 17393-2025</t>
        </is>
      </c>
      <c r="B513" s="1" t="n">
        <v>45757.34350694445</v>
      </c>
      <c r="C513" s="1" t="n">
        <v>46098</v>
      </c>
      <c r="D513" t="inlineStr">
        <is>
          <t>DALARNAS LÄN</t>
        </is>
      </c>
      <c r="E513" t="inlineStr">
        <is>
          <t>MORA</t>
        </is>
      </c>
      <c r="G513" t="n">
        <v>10.1</v>
      </c>
      <c r="H513" t="n">
        <v>0</v>
      </c>
      <c r="I513" t="n">
        <v>0</v>
      </c>
      <c r="J513" t="n">
        <v>0</v>
      </c>
      <c r="K513" t="n">
        <v>0</v>
      </c>
      <c r="L513" t="n">
        <v>0</v>
      </c>
      <c r="M513" t="n">
        <v>0</v>
      </c>
      <c r="N513" t="n">
        <v>0</v>
      </c>
      <c r="O513" t="n">
        <v>0</v>
      </c>
      <c r="P513" t="n">
        <v>0</v>
      </c>
      <c r="Q513" t="n">
        <v>0</v>
      </c>
      <c r="R513" s="2" t="inlineStr"/>
    </row>
    <row r="514" ht="15" customHeight="1">
      <c r="A514" t="inlineStr">
        <is>
          <t>A 10181-2026</t>
        </is>
      </c>
      <c r="B514" s="1" t="n">
        <v>46076</v>
      </c>
      <c r="C514" s="1" t="n">
        <v>46098</v>
      </c>
      <c r="D514" t="inlineStr">
        <is>
          <t>DALARNAS LÄN</t>
        </is>
      </c>
      <c r="E514" t="inlineStr">
        <is>
          <t>MORA</t>
        </is>
      </c>
      <c r="G514" t="n">
        <v>0.6</v>
      </c>
      <c r="H514" t="n">
        <v>0</v>
      </c>
      <c r="I514" t="n">
        <v>0</v>
      </c>
      <c r="J514" t="n">
        <v>0</v>
      </c>
      <c r="K514" t="n">
        <v>0</v>
      </c>
      <c r="L514" t="n">
        <v>0</v>
      </c>
      <c r="M514" t="n">
        <v>0</v>
      </c>
      <c r="N514" t="n">
        <v>0</v>
      </c>
      <c r="O514" t="n">
        <v>0</v>
      </c>
      <c r="P514" t="n">
        <v>0</v>
      </c>
      <c r="Q514" t="n">
        <v>0</v>
      </c>
      <c r="R514" s="2" t="inlineStr"/>
    </row>
    <row r="515" ht="15" customHeight="1">
      <c r="A515" t="inlineStr">
        <is>
          <t>A 3260-2026</t>
        </is>
      </c>
      <c r="B515" s="1" t="n">
        <v>46041</v>
      </c>
      <c r="C515" s="1" t="n">
        <v>46098</v>
      </c>
      <c r="D515" t="inlineStr">
        <is>
          <t>DALARNAS LÄN</t>
        </is>
      </c>
      <c r="E515" t="inlineStr">
        <is>
          <t>MORA</t>
        </is>
      </c>
      <c r="G515" t="n">
        <v>27.1</v>
      </c>
      <c r="H515" t="n">
        <v>0</v>
      </c>
      <c r="I515" t="n">
        <v>0</v>
      </c>
      <c r="J515" t="n">
        <v>0</v>
      </c>
      <c r="K515" t="n">
        <v>0</v>
      </c>
      <c r="L515" t="n">
        <v>0</v>
      </c>
      <c r="M515" t="n">
        <v>0</v>
      </c>
      <c r="N515" t="n">
        <v>0</v>
      </c>
      <c r="O515" t="n">
        <v>0</v>
      </c>
      <c r="P515" t="n">
        <v>0</v>
      </c>
      <c r="Q515" t="n">
        <v>0</v>
      </c>
      <c r="R515" s="2" t="inlineStr"/>
    </row>
    <row r="516" ht="15" customHeight="1">
      <c r="A516" t="inlineStr">
        <is>
          <t>A 25887-2023</t>
        </is>
      </c>
      <c r="B516" s="1" t="n">
        <v>45090.62493055555</v>
      </c>
      <c r="C516" s="1" t="n">
        <v>46098</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3247-2026</t>
        </is>
      </c>
      <c r="B517" s="1" t="n">
        <v>46041</v>
      </c>
      <c r="C517" s="1" t="n">
        <v>46098</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2995-2026</t>
        </is>
      </c>
      <c r="B518" s="1" t="n">
        <v>46038</v>
      </c>
      <c r="C518" s="1" t="n">
        <v>46098</v>
      </c>
      <c r="D518" t="inlineStr">
        <is>
          <t>DALARNAS LÄN</t>
        </is>
      </c>
      <c r="E518" t="inlineStr">
        <is>
          <t>MORA</t>
        </is>
      </c>
      <c r="G518" t="n">
        <v>2.3</v>
      </c>
      <c r="H518" t="n">
        <v>0</v>
      </c>
      <c r="I518" t="n">
        <v>0</v>
      </c>
      <c r="J518" t="n">
        <v>0</v>
      </c>
      <c r="K518" t="n">
        <v>0</v>
      </c>
      <c r="L518" t="n">
        <v>0</v>
      </c>
      <c r="M518" t="n">
        <v>0</v>
      </c>
      <c r="N518" t="n">
        <v>0</v>
      </c>
      <c r="O518" t="n">
        <v>0</v>
      </c>
      <c r="P518" t="n">
        <v>0</v>
      </c>
      <c r="Q518" t="n">
        <v>0</v>
      </c>
      <c r="R518" s="2" t="inlineStr"/>
    </row>
    <row r="519" ht="15" customHeight="1">
      <c r="A519" t="inlineStr">
        <is>
          <t>A 2786-2026</t>
        </is>
      </c>
      <c r="B519" s="1" t="n">
        <v>46038.39023148148</v>
      </c>
      <c r="C519" s="1" t="n">
        <v>46098</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64099-2023</t>
        </is>
      </c>
      <c r="B520" s="1" t="n">
        <v>45279.46009259259</v>
      </c>
      <c r="C520" s="1" t="n">
        <v>46098</v>
      </c>
      <c r="D520" t="inlineStr">
        <is>
          <t>DALARNAS LÄN</t>
        </is>
      </c>
      <c r="E520" t="inlineStr">
        <is>
          <t>MORA</t>
        </is>
      </c>
      <c r="G520" t="n">
        <v>0.6</v>
      </c>
      <c r="H520" t="n">
        <v>0</v>
      </c>
      <c r="I520" t="n">
        <v>0</v>
      </c>
      <c r="J520" t="n">
        <v>0</v>
      </c>
      <c r="K520" t="n">
        <v>0</v>
      </c>
      <c r="L520" t="n">
        <v>0</v>
      </c>
      <c r="M520" t="n">
        <v>0</v>
      </c>
      <c r="N520" t="n">
        <v>0</v>
      </c>
      <c r="O520" t="n">
        <v>0</v>
      </c>
      <c r="P520" t="n">
        <v>0</v>
      </c>
      <c r="Q520" t="n">
        <v>0</v>
      </c>
      <c r="R520" s="2" t="inlineStr"/>
    </row>
    <row r="521" ht="15" customHeight="1">
      <c r="A521" t="inlineStr">
        <is>
          <t>A 3145-2026</t>
        </is>
      </c>
      <c r="B521" s="1" t="n">
        <v>46041.41971064815</v>
      </c>
      <c r="C521" s="1" t="n">
        <v>46098</v>
      </c>
      <c r="D521" t="inlineStr">
        <is>
          <t>DALARNAS LÄN</t>
        </is>
      </c>
      <c r="E521" t="inlineStr">
        <is>
          <t>MORA</t>
        </is>
      </c>
      <c r="G521" t="n">
        <v>4.3</v>
      </c>
      <c r="H521" t="n">
        <v>0</v>
      </c>
      <c r="I521" t="n">
        <v>0</v>
      </c>
      <c r="J521" t="n">
        <v>0</v>
      </c>
      <c r="K521" t="n">
        <v>0</v>
      </c>
      <c r="L521" t="n">
        <v>0</v>
      </c>
      <c r="M521" t="n">
        <v>0</v>
      </c>
      <c r="N521" t="n">
        <v>0</v>
      </c>
      <c r="O521" t="n">
        <v>0</v>
      </c>
      <c r="P521" t="n">
        <v>0</v>
      </c>
      <c r="Q521" t="n">
        <v>0</v>
      </c>
      <c r="R521" s="2" t="inlineStr"/>
    </row>
    <row r="522" ht="15" customHeight="1">
      <c r="A522" t="inlineStr">
        <is>
          <t>A 3149-2026</t>
        </is>
      </c>
      <c r="B522" s="1" t="n">
        <v>46041.42416666666</v>
      </c>
      <c r="C522" s="1" t="n">
        <v>46098</v>
      </c>
      <c r="D522" t="inlineStr">
        <is>
          <t>DALARNAS LÄN</t>
        </is>
      </c>
      <c r="E522" t="inlineStr">
        <is>
          <t>MORA</t>
        </is>
      </c>
      <c r="G522" t="n">
        <v>0.7</v>
      </c>
      <c r="H522" t="n">
        <v>0</v>
      </c>
      <c r="I522" t="n">
        <v>0</v>
      </c>
      <c r="J522" t="n">
        <v>0</v>
      </c>
      <c r="K522" t="n">
        <v>0</v>
      </c>
      <c r="L522" t="n">
        <v>0</v>
      </c>
      <c r="M522" t="n">
        <v>0</v>
      </c>
      <c r="N522" t="n">
        <v>0</v>
      </c>
      <c r="O522" t="n">
        <v>0</v>
      </c>
      <c r="P522" t="n">
        <v>0</v>
      </c>
      <c r="Q522" t="n">
        <v>0</v>
      </c>
      <c r="R522" s="2" t="inlineStr"/>
    </row>
    <row r="523" ht="15" customHeight="1">
      <c r="A523" t="inlineStr">
        <is>
          <t>A 3854-2026</t>
        </is>
      </c>
      <c r="B523" s="1" t="n">
        <v>46043</v>
      </c>
      <c r="C523" s="1" t="n">
        <v>46098</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11819-2026</t>
        </is>
      </c>
      <c r="B524" s="1" t="n">
        <v>46085.38835648148</v>
      </c>
      <c r="C524" s="1" t="n">
        <v>46098</v>
      </c>
      <c r="D524" t="inlineStr">
        <is>
          <t>DALARNAS LÄN</t>
        </is>
      </c>
      <c r="E524" t="inlineStr">
        <is>
          <t>MORA</t>
        </is>
      </c>
      <c r="G524" t="n">
        <v>0.6</v>
      </c>
      <c r="H524" t="n">
        <v>0</v>
      </c>
      <c r="I524" t="n">
        <v>0</v>
      </c>
      <c r="J524" t="n">
        <v>0</v>
      </c>
      <c r="K524" t="n">
        <v>0</v>
      </c>
      <c r="L524" t="n">
        <v>0</v>
      </c>
      <c r="M524" t="n">
        <v>0</v>
      </c>
      <c r="N524" t="n">
        <v>0</v>
      </c>
      <c r="O524" t="n">
        <v>0</v>
      </c>
      <c r="P524" t="n">
        <v>0</v>
      </c>
      <c r="Q524" t="n">
        <v>0</v>
      </c>
      <c r="R524" s="2" t="inlineStr"/>
    </row>
    <row r="525" ht="15" customHeight="1">
      <c r="A525" t="inlineStr">
        <is>
          <t>A 3440-2026</t>
        </is>
      </c>
      <c r="B525" s="1" t="n">
        <v>46042.475625</v>
      </c>
      <c r="C525" s="1" t="n">
        <v>46098</v>
      </c>
      <c r="D525" t="inlineStr">
        <is>
          <t>DALARNAS LÄN</t>
        </is>
      </c>
      <c r="E525" t="inlineStr">
        <is>
          <t>MORA</t>
        </is>
      </c>
      <c r="G525" t="n">
        <v>6.7</v>
      </c>
      <c r="H525" t="n">
        <v>0</v>
      </c>
      <c r="I525" t="n">
        <v>0</v>
      </c>
      <c r="J525" t="n">
        <v>0</v>
      </c>
      <c r="K525" t="n">
        <v>0</v>
      </c>
      <c r="L525" t="n">
        <v>0</v>
      </c>
      <c r="M525" t="n">
        <v>0</v>
      </c>
      <c r="N525" t="n">
        <v>0</v>
      </c>
      <c r="O525" t="n">
        <v>0</v>
      </c>
      <c r="P525" t="n">
        <v>0</v>
      </c>
      <c r="Q525" t="n">
        <v>0</v>
      </c>
      <c r="R525" s="2" t="inlineStr"/>
    </row>
    <row r="526" ht="15" customHeight="1">
      <c r="A526" t="inlineStr">
        <is>
          <t>A 11875-2026</t>
        </is>
      </c>
      <c r="B526" s="1" t="n">
        <v>46085</v>
      </c>
      <c r="C526" s="1" t="n">
        <v>46098</v>
      </c>
      <c r="D526" t="inlineStr">
        <is>
          <t>DALARNAS LÄN</t>
        </is>
      </c>
      <c r="E526" t="inlineStr">
        <is>
          <t>MORA</t>
        </is>
      </c>
      <c r="G526" t="n">
        <v>3.7</v>
      </c>
      <c r="H526" t="n">
        <v>0</v>
      </c>
      <c r="I526" t="n">
        <v>0</v>
      </c>
      <c r="J526" t="n">
        <v>0</v>
      </c>
      <c r="K526" t="n">
        <v>0</v>
      </c>
      <c r="L526" t="n">
        <v>0</v>
      </c>
      <c r="M526" t="n">
        <v>0</v>
      </c>
      <c r="N526" t="n">
        <v>0</v>
      </c>
      <c r="O526" t="n">
        <v>0</v>
      </c>
      <c r="P526" t="n">
        <v>0</v>
      </c>
      <c r="Q526" t="n">
        <v>0</v>
      </c>
      <c r="R526" s="2" t="inlineStr"/>
    </row>
    <row r="527" ht="15" customHeight="1">
      <c r="A527" t="inlineStr">
        <is>
          <t>A 3876-2026</t>
        </is>
      </c>
      <c r="B527" s="1" t="n">
        <v>46043.64811342592</v>
      </c>
      <c r="C527" s="1" t="n">
        <v>46098</v>
      </c>
      <c r="D527" t="inlineStr">
        <is>
          <t>DALARNAS LÄN</t>
        </is>
      </c>
      <c r="E527" t="inlineStr">
        <is>
          <t>MORA</t>
        </is>
      </c>
      <c r="F527" t="inlineStr">
        <is>
          <t>Bergvik skog öst AB</t>
        </is>
      </c>
      <c r="G527" t="n">
        <v>1.6</v>
      </c>
      <c r="H527" t="n">
        <v>0</v>
      </c>
      <c r="I527" t="n">
        <v>0</v>
      </c>
      <c r="J527" t="n">
        <v>0</v>
      </c>
      <c r="K527" t="n">
        <v>0</v>
      </c>
      <c r="L527" t="n">
        <v>0</v>
      </c>
      <c r="M527" t="n">
        <v>0</v>
      </c>
      <c r="N527" t="n">
        <v>0</v>
      </c>
      <c r="O527" t="n">
        <v>0</v>
      </c>
      <c r="P527" t="n">
        <v>0</v>
      </c>
      <c r="Q527" t="n">
        <v>0</v>
      </c>
      <c r="R527" s="2" t="inlineStr"/>
    </row>
    <row r="528" ht="15" customHeight="1">
      <c r="A528" t="inlineStr">
        <is>
          <t>A 19910-2024</t>
        </is>
      </c>
      <c r="B528" s="1" t="n">
        <v>45433.5741087963</v>
      </c>
      <c r="C528" s="1" t="n">
        <v>46098</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23300-2024</t>
        </is>
      </c>
      <c r="B529" s="1" t="n">
        <v>45453.43695601852</v>
      </c>
      <c r="C529" s="1" t="n">
        <v>46098</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19896-2021</t>
        </is>
      </c>
      <c r="B530" s="1" t="n">
        <v>44313.54942129629</v>
      </c>
      <c r="C530" s="1" t="n">
        <v>46098</v>
      </c>
      <c r="D530" t="inlineStr">
        <is>
          <t>DALARNAS LÄN</t>
        </is>
      </c>
      <c r="E530" t="inlineStr">
        <is>
          <t>MORA</t>
        </is>
      </c>
      <c r="G530" t="n">
        <v>1.8</v>
      </c>
      <c r="H530" t="n">
        <v>0</v>
      </c>
      <c r="I530" t="n">
        <v>0</v>
      </c>
      <c r="J530" t="n">
        <v>0</v>
      </c>
      <c r="K530" t="n">
        <v>0</v>
      </c>
      <c r="L530" t="n">
        <v>0</v>
      </c>
      <c r="M530" t="n">
        <v>0</v>
      </c>
      <c r="N530" t="n">
        <v>0</v>
      </c>
      <c r="O530" t="n">
        <v>0</v>
      </c>
      <c r="P530" t="n">
        <v>0</v>
      </c>
      <c r="Q530" t="n">
        <v>0</v>
      </c>
      <c r="R530" s="2" t="inlineStr"/>
    </row>
    <row r="531" ht="15" customHeight="1">
      <c r="A531" t="inlineStr">
        <is>
          <t>A 9599-2022</t>
        </is>
      </c>
      <c r="B531" s="1" t="n">
        <v>44617.48909722222</v>
      </c>
      <c r="C531" s="1" t="n">
        <v>46098</v>
      </c>
      <c r="D531" t="inlineStr">
        <is>
          <t>DALARNAS LÄN</t>
        </is>
      </c>
      <c r="E531" t="inlineStr">
        <is>
          <t>MORA</t>
        </is>
      </c>
      <c r="G531" t="n">
        <v>2.1</v>
      </c>
      <c r="H531" t="n">
        <v>0</v>
      </c>
      <c r="I531" t="n">
        <v>0</v>
      </c>
      <c r="J531" t="n">
        <v>0</v>
      </c>
      <c r="K531" t="n">
        <v>0</v>
      </c>
      <c r="L531" t="n">
        <v>0</v>
      </c>
      <c r="M531" t="n">
        <v>0</v>
      </c>
      <c r="N531" t="n">
        <v>0</v>
      </c>
      <c r="O531" t="n">
        <v>0</v>
      </c>
      <c r="P531" t="n">
        <v>0</v>
      </c>
      <c r="Q531" t="n">
        <v>0</v>
      </c>
      <c r="R531" s="2" t="inlineStr"/>
    </row>
    <row r="532" ht="15" customHeight="1">
      <c r="A532" t="inlineStr">
        <is>
          <t>A 35521-2023</t>
        </is>
      </c>
      <c r="B532" s="1" t="n">
        <v>45147.33251157407</v>
      </c>
      <c r="C532" s="1" t="n">
        <v>46098</v>
      </c>
      <c r="D532" t="inlineStr">
        <is>
          <t>DALARNAS LÄN</t>
        </is>
      </c>
      <c r="E532" t="inlineStr">
        <is>
          <t>MORA</t>
        </is>
      </c>
      <c r="G532" t="n">
        <v>3.7</v>
      </c>
      <c r="H532" t="n">
        <v>0</v>
      </c>
      <c r="I532" t="n">
        <v>0</v>
      </c>
      <c r="J532" t="n">
        <v>0</v>
      </c>
      <c r="K532" t="n">
        <v>0</v>
      </c>
      <c r="L532" t="n">
        <v>0</v>
      </c>
      <c r="M532" t="n">
        <v>0</v>
      </c>
      <c r="N532" t="n">
        <v>0</v>
      </c>
      <c r="O532" t="n">
        <v>0</v>
      </c>
      <c r="P532" t="n">
        <v>0</v>
      </c>
      <c r="Q532" t="n">
        <v>0</v>
      </c>
      <c r="R532" s="2" t="inlineStr"/>
    </row>
    <row r="533" ht="15" customHeight="1">
      <c r="A533" t="inlineStr">
        <is>
          <t>A 11705-2026</t>
        </is>
      </c>
      <c r="B533" s="1" t="n">
        <v>46084.61635416667</v>
      </c>
      <c r="C533" s="1" t="n">
        <v>46098</v>
      </c>
      <c r="D533" t="inlineStr">
        <is>
          <t>DALARNAS LÄN</t>
        </is>
      </c>
      <c r="E533" t="inlineStr">
        <is>
          <t>MORA</t>
        </is>
      </c>
      <c r="G533" t="n">
        <v>4.2</v>
      </c>
      <c r="H533" t="n">
        <v>0</v>
      </c>
      <c r="I533" t="n">
        <v>0</v>
      </c>
      <c r="J533" t="n">
        <v>0</v>
      </c>
      <c r="K533" t="n">
        <v>0</v>
      </c>
      <c r="L533" t="n">
        <v>0</v>
      </c>
      <c r="M533" t="n">
        <v>0</v>
      </c>
      <c r="N533" t="n">
        <v>0</v>
      </c>
      <c r="O533" t="n">
        <v>0</v>
      </c>
      <c r="P533" t="n">
        <v>0</v>
      </c>
      <c r="Q533" t="n">
        <v>0</v>
      </c>
      <c r="R533" s="2" t="inlineStr"/>
    </row>
    <row r="534" ht="15" customHeight="1">
      <c r="A534" t="inlineStr">
        <is>
          <t>A 3669-2026</t>
        </is>
      </c>
      <c r="B534" s="1" t="n">
        <v>46043.41603009259</v>
      </c>
      <c r="C534" s="1" t="n">
        <v>46098</v>
      </c>
      <c r="D534" t="inlineStr">
        <is>
          <t>DALARNAS LÄN</t>
        </is>
      </c>
      <c r="E534" t="inlineStr">
        <is>
          <t>MORA</t>
        </is>
      </c>
      <c r="G534" t="n">
        <v>4.6</v>
      </c>
      <c r="H534" t="n">
        <v>0</v>
      </c>
      <c r="I534" t="n">
        <v>0</v>
      </c>
      <c r="J534" t="n">
        <v>0</v>
      </c>
      <c r="K534" t="n">
        <v>0</v>
      </c>
      <c r="L534" t="n">
        <v>0</v>
      </c>
      <c r="M534" t="n">
        <v>0</v>
      </c>
      <c r="N534" t="n">
        <v>0</v>
      </c>
      <c r="O534" t="n">
        <v>0</v>
      </c>
      <c r="P534" t="n">
        <v>0</v>
      </c>
      <c r="Q534" t="n">
        <v>0</v>
      </c>
      <c r="R534" s="2" t="inlineStr"/>
    </row>
    <row r="535" ht="15" customHeight="1">
      <c r="A535" t="inlineStr">
        <is>
          <t>A 60715-2023</t>
        </is>
      </c>
      <c r="B535" s="1" t="n">
        <v>45260.52684027778</v>
      </c>
      <c r="C535" s="1" t="n">
        <v>46098</v>
      </c>
      <c r="D535" t="inlineStr">
        <is>
          <t>DALARNAS LÄN</t>
        </is>
      </c>
      <c r="E535" t="inlineStr">
        <is>
          <t>MORA</t>
        </is>
      </c>
      <c r="G535" t="n">
        <v>1.7</v>
      </c>
      <c r="H535" t="n">
        <v>0</v>
      </c>
      <c r="I535" t="n">
        <v>0</v>
      </c>
      <c r="J535" t="n">
        <v>0</v>
      </c>
      <c r="K535" t="n">
        <v>0</v>
      </c>
      <c r="L535" t="n">
        <v>0</v>
      </c>
      <c r="M535" t="n">
        <v>0</v>
      </c>
      <c r="N535" t="n">
        <v>0</v>
      </c>
      <c r="O535" t="n">
        <v>0</v>
      </c>
      <c r="P535" t="n">
        <v>0</v>
      </c>
      <c r="Q535" t="n">
        <v>0</v>
      </c>
      <c r="R535" s="2" t="inlineStr"/>
    </row>
    <row r="536" ht="15" customHeight="1">
      <c r="A536" t="inlineStr">
        <is>
          <t>A 54257-2023</t>
        </is>
      </c>
      <c r="B536" s="1" t="n">
        <v>45232.64195601852</v>
      </c>
      <c r="C536" s="1" t="n">
        <v>46098</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11716-2026</t>
        </is>
      </c>
      <c r="B537" s="1" t="n">
        <v>46084.62465277778</v>
      </c>
      <c r="C537" s="1" t="n">
        <v>46098</v>
      </c>
      <c r="D537" t="inlineStr">
        <is>
          <t>DALARNAS LÄN</t>
        </is>
      </c>
      <c r="E537" t="inlineStr">
        <is>
          <t>MORA</t>
        </is>
      </c>
      <c r="G537" t="n">
        <v>1.8</v>
      </c>
      <c r="H537" t="n">
        <v>0</v>
      </c>
      <c r="I537" t="n">
        <v>0</v>
      </c>
      <c r="J537" t="n">
        <v>0</v>
      </c>
      <c r="K537" t="n">
        <v>0</v>
      </c>
      <c r="L537" t="n">
        <v>0</v>
      </c>
      <c r="M537" t="n">
        <v>0</v>
      </c>
      <c r="N537" t="n">
        <v>0</v>
      </c>
      <c r="O537" t="n">
        <v>0</v>
      </c>
      <c r="P537" t="n">
        <v>0</v>
      </c>
      <c r="Q537" t="n">
        <v>0</v>
      </c>
      <c r="R537" s="2" t="inlineStr"/>
    </row>
    <row r="538" ht="15" customHeight="1">
      <c r="A538" t="inlineStr">
        <is>
          <t>A 3742-2026</t>
        </is>
      </c>
      <c r="B538" s="1" t="n">
        <v>46043</v>
      </c>
      <c r="C538" s="1" t="n">
        <v>46098</v>
      </c>
      <c r="D538" t="inlineStr">
        <is>
          <t>DALARNAS LÄN</t>
        </is>
      </c>
      <c r="E538" t="inlineStr">
        <is>
          <t>MORA</t>
        </is>
      </c>
      <c r="G538" t="n">
        <v>1.7</v>
      </c>
      <c r="H538" t="n">
        <v>0</v>
      </c>
      <c r="I538" t="n">
        <v>0</v>
      </c>
      <c r="J538" t="n">
        <v>0</v>
      </c>
      <c r="K538" t="n">
        <v>0</v>
      </c>
      <c r="L538" t="n">
        <v>0</v>
      </c>
      <c r="M538" t="n">
        <v>0</v>
      </c>
      <c r="N538" t="n">
        <v>0</v>
      </c>
      <c r="O538" t="n">
        <v>0</v>
      </c>
      <c r="P538" t="n">
        <v>0</v>
      </c>
      <c r="Q538" t="n">
        <v>0</v>
      </c>
      <c r="R538" s="2" t="inlineStr"/>
    </row>
    <row r="539" ht="15" customHeight="1">
      <c r="A539" t="inlineStr">
        <is>
          <t>A 9788-2026</t>
        </is>
      </c>
      <c r="B539" s="1" t="n">
        <v>46072</v>
      </c>
      <c r="C539" s="1" t="n">
        <v>46098</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6595-2026</t>
        </is>
      </c>
      <c r="B540" s="1" t="n">
        <v>46056</v>
      </c>
      <c r="C540" s="1" t="n">
        <v>46098</v>
      </c>
      <c r="D540" t="inlineStr">
        <is>
          <t>DALARNAS LÄN</t>
        </is>
      </c>
      <c r="E540" t="inlineStr">
        <is>
          <t>MORA</t>
        </is>
      </c>
      <c r="G540" t="n">
        <v>0.7</v>
      </c>
      <c r="H540" t="n">
        <v>0</v>
      </c>
      <c r="I540" t="n">
        <v>0</v>
      </c>
      <c r="J540" t="n">
        <v>0</v>
      </c>
      <c r="K540" t="n">
        <v>0</v>
      </c>
      <c r="L540" t="n">
        <v>0</v>
      </c>
      <c r="M540" t="n">
        <v>0</v>
      </c>
      <c r="N540" t="n">
        <v>0</v>
      </c>
      <c r="O540" t="n">
        <v>0</v>
      </c>
      <c r="P540" t="n">
        <v>0</v>
      </c>
      <c r="Q540" t="n">
        <v>0</v>
      </c>
      <c r="R540" s="2" t="inlineStr"/>
    </row>
    <row r="541" ht="15" customHeight="1">
      <c r="A541" t="inlineStr">
        <is>
          <t>A 4155-2026</t>
        </is>
      </c>
      <c r="B541" s="1" t="n">
        <v>46044.6533449074</v>
      </c>
      <c r="C541" s="1" t="n">
        <v>46098</v>
      </c>
      <c r="D541" t="inlineStr">
        <is>
          <t>DALARNAS LÄN</t>
        </is>
      </c>
      <c r="E541" t="inlineStr">
        <is>
          <t>MORA</t>
        </is>
      </c>
      <c r="G541" t="n">
        <v>0.8</v>
      </c>
      <c r="H541" t="n">
        <v>0</v>
      </c>
      <c r="I541" t="n">
        <v>0</v>
      </c>
      <c r="J541" t="n">
        <v>0</v>
      </c>
      <c r="K541" t="n">
        <v>0</v>
      </c>
      <c r="L541" t="n">
        <v>0</v>
      </c>
      <c r="M541" t="n">
        <v>0</v>
      </c>
      <c r="N541" t="n">
        <v>0</v>
      </c>
      <c r="O541" t="n">
        <v>0</v>
      </c>
      <c r="P541" t="n">
        <v>0</v>
      </c>
      <c r="Q541" t="n">
        <v>0</v>
      </c>
      <c r="R541" s="2" t="inlineStr"/>
    </row>
    <row r="542" ht="15" customHeight="1">
      <c r="A542" t="inlineStr">
        <is>
          <t>A 8075-2026</t>
        </is>
      </c>
      <c r="B542" s="1" t="n">
        <v>46063</v>
      </c>
      <c r="C542" s="1" t="n">
        <v>46098</v>
      </c>
      <c r="D542" t="inlineStr">
        <is>
          <t>DALARNAS LÄN</t>
        </is>
      </c>
      <c r="E542" t="inlineStr">
        <is>
          <t>MORA</t>
        </is>
      </c>
      <c r="G542" t="n">
        <v>1.3</v>
      </c>
      <c r="H542" t="n">
        <v>0</v>
      </c>
      <c r="I542" t="n">
        <v>0</v>
      </c>
      <c r="J542" t="n">
        <v>0</v>
      </c>
      <c r="K542" t="n">
        <v>0</v>
      </c>
      <c r="L542" t="n">
        <v>0</v>
      </c>
      <c r="M542" t="n">
        <v>0</v>
      </c>
      <c r="N542" t="n">
        <v>0</v>
      </c>
      <c r="O542" t="n">
        <v>0</v>
      </c>
      <c r="P542" t="n">
        <v>0</v>
      </c>
      <c r="Q542" t="n">
        <v>0</v>
      </c>
      <c r="R542" s="2" t="inlineStr"/>
    </row>
    <row r="543" ht="15" customHeight="1">
      <c r="A543" t="inlineStr">
        <is>
          <t>A 25499-2024</t>
        </is>
      </c>
      <c r="B543" s="1" t="n">
        <v>45463</v>
      </c>
      <c r="C543" s="1" t="n">
        <v>46098</v>
      </c>
      <c r="D543" t="inlineStr">
        <is>
          <t>DALARNAS LÄN</t>
        </is>
      </c>
      <c r="E543" t="inlineStr">
        <is>
          <t>MORA</t>
        </is>
      </c>
      <c r="G543" t="n">
        <v>0.8</v>
      </c>
      <c r="H543" t="n">
        <v>0</v>
      </c>
      <c r="I543" t="n">
        <v>0</v>
      </c>
      <c r="J543" t="n">
        <v>0</v>
      </c>
      <c r="K543" t="n">
        <v>0</v>
      </c>
      <c r="L543" t="n">
        <v>0</v>
      </c>
      <c r="M543" t="n">
        <v>0</v>
      </c>
      <c r="N543" t="n">
        <v>0</v>
      </c>
      <c r="O543" t="n">
        <v>0</v>
      </c>
      <c r="P543" t="n">
        <v>0</v>
      </c>
      <c r="Q543" t="n">
        <v>0</v>
      </c>
      <c r="R543" s="2" t="inlineStr"/>
    </row>
    <row r="544" ht="15" customHeight="1">
      <c r="A544" t="inlineStr">
        <is>
          <t>A 58958-2022</t>
        </is>
      </c>
      <c r="B544" s="1" t="n">
        <v>44903.6605324074</v>
      </c>
      <c r="C544" s="1" t="n">
        <v>46098</v>
      </c>
      <c r="D544" t="inlineStr">
        <is>
          <t>DALARNAS LÄN</t>
        </is>
      </c>
      <c r="E544" t="inlineStr">
        <is>
          <t>MORA</t>
        </is>
      </c>
      <c r="G544" t="n">
        <v>1.1</v>
      </c>
      <c r="H544" t="n">
        <v>0</v>
      </c>
      <c r="I544" t="n">
        <v>0</v>
      </c>
      <c r="J544" t="n">
        <v>0</v>
      </c>
      <c r="K544" t="n">
        <v>0</v>
      </c>
      <c r="L544" t="n">
        <v>0</v>
      </c>
      <c r="M544" t="n">
        <v>0</v>
      </c>
      <c r="N544" t="n">
        <v>0</v>
      </c>
      <c r="O544" t="n">
        <v>0</v>
      </c>
      <c r="P544" t="n">
        <v>0</v>
      </c>
      <c r="Q544" t="n">
        <v>0</v>
      </c>
      <c r="R544" s="2" t="inlineStr"/>
    </row>
    <row r="545" ht="15" customHeight="1">
      <c r="A545" t="inlineStr">
        <is>
          <t>A 9733-2026</t>
        </is>
      </c>
      <c r="B545" s="1" t="n">
        <v>46072</v>
      </c>
      <c r="C545" s="1" t="n">
        <v>46098</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52908-2023</t>
        </is>
      </c>
      <c r="B546" s="1" t="n">
        <v>45226.49950231481</v>
      </c>
      <c r="C546" s="1" t="n">
        <v>46098</v>
      </c>
      <c r="D546" t="inlineStr">
        <is>
          <t>DALARNAS LÄN</t>
        </is>
      </c>
      <c r="E546" t="inlineStr">
        <is>
          <t>MORA</t>
        </is>
      </c>
      <c r="G546" t="n">
        <v>3.3</v>
      </c>
      <c r="H546" t="n">
        <v>0</v>
      </c>
      <c r="I546" t="n">
        <v>0</v>
      </c>
      <c r="J546" t="n">
        <v>0</v>
      </c>
      <c r="K546" t="n">
        <v>0</v>
      </c>
      <c r="L546" t="n">
        <v>0</v>
      </c>
      <c r="M546" t="n">
        <v>0</v>
      </c>
      <c r="N546" t="n">
        <v>0</v>
      </c>
      <c r="O546" t="n">
        <v>0</v>
      </c>
      <c r="P546" t="n">
        <v>0</v>
      </c>
      <c r="Q546" t="n">
        <v>0</v>
      </c>
      <c r="R546" s="2" t="inlineStr"/>
    </row>
    <row r="547" ht="15" customHeight="1">
      <c r="A547" t="inlineStr">
        <is>
          <t>A 9740-2026</t>
        </is>
      </c>
      <c r="B547" s="1" t="n">
        <v>46072</v>
      </c>
      <c r="C547" s="1" t="n">
        <v>46098</v>
      </c>
      <c r="D547" t="inlineStr">
        <is>
          <t>DALARNAS LÄN</t>
        </is>
      </c>
      <c r="E547" t="inlineStr">
        <is>
          <t>MORA</t>
        </is>
      </c>
      <c r="G547" t="n">
        <v>2</v>
      </c>
      <c r="H547" t="n">
        <v>0</v>
      </c>
      <c r="I547" t="n">
        <v>0</v>
      </c>
      <c r="J547" t="n">
        <v>0</v>
      </c>
      <c r="K547" t="n">
        <v>0</v>
      </c>
      <c r="L547" t="n">
        <v>0</v>
      </c>
      <c r="M547" t="n">
        <v>0</v>
      </c>
      <c r="N547" t="n">
        <v>0</v>
      </c>
      <c r="O547" t="n">
        <v>0</v>
      </c>
      <c r="P547" t="n">
        <v>0</v>
      </c>
      <c r="Q547" t="n">
        <v>0</v>
      </c>
      <c r="R547" s="2" t="inlineStr"/>
    </row>
    <row r="548" ht="15" customHeight="1">
      <c r="A548" t="inlineStr">
        <is>
          <t>A 18214-2024</t>
        </is>
      </c>
      <c r="B548" s="1" t="n">
        <v>45420</v>
      </c>
      <c r="C548" s="1" t="n">
        <v>46098</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4213-2026</t>
        </is>
      </c>
      <c r="B549" s="1" t="n">
        <v>46044.741875</v>
      </c>
      <c r="C549" s="1" t="n">
        <v>46098</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12610-2026</t>
        </is>
      </c>
      <c r="B550" s="1" t="n">
        <v>46091.38306712963</v>
      </c>
      <c r="C550" s="1" t="n">
        <v>46098</v>
      </c>
      <c r="D550" t="inlineStr">
        <is>
          <t>DALARNAS LÄN</t>
        </is>
      </c>
      <c r="E550" t="inlineStr">
        <is>
          <t>MORA</t>
        </is>
      </c>
      <c r="G550" t="n">
        <v>8.1</v>
      </c>
      <c r="H550" t="n">
        <v>0</v>
      </c>
      <c r="I550" t="n">
        <v>0</v>
      </c>
      <c r="J550" t="n">
        <v>0</v>
      </c>
      <c r="K550" t="n">
        <v>0</v>
      </c>
      <c r="L550" t="n">
        <v>0</v>
      </c>
      <c r="M550" t="n">
        <v>0</v>
      </c>
      <c r="N550" t="n">
        <v>0</v>
      </c>
      <c r="O550" t="n">
        <v>0</v>
      </c>
      <c r="P550" t="n">
        <v>0</v>
      </c>
      <c r="Q550" t="n">
        <v>0</v>
      </c>
      <c r="R550" s="2" t="inlineStr"/>
    </row>
    <row r="551" ht="15" customHeight="1">
      <c r="A551" t="inlineStr">
        <is>
          <t>A 60465-2023</t>
        </is>
      </c>
      <c r="B551" s="1" t="n">
        <v>45259.57872685185</v>
      </c>
      <c r="C551" s="1" t="n">
        <v>46098</v>
      </c>
      <c r="D551" t="inlineStr">
        <is>
          <t>DALARNAS LÄN</t>
        </is>
      </c>
      <c r="E551" t="inlineStr">
        <is>
          <t>MORA</t>
        </is>
      </c>
      <c r="G551" t="n">
        <v>1.3</v>
      </c>
      <c r="H551" t="n">
        <v>0</v>
      </c>
      <c r="I551" t="n">
        <v>0</v>
      </c>
      <c r="J551" t="n">
        <v>0</v>
      </c>
      <c r="K551" t="n">
        <v>0</v>
      </c>
      <c r="L551" t="n">
        <v>0</v>
      </c>
      <c r="M551" t="n">
        <v>0</v>
      </c>
      <c r="N551" t="n">
        <v>0</v>
      </c>
      <c r="O551" t="n">
        <v>0</v>
      </c>
      <c r="P551" t="n">
        <v>0</v>
      </c>
      <c r="Q551" t="n">
        <v>0</v>
      </c>
      <c r="R551" s="2" t="inlineStr"/>
    </row>
    <row r="552" ht="15" customHeight="1">
      <c r="A552" t="inlineStr">
        <is>
          <t>A 61654-2024</t>
        </is>
      </c>
      <c r="B552" s="1" t="n">
        <v>45646.74988425926</v>
      </c>
      <c r="C552" s="1" t="n">
        <v>46098</v>
      </c>
      <c r="D552" t="inlineStr">
        <is>
          <t>DALARNAS LÄN</t>
        </is>
      </c>
      <c r="E552" t="inlineStr">
        <is>
          <t>MORA</t>
        </is>
      </c>
      <c r="G552" t="n">
        <v>1.7</v>
      </c>
      <c r="H552" t="n">
        <v>0</v>
      </c>
      <c r="I552" t="n">
        <v>0</v>
      </c>
      <c r="J552" t="n">
        <v>0</v>
      </c>
      <c r="K552" t="n">
        <v>0</v>
      </c>
      <c r="L552" t="n">
        <v>0</v>
      </c>
      <c r="M552" t="n">
        <v>0</v>
      </c>
      <c r="N552" t="n">
        <v>0</v>
      </c>
      <c r="O552" t="n">
        <v>0</v>
      </c>
      <c r="P552" t="n">
        <v>0</v>
      </c>
      <c r="Q552" t="n">
        <v>0</v>
      </c>
      <c r="R552" s="2" t="inlineStr"/>
    </row>
    <row r="553" ht="15" customHeight="1">
      <c r="A553" t="inlineStr">
        <is>
          <t>A 60428-2023</t>
        </is>
      </c>
      <c r="B553" s="1" t="n">
        <v>45259.50996527778</v>
      </c>
      <c r="C553" s="1" t="n">
        <v>46098</v>
      </c>
      <c r="D553" t="inlineStr">
        <is>
          <t>DALARNAS LÄN</t>
        </is>
      </c>
      <c r="E553" t="inlineStr">
        <is>
          <t>MORA</t>
        </is>
      </c>
      <c r="G553" t="n">
        <v>4.9</v>
      </c>
      <c r="H553" t="n">
        <v>0</v>
      </c>
      <c r="I553" t="n">
        <v>0</v>
      </c>
      <c r="J553" t="n">
        <v>0</v>
      </c>
      <c r="K553" t="n">
        <v>0</v>
      </c>
      <c r="L553" t="n">
        <v>0</v>
      </c>
      <c r="M553" t="n">
        <v>0</v>
      </c>
      <c r="N553" t="n">
        <v>0</v>
      </c>
      <c r="O553" t="n">
        <v>0</v>
      </c>
      <c r="P553" t="n">
        <v>0</v>
      </c>
      <c r="Q553" t="n">
        <v>0</v>
      </c>
      <c r="R553" s="2" t="inlineStr"/>
    </row>
    <row r="554" ht="15" customHeight="1">
      <c r="A554" t="inlineStr">
        <is>
          <t>A 2308-2023</t>
        </is>
      </c>
      <c r="B554" s="1" t="n">
        <v>44942.57987268519</v>
      </c>
      <c r="C554" s="1" t="n">
        <v>46098</v>
      </c>
      <c r="D554" t="inlineStr">
        <is>
          <t>DALARNAS LÄN</t>
        </is>
      </c>
      <c r="E554" t="inlineStr">
        <is>
          <t>MORA</t>
        </is>
      </c>
      <c r="G554" t="n">
        <v>2.2</v>
      </c>
      <c r="H554" t="n">
        <v>0</v>
      </c>
      <c r="I554" t="n">
        <v>0</v>
      </c>
      <c r="J554" t="n">
        <v>0</v>
      </c>
      <c r="K554" t="n">
        <v>0</v>
      </c>
      <c r="L554" t="n">
        <v>0</v>
      </c>
      <c r="M554" t="n">
        <v>0</v>
      </c>
      <c r="N554" t="n">
        <v>0</v>
      </c>
      <c r="O554" t="n">
        <v>0</v>
      </c>
      <c r="P554" t="n">
        <v>0</v>
      </c>
      <c r="Q554" t="n">
        <v>0</v>
      </c>
      <c r="R554" s="2" t="inlineStr"/>
    </row>
    <row r="555" ht="15" customHeight="1">
      <c r="A555" t="inlineStr">
        <is>
          <t>A 4752-2026</t>
        </is>
      </c>
      <c r="B555" s="1" t="n">
        <v>46048</v>
      </c>
      <c r="C555" s="1" t="n">
        <v>46098</v>
      </c>
      <c r="D555" t="inlineStr">
        <is>
          <t>DALARNAS LÄN</t>
        </is>
      </c>
      <c r="E555" t="inlineStr">
        <is>
          <t>MORA</t>
        </is>
      </c>
      <c r="G555" t="n">
        <v>1.7</v>
      </c>
      <c r="H555" t="n">
        <v>0</v>
      </c>
      <c r="I555" t="n">
        <v>0</v>
      </c>
      <c r="J555" t="n">
        <v>0</v>
      </c>
      <c r="K555" t="n">
        <v>0</v>
      </c>
      <c r="L555" t="n">
        <v>0</v>
      </c>
      <c r="M555" t="n">
        <v>0</v>
      </c>
      <c r="N555" t="n">
        <v>0</v>
      </c>
      <c r="O555" t="n">
        <v>0</v>
      </c>
      <c r="P555" t="n">
        <v>0</v>
      </c>
      <c r="Q555" t="n">
        <v>0</v>
      </c>
      <c r="R555" s="2" t="inlineStr"/>
    </row>
    <row r="556" ht="15" customHeight="1">
      <c r="A556" t="inlineStr">
        <is>
          <t>A 53159-2024</t>
        </is>
      </c>
      <c r="B556" s="1" t="n">
        <v>45611.63849537037</v>
      </c>
      <c r="C556" s="1" t="n">
        <v>46098</v>
      </c>
      <c r="D556" t="inlineStr">
        <is>
          <t>DALARNAS LÄN</t>
        </is>
      </c>
      <c r="E556" t="inlineStr">
        <is>
          <t>MORA</t>
        </is>
      </c>
      <c r="G556" t="n">
        <v>3.3</v>
      </c>
      <c r="H556" t="n">
        <v>0</v>
      </c>
      <c r="I556" t="n">
        <v>0</v>
      </c>
      <c r="J556" t="n">
        <v>0</v>
      </c>
      <c r="K556" t="n">
        <v>0</v>
      </c>
      <c r="L556" t="n">
        <v>0</v>
      </c>
      <c r="M556" t="n">
        <v>0</v>
      </c>
      <c r="N556" t="n">
        <v>0</v>
      </c>
      <c r="O556" t="n">
        <v>0</v>
      </c>
      <c r="P556" t="n">
        <v>0</v>
      </c>
      <c r="Q556" t="n">
        <v>0</v>
      </c>
      <c r="R556" s="2" t="inlineStr"/>
    </row>
    <row r="557" ht="15" customHeight="1">
      <c r="A557" t="inlineStr">
        <is>
          <t>A 4906-2026</t>
        </is>
      </c>
      <c r="B557" s="1" t="n">
        <v>46048.70013888889</v>
      </c>
      <c r="C557" s="1" t="n">
        <v>46098</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29754-2022</t>
        </is>
      </c>
      <c r="B558" s="1" t="n">
        <v>44755.59188657408</v>
      </c>
      <c r="C558" s="1" t="n">
        <v>46098</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5116-2026</t>
        </is>
      </c>
      <c r="B559" s="1" t="n">
        <v>46049.57591435185</v>
      </c>
      <c r="C559" s="1" t="n">
        <v>46098</v>
      </c>
      <c r="D559" t="inlineStr">
        <is>
          <t>DALARNAS LÄN</t>
        </is>
      </c>
      <c r="E559" t="inlineStr">
        <is>
          <t>MORA</t>
        </is>
      </c>
      <c r="F559" t="inlineStr">
        <is>
          <t>Bergvik skog öst AB</t>
        </is>
      </c>
      <c r="G559" t="n">
        <v>2.9</v>
      </c>
      <c r="H559" t="n">
        <v>0</v>
      </c>
      <c r="I559" t="n">
        <v>0</v>
      </c>
      <c r="J559" t="n">
        <v>0</v>
      </c>
      <c r="K559" t="n">
        <v>0</v>
      </c>
      <c r="L559" t="n">
        <v>0</v>
      </c>
      <c r="M559" t="n">
        <v>0</v>
      </c>
      <c r="N559" t="n">
        <v>0</v>
      </c>
      <c r="O559" t="n">
        <v>0</v>
      </c>
      <c r="P559" t="n">
        <v>0</v>
      </c>
      <c r="Q559" t="n">
        <v>0</v>
      </c>
      <c r="R559" s="2" t="inlineStr"/>
    </row>
    <row r="560" ht="15" customHeight="1">
      <c r="A560" t="inlineStr">
        <is>
          <t>A 27188-2023</t>
        </is>
      </c>
      <c r="B560" s="1" t="n">
        <v>45096</v>
      </c>
      <c r="C560" s="1" t="n">
        <v>46098</v>
      </c>
      <c r="D560" t="inlineStr">
        <is>
          <t>DALARNAS LÄN</t>
        </is>
      </c>
      <c r="E560" t="inlineStr">
        <is>
          <t>MORA</t>
        </is>
      </c>
      <c r="G560" t="n">
        <v>4.8</v>
      </c>
      <c r="H560" t="n">
        <v>0</v>
      </c>
      <c r="I560" t="n">
        <v>0</v>
      </c>
      <c r="J560" t="n">
        <v>0</v>
      </c>
      <c r="K560" t="n">
        <v>0</v>
      </c>
      <c r="L560" t="n">
        <v>0</v>
      </c>
      <c r="M560" t="n">
        <v>0</v>
      </c>
      <c r="N560" t="n">
        <v>0</v>
      </c>
      <c r="O560" t="n">
        <v>0</v>
      </c>
      <c r="P560" t="n">
        <v>0</v>
      </c>
      <c r="Q560" t="n">
        <v>0</v>
      </c>
      <c r="R560" s="2" t="inlineStr"/>
    </row>
    <row r="561" ht="15" customHeight="1">
      <c r="A561" t="inlineStr">
        <is>
          <t>A 56268-2024</t>
        </is>
      </c>
      <c r="B561" s="1" t="n">
        <v>45624.65785879629</v>
      </c>
      <c r="C561" s="1" t="n">
        <v>46098</v>
      </c>
      <c r="D561" t="inlineStr">
        <is>
          <t>DALARNAS LÄN</t>
        </is>
      </c>
      <c r="E561" t="inlineStr">
        <is>
          <t>MORA</t>
        </is>
      </c>
      <c r="G561" t="n">
        <v>2.7</v>
      </c>
      <c r="H561" t="n">
        <v>0</v>
      </c>
      <c r="I561" t="n">
        <v>0</v>
      </c>
      <c r="J561" t="n">
        <v>0</v>
      </c>
      <c r="K561" t="n">
        <v>0</v>
      </c>
      <c r="L561" t="n">
        <v>0</v>
      </c>
      <c r="M561" t="n">
        <v>0</v>
      </c>
      <c r="N561" t="n">
        <v>0</v>
      </c>
      <c r="O561" t="n">
        <v>0</v>
      </c>
      <c r="P561" t="n">
        <v>0</v>
      </c>
      <c r="Q561" t="n">
        <v>0</v>
      </c>
      <c r="R561" s="2" t="inlineStr"/>
    </row>
    <row r="562" ht="15" customHeight="1">
      <c r="A562" t="inlineStr">
        <is>
          <t>A 4744-2026</t>
        </is>
      </c>
      <c r="B562" s="1" t="n">
        <v>46048</v>
      </c>
      <c r="C562" s="1" t="n">
        <v>46098</v>
      </c>
      <c r="D562" t="inlineStr">
        <is>
          <t>DALARNAS LÄN</t>
        </is>
      </c>
      <c r="E562" t="inlineStr">
        <is>
          <t>MORA</t>
        </is>
      </c>
      <c r="G562" t="n">
        <v>15.8</v>
      </c>
      <c r="H562" t="n">
        <v>0</v>
      </c>
      <c r="I562" t="n">
        <v>0</v>
      </c>
      <c r="J562" t="n">
        <v>0</v>
      </c>
      <c r="K562" t="n">
        <v>0</v>
      </c>
      <c r="L562" t="n">
        <v>0</v>
      </c>
      <c r="M562" t="n">
        <v>0</v>
      </c>
      <c r="N562" t="n">
        <v>0</v>
      </c>
      <c r="O562" t="n">
        <v>0</v>
      </c>
      <c r="P562" t="n">
        <v>0</v>
      </c>
      <c r="Q562" t="n">
        <v>0</v>
      </c>
      <c r="R562" s="2" t="inlineStr"/>
    </row>
    <row r="563" ht="15" customHeight="1">
      <c r="A563" t="inlineStr">
        <is>
          <t>A 14641-2023</t>
        </is>
      </c>
      <c r="B563" s="1" t="n">
        <v>45013</v>
      </c>
      <c r="C563" s="1" t="n">
        <v>46098</v>
      </c>
      <c r="D563" t="inlineStr">
        <is>
          <t>DALARNAS LÄN</t>
        </is>
      </c>
      <c r="E563" t="inlineStr">
        <is>
          <t>MORA</t>
        </is>
      </c>
      <c r="G563" t="n">
        <v>1.5</v>
      </c>
      <c r="H563" t="n">
        <v>0</v>
      </c>
      <c r="I563" t="n">
        <v>0</v>
      </c>
      <c r="J563" t="n">
        <v>0</v>
      </c>
      <c r="K563" t="n">
        <v>0</v>
      </c>
      <c r="L563" t="n">
        <v>0</v>
      </c>
      <c r="M563" t="n">
        <v>0</v>
      </c>
      <c r="N563" t="n">
        <v>0</v>
      </c>
      <c r="O563" t="n">
        <v>0</v>
      </c>
      <c r="P563" t="n">
        <v>0</v>
      </c>
      <c r="Q563" t="n">
        <v>0</v>
      </c>
      <c r="R563" s="2" t="inlineStr"/>
    </row>
    <row r="564" ht="15" customHeight="1">
      <c r="A564" t="inlineStr">
        <is>
          <t>A 5803-2026</t>
        </is>
      </c>
      <c r="B564" s="1" t="n">
        <v>46051</v>
      </c>
      <c r="C564" s="1" t="n">
        <v>46098</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5473-2026</t>
        </is>
      </c>
      <c r="B565" s="1" t="n">
        <v>46050</v>
      </c>
      <c r="C565" s="1" t="n">
        <v>46098</v>
      </c>
      <c r="D565" t="inlineStr">
        <is>
          <t>DALARNAS LÄN</t>
        </is>
      </c>
      <c r="E565" t="inlineStr">
        <is>
          <t>MORA</t>
        </is>
      </c>
      <c r="G565" t="n">
        <v>10.2</v>
      </c>
      <c r="H565" t="n">
        <v>0</v>
      </c>
      <c r="I565" t="n">
        <v>0</v>
      </c>
      <c r="J565" t="n">
        <v>0</v>
      </c>
      <c r="K565" t="n">
        <v>0</v>
      </c>
      <c r="L565" t="n">
        <v>0</v>
      </c>
      <c r="M565" t="n">
        <v>0</v>
      </c>
      <c r="N565" t="n">
        <v>0</v>
      </c>
      <c r="O565" t="n">
        <v>0</v>
      </c>
      <c r="P565" t="n">
        <v>0</v>
      </c>
      <c r="Q565" t="n">
        <v>0</v>
      </c>
      <c r="R565" s="2" t="inlineStr"/>
    </row>
    <row r="566" ht="15" customHeight="1">
      <c r="A566" t="inlineStr">
        <is>
          <t>A 12527-2026</t>
        </is>
      </c>
      <c r="B566" s="1" t="n">
        <v>46090</v>
      </c>
      <c r="C566" s="1" t="n">
        <v>46098</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57408-2024</t>
        </is>
      </c>
      <c r="B567" s="1" t="n">
        <v>45629</v>
      </c>
      <c r="C567" s="1" t="n">
        <v>46098</v>
      </c>
      <c r="D567" t="inlineStr">
        <is>
          <t>DALARNAS LÄN</t>
        </is>
      </c>
      <c r="E567" t="inlineStr">
        <is>
          <t>MORA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1252-2025</t>
        </is>
      </c>
      <c r="B568" s="1" t="n">
        <v>45667.46648148148</v>
      </c>
      <c r="C568" s="1" t="n">
        <v>46098</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9554-2025</t>
        </is>
      </c>
      <c r="B569" s="1" t="n">
        <v>45715.59936342593</v>
      </c>
      <c r="C569" s="1" t="n">
        <v>46098</v>
      </c>
      <c r="D569" t="inlineStr">
        <is>
          <t>DALARNAS LÄN</t>
        </is>
      </c>
      <c r="E569" t="inlineStr">
        <is>
          <t>MORA</t>
        </is>
      </c>
      <c r="G569" t="n">
        <v>0.9</v>
      </c>
      <c r="H569" t="n">
        <v>0</v>
      </c>
      <c r="I569" t="n">
        <v>0</v>
      </c>
      <c r="J569" t="n">
        <v>0</v>
      </c>
      <c r="K569" t="n">
        <v>0</v>
      </c>
      <c r="L569" t="n">
        <v>0</v>
      </c>
      <c r="M569" t="n">
        <v>0</v>
      </c>
      <c r="N569" t="n">
        <v>0</v>
      </c>
      <c r="O569" t="n">
        <v>0</v>
      </c>
      <c r="P569" t="n">
        <v>0</v>
      </c>
      <c r="Q569" t="n">
        <v>0</v>
      </c>
      <c r="R569" s="2" t="inlineStr"/>
    </row>
    <row r="570" ht="15" customHeight="1">
      <c r="A570" t="inlineStr">
        <is>
          <t>A 5709-2026</t>
        </is>
      </c>
      <c r="B570" s="1" t="n">
        <v>46051</v>
      </c>
      <c r="C570" s="1" t="n">
        <v>46098</v>
      </c>
      <c r="D570" t="inlineStr">
        <is>
          <t>DALARNAS LÄN</t>
        </is>
      </c>
      <c r="E570" t="inlineStr">
        <is>
          <t>MORA</t>
        </is>
      </c>
      <c r="G570" t="n">
        <v>2.7</v>
      </c>
      <c r="H570" t="n">
        <v>0</v>
      </c>
      <c r="I570" t="n">
        <v>0</v>
      </c>
      <c r="J570" t="n">
        <v>0</v>
      </c>
      <c r="K570" t="n">
        <v>0</v>
      </c>
      <c r="L570" t="n">
        <v>0</v>
      </c>
      <c r="M570" t="n">
        <v>0</v>
      </c>
      <c r="N570" t="n">
        <v>0</v>
      </c>
      <c r="O570" t="n">
        <v>0</v>
      </c>
      <c r="P570" t="n">
        <v>0</v>
      </c>
      <c r="Q570" t="n">
        <v>0</v>
      </c>
      <c r="R570" s="2" t="inlineStr"/>
    </row>
    <row r="571" ht="15" customHeight="1">
      <c r="A571" t="inlineStr">
        <is>
          <t>A 571-2024</t>
        </is>
      </c>
      <c r="B571" s="1" t="n">
        <v>45299</v>
      </c>
      <c r="C571" s="1" t="n">
        <v>46098</v>
      </c>
      <c r="D571" t="inlineStr">
        <is>
          <t>DALARNAS LÄN</t>
        </is>
      </c>
      <c r="E571" t="inlineStr">
        <is>
          <t>MORA</t>
        </is>
      </c>
      <c r="G571" t="n">
        <v>3.3</v>
      </c>
      <c r="H571" t="n">
        <v>0</v>
      </c>
      <c r="I571" t="n">
        <v>0</v>
      </c>
      <c r="J571" t="n">
        <v>0</v>
      </c>
      <c r="K571" t="n">
        <v>0</v>
      </c>
      <c r="L571" t="n">
        <v>0</v>
      </c>
      <c r="M571" t="n">
        <v>0</v>
      </c>
      <c r="N571" t="n">
        <v>0</v>
      </c>
      <c r="O571" t="n">
        <v>0</v>
      </c>
      <c r="P571" t="n">
        <v>0</v>
      </c>
      <c r="Q571" t="n">
        <v>0</v>
      </c>
      <c r="R571" s="2" t="inlineStr"/>
    </row>
    <row r="572" ht="15" customHeight="1">
      <c r="A572" t="inlineStr">
        <is>
          <t>A 20549-2025</t>
        </is>
      </c>
      <c r="B572" s="1" t="n">
        <v>45775.63459490741</v>
      </c>
      <c r="C572" s="1" t="n">
        <v>46098</v>
      </c>
      <c r="D572" t="inlineStr">
        <is>
          <t>DALARNAS LÄN</t>
        </is>
      </c>
      <c r="E572" t="inlineStr">
        <is>
          <t>MORA</t>
        </is>
      </c>
      <c r="G572" t="n">
        <v>1.6</v>
      </c>
      <c r="H572" t="n">
        <v>0</v>
      </c>
      <c r="I572" t="n">
        <v>0</v>
      </c>
      <c r="J572" t="n">
        <v>0</v>
      </c>
      <c r="K572" t="n">
        <v>0</v>
      </c>
      <c r="L572" t="n">
        <v>0</v>
      </c>
      <c r="M572" t="n">
        <v>0</v>
      </c>
      <c r="N572" t="n">
        <v>0</v>
      </c>
      <c r="O572" t="n">
        <v>0</v>
      </c>
      <c r="P572" t="n">
        <v>0</v>
      </c>
      <c r="Q572" t="n">
        <v>0</v>
      </c>
      <c r="R572" s="2" t="inlineStr"/>
    </row>
    <row r="573" ht="15" customHeight="1">
      <c r="A573" t="inlineStr">
        <is>
          <t>A 1174-2026</t>
        </is>
      </c>
      <c r="B573" s="1" t="n">
        <v>46031</v>
      </c>
      <c r="C573" s="1" t="n">
        <v>46098</v>
      </c>
      <c r="D573" t="inlineStr">
        <is>
          <t>DALARNAS LÄN</t>
        </is>
      </c>
      <c r="E573" t="inlineStr">
        <is>
          <t>MORA</t>
        </is>
      </c>
      <c r="G573" t="n">
        <v>2.8</v>
      </c>
      <c r="H573" t="n">
        <v>0</v>
      </c>
      <c r="I573" t="n">
        <v>0</v>
      </c>
      <c r="J573" t="n">
        <v>0</v>
      </c>
      <c r="K573" t="n">
        <v>0</v>
      </c>
      <c r="L573" t="n">
        <v>0</v>
      </c>
      <c r="M573" t="n">
        <v>0</v>
      </c>
      <c r="N573" t="n">
        <v>0</v>
      </c>
      <c r="O573" t="n">
        <v>0</v>
      </c>
      <c r="P573" t="n">
        <v>0</v>
      </c>
      <c r="Q573" t="n">
        <v>0</v>
      </c>
      <c r="R573" s="2" t="inlineStr"/>
    </row>
    <row r="574" ht="15" customHeight="1">
      <c r="A574" t="inlineStr">
        <is>
          <t>A 12478-2025</t>
        </is>
      </c>
      <c r="B574" s="1" t="n">
        <v>45730.57429398148</v>
      </c>
      <c r="C574" s="1" t="n">
        <v>46098</v>
      </c>
      <c r="D574" t="inlineStr">
        <is>
          <t>DALARNAS LÄN</t>
        </is>
      </c>
      <c r="E574" t="inlineStr">
        <is>
          <t>MORA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13476-2026</t>
        </is>
      </c>
      <c r="B575" s="1" t="n">
        <v>46094.57229166666</v>
      </c>
      <c r="C575" s="1" t="n">
        <v>46098</v>
      </c>
      <c r="D575" t="inlineStr">
        <is>
          <t>DALARNAS LÄN</t>
        </is>
      </c>
      <c r="E575" t="inlineStr">
        <is>
          <t>MORA</t>
        </is>
      </c>
      <c r="F575" t="inlineStr">
        <is>
          <t>Bergvik skog öst AB</t>
        </is>
      </c>
      <c r="G575" t="n">
        <v>11.5</v>
      </c>
      <c r="H575" t="n">
        <v>0</v>
      </c>
      <c r="I575" t="n">
        <v>0</v>
      </c>
      <c r="J575" t="n">
        <v>0</v>
      </c>
      <c r="K575" t="n">
        <v>0</v>
      </c>
      <c r="L575" t="n">
        <v>0</v>
      </c>
      <c r="M575" t="n">
        <v>0</v>
      </c>
      <c r="N575" t="n">
        <v>0</v>
      </c>
      <c r="O575" t="n">
        <v>0</v>
      </c>
      <c r="P575" t="n">
        <v>0</v>
      </c>
      <c r="Q575" t="n">
        <v>0</v>
      </c>
      <c r="R575" s="2" t="inlineStr"/>
    </row>
    <row r="576" ht="15" customHeight="1">
      <c r="A576" t="inlineStr">
        <is>
          <t>A 13483-2026</t>
        </is>
      </c>
      <c r="B576" s="1" t="n">
        <v>46094</v>
      </c>
      <c r="C576" s="1" t="n">
        <v>46098</v>
      </c>
      <c r="D576" t="inlineStr">
        <is>
          <t>DALARNAS LÄN</t>
        </is>
      </c>
      <c r="E576" t="inlineStr">
        <is>
          <t>MORA</t>
        </is>
      </c>
      <c r="G576" t="n">
        <v>4</v>
      </c>
      <c r="H576" t="n">
        <v>0</v>
      </c>
      <c r="I576" t="n">
        <v>0</v>
      </c>
      <c r="J576" t="n">
        <v>0</v>
      </c>
      <c r="K576" t="n">
        <v>0</v>
      </c>
      <c r="L576" t="n">
        <v>0</v>
      </c>
      <c r="M576" t="n">
        <v>0</v>
      </c>
      <c r="N576" t="n">
        <v>0</v>
      </c>
      <c r="O576" t="n">
        <v>0</v>
      </c>
      <c r="P576" t="n">
        <v>0</v>
      </c>
      <c r="Q576" t="n">
        <v>0</v>
      </c>
      <c r="R576" s="2" t="inlineStr"/>
    </row>
    <row r="577" ht="15" customHeight="1">
      <c r="A577" t="inlineStr">
        <is>
          <t>A 53743-2024</t>
        </is>
      </c>
      <c r="B577" s="1" t="n">
        <v>45615.47137731482</v>
      </c>
      <c r="C577" s="1" t="n">
        <v>46098</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11176-2026</t>
        </is>
      </c>
      <c r="B578" s="1" t="n">
        <v>46080</v>
      </c>
      <c r="C578" s="1" t="n">
        <v>46098</v>
      </c>
      <c r="D578" t="inlineStr">
        <is>
          <t>DALARNAS LÄN</t>
        </is>
      </c>
      <c r="E578" t="inlineStr">
        <is>
          <t>MORA</t>
        </is>
      </c>
      <c r="G578" t="n">
        <v>1.3</v>
      </c>
      <c r="H578" t="n">
        <v>0</v>
      </c>
      <c r="I578" t="n">
        <v>0</v>
      </c>
      <c r="J578" t="n">
        <v>0</v>
      </c>
      <c r="K578" t="n">
        <v>0</v>
      </c>
      <c r="L578" t="n">
        <v>0</v>
      </c>
      <c r="M578" t="n">
        <v>0</v>
      </c>
      <c r="N578" t="n">
        <v>0</v>
      </c>
      <c r="O578" t="n">
        <v>0</v>
      </c>
      <c r="P578" t="n">
        <v>0</v>
      </c>
      <c r="Q578" t="n">
        <v>0</v>
      </c>
      <c r="R578" s="2" t="inlineStr"/>
    </row>
    <row r="579" ht="15" customHeight="1">
      <c r="A579" t="inlineStr">
        <is>
          <t>A 5936-2026</t>
        </is>
      </c>
      <c r="B579" s="1" t="n">
        <v>46052.47197916666</v>
      </c>
      <c r="C579" s="1" t="n">
        <v>46098</v>
      </c>
      <c r="D579" t="inlineStr">
        <is>
          <t>DALARNAS LÄN</t>
        </is>
      </c>
      <c r="E579" t="inlineStr">
        <is>
          <t>MORA</t>
        </is>
      </c>
      <c r="G579" t="n">
        <v>11.1</v>
      </c>
      <c r="H579" t="n">
        <v>0</v>
      </c>
      <c r="I579" t="n">
        <v>0</v>
      </c>
      <c r="J579" t="n">
        <v>0</v>
      </c>
      <c r="K579" t="n">
        <v>0</v>
      </c>
      <c r="L579" t="n">
        <v>0</v>
      </c>
      <c r="M579" t="n">
        <v>0</v>
      </c>
      <c r="N579" t="n">
        <v>0</v>
      </c>
      <c r="O579" t="n">
        <v>0</v>
      </c>
      <c r="P579" t="n">
        <v>0</v>
      </c>
      <c r="Q579" t="n">
        <v>0</v>
      </c>
      <c r="R579" s="2" t="inlineStr"/>
    </row>
    <row r="580" ht="15" customHeight="1">
      <c r="A580" t="inlineStr">
        <is>
          <t>A 11452-2026</t>
        </is>
      </c>
      <c r="B580" s="1" t="n">
        <v>46083</v>
      </c>
      <c r="C580" s="1" t="n">
        <v>46098</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5959-2026</t>
        </is>
      </c>
      <c r="B581" s="1" t="n">
        <v>46052.50533564815</v>
      </c>
      <c r="C581" s="1" t="n">
        <v>46098</v>
      </c>
      <c r="D581" t="inlineStr">
        <is>
          <t>DALARNAS LÄN</t>
        </is>
      </c>
      <c r="E581" t="inlineStr">
        <is>
          <t>MORA</t>
        </is>
      </c>
      <c r="G581" t="n">
        <v>9.5</v>
      </c>
      <c r="H581" t="n">
        <v>0</v>
      </c>
      <c r="I581" t="n">
        <v>0</v>
      </c>
      <c r="J581" t="n">
        <v>0</v>
      </c>
      <c r="K581" t="n">
        <v>0</v>
      </c>
      <c r="L581" t="n">
        <v>0</v>
      </c>
      <c r="M581" t="n">
        <v>0</v>
      </c>
      <c r="N581" t="n">
        <v>0</v>
      </c>
      <c r="O581" t="n">
        <v>0</v>
      </c>
      <c r="P581" t="n">
        <v>0</v>
      </c>
      <c r="Q581" t="n">
        <v>0</v>
      </c>
      <c r="R581" s="2" t="inlineStr"/>
    </row>
    <row r="582" ht="15" customHeight="1">
      <c r="A582" t="inlineStr">
        <is>
          <t>A 13515-2026</t>
        </is>
      </c>
      <c r="B582" s="1" t="n">
        <v>46094.61391203704</v>
      </c>
      <c r="C582" s="1" t="n">
        <v>46098</v>
      </c>
      <c r="D582" t="inlineStr">
        <is>
          <t>DALARNAS LÄN</t>
        </is>
      </c>
      <c r="E582" t="inlineStr">
        <is>
          <t>MORA</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18806-2025</t>
        </is>
      </c>
      <c r="B583" s="1" t="n">
        <v>45764.35269675926</v>
      </c>
      <c r="C583" s="1" t="n">
        <v>46098</v>
      </c>
      <c r="D583" t="inlineStr">
        <is>
          <t>DALARNAS LÄN</t>
        </is>
      </c>
      <c r="E583" t="inlineStr">
        <is>
          <t>MORA</t>
        </is>
      </c>
      <c r="G583" t="n">
        <v>1.7</v>
      </c>
      <c r="H583" t="n">
        <v>0</v>
      </c>
      <c r="I583" t="n">
        <v>0</v>
      </c>
      <c r="J583" t="n">
        <v>0</v>
      </c>
      <c r="K583" t="n">
        <v>0</v>
      </c>
      <c r="L583" t="n">
        <v>0</v>
      </c>
      <c r="M583" t="n">
        <v>0</v>
      </c>
      <c r="N583" t="n">
        <v>0</v>
      </c>
      <c r="O583" t="n">
        <v>0</v>
      </c>
      <c r="P583" t="n">
        <v>0</v>
      </c>
      <c r="Q583" t="n">
        <v>0</v>
      </c>
      <c r="R583" s="2" t="inlineStr"/>
    </row>
    <row r="584" ht="15" customHeight="1">
      <c r="A584" t="inlineStr">
        <is>
          <t>A 6182-2026</t>
        </is>
      </c>
      <c r="B584" s="1" t="n">
        <v>46055.36231481482</v>
      </c>
      <c r="C584" s="1" t="n">
        <v>46098</v>
      </c>
      <c r="D584" t="inlineStr">
        <is>
          <t>DALARNAS LÄN</t>
        </is>
      </c>
      <c r="E584" t="inlineStr">
        <is>
          <t>MORA</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5836-2026</t>
        </is>
      </c>
      <c r="B585" s="1" t="n">
        <v>46052.33809027778</v>
      </c>
      <c r="C585" s="1" t="n">
        <v>46098</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54628-2024</t>
        </is>
      </c>
      <c r="B586" s="1" t="n">
        <v>45617.83969907407</v>
      </c>
      <c r="C586" s="1" t="n">
        <v>46098</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13543-2026</t>
        </is>
      </c>
      <c r="B587" s="1" t="n">
        <v>46094.6853125</v>
      </c>
      <c r="C587" s="1" t="n">
        <v>46098</v>
      </c>
      <c r="D587" t="inlineStr">
        <is>
          <t>DALARNAS LÄN</t>
        </is>
      </c>
      <c r="E587" t="inlineStr">
        <is>
          <t>MORA</t>
        </is>
      </c>
      <c r="G587" t="n">
        <v>1.3</v>
      </c>
      <c r="H587" t="n">
        <v>0</v>
      </c>
      <c r="I587" t="n">
        <v>0</v>
      </c>
      <c r="J587" t="n">
        <v>0</v>
      </c>
      <c r="K587" t="n">
        <v>0</v>
      </c>
      <c r="L587" t="n">
        <v>0</v>
      </c>
      <c r="M587" t="n">
        <v>0</v>
      </c>
      <c r="N587" t="n">
        <v>0</v>
      </c>
      <c r="O587" t="n">
        <v>0</v>
      </c>
      <c r="P587" t="n">
        <v>0</v>
      </c>
      <c r="Q587" t="n">
        <v>0</v>
      </c>
      <c r="R587" s="2" t="inlineStr"/>
    </row>
    <row r="588" ht="15" customHeight="1">
      <c r="A588" t="inlineStr">
        <is>
          <t>A 12664-2026</t>
        </is>
      </c>
      <c r="B588" s="1" t="n">
        <v>46091</v>
      </c>
      <c r="C588" s="1" t="n">
        <v>46098</v>
      </c>
      <c r="D588" t="inlineStr">
        <is>
          <t>DALARNAS LÄN</t>
        </is>
      </c>
      <c r="E588" t="inlineStr">
        <is>
          <t>MORA</t>
        </is>
      </c>
      <c r="G588" t="n">
        <v>0.8</v>
      </c>
      <c r="H588" t="n">
        <v>0</v>
      </c>
      <c r="I588" t="n">
        <v>0</v>
      </c>
      <c r="J588" t="n">
        <v>0</v>
      </c>
      <c r="K588" t="n">
        <v>0</v>
      </c>
      <c r="L588" t="n">
        <v>0</v>
      </c>
      <c r="M588" t="n">
        <v>0</v>
      </c>
      <c r="N588" t="n">
        <v>0</v>
      </c>
      <c r="O588" t="n">
        <v>0</v>
      </c>
      <c r="P588" t="n">
        <v>0</v>
      </c>
      <c r="Q588" t="n">
        <v>0</v>
      </c>
      <c r="R588" s="2" t="inlineStr"/>
    </row>
    <row r="589" ht="15" customHeight="1">
      <c r="A589" t="inlineStr">
        <is>
          <t>A 59448-2022</t>
        </is>
      </c>
      <c r="B589" s="1" t="n">
        <v>44907</v>
      </c>
      <c r="C589" s="1" t="n">
        <v>46098</v>
      </c>
      <c r="D589" t="inlineStr">
        <is>
          <t>DALARNAS LÄN</t>
        </is>
      </c>
      <c r="E589" t="inlineStr">
        <is>
          <t>MORA</t>
        </is>
      </c>
      <c r="G589" t="n">
        <v>35.7</v>
      </c>
      <c r="H589" t="n">
        <v>0</v>
      </c>
      <c r="I589" t="n">
        <v>0</v>
      </c>
      <c r="J589" t="n">
        <v>0</v>
      </c>
      <c r="K589" t="n">
        <v>0</v>
      </c>
      <c r="L589" t="n">
        <v>0</v>
      </c>
      <c r="M589" t="n">
        <v>0</v>
      </c>
      <c r="N589" t="n">
        <v>0</v>
      </c>
      <c r="O589" t="n">
        <v>0</v>
      </c>
      <c r="P589" t="n">
        <v>0</v>
      </c>
      <c r="Q589" t="n">
        <v>0</v>
      </c>
      <c r="R589" s="2" t="inlineStr"/>
    </row>
    <row r="590" ht="15" customHeight="1">
      <c r="A590" t="inlineStr">
        <is>
          <t>A 57319-2023</t>
        </is>
      </c>
      <c r="B590" s="1" t="n">
        <v>45245.64877314815</v>
      </c>
      <c r="C590" s="1" t="n">
        <v>46098</v>
      </c>
      <c r="D590" t="inlineStr">
        <is>
          <t>DALARNAS LÄN</t>
        </is>
      </c>
      <c r="E590" t="inlineStr">
        <is>
          <t>MORA</t>
        </is>
      </c>
      <c r="G590" t="n">
        <v>2</v>
      </c>
      <c r="H590" t="n">
        <v>0</v>
      </c>
      <c r="I590" t="n">
        <v>0</v>
      </c>
      <c r="J590" t="n">
        <v>0</v>
      </c>
      <c r="K590" t="n">
        <v>0</v>
      </c>
      <c r="L590" t="n">
        <v>0</v>
      </c>
      <c r="M590" t="n">
        <v>0</v>
      </c>
      <c r="N590" t="n">
        <v>0</v>
      </c>
      <c r="O590" t="n">
        <v>0</v>
      </c>
      <c r="P590" t="n">
        <v>0</v>
      </c>
      <c r="Q590" t="n">
        <v>0</v>
      </c>
      <c r="R590" s="2" t="inlineStr"/>
    </row>
    <row r="591" ht="15" customHeight="1">
      <c r="A591" t="inlineStr">
        <is>
          <t>A 43498-2023</t>
        </is>
      </c>
      <c r="B591" s="1" t="n">
        <v>45184</v>
      </c>
      <c r="C591" s="1" t="n">
        <v>46098</v>
      </c>
      <c r="D591" t="inlineStr">
        <is>
          <t>DALARNAS LÄN</t>
        </is>
      </c>
      <c r="E591" t="inlineStr">
        <is>
          <t>MORA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32261-2022</t>
        </is>
      </c>
      <c r="B592" s="1" t="n">
        <v>44781.5350925926</v>
      </c>
      <c r="C592" s="1" t="n">
        <v>46098</v>
      </c>
      <c r="D592" t="inlineStr">
        <is>
          <t>DALARNAS LÄN</t>
        </is>
      </c>
      <c r="E592" t="inlineStr">
        <is>
          <t>MORA</t>
        </is>
      </c>
      <c r="G592" t="n">
        <v>2.7</v>
      </c>
      <c r="H592" t="n">
        <v>0</v>
      </c>
      <c r="I592" t="n">
        <v>0</v>
      </c>
      <c r="J592" t="n">
        <v>0</v>
      </c>
      <c r="K592" t="n">
        <v>0</v>
      </c>
      <c r="L592" t="n">
        <v>0</v>
      </c>
      <c r="M592" t="n">
        <v>0</v>
      </c>
      <c r="N592" t="n">
        <v>0</v>
      </c>
      <c r="O592" t="n">
        <v>0</v>
      </c>
      <c r="P592" t="n">
        <v>0</v>
      </c>
      <c r="Q592" t="n">
        <v>0</v>
      </c>
      <c r="R592" s="2" t="inlineStr"/>
    </row>
    <row r="593" ht="15" customHeight="1">
      <c r="A593" t="inlineStr">
        <is>
          <t>A 35381-2024</t>
        </is>
      </c>
      <c r="B593" s="1" t="n">
        <v>45531.38372685185</v>
      </c>
      <c r="C593" s="1" t="n">
        <v>46098</v>
      </c>
      <c r="D593" t="inlineStr">
        <is>
          <t>DALARNAS LÄN</t>
        </is>
      </c>
      <c r="E593" t="inlineStr">
        <is>
          <t>MORA</t>
        </is>
      </c>
      <c r="G593" t="n">
        <v>3.7</v>
      </c>
      <c r="H593" t="n">
        <v>0</v>
      </c>
      <c r="I593" t="n">
        <v>0</v>
      </c>
      <c r="J593" t="n">
        <v>0</v>
      </c>
      <c r="K593" t="n">
        <v>0</v>
      </c>
      <c r="L593" t="n">
        <v>0</v>
      </c>
      <c r="M593" t="n">
        <v>0</v>
      </c>
      <c r="N593" t="n">
        <v>0</v>
      </c>
      <c r="O593" t="n">
        <v>0</v>
      </c>
      <c r="P593" t="n">
        <v>0</v>
      </c>
      <c r="Q593" t="n">
        <v>0</v>
      </c>
      <c r="R593" s="2" t="inlineStr"/>
    </row>
    <row r="594" ht="15" customHeight="1">
      <c r="A594" t="inlineStr">
        <is>
          <t>A 13479-2024</t>
        </is>
      </c>
      <c r="B594" s="1" t="n">
        <v>45387.5900925926</v>
      </c>
      <c r="C594" s="1" t="n">
        <v>46098</v>
      </c>
      <c r="D594" t="inlineStr">
        <is>
          <t>DALARNAS LÄN</t>
        </is>
      </c>
      <c r="E594" t="inlineStr">
        <is>
          <t>MORA</t>
        </is>
      </c>
      <c r="G594" t="n">
        <v>1.4</v>
      </c>
      <c r="H594" t="n">
        <v>0</v>
      </c>
      <c r="I594" t="n">
        <v>0</v>
      </c>
      <c r="J594" t="n">
        <v>0</v>
      </c>
      <c r="K594" t="n">
        <v>0</v>
      </c>
      <c r="L594" t="n">
        <v>0</v>
      </c>
      <c r="M594" t="n">
        <v>0</v>
      </c>
      <c r="N594" t="n">
        <v>0</v>
      </c>
      <c r="O594" t="n">
        <v>0</v>
      </c>
      <c r="P594" t="n">
        <v>0</v>
      </c>
      <c r="Q594" t="n">
        <v>0</v>
      </c>
      <c r="R594" s="2" t="inlineStr"/>
    </row>
    <row r="595" ht="15" customHeight="1">
      <c r="A595" t="inlineStr">
        <is>
          <t>A 20299-2023</t>
        </is>
      </c>
      <c r="B595" s="1" t="n">
        <v>45056</v>
      </c>
      <c r="C595" s="1" t="n">
        <v>46098</v>
      </c>
      <c r="D595" t="inlineStr">
        <is>
          <t>DALARNAS LÄN</t>
        </is>
      </c>
      <c r="E595" t="inlineStr">
        <is>
          <t>MORA</t>
        </is>
      </c>
      <c r="G595" t="n">
        <v>1.2</v>
      </c>
      <c r="H595" t="n">
        <v>0</v>
      </c>
      <c r="I595" t="n">
        <v>0</v>
      </c>
      <c r="J595" t="n">
        <v>0</v>
      </c>
      <c r="K595" t="n">
        <v>0</v>
      </c>
      <c r="L595" t="n">
        <v>0</v>
      </c>
      <c r="M595" t="n">
        <v>0</v>
      </c>
      <c r="N595" t="n">
        <v>0</v>
      </c>
      <c r="O595" t="n">
        <v>0</v>
      </c>
      <c r="P595" t="n">
        <v>0</v>
      </c>
      <c r="Q595" t="n">
        <v>0</v>
      </c>
      <c r="R595" s="2" t="inlineStr"/>
    </row>
    <row r="596" ht="15" customHeight="1">
      <c r="A596" t="inlineStr">
        <is>
          <t>A 28487-2024</t>
        </is>
      </c>
      <c r="B596" s="1" t="n">
        <v>45477.75744212963</v>
      </c>
      <c r="C596" s="1" t="n">
        <v>46098</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23586-2023</t>
        </is>
      </c>
      <c r="B597" s="1" t="n">
        <v>45077</v>
      </c>
      <c r="C597" s="1" t="n">
        <v>46098</v>
      </c>
      <c r="D597" t="inlineStr">
        <is>
          <t>DALARNAS LÄN</t>
        </is>
      </c>
      <c r="E597" t="inlineStr">
        <is>
          <t>MORA</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58972-2023</t>
        </is>
      </c>
      <c r="B598" s="1" t="n">
        <v>45252</v>
      </c>
      <c r="C598" s="1" t="n">
        <v>46098</v>
      </c>
      <c r="D598" t="inlineStr">
        <is>
          <t>DALARNAS LÄN</t>
        </is>
      </c>
      <c r="E598" t="inlineStr">
        <is>
          <t>MORA</t>
        </is>
      </c>
      <c r="G598" t="n">
        <v>0.5</v>
      </c>
      <c r="H598" t="n">
        <v>0</v>
      </c>
      <c r="I598" t="n">
        <v>0</v>
      </c>
      <c r="J598" t="n">
        <v>0</v>
      </c>
      <c r="K598" t="n">
        <v>0</v>
      </c>
      <c r="L598" t="n">
        <v>0</v>
      </c>
      <c r="M598" t="n">
        <v>0</v>
      </c>
      <c r="N598" t="n">
        <v>0</v>
      </c>
      <c r="O598" t="n">
        <v>0</v>
      </c>
      <c r="P598" t="n">
        <v>0</v>
      </c>
      <c r="Q598" t="n">
        <v>0</v>
      </c>
      <c r="R598" s="2" t="inlineStr"/>
    </row>
    <row r="599" ht="15" customHeight="1">
      <c r="A599" t="inlineStr">
        <is>
          <t>A 46188-2022</t>
        </is>
      </c>
      <c r="B599" s="1" t="n">
        <v>44847.518125</v>
      </c>
      <c r="C599" s="1" t="n">
        <v>46098</v>
      </c>
      <c r="D599" t="inlineStr">
        <is>
          <t>DALARNAS LÄN</t>
        </is>
      </c>
      <c r="E599" t="inlineStr">
        <is>
          <t>MORA</t>
        </is>
      </c>
      <c r="G599" t="n">
        <v>1.8</v>
      </c>
      <c r="H599" t="n">
        <v>0</v>
      </c>
      <c r="I599" t="n">
        <v>0</v>
      </c>
      <c r="J599" t="n">
        <v>0</v>
      </c>
      <c r="K599" t="n">
        <v>0</v>
      </c>
      <c r="L599" t="n">
        <v>0</v>
      </c>
      <c r="M599" t="n">
        <v>0</v>
      </c>
      <c r="N599" t="n">
        <v>0</v>
      </c>
      <c r="O599" t="n">
        <v>0</v>
      </c>
      <c r="P599" t="n">
        <v>0</v>
      </c>
      <c r="Q599" t="n">
        <v>0</v>
      </c>
      <c r="R599" s="2" t="inlineStr"/>
    </row>
    <row r="600" ht="15" customHeight="1">
      <c r="A600" t="inlineStr">
        <is>
          <t>A 42035-2022</t>
        </is>
      </c>
      <c r="B600" s="1" t="n">
        <v>44830</v>
      </c>
      <c r="C600" s="1" t="n">
        <v>46098</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15817-2024</t>
        </is>
      </c>
      <c r="B601" s="1" t="n">
        <v>45404.67387731482</v>
      </c>
      <c r="C601" s="1" t="n">
        <v>46098</v>
      </c>
      <c r="D601" t="inlineStr">
        <is>
          <t>DALARNAS LÄN</t>
        </is>
      </c>
      <c r="E601" t="inlineStr">
        <is>
          <t>MORA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58116-2022</t>
        </is>
      </c>
      <c r="B602" s="1" t="n">
        <v>44900.65716435185</v>
      </c>
      <c r="C602" s="1" t="n">
        <v>46098</v>
      </c>
      <c r="D602" t="inlineStr">
        <is>
          <t>DALARNAS LÄN</t>
        </is>
      </c>
      <c r="E602" t="inlineStr">
        <is>
          <t>MORA</t>
        </is>
      </c>
      <c r="G602" t="n">
        <v>2.9</v>
      </c>
      <c r="H602" t="n">
        <v>0</v>
      </c>
      <c r="I602" t="n">
        <v>0</v>
      </c>
      <c r="J602" t="n">
        <v>0</v>
      </c>
      <c r="K602" t="n">
        <v>0</v>
      </c>
      <c r="L602" t="n">
        <v>0</v>
      </c>
      <c r="M602" t="n">
        <v>0</v>
      </c>
      <c r="N602" t="n">
        <v>0</v>
      </c>
      <c r="O602" t="n">
        <v>0</v>
      </c>
      <c r="P602" t="n">
        <v>0</v>
      </c>
      <c r="Q602" t="n">
        <v>0</v>
      </c>
      <c r="R602" s="2" t="inlineStr"/>
    </row>
    <row r="603" ht="15" customHeight="1">
      <c r="A603" t="inlineStr">
        <is>
          <t>A 18992-2024</t>
        </is>
      </c>
      <c r="B603" s="1" t="n">
        <v>45427.61516203704</v>
      </c>
      <c r="C603" s="1" t="n">
        <v>46098</v>
      </c>
      <c r="D603" t="inlineStr">
        <is>
          <t>DALARNAS LÄN</t>
        </is>
      </c>
      <c r="E603" t="inlineStr">
        <is>
          <t>MORA</t>
        </is>
      </c>
      <c r="G603" t="n">
        <v>9.9</v>
      </c>
      <c r="H603" t="n">
        <v>0</v>
      </c>
      <c r="I603" t="n">
        <v>0</v>
      </c>
      <c r="J603" t="n">
        <v>0</v>
      </c>
      <c r="K603" t="n">
        <v>0</v>
      </c>
      <c r="L603" t="n">
        <v>0</v>
      </c>
      <c r="M603" t="n">
        <v>0</v>
      </c>
      <c r="N603" t="n">
        <v>0</v>
      </c>
      <c r="O603" t="n">
        <v>0</v>
      </c>
      <c r="P603" t="n">
        <v>0</v>
      </c>
      <c r="Q603" t="n">
        <v>0</v>
      </c>
      <c r="R603" s="2" t="inlineStr"/>
    </row>
    <row r="604" ht="15" customHeight="1">
      <c r="A604" t="inlineStr">
        <is>
          <t>A 60647-2022</t>
        </is>
      </c>
      <c r="B604" s="1" t="n">
        <v>44911</v>
      </c>
      <c r="C604" s="1" t="n">
        <v>46098</v>
      </c>
      <c r="D604" t="inlineStr">
        <is>
          <t>DALARNAS LÄN</t>
        </is>
      </c>
      <c r="E604" t="inlineStr">
        <is>
          <t>MORA</t>
        </is>
      </c>
      <c r="G604" t="n">
        <v>4.8</v>
      </c>
      <c r="H604" t="n">
        <v>0</v>
      </c>
      <c r="I604" t="n">
        <v>0</v>
      </c>
      <c r="J604" t="n">
        <v>0</v>
      </c>
      <c r="K604" t="n">
        <v>0</v>
      </c>
      <c r="L604" t="n">
        <v>0</v>
      </c>
      <c r="M604" t="n">
        <v>0</v>
      </c>
      <c r="N604" t="n">
        <v>0</v>
      </c>
      <c r="O604" t="n">
        <v>0</v>
      </c>
      <c r="P604" t="n">
        <v>0</v>
      </c>
      <c r="Q604" t="n">
        <v>0</v>
      </c>
      <c r="R604" s="2" t="inlineStr"/>
    </row>
    <row r="605" ht="15" customHeight="1">
      <c r="A605" t="inlineStr">
        <is>
          <t>A 56460-2022</t>
        </is>
      </c>
      <c r="B605" s="1" t="n">
        <v>44893</v>
      </c>
      <c r="C605" s="1" t="n">
        <v>46098</v>
      </c>
      <c r="D605" t="inlineStr">
        <is>
          <t>DALARNAS LÄN</t>
        </is>
      </c>
      <c r="E605" t="inlineStr">
        <is>
          <t>MORA</t>
        </is>
      </c>
      <c r="G605" t="n">
        <v>2.2</v>
      </c>
      <c r="H605" t="n">
        <v>0</v>
      </c>
      <c r="I605" t="n">
        <v>0</v>
      </c>
      <c r="J605" t="n">
        <v>0</v>
      </c>
      <c r="K605" t="n">
        <v>0</v>
      </c>
      <c r="L605" t="n">
        <v>0</v>
      </c>
      <c r="M605" t="n">
        <v>0</v>
      </c>
      <c r="N605" t="n">
        <v>0</v>
      </c>
      <c r="O605" t="n">
        <v>0</v>
      </c>
      <c r="P605" t="n">
        <v>0</v>
      </c>
      <c r="Q605" t="n">
        <v>0</v>
      </c>
      <c r="R605" s="2" t="inlineStr"/>
    </row>
    <row r="606" ht="15" customHeight="1">
      <c r="A606" t="inlineStr">
        <is>
          <t>A 437-2024</t>
        </is>
      </c>
      <c r="B606" s="1" t="n">
        <v>45296</v>
      </c>
      <c r="C606" s="1" t="n">
        <v>46098</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31395-2024</t>
        </is>
      </c>
      <c r="B607" s="1" t="n">
        <v>45505.47716435185</v>
      </c>
      <c r="C607" s="1" t="n">
        <v>46098</v>
      </c>
      <c r="D607" t="inlineStr">
        <is>
          <t>DALARNAS LÄN</t>
        </is>
      </c>
      <c r="E607" t="inlineStr">
        <is>
          <t>MORA</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60847-2021</t>
        </is>
      </c>
      <c r="B608" s="1" t="n">
        <v>44497</v>
      </c>
      <c r="C608" s="1" t="n">
        <v>46098</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15435-2024</t>
        </is>
      </c>
      <c r="B609" s="1" t="n">
        <v>45401.40806712963</v>
      </c>
      <c r="C609" s="1" t="n">
        <v>46098</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31085-2024</t>
        </is>
      </c>
      <c r="B610" s="1" t="n">
        <v>45502.48047453703</v>
      </c>
      <c r="C610" s="1" t="n">
        <v>46098</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43863-2023</t>
        </is>
      </c>
      <c r="B611" s="1" t="n">
        <v>45187.62532407408</v>
      </c>
      <c r="C611" s="1" t="n">
        <v>46098</v>
      </c>
      <c r="D611" t="inlineStr">
        <is>
          <t>DALARNAS LÄN</t>
        </is>
      </c>
      <c r="E611" t="inlineStr">
        <is>
          <t>MORA</t>
        </is>
      </c>
      <c r="F611" t="inlineStr">
        <is>
          <t>Bergvik skog väst AB</t>
        </is>
      </c>
      <c r="G611" t="n">
        <v>3.9</v>
      </c>
      <c r="H611" t="n">
        <v>0</v>
      </c>
      <c r="I611" t="n">
        <v>0</v>
      </c>
      <c r="J611" t="n">
        <v>0</v>
      </c>
      <c r="K611" t="n">
        <v>0</v>
      </c>
      <c r="L611" t="n">
        <v>0</v>
      </c>
      <c r="M611" t="n">
        <v>0</v>
      </c>
      <c r="N611" t="n">
        <v>0</v>
      </c>
      <c r="O611" t="n">
        <v>0</v>
      </c>
      <c r="P611" t="n">
        <v>0</v>
      </c>
      <c r="Q611" t="n">
        <v>0</v>
      </c>
      <c r="R611" s="2" t="inlineStr"/>
    </row>
    <row r="612" ht="15" customHeight="1">
      <c r="A612" t="inlineStr">
        <is>
          <t>A 60051-2022</t>
        </is>
      </c>
      <c r="B612" s="1" t="n">
        <v>44909.52385416667</v>
      </c>
      <c r="C612" s="1" t="n">
        <v>46098</v>
      </c>
      <c r="D612" t="inlineStr">
        <is>
          <t>DALARNAS LÄN</t>
        </is>
      </c>
      <c r="E612" t="inlineStr">
        <is>
          <t>MORA</t>
        </is>
      </c>
      <c r="G612" t="n">
        <v>0.9</v>
      </c>
      <c r="H612" t="n">
        <v>0</v>
      </c>
      <c r="I612" t="n">
        <v>0</v>
      </c>
      <c r="J612" t="n">
        <v>0</v>
      </c>
      <c r="K612" t="n">
        <v>0</v>
      </c>
      <c r="L612" t="n">
        <v>0</v>
      </c>
      <c r="M612" t="n">
        <v>0</v>
      </c>
      <c r="N612" t="n">
        <v>0</v>
      </c>
      <c r="O612" t="n">
        <v>0</v>
      </c>
      <c r="P612" t="n">
        <v>0</v>
      </c>
      <c r="Q612" t="n">
        <v>0</v>
      </c>
      <c r="R612" s="2" t="inlineStr"/>
    </row>
    <row r="613" ht="15" customHeight="1">
      <c r="A613" t="inlineStr">
        <is>
          <t>A 13262-2022</t>
        </is>
      </c>
      <c r="B613" s="1" t="n">
        <v>44644.70184027778</v>
      </c>
      <c r="C613" s="1" t="n">
        <v>46098</v>
      </c>
      <c r="D613" t="inlineStr">
        <is>
          <t>DALARNAS LÄN</t>
        </is>
      </c>
      <c r="E613" t="inlineStr">
        <is>
          <t>MORA</t>
        </is>
      </c>
      <c r="G613" t="n">
        <v>0.8</v>
      </c>
      <c r="H613" t="n">
        <v>0</v>
      </c>
      <c r="I613" t="n">
        <v>0</v>
      </c>
      <c r="J613" t="n">
        <v>0</v>
      </c>
      <c r="K613" t="n">
        <v>0</v>
      </c>
      <c r="L613" t="n">
        <v>0</v>
      </c>
      <c r="M613" t="n">
        <v>0</v>
      </c>
      <c r="N613" t="n">
        <v>0</v>
      </c>
      <c r="O613" t="n">
        <v>0</v>
      </c>
      <c r="P613" t="n">
        <v>0</v>
      </c>
      <c r="Q613" t="n">
        <v>0</v>
      </c>
      <c r="R613" s="2" t="inlineStr"/>
    </row>
    <row r="614" ht="15" customHeight="1">
      <c r="A614" t="inlineStr">
        <is>
          <t>A 56767-2023</t>
        </is>
      </c>
      <c r="B614" s="1" t="n">
        <v>45244</v>
      </c>
      <c r="C614" s="1" t="n">
        <v>46098</v>
      </c>
      <c r="D614" t="inlineStr">
        <is>
          <t>DALARNAS LÄN</t>
        </is>
      </c>
      <c r="E614" t="inlineStr">
        <is>
          <t>MORA</t>
        </is>
      </c>
      <c r="G614" t="n">
        <v>1.2</v>
      </c>
      <c r="H614" t="n">
        <v>0</v>
      </c>
      <c r="I614" t="n">
        <v>0</v>
      </c>
      <c r="J614" t="n">
        <v>0</v>
      </c>
      <c r="K614" t="n">
        <v>0</v>
      </c>
      <c r="L614" t="n">
        <v>0</v>
      </c>
      <c r="M614" t="n">
        <v>0</v>
      </c>
      <c r="N614" t="n">
        <v>0</v>
      </c>
      <c r="O614" t="n">
        <v>0</v>
      </c>
      <c r="P614" t="n">
        <v>0</v>
      </c>
      <c r="Q614" t="n">
        <v>0</v>
      </c>
      <c r="R614" s="2" t="inlineStr"/>
    </row>
    <row r="615" ht="15" customHeight="1">
      <c r="A615" t="inlineStr">
        <is>
          <t>A 50056-2022</t>
        </is>
      </c>
      <c r="B615" s="1" t="n">
        <v>44865</v>
      </c>
      <c r="C615" s="1" t="n">
        <v>46098</v>
      </c>
      <c r="D615" t="inlineStr">
        <is>
          <t>DALARNAS LÄN</t>
        </is>
      </c>
      <c r="E615" t="inlineStr">
        <is>
          <t>MORA</t>
        </is>
      </c>
      <c r="G615" t="n">
        <v>1.2</v>
      </c>
      <c r="H615" t="n">
        <v>0</v>
      </c>
      <c r="I615" t="n">
        <v>0</v>
      </c>
      <c r="J615" t="n">
        <v>0</v>
      </c>
      <c r="K615" t="n">
        <v>0</v>
      </c>
      <c r="L615" t="n">
        <v>0</v>
      </c>
      <c r="M615" t="n">
        <v>0</v>
      </c>
      <c r="N615" t="n">
        <v>0</v>
      </c>
      <c r="O615" t="n">
        <v>0</v>
      </c>
      <c r="P615" t="n">
        <v>0</v>
      </c>
      <c r="Q615" t="n">
        <v>0</v>
      </c>
      <c r="R615" s="2" t="inlineStr"/>
    </row>
    <row r="616" ht="15" customHeight="1">
      <c r="A616" t="inlineStr">
        <is>
          <t>A 15499-2024</t>
        </is>
      </c>
      <c r="B616" s="1" t="n">
        <v>45401.53798611111</v>
      </c>
      <c r="C616" s="1" t="n">
        <v>46098</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15643-2025</t>
        </is>
      </c>
      <c r="B617" s="1" t="n">
        <v>45748.39222222222</v>
      </c>
      <c r="C617" s="1" t="n">
        <v>46098</v>
      </c>
      <c r="D617" t="inlineStr">
        <is>
          <t>DALARNAS LÄN</t>
        </is>
      </c>
      <c r="E617" t="inlineStr">
        <is>
          <t>MORA</t>
        </is>
      </c>
      <c r="G617" t="n">
        <v>7.6</v>
      </c>
      <c r="H617" t="n">
        <v>0</v>
      </c>
      <c r="I617" t="n">
        <v>0</v>
      </c>
      <c r="J617" t="n">
        <v>0</v>
      </c>
      <c r="K617" t="n">
        <v>0</v>
      </c>
      <c r="L617" t="n">
        <v>0</v>
      </c>
      <c r="M617" t="n">
        <v>0</v>
      </c>
      <c r="N617" t="n">
        <v>0</v>
      </c>
      <c r="O617" t="n">
        <v>0</v>
      </c>
      <c r="P617" t="n">
        <v>0</v>
      </c>
      <c r="Q617" t="n">
        <v>0</v>
      </c>
      <c r="R617" s="2" t="inlineStr"/>
    </row>
    <row r="618" ht="15" customHeight="1">
      <c r="A618" t="inlineStr">
        <is>
          <t>A 46755-2023</t>
        </is>
      </c>
      <c r="B618" s="1" t="n">
        <v>45198.61314814815</v>
      </c>
      <c r="C618" s="1" t="n">
        <v>46098</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18122-2025</t>
        </is>
      </c>
      <c r="B619" s="1" t="n">
        <v>45761.59221064814</v>
      </c>
      <c r="C619" s="1" t="n">
        <v>46098</v>
      </c>
      <c r="D619" t="inlineStr">
        <is>
          <t>DALARNAS LÄN</t>
        </is>
      </c>
      <c r="E619" t="inlineStr">
        <is>
          <t>MORA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44817-2023</t>
        </is>
      </c>
      <c r="B620" s="1" t="n">
        <v>45190.51887731482</v>
      </c>
      <c r="C620" s="1" t="n">
        <v>46098</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39511-2024</t>
        </is>
      </c>
      <c r="B621" s="1" t="n">
        <v>45551.68347222222</v>
      </c>
      <c r="C621" s="1" t="n">
        <v>46098</v>
      </c>
      <c r="D621" t="inlineStr">
        <is>
          <t>DALARNAS LÄN</t>
        </is>
      </c>
      <c r="E621" t="inlineStr">
        <is>
          <t>MORA</t>
        </is>
      </c>
      <c r="G621" t="n">
        <v>1.2</v>
      </c>
      <c r="H621" t="n">
        <v>0</v>
      </c>
      <c r="I621" t="n">
        <v>0</v>
      </c>
      <c r="J621" t="n">
        <v>0</v>
      </c>
      <c r="K621" t="n">
        <v>0</v>
      </c>
      <c r="L621" t="n">
        <v>0</v>
      </c>
      <c r="M621" t="n">
        <v>0</v>
      </c>
      <c r="N621" t="n">
        <v>0</v>
      </c>
      <c r="O621" t="n">
        <v>0</v>
      </c>
      <c r="P621" t="n">
        <v>0</v>
      </c>
      <c r="Q621" t="n">
        <v>0</v>
      </c>
      <c r="R621" s="2" t="inlineStr"/>
    </row>
    <row r="622" ht="15" customHeight="1">
      <c r="A622" t="inlineStr">
        <is>
          <t>A 57797-2022</t>
        </is>
      </c>
      <c r="B622" s="1" t="n">
        <v>44897</v>
      </c>
      <c r="C622" s="1" t="n">
        <v>46098</v>
      </c>
      <c r="D622" t="inlineStr">
        <is>
          <t>DALARNAS LÄN</t>
        </is>
      </c>
      <c r="E622" t="inlineStr">
        <is>
          <t>MORA</t>
        </is>
      </c>
      <c r="G622" t="n">
        <v>3.1</v>
      </c>
      <c r="H622" t="n">
        <v>0</v>
      </c>
      <c r="I622" t="n">
        <v>0</v>
      </c>
      <c r="J622" t="n">
        <v>0</v>
      </c>
      <c r="K622" t="n">
        <v>0</v>
      </c>
      <c r="L622" t="n">
        <v>0</v>
      </c>
      <c r="M622" t="n">
        <v>0</v>
      </c>
      <c r="N622" t="n">
        <v>0</v>
      </c>
      <c r="O622" t="n">
        <v>0</v>
      </c>
      <c r="P622" t="n">
        <v>0</v>
      </c>
      <c r="Q622" t="n">
        <v>0</v>
      </c>
      <c r="R622" s="2" t="inlineStr"/>
    </row>
    <row r="623" ht="15" customHeight="1">
      <c r="A623" t="inlineStr">
        <is>
          <t>A 27125-2024</t>
        </is>
      </c>
      <c r="B623" s="1" t="n">
        <v>45471</v>
      </c>
      <c r="C623" s="1" t="n">
        <v>46098</v>
      </c>
      <c r="D623" t="inlineStr">
        <is>
          <t>DALARNAS LÄN</t>
        </is>
      </c>
      <c r="E623" t="inlineStr">
        <is>
          <t>MORA</t>
        </is>
      </c>
      <c r="G623" t="n">
        <v>2.3</v>
      </c>
      <c r="H623" t="n">
        <v>0</v>
      </c>
      <c r="I623" t="n">
        <v>0</v>
      </c>
      <c r="J623" t="n">
        <v>0</v>
      </c>
      <c r="K623" t="n">
        <v>0</v>
      </c>
      <c r="L623" t="n">
        <v>0</v>
      </c>
      <c r="M623" t="n">
        <v>0</v>
      </c>
      <c r="N623" t="n">
        <v>0</v>
      </c>
      <c r="O623" t="n">
        <v>0</v>
      </c>
      <c r="P623" t="n">
        <v>0</v>
      </c>
      <c r="Q623" t="n">
        <v>0</v>
      </c>
      <c r="R623" s="2" t="inlineStr"/>
    </row>
    <row r="624" ht="15" customHeight="1">
      <c r="A624" t="inlineStr">
        <is>
          <t>A 30822-2024</t>
        </is>
      </c>
      <c r="B624" s="1" t="n">
        <v>45497</v>
      </c>
      <c r="C624" s="1" t="n">
        <v>46098</v>
      </c>
      <c r="D624" t="inlineStr">
        <is>
          <t>DALARNAS LÄN</t>
        </is>
      </c>
      <c r="E624" t="inlineStr">
        <is>
          <t>MORA</t>
        </is>
      </c>
      <c r="G624" t="n">
        <v>1.8</v>
      </c>
      <c r="H624" t="n">
        <v>0</v>
      </c>
      <c r="I624" t="n">
        <v>0</v>
      </c>
      <c r="J624" t="n">
        <v>0</v>
      </c>
      <c r="K624" t="n">
        <v>0</v>
      </c>
      <c r="L624" t="n">
        <v>0</v>
      </c>
      <c r="M624" t="n">
        <v>0</v>
      </c>
      <c r="N624" t="n">
        <v>0</v>
      </c>
      <c r="O624" t="n">
        <v>0</v>
      </c>
      <c r="P624" t="n">
        <v>0</v>
      </c>
      <c r="Q624" t="n">
        <v>0</v>
      </c>
      <c r="R624" s="2" t="inlineStr"/>
    </row>
    <row r="625" ht="15" customHeight="1">
      <c r="A625" t="inlineStr">
        <is>
          <t>A 6371-2022</t>
        </is>
      </c>
      <c r="B625" s="1" t="n">
        <v>44600</v>
      </c>
      <c r="C625" s="1" t="n">
        <v>46098</v>
      </c>
      <c r="D625" t="inlineStr">
        <is>
          <t>DALARNAS LÄN</t>
        </is>
      </c>
      <c r="E625" t="inlineStr">
        <is>
          <t>MORA</t>
        </is>
      </c>
      <c r="G625" t="n">
        <v>4.6</v>
      </c>
      <c r="H625" t="n">
        <v>0</v>
      </c>
      <c r="I625" t="n">
        <v>0</v>
      </c>
      <c r="J625" t="n">
        <v>0</v>
      </c>
      <c r="K625" t="n">
        <v>0</v>
      </c>
      <c r="L625" t="n">
        <v>0</v>
      </c>
      <c r="M625" t="n">
        <v>0</v>
      </c>
      <c r="N625" t="n">
        <v>0</v>
      </c>
      <c r="O625" t="n">
        <v>0</v>
      </c>
      <c r="P625" t="n">
        <v>0</v>
      </c>
      <c r="Q625" t="n">
        <v>0</v>
      </c>
      <c r="R625" s="2" t="inlineStr"/>
    </row>
    <row r="626" ht="15" customHeight="1">
      <c r="A626" t="inlineStr">
        <is>
          <t>A 61350-2024</t>
        </is>
      </c>
      <c r="B626" s="1" t="n">
        <v>45646.37872685185</v>
      </c>
      <c r="C626" s="1" t="n">
        <v>46098</v>
      </c>
      <c r="D626" t="inlineStr">
        <is>
          <t>DALARNAS LÄN</t>
        </is>
      </c>
      <c r="E626" t="inlineStr">
        <is>
          <t>MORA</t>
        </is>
      </c>
      <c r="G626" t="n">
        <v>1.4</v>
      </c>
      <c r="H626" t="n">
        <v>0</v>
      </c>
      <c r="I626" t="n">
        <v>0</v>
      </c>
      <c r="J626" t="n">
        <v>0</v>
      </c>
      <c r="K626" t="n">
        <v>0</v>
      </c>
      <c r="L626" t="n">
        <v>0</v>
      </c>
      <c r="M626" t="n">
        <v>0</v>
      </c>
      <c r="N626" t="n">
        <v>0</v>
      </c>
      <c r="O626" t="n">
        <v>0</v>
      </c>
      <c r="P626" t="n">
        <v>0</v>
      </c>
      <c r="Q626" t="n">
        <v>0</v>
      </c>
      <c r="R626" s="2" t="inlineStr"/>
    </row>
    <row r="627" ht="15" customHeight="1">
      <c r="A627" t="inlineStr">
        <is>
          <t>A 20126-2025</t>
        </is>
      </c>
      <c r="B627" s="1" t="n">
        <v>45772.49640046297</v>
      </c>
      <c r="C627" s="1" t="n">
        <v>46098</v>
      </c>
      <c r="D627" t="inlineStr">
        <is>
          <t>DALARNAS LÄN</t>
        </is>
      </c>
      <c r="E627" t="inlineStr">
        <is>
          <t>MORA</t>
        </is>
      </c>
      <c r="G627" t="n">
        <v>12.1</v>
      </c>
      <c r="H627" t="n">
        <v>0</v>
      </c>
      <c r="I627" t="n">
        <v>0</v>
      </c>
      <c r="J627" t="n">
        <v>0</v>
      </c>
      <c r="K627" t="n">
        <v>0</v>
      </c>
      <c r="L627" t="n">
        <v>0</v>
      </c>
      <c r="M627" t="n">
        <v>0</v>
      </c>
      <c r="N627" t="n">
        <v>0</v>
      </c>
      <c r="O627" t="n">
        <v>0</v>
      </c>
      <c r="P627" t="n">
        <v>0</v>
      </c>
      <c r="Q627" t="n">
        <v>0</v>
      </c>
      <c r="R627" s="2" t="inlineStr"/>
    </row>
    <row r="628" ht="15" customHeight="1">
      <c r="A628" t="inlineStr">
        <is>
          <t>A 27420-2024</t>
        </is>
      </c>
      <c r="B628" s="1" t="n">
        <v>45474.37850694444</v>
      </c>
      <c r="C628" s="1" t="n">
        <v>46098</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39344-2024</t>
        </is>
      </c>
      <c r="B629" s="1" t="n">
        <v>45551.44503472222</v>
      </c>
      <c r="C629" s="1" t="n">
        <v>46098</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24590-2024</t>
        </is>
      </c>
      <c r="B630" s="1" t="n">
        <v>45460</v>
      </c>
      <c r="C630" s="1" t="n">
        <v>46098</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24169-2022</t>
        </is>
      </c>
      <c r="B631" s="1" t="n">
        <v>44725.50280092593</v>
      </c>
      <c r="C631" s="1" t="n">
        <v>46098</v>
      </c>
      <c r="D631" t="inlineStr">
        <is>
          <t>DALARNAS LÄN</t>
        </is>
      </c>
      <c r="E631" t="inlineStr">
        <is>
          <t>MORA</t>
        </is>
      </c>
      <c r="F631" t="inlineStr">
        <is>
          <t>Bergvik skog väst AB</t>
        </is>
      </c>
      <c r="G631" t="n">
        <v>1.4</v>
      </c>
      <c r="H631" t="n">
        <v>0</v>
      </c>
      <c r="I631" t="n">
        <v>0</v>
      </c>
      <c r="J631" t="n">
        <v>0</v>
      </c>
      <c r="K631" t="n">
        <v>0</v>
      </c>
      <c r="L631" t="n">
        <v>0</v>
      </c>
      <c r="M631" t="n">
        <v>0</v>
      </c>
      <c r="N631" t="n">
        <v>0</v>
      </c>
      <c r="O631" t="n">
        <v>0</v>
      </c>
      <c r="P631" t="n">
        <v>0</v>
      </c>
      <c r="Q631" t="n">
        <v>0</v>
      </c>
      <c r="R631" s="2" t="inlineStr"/>
    </row>
    <row r="632" ht="15" customHeight="1">
      <c r="A632" t="inlineStr">
        <is>
          <t>A 43641-2022</t>
        </is>
      </c>
      <c r="B632" s="1" t="n">
        <v>44837</v>
      </c>
      <c r="C632" s="1" t="n">
        <v>46098</v>
      </c>
      <c r="D632" t="inlineStr">
        <is>
          <t>DALARNAS LÄN</t>
        </is>
      </c>
      <c r="E632" t="inlineStr">
        <is>
          <t>MORA</t>
        </is>
      </c>
      <c r="G632" t="n">
        <v>1.8</v>
      </c>
      <c r="H632" t="n">
        <v>0</v>
      </c>
      <c r="I632" t="n">
        <v>0</v>
      </c>
      <c r="J632" t="n">
        <v>0</v>
      </c>
      <c r="K632" t="n">
        <v>0</v>
      </c>
      <c r="L632" t="n">
        <v>0</v>
      </c>
      <c r="M632" t="n">
        <v>0</v>
      </c>
      <c r="N632" t="n">
        <v>0</v>
      </c>
      <c r="O632" t="n">
        <v>0</v>
      </c>
      <c r="P632" t="n">
        <v>0</v>
      </c>
      <c r="Q632" t="n">
        <v>0</v>
      </c>
      <c r="R632" s="2" t="inlineStr"/>
    </row>
    <row r="633" ht="15" customHeight="1">
      <c r="A633" t="inlineStr">
        <is>
          <t>A 53750-2024</t>
        </is>
      </c>
      <c r="B633" s="1" t="n">
        <v>45615.48465277778</v>
      </c>
      <c r="C633" s="1" t="n">
        <v>46098</v>
      </c>
      <c r="D633" t="inlineStr">
        <is>
          <t>DALARNAS LÄN</t>
        </is>
      </c>
      <c r="E633" t="inlineStr">
        <is>
          <t>MORA</t>
        </is>
      </c>
      <c r="G633" t="n">
        <v>2.3</v>
      </c>
      <c r="H633" t="n">
        <v>0</v>
      </c>
      <c r="I633" t="n">
        <v>0</v>
      </c>
      <c r="J633" t="n">
        <v>0</v>
      </c>
      <c r="K633" t="n">
        <v>0</v>
      </c>
      <c r="L633" t="n">
        <v>0</v>
      </c>
      <c r="M633" t="n">
        <v>0</v>
      </c>
      <c r="N633" t="n">
        <v>0</v>
      </c>
      <c r="O633" t="n">
        <v>0</v>
      </c>
      <c r="P633" t="n">
        <v>0</v>
      </c>
      <c r="Q633" t="n">
        <v>0</v>
      </c>
      <c r="R633" s="2" t="inlineStr"/>
    </row>
    <row r="634" ht="15" customHeight="1">
      <c r="A634" t="inlineStr">
        <is>
          <t>A 10777-2025</t>
        </is>
      </c>
      <c r="B634" s="1" t="n">
        <v>45722.47743055555</v>
      </c>
      <c r="C634" s="1" t="n">
        <v>46098</v>
      </c>
      <c r="D634" t="inlineStr">
        <is>
          <t>DALARNAS LÄN</t>
        </is>
      </c>
      <c r="E634" t="inlineStr">
        <is>
          <t>MORA</t>
        </is>
      </c>
      <c r="G634" t="n">
        <v>9.9</v>
      </c>
      <c r="H634" t="n">
        <v>0</v>
      </c>
      <c r="I634" t="n">
        <v>0</v>
      </c>
      <c r="J634" t="n">
        <v>0</v>
      </c>
      <c r="K634" t="n">
        <v>0</v>
      </c>
      <c r="L634" t="n">
        <v>0</v>
      </c>
      <c r="M634" t="n">
        <v>0</v>
      </c>
      <c r="N634" t="n">
        <v>0</v>
      </c>
      <c r="O634" t="n">
        <v>0</v>
      </c>
      <c r="P634" t="n">
        <v>0</v>
      </c>
      <c r="Q634" t="n">
        <v>0</v>
      </c>
      <c r="R634" s="2" t="inlineStr"/>
    </row>
    <row r="635" ht="15" customHeight="1">
      <c r="A635" t="inlineStr">
        <is>
          <t>A 19842-2025</t>
        </is>
      </c>
      <c r="B635" s="1" t="n">
        <v>45771.47938657407</v>
      </c>
      <c r="C635" s="1" t="n">
        <v>46098</v>
      </c>
      <c r="D635" t="inlineStr">
        <is>
          <t>DALARNAS LÄN</t>
        </is>
      </c>
      <c r="E635" t="inlineStr">
        <is>
          <t>MORA</t>
        </is>
      </c>
      <c r="G635" t="n">
        <v>1.9</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45188.51439814815</v>
      </c>
      <c r="C636" s="1" t="n">
        <v>46098</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18134-2025</t>
        </is>
      </c>
      <c r="B637" s="1" t="n">
        <v>45761.60189814815</v>
      </c>
      <c r="C637" s="1" t="n">
        <v>46098</v>
      </c>
      <c r="D637" t="inlineStr">
        <is>
          <t>DALARNAS LÄN</t>
        </is>
      </c>
      <c r="E637" t="inlineStr">
        <is>
          <t>MORA</t>
        </is>
      </c>
      <c r="F637" t="inlineStr">
        <is>
          <t>Bergvik skog öst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35327-2024</t>
        </is>
      </c>
      <c r="B638" s="1" t="n">
        <v>45530.71334490741</v>
      </c>
      <c r="C638" s="1" t="n">
        <v>46098</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31112-2024</t>
        </is>
      </c>
      <c r="B639" s="1" t="n">
        <v>45502.55185185185</v>
      </c>
      <c r="C639" s="1" t="n">
        <v>46098</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442-2024</t>
        </is>
      </c>
      <c r="B640" s="1" t="n">
        <v>45296.60353009259</v>
      </c>
      <c r="C640" s="1" t="n">
        <v>46098</v>
      </c>
      <c r="D640" t="inlineStr">
        <is>
          <t>DALARNAS LÄN</t>
        </is>
      </c>
      <c r="E640" t="inlineStr">
        <is>
          <t>MORA</t>
        </is>
      </c>
      <c r="G640" t="n">
        <v>0.5</v>
      </c>
      <c r="H640" t="n">
        <v>0</v>
      </c>
      <c r="I640" t="n">
        <v>0</v>
      </c>
      <c r="J640" t="n">
        <v>0</v>
      </c>
      <c r="K640" t="n">
        <v>0</v>
      </c>
      <c r="L640" t="n">
        <v>0</v>
      </c>
      <c r="M640" t="n">
        <v>0</v>
      </c>
      <c r="N640" t="n">
        <v>0</v>
      </c>
      <c r="O640" t="n">
        <v>0</v>
      </c>
      <c r="P640" t="n">
        <v>0</v>
      </c>
      <c r="Q640" t="n">
        <v>0</v>
      </c>
      <c r="R640" s="2" t="inlineStr"/>
    </row>
    <row r="641" ht="15" customHeight="1">
      <c r="A641" t="inlineStr">
        <is>
          <t>A 501-2024</t>
        </is>
      </c>
      <c r="B641" s="1" t="n">
        <v>45299</v>
      </c>
      <c r="C641" s="1" t="n">
        <v>46098</v>
      </c>
      <c r="D641" t="inlineStr">
        <is>
          <t>DALARNAS LÄN</t>
        </is>
      </c>
      <c r="E641" t="inlineStr">
        <is>
          <t>MORA</t>
        </is>
      </c>
      <c r="G641" t="n">
        <v>2.5</v>
      </c>
      <c r="H641" t="n">
        <v>0</v>
      </c>
      <c r="I641" t="n">
        <v>0</v>
      </c>
      <c r="J641" t="n">
        <v>0</v>
      </c>
      <c r="K641" t="n">
        <v>0</v>
      </c>
      <c r="L641" t="n">
        <v>0</v>
      </c>
      <c r="M641" t="n">
        <v>0</v>
      </c>
      <c r="N641" t="n">
        <v>0</v>
      </c>
      <c r="O641" t="n">
        <v>0</v>
      </c>
      <c r="P641" t="n">
        <v>0</v>
      </c>
      <c r="Q641" t="n">
        <v>0</v>
      </c>
      <c r="R641" s="2" t="inlineStr"/>
    </row>
    <row r="642" ht="15" customHeight="1">
      <c r="A642" t="inlineStr">
        <is>
          <t>A 48570-2022</t>
        </is>
      </c>
      <c r="B642" s="1" t="n">
        <v>44859</v>
      </c>
      <c r="C642" s="1" t="n">
        <v>46098</v>
      </c>
      <c r="D642" t="inlineStr">
        <is>
          <t>DALARNAS LÄN</t>
        </is>
      </c>
      <c r="E642" t="inlineStr">
        <is>
          <t>MORA</t>
        </is>
      </c>
      <c r="G642" t="n">
        <v>6.2</v>
      </c>
      <c r="H642" t="n">
        <v>0</v>
      </c>
      <c r="I642" t="n">
        <v>0</v>
      </c>
      <c r="J642" t="n">
        <v>0</v>
      </c>
      <c r="K642" t="n">
        <v>0</v>
      </c>
      <c r="L642" t="n">
        <v>0</v>
      </c>
      <c r="M642" t="n">
        <v>0</v>
      </c>
      <c r="N642" t="n">
        <v>0</v>
      </c>
      <c r="O642" t="n">
        <v>0</v>
      </c>
      <c r="P642" t="n">
        <v>0</v>
      </c>
      <c r="Q642" t="n">
        <v>0</v>
      </c>
      <c r="R642" s="2" t="inlineStr"/>
    </row>
    <row r="643" ht="15" customHeight="1">
      <c r="A643" t="inlineStr">
        <is>
          <t>A 19814-2025</t>
        </is>
      </c>
      <c r="B643" s="1" t="n">
        <v>45771.45686342593</v>
      </c>
      <c r="C643" s="1" t="n">
        <v>46098</v>
      </c>
      <c r="D643" t="inlineStr">
        <is>
          <t>DALARNAS LÄN</t>
        </is>
      </c>
      <c r="E643" t="inlineStr">
        <is>
          <t>MORA</t>
        </is>
      </c>
      <c r="G643" t="n">
        <v>2.1</v>
      </c>
      <c r="H643" t="n">
        <v>0</v>
      </c>
      <c r="I643" t="n">
        <v>0</v>
      </c>
      <c r="J643" t="n">
        <v>0</v>
      </c>
      <c r="K643" t="n">
        <v>0</v>
      </c>
      <c r="L643" t="n">
        <v>0</v>
      </c>
      <c r="M643" t="n">
        <v>0</v>
      </c>
      <c r="N643" t="n">
        <v>0</v>
      </c>
      <c r="O643" t="n">
        <v>0</v>
      </c>
      <c r="P643" t="n">
        <v>0</v>
      </c>
      <c r="Q643" t="n">
        <v>0</v>
      </c>
      <c r="R643" s="2" t="inlineStr"/>
    </row>
    <row r="644" ht="15" customHeight="1">
      <c r="A644" t="inlineStr">
        <is>
          <t>A 60526-2023</t>
        </is>
      </c>
      <c r="B644" s="1" t="n">
        <v>45259</v>
      </c>
      <c r="C644" s="1" t="n">
        <v>46098</v>
      </c>
      <c r="D644" t="inlineStr">
        <is>
          <t>DALARNAS LÄN</t>
        </is>
      </c>
      <c r="E644" t="inlineStr">
        <is>
          <t>MORA</t>
        </is>
      </c>
      <c r="G644" t="n">
        <v>6.7</v>
      </c>
      <c r="H644" t="n">
        <v>0</v>
      </c>
      <c r="I644" t="n">
        <v>0</v>
      </c>
      <c r="J644" t="n">
        <v>0</v>
      </c>
      <c r="K644" t="n">
        <v>0</v>
      </c>
      <c r="L644" t="n">
        <v>0</v>
      </c>
      <c r="M644" t="n">
        <v>0</v>
      </c>
      <c r="N644" t="n">
        <v>0</v>
      </c>
      <c r="O644" t="n">
        <v>0</v>
      </c>
      <c r="P644" t="n">
        <v>0</v>
      </c>
      <c r="Q644" t="n">
        <v>0</v>
      </c>
      <c r="R644" s="2" t="inlineStr"/>
    </row>
    <row r="645" ht="15" customHeight="1">
      <c r="A645" t="inlineStr">
        <is>
          <t>A 53341-2023</t>
        </is>
      </c>
      <c r="B645" s="1" t="n">
        <v>45229</v>
      </c>
      <c r="C645" s="1" t="n">
        <v>46098</v>
      </c>
      <c r="D645" t="inlineStr">
        <is>
          <t>DALARNAS LÄN</t>
        </is>
      </c>
      <c r="E645" t="inlineStr">
        <is>
          <t>MORA</t>
        </is>
      </c>
      <c r="G645" t="n">
        <v>2.1</v>
      </c>
      <c r="H645" t="n">
        <v>0</v>
      </c>
      <c r="I645" t="n">
        <v>0</v>
      </c>
      <c r="J645" t="n">
        <v>0</v>
      </c>
      <c r="K645" t="n">
        <v>0</v>
      </c>
      <c r="L645" t="n">
        <v>0</v>
      </c>
      <c r="M645" t="n">
        <v>0</v>
      </c>
      <c r="N645" t="n">
        <v>0</v>
      </c>
      <c r="O645" t="n">
        <v>0</v>
      </c>
      <c r="P645" t="n">
        <v>0</v>
      </c>
      <c r="Q645" t="n">
        <v>0</v>
      </c>
      <c r="R645" s="2" t="inlineStr"/>
    </row>
    <row r="646" ht="15" customHeight="1">
      <c r="A646" t="inlineStr">
        <is>
          <t>A 12828-2023</t>
        </is>
      </c>
      <c r="B646" s="1" t="n">
        <v>45001</v>
      </c>
      <c r="C646" s="1" t="n">
        <v>46098</v>
      </c>
      <c r="D646" t="inlineStr">
        <is>
          <t>DALARNAS LÄN</t>
        </is>
      </c>
      <c r="E646" t="inlineStr">
        <is>
          <t>MORA</t>
        </is>
      </c>
      <c r="F646" t="inlineStr">
        <is>
          <t>Bergvik skog väst AB</t>
        </is>
      </c>
      <c r="G646" t="n">
        <v>5.4</v>
      </c>
      <c r="H646" t="n">
        <v>0</v>
      </c>
      <c r="I646" t="n">
        <v>0</v>
      </c>
      <c r="J646" t="n">
        <v>0</v>
      </c>
      <c r="K646" t="n">
        <v>0</v>
      </c>
      <c r="L646" t="n">
        <v>0</v>
      </c>
      <c r="M646" t="n">
        <v>0</v>
      </c>
      <c r="N646" t="n">
        <v>0</v>
      </c>
      <c r="O646" t="n">
        <v>0</v>
      </c>
      <c r="P646" t="n">
        <v>0</v>
      </c>
      <c r="Q646" t="n">
        <v>0</v>
      </c>
      <c r="R646" s="2" t="inlineStr"/>
    </row>
    <row r="647" ht="15" customHeight="1">
      <c r="A647" t="inlineStr">
        <is>
          <t>A 21410-2023</t>
        </is>
      </c>
      <c r="B647" s="1" t="n">
        <v>45063</v>
      </c>
      <c r="C647" s="1" t="n">
        <v>46098</v>
      </c>
      <c r="D647" t="inlineStr">
        <is>
          <t>DALARNAS LÄN</t>
        </is>
      </c>
      <c r="E647" t="inlineStr">
        <is>
          <t>MORA</t>
        </is>
      </c>
      <c r="G647" t="n">
        <v>7</v>
      </c>
      <c r="H647" t="n">
        <v>0</v>
      </c>
      <c r="I647" t="n">
        <v>0</v>
      </c>
      <c r="J647" t="n">
        <v>0</v>
      </c>
      <c r="K647" t="n">
        <v>0</v>
      </c>
      <c r="L647" t="n">
        <v>0</v>
      </c>
      <c r="M647" t="n">
        <v>0</v>
      </c>
      <c r="N647" t="n">
        <v>0</v>
      </c>
      <c r="O647" t="n">
        <v>0</v>
      </c>
      <c r="P647" t="n">
        <v>0</v>
      </c>
      <c r="Q647" t="n">
        <v>0</v>
      </c>
      <c r="R647" s="2" t="inlineStr"/>
    </row>
    <row r="648" ht="15" customHeight="1">
      <c r="A648" t="inlineStr">
        <is>
          <t>A 3531-2024</t>
        </is>
      </c>
      <c r="B648" s="1" t="n">
        <v>45320</v>
      </c>
      <c r="C648" s="1" t="n">
        <v>46098</v>
      </c>
      <c r="D648" t="inlineStr">
        <is>
          <t>DALARNAS LÄN</t>
        </is>
      </c>
      <c r="E648" t="inlineStr">
        <is>
          <t>MORA</t>
        </is>
      </c>
      <c r="G648" t="n">
        <v>1.4</v>
      </c>
      <c r="H648" t="n">
        <v>0</v>
      </c>
      <c r="I648" t="n">
        <v>0</v>
      </c>
      <c r="J648" t="n">
        <v>0</v>
      </c>
      <c r="K648" t="n">
        <v>0</v>
      </c>
      <c r="L648" t="n">
        <v>0</v>
      </c>
      <c r="M648" t="n">
        <v>0</v>
      </c>
      <c r="N648" t="n">
        <v>0</v>
      </c>
      <c r="O648" t="n">
        <v>0</v>
      </c>
      <c r="P648" t="n">
        <v>0</v>
      </c>
      <c r="Q648" t="n">
        <v>0</v>
      </c>
      <c r="R648" s="2" t="inlineStr"/>
      <c r="U648">
        <f>HYPERLINK("https://klasma.github.io/Logging_2062/knärot/A 3531-2024 karta knärot.png", "A 3531-2024")</f>
        <v/>
      </c>
      <c r="V648">
        <f>HYPERLINK("https://klasma.github.io/Logging_2062/klagomål/A 3531-2024 FSC-klagomål.docx", "A 3531-2024")</f>
        <v/>
      </c>
      <c r="W648">
        <f>HYPERLINK("https://klasma.github.io/Logging_2062/klagomålsmail/A 3531-2024 FSC-klagomål mail.docx", "A 3531-2024")</f>
        <v/>
      </c>
      <c r="X648">
        <f>HYPERLINK("https://klasma.github.io/Logging_2062/tillsyn/A 3531-2024 tillsynsbegäran.docx", "A 3531-2024")</f>
        <v/>
      </c>
      <c r="Y648">
        <f>HYPERLINK("https://klasma.github.io/Logging_2062/tillsynsmail/A 3531-2024 tillsynsbegäran mail.docx", "A 3531-2024")</f>
        <v/>
      </c>
    </row>
    <row r="649" ht="15" customHeight="1">
      <c r="A649" t="inlineStr">
        <is>
          <t>A 45475-2023</t>
        </is>
      </c>
      <c r="B649" s="1" t="n">
        <v>45188</v>
      </c>
      <c r="C649" s="1" t="n">
        <v>46098</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44071-2024</t>
        </is>
      </c>
      <c r="B650" s="1" t="n">
        <v>45572.60915509259</v>
      </c>
      <c r="C650" s="1" t="n">
        <v>46098</v>
      </c>
      <c r="D650" t="inlineStr">
        <is>
          <t>DALARNAS LÄN</t>
        </is>
      </c>
      <c r="E650" t="inlineStr">
        <is>
          <t>MORA</t>
        </is>
      </c>
      <c r="G650" t="n">
        <v>4.5</v>
      </c>
      <c r="H650" t="n">
        <v>0</v>
      </c>
      <c r="I650" t="n">
        <v>0</v>
      </c>
      <c r="J650" t="n">
        <v>0</v>
      </c>
      <c r="K650" t="n">
        <v>0</v>
      </c>
      <c r="L650" t="n">
        <v>0</v>
      </c>
      <c r="M650" t="n">
        <v>0</v>
      </c>
      <c r="N650" t="n">
        <v>0</v>
      </c>
      <c r="O650" t="n">
        <v>0</v>
      </c>
      <c r="P650" t="n">
        <v>0</v>
      </c>
      <c r="Q650" t="n">
        <v>0</v>
      </c>
      <c r="R650" s="2" t="inlineStr"/>
    </row>
    <row r="651" ht="15" customHeight="1">
      <c r="A651" t="inlineStr">
        <is>
          <t>A 11463-2024</t>
        </is>
      </c>
      <c r="B651" s="1" t="n">
        <v>45372.58969907407</v>
      </c>
      <c r="C651" s="1" t="n">
        <v>46098</v>
      </c>
      <c r="D651" t="inlineStr">
        <is>
          <t>DALARNAS LÄN</t>
        </is>
      </c>
      <c r="E651" t="inlineStr">
        <is>
          <t>MORA</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57903-2022</t>
        </is>
      </c>
      <c r="B652" s="1" t="n">
        <v>44900.3521412037</v>
      </c>
      <c r="C652" s="1" t="n">
        <v>46098</v>
      </c>
      <c r="D652" t="inlineStr">
        <is>
          <t>DALARNAS LÄN</t>
        </is>
      </c>
      <c r="E652" t="inlineStr">
        <is>
          <t>MORA</t>
        </is>
      </c>
      <c r="G652" t="n">
        <v>4.3</v>
      </c>
      <c r="H652" t="n">
        <v>0</v>
      </c>
      <c r="I652" t="n">
        <v>0</v>
      </c>
      <c r="J652" t="n">
        <v>0</v>
      </c>
      <c r="K652" t="n">
        <v>0</v>
      </c>
      <c r="L652" t="n">
        <v>0</v>
      </c>
      <c r="M652" t="n">
        <v>0</v>
      </c>
      <c r="N652" t="n">
        <v>0</v>
      </c>
      <c r="O652" t="n">
        <v>0</v>
      </c>
      <c r="P652" t="n">
        <v>0</v>
      </c>
      <c r="Q652" t="n">
        <v>0</v>
      </c>
      <c r="R652" s="2" t="inlineStr"/>
    </row>
    <row r="653" ht="15" customHeight="1">
      <c r="A653" t="inlineStr">
        <is>
          <t>A 46129-2024</t>
        </is>
      </c>
      <c r="B653" s="1" t="n">
        <v>45581.43337962963</v>
      </c>
      <c r="C653" s="1" t="n">
        <v>46098</v>
      </c>
      <c r="D653" t="inlineStr">
        <is>
          <t>DALARNAS LÄN</t>
        </is>
      </c>
      <c r="E653" t="inlineStr">
        <is>
          <t>MORA</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19193-2025</t>
        </is>
      </c>
      <c r="B654" s="1" t="n">
        <v>45769.42203703704</v>
      </c>
      <c r="C654" s="1" t="n">
        <v>46098</v>
      </c>
      <c r="D654" t="inlineStr">
        <is>
          <t>DALARNAS LÄN</t>
        </is>
      </c>
      <c r="E654" t="inlineStr">
        <is>
          <t>MORA</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6183-2024</t>
        </is>
      </c>
      <c r="B655" s="1" t="n">
        <v>45337.54135416666</v>
      </c>
      <c r="C655" s="1" t="n">
        <v>46098</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46152-2023</t>
        </is>
      </c>
      <c r="B656" s="1" t="n">
        <v>45196.58278935185</v>
      </c>
      <c r="C656" s="1" t="n">
        <v>46098</v>
      </c>
      <c r="D656" t="inlineStr">
        <is>
          <t>DALARNAS LÄN</t>
        </is>
      </c>
      <c r="E656" t="inlineStr">
        <is>
          <t>MORA</t>
        </is>
      </c>
      <c r="G656" t="n">
        <v>2</v>
      </c>
      <c r="H656" t="n">
        <v>0</v>
      </c>
      <c r="I656" t="n">
        <v>0</v>
      </c>
      <c r="J656" t="n">
        <v>0</v>
      </c>
      <c r="K656" t="n">
        <v>0</v>
      </c>
      <c r="L656" t="n">
        <v>0</v>
      </c>
      <c r="M656" t="n">
        <v>0</v>
      </c>
      <c r="N656" t="n">
        <v>0</v>
      </c>
      <c r="O656" t="n">
        <v>0</v>
      </c>
      <c r="P656" t="n">
        <v>0</v>
      </c>
      <c r="Q656" t="n">
        <v>0</v>
      </c>
      <c r="R656" s="2" t="inlineStr"/>
    </row>
    <row r="657" ht="15" customHeight="1">
      <c r="A657" t="inlineStr">
        <is>
          <t>A 28832-2023</t>
        </is>
      </c>
      <c r="B657" s="1" t="n">
        <v>45104.40493055555</v>
      </c>
      <c r="C657" s="1" t="n">
        <v>46098</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46098</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8343-2025</t>
        </is>
      </c>
      <c r="B659" s="1" t="n">
        <v>45708.67253472222</v>
      </c>
      <c r="C659" s="1" t="n">
        <v>46098</v>
      </c>
      <c r="D659" t="inlineStr">
        <is>
          <t>DALARNAS LÄN</t>
        </is>
      </c>
      <c r="E659" t="inlineStr">
        <is>
          <t>MORA</t>
        </is>
      </c>
      <c r="G659" t="n">
        <v>3.4</v>
      </c>
      <c r="H659" t="n">
        <v>0</v>
      </c>
      <c r="I659" t="n">
        <v>0</v>
      </c>
      <c r="J659" t="n">
        <v>0</v>
      </c>
      <c r="K659" t="n">
        <v>0</v>
      </c>
      <c r="L659" t="n">
        <v>0</v>
      </c>
      <c r="M659" t="n">
        <v>0</v>
      </c>
      <c r="N659" t="n">
        <v>0</v>
      </c>
      <c r="O659" t="n">
        <v>0</v>
      </c>
      <c r="P659" t="n">
        <v>0</v>
      </c>
      <c r="Q659" t="n">
        <v>0</v>
      </c>
      <c r="R659" s="2" t="inlineStr"/>
    </row>
    <row r="660" ht="15" customHeight="1">
      <c r="A660" t="inlineStr">
        <is>
          <t>A 17163-2025</t>
        </is>
      </c>
      <c r="B660" s="1" t="n">
        <v>45756.35998842592</v>
      </c>
      <c r="C660" s="1" t="n">
        <v>46098</v>
      </c>
      <c r="D660" t="inlineStr">
        <is>
          <t>DALARNAS LÄN</t>
        </is>
      </c>
      <c r="E660" t="inlineStr">
        <is>
          <t>MORA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34272-2024</t>
        </is>
      </c>
      <c r="B661" s="1" t="n">
        <v>45524.61752314815</v>
      </c>
      <c r="C661" s="1" t="n">
        <v>46098</v>
      </c>
      <c r="D661" t="inlineStr">
        <is>
          <t>DALARNAS LÄN</t>
        </is>
      </c>
      <c r="E661" t="inlineStr">
        <is>
          <t>MORA</t>
        </is>
      </c>
      <c r="G661" t="n">
        <v>1</v>
      </c>
      <c r="H661" t="n">
        <v>0</v>
      </c>
      <c r="I661" t="n">
        <v>0</v>
      </c>
      <c r="J661" t="n">
        <v>0</v>
      </c>
      <c r="K661" t="n">
        <v>0</v>
      </c>
      <c r="L661" t="n">
        <v>0</v>
      </c>
      <c r="M661" t="n">
        <v>0</v>
      </c>
      <c r="N661" t="n">
        <v>0</v>
      </c>
      <c r="O661" t="n">
        <v>0</v>
      </c>
      <c r="P661" t="n">
        <v>0</v>
      </c>
      <c r="Q661" t="n">
        <v>0</v>
      </c>
      <c r="R661" s="2" t="inlineStr"/>
    </row>
    <row r="662" ht="15" customHeight="1">
      <c r="A662" t="inlineStr">
        <is>
          <t>A 36579-2022</t>
        </is>
      </c>
      <c r="B662" s="1" t="n">
        <v>44804.61636574074</v>
      </c>
      <c r="C662" s="1" t="n">
        <v>46098</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30030-2021</t>
        </is>
      </c>
      <c r="B663" s="1" t="n">
        <v>44363</v>
      </c>
      <c r="C663" s="1" t="n">
        <v>46098</v>
      </c>
      <c r="D663" t="inlineStr">
        <is>
          <t>DALARNAS LÄN</t>
        </is>
      </c>
      <c r="E663" t="inlineStr">
        <is>
          <t>MORA</t>
        </is>
      </c>
      <c r="G663" t="n">
        <v>7.1</v>
      </c>
      <c r="H663" t="n">
        <v>0</v>
      </c>
      <c r="I663" t="n">
        <v>0</v>
      </c>
      <c r="J663" t="n">
        <v>0</v>
      </c>
      <c r="K663" t="n">
        <v>0</v>
      </c>
      <c r="L663" t="n">
        <v>0</v>
      </c>
      <c r="M663" t="n">
        <v>0</v>
      </c>
      <c r="N663" t="n">
        <v>0</v>
      </c>
      <c r="O663" t="n">
        <v>0</v>
      </c>
      <c r="P663" t="n">
        <v>0</v>
      </c>
      <c r="Q663" t="n">
        <v>0</v>
      </c>
      <c r="R663" s="2" t="inlineStr"/>
    </row>
    <row r="664" ht="15" customHeight="1">
      <c r="A664" t="inlineStr">
        <is>
          <t>A 33531-2024</t>
        </is>
      </c>
      <c r="B664" s="1" t="n">
        <v>45519.67503472222</v>
      </c>
      <c r="C664" s="1" t="n">
        <v>46098</v>
      </c>
      <c r="D664" t="inlineStr">
        <is>
          <t>DALARNAS LÄN</t>
        </is>
      </c>
      <c r="E664" t="inlineStr">
        <is>
          <t>MORA</t>
        </is>
      </c>
      <c r="G664" t="n">
        <v>14.8</v>
      </c>
      <c r="H664" t="n">
        <v>0</v>
      </c>
      <c r="I664" t="n">
        <v>0</v>
      </c>
      <c r="J664" t="n">
        <v>0</v>
      </c>
      <c r="K664" t="n">
        <v>0</v>
      </c>
      <c r="L664" t="n">
        <v>0</v>
      </c>
      <c r="M664" t="n">
        <v>0</v>
      </c>
      <c r="N664" t="n">
        <v>0</v>
      </c>
      <c r="O664" t="n">
        <v>0</v>
      </c>
      <c r="P664" t="n">
        <v>0</v>
      </c>
      <c r="Q664" t="n">
        <v>0</v>
      </c>
      <c r="R664" s="2" t="inlineStr"/>
    </row>
    <row r="665" ht="15" customHeight="1">
      <c r="A665" t="inlineStr">
        <is>
          <t>A 51780-2023</t>
        </is>
      </c>
      <c r="B665" s="1" t="n">
        <v>45222</v>
      </c>
      <c r="C665" s="1" t="n">
        <v>46098</v>
      </c>
      <c r="D665" t="inlineStr">
        <is>
          <t>DALARNAS LÄN</t>
        </is>
      </c>
      <c r="E665" t="inlineStr">
        <is>
          <t>MORA</t>
        </is>
      </c>
      <c r="G665" t="n">
        <v>9.9</v>
      </c>
      <c r="H665" t="n">
        <v>0</v>
      </c>
      <c r="I665" t="n">
        <v>0</v>
      </c>
      <c r="J665" t="n">
        <v>0</v>
      </c>
      <c r="K665" t="n">
        <v>0</v>
      </c>
      <c r="L665" t="n">
        <v>0</v>
      </c>
      <c r="M665" t="n">
        <v>0</v>
      </c>
      <c r="N665" t="n">
        <v>0</v>
      </c>
      <c r="O665" t="n">
        <v>0</v>
      </c>
      <c r="P665" t="n">
        <v>0</v>
      </c>
      <c r="Q665" t="n">
        <v>0</v>
      </c>
      <c r="R665" s="2" t="inlineStr"/>
    </row>
    <row r="666" ht="15" customHeight="1">
      <c r="A666" t="inlineStr">
        <is>
          <t>A 15818-2024</t>
        </is>
      </c>
      <c r="B666" s="1" t="n">
        <v>45404.67442129629</v>
      </c>
      <c r="C666" s="1" t="n">
        <v>46098</v>
      </c>
      <c r="D666" t="inlineStr">
        <is>
          <t>DALARNAS LÄN</t>
        </is>
      </c>
      <c r="E666" t="inlineStr">
        <is>
          <t>MORA</t>
        </is>
      </c>
      <c r="G666" t="n">
        <v>7</v>
      </c>
      <c r="H666" t="n">
        <v>0</v>
      </c>
      <c r="I666" t="n">
        <v>0</v>
      </c>
      <c r="J666" t="n">
        <v>0</v>
      </c>
      <c r="K666" t="n">
        <v>0</v>
      </c>
      <c r="L666" t="n">
        <v>0</v>
      </c>
      <c r="M666" t="n">
        <v>0</v>
      </c>
      <c r="N666" t="n">
        <v>0</v>
      </c>
      <c r="O666" t="n">
        <v>0</v>
      </c>
      <c r="P666" t="n">
        <v>0</v>
      </c>
      <c r="Q666" t="n">
        <v>0</v>
      </c>
      <c r="R666" s="2" t="inlineStr"/>
    </row>
    <row r="667" ht="15" customHeight="1">
      <c r="A667" t="inlineStr">
        <is>
          <t>A 33513-2024</t>
        </is>
      </c>
      <c r="B667" s="1" t="n">
        <v>45519.644375</v>
      </c>
      <c r="C667" s="1" t="n">
        <v>46098</v>
      </c>
      <c r="D667" t="inlineStr">
        <is>
          <t>DALARNAS LÄN</t>
        </is>
      </c>
      <c r="E667" t="inlineStr">
        <is>
          <t>MORA</t>
        </is>
      </c>
      <c r="G667" t="n">
        <v>5.9</v>
      </c>
      <c r="H667" t="n">
        <v>0</v>
      </c>
      <c r="I667" t="n">
        <v>0</v>
      </c>
      <c r="J667" t="n">
        <v>0</v>
      </c>
      <c r="K667" t="n">
        <v>0</v>
      </c>
      <c r="L667" t="n">
        <v>0</v>
      </c>
      <c r="M667" t="n">
        <v>0</v>
      </c>
      <c r="N667" t="n">
        <v>0</v>
      </c>
      <c r="O667" t="n">
        <v>0</v>
      </c>
      <c r="P667" t="n">
        <v>0</v>
      </c>
      <c r="Q667" t="n">
        <v>0</v>
      </c>
      <c r="R667" s="2" t="inlineStr"/>
    </row>
    <row r="668" ht="15" customHeight="1">
      <c r="A668" t="inlineStr">
        <is>
          <t>A 35040-2023</t>
        </is>
      </c>
      <c r="B668" s="1" t="n">
        <v>45145.36853009259</v>
      </c>
      <c r="C668" s="1" t="n">
        <v>46098</v>
      </c>
      <c r="D668" t="inlineStr">
        <is>
          <t>DALARNAS LÄN</t>
        </is>
      </c>
      <c r="E668" t="inlineStr">
        <is>
          <t>MORA</t>
        </is>
      </c>
      <c r="G668" t="n">
        <v>2.1</v>
      </c>
      <c r="H668" t="n">
        <v>0</v>
      </c>
      <c r="I668" t="n">
        <v>0</v>
      </c>
      <c r="J668" t="n">
        <v>0</v>
      </c>
      <c r="K668" t="n">
        <v>0</v>
      </c>
      <c r="L668" t="n">
        <v>0</v>
      </c>
      <c r="M668" t="n">
        <v>0</v>
      </c>
      <c r="N668" t="n">
        <v>0</v>
      </c>
      <c r="O668" t="n">
        <v>0</v>
      </c>
      <c r="P668" t="n">
        <v>0</v>
      </c>
      <c r="Q668" t="n">
        <v>0</v>
      </c>
      <c r="R668" s="2" t="inlineStr"/>
    </row>
    <row r="669" ht="15" customHeight="1">
      <c r="A669" t="inlineStr">
        <is>
          <t>A 44595-2024</t>
        </is>
      </c>
      <c r="B669" s="1" t="n">
        <v>45574.51053240741</v>
      </c>
      <c r="C669" s="1" t="n">
        <v>46098</v>
      </c>
      <c r="D669" t="inlineStr">
        <is>
          <t>DALARNAS LÄN</t>
        </is>
      </c>
      <c r="E669" t="inlineStr">
        <is>
          <t>MORA</t>
        </is>
      </c>
      <c r="G669" t="n">
        <v>0.8</v>
      </c>
      <c r="H669" t="n">
        <v>0</v>
      </c>
      <c r="I669" t="n">
        <v>0</v>
      </c>
      <c r="J669" t="n">
        <v>0</v>
      </c>
      <c r="K669" t="n">
        <v>0</v>
      </c>
      <c r="L669" t="n">
        <v>0</v>
      </c>
      <c r="M669" t="n">
        <v>0</v>
      </c>
      <c r="N669" t="n">
        <v>0</v>
      </c>
      <c r="O669" t="n">
        <v>0</v>
      </c>
      <c r="P669" t="n">
        <v>0</v>
      </c>
      <c r="Q669" t="n">
        <v>0</v>
      </c>
      <c r="R669" s="2" t="inlineStr"/>
    </row>
    <row r="670" ht="15" customHeight="1">
      <c r="A670" t="inlineStr">
        <is>
          <t>A 61293-2022</t>
        </is>
      </c>
      <c r="B670" s="1" t="n">
        <v>44915.62751157407</v>
      </c>
      <c r="C670" s="1" t="n">
        <v>46098</v>
      </c>
      <c r="D670" t="inlineStr">
        <is>
          <t>DALARNAS LÄN</t>
        </is>
      </c>
      <c r="E670" t="inlineStr">
        <is>
          <t>MORA</t>
        </is>
      </c>
      <c r="G670" t="n">
        <v>0.3</v>
      </c>
      <c r="H670" t="n">
        <v>0</v>
      </c>
      <c r="I670" t="n">
        <v>0</v>
      </c>
      <c r="J670" t="n">
        <v>0</v>
      </c>
      <c r="K670" t="n">
        <v>0</v>
      </c>
      <c r="L670" t="n">
        <v>0</v>
      </c>
      <c r="M670" t="n">
        <v>0</v>
      </c>
      <c r="N670" t="n">
        <v>0</v>
      </c>
      <c r="O670" t="n">
        <v>0</v>
      </c>
      <c r="P670" t="n">
        <v>0</v>
      </c>
      <c r="Q670" t="n">
        <v>0</v>
      </c>
      <c r="R670" s="2" t="inlineStr"/>
    </row>
    <row r="671" ht="15" customHeight="1">
      <c r="A671" t="inlineStr">
        <is>
          <t>A 46412-2024</t>
        </is>
      </c>
      <c r="B671" s="1" t="n">
        <v>45582.44894675926</v>
      </c>
      <c r="C671" s="1" t="n">
        <v>46098</v>
      </c>
      <c r="D671" t="inlineStr">
        <is>
          <t>DALARNAS LÄN</t>
        </is>
      </c>
      <c r="E671" t="inlineStr">
        <is>
          <t>MORA</t>
        </is>
      </c>
      <c r="G671" t="n">
        <v>4.1</v>
      </c>
      <c r="H671" t="n">
        <v>0</v>
      </c>
      <c r="I671" t="n">
        <v>0</v>
      </c>
      <c r="J671" t="n">
        <v>0</v>
      </c>
      <c r="K671" t="n">
        <v>0</v>
      </c>
      <c r="L671" t="n">
        <v>0</v>
      </c>
      <c r="M671" t="n">
        <v>0</v>
      </c>
      <c r="N671" t="n">
        <v>0</v>
      </c>
      <c r="O671" t="n">
        <v>0</v>
      </c>
      <c r="P671" t="n">
        <v>0</v>
      </c>
      <c r="Q671" t="n">
        <v>0</v>
      </c>
      <c r="R671" s="2" t="inlineStr"/>
    </row>
    <row r="672" ht="15" customHeight="1">
      <c r="A672" t="inlineStr">
        <is>
          <t>A 57091-2021</t>
        </is>
      </c>
      <c r="B672" s="1" t="n">
        <v>44482</v>
      </c>
      <c r="C672" s="1" t="n">
        <v>46098</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50685-2023</t>
        </is>
      </c>
      <c r="B673" s="1" t="n">
        <v>45210</v>
      </c>
      <c r="C673" s="1" t="n">
        <v>46098</v>
      </c>
      <c r="D673" t="inlineStr">
        <is>
          <t>DALARNAS LÄN</t>
        </is>
      </c>
      <c r="E673" t="inlineStr">
        <is>
          <t>MORA</t>
        </is>
      </c>
      <c r="G673" t="n">
        <v>1.7</v>
      </c>
      <c r="H673" t="n">
        <v>0</v>
      </c>
      <c r="I673" t="n">
        <v>0</v>
      </c>
      <c r="J673" t="n">
        <v>0</v>
      </c>
      <c r="K673" t="n">
        <v>0</v>
      </c>
      <c r="L673" t="n">
        <v>0</v>
      </c>
      <c r="M673" t="n">
        <v>0</v>
      </c>
      <c r="N673" t="n">
        <v>0</v>
      </c>
      <c r="O673" t="n">
        <v>0</v>
      </c>
      <c r="P673" t="n">
        <v>0</v>
      </c>
      <c r="Q673" t="n">
        <v>0</v>
      </c>
      <c r="R673" s="2" t="inlineStr"/>
    </row>
    <row r="674" ht="15" customHeight="1">
      <c r="A674" t="inlineStr">
        <is>
          <t>A 36740-2023</t>
        </is>
      </c>
      <c r="B674" s="1" t="n">
        <v>45153</v>
      </c>
      <c r="C674" s="1" t="n">
        <v>46098</v>
      </c>
      <c r="D674" t="inlineStr">
        <is>
          <t>DALARNAS LÄN</t>
        </is>
      </c>
      <c r="E674" t="inlineStr">
        <is>
          <t>MORA</t>
        </is>
      </c>
      <c r="G674" t="n">
        <v>0.2</v>
      </c>
      <c r="H674" t="n">
        <v>0</v>
      </c>
      <c r="I674" t="n">
        <v>0</v>
      </c>
      <c r="J674" t="n">
        <v>0</v>
      </c>
      <c r="K674" t="n">
        <v>0</v>
      </c>
      <c r="L674" t="n">
        <v>0</v>
      </c>
      <c r="M674" t="n">
        <v>0</v>
      </c>
      <c r="N674" t="n">
        <v>0</v>
      </c>
      <c r="O674" t="n">
        <v>0</v>
      </c>
      <c r="P674" t="n">
        <v>0</v>
      </c>
      <c r="Q674" t="n">
        <v>0</v>
      </c>
      <c r="R674" s="2" t="inlineStr"/>
    </row>
    <row r="675" ht="15" customHeight="1">
      <c r="A675" t="inlineStr">
        <is>
          <t>A 31177-2021</t>
        </is>
      </c>
      <c r="B675" s="1" t="n">
        <v>44368</v>
      </c>
      <c r="C675" s="1" t="n">
        <v>46098</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65186-2021</t>
        </is>
      </c>
      <c r="B676" s="1" t="n">
        <v>44515</v>
      </c>
      <c r="C676" s="1" t="n">
        <v>46098</v>
      </c>
      <c r="D676" t="inlineStr">
        <is>
          <t>DALARNAS LÄN</t>
        </is>
      </c>
      <c r="E676" t="inlineStr">
        <is>
          <t>MORA</t>
        </is>
      </c>
      <c r="G676" t="n">
        <v>1.4</v>
      </c>
      <c r="H676" t="n">
        <v>0</v>
      </c>
      <c r="I676" t="n">
        <v>0</v>
      </c>
      <c r="J676" t="n">
        <v>0</v>
      </c>
      <c r="K676" t="n">
        <v>0</v>
      </c>
      <c r="L676" t="n">
        <v>0</v>
      </c>
      <c r="M676" t="n">
        <v>0</v>
      </c>
      <c r="N676" t="n">
        <v>0</v>
      </c>
      <c r="O676" t="n">
        <v>0</v>
      </c>
      <c r="P676" t="n">
        <v>0</v>
      </c>
      <c r="Q676" t="n">
        <v>0</v>
      </c>
      <c r="R676" s="2" t="inlineStr"/>
    </row>
    <row r="677" ht="15" customHeight="1">
      <c r="A677" t="inlineStr">
        <is>
          <t>A 58171-2024</t>
        </is>
      </c>
      <c r="B677" s="1" t="n">
        <v>45632.46545138889</v>
      </c>
      <c r="C677" s="1" t="n">
        <v>46098</v>
      </c>
      <c r="D677" t="inlineStr">
        <is>
          <t>DALARNAS LÄN</t>
        </is>
      </c>
      <c r="E677" t="inlineStr">
        <is>
          <t>MORA</t>
        </is>
      </c>
      <c r="G677" t="n">
        <v>0.5</v>
      </c>
      <c r="H677" t="n">
        <v>0</v>
      </c>
      <c r="I677" t="n">
        <v>0</v>
      </c>
      <c r="J677" t="n">
        <v>0</v>
      </c>
      <c r="K677" t="n">
        <v>0</v>
      </c>
      <c r="L677" t="n">
        <v>0</v>
      </c>
      <c r="M677" t="n">
        <v>0</v>
      </c>
      <c r="N677" t="n">
        <v>0</v>
      </c>
      <c r="O677" t="n">
        <v>0</v>
      </c>
      <c r="P677" t="n">
        <v>0</v>
      </c>
      <c r="Q677" t="n">
        <v>0</v>
      </c>
      <c r="R677" s="2" t="inlineStr"/>
    </row>
    <row r="678" ht="15" customHeight="1">
      <c r="A678" t="inlineStr">
        <is>
          <t>A 17167-2025</t>
        </is>
      </c>
      <c r="B678" s="1" t="n">
        <v>45756.36844907407</v>
      </c>
      <c r="C678" s="1" t="n">
        <v>46098</v>
      </c>
      <c r="D678" t="inlineStr">
        <is>
          <t>DALARNAS LÄN</t>
        </is>
      </c>
      <c r="E678" t="inlineStr">
        <is>
          <t>MORA</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20504-2023</t>
        </is>
      </c>
      <c r="B679" s="1" t="n">
        <v>45057</v>
      </c>
      <c r="C679" s="1" t="n">
        <v>46098</v>
      </c>
      <c r="D679" t="inlineStr">
        <is>
          <t>DALARNAS LÄN</t>
        </is>
      </c>
      <c r="E679" t="inlineStr">
        <is>
          <t>MORA</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36184-2021</t>
        </is>
      </c>
      <c r="B680" s="1" t="n">
        <v>44389</v>
      </c>
      <c r="C680" s="1" t="n">
        <v>46098</v>
      </c>
      <c r="D680" t="inlineStr">
        <is>
          <t>DALARNAS LÄN</t>
        </is>
      </c>
      <c r="E680" t="inlineStr">
        <is>
          <t>MORA</t>
        </is>
      </c>
      <c r="G680" t="n">
        <v>0.5</v>
      </c>
      <c r="H680" t="n">
        <v>0</v>
      </c>
      <c r="I680" t="n">
        <v>0</v>
      </c>
      <c r="J680" t="n">
        <v>0</v>
      </c>
      <c r="K680" t="n">
        <v>0</v>
      </c>
      <c r="L680" t="n">
        <v>0</v>
      </c>
      <c r="M680" t="n">
        <v>0</v>
      </c>
      <c r="N680" t="n">
        <v>0</v>
      </c>
      <c r="O680" t="n">
        <v>0</v>
      </c>
      <c r="P680" t="n">
        <v>0</v>
      </c>
      <c r="Q680" t="n">
        <v>0</v>
      </c>
      <c r="R680" s="2" t="inlineStr"/>
    </row>
    <row r="681" ht="15" customHeight="1">
      <c r="A681" t="inlineStr">
        <is>
          <t>A 17529-2023</t>
        </is>
      </c>
      <c r="B681" s="1" t="n">
        <v>45036.46804398148</v>
      </c>
      <c r="C681" s="1" t="n">
        <v>46098</v>
      </c>
      <c r="D681" t="inlineStr">
        <is>
          <t>DALARNAS LÄN</t>
        </is>
      </c>
      <c r="E681" t="inlineStr">
        <is>
          <t>MORA</t>
        </is>
      </c>
      <c r="G681" t="n">
        <v>6</v>
      </c>
      <c r="H681" t="n">
        <v>0</v>
      </c>
      <c r="I681" t="n">
        <v>0</v>
      </c>
      <c r="J681" t="n">
        <v>0</v>
      </c>
      <c r="K681" t="n">
        <v>0</v>
      </c>
      <c r="L681" t="n">
        <v>0</v>
      </c>
      <c r="M681" t="n">
        <v>0</v>
      </c>
      <c r="N681" t="n">
        <v>0</v>
      </c>
      <c r="O681" t="n">
        <v>0</v>
      </c>
      <c r="P681" t="n">
        <v>0</v>
      </c>
      <c r="Q681" t="n">
        <v>0</v>
      </c>
      <c r="R681" s="2" t="inlineStr"/>
    </row>
    <row r="682" ht="15" customHeight="1">
      <c r="A682" t="inlineStr">
        <is>
          <t>A 44201-2023</t>
        </is>
      </c>
      <c r="B682" s="1" t="n">
        <v>45188</v>
      </c>
      <c r="C682" s="1" t="n">
        <v>46098</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16522-2024</t>
        </is>
      </c>
      <c r="B683" s="1" t="n">
        <v>45408.41166666667</v>
      </c>
      <c r="C683" s="1" t="n">
        <v>46098</v>
      </c>
      <c r="D683" t="inlineStr">
        <is>
          <t>DALARNAS LÄN</t>
        </is>
      </c>
      <c r="E683" t="inlineStr">
        <is>
          <t>MORA</t>
        </is>
      </c>
      <c r="G683" t="n">
        <v>11.2</v>
      </c>
      <c r="H683" t="n">
        <v>0</v>
      </c>
      <c r="I683" t="n">
        <v>0</v>
      </c>
      <c r="J683" t="n">
        <v>0</v>
      </c>
      <c r="K683" t="n">
        <v>0</v>
      </c>
      <c r="L683" t="n">
        <v>0</v>
      </c>
      <c r="M683" t="n">
        <v>0</v>
      </c>
      <c r="N683" t="n">
        <v>0</v>
      </c>
      <c r="O683" t="n">
        <v>0</v>
      </c>
      <c r="P683" t="n">
        <v>0</v>
      </c>
      <c r="Q683" t="n">
        <v>0</v>
      </c>
      <c r="R683" s="2" t="inlineStr"/>
    </row>
    <row r="684" ht="15" customHeight="1">
      <c r="A684" t="inlineStr">
        <is>
          <t>A 36038-2024</t>
        </is>
      </c>
      <c r="B684" s="1" t="n">
        <v>45533</v>
      </c>
      <c r="C684" s="1" t="n">
        <v>46098</v>
      </c>
      <c r="D684" t="inlineStr">
        <is>
          <t>DALARNAS LÄN</t>
        </is>
      </c>
      <c r="E684" t="inlineStr">
        <is>
          <t>MORA</t>
        </is>
      </c>
      <c r="G684" t="n">
        <v>5.1</v>
      </c>
      <c r="H684" t="n">
        <v>0</v>
      </c>
      <c r="I684" t="n">
        <v>0</v>
      </c>
      <c r="J684" t="n">
        <v>0</v>
      </c>
      <c r="K684" t="n">
        <v>0</v>
      </c>
      <c r="L684" t="n">
        <v>0</v>
      </c>
      <c r="M684" t="n">
        <v>0</v>
      </c>
      <c r="N684" t="n">
        <v>0</v>
      </c>
      <c r="O684" t="n">
        <v>0</v>
      </c>
      <c r="P684" t="n">
        <v>0</v>
      </c>
      <c r="Q684" t="n">
        <v>0</v>
      </c>
      <c r="R684" s="2" t="inlineStr"/>
    </row>
    <row r="685" ht="15" customHeight="1">
      <c r="A685" t="inlineStr">
        <is>
          <t>A 2865-2022</t>
        </is>
      </c>
      <c r="B685" s="1" t="n">
        <v>44581</v>
      </c>
      <c r="C685" s="1" t="n">
        <v>46098</v>
      </c>
      <c r="D685" t="inlineStr">
        <is>
          <t>DALARNAS LÄN</t>
        </is>
      </c>
      <c r="E685" t="inlineStr">
        <is>
          <t>MORA</t>
        </is>
      </c>
      <c r="G685" t="n">
        <v>2</v>
      </c>
      <c r="H685" t="n">
        <v>0</v>
      </c>
      <c r="I685" t="n">
        <v>0</v>
      </c>
      <c r="J685" t="n">
        <v>0</v>
      </c>
      <c r="K685" t="n">
        <v>0</v>
      </c>
      <c r="L685" t="n">
        <v>0</v>
      </c>
      <c r="M685" t="n">
        <v>0</v>
      </c>
      <c r="N685" t="n">
        <v>0</v>
      </c>
      <c r="O685" t="n">
        <v>0</v>
      </c>
      <c r="P685" t="n">
        <v>0</v>
      </c>
      <c r="Q685" t="n">
        <v>0</v>
      </c>
      <c r="R685" s="2" t="inlineStr"/>
    </row>
    <row r="686" ht="15" customHeight="1">
      <c r="A686" t="inlineStr">
        <is>
          <t>A 56834-2024</t>
        </is>
      </c>
      <c r="B686" s="1" t="n">
        <v>45628.49931712963</v>
      </c>
      <c r="C686" s="1" t="n">
        <v>46098</v>
      </c>
      <c r="D686" t="inlineStr">
        <is>
          <t>DALARNAS LÄN</t>
        </is>
      </c>
      <c r="E686" t="inlineStr">
        <is>
          <t>MORA</t>
        </is>
      </c>
      <c r="G686" t="n">
        <v>0.4</v>
      </c>
      <c r="H686" t="n">
        <v>0</v>
      </c>
      <c r="I686" t="n">
        <v>0</v>
      </c>
      <c r="J686" t="n">
        <v>0</v>
      </c>
      <c r="K686" t="n">
        <v>0</v>
      </c>
      <c r="L686" t="n">
        <v>0</v>
      </c>
      <c r="M686" t="n">
        <v>0</v>
      </c>
      <c r="N686" t="n">
        <v>0</v>
      </c>
      <c r="O686" t="n">
        <v>0</v>
      </c>
      <c r="P686" t="n">
        <v>0</v>
      </c>
      <c r="Q686" t="n">
        <v>0</v>
      </c>
      <c r="R686" s="2" t="inlineStr"/>
    </row>
    <row r="687" ht="15" customHeight="1">
      <c r="A687" t="inlineStr">
        <is>
          <t>A 47036-2023</t>
        </is>
      </c>
      <c r="B687" s="1" t="n">
        <v>45196</v>
      </c>
      <c r="C687" s="1" t="n">
        <v>46098</v>
      </c>
      <c r="D687" t="inlineStr">
        <is>
          <t>DALARNAS LÄN</t>
        </is>
      </c>
      <c r="E687" t="inlineStr">
        <is>
          <t>MORA</t>
        </is>
      </c>
      <c r="G687" t="n">
        <v>2.7</v>
      </c>
      <c r="H687" t="n">
        <v>0</v>
      </c>
      <c r="I687" t="n">
        <v>0</v>
      </c>
      <c r="J687" t="n">
        <v>0</v>
      </c>
      <c r="K687" t="n">
        <v>0</v>
      </c>
      <c r="L687" t="n">
        <v>0</v>
      </c>
      <c r="M687" t="n">
        <v>0</v>
      </c>
      <c r="N687" t="n">
        <v>0</v>
      </c>
      <c r="O687" t="n">
        <v>0</v>
      </c>
      <c r="P687" t="n">
        <v>0</v>
      </c>
      <c r="Q687" t="n">
        <v>0</v>
      </c>
      <c r="R687" s="2" t="inlineStr"/>
    </row>
    <row r="688" ht="15" customHeight="1">
      <c r="A688" t="inlineStr">
        <is>
          <t>A 20544-2025</t>
        </is>
      </c>
      <c r="B688" s="1" t="n">
        <v>45775.63119212963</v>
      </c>
      <c r="C688" s="1" t="n">
        <v>46098</v>
      </c>
      <c r="D688" t="inlineStr">
        <is>
          <t>DALARNAS LÄN</t>
        </is>
      </c>
      <c r="E688" t="inlineStr">
        <is>
          <t>MORA</t>
        </is>
      </c>
      <c r="G688" t="n">
        <v>3.6</v>
      </c>
      <c r="H688" t="n">
        <v>0</v>
      </c>
      <c r="I688" t="n">
        <v>0</v>
      </c>
      <c r="J688" t="n">
        <v>0</v>
      </c>
      <c r="K688" t="n">
        <v>0</v>
      </c>
      <c r="L688" t="n">
        <v>0</v>
      </c>
      <c r="M688" t="n">
        <v>0</v>
      </c>
      <c r="N688" t="n">
        <v>0</v>
      </c>
      <c r="O688" t="n">
        <v>0</v>
      </c>
      <c r="P688" t="n">
        <v>0</v>
      </c>
      <c r="Q688" t="n">
        <v>0</v>
      </c>
      <c r="R688" s="2" t="inlineStr"/>
    </row>
    <row r="689" ht="15" customHeight="1">
      <c r="A689" t="inlineStr">
        <is>
          <t>A 51965-2024</t>
        </is>
      </c>
      <c r="B689" s="1" t="n">
        <v>45607.65123842593</v>
      </c>
      <c r="C689" s="1" t="n">
        <v>46098</v>
      </c>
      <c r="D689" t="inlineStr">
        <is>
          <t>DALARNAS LÄN</t>
        </is>
      </c>
      <c r="E689" t="inlineStr">
        <is>
          <t>MORA</t>
        </is>
      </c>
      <c r="G689" t="n">
        <v>1.3</v>
      </c>
      <c r="H689" t="n">
        <v>0</v>
      </c>
      <c r="I689" t="n">
        <v>0</v>
      </c>
      <c r="J689" t="n">
        <v>0</v>
      </c>
      <c r="K689" t="n">
        <v>0</v>
      </c>
      <c r="L689" t="n">
        <v>0</v>
      </c>
      <c r="M689" t="n">
        <v>0</v>
      </c>
      <c r="N689" t="n">
        <v>0</v>
      </c>
      <c r="O689" t="n">
        <v>0</v>
      </c>
      <c r="P689" t="n">
        <v>0</v>
      </c>
      <c r="Q689" t="n">
        <v>0</v>
      </c>
      <c r="R689" s="2" t="inlineStr"/>
    </row>
    <row r="690" ht="15" customHeight="1">
      <c r="A690" t="inlineStr">
        <is>
          <t>A 20401-2022</t>
        </is>
      </c>
      <c r="B690" s="1" t="n">
        <v>44699</v>
      </c>
      <c r="C690" s="1" t="n">
        <v>46098</v>
      </c>
      <c r="D690" t="inlineStr">
        <is>
          <t>DALARNAS LÄN</t>
        </is>
      </c>
      <c r="E690" t="inlineStr">
        <is>
          <t>MORA</t>
        </is>
      </c>
      <c r="G690" t="n">
        <v>3.2</v>
      </c>
      <c r="H690" t="n">
        <v>0</v>
      </c>
      <c r="I690" t="n">
        <v>0</v>
      </c>
      <c r="J690" t="n">
        <v>0</v>
      </c>
      <c r="K690" t="n">
        <v>0</v>
      </c>
      <c r="L690" t="n">
        <v>0</v>
      </c>
      <c r="M690" t="n">
        <v>0</v>
      </c>
      <c r="N690" t="n">
        <v>0</v>
      </c>
      <c r="O690" t="n">
        <v>0</v>
      </c>
      <c r="P690" t="n">
        <v>0</v>
      </c>
      <c r="Q690" t="n">
        <v>0</v>
      </c>
      <c r="R690" s="2" t="inlineStr"/>
    </row>
    <row r="691" ht="15" customHeight="1">
      <c r="A691" t="inlineStr">
        <is>
          <t>A 38627-2023</t>
        </is>
      </c>
      <c r="B691" s="1" t="n">
        <v>45162.68787037037</v>
      </c>
      <c r="C691" s="1" t="n">
        <v>46098</v>
      </c>
      <c r="D691" t="inlineStr">
        <is>
          <t>DALARNAS LÄN</t>
        </is>
      </c>
      <c r="E691" t="inlineStr">
        <is>
          <t>MORA</t>
        </is>
      </c>
      <c r="G691" t="n">
        <v>6.5</v>
      </c>
      <c r="H691" t="n">
        <v>0</v>
      </c>
      <c r="I691" t="n">
        <v>0</v>
      </c>
      <c r="J691" t="n">
        <v>0</v>
      </c>
      <c r="K691" t="n">
        <v>0</v>
      </c>
      <c r="L691" t="n">
        <v>0</v>
      </c>
      <c r="M691" t="n">
        <v>0</v>
      </c>
      <c r="N691" t="n">
        <v>0</v>
      </c>
      <c r="O691" t="n">
        <v>0</v>
      </c>
      <c r="P691" t="n">
        <v>0</v>
      </c>
      <c r="Q691" t="n">
        <v>0</v>
      </c>
      <c r="R691" s="2" t="inlineStr"/>
    </row>
    <row r="692" ht="15" customHeight="1">
      <c r="A692" t="inlineStr">
        <is>
          <t>A 64088-2023</t>
        </is>
      </c>
      <c r="B692" s="1" t="n">
        <v>45279.43570601852</v>
      </c>
      <c r="C692" s="1" t="n">
        <v>46098</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2830-2023</t>
        </is>
      </c>
      <c r="B693" s="1" t="n">
        <v>44945.32997685186</v>
      </c>
      <c r="C693" s="1" t="n">
        <v>46098</v>
      </c>
      <c r="D693" t="inlineStr">
        <is>
          <t>DALARNAS LÄN</t>
        </is>
      </c>
      <c r="E693" t="inlineStr">
        <is>
          <t>MORA</t>
        </is>
      </c>
      <c r="G693" t="n">
        <v>0.5</v>
      </c>
      <c r="H693" t="n">
        <v>0</v>
      </c>
      <c r="I693" t="n">
        <v>0</v>
      </c>
      <c r="J693" t="n">
        <v>0</v>
      </c>
      <c r="K693" t="n">
        <v>0</v>
      </c>
      <c r="L693" t="n">
        <v>0</v>
      </c>
      <c r="M693" t="n">
        <v>0</v>
      </c>
      <c r="N693" t="n">
        <v>0</v>
      </c>
      <c r="O693" t="n">
        <v>0</v>
      </c>
      <c r="P693" t="n">
        <v>0</v>
      </c>
      <c r="Q693" t="n">
        <v>0</v>
      </c>
      <c r="R693" s="2" t="inlineStr"/>
    </row>
    <row r="694" ht="15" customHeight="1">
      <c r="A694" t="inlineStr">
        <is>
          <t>A 39882-2024</t>
        </is>
      </c>
      <c r="B694" s="1" t="n">
        <v>45553</v>
      </c>
      <c r="C694" s="1" t="n">
        <v>46098</v>
      </c>
      <c r="D694" t="inlineStr">
        <is>
          <t>DALARNAS LÄN</t>
        </is>
      </c>
      <c r="E694" t="inlineStr">
        <is>
          <t>MORA</t>
        </is>
      </c>
      <c r="G694" t="n">
        <v>14.6</v>
      </c>
      <c r="H694" t="n">
        <v>0</v>
      </c>
      <c r="I694" t="n">
        <v>0</v>
      </c>
      <c r="J694" t="n">
        <v>0</v>
      </c>
      <c r="K694" t="n">
        <v>0</v>
      </c>
      <c r="L694" t="n">
        <v>0</v>
      </c>
      <c r="M694" t="n">
        <v>0</v>
      </c>
      <c r="N694" t="n">
        <v>0</v>
      </c>
      <c r="O694" t="n">
        <v>0</v>
      </c>
      <c r="P694" t="n">
        <v>0</v>
      </c>
      <c r="Q694" t="n">
        <v>0</v>
      </c>
      <c r="R694" s="2" t="inlineStr"/>
    </row>
    <row r="695" ht="15" customHeight="1">
      <c r="A695" t="inlineStr">
        <is>
          <t>A 43566-2023</t>
        </is>
      </c>
      <c r="B695" s="1" t="n">
        <v>45184.58199074074</v>
      </c>
      <c r="C695" s="1" t="n">
        <v>46098</v>
      </c>
      <c r="D695" t="inlineStr">
        <is>
          <t>DALARNAS LÄN</t>
        </is>
      </c>
      <c r="E695" t="inlineStr">
        <is>
          <t>MORA</t>
        </is>
      </c>
      <c r="F695" t="inlineStr">
        <is>
          <t>Bergvik skog väst AB</t>
        </is>
      </c>
      <c r="G695" t="n">
        <v>4.3</v>
      </c>
      <c r="H695" t="n">
        <v>0</v>
      </c>
      <c r="I695" t="n">
        <v>0</v>
      </c>
      <c r="J695" t="n">
        <v>0</v>
      </c>
      <c r="K695" t="n">
        <v>0</v>
      </c>
      <c r="L695" t="n">
        <v>0</v>
      </c>
      <c r="M695" t="n">
        <v>0</v>
      </c>
      <c r="N695" t="n">
        <v>0</v>
      </c>
      <c r="O695" t="n">
        <v>0</v>
      </c>
      <c r="P695" t="n">
        <v>0</v>
      </c>
      <c r="Q695" t="n">
        <v>0</v>
      </c>
      <c r="R695" s="2" t="inlineStr"/>
    </row>
    <row r="696" ht="15" customHeight="1">
      <c r="A696" t="inlineStr">
        <is>
          <t>A 46414-2024</t>
        </is>
      </c>
      <c r="B696" s="1" t="n">
        <v>45582.45226851852</v>
      </c>
      <c r="C696" s="1" t="n">
        <v>46098</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46417-2024</t>
        </is>
      </c>
      <c r="B697" s="1" t="n">
        <v>45582.45449074074</v>
      </c>
      <c r="C697" s="1" t="n">
        <v>46098</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5491-2023</t>
        </is>
      </c>
      <c r="B698" s="1" t="n">
        <v>44957</v>
      </c>
      <c r="C698" s="1" t="n">
        <v>46098</v>
      </c>
      <c r="D698" t="inlineStr">
        <is>
          <t>DALARNAS LÄN</t>
        </is>
      </c>
      <c r="E698" t="inlineStr">
        <is>
          <t>MORA</t>
        </is>
      </c>
      <c r="G698" t="n">
        <v>3.5</v>
      </c>
      <c r="H698" t="n">
        <v>0</v>
      </c>
      <c r="I698" t="n">
        <v>0</v>
      </c>
      <c r="J698" t="n">
        <v>0</v>
      </c>
      <c r="K698" t="n">
        <v>0</v>
      </c>
      <c r="L698" t="n">
        <v>0</v>
      </c>
      <c r="M698" t="n">
        <v>0</v>
      </c>
      <c r="N698" t="n">
        <v>0</v>
      </c>
      <c r="O698" t="n">
        <v>0</v>
      </c>
      <c r="P698" t="n">
        <v>0</v>
      </c>
      <c r="Q698" t="n">
        <v>0</v>
      </c>
      <c r="R698" s="2" t="inlineStr"/>
    </row>
    <row r="699" ht="15" customHeight="1">
      <c r="A699" t="inlineStr">
        <is>
          <t>A 5493-2023</t>
        </is>
      </c>
      <c r="B699" s="1" t="n">
        <v>44957</v>
      </c>
      <c r="C699" s="1" t="n">
        <v>46098</v>
      </c>
      <c r="D699" t="inlineStr">
        <is>
          <t>DALARNAS LÄN</t>
        </is>
      </c>
      <c r="E699" t="inlineStr">
        <is>
          <t>MORA</t>
        </is>
      </c>
      <c r="F699" t="inlineStr">
        <is>
          <t>Allmännings- och besparingsskogar</t>
        </is>
      </c>
      <c r="G699" t="n">
        <v>14.9</v>
      </c>
      <c r="H699" t="n">
        <v>0</v>
      </c>
      <c r="I699" t="n">
        <v>0</v>
      </c>
      <c r="J699" t="n">
        <v>0</v>
      </c>
      <c r="K699" t="n">
        <v>0</v>
      </c>
      <c r="L699" t="n">
        <v>0</v>
      </c>
      <c r="M699" t="n">
        <v>0</v>
      </c>
      <c r="N699" t="n">
        <v>0</v>
      </c>
      <c r="O699" t="n">
        <v>0</v>
      </c>
      <c r="P699" t="n">
        <v>0</v>
      </c>
      <c r="Q699" t="n">
        <v>0</v>
      </c>
      <c r="R699" s="2" t="inlineStr"/>
    </row>
    <row r="700" ht="15" customHeight="1">
      <c r="A700" t="inlineStr">
        <is>
          <t>A 48825-2023</t>
        </is>
      </c>
      <c r="B700" s="1" t="n">
        <v>45203</v>
      </c>
      <c r="C700" s="1" t="n">
        <v>46098</v>
      </c>
      <c r="D700" t="inlineStr">
        <is>
          <t>DALARNAS LÄN</t>
        </is>
      </c>
      <c r="E700" t="inlineStr">
        <is>
          <t>MORA</t>
        </is>
      </c>
      <c r="G700" t="n">
        <v>7.9</v>
      </c>
      <c r="H700" t="n">
        <v>0</v>
      </c>
      <c r="I700" t="n">
        <v>0</v>
      </c>
      <c r="J700" t="n">
        <v>0</v>
      </c>
      <c r="K700" t="n">
        <v>0</v>
      </c>
      <c r="L700" t="n">
        <v>0</v>
      </c>
      <c r="M700" t="n">
        <v>0</v>
      </c>
      <c r="N700" t="n">
        <v>0</v>
      </c>
      <c r="O700" t="n">
        <v>0</v>
      </c>
      <c r="P700" t="n">
        <v>0</v>
      </c>
      <c r="Q700" t="n">
        <v>0</v>
      </c>
      <c r="R700" s="2" t="inlineStr"/>
    </row>
    <row r="701" ht="15" customHeight="1">
      <c r="A701" t="inlineStr">
        <is>
          <t>A 29193-2023</t>
        </is>
      </c>
      <c r="B701" s="1" t="n">
        <v>45105.54791666667</v>
      </c>
      <c r="C701" s="1" t="n">
        <v>46098</v>
      </c>
      <c r="D701" t="inlineStr">
        <is>
          <t>DALARNAS LÄN</t>
        </is>
      </c>
      <c r="E701" t="inlineStr">
        <is>
          <t>MORA</t>
        </is>
      </c>
      <c r="G701" t="n">
        <v>0.4</v>
      </c>
      <c r="H701" t="n">
        <v>0</v>
      </c>
      <c r="I701" t="n">
        <v>0</v>
      </c>
      <c r="J701" t="n">
        <v>0</v>
      </c>
      <c r="K701" t="n">
        <v>0</v>
      </c>
      <c r="L701" t="n">
        <v>0</v>
      </c>
      <c r="M701" t="n">
        <v>0</v>
      </c>
      <c r="N701" t="n">
        <v>0</v>
      </c>
      <c r="O701" t="n">
        <v>0</v>
      </c>
      <c r="P701" t="n">
        <v>0</v>
      </c>
      <c r="Q701" t="n">
        <v>0</v>
      </c>
      <c r="R701" s="2" t="inlineStr"/>
    </row>
    <row r="702" ht="15" customHeight="1">
      <c r="A702" t="inlineStr">
        <is>
          <t>A 18444-2024</t>
        </is>
      </c>
      <c r="B702" s="1" t="n">
        <v>45425.45568287037</v>
      </c>
      <c r="C702" s="1" t="n">
        <v>46098</v>
      </c>
      <c r="D702" t="inlineStr">
        <is>
          <t>DALARNAS LÄN</t>
        </is>
      </c>
      <c r="E702" t="inlineStr">
        <is>
          <t>MORA</t>
        </is>
      </c>
      <c r="G702" t="n">
        <v>5</v>
      </c>
      <c r="H702" t="n">
        <v>0</v>
      </c>
      <c r="I702" t="n">
        <v>0</v>
      </c>
      <c r="J702" t="n">
        <v>0</v>
      </c>
      <c r="K702" t="n">
        <v>0</v>
      </c>
      <c r="L702" t="n">
        <v>0</v>
      </c>
      <c r="M702" t="n">
        <v>0</v>
      </c>
      <c r="N702" t="n">
        <v>0</v>
      </c>
      <c r="O702" t="n">
        <v>0</v>
      </c>
      <c r="P702" t="n">
        <v>0</v>
      </c>
      <c r="Q702" t="n">
        <v>0</v>
      </c>
      <c r="R702" s="2" t="inlineStr"/>
    </row>
    <row r="703" ht="15" customHeight="1">
      <c r="A703" t="inlineStr">
        <is>
          <t>A 47784-2024</t>
        </is>
      </c>
      <c r="B703" s="1" t="n">
        <v>45588.59290509259</v>
      </c>
      <c r="C703" s="1" t="n">
        <v>46098</v>
      </c>
      <c r="D703" t="inlineStr">
        <is>
          <t>DALARNAS LÄN</t>
        </is>
      </c>
      <c r="E703" t="inlineStr">
        <is>
          <t>MORA</t>
        </is>
      </c>
      <c r="G703" t="n">
        <v>15.3</v>
      </c>
      <c r="H703" t="n">
        <v>0</v>
      </c>
      <c r="I703" t="n">
        <v>0</v>
      </c>
      <c r="J703" t="n">
        <v>0</v>
      </c>
      <c r="K703" t="n">
        <v>0</v>
      </c>
      <c r="L703" t="n">
        <v>0</v>
      </c>
      <c r="M703" t="n">
        <v>0</v>
      </c>
      <c r="N703" t="n">
        <v>0</v>
      </c>
      <c r="O703" t="n">
        <v>0</v>
      </c>
      <c r="P703" t="n">
        <v>0</v>
      </c>
      <c r="Q703" t="n">
        <v>0</v>
      </c>
      <c r="R703" s="2" t="inlineStr"/>
    </row>
    <row r="704" ht="15" customHeight="1">
      <c r="A704" t="inlineStr">
        <is>
          <t>A 35551-2023</t>
        </is>
      </c>
      <c r="B704" s="1" t="n">
        <v>45147.3934837963</v>
      </c>
      <c r="C704" s="1" t="n">
        <v>46098</v>
      </c>
      <c r="D704" t="inlineStr">
        <is>
          <t>DALARNAS LÄN</t>
        </is>
      </c>
      <c r="E704" t="inlineStr">
        <is>
          <t>MORA</t>
        </is>
      </c>
      <c r="G704" t="n">
        <v>1.1</v>
      </c>
      <c r="H704" t="n">
        <v>0</v>
      </c>
      <c r="I704" t="n">
        <v>0</v>
      </c>
      <c r="J704" t="n">
        <v>0</v>
      </c>
      <c r="K704" t="n">
        <v>0</v>
      </c>
      <c r="L704" t="n">
        <v>0</v>
      </c>
      <c r="M704" t="n">
        <v>0</v>
      </c>
      <c r="N704" t="n">
        <v>0</v>
      </c>
      <c r="O704" t="n">
        <v>0</v>
      </c>
      <c r="P704" t="n">
        <v>0</v>
      </c>
      <c r="Q704" t="n">
        <v>0</v>
      </c>
      <c r="R704" s="2" t="inlineStr"/>
    </row>
    <row r="705" ht="15" customHeight="1">
      <c r="A705" t="inlineStr">
        <is>
          <t>A 59174-2023</t>
        </is>
      </c>
      <c r="B705" s="1" t="n">
        <v>45253.43202546296</v>
      </c>
      <c r="C705" s="1" t="n">
        <v>46098</v>
      </c>
      <c r="D705" t="inlineStr">
        <is>
          <t>DALARNAS LÄN</t>
        </is>
      </c>
      <c r="E705" t="inlineStr">
        <is>
          <t>MORA</t>
        </is>
      </c>
      <c r="G705" t="n">
        <v>2.5</v>
      </c>
      <c r="H705" t="n">
        <v>0</v>
      </c>
      <c r="I705" t="n">
        <v>0</v>
      </c>
      <c r="J705" t="n">
        <v>0</v>
      </c>
      <c r="K705" t="n">
        <v>0</v>
      </c>
      <c r="L705" t="n">
        <v>0</v>
      </c>
      <c r="M705" t="n">
        <v>0</v>
      </c>
      <c r="N705" t="n">
        <v>0</v>
      </c>
      <c r="O705" t="n">
        <v>0</v>
      </c>
      <c r="P705" t="n">
        <v>0</v>
      </c>
      <c r="Q705" t="n">
        <v>0</v>
      </c>
      <c r="R705" s="2" t="inlineStr"/>
    </row>
    <row r="706" ht="15" customHeight="1">
      <c r="A706" t="inlineStr">
        <is>
          <t>A 55331-2022</t>
        </is>
      </c>
      <c r="B706" s="1" t="n">
        <v>44887.43714120371</v>
      </c>
      <c r="C706" s="1" t="n">
        <v>46098</v>
      </c>
      <c r="D706" t="inlineStr">
        <is>
          <t>DALARNAS LÄN</t>
        </is>
      </c>
      <c r="E706" t="inlineStr">
        <is>
          <t>MORA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42085-2024</t>
        </is>
      </c>
      <c r="B707" s="1" t="n">
        <v>45562.33179398148</v>
      </c>
      <c r="C707" s="1" t="n">
        <v>46098</v>
      </c>
      <c r="D707" t="inlineStr">
        <is>
          <t>DALARNAS LÄN</t>
        </is>
      </c>
      <c r="E707" t="inlineStr">
        <is>
          <t>MORA</t>
        </is>
      </c>
      <c r="G707" t="n">
        <v>4.9</v>
      </c>
      <c r="H707" t="n">
        <v>0</v>
      </c>
      <c r="I707" t="n">
        <v>0</v>
      </c>
      <c r="J707" t="n">
        <v>0</v>
      </c>
      <c r="K707" t="n">
        <v>0</v>
      </c>
      <c r="L707" t="n">
        <v>0</v>
      </c>
      <c r="M707" t="n">
        <v>0</v>
      </c>
      <c r="N707" t="n">
        <v>0</v>
      </c>
      <c r="O707" t="n">
        <v>0</v>
      </c>
      <c r="P707" t="n">
        <v>0</v>
      </c>
      <c r="Q707" t="n">
        <v>0</v>
      </c>
      <c r="R707" s="2" t="inlineStr"/>
    </row>
    <row r="708" ht="15" customHeight="1">
      <c r="A708" t="inlineStr">
        <is>
          <t>A 60187-2024</t>
        </is>
      </c>
      <c r="B708" s="1" t="n">
        <v>45642.64803240741</v>
      </c>
      <c r="C708" s="1" t="n">
        <v>46098</v>
      </c>
      <c r="D708" t="inlineStr">
        <is>
          <t>DALARNAS LÄN</t>
        </is>
      </c>
      <c r="E708" t="inlineStr">
        <is>
          <t>MORA</t>
        </is>
      </c>
      <c r="F708" t="inlineStr">
        <is>
          <t>Allmännings- och besparingsskogar</t>
        </is>
      </c>
      <c r="G708" t="n">
        <v>24.6</v>
      </c>
      <c r="H708" t="n">
        <v>0</v>
      </c>
      <c r="I708" t="n">
        <v>0</v>
      </c>
      <c r="J708" t="n">
        <v>0</v>
      </c>
      <c r="K708" t="n">
        <v>0</v>
      </c>
      <c r="L708" t="n">
        <v>0</v>
      </c>
      <c r="M708" t="n">
        <v>0</v>
      </c>
      <c r="N708" t="n">
        <v>0</v>
      </c>
      <c r="O708" t="n">
        <v>0</v>
      </c>
      <c r="P708" t="n">
        <v>0</v>
      </c>
      <c r="Q708" t="n">
        <v>0</v>
      </c>
      <c r="R708" s="2" t="inlineStr"/>
    </row>
    <row r="709" ht="15" customHeight="1">
      <c r="A709" t="inlineStr">
        <is>
          <t>A 61222-2023</t>
        </is>
      </c>
      <c r="B709" s="1" t="n">
        <v>45264</v>
      </c>
      <c r="C709" s="1" t="n">
        <v>46098</v>
      </c>
      <c r="D709" t="inlineStr">
        <is>
          <t>DALARNAS LÄN</t>
        </is>
      </c>
      <c r="E709" t="inlineStr">
        <is>
          <t>MORA</t>
        </is>
      </c>
      <c r="F709" t="inlineStr">
        <is>
          <t>Allmännings- och besparingsskogar</t>
        </is>
      </c>
      <c r="G709" t="n">
        <v>1.1</v>
      </c>
      <c r="H709" t="n">
        <v>0</v>
      </c>
      <c r="I709" t="n">
        <v>0</v>
      </c>
      <c r="J709" t="n">
        <v>0</v>
      </c>
      <c r="K709" t="n">
        <v>0</v>
      </c>
      <c r="L709" t="n">
        <v>0</v>
      </c>
      <c r="M709" t="n">
        <v>0</v>
      </c>
      <c r="N709" t="n">
        <v>0</v>
      </c>
      <c r="O709" t="n">
        <v>0</v>
      </c>
      <c r="P709" t="n">
        <v>0</v>
      </c>
      <c r="Q709" t="n">
        <v>0</v>
      </c>
      <c r="R709" s="2" t="inlineStr"/>
    </row>
    <row r="710" ht="15" customHeight="1">
      <c r="A710" t="inlineStr">
        <is>
          <t>A 40949-2023</t>
        </is>
      </c>
      <c r="B710" s="1" t="n">
        <v>45173</v>
      </c>
      <c r="C710" s="1" t="n">
        <v>46098</v>
      </c>
      <c r="D710" t="inlineStr">
        <is>
          <t>DALARNAS LÄN</t>
        </is>
      </c>
      <c r="E710" t="inlineStr">
        <is>
          <t>MORA</t>
        </is>
      </c>
      <c r="F710" t="inlineStr">
        <is>
          <t>Kyrkan</t>
        </is>
      </c>
      <c r="G710" t="n">
        <v>0.5</v>
      </c>
      <c r="H710" t="n">
        <v>0</v>
      </c>
      <c r="I710" t="n">
        <v>0</v>
      </c>
      <c r="J710" t="n">
        <v>0</v>
      </c>
      <c r="K710" t="n">
        <v>0</v>
      </c>
      <c r="L710" t="n">
        <v>0</v>
      </c>
      <c r="M710" t="n">
        <v>0</v>
      </c>
      <c r="N710" t="n">
        <v>0</v>
      </c>
      <c r="O710" t="n">
        <v>0</v>
      </c>
      <c r="P710" t="n">
        <v>0</v>
      </c>
      <c r="Q710" t="n">
        <v>0</v>
      </c>
      <c r="R710" s="2" t="inlineStr"/>
    </row>
    <row r="711" ht="15" customHeight="1">
      <c r="A711" t="inlineStr">
        <is>
          <t>A 5216-2025</t>
        </is>
      </c>
      <c r="B711" s="1" t="n">
        <v>45691.69671296296</v>
      </c>
      <c r="C711" s="1" t="n">
        <v>46098</v>
      </c>
      <c r="D711" t="inlineStr">
        <is>
          <t>DALARNAS LÄN</t>
        </is>
      </c>
      <c r="E711" t="inlineStr">
        <is>
          <t>MORA</t>
        </is>
      </c>
      <c r="G711" t="n">
        <v>2.5</v>
      </c>
      <c r="H711" t="n">
        <v>0</v>
      </c>
      <c r="I711" t="n">
        <v>0</v>
      </c>
      <c r="J711" t="n">
        <v>0</v>
      </c>
      <c r="K711" t="n">
        <v>0</v>
      </c>
      <c r="L711" t="n">
        <v>0</v>
      </c>
      <c r="M711" t="n">
        <v>0</v>
      </c>
      <c r="N711" t="n">
        <v>0</v>
      </c>
      <c r="O711" t="n">
        <v>0</v>
      </c>
      <c r="P711" t="n">
        <v>0</v>
      </c>
      <c r="Q711" t="n">
        <v>0</v>
      </c>
      <c r="R711" s="2" t="inlineStr"/>
    </row>
    <row r="712" ht="15" customHeight="1">
      <c r="A712" t="inlineStr">
        <is>
          <t>A 45674-2024</t>
        </is>
      </c>
      <c r="B712" s="1" t="n">
        <v>45573</v>
      </c>
      <c r="C712" s="1" t="n">
        <v>46098</v>
      </c>
      <c r="D712" t="inlineStr">
        <is>
          <t>DALARNAS LÄN</t>
        </is>
      </c>
      <c r="E712" t="inlineStr">
        <is>
          <t>MORA</t>
        </is>
      </c>
      <c r="G712" t="n">
        <v>3.2</v>
      </c>
      <c r="H712" t="n">
        <v>0</v>
      </c>
      <c r="I712" t="n">
        <v>0</v>
      </c>
      <c r="J712" t="n">
        <v>0</v>
      </c>
      <c r="K712" t="n">
        <v>0</v>
      </c>
      <c r="L712" t="n">
        <v>0</v>
      </c>
      <c r="M712" t="n">
        <v>0</v>
      </c>
      <c r="N712" t="n">
        <v>0</v>
      </c>
      <c r="O712" t="n">
        <v>0</v>
      </c>
      <c r="P712" t="n">
        <v>0</v>
      </c>
      <c r="Q712" t="n">
        <v>0</v>
      </c>
      <c r="R712" s="2" t="inlineStr"/>
    </row>
    <row r="713" ht="15" customHeight="1">
      <c r="A713" t="inlineStr">
        <is>
          <t>A 18139-2025</t>
        </is>
      </c>
      <c r="B713" s="1" t="n">
        <v>45761.60459490741</v>
      </c>
      <c r="C713" s="1" t="n">
        <v>46098</v>
      </c>
      <c r="D713" t="inlineStr">
        <is>
          <t>DALARNAS LÄN</t>
        </is>
      </c>
      <c r="E713" t="inlineStr">
        <is>
          <t>MORA</t>
        </is>
      </c>
      <c r="F713" t="inlineStr">
        <is>
          <t>Bergvik skog öst AB</t>
        </is>
      </c>
      <c r="G713" t="n">
        <v>3</v>
      </c>
      <c r="H713" t="n">
        <v>0</v>
      </c>
      <c r="I713" t="n">
        <v>0</v>
      </c>
      <c r="J713" t="n">
        <v>0</v>
      </c>
      <c r="K713" t="n">
        <v>0</v>
      </c>
      <c r="L713" t="n">
        <v>0</v>
      </c>
      <c r="M713" t="n">
        <v>0</v>
      </c>
      <c r="N713" t="n">
        <v>0</v>
      </c>
      <c r="O713" t="n">
        <v>0</v>
      </c>
      <c r="P713" t="n">
        <v>0</v>
      </c>
      <c r="Q713" t="n">
        <v>0</v>
      </c>
      <c r="R713" s="2" t="inlineStr"/>
    </row>
    <row r="714" ht="15" customHeight="1">
      <c r="A714" t="inlineStr">
        <is>
          <t>A 57999-2023</t>
        </is>
      </c>
      <c r="B714" s="1" t="n">
        <v>45247</v>
      </c>
      <c r="C714" s="1" t="n">
        <v>46098</v>
      </c>
      <c r="D714" t="inlineStr">
        <is>
          <t>DALARNAS LÄN</t>
        </is>
      </c>
      <c r="E714" t="inlineStr">
        <is>
          <t>MORA</t>
        </is>
      </c>
      <c r="G714" t="n">
        <v>0.4</v>
      </c>
      <c r="H714" t="n">
        <v>0</v>
      </c>
      <c r="I714" t="n">
        <v>0</v>
      </c>
      <c r="J714" t="n">
        <v>0</v>
      </c>
      <c r="K714" t="n">
        <v>0</v>
      </c>
      <c r="L714" t="n">
        <v>0</v>
      </c>
      <c r="M714" t="n">
        <v>0</v>
      </c>
      <c r="N714" t="n">
        <v>0</v>
      </c>
      <c r="O714" t="n">
        <v>0</v>
      </c>
      <c r="P714" t="n">
        <v>0</v>
      </c>
      <c r="Q714" t="n">
        <v>0</v>
      </c>
      <c r="R714" s="2" t="inlineStr"/>
    </row>
    <row r="715" ht="15" customHeight="1">
      <c r="A715" t="inlineStr">
        <is>
          <t>A 24335-2022</t>
        </is>
      </c>
      <c r="B715" s="1" t="n">
        <v>44725</v>
      </c>
      <c r="C715" s="1" t="n">
        <v>46098</v>
      </c>
      <c r="D715" t="inlineStr">
        <is>
          <t>DALARNAS LÄN</t>
        </is>
      </c>
      <c r="E715" t="inlineStr">
        <is>
          <t>MORA</t>
        </is>
      </c>
      <c r="G715" t="n">
        <v>16</v>
      </c>
      <c r="H715" t="n">
        <v>0</v>
      </c>
      <c r="I715" t="n">
        <v>0</v>
      </c>
      <c r="J715" t="n">
        <v>0</v>
      </c>
      <c r="K715" t="n">
        <v>0</v>
      </c>
      <c r="L715" t="n">
        <v>0</v>
      </c>
      <c r="M715" t="n">
        <v>0</v>
      </c>
      <c r="N715" t="n">
        <v>0</v>
      </c>
      <c r="O715" t="n">
        <v>0</v>
      </c>
      <c r="P715" t="n">
        <v>0</v>
      </c>
      <c r="Q715" t="n">
        <v>0</v>
      </c>
      <c r="R715" s="2" t="inlineStr"/>
    </row>
    <row r="716" ht="15" customHeight="1">
      <c r="A716" t="inlineStr">
        <is>
          <t>A 55120-2024</t>
        </is>
      </c>
      <c r="B716" s="1" t="n">
        <v>45621.45765046297</v>
      </c>
      <c r="C716" s="1" t="n">
        <v>46098</v>
      </c>
      <c r="D716" t="inlineStr">
        <is>
          <t>DALARNAS LÄN</t>
        </is>
      </c>
      <c r="E716" t="inlineStr">
        <is>
          <t>MORA</t>
        </is>
      </c>
      <c r="G716" t="n">
        <v>1.9</v>
      </c>
      <c r="H716" t="n">
        <v>0</v>
      </c>
      <c r="I716" t="n">
        <v>0</v>
      </c>
      <c r="J716" t="n">
        <v>0</v>
      </c>
      <c r="K716" t="n">
        <v>0</v>
      </c>
      <c r="L716" t="n">
        <v>0</v>
      </c>
      <c r="M716" t="n">
        <v>0</v>
      </c>
      <c r="N716" t="n">
        <v>0</v>
      </c>
      <c r="O716" t="n">
        <v>0</v>
      </c>
      <c r="P716" t="n">
        <v>0</v>
      </c>
      <c r="Q716" t="n">
        <v>0</v>
      </c>
      <c r="R716" s="2" t="inlineStr"/>
    </row>
    <row r="717" ht="15" customHeight="1">
      <c r="A717" t="inlineStr">
        <is>
          <t>A 34660-2021</t>
        </is>
      </c>
      <c r="B717" s="1" t="n">
        <v>44382.57981481482</v>
      </c>
      <c r="C717" s="1" t="n">
        <v>46098</v>
      </c>
      <c r="D717" t="inlineStr">
        <is>
          <t>DALARNAS LÄN</t>
        </is>
      </c>
      <c r="E717" t="inlineStr">
        <is>
          <t>MORA</t>
        </is>
      </c>
      <c r="G717" t="n">
        <v>7.5</v>
      </c>
      <c r="H717" t="n">
        <v>0</v>
      </c>
      <c r="I717" t="n">
        <v>0</v>
      </c>
      <c r="J717" t="n">
        <v>0</v>
      </c>
      <c r="K717" t="n">
        <v>0</v>
      </c>
      <c r="L717" t="n">
        <v>0</v>
      </c>
      <c r="M717" t="n">
        <v>0</v>
      </c>
      <c r="N717" t="n">
        <v>0</v>
      </c>
      <c r="O717" t="n">
        <v>0</v>
      </c>
      <c r="P717" t="n">
        <v>0</v>
      </c>
      <c r="Q717" t="n">
        <v>0</v>
      </c>
      <c r="R717" s="2" t="inlineStr"/>
    </row>
    <row r="718" ht="15" customHeight="1">
      <c r="A718" t="inlineStr">
        <is>
          <t>A 42934-2024</t>
        </is>
      </c>
      <c r="B718" s="1" t="n">
        <v>45567.33655092592</v>
      </c>
      <c r="C718" s="1" t="n">
        <v>46098</v>
      </c>
      <c r="D718" t="inlineStr">
        <is>
          <t>DALARNAS LÄN</t>
        </is>
      </c>
      <c r="E718" t="inlineStr">
        <is>
          <t>MORA</t>
        </is>
      </c>
      <c r="G718" t="n">
        <v>0.7</v>
      </c>
      <c r="H718" t="n">
        <v>0</v>
      </c>
      <c r="I718" t="n">
        <v>0</v>
      </c>
      <c r="J718" t="n">
        <v>0</v>
      </c>
      <c r="K718" t="n">
        <v>0</v>
      </c>
      <c r="L718" t="n">
        <v>0</v>
      </c>
      <c r="M718" t="n">
        <v>0</v>
      </c>
      <c r="N718" t="n">
        <v>0</v>
      </c>
      <c r="O718" t="n">
        <v>0</v>
      </c>
      <c r="P718" t="n">
        <v>0</v>
      </c>
      <c r="Q718" t="n">
        <v>0</v>
      </c>
      <c r="R718" s="2" t="inlineStr"/>
    </row>
    <row r="719" ht="15" customHeight="1">
      <c r="A719" t="inlineStr">
        <is>
          <t>A 17516-2024</t>
        </is>
      </c>
      <c r="B719" s="1" t="n">
        <v>45415.58502314815</v>
      </c>
      <c r="C719" s="1" t="n">
        <v>46098</v>
      </c>
      <c r="D719" t="inlineStr">
        <is>
          <t>DALARNAS LÄN</t>
        </is>
      </c>
      <c r="E719" t="inlineStr">
        <is>
          <t>MORA</t>
        </is>
      </c>
      <c r="G719" t="n">
        <v>1.4</v>
      </c>
      <c r="H719" t="n">
        <v>0</v>
      </c>
      <c r="I719" t="n">
        <v>0</v>
      </c>
      <c r="J719" t="n">
        <v>0</v>
      </c>
      <c r="K719" t="n">
        <v>0</v>
      </c>
      <c r="L719" t="n">
        <v>0</v>
      </c>
      <c r="M719" t="n">
        <v>0</v>
      </c>
      <c r="N719" t="n">
        <v>0</v>
      </c>
      <c r="O719" t="n">
        <v>0</v>
      </c>
      <c r="P719" t="n">
        <v>0</v>
      </c>
      <c r="Q719" t="n">
        <v>0</v>
      </c>
      <c r="R719" s="2" t="inlineStr"/>
    </row>
    <row r="720" ht="15" customHeight="1">
      <c r="A720" t="inlineStr">
        <is>
          <t>A 49159-2023</t>
        </is>
      </c>
      <c r="B720" s="1" t="n">
        <v>45210</v>
      </c>
      <c r="C720" s="1" t="n">
        <v>46098</v>
      </c>
      <c r="D720" t="inlineStr">
        <is>
          <t>DALARNAS LÄN</t>
        </is>
      </c>
      <c r="E720" t="inlineStr">
        <is>
          <t>MORA</t>
        </is>
      </c>
      <c r="G720" t="n">
        <v>1.6</v>
      </c>
      <c r="H720" t="n">
        <v>0</v>
      </c>
      <c r="I720" t="n">
        <v>0</v>
      </c>
      <c r="J720" t="n">
        <v>0</v>
      </c>
      <c r="K720" t="n">
        <v>0</v>
      </c>
      <c r="L720" t="n">
        <v>0</v>
      </c>
      <c r="M720" t="n">
        <v>0</v>
      </c>
      <c r="N720" t="n">
        <v>0</v>
      </c>
      <c r="O720" t="n">
        <v>0</v>
      </c>
      <c r="P720" t="n">
        <v>0</v>
      </c>
      <c r="Q720" t="n">
        <v>0</v>
      </c>
      <c r="R720" s="2" t="inlineStr"/>
    </row>
    <row r="721" ht="15" customHeight="1">
      <c r="A721" t="inlineStr">
        <is>
          <t>A 29188-2023</t>
        </is>
      </c>
      <c r="B721" s="1" t="n">
        <v>45105.54270833333</v>
      </c>
      <c r="C721" s="1" t="n">
        <v>46098</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26314-2021</t>
        </is>
      </c>
      <c r="B722" s="1" t="n">
        <v>44347</v>
      </c>
      <c r="C722" s="1" t="n">
        <v>46098</v>
      </c>
      <c r="D722" t="inlineStr">
        <is>
          <t>DALARNAS LÄN</t>
        </is>
      </c>
      <c r="E722" t="inlineStr">
        <is>
          <t>MORA</t>
        </is>
      </c>
      <c r="G722" t="n">
        <v>0.7</v>
      </c>
      <c r="H722" t="n">
        <v>0</v>
      </c>
      <c r="I722" t="n">
        <v>0</v>
      </c>
      <c r="J722" t="n">
        <v>0</v>
      </c>
      <c r="K722" t="n">
        <v>0</v>
      </c>
      <c r="L722" t="n">
        <v>0</v>
      </c>
      <c r="M722" t="n">
        <v>0</v>
      </c>
      <c r="N722" t="n">
        <v>0</v>
      </c>
      <c r="O722" t="n">
        <v>0</v>
      </c>
      <c r="P722" t="n">
        <v>0</v>
      </c>
      <c r="Q722" t="n">
        <v>0</v>
      </c>
      <c r="R722" s="2" t="inlineStr"/>
    </row>
    <row r="723" ht="15" customHeight="1">
      <c r="A723" t="inlineStr">
        <is>
          <t>A 30985-2024</t>
        </is>
      </c>
      <c r="B723" s="1" t="n">
        <v>45499.51721064815</v>
      </c>
      <c r="C723" s="1" t="n">
        <v>46098</v>
      </c>
      <c r="D723" t="inlineStr">
        <is>
          <t>DALARNAS LÄN</t>
        </is>
      </c>
      <c r="E723" t="inlineStr">
        <is>
          <t>MORA</t>
        </is>
      </c>
      <c r="G723" t="n">
        <v>0.7</v>
      </c>
      <c r="H723" t="n">
        <v>0</v>
      </c>
      <c r="I723" t="n">
        <v>0</v>
      </c>
      <c r="J723" t="n">
        <v>0</v>
      </c>
      <c r="K723" t="n">
        <v>0</v>
      </c>
      <c r="L723" t="n">
        <v>0</v>
      </c>
      <c r="M723" t="n">
        <v>0</v>
      </c>
      <c r="N723" t="n">
        <v>0</v>
      </c>
      <c r="O723" t="n">
        <v>0</v>
      </c>
      <c r="P723" t="n">
        <v>0</v>
      </c>
      <c r="Q723" t="n">
        <v>0</v>
      </c>
      <c r="R723" s="2" t="inlineStr"/>
    </row>
    <row r="724" ht="15" customHeight="1">
      <c r="A724" t="inlineStr">
        <is>
          <t>A 18202-2024</t>
        </is>
      </c>
      <c r="B724" s="1" t="n">
        <v>45420.68172453704</v>
      </c>
      <c r="C724" s="1" t="n">
        <v>46098</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40286-2024</t>
        </is>
      </c>
      <c r="B725" s="1" t="n">
        <v>45554.6687037037</v>
      </c>
      <c r="C725" s="1" t="n">
        <v>46098</v>
      </c>
      <c r="D725" t="inlineStr">
        <is>
          <t>DALARNAS LÄN</t>
        </is>
      </c>
      <c r="E725" t="inlineStr">
        <is>
          <t>MORA</t>
        </is>
      </c>
      <c r="G725" t="n">
        <v>0.4</v>
      </c>
      <c r="H725" t="n">
        <v>0</v>
      </c>
      <c r="I725" t="n">
        <v>0</v>
      </c>
      <c r="J725" t="n">
        <v>0</v>
      </c>
      <c r="K725" t="n">
        <v>0</v>
      </c>
      <c r="L725" t="n">
        <v>0</v>
      </c>
      <c r="M725" t="n">
        <v>0</v>
      </c>
      <c r="N725" t="n">
        <v>0</v>
      </c>
      <c r="O725" t="n">
        <v>0</v>
      </c>
      <c r="P725" t="n">
        <v>0</v>
      </c>
      <c r="Q725" t="n">
        <v>0</v>
      </c>
      <c r="R725" s="2" t="inlineStr"/>
    </row>
    <row r="726" ht="15" customHeight="1">
      <c r="A726" t="inlineStr">
        <is>
          <t>A 41169-2023</t>
        </is>
      </c>
      <c r="B726" s="1" t="n">
        <v>45174.34662037037</v>
      </c>
      <c r="C726" s="1" t="n">
        <v>46098</v>
      </c>
      <c r="D726" t="inlineStr">
        <is>
          <t>DALARNAS LÄN</t>
        </is>
      </c>
      <c r="E726" t="inlineStr">
        <is>
          <t>MORA</t>
        </is>
      </c>
      <c r="G726" t="n">
        <v>3</v>
      </c>
      <c r="H726" t="n">
        <v>0</v>
      </c>
      <c r="I726" t="n">
        <v>0</v>
      </c>
      <c r="J726" t="n">
        <v>0</v>
      </c>
      <c r="K726" t="n">
        <v>0</v>
      </c>
      <c r="L726" t="n">
        <v>0</v>
      </c>
      <c r="M726" t="n">
        <v>0</v>
      </c>
      <c r="N726" t="n">
        <v>0</v>
      </c>
      <c r="O726" t="n">
        <v>0</v>
      </c>
      <c r="P726" t="n">
        <v>0</v>
      </c>
      <c r="Q726" t="n">
        <v>0</v>
      </c>
      <c r="R726" s="2" t="inlineStr"/>
    </row>
    <row r="727" ht="15" customHeight="1">
      <c r="A727" t="inlineStr">
        <is>
          <t>A 43826-2022</t>
        </is>
      </c>
      <c r="B727" s="1" t="n">
        <v>44838</v>
      </c>
      <c r="C727" s="1" t="n">
        <v>46098</v>
      </c>
      <c r="D727" t="inlineStr">
        <is>
          <t>DALARNAS LÄN</t>
        </is>
      </c>
      <c r="E727" t="inlineStr">
        <is>
          <t>MORA</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44106-2023</t>
        </is>
      </c>
      <c r="B728" s="1" t="n">
        <v>45188</v>
      </c>
      <c r="C728" s="1" t="n">
        <v>46098</v>
      </c>
      <c r="D728" t="inlineStr">
        <is>
          <t>DALARNAS LÄN</t>
        </is>
      </c>
      <c r="E728" t="inlineStr">
        <is>
          <t>MORA</t>
        </is>
      </c>
      <c r="G728" t="n">
        <v>10.1</v>
      </c>
      <c r="H728" t="n">
        <v>0</v>
      </c>
      <c r="I728" t="n">
        <v>0</v>
      </c>
      <c r="J728" t="n">
        <v>0</v>
      </c>
      <c r="K728" t="n">
        <v>0</v>
      </c>
      <c r="L728" t="n">
        <v>0</v>
      </c>
      <c r="M728" t="n">
        <v>0</v>
      </c>
      <c r="N728" t="n">
        <v>0</v>
      </c>
      <c r="O728" t="n">
        <v>0</v>
      </c>
      <c r="P728" t="n">
        <v>0</v>
      </c>
      <c r="Q728" t="n">
        <v>0</v>
      </c>
      <c r="R728" s="2" t="inlineStr"/>
    </row>
    <row r="729" ht="15" customHeight="1">
      <c r="A729" t="inlineStr">
        <is>
          <t>A 59002-2024</t>
        </is>
      </c>
      <c r="B729" s="1" t="n">
        <v>45636</v>
      </c>
      <c r="C729" s="1" t="n">
        <v>46098</v>
      </c>
      <c r="D729" t="inlineStr">
        <is>
          <t>DALARNAS LÄN</t>
        </is>
      </c>
      <c r="E729" t="inlineStr">
        <is>
          <t>MORA</t>
        </is>
      </c>
      <c r="F729" t="inlineStr">
        <is>
          <t>Bergvik skog väst AB</t>
        </is>
      </c>
      <c r="G729" t="n">
        <v>24.8</v>
      </c>
      <c r="H729" t="n">
        <v>0</v>
      </c>
      <c r="I729" t="n">
        <v>0</v>
      </c>
      <c r="J729" t="n">
        <v>0</v>
      </c>
      <c r="K729" t="n">
        <v>0</v>
      </c>
      <c r="L729" t="n">
        <v>0</v>
      </c>
      <c r="M729" t="n">
        <v>0</v>
      </c>
      <c r="N729" t="n">
        <v>0</v>
      </c>
      <c r="O729" t="n">
        <v>0</v>
      </c>
      <c r="P729" t="n">
        <v>0</v>
      </c>
      <c r="Q729" t="n">
        <v>0</v>
      </c>
      <c r="R729" s="2" t="inlineStr"/>
    </row>
    <row r="730" ht="15" customHeight="1">
      <c r="A730" t="inlineStr">
        <is>
          <t>A 5980-2025</t>
        </is>
      </c>
      <c r="B730" s="1" t="n">
        <v>45695.54651620371</v>
      </c>
      <c r="C730" s="1" t="n">
        <v>46098</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5527-2024</t>
        </is>
      </c>
      <c r="B731" s="1" t="n">
        <v>45334.38981481481</v>
      </c>
      <c r="C731" s="1" t="n">
        <v>46098</v>
      </c>
      <c r="D731" t="inlineStr">
        <is>
          <t>DALARNAS LÄN</t>
        </is>
      </c>
      <c r="E731" t="inlineStr">
        <is>
          <t>MORA</t>
        </is>
      </c>
      <c r="G731" t="n">
        <v>1</v>
      </c>
      <c r="H731" t="n">
        <v>0</v>
      </c>
      <c r="I731" t="n">
        <v>0</v>
      </c>
      <c r="J731" t="n">
        <v>0</v>
      </c>
      <c r="K731" t="n">
        <v>0</v>
      </c>
      <c r="L731" t="n">
        <v>0</v>
      </c>
      <c r="M731" t="n">
        <v>0</v>
      </c>
      <c r="N731" t="n">
        <v>0</v>
      </c>
      <c r="O731" t="n">
        <v>0</v>
      </c>
      <c r="P731" t="n">
        <v>0</v>
      </c>
      <c r="Q731" t="n">
        <v>0</v>
      </c>
      <c r="R731" s="2" t="inlineStr"/>
    </row>
    <row r="732" ht="15" customHeight="1">
      <c r="A732" t="inlineStr">
        <is>
          <t>A 39856-2024</t>
        </is>
      </c>
      <c r="B732" s="1" t="n">
        <v>45553.44084490741</v>
      </c>
      <c r="C732" s="1" t="n">
        <v>46098</v>
      </c>
      <c r="D732" t="inlineStr">
        <is>
          <t>DALARNAS LÄN</t>
        </is>
      </c>
      <c r="E732" t="inlineStr">
        <is>
          <t>MORA</t>
        </is>
      </c>
      <c r="G732" t="n">
        <v>4.8</v>
      </c>
      <c r="H732" t="n">
        <v>0</v>
      </c>
      <c r="I732" t="n">
        <v>0</v>
      </c>
      <c r="J732" t="n">
        <v>0</v>
      </c>
      <c r="K732" t="n">
        <v>0</v>
      </c>
      <c r="L732" t="n">
        <v>0</v>
      </c>
      <c r="M732" t="n">
        <v>0</v>
      </c>
      <c r="N732" t="n">
        <v>0</v>
      </c>
      <c r="O732" t="n">
        <v>0</v>
      </c>
      <c r="P732" t="n">
        <v>0</v>
      </c>
      <c r="Q732" t="n">
        <v>0</v>
      </c>
      <c r="R732" s="2" t="inlineStr"/>
    </row>
    <row r="733" ht="15" customHeight="1">
      <c r="A733" t="inlineStr">
        <is>
          <t>A 52288-2024</t>
        </is>
      </c>
      <c r="B733" s="1" t="n">
        <v>45608.69395833334</v>
      </c>
      <c r="C733" s="1" t="n">
        <v>46098</v>
      </c>
      <c r="D733" t="inlineStr">
        <is>
          <t>DALARNAS LÄN</t>
        </is>
      </c>
      <c r="E733" t="inlineStr">
        <is>
          <t>MORA</t>
        </is>
      </c>
      <c r="G733" t="n">
        <v>2</v>
      </c>
      <c r="H733" t="n">
        <v>0</v>
      </c>
      <c r="I733" t="n">
        <v>0</v>
      </c>
      <c r="J733" t="n">
        <v>0</v>
      </c>
      <c r="K733" t="n">
        <v>0</v>
      </c>
      <c r="L733" t="n">
        <v>0</v>
      </c>
      <c r="M733" t="n">
        <v>0</v>
      </c>
      <c r="N733" t="n">
        <v>0</v>
      </c>
      <c r="O733" t="n">
        <v>0</v>
      </c>
      <c r="P733" t="n">
        <v>0</v>
      </c>
      <c r="Q733" t="n">
        <v>0</v>
      </c>
      <c r="R733" s="2" t="inlineStr"/>
    </row>
    <row r="734" ht="15" customHeight="1">
      <c r="A734" t="inlineStr">
        <is>
          <t>A 43879-2022</t>
        </is>
      </c>
      <c r="B734" s="1" t="n">
        <v>44838.46721064814</v>
      </c>
      <c r="C734" s="1" t="n">
        <v>46098</v>
      </c>
      <c r="D734" t="inlineStr">
        <is>
          <t>DALARNAS LÄN</t>
        </is>
      </c>
      <c r="E734" t="inlineStr">
        <is>
          <t>MORA</t>
        </is>
      </c>
      <c r="G734" t="n">
        <v>3.4</v>
      </c>
      <c r="H734" t="n">
        <v>0</v>
      </c>
      <c r="I734" t="n">
        <v>0</v>
      </c>
      <c r="J734" t="n">
        <v>0</v>
      </c>
      <c r="K734" t="n">
        <v>0</v>
      </c>
      <c r="L734" t="n">
        <v>0</v>
      </c>
      <c r="M734" t="n">
        <v>0</v>
      </c>
      <c r="N734" t="n">
        <v>0</v>
      </c>
      <c r="O734" t="n">
        <v>0</v>
      </c>
      <c r="P734" t="n">
        <v>0</v>
      </c>
      <c r="Q734" t="n">
        <v>0</v>
      </c>
      <c r="R734" s="2" t="inlineStr"/>
    </row>
    <row r="735" ht="15" customHeight="1">
      <c r="A735" t="inlineStr">
        <is>
          <t>A 12920-2022</t>
        </is>
      </c>
      <c r="B735" s="1" t="n">
        <v>44642.65418981481</v>
      </c>
      <c r="C735" s="1" t="n">
        <v>46098</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17280-2025</t>
        </is>
      </c>
      <c r="B736" s="1" t="n">
        <v>45756</v>
      </c>
      <c r="C736" s="1" t="n">
        <v>46098</v>
      </c>
      <c r="D736" t="inlineStr">
        <is>
          <t>DALARNAS LÄN</t>
        </is>
      </c>
      <c r="E736" t="inlineStr">
        <is>
          <t>MORA</t>
        </is>
      </c>
      <c r="G736" t="n">
        <v>2.1</v>
      </c>
      <c r="H736" t="n">
        <v>0</v>
      </c>
      <c r="I736" t="n">
        <v>0</v>
      </c>
      <c r="J736" t="n">
        <v>0</v>
      </c>
      <c r="K736" t="n">
        <v>0</v>
      </c>
      <c r="L736" t="n">
        <v>0</v>
      </c>
      <c r="M736" t="n">
        <v>0</v>
      </c>
      <c r="N736" t="n">
        <v>0</v>
      </c>
      <c r="O736" t="n">
        <v>0</v>
      </c>
      <c r="P736" t="n">
        <v>0</v>
      </c>
      <c r="Q736" t="n">
        <v>0</v>
      </c>
      <c r="R736" s="2" t="inlineStr"/>
    </row>
    <row r="737" ht="15" customHeight="1">
      <c r="A737" t="inlineStr">
        <is>
          <t>A 34282-2024</t>
        </is>
      </c>
      <c r="B737" s="1" t="n">
        <v>45524.62600694445</v>
      </c>
      <c r="C737" s="1" t="n">
        <v>46098</v>
      </c>
      <c r="D737" t="inlineStr">
        <is>
          <t>DALARNAS LÄN</t>
        </is>
      </c>
      <c r="E737" t="inlineStr">
        <is>
          <t>MORA</t>
        </is>
      </c>
      <c r="G737" t="n">
        <v>0.5</v>
      </c>
      <c r="H737" t="n">
        <v>0</v>
      </c>
      <c r="I737" t="n">
        <v>0</v>
      </c>
      <c r="J737" t="n">
        <v>0</v>
      </c>
      <c r="K737" t="n">
        <v>0</v>
      </c>
      <c r="L737" t="n">
        <v>0</v>
      </c>
      <c r="M737" t="n">
        <v>0</v>
      </c>
      <c r="N737" t="n">
        <v>0</v>
      </c>
      <c r="O737" t="n">
        <v>0</v>
      </c>
      <c r="P737" t="n">
        <v>0</v>
      </c>
      <c r="Q737" t="n">
        <v>0</v>
      </c>
      <c r="R737" s="2" t="inlineStr"/>
    </row>
    <row r="738" ht="15" customHeight="1">
      <c r="A738" t="inlineStr">
        <is>
          <t>A 38055-2024</t>
        </is>
      </c>
      <c r="B738" s="1" t="n">
        <v>45544</v>
      </c>
      <c r="C738" s="1" t="n">
        <v>46098</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7116-2024</t>
        </is>
      </c>
      <c r="B739" s="1" t="n">
        <v>45343.95445601852</v>
      </c>
      <c r="C739" s="1" t="n">
        <v>46098</v>
      </c>
      <c r="D739" t="inlineStr">
        <is>
          <t>DALARNAS LÄN</t>
        </is>
      </c>
      <c r="E739" t="inlineStr">
        <is>
          <t>MORA</t>
        </is>
      </c>
      <c r="G739" t="n">
        <v>0.3</v>
      </c>
      <c r="H739" t="n">
        <v>0</v>
      </c>
      <c r="I739" t="n">
        <v>0</v>
      </c>
      <c r="J739" t="n">
        <v>0</v>
      </c>
      <c r="K739" t="n">
        <v>0</v>
      </c>
      <c r="L739" t="n">
        <v>0</v>
      </c>
      <c r="M739" t="n">
        <v>0</v>
      </c>
      <c r="N739" t="n">
        <v>0</v>
      </c>
      <c r="O739" t="n">
        <v>0</v>
      </c>
      <c r="P739" t="n">
        <v>0</v>
      </c>
      <c r="Q739" t="n">
        <v>0</v>
      </c>
      <c r="R739" s="2" t="inlineStr"/>
    </row>
    <row r="740" ht="15" customHeight="1">
      <c r="A740" t="inlineStr">
        <is>
          <t>A 22785-2023</t>
        </is>
      </c>
      <c r="B740" s="1" t="n">
        <v>45072.34796296297</v>
      </c>
      <c r="C740" s="1" t="n">
        <v>46098</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60718-2023</t>
        </is>
      </c>
      <c r="B741" s="1" t="n">
        <v>45260.5284375</v>
      </c>
      <c r="C741" s="1" t="n">
        <v>46098</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7972-2024</t>
        </is>
      </c>
      <c r="B742" s="1" t="n">
        <v>45350</v>
      </c>
      <c r="C742" s="1" t="n">
        <v>46098</v>
      </c>
      <c r="D742" t="inlineStr">
        <is>
          <t>DALARNAS LÄN</t>
        </is>
      </c>
      <c r="E742" t="inlineStr">
        <is>
          <t>MORA</t>
        </is>
      </c>
      <c r="G742" t="n">
        <v>2.4</v>
      </c>
      <c r="H742" t="n">
        <v>0</v>
      </c>
      <c r="I742" t="n">
        <v>0</v>
      </c>
      <c r="J742" t="n">
        <v>0</v>
      </c>
      <c r="K742" t="n">
        <v>0</v>
      </c>
      <c r="L742" t="n">
        <v>0</v>
      </c>
      <c r="M742" t="n">
        <v>0</v>
      </c>
      <c r="N742" t="n">
        <v>0</v>
      </c>
      <c r="O742" t="n">
        <v>0</v>
      </c>
      <c r="P742" t="n">
        <v>0</v>
      </c>
      <c r="Q742" t="n">
        <v>0</v>
      </c>
      <c r="R742" s="2" t="inlineStr"/>
    </row>
    <row r="743" ht="15" customHeight="1">
      <c r="A743" t="inlineStr">
        <is>
          <t>A 16637-2025</t>
        </is>
      </c>
      <c r="B743" s="1" t="n">
        <v>45754.36738425926</v>
      </c>
      <c r="C743" s="1" t="n">
        <v>46098</v>
      </c>
      <c r="D743" t="inlineStr">
        <is>
          <t>DALARNAS LÄN</t>
        </is>
      </c>
      <c r="E743" t="inlineStr">
        <is>
          <t>MORA</t>
        </is>
      </c>
      <c r="G743" t="n">
        <v>1.1</v>
      </c>
      <c r="H743" t="n">
        <v>0</v>
      </c>
      <c r="I743" t="n">
        <v>0</v>
      </c>
      <c r="J743" t="n">
        <v>0</v>
      </c>
      <c r="K743" t="n">
        <v>0</v>
      </c>
      <c r="L743" t="n">
        <v>0</v>
      </c>
      <c r="M743" t="n">
        <v>0</v>
      </c>
      <c r="N743" t="n">
        <v>0</v>
      </c>
      <c r="O743" t="n">
        <v>0</v>
      </c>
      <c r="P743" t="n">
        <v>0</v>
      </c>
      <c r="Q743" t="n">
        <v>0</v>
      </c>
      <c r="R743" s="2" t="inlineStr"/>
    </row>
    <row r="744" ht="15" customHeight="1">
      <c r="A744" t="inlineStr">
        <is>
          <t>A 49991-2023</t>
        </is>
      </c>
      <c r="B744" s="1" t="n">
        <v>45215.43879629629</v>
      </c>
      <c r="C744" s="1" t="n">
        <v>46098</v>
      </c>
      <c r="D744" t="inlineStr">
        <is>
          <t>DALARNAS LÄN</t>
        </is>
      </c>
      <c r="E744" t="inlineStr">
        <is>
          <t>MORA</t>
        </is>
      </c>
      <c r="G744" t="n">
        <v>1.8</v>
      </c>
      <c r="H744" t="n">
        <v>0</v>
      </c>
      <c r="I744" t="n">
        <v>0</v>
      </c>
      <c r="J744" t="n">
        <v>0</v>
      </c>
      <c r="K744" t="n">
        <v>0</v>
      </c>
      <c r="L744" t="n">
        <v>0</v>
      </c>
      <c r="M744" t="n">
        <v>0</v>
      </c>
      <c r="N744" t="n">
        <v>0</v>
      </c>
      <c r="O744" t="n">
        <v>0</v>
      </c>
      <c r="P744" t="n">
        <v>0</v>
      </c>
      <c r="Q744" t="n">
        <v>0</v>
      </c>
      <c r="R744" s="2" t="inlineStr"/>
    </row>
    <row r="745" ht="15" customHeight="1">
      <c r="A745" t="inlineStr">
        <is>
          <t>A 28131-2024</t>
        </is>
      </c>
      <c r="B745" s="1" t="n">
        <v>45476.68435185185</v>
      </c>
      <c r="C745" s="1" t="n">
        <v>46098</v>
      </c>
      <c r="D745" t="inlineStr">
        <is>
          <t>DALARNAS LÄN</t>
        </is>
      </c>
      <c r="E745" t="inlineStr">
        <is>
          <t>MORA</t>
        </is>
      </c>
      <c r="G745" t="n">
        <v>0.8</v>
      </c>
      <c r="H745" t="n">
        <v>0</v>
      </c>
      <c r="I745" t="n">
        <v>0</v>
      </c>
      <c r="J745" t="n">
        <v>0</v>
      </c>
      <c r="K745" t="n">
        <v>0</v>
      </c>
      <c r="L745" t="n">
        <v>0</v>
      </c>
      <c r="M745" t="n">
        <v>0</v>
      </c>
      <c r="N745" t="n">
        <v>0</v>
      </c>
      <c r="O745" t="n">
        <v>0</v>
      </c>
      <c r="P745" t="n">
        <v>0</v>
      </c>
      <c r="Q745" t="n">
        <v>0</v>
      </c>
      <c r="R745" s="2" t="inlineStr"/>
    </row>
    <row r="746" ht="15" customHeight="1">
      <c r="A746" t="inlineStr">
        <is>
          <t>A 28132-2024</t>
        </is>
      </c>
      <c r="B746" s="1" t="n">
        <v>45476.68616898148</v>
      </c>
      <c r="C746" s="1" t="n">
        <v>46098</v>
      </c>
      <c r="D746" t="inlineStr">
        <is>
          <t>DALARNAS LÄN</t>
        </is>
      </c>
      <c r="E746" t="inlineStr">
        <is>
          <t>MORA</t>
        </is>
      </c>
      <c r="G746" t="n">
        <v>0.2</v>
      </c>
      <c r="H746" t="n">
        <v>0</v>
      </c>
      <c r="I746" t="n">
        <v>0</v>
      </c>
      <c r="J746" t="n">
        <v>0</v>
      </c>
      <c r="K746" t="n">
        <v>0</v>
      </c>
      <c r="L746" t="n">
        <v>0</v>
      </c>
      <c r="M746" t="n">
        <v>0</v>
      </c>
      <c r="N746" t="n">
        <v>0</v>
      </c>
      <c r="O746" t="n">
        <v>0</v>
      </c>
      <c r="P746" t="n">
        <v>0</v>
      </c>
      <c r="Q746" t="n">
        <v>0</v>
      </c>
      <c r="R746" s="2" t="inlineStr"/>
    </row>
    <row r="747" ht="15" customHeight="1">
      <c r="A747" t="inlineStr">
        <is>
          <t>A 12987-2024</t>
        </is>
      </c>
      <c r="B747" s="1" t="n">
        <v>45385.55375</v>
      </c>
      <c r="C747" s="1" t="n">
        <v>46098</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48170-2024</t>
        </is>
      </c>
      <c r="B748" s="1" t="n">
        <v>45589.76975694444</v>
      </c>
      <c r="C748" s="1" t="n">
        <v>46098</v>
      </c>
      <c r="D748" t="inlineStr">
        <is>
          <t>DALARNAS LÄN</t>
        </is>
      </c>
      <c r="E748" t="inlineStr">
        <is>
          <t>MORA</t>
        </is>
      </c>
      <c r="G748" t="n">
        <v>2.4</v>
      </c>
      <c r="H748" t="n">
        <v>0</v>
      </c>
      <c r="I748" t="n">
        <v>0</v>
      </c>
      <c r="J748" t="n">
        <v>0</v>
      </c>
      <c r="K748" t="n">
        <v>0</v>
      </c>
      <c r="L748" t="n">
        <v>0</v>
      </c>
      <c r="M748" t="n">
        <v>0</v>
      </c>
      <c r="N748" t="n">
        <v>0</v>
      </c>
      <c r="O748" t="n">
        <v>0</v>
      </c>
      <c r="P748" t="n">
        <v>0</v>
      </c>
      <c r="Q748" t="n">
        <v>0</v>
      </c>
      <c r="R748" s="2" t="inlineStr"/>
    </row>
    <row r="749" ht="15" customHeight="1">
      <c r="A749" t="inlineStr">
        <is>
          <t>A 58892-2023</t>
        </is>
      </c>
      <c r="B749" s="1" t="n">
        <v>45252.48592592592</v>
      </c>
      <c r="C749" s="1" t="n">
        <v>46098</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27975-2023</t>
        </is>
      </c>
      <c r="B750" s="1" t="n">
        <v>45098</v>
      </c>
      <c r="C750" s="1" t="n">
        <v>46098</v>
      </c>
      <c r="D750" t="inlineStr">
        <is>
          <t>DALARNAS LÄN</t>
        </is>
      </c>
      <c r="E750" t="inlineStr">
        <is>
          <t>MORA</t>
        </is>
      </c>
      <c r="G750" t="n">
        <v>1.1</v>
      </c>
      <c r="H750" t="n">
        <v>0</v>
      </c>
      <c r="I750" t="n">
        <v>0</v>
      </c>
      <c r="J750" t="n">
        <v>0</v>
      </c>
      <c r="K750" t="n">
        <v>0</v>
      </c>
      <c r="L750" t="n">
        <v>0</v>
      </c>
      <c r="M750" t="n">
        <v>0</v>
      </c>
      <c r="N750" t="n">
        <v>0</v>
      </c>
      <c r="O750" t="n">
        <v>0</v>
      </c>
      <c r="P750" t="n">
        <v>0</v>
      </c>
      <c r="Q750" t="n">
        <v>0</v>
      </c>
      <c r="R750" s="2" t="inlineStr"/>
    </row>
    <row r="751" ht="15" customHeight="1">
      <c r="A751" t="inlineStr">
        <is>
          <t>A 55222-2023</t>
        </is>
      </c>
      <c r="B751" s="1" t="n">
        <v>45237.60775462963</v>
      </c>
      <c r="C751" s="1" t="n">
        <v>46098</v>
      </c>
      <c r="D751" t="inlineStr">
        <is>
          <t>DALARNAS LÄN</t>
        </is>
      </c>
      <c r="E751" t="inlineStr">
        <is>
          <t>MORA</t>
        </is>
      </c>
      <c r="F751" t="inlineStr">
        <is>
          <t>Allmännings- och besparingsskogar</t>
        </is>
      </c>
      <c r="G751" t="n">
        <v>19.8</v>
      </c>
      <c r="H751" t="n">
        <v>0</v>
      </c>
      <c r="I751" t="n">
        <v>0</v>
      </c>
      <c r="J751" t="n">
        <v>0</v>
      </c>
      <c r="K751" t="n">
        <v>0</v>
      </c>
      <c r="L751" t="n">
        <v>0</v>
      </c>
      <c r="M751" t="n">
        <v>0</v>
      </c>
      <c r="N751" t="n">
        <v>0</v>
      </c>
      <c r="O751" t="n">
        <v>0</v>
      </c>
      <c r="P751" t="n">
        <v>0</v>
      </c>
      <c r="Q751" t="n">
        <v>0</v>
      </c>
      <c r="R751" s="2" t="inlineStr"/>
    </row>
    <row r="752" ht="15" customHeight="1">
      <c r="A752" t="inlineStr">
        <is>
          <t>A 24772-2024</t>
        </is>
      </c>
      <c r="B752" s="1" t="n">
        <v>45460.70204861111</v>
      </c>
      <c r="C752" s="1" t="n">
        <v>46098</v>
      </c>
      <c r="D752" t="inlineStr">
        <is>
          <t>DALARNAS LÄN</t>
        </is>
      </c>
      <c r="E752" t="inlineStr">
        <is>
          <t>MORA</t>
        </is>
      </c>
      <c r="G752" t="n">
        <v>0.9</v>
      </c>
      <c r="H752" t="n">
        <v>0</v>
      </c>
      <c r="I752" t="n">
        <v>0</v>
      </c>
      <c r="J752" t="n">
        <v>0</v>
      </c>
      <c r="K752" t="n">
        <v>0</v>
      </c>
      <c r="L752" t="n">
        <v>0</v>
      </c>
      <c r="M752" t="n">
        <v>0</v>
      </c>
      <c r="N752" t="n">
        <v>0</v>
      </c>
      <c r="O752" t="n">
        <v>0</v>
      </c>
      <c r="P752" t="n">
        <v>0</v>
      </c>
      <c r="Q752" t="n">
        <v>0</v>
      </c>
      <c r="R752" s="2" t="inlineStr"/>
    </row>
    <row r="753" ht="15" customHeight="1">
      <c r="A753" t="inlineStr">
        <is>
          <t>A 5486-2023</t>
        </is>
      </c>
      <c r="B753" s="1" t="n">
        <v>44957</v>
      </c>
      <c r="C753" s="1" t="n">
        <v>46098</v>
      </c>
      <c r="D753" t="inlineStr">
        <is>
          <t>DALARNAS LÄN</t>
        </is>
      </c>
      <c r="E753" t="inlineStr">
        <is>
          <t>MORA</t>
        </is>
      </c>
      <c r="G753" t="n">
        <v>3.2</v>
      </c>
      <c r="H753" t="n">
        <v>0</v>
      </c>
      <c r="I753" t="n">
        <v>0</v>
      </c>
      <c r="J753" t="n">
        <v>0</v>
      </c>
      <c r="K753" t="n">
        <v>0</v>
      </c>
      <c r="L753" t="n">
        <v>0</v>
      </c>
      <c r="M753" t="n">
        <v>0</v>
      </c>
      <c r="N753" t="n">
        <v>0</v>
      </c>
      <c r="O753" t="n">
        <v>0</v>
      </c>
      <c r="P753" t="n">
        <v>0</v>
      </c>
      <c r="Q753" t="n">
        <v>0</v>
      </c>
      <c r="R753" s="2" t="inlineStr"/>
    </row>
    <row r="754" ht="15" customHeight="1">
      <c r="A754" t="inlineStr">
        <is>
          <t>A 42943-2024</t>
        </is>
      </c>
      <c r="B754" s="1" t="n">
        <v>45567.35359953704</v>
      </c>
      <c r="C754" s="1" t="n">
        <v>46098</v>
      </c>
      <c r="D754" t="inlineStr">
        <is>
          <t>DALARNAS LÄN</t>
        </is>
      </c>
      <c r="E754" t="inlineStr">
        <is>
          <t>MORA</t>
        </is>
      </c>
      <c r="G754" t="n">
        <v>0.5</v>
      </c>
      <c r="H754" t="n">
        <v>0</v>
      </c>
      <c r="I754" t="n">
        <v>0</v>
      </c>
      <c r="J754" t="n">
        <v>0</v>
      </c>
      <c r="K754" t="n">
        <v>0</v>
      </c>
      <c r="L754" t="n">
        <v>0</v>
      </c>
      <c r="M754" t="n">
        <v>0</v>
      </c>
      <c r="N754" t="n">
        <v>0</v>
      </c>
      <c r="O754" t="n">
        <v>0</v>
      </c>
      <c r="P754" t="n">
        <v>0</v>
      </c>
      <c r="Q754" t="n">
        <v>0</v>
      </c>
      <c r="R754" s="2" t="inlineStr"/>
    </row>
    <row r="755" ht="15" customHeight="1">
      <c r="A755" t="inlineStr">
        <is>
          <t>A 9855-2024</t>
        </is>
      </c>
      <c r="B755" s="1" t="n">
        <v>45363.40368055556</v>
      </c>
      <c r="C755" s="1" t="n">
        <v>46098</v>
      </c>
      <c r="D755" t="inlineStr">
        <is>
          <t>DALARNAS LÄN</t>
        </is>
      </c>
      <c r="E755" t="inlineStr">
        <is>
          <t>MORA</t>
        </is>
      </c>
      <c r="G755" t="n">
        <v>8.6</v>
      </c>
      <c r="H755" t="n">
        <v>0</v>
      </c>
      <c r="I755" t="n">
        <v>0</v>
      </c>
      <c r="J755" t="n">
        <v>0</v>
      </c>
      <c r="K755" t="n">
        <v>0</v>
      </c>
      <c r="L755" t="n">
        <v>0</v>
      </c>
      <c r="M755" t="n">
        <v>0</v>
      </c>
      <c r="N755" t="n">
        <v>0</v>
      </c>
      <c r="O755" t="n">
        <v>0</v>
      </c>
      <c r="P755" t="n">
        <v>0</v>
      </c>
      <c r="Q755" t="n">
        <v>0</v>
      </c>
      <c r="R755" s="2" t="inlineStr"/>
    </row>
    <row r="756" ht="15" customHeight="1">
      <c r="A756" t="inlineStr">
        <is>
          <t>A 21244-2024</t>
        </is>
      </c>
      <c r="B756" s="1" t="n">
        <v>45440.59936342593</v>
      </c>
      <c r="C756" s="1" t="n">
        <v>46098</v>
      </c>
      <c r="D756" t="inlineStr">
        <is>
          <t>DALARNAS LÄN</t>
        </is>
      </c>
      <c r="E756" t="inlineStr">
        <is>
          <t>MORA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28964-2024</t>
        </is>
      </c>
      <c r="B757" s="1" t="n">
        <v>45481.42923611111</v>
      </c>
      <c r="C757" s="1" t="n">
        <v>46098</v>
      </c>
      <c r="D757" t="inlineStr">
        <is>
          <t>DALARNAS LÄN</t>
        </is>
      </c>
      <c r="E757" t="inlineStr">
        <is>
          <t>MORA</t>
        </is>
      </c>
      <c r="G757" t="n">
        <v>1.3</v>
      </c>
      <c r="H757" t="n">
        <v>0</v>
      </c>
      <c r="I757" t="n">
        <v>0</v>
      </c>
      <c r="J757" t="n">
        <v>0</v>
      </c>
      <c r="K757" t="n">
        <v>0</v>
      </c>
      <c r="L757" t="n">
        <v>0</v>
      </c>
      <c r="M757" t="n">
        <v>0</v>
      </c>
      <c r="N757" t="n">
        <v>0</v>
      </c>
      <c r="O757" t="n">
        <v>0</v>
      </c>
      <c r="P757" t="n">
        <v>0</v>
      </c>
      <c r="Q757" t="n">
        <v>0</v>
      </c>
      <c r="R757" s="2" t="inlineStr"/>
    </row>
    <row r="758" ht="15" customHeight="1">
      <c r="A758" t="inlineStr">
        <is>
          <t>A 30194-2024</t>
        </is>
      </c>
      <c r="B758" s="1" t="n">
        <v>45490.33387731481</v>
      </c>
      <c r="C758" s="1" t="n">
        <v>46098</v>
      </c>
      <c r="D758" t="inlineStr">
        <is>
          <t>DALARNAS LÄN</t>
        </is>
      </c>
      <c r="E758" t="inlineStr">
        <is>
          <t>MORA</t>
        </is>
      </c>
      <c r="G758" t="n">
        <v>3.1</v>
      </c>
      <c r="H758" t="n">
        <v>0</v>
      </c>
      <c r="I758" t="n">
        <v>0</v>
      </c>
      <c r="J758" t="n">
        <v>0</v>
      </c>
      <c r="K758" t="n">
        <v>0</v>
      </c>
      <c r="L758" t="n">
        <v>0</v>
      </c>
      <c r="M758" t="n">
        <v>0</v>
      </c>
      <c r="N758" t="n">
        <v>0</v>
      </c>
      <c r="O758" t="n">
        <v>0</v>
      </c>
      <c r="P758" t="n">
        <v>0</v>
      </c>
      <c r="Q758" t="n">
        <v>0</v>
      </c>
      <c r="R758" s="2" t="inlineStr"/>
    </row>
    <row r="759" ht="15" customHeight="1">
      <c r="A759" t="inlineStr">
        <is>
          <t>A 58177-2024</t>
        </is>
      </c>
      <c r="B759" s="1" t="n">
        <v>45632.46821759259</v>
      </c>
      <c r="C759" s="1" t="n">
        <v>46098</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45390-2024</t>
        </is>
      </c>
      <c r="B760" s="1" t="n">
        <v>45576.54820601852</v>
      </c>
      <c r="C760" s="1" t="n">
        <v>46098</v>
      </c>
      <c r="D760" t="inlineStr">
        <is>
          <t>DALARNAS LÄN</t>
        </is>
      </c>
      <c r="E760" t="inlineStr">
        <is>
          <t>MORA</t>
        </is>
      </c>
      <c r="F760" t="inlineStr">
        <is>
          <t>Bergvik skog väst AB</t>
        </is>
      </c>
      <c r="G760" t="n">
        <v>5.6</v>
      </c>
      <c r="H760" t="n">
        <v>0</v>
      </c>
      <c r="I760" t="n">
        <v>0</v>
      </c>
      <c r="J760" t="n">
        <v>0</v>
      </c>
      <c r="K760" t="n">
        <v>0</v>
      </c>
      <c r="L760" t="n">
        <v>0</v>
      </c>
      <c r="M760" t="n">
        <v>0</v>
      </c>
      <c r="N760" t="n">
        <v>0</v>
      </c>
      <c r="O760" t="n">
        <v>0</v>
      </c>
      <c r="P760" t="n">
        <v>0</v>
      </c>
      <c r="Q760" t="n">
        <v>0</v>
      </c>
      <c r="R760" s="2" t="inlineStr"/>
    </row>
    <row r="761" ht="15" customHeight="1">
      <c r="A761" t="inlineStr">
        <is>
          <t>A 58089-2024</t>
        </is>
      </c>
      <c r="B761" s="1" t="n">
        <v>45632.34984953704</v>
      </c>
      <c r="C761" s="1" t="n">
        <v>46098</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4208-2023</t>
        </is>
      </c>
      <c r="B762" s="1" t="n">
        <v>44953</v>
      </c>
      <c r="C762" s="1" t="n">
        <v>46098</v>
      </c>
      <c r="D762" t="inlineStr">
        <is>
          <t>DALARNAS LÄN</t>
        </is>
      </c>
      <c r="E762" t="inlineStr">
        <is>
          <t>MORA</t>
        </is>
      </c>
      <c r="G762" t="n">
        <v>2.4</v>
      </c>
      <c r="H762" t="n">
        <v>0</v>
      </c>
      <c r="I762" t="n">
        <v>0</v>
      </c>
      <c r="J762" t="n">
        <v>0</v>
      </c>
      <c r="K762" t="n">
        <v>0</v>
      </c>
      <c r="L762" t="n">
        <v>0</v>
      </c>
      <c r="M762" t="n">
        <v>0</v>
      </c>
      <c r="N762" t="n">
        <v>0</v>
      </c>
      <c r="O762" t="n">
        <v>0</v>
      </c>
      <c r="P762" t="n">
        <v>0</v>
      </c>
      <c r="Q762" t="n">
        <v>0</v>
      </c>
      <c r="R762" s="2" t="inlineStr"/>
    </row>
    <row r="763" ht="15" customHeight="1">
      <c r="A763" t="inlineStr">
        <is>
          <t>A 4210-2023</t>
        </is>
      </c>
      <c r="B763" s="1" t="n">
        <v>44953.44965277778</v>
      </c>
      <c r="C763" s="1" t="n">
        <v>46098</v>
      </c>
      <c r="D763" t="inlineStr">
        <is>
          <t>DALARNAS LÄN</t>
        </is>
      </c>
      <c r="E763" t="inlineStr">
        <is>
          <t>MORA</t>
        </is>
      </c>
      <c r="G763" t="n">
        <v>0.9</v>
      </c>
      <c r="H763" t="n">
        <v>0</v>
      </c>
      <c r="I763" t="n">
        <v>0</v>
      </c>
      <c r="J763" t="n">
        <v>0</v>
      </c>
      <c r="K763" t="n">
        <v>0</v>
      </c>
      <c r="L763" t="n">
        <v>0</v>
      </c>
      <c r="M763" t="n">
        <v>0</v>
      </c>
      <c r="N763" t="n">
        <v>0</v>
      </c>
      <c r="O763" t="n">
        <v>0</v>
      </c>
      <c r="P763" t="n">
        <v>0</v>
      </c>
      <c r="Q763" t="n">
        <v>0</v>
      </c>
      <c r="R763" s="2" t="inlineStr"/>
    </row>
    <row r="764" ht="15" customHeight="1">
      <c r="A764" t="inlineStr">
        <is>
          <t>A 44769-2021</t>
        </is>
      </c>
      <c r="B764" s="1" t="n">
        <v>44438</v>
      </c>
      <c r="C764" s="1" t="n">
        <v>46098</v>
      </c>
      <c r="D764" t="inlineStr">
        <is>
          <t>DALARNAS LÄN</t>
        </is>
      </c>
      <c r="E764" t="inlineStr">
        <is>
          <t>MORA</t>
        </is>
      </c>
      <c r="G764" t="n">
        <v>0.9</v>
      </c>
      <c r="H764" t="n">
        <v>0</v>
      </c>
      <c r="I764" t="n">
        <v>0</v>
      </c>
      <c r="J764" t="n">
        <v>0</v>
      </c>
      <c r="K764" t="n">
        <v>0</v>
      </c>
      <c r="L764" t="n">
        <v>0</v>
      </c>
      <c r="M764" t="n">
        <v>0</v>
      </c>
      <c r="N764" t="n">
        <v>0</v>
      </c>
      <c r="O764" t="n">
        <v>0</v>
      </c>
      <c r="P764" t="n">
        <v>0</v>
      </c>
      <c r="Q764" t="n">
        <v>0</v>
      </c>
      <c r="R764" s="2" t="inlineStr"/>
    </row>
    <row r="765" ht="15" customHeight="1">
      <c r="A765" t="inlineStr">
        <is>
          <t>A 58036-2024</t>
        </is>
      </c>
      <c r="B765" s="1" t="n">
        <v>45631.71893518518</v>
      </c>
      <c r="C765" s="1" t="n">
        <v>46098</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3430-2023</t>
        </is>
      </c>
      <c r="B766" s="1" t="n">
        <v>44949.57856481482</v>
      </c>
      <c r="C766" s="1" t="n">
        <v>46098</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15172-2025</t>
        </is>
      </c>
      <c r="B767" s="1" t="n">
        <v>45744.50722222222</v>
      </c>
      <c r="C767" s="1" t="n">
        <v>46098</v>
      </c>
      <c r="D767" t="inlineStr">
        <is>
          <t>DALARNAS LÄN</t>
        </is>
      </c>
      <c r="E767" t="inlineStr">
        <is>
          <t>MORA</t>
        </is>
      </c>
      <c r="G767" t="n">
        <v>3.2</v>
      </c>
      <c r="H767" t="n">
        <v>0</v>
      </c>
      <c r="I767" t="n">
        <v>0</v>
      </c>
      <c r="J767" t="n">
        <v>0</v>
      </c>
      <c r="K767" t="n">
        <v>0</v>
      </c>
      <c r="L767" t="n">
        <v>0</v>
      </c>
      <c r="M767" t="n">
        <v>0</v>
      </c>
      <c r="N767" t="n">
        <v>0</v>
      </c>
      <c r="O767" t="n">
        <v>0</v>
      </c>
      <c r="P767" t="n">
        <v>0</v>
      </c>
      <c r="Q767" t="n">
        <v>0</v>
      </c>
      <c r="R767" s="2" t="inlineStr"/>
    </row>
    <row r="768" ht="15" customHeight="1">
      <c r="A768" t="inlineStr">
        <is>
          <t>A 39897-2022</t>
        </is>
      </c>
      <c r="B768" s="1" t="n">
        <v>44819.66083333334</v>
      </c>
      <c r="C768" s="1" t="n">
        <v>46098</v>
      </c>
      <c r="D768" t="inlineStr">
        <is>
          <t>DALARNAS LÄN</t>
        </is>
      </c>
      <c r="E768" t="inlineStr">
        <is>
          <t>MORA</t>
        </is>
      </c>
      <c r="G768" t="n">
        <v>15.8</v>
      </c>
      <c r="H768" t="n">
        <v>0</v>
      </c>
      <c r="I768" t="n">
        <v>0</v>
      </c>
      <c r="J768" t="n">
        <v>0</v>
      </c>
      <c r="K768" t="n">
        <v>0</v>
      </c>
      <c r="L768" t="n">
        <v>0</v>
      </c>
      <c r="M768" t="n">
        <v>0</v>
      </c>
      <c r="N768" t="n">
        <v>0</v>
      </c>
      <c r="O768" t="n">
        <v>0</v>
      </c>
      <c r="P768" t="n">
        <v>0</v>
      </c>
      <c r="Q768" t="n">
        <v>0</v>
      </c>
      <c r="R768" s="2" t="inlineStr"/>
    </row>
    <row r="769" ht="15" customHeight="1">
      <c r="A769" t="inlineStr">
        <is>
          <t>A 62853-2023</t>
        </is>
      </c>
      <c r="B769" s="1" t="n">
        <v>45272</v>
      </c>
      <c r="C769" s="1" t="n">
        <v>46098</v>
      </c>
      <c r="D769" t="inlineStr">
        <is>
          <t>DALARNAS LÄN</t>
        </is>
      </c>
      <c r="E769" t="inlineStr">
        <is>
          <t>MORA</t>
        </is>
      </c>
      <c r="G769" t="n">
        <v>13.6</v>
      </c>
      <c r="H769" t="n">
        <v>0</v>
      </c>
      <c r="I769" t="n">
        <v>0</v>
      </c>
      <c r="J769" t="n">
        <v>0</v>
      </c>
      <c r="K769" t="n">
        <v>0</v>
      </c>
      <c r="L769" t="n">
        <v>0</v>
      </c>
      <c r="M769" t="n">
        <v>0</v>
      </c>
      <c r="N769" t="n">
        <v>0</v>
      </c>
      <c r="O769" t="n">
        <v>0</v>
      </c>
      <c r="P769" t="n">
        <v>0</v>
      </c>
      <c r="Q769" t="n">
        <v>0</v>
      </c>
      <c r="R769" s="2" t="inlineStr"/>
    </row>
    <row r="770" ht="15" customHeight="1">
      <c r="A770" t="inlineStr">
        <is>
          <t>A 11919-2024</t>
        </is>
      </c>
      <c r="B770" s="1" t="n">
        <v>45376.61019675926</v>
      </c>
      <c r="C770" s="1" t="n">
        <v>46098</v>
      </c>
      <c r="D770" t="inlineStr">
        <is>
          <t>DALARNAS LÄN</t>
        </is>
      </c>
      <c r="E770" t="inlineStr">
        <is>
          <t>MORA</t>
        </is>
      </c>
      <c r="G770" t="n">
        <v>3.5</v>
      </c>
      <c r="H770" t="n">
        <v>0</v>
      </c>
      <c r="I770" t="n">
        <v>0</v>
      </c>
      <c r="J770" t="n">
        <v>0</v>
      </c>
      <c r="K770" t="n">
        <v>0</v>
      </c>
      <c r="L770" t="n">
        <v>0</v>
      </c>
      <c r="M770" t="n">
        <v>0</v>
      </c>
      <c r="N770" t="n">
        <v>0</v>
      </c>
      <c r="O770" t="n">
        <v>0</v>
      </c>
      <c r="P770" t="n">
        <v>0</v>
      </c>
      <c r="Q770" t="n">
        <v>0</v>
      </c>
      <c r="R770" s="2" t="inlineStr"/>
    </row>
    <row r="771" ht="15" customHeight="1">
      <c r="A771" t="inlineStr">
        <is>
          <t>A 1897-2023</t>
        </is>
      </c>
      <c r="B771" s="1" t="n">
        <v>44937</v>
      </c>
      <c r="C771" s="1" t="n">
        <v>46098</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37385-2022</t>
        </is>
      </c>
      <c r="B772" s="1" t="n">
        <v>44806</v>
      </c>
      <c r="C772" s="1" t="n">
        <v>46098</v>
      </c>
      <c r="D772" t="inlineStr">
        <is>
          <t>DALARNAS LÄN</t>
        </is>
      </c>
      <c r="E772" t="inlineStr">
        <is>
          <t>MORA</t>
        </is>
      </c>
      <c r="G772" t="n">
        <v>2.2</v>
      </c>
      <c r="H772" t="n">
        <v>0</v>
      </c>
      <c r="I772" t="n">
        <v>0</v>
      </c>
      <c r="J772" t="n">
        <v>0</v>
      </c>
      <c r="K772" t="n">
        <v>0</v>
      </c>
      <c r="L772" t="n">
        <v>0</v>
      </c>
      <c r="M772" t="n">
        <v>0</v>
      </c>
      <c r="N772" t="n">
        <v>0</v>
      </c>
      <c r="O772" t="n">
        <v>0</v>
      </c>
      <c r="P772" t="n">
        <v>0</v>
      </c>
      <c r="Q772" t="n">
        <v>0</v>
      </c>
      <c r="R772" s="2" t="inlineStr"/>
    </row>
    <row r="773" ht="15" customHeight="1">
      <c r="A773" t="inlineStr">
        <is>
          <t>A 42391-2023</t>
        </is>
      </c>
      <c r="B773" s="1" t="n">
        <v>45180</v>
      </c>
      <c r="C773" s="1" t="n">
        <v>46098</v>
      </c>
      <c r="D773" t="inlineStr">
        <is>
          <t>DALARNAS LÄN</t>
        </is>
      </c>
      <c r="E773" t="inlineStr">
        <is>
          <t>MORA</t>
        </is>
      </c>
      <c r="F773" t="inlineStr">
        <is>
          <t>Kommuner</t>
        </is>
      </c>
      <c r="G773" t="n">
        <v>0.3</v>
      </c>
      <c r="H773" t="n">
        <v>0</v>
      </c>
      <c r="I773" t="n">
        <v>0</v>
      </c>
      <c r="J773" t="n">
        <v>0</v>
      </c>
      <c r="K773" t="n">
        <v>0</v>
      </c>
      <c r="L773" t="n">
        <v>0</v>
      </c>
      <c r="M773" t="n">
        <v>0</v>
      </c>
      <c r="N773" t="n">
        <v>0</v>
      </c>
      <c r="O773" t="n">
        <v>0</v>
      </c>
      <c r="P773" t="n">
        <v>0</v>
      </c>
      <c r="Q773" t="n">
        <v>0</v>
      </c>
      <c r="R773" s="2" t="inlineStr"/>
    </row>
    <row r="774" ht="15" customHeight="1">
      <c r="A774" t="inlineStr">
        <is>
          <t>A 70141-2021</t>
        </is>
      </c>
      <c r="B774" s="1" t="n">
        <v>44533</v>
      </c>
      <c r="C774" s="1" t="n">
        <v>46098</v>
      </c>
      <c r="D774" t="inlineStr">
        <is>
          <t>DALARNAS LÄN</t>
        </is>
      </c>
      <c r="E774" t="inlineStr">
        <is>
          <t>MORA</t>
        </is>
      </c>
      <c r="G774" t="n">
        <v>4.1</v>
      </c>
      <c r="H774" t="n">
        <v>0</v>
      </c>
      <c r="I774" t="n">
        <v>0</v>
      </c>
      <c r="J774" t="n">
        <v>0</v>
      </c>
      <c r="K774" t="n">
        <v>0</v>
      </c>
      <c r="L774" t="n">
        <v>0</v>
      </c>
      <c r="M774" t="n">
        <v>0</v>
      </c>
      <c r="N774" t="n">
        <v>0</v>
      </c>
      <c r="O774" t="n">
        <v>0</v>
      </c>
      <c r="P774" t="n">
        <v>0</v>
      </c>
      <c r="Q774" t="n">
        <v>0</v>
      </c>
      <c r="R774" s="2" t="inlineStr"/>
    </row>
    <row r="775" ht="15" customHeight="1">
      <c r="A775" t="inlineStr">
        <is>
          <t>A 64093-2023</t>
        </is>
      </c>
      <c r="B775" s="1" t="n">
        <v>45279</v>
      </c>
      <c r="C775" s="1" t="n">
        <v>46098</v>
      </c>
      <c r="D775" t="inlineStr">
        <is>
          <t>DALARNAS LÄN</t>
        </is>
      </c>
      <c r="E775" t="inlineStr">
        <is>
          <t>MORA</t>
        </is>
      </c>
      <c r="G775" t="n">
        <v>0.9</v>
      </c>
      <c r="H775" t="n">
        <v>0</v>
      </c>
      <c r="I775" t="n">
        <v>0</v>
      </c>
      <c r="J775" t="n">
        <v>0</v>
      </c>
      <c r="K775" t="n">
        <v>0</v>
      </c>
      <c r="L775" t="n">
        <v>0</v>
      </c>
      <c r="M775" t="n">
        <v>0</v>
      </c>
      <c r="N775" t="n">
        <v>0</v>
      </c>
      <c r="O775" t="n">
        <v>0</v>
      </c>
      <c r="P775" t="n">
        <v>0</v>
      </c>
      <c r="Q775" t="n">
        <v>0</v>
      </c>
      <c r="R775" s="2" t="inlineStr"/>
    </row>
    <row r="776" ht="15" customHeight="1">
      <c r="A776" t="inlineStr">
        <is>
          <t>A 37471-2024</t>
        </is>
      </c>
      <c r="B776" s="1" t="n">
        <v>45540.85054398148</v>
      </c>
      <c r="C776" s="1" t="n">
        <v>46098</v>
      </c>
      <c r="D776" t="inlineStr">
        <is>
          <t>DALARNAS LÄN</t>
        </is>
      </c>
      <c r="E776" t="inlineStr">
        <is>
          <t>MORA</t>
        </is>
      </c>
      <c r="G776" t="n">
        <v>3.5</v>
      </c>
      <c r="H776" t="n">
        <v>0</v>
      </c>
      <c r="I776" t="n">
        <v>0</v>
      </c>
      <c r="J776" t="n">
        <v>0</v>
      </c>
      <c r="K776" t="n">
        <v>0</v>
      </c>
      <c r="L776" t="n">
        <v>0</v>
      </c>
      <c r="M776" t="n">
        <v>0</v>
      </c>
      <c r="N776" t="n">
        <v>0</v>
      </c>
      <c r="O776" t="n">
        <v>0</v>
      </c>
      <c r="P776" t="n">
        <v>0</v>
      </c>
      <c r="Q776" t="n">
        <v>0</v>
      </c>
      <c r="R776" s="2" t="inlineStr"/>
    </row>
    <row r="777" ht="15" customHeight="1">
      <c r="A777" t="inlineStr">
        <is>
          <t>A 14936-2025</t>
        </is>
      </c>
      <c r="B777" s="1" t="n">
        <v>45743.55756944444</v>
      </c>
      <c r="C777" s="1" t="n">
        <v>46098</v>
      </c>
      <c r="D777" t="inlineStr">
        <is>
          <t>DALARNAS LÄN</t>
        </is>
      </c>
      <c r="E777" t="inlineStr">
        <is>
          <t>MORA</t>
        </is>
      </c>
      <c r="G777" t="n">
        <v>2.4</v>
      </c>
      <c r="H777" t="n">
        <v>0</v>
      </c>
      <c r="I777" t="n">
        <v>0</v>
      </c>
      <c r="J777" t="n">
        <v>0</v>
      </c>
      <c r="K777" t="n">
        <v>0</v>
      </c>
      <c r="L777" t="n">
        <v>0</v>
      </c>
      <c r="M777" t="n">
        <v>0</v>
      </c>
      <c r="N777" t="n">
        <v>0</v>
      </c>
      <c r="O777" t="n">
        <v>0</v>
      </c>
      <c r="P777" t="n">
        <v>0</v>
      </c>
      <c r="Q777" t="n">
        <v>0</v>
      </c>
      <c r="R777" s="2" t="inlineStr"/>
    </row>
    <row r="778" ht="15" customHeight="1">
      <c r="A778" t="inlineStr">
        <is>
          <t>A 53344-2023</t>
        </is>
      </c>
      <c r="B778" s="1" t="n">
        <v>45229</v>
      </c>
      <c r="C778" s="1" t="n">
        <v>46098</v>
      </c>
      <c r="D778" t="inlineStr">
        <is>
          <t>DALARNAS LÄN</t>
        </is>
      </c>
      <c r="E778" t="inlineStr">
        <is>
          <t>MORA</t>
        </is>
      </c>
      <c r="G778" t="n">
        <v>2.4</v>
      </c>
      <c r="H778" t="n">
        <v>0</v>
      </c>
      <c r="I778" t="n">
        <v>0</v>
      </c>
      <c r="J778" t="n">
        <v>0</v>
      </c>
      <c r="K778" t="n">
        <v>0</v>
      </c>
      <c r="L778" t="n">
        <v>0</v>
      </c>
      <c r="M778" t="n">
        <v>0</v>
      </c>
      <c r="N778" t="n">
        <v>0</v>
      </c>
      <c r="O778" t="n">
        <v>0</v>
      </c>
      <c r="P778" t="n">
        <v>0</v>
      </c>
      <c r="Q778" t="n">
        <v>0</v>
      </c>
      <c r="R778" s="2" t="inlineStr"/>
    </row>
    <row r="779" ht="15" customHeight="1">
      <c r="A779" t="inlineStr">
        <is>
          <t>A 53754-2024</t>
        </is>
      </c>
      <c r="B779" s="1" t="n">
        <v>45615.49371527778</v>
      </c>
      <c r="C779" s="1" t="n">
        <v>46098</v>
      </c>
      <c r="D779" t="inlineStr">
        <is>
          <t>DALARNAS LÄN</t>
        </is>
      </c>
      <c r="E779" t="inlineStr">
        <is>
          <t>MORA</t>
        </is>
      </c>
      <c r="G779" t="n">
        <v>4.8</v>
      </c>
      <c r="H779" t="n">
        <v>0</v>
      </c>
      <c r="I779" t="n">
        <v>0</v>
      </c>
      <c r="J779" t="n">
        <v>0</v>
      </c>
      <c r="K779" t="n">
        <v>0</v>
      </c>
      <c r="L779" t="n">
        <v>0</v>
      </c>
      <c r="M779" t="n">
        <v>0</v>
      </c>
      <c r="N779" t="n">
        <v>0</v>
      </c>
      <c r="O779" t="n">
        <v>0</v>
      </c>
      <c r="P779" t="n">
        <v>0</v>
      </c>
      <c r="Q779" t="n">
        <v>0</v>
      </c>
      <c r="R779" s="2" t="inlineStr"/>
    </row>
    <row r="780" ht="15" customHeight="1">
      <c r="A780" t="inlineStr">
        <is>
          <t>A 14040-2023</t>
        </is>
      </c>
      <c r="B780" s="1" t="n">
        <v>45008.64575231481</v>
      </c>
      <c r="C780" s="1" t="n">
        <v>46098</v>
      </c>
      <c r="D780" t="inlineStr">
        <is>
          <t>DALARNAS LÄN</t>
        </is>
      </c>
      <c r="E780" t="inlineStr">
        <is>
          <t>MORA</t>
        </is>
      </c>
      <c r="G780" t="n">
        <v>1.3</v>
      </c>
      <c r="H780" t="n">
        <v>0</v>
      </c>
      <c r="I780" t="n">
        <v>0</v>
      </c>
      <c r="J780" t="n">
        <v>0</v>
      </c>
      <c r="K780" t="n">
        <v>0</v>
      </c>
      <c r="L780" t="n">
        <v>0</v>
      </c>
      <c r="M780" t="n">
        <v>0</v>
      </c>
      <c r="N780" t="n">
        <v>0</v>
      </c>
      <c r="O780" t="n">
        <v>0</v>
      </c>
      <c r="P780" t="n">
        <v>0</v>
      </c>
      <c r="Q780" t="n">
        <v>0</v>
      </c>
      <c r="R780" s="2" t="inlineStr"/>
    </row>
    <row r="781" ht="15" customHeight="1">
      <c r="A781" t="inlineStr">
        <is>
          <t>A 56770-2024</t>
        </is>
      </c>
      <c r="B781" s="1" t="n">
        <v>45628.41587962963</v>
      </c>
      <c r="C781" s="1" t="n">
        <v>46098</v>
      </c>
      <c r="D781" t="inlineStr">
        <is>
          <t>DALARNAS LÄN</t>
        </is>
      </c>
      <c r="E781" t="inlineStr">
        <is>
          <t>MORA</t>
        </is>
      </c>
      <c r="G781" t="n">
        <v>1.1</v>
      </c>
      <c r="H781" t="n">
        <v>0</v>
      </c>
      <c r="I781" t="n">
        <v>0</v>
      </c>
      <c r="J781" t="n">
        <v>0</v>
      </c>
      <c r="K781" t="n">
        <v>0</v>
      </c>
      <c r="L781" t="n">
        <v>0</v>
      </c>
      <c r="M781" t="n">
        <v>0</v>
      </c>
      <c r="N781" t="n">
        <v>0</v>
      </c>
      <c r="O781" t="n">
        <v>0</v>
      </c>
      <c r="P781" t="n">
        <v>0</v>
      </c>
      <c r="Q781" t="n">
        <v>0</v>
      </c>
      <c r="R781" s="2" t="inlineStr"/>
    </row>
    <row r="782" ht="15" customHeight="1">
      <c r="A782" t="inlineStr">
        <is>
          <t>A 18120-2025</t>
        </is>
      </c>
      <c r="B782" s="1" t="n">
        <v>45761</v>
      </c>
      <c r="C782" s="1" t="n">
        <v>46098</v>
      </c>
      <c r="D782" t="inlineStr">
        <is>
          <t>DALARNAS LÄN</t>
        </is>
      </c>
      <c r="E782" t="inlineStr">
        <is>
          <t>MORA</t>
        </is>
      </c>
      <c r="F782" t="inlineStr">
        <is>
          <t>Bergvik skog väst AB</t>
        </is>
      </c>
      <c r="G782" t="n">
        <v>6.4</v>
      </c>
      <c r="H782" t="n">
        <v>0</v>
      </c>
      <c r="I782" t="n">
        <v>0</v>
      </c>
      <c r="J782" t="n">
        <v>0</v>
      </c>
      <c r="K782" t="n">
        <v>0</v>
      </c>
      <c r="L782" t="n">
        <v>0</v>
      </c>
      <c r="M782" t="n">
        <v>0</v>
      </c>
      <c r="N782" t="n">
        <v>0</v>
      </c>
      <c r="O782" t="n">
        <v>0</v>
      </c>
      <c r="P782" t="n">
        <v>0</v>
      </c>
      <c r="Q782" t="n">
        <v>0</v>
      </c>
      <c r="R782" s="2" t="inlineStr"/>
    </row>
    <row r="783" ht="15" customHeight="1">
      <c r="A783" t="inlineStr">
        <is>
          <t>A 18127-2025</t>
        </is>
      </c>
      <c r="B783" s="1" t="n">
        <v>45761.59523148148</v>
      </c>
      <c r="C783" s="1" t="n">
        <v>46098</v>
      </c>
      <c r="D783" t="inlineStr">
        <is>
          <t>DALARNAS LÄN</t>
        </is>
      </c>
      <c r="E783" t="inlineStr">
        <is>
          <t>MORA</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4489-2022</t>
        </is>
      </c>
      <c r="B784" s="1" t="n">
        <v>44589</v>
      </c>
      <c r="C784" s="1" t="n">
        <v>46098</v>
      </c>
      <c r="D784" t="inlineStr">
        <is>
          <t>DALARNAS LÄN</t>
        </is>
      </c>
      <c r="E784" t="inlineStr">
        <is>
          <t>MORA</t>
        </is>
      </c>
      <c r="G784" t="n">
        <v>0.7</v>
      </c>
      <c r="H784" t="n">
        <v>0</v>
      </c>
      <c r="I784" t="n">
        <v>0</v>
      </c>
      <c r="J784" t="n">
        <v>0</v>
      </c>
      <c r="K784" t="n">
        <v>0</v>
      </c>
      <c r="L784" t="n">
        <v>0</v>
      </c>
      <c r="M784" t="n">
        <v>0</v>
      </c>
      <c r="N784" t="n">
        <v>0</v>
      </c>
      <c r="O784" t="n">
        <v>0</v>
      </c>
      <c r="P784" t="n">
        <v>0</v>
      </c>
      <c r="Q784" t="n">
        <v>0</v>
      </c>
      <c r="R784" s="2" t="inlineStr"/>
    </row>
    <row r="785" ht="15" customHeight="1">
      <c r="A785" t="inlineStr">
        <is>
          <t>A 45574-2023</t>
        </is>
      </c>
      <c r="B785" s="1" t="n">
        <v>45194</v>
      </c>
      <c r="C785" s="1" t="n">
        <v>46098</v>
      </c>
      <c r="D785" t="inlineStr">
        <is>
          <t>DALARNAS LÄN</t>
        </is>
      </c>
      <c r="E785" t="inlineStr">
        <is>
          <t>MORA</t>
        </is>
      </c>
      <c r="G785" t="n">
        <v>6.3</v>
      </c>
      <c r="H785" t="n">
        <v>0</v>
      </c>
      <c r="I785" t="n">
        <v>0</v>
      </c>
      <c r="J785" t="n">
        <v>0</v>
      </c>
      <c r="K785" t="n">
        <v>0</v>
      </c>
      <c r="L785" t="n">
        <v>0</v>
      </c>
      <c r="M785" t="n">
        <v>0</v>
      </c>
      <c r="N785" t="n">
        <v>0</v>
      </c>
      <c r="O785" t="n">
        <v>0</v>
      </c>
      <c r="P785" t="n">
        <v>0</v>
      </c>
      <c r="Q785" t="n">
        <v>0</v>
      </c>
      <c r="R785" s="2" t="inlineStr"/>
    </row>
    <row r="786" ht="15" customHeight="1">
      <c r="A786" t="inlineStr">
        <is>
          <t>A 45315-2024</t>
        </is>
      </c>
      <c r="B786" s="1" t="n">
        <v>45576.43782407408</v>
      </c>
      <c r="C786" s="1" t="n">
        <v>46098</v>
      </c>
      <c r="D786" t="inlineStr">
        <is>
          <t>DALARNAS LÄN</t>
        </is>
      </c>
      <c r="E786" t="inlineStr">
        <is>
          <t>MORA</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17172-2025</t>
        </is>
      </c>
      <c r="B787" s="1" t="n">
        <v>45756.37201388889</v>
      </c>
      <c r="C787" s="1" t="n">
        <v>46098</v>
      </c>
      <c r="D787" t="inlineStr">
        <is>
          <t>DALARNAS LÄN</t>
        </is>
      </c>
      <c r="E787" t="inlineStr">
        <is>
          <t>MORA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39009-2023</t>
        </is>
      </c>
      <c r="B788" s="1" t="n">
        <v>45162</v>
      </c>
      <c r="C788" s="1" t="n">
        <v>46098</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56532-2024</t>
        </is>
      </c>
      <c r="B789" s="1" t="n">
        <v>45625.55440972222</v>
      </c>
      <c r="C789" s="1" t="n">
        <v>46098</v>
      </c>
      <c r="D789" t="inlineStr">
        <is>
          <t>DALARNAS LÄN</t>
        </is>
      </c>
      <c r="E789" t="inlineStr">
        <is>
          <t>MORA</t>
        </is>
      </c>
      <c r="G789" t="n">
        <v>6.9</v>
      </c>
      <c r="H789" t="n">
        <v>0</v>
      </c>
      <c r="I789" t="n">
        <v>0</v>
      </c>
      <c r="J789" t="n">
        <v>0</v>
      </c>
      <c r="K789" t="n">
        <v>0</v>
      </c>
      <c r="L789" t="n">
        <v>0</v>
      </c>
      <c r="M789" t="n">
        <v>0</v>
      </c>
      <c r="N789" t="n">
        <v>0</v>
      </c>
      <c r="O789" t="n">
        <v>0</v>
      </c>
      <c r="P789" t="n">
        <v>0</v>
      </c>
      <c r="Q789" t="n">
        <v>0</v>
      </c>
      <c r="R789" s="2" t="inlineStr"/>
    </row>
    <row r="790" ht="15" customHeight="1">
      <c r="A790" t="inlineStr">
        <is>
          <t>A 5001-2025</t>
        </is>
      </c>
      <c r="B790" s="1" t="n">
        <v>45691.36403935185</v>
      </c>
      <c r="C790" s="1" t="n">
        <v>46098</v>
      </c>
      <c r="D790" t="inlineStr">
        <is>
          <t>DALARNAS LÄN</t>
        </is>
      </c>
      <c r="E790" t="inlineStr">
        <is>
          <t>MORA</t>
        </is>
      </c>
      <c r="G790" t="n">
        <v>1.3</v>
      </c>
      <c r="H790" t="n">
        <v>0</v>
      </c>
      <c r="I790" t="n">
        <v>0</v>
      </c>
      <c r="J790" t="n">
        <v>0</v>
      </c>
      <c r="K790" t="n">
        <v>0</v>
      </c>
      <c r="L790" t="n">
        <v>0</v>
      </c>
      <c r="M790" t="n">
        <v>0</v>
      </c>
      <c r="N790" t="n">
        <v>0</v>
      </c>
      <c r="O790" t="n">
        <v>0</v>
      </c>
      <c r="P790" t="n">
        <v>0</v>
      </c>
      <c r="Q790" t="n">
        <v>0</v>
      </c>
      <c r="R790" s="2" t="inlineStr"/>
    </row>
    <row r="791" ht="15" customHeight="1">
      <c r="A791" t="inlineStr">
        <is>
          <t>A 60360-2023</t>
        </is>
      </c>
      <c r="B791" s="1" t="n">
        <v>45259</v>
      </c>
      <c r="C791" s="1" t="n">
        <v>46098</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17164-2025</t>
        </is>
      </c>
      <c r="B792" s="1" t="n">
        <v>45756.36403935185</v>
      </c>
      <c r="C792" s="1" t="n">
        <v>46098</v>
      </c>
      <c r="D792" t="inlineStr">
        <is>
          <t>DALARNAS LÄN</t>
        </is>
      </c>
      <c r="E792" t="inlineStr">
        <is>
          <t>MORA</t>
        </is>
      </c>
      <c r="F792" t="inlineStr">
        <is>
          <t>Bergvik skog öst AB</t>
        </is>
      </c>
      <c r="G792" t="n">
        <v>0.3</v>
      </c>
      <c r="H792" t="n">
        <v>0</v>
      </c>
      <c r="I792" t="n">
        <v>0</v>
      </c>
      <c r="J792" t="n">
        <v>0</v>
      </c>
      <c r="K792" t="n">
        <v>0</v>
      </c>
      <c r="L792" t="n">
        <v>0</v>
      </c>
      <c r="M792" t="n">
        <v>0</v>
      </c>
      <c r="N792" t="n">
        <v>0</v>
      </c>
      <c r="O792" t="n">
        <v>0</v>
      </c>
      <c r="P792" t="n">
        <v>0</v>
      </c>
      <c r="Q792" t="n">
        <v>0</v>
      </c>
      <c r="R792" s="2" t="inlineStr"/>
    </row>
    <row r="793" ht="15" customHeight="1">
      <c r="A793" t="inlineStr">
        <is>
          <t>A 24768-2024</t>
        </is>
      </c>
      <c r="B793" s="1" t="n">
        <v>45460.69545138889</v>
      </c>
      <c r="C793" s="1" t="n">
        <v>46098</v>
      </c>
      <c r="D793" t="inlineStr">
        <is>
          <t>DALARNAS LÄN</t>
        </is>
      </c>
      <c r="E793" t="inlineStr">
        <is>
          <t>MORA</t>
        </is>
      </c>
      <c r="G793" t="n">
        <v>2.4</v>
      </c>
      <c r="H793" t="n">
        <v>0</v>
      </c>
      <c r="I793" t="n">
        <v>0</v>
      </c>
      <c r="J793" t="n">
        <v>0</v>
      </c>
      <c r="K793" t="n">
        <v>0</v>
      </c>
      <c r="L793" t="n">
        <v>0</v>
      </c>
      <c r="M793" t="n">
        <v>0</v>
      </c>
      <c r="N793" t="n">
        <v>0</v>
      </c>
      <c r="O793" t="n">
        <v>0</v>
      </c>
      <c r="P793" t="n">
        <v>0</v>
      </c>
      <c r="Q793" t="n">
        <v>0</v>
      </c>
      <c r="R793" s="2" t="inlineStr"/>
    </row>
    <row r="794" ht="15" customHeight="1">
      <c r="A794" t="inlineStr">
        <is>
          <t>A 17278-2025</t>
        </is>
      </c>
      <c r="B794" s="1" t="n">
        <v>45756.56131944444</v>
      </c>
      <c r="C794" s="1" t="n">
        <v>46098</v>
      </c>
      <c r="D794" t="inlineStr">
        <is>
          <t>DALARNAS LÄN</t>
        </is>
      </c>
      <c r="E794" t="inlineStr">
        <is>
          <t>MORA</t>
        </is>
      </c>
      <c r="G794" t="n">
        <v>3</v>
      </c>
      <c r="H794" t="n">
        <v>0</v>
      </c>
      <c r="I794" t="n">
        <v>0</v>
      </c>
      <c r="J794" t="n">
        <v>0</v>
      </c>
      <c r="K794" t="n">
        <v>0</v>
      </c>
      <c r="L794" t="n">
        <v>0</v>
      </c>
      <c r="M794" t="n">
        <v>0</v>
      </c>
      <c r="N794" t="n">
        <v>0</v>
      </c>
      <c r="O794" t="n">
        <v>0</v>
      </c>
      <c r="P794" t="n">
        <v>0</v>
      </c>
      <c r="Q794" t="n">
        <v>0</v>
      </c>
      <c r="R794" s="2" t="inlineStr"/>
    </row>
    <row r="795" ht="15" customHeight="1">
      <c r="A795" t="inlineStr">
        <is>
          <t>A 4209-2023</t>
        </is>
      </c>
      <c r="B795" s="1" t="n">
        <v>44953</v>
      </c>
      <c r="C795" s="1" t="n">
        <v>46098</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44205-2023</t>
        </is>
      </c>
      <c r="B796" s="1" t="n">
        <v>45188</v>
      </c>
      <c r="C796" s="1" t="n">
        <v>46098</v>
      </c>
      <c r="D796" t="inlineStr">
        <is>
          <t>DALARNAS LÄN</t>
        </is>
      </c>
      <c r="E796" t="inlineStr">
        <is>
          <t>MORA</t>
        </is>
      </c>
      <c r="G796" t="n">
        <v>0.7</v>
      </c>
      <c r="H796" t="n">
        <v>0</v>
      </c>
      <c r="I796" t="n">
        <v>0</v>
      </c>
      <c r="J796" t="n">
        <v>0</v>
      </c>
      <c r="K796" t="n">
        <v>0</v>
      </c>
      <c r="L796" t="n">
        <v>0</v>
      </c>
      <c r="M796" t="n">
        <v>0</v>
      </c>
      <c r="N796" t="n">
        <v>0</v>
      </c>
      <c r="O796" t="n">
        <v>0</v>
      </c>
      <c r="P796" t="n">
        <v>0</v>
      </c>
      <c r="Q796" t="n">
        <v>0</v>
      </c>
      <c r="R796" s="2" t="inlineStr"/>
    </row>
    <row r="797" ht="15" customHeight="1">
      <c r="A797" t="inlineStr">
        <is>
          <t>A 22732-2024</t>
        </is>
      </c>
      <c r="B797" s="1" t="n">
        <v>45448.38677083333</v>
      </c>
      <c r="C797" s="1" t="n">
        <v>46098</v>
      </c>
      <c r="D797" t="inlineStr">
        <is>
          <t>DALARNAS LÄN</t>
        </is>
      </c>
      <c r="E797" t="inlineStr">
        <is>
          <t>MORA</t>
        </is>
      </c>
      <c r="G797" t="n">
        <v>3.6</v>
      </c>
      <c r="H797" t="n">
        <v>0</v>
      </c>
      <c r="I797" t="n">
        <v>0</v>
      </c>
      <c r="J797" t="n">
        <v>0</v>
      </c>
      <c r="K797" t="n">
        <v>0</v>
      </c>
      <c r="L797" t="n">
        <v>0</v>
      </c>
      <c r="M797" t="n">
        <v>0</v>
      </c>
      <c r="N797" t="n">
        <v>0</v>
      </c>
      <c r="O797" t="n">
        <v>0</v>
      </c>
      <c r="P797" t="n">
        <v>0</v>
      </c>
      <c r="Q797" t="n">
        <v>0</v>
      </c>
      <c r="R797" s="2" t="inlineStr"/>
    </row>
    <row r="798" ht="15" customHeight="1">
      <c r="A798" t="inlineStr">
        <is>
          <t>A 19756-2022</t>
        </is>
      </c>
      <c r="B798" s="1" t="n">
        <v>44694.62913194444</v>
      </c>
      <c r="C798" s="1" t="n">
        <v>46098</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46801-2022</t>
        </is>
      </c>
      <c r="B799" s="1" t="n">
        <v>44851</v>
      </c>
      <c r="C799" s="1" t="n">
        <v>46098</v>
      </c>
      <c r="D799" t="inlineStr">
        <is>
          <t>DALARNAS LÄN</t>
        </is>
      </c>
      <c r="E799" t="inlineStr">
        <is>
          <t>MORA</t>
        </is>
      </c>
      <c r="G799" t="n">
        <v>1.5</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46098</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33627-2024</t>
        </is>
      </c>
      <c r="B801" s="1" t="n">
        <v>45520</v>
      </c>
      <c r="C801" s="1" t="n">
        <v>46098</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46923-2024</t>
        </is>
      </c>
      <c r="B802" s="1" t="n">
        <v>45584.42887731481</v>
      </c>
      <c r="C802" s="1" t="n">
        <v>46098</v>
      </c>
      <c r="D802" t="inlineStr">
        <is>
          <t>DALARNAS LÄN</t>
        </is>
      </c>
      <c r="E802" t="inlineStr">
        <is>
          <t>MORA</t>
        </is>
      </c>
      <c r="G802" t="n">
        <v>3.4</v>
      </c>
      <c r="H802" t="n">
        <v>0</v>
      </c>
      <c r="I802" t="n">
        <v>0</v>
      </c>
      <c r="J802" t="n">
        <v>0</v>
      </c>
      <c r="K802" t="n">
        <v>0</v>
      </c>
      <c r="L802" t="n">
        <v>0</v>
      </c>
      <c r="M802" t="n">
        <v>0</v>
      </c>
      <c r="N802" t="n">
        <v>0</v>
      </c>
      <c r="O802" t="n">
        <v>0</v>
      </c>
      <c r="P802" t="n">
        <v>0</v>
      </c>
      <c r="Q802" t="n">
        <v>0</v>
      </c>
      <c r="R802" s="2" t="inlineStr"/>
    </row>
    <row r="803" ht="15" customHeight="1">
      <c r="A803" t="inlineStr">
        <is>
          <t>A 39888-2024</t>
        </is>
      </c>
      <c r="B803" s="1" t="n">
        <v>45553.47538194444</v>
      </c>
      <c r="C803" s="1" t="n">
        <v>46098</v>
      </c>
      <c r="D803" t="inlineStr">
        <is>
          <t>DALARNAS LÄN</t>
        </is>
      </c>
      <c r="E803" t="inlineStr">
        <is>
          <t>MORA</t>
        </is>
      </c>
      <c r="G803" t="n">
        <v>5.4</v>
      </c>
      <c r="H803" t="n">
        <v>0</v>
      </c>
      <c r="I803" t="n">
        <v>0</v>
      </c>
      <c r="J803" t="n">
        <v>0</v>
      </c>
      <c r="K803" t="n">
        <v>0</v>
      </c>
      <c r="L803" t="n">
        <v>0</v>
      </c>
      <c r="M803" t="n">
        <v>0</v>
      </c>
      <c r="N803" t="n">
        <v>0</v>
      </c>
      <c r="O803" t="n">
        <v>0</v>
      </c>
      <c r="P803" t="n">
        <v>0</v>
      </c>
      <c r="Q803" t="n">
        <v>0</v>
      </c>
      <c r="R803" s="2" t="inlineStr"/>
    </row>
    <row r="804" ht="15" customHeight="1">
      <c r="A804" t="inlineStr">
        <is>
          <t>A 33666-2024</t>
        </is>
      </c>
      <c r="B804" s="1" t="n">
        <v>45520.48304398148</v>
      </c>
      <c r="C804" s="1" t="n">
        <v>46098</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20989-2024</t>
        </is>
      </c>
      <c r="B805" s="1" t="n">
        <v>45439</v>
      </c>
      <c r="C805" s="1" t="n">
        <v>46098</v>
      </c>
      <c r="D805" t="inlineStr">
        <is>
          <t>DALARNAS LÄN</t>
        </is>
      </c>
      <c r="E805" t="inlineStr">
        <is>
          <t>MORA</t>
        </is>
      </c>
      <c r="F805" t="inlineStr">
        <is>
          <t>Bergvik skog öst AB</t>
        </is>
      </c>
      <c r="G805" t="n">
        <v>14.7</v>
      </c>
      <c r="H805" t="n">
        <v>0</v>
      </c>
      <c r="I805" t="n">
        <v>0</v>
      </c>
      <c r="J805" t="n">
        <v>0</v>
      </c>
      <c r="K805" t="n">
        <v>0</v>
      </c>
      <c r="L805" t="n">
        <v>0</v>
      </c>
      <c r="M805" t="n">
        <v>0</v>
      </c>
      <c r="N805" t="n">
        <v>0</v>
      </c>
      <c r="O805" t="n">
        <v>0</v>
      </c>
      <c r="P805" t="n">
        <v>0</v>
      </c>
      <c r="Q805" t="n">
        <v>0</v>
      </c>
      <c r="R805" s="2" t="inlineStr"/>
    </row>
    <row r="806" ht="15" customHeight="1">
      <c r="A806" t="inlineStr">
        <is>
          <t>A 41812-2024</t>
        </is>
      </c>
      <c r="B806" s="1" t="n">
        <v>45561.3771412037</v>
      </c>
      <c r="C806" s="1" t="n">
        <v>46098</v>
      </c>
      <c r="D806" t="inlineStr">
        <is>
          <t>DALARNAS LÄN</t>
        </is>
      </c>
      <c r="E806" t="inlineStr">
        <is>
          <t>MORA</t>
        </is>
      </c>
      <c r="G806" t="n">
        <v>2.2</v>
      </c>
      <c r="H806" t="n">
        <v>0</v>
      </c>
      <c r="I806" t="n">
        <v>0</v>
      </c>
      <c r="J806" t="n">
        <v>0</v>
      </c>
      <c r="K806" t="n">
        <v>0</v>
      </c>
      <c r="L806" t="n">
        <v>0</v>
      </c>
      <c r="M806" t="n">
        <v>0</v>
      </c>
      <c r="N806" t="n">
        <v>0</v>
      </c>
      <c r="O806" t="n">
        <v>0</v>
      </c>
      <c r="P806" t="n">
        <v>0</v>
      </c>
      <c r="Q806" t="n">
        <v>0</v>
      </c>
      <c r="R806" s="2" t="inlineStr"/>
    </row>
    <row r="807" ht="15" customHeight="1">
      <c r="A807" t="inlineStr">
        <is>
          <t>A 51888-2024</t>
        </is>
      </c>
      <c r="B807" s="1" t="n">
        <v>45607.57142361111</v>
      </c>
      <c r="C807" s="1" t="n">
        <v>46098</v>
      </c>
      <c r="D807" t="inlineStr">
        <is>
          <t>DALARNAS LÄN</t>
        </is>
      </c>
      <c r="E807" t="inlineStr">
        <is>
          <t>MORA</t>
        </is>
      </c>
      <c r="G807" t="n">
        <v>0.9</v>
      </c>
      <c r="H807" t="n">
        <v>0</v>
      </c>
      <c r="I807" t="n">
        <v>0</v>
      </c>
      <c r="J807" t="n">
        <v>0</v>
      </c>
      <c r="K807" t="n">
        <v>0</v>
      </c>
      <c r="L807" t="n">
        <v>0</v>
      </c>
      <c r="M807" t="n">
        <v>0</v>
      </c>
      <c r="N807" t="n">
        <v>0</v>
      </c>
      <c r="O807" t="n">
        <v>0</v>
      </c>
      <c r="P807" t="n">
        <v>0</v>
      </c>
      <c r="Q807" t="n">
        <v>0</v>
      </c>
      <c r="R807" s="2" t="inlineStr"/>
    </row>
    <row r="808" ht="15" customHeight="1">
      <c r="A808" t="inlineStr">
        <is>
          <t>A 32721-2024</t>
        </is>
      </c>
      <c r="B808" s="1" t="n">
        <v>45516.40261574074</v>
      </c>
      <c r="C808" s="1" t="n">
        <v>46098</v>
      </c>
      <c r="D808" t="inlineStr">
        <is>
          <t>DALARNAS LÄN</t>
        </is>
      </c>
      <c r="E808" t="inlineStr">
        <is>
          <t>MORA</t>
        </is>
      </c>
      <c r="G808" t="n">
        <v>4.2</v>
      </c>
      <c r="H808" t="n">
        <v>0</v>
      </c>
      <c r="I808" t="n">
        <v>0</v>
      </c>
      <c r="J808" t="n">
        <v>0</v>
      </c>
      <c r="K808" t="n">
        <v>0</v>
      </c>
      <c r="L808" t="n">
        <v>0</v>
      </c>
      <c r="M808" t="n">
        <v>0</v>
      </c>
      <c r="N808" t="n">
        <v>0</v>
      </c>
      <c r="O808" t="n">
        <v>0</v>
      </c>
      <c r="P808" t="n">
        <v>0</v>
      </c>
      <c r="Q808" t="n">
        <v>0</v>
      </c>
      <c r="R808" s="2" t="inlineStr"/>
    </row>
    <row r="809" ht="15" customHeight="1">
      <c r="A809" t="inlineStr">
        <is>
          <t>A 25749-2023</t>
        </is>
      </c>
      <c r="B809" s="1" t="n">
        <v>45090</v>
      </c>
      <c r="C809" s="1" t="n">
        <v>46098</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40325-2024</t>
        </is>
      </c>
      <c r="B810" s="1" t="n">
        <v>45554.88538194444</v>
      </c>
      <c r="C810" s="1" t="n">
        <v>46098</v>
      </c>
      <c r="D810" t="inlineStr">
        <is>
          <t>DALARNAS LÄN</t>
        </is>
      </c>
      <c r="E810" t="inlineStr">
        <is>
          <t>MORA</t>
        </is>
      </c>
      <c r="G810" t="n">
        <v>2.8</v>
      </c>
      <c r="H810" t="n">
        <v>0</v>
      </c>
      <c r="I810" t="n">
        <v>0</v>
      </c>
      <c r="J810" t="n">
        <v>0</v>
      </c>
      <c r="K810" t="n">
        <v>0</v>
      </c>
      <c r="L810" t="n">
        <v>0</v>
      </c>
      <c r="M810" t="n">
        <v>0</v>
      </c>
      <c r="N810" t="n">
        <v>0</v>
      </c>
      <c r="O810" t="n">
        <v>0</v>
      </c>
      <c r="P810" t="n">
        <v>0</v>
      </c>
      <c r="Q810" t="n">
        <v>0</v>
      </c>
      <c r="R810" s="2" t="inlineStr"/>
    </row>
    <row r="811" ht="15" customHeight="1">
      <c r="A811" t="inlineStr">
        <is>
          <t>A 43964-2024</t>
        </is>
      </c>
      <c r="B811" s="1" t="n">
        <v>45572.48407407408</v>
      </c>
      <c r="C811" s="1" t="n">
        <v>46098</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51883-2024</t>
        </is>
      </c>
      <c r="B812" s="1" t="n">
        <v>45607</v>
      </c>
      <c r="C812" s="1" t="n">
        <v>46098</v>
      </c>
      <c r="D812" t="inlineStr">
        <is>
          <t>DALARNAS LÄN</t>
        </is>
      </c>
      <c r="E812" t="inlineStr">
        <is>
          <t>MORA</t>
        </is>
      </c>
      <c r="G812" t="n">
        <v>0.2</v>
      </c>
      <c r="H812" t="n">
        <v>0</v>
      </c>
      <c r="I812" t="n">
        <v>0</v>
      </c>
      <c r="J812" t="n">
        <v>0</v>
      </c>
      <c r="K812" t="n">
        <v>0</v>
      </c>
      <c r="L812" t="n">
        <v>0</v>
      </c>
      <c r="M812" t="n">
        <v>0</v>
      </c>
      <c r="N812" t="n">
        <v>0</v>
      </c>
      <c r="O812" t="n">
        <v>0</v>
      </c>
      <c r="P812" t="n">
        <v>0</v>
      </c>
      <c r="Q812" t="n">
        <v>0</v>
      </c>
      <c r="R812" s="2" t="inlineStr"/>
    </row>
    <row r="813" ht="15" customHeight="1">
      <c r="A813" t="inlineStr">
        <is>
          <t>A 42941-2024</t>
        </is>
      </c>
      <c r="B813" s="1" t="n">
        <v>45567.3515162037</v>
      </c>
      <c r="C813" s="1" t="n">
        <v>46098</v>
      </c>
      <c r="D813" t="inlineStr">
        <is>
          <t>DALARNAS LÄN</t>
        </is>
      </c>
      <c r="E813" t="inlineStr">
        <is>
          <t>MORA</t>
        </is>
      </c>
      <c r="G813" t="n">
        <v>1.6</v>
      </c>
      <c r="H813" t="n">
        <v>0</v>
      </c>
      <c r="I813" t="n">
        <v>0</v>
      </c>
      <c r="J813" t="n">
        <v>0</v>
      </c>
      <c r="K813" t="n">
        <v>0</v>
      </c>
      <c r="L813" t="n">
        <v>0</v>
      </c>
      <c r="M813" t="n">
        <v>0</v>
      </c>
      <c r="N813" t="n">
        <v>0</v>
      </c>
      <c r="O813" t="n">
        <v>0</v>
      </c>
      <c r="P813" t="n">
        <v>0</v>
      </c>
      <c r="Q813" t="n">
        <v>0</v>
      </c>
      <c r="R813" s="2" t="inlineStr"/>
    </row>
    <row r="814" ht="15" customHeight="1">
      <c r="A814" t="inlineStr">
        <is>
          <t>A 43873-2024</t>
        </is>
      </c>
      <c r="B814" s="1" t="n">
        <v>45572.38429398148</v>
      </c>
      <c r="C814" s="1" t="n">
        <v>46098</v>
      </c>
      <c r="D814" t="inlineStr">
        <is>
          <t>DALARNAS LÄN</t>
        </is>
      </c>
      <c r="E814" t="inlineStr">
        <is>
          <t>MORA</t>
        </is>
      </c>
      <c r="G814" t="n">
        <v>4.1</v>
      </c>
      <c r="H814" t="n">
        <v>0</v>
      </c>
      <c r="I814" t="n">
        <v>0</v>
      </c>
      <c r="J814" t="n">
        <v>0</v>
      </c>
      <c r="K814" t="n">
        <v>0</v>
      </c>
      <c r="L814" t="n">
        <v>0</v>
      </c>
      <c r="M814" t="n">
        <v>0</v>
      </c>
      <c r="N814" t="n">
        <v>0</v>
      </c>
      <c r="O814" t="n">
        <v>0</v>
      </c>
      <c r="P814" t="n">
        <v>0</v>
      </c>
      <c r="Q814" t="n">
        <v>0</v>
      </c>
      <c r="R814" s="2" t="inlineStr"/>
    </row>
    <row r="815" ht="15" customHeight="1">
      <c r="A815" t="inlineStr">
        <is>
          <t>A 14372-2025</t>
        </is>
      </c>
      <c r="B815" s="1" t="n">
        <v>45741.4050462963</v>
      </c>
      <c r="C815" s="1" t="n">
        <v>46098</v>
      </c>
      <c r="D815" t="inlineStr">
        <is>
          <t>DALARNAS LÄN</t>
        </is>
      </c>
      <c r="E815" t="inlineStr">
        <is>
          <t>MORA</t>
        </is>
      </c>
      <c r="G815" t="n">
        <v>5.1</v>
      </c>
      <c r="H815" t="n">
        <v>0</v>
      </c>
      <c r="I815" t="n">
        <v>0</v>
      </c>
      <c r="J815" t="n">
        <v>0</v>
      </c>
      <c r="K815" t="n">
        <v>0</v>
      </c>
      <c r="L815" t="n">
        <v>0</v>
      </c>
      <c r="M815" t="n">
        <v>0</v>
      </c>
      <c r="N815" t="n">
        <v>0</v>
      </c>
      <c r="O815" t="n">
        <v>0</v>
      </c>
      <c r="P815" t="n">
        <v>0</v>
      </c>
      <c r="Q815" t="n">
        <v>0</v>
      </c>
      <c r="R815" s="2" t="inlineStr"/>
    </row>
    <row r="816" ht="15" customHeight="1">
      <c r="A816" t="inlineStr">
        <is>
          <t>A 14378-2025</t>
        </is>
      </c>
      <c r="B816" s="1" t="n">
        <v>45741</v>
      </c>
      <c r="C816" s="1" t="n">
        <v>46098</v>
      </c>
      <c r="D816" t="inlineStr">
        <is>
          <t>DALARNAS LÄN</t>
        </is>
      </c>
      <c r="E816" t="inlineStr">
        <is>
          <t>MORA</t>
        </is>
      </c>
      <c r="G816" t="n">
        <v>5.2</v>
      </c>
      <c r="H816" t="n">
        <v>0</v>
      </c>
      <c r="I816" t="n">
        <v>0</v>
      </c>
      <c r="J816" t="n">
        <v>0</v>
      </c>
      <c r="K816" t="n">
        <v>0</v>
      </c>
      <c r="L816" t="n">
        <v>0</v>
      </c>
      <c r="M816" t="n">
        <v>0</v>
      </c>
      <c r="N816" t="n">
        <v>0</v>
      </c>
      <c r="O816" t="n">
        <v>0</v>
      </c>
      <c r="P816" t="n">
        <v>0</v>
      </c>
      <c r="Q816" t="n">
        <v>0</v>
      </c>
      <c r="R816" s="2" t="inlineStr"/>
    </row>
    <row r="817" ht="15" customHeight="1">
      <c r="A817" t="inlineStr">
        <is>
          <t>A 16733-2024</t>
        </is>
      </c>
      <c r="B817" s="1" t="n">
        <v>45410.78502314815</v>
      </c>
      <c r="C817" s="1" t="n">
        <v>46098</v>
      </c>
      <c r="D817" t="inlineStr">
        <is>
          <t>DALARNAS LÄN</t>
        </is>
      </c>
      <c r="E817" t="inlineStr">
        <is>
          <t>MORA</t>
        </is>
      </c>
      <c r="G817" t="n">
        <v>6.3</v>
      </c>
      <c r="H817" t="n">
        <v>0</v>
      </c>
      <c r="I817" t="n">
        <v>0</v>
      </c>
      <c r="J817" t="n">
        <v>0</v>
      </c>
      <c r="K817" t="n">
        <v>0</v>
      </c>
      <c r="L817" t="n">
        <v>0</v>
      </c>
      <c r="M817" t="n">
        <v>0</v>
      </c>
      <c r="N817" t="n">
        <v>0</v>
      </c>
      <c r="O817" t="n">
        <v>0</v>
      </c>
      <c r="P817" t="n">
        <v>0</v>
      </c>
      <c r="Q817" t="n">
        <v>0</v>
      </c>
      <c r="R817" s="2" t="inlineStr"/>
    </row>
    <row r="818" ht="15" customHeight="1">
      <c r="A818" t="inlineStr">
        <is>
          <t>A 61217-2023</t>
        </is>
      </c>
      <c r="B818" s="1" t="n">
        <v>45264.43802083333</v>
      </c>
      <c r="C818" s="1" t="n">
        <v>46098</v>
      </c>
      <c r="D818" t="inlineStr">
        <is>
          <t>DALARNAS LÄN</t>
        </is>
      </c>
      <c r="E818" t="inlineStr">
        <is>
          <t>MORA</t>
        </is>
      </c>
      <c r="F818" t="inlineStr">
        <is>
          <t>Allmännings- och besparingsskogar</t>
        </is>
      </c>
      <c r="G818" t="n">
        <v>2</v>
      </c>
      <c r="H818" t="n">
        <v>0</v>
      </c>
      <c r="I818" t="n">
        <v>0</v>
      </c>
      <c r="J818" t="n">
        <v>0</v>
      </c>
      <c r="K818" t="n">
        <v>0</v>
      </c>
      <c r="L818" t="n">
        <v>0</v>
      </c>
      <c r="M818" t="n">
        <v>0</v>
      </c>
      <c r="N818" t="n">
        <v>0</v>
      </c>
      <c r="O818" t="n">
        <v>0</v>
      </c>
      <c r="P818" t="n">
        <v>0</v>
      </c>
      <c r="Q818" t="n">
        <v>0</v>
      </c>
      <c r="R818" s="2" t="inlineStr"/>
    </row>
    <row r="819">
      <c r="A819" t="inlineStr">
        <is>
          <t>A 61218-2023</t>
        </is>
      </c>
      <c r="B819" s="1" t="n">
        <v>45264</v>
      </c>
      <c r="C819" s="1" t="n">
        <v>46098</v>
      </c>
      <c r="D819" t="inlineStr">
        <is>
          <t>DALARNAS LÄN</t>
        </is>
      </c>
      <c r="E819" t="inlineStr">
        <is>
          <t>MORA</t>
        </is>
      </c>
      <c r="F819" t="inlineStr">
        <is>
          <t>Allmännings- och besparingsskogar</t>
        </is>
      </c>
      <c r="G819" t="n">
        <v>2.6</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2026-03-17T11:27:38Z</dcterms:created>
  <dcterms:modified xmlns:dcterms="http://purl.org/dc/terms/" xmlns:xsi="http://www.w3.org/2001/XMLSchema-instance" xsi:type="dcterms:W3CDTF">2026-03-17T11:27:38Z</dcterms:modified>
</cp:coreProperties>
</file>