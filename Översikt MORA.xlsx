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35200-2025</t>
        </is>
      </c>
      <c r="B8" s="1" t="n">
        <v>45853.38729166667</v>
      </c>
      <c r="C8" s="1" t="n">
        <v>45925</v>
      </c>
      <c r="D8" t="inlineStr">
        <is>
          <t>DALARNAS LÄN</t>
        </is>
      </c>
      <c r="E8" t="inlineStr">
        <is>
          <t>MORA</t>
        </is>
      </c>
      <c r="G8" t="n">
        <v>9.9</v>
      </c>
      <c r="H8" t="n">
        <v>7</v>
      </c>
      <c r="I8" t="n">
        <v>1</v>
      </c>
      <c r="J8" t="n">
        <v>12</v>
      </c>
      <c r="K8" t="n">
        <v>1</v>
      </c>
      <c r="L8" t="n">
        <v>0</v>
      </c>
      <c r="M8" t="n">
        <v>0</v>
      </c>
      <c r="N8" t="n">
        <v>0</v>
      </c>
      <c r="O8" t="n">
        <v>13</v>
      </c>
      <c r="P8" t="n">
        <v>1</v>
      </c>
      <c r="Q8" t="n">
        <v>17</v>
      </c>
      <c r="R8" s="2" t="inlineStr">
        <is>
          <t>Lateritticka
Garnlav
Kolflarnlav
Kråka
Mörk kolflarnlav
Spillkråka
Tallticka
Talltita
Tretåig hackspett
Vedflamlav
Vedskivlav
Violettgrå tagellav
Vitgrynig nållav
Mindre märgborre
Kungsfågel
Tjäder
Revlummer</t>
        </is>
      </c>
      <c r="S8">
        <f>HYPERLINK("https://klasma.github.io/Logging_2062/artfynd/A 35200-2025 artfynd.xlsx", "A 35200-2025")</f>
        <v/>
      </c>
      <c r="T8">
        <f>HYPERLINK("https://klasma.github.io/Logging_2062/kartor/A 35200-2025 karta.png", "A 35200-2025")</f>
        <v/>
      </c>
      <c r="V8">
        <f>HYPERLINK("https://klasma.github.io/Logging_2062/klagomål/A 35200-2025 FSC-klagomål.docx", "A 35200-2025")</f>
        <v/>
      </c>
      <c r="W8">
        <f>HYPERLINK("https://klasma.github.io/Logging_2062/klagomålsmail/A 35200-2025 FSC-klagomål mail.docx", "A 35200-2025")</f>
        <v/>
      </c>
      <c r="X8">
        <f>HYPERLINK("https://klasma.github.io/Logging_2062/tillsyn/A 35200-2025 tillsynsbegäran.docx", "A 35200-2025")</f>
        <v/>
      </c>
      <c r="Y8">
        <f>HYPERLINK("https://klasma.github.io/Logging_2062/tillsynsmail/A 35200-2025 tillsynsbegäran mail.docx", "A 35200-2025")</f>
        <v/>
      </c>
      <c r="Z8">
        <f>HYPERLINK("https://klasma.github.io/Logging_2062/fåglar/A 35200-2025 prioriterade fågelarter.docx", "A 35200-2025")</f>
        <v/>
      </c>
    </row>
    <row r="9" ht="15" customHeight="1">
      <c r="A9" t="inlineStr">
        <is>
          <t>A 34018-2021</t>
        </is>
      </c>
      <c r="B9" s="1" t="n">
        <v>44379.34289351852</v>
      </c>
      <c r="C9" s="1" t="n">
        <v>45925</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20531-2025</t>
        </is>
      </c>
      <c r="B10" s="1" t="n">
        <v>45775.6125462963</v>
      </c>
      <c r="C10" s="1" t="n">
        <v>45925</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45925</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45925</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45925</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45925</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45925</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45925</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45925</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45925</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45925</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45925</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45925</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5064-2023</t>
        </is>
      </c>
      <c r="B22" s="1" t="n">
        <v>44958.60337962963</v>
      </c>
      <c r="C22" s="1" t="n">
        <v>45925</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34714-2025</t>
        </is>
      </c>
      <c r="B23" s="1" t="n">
        <v>45848.52030092593</v>
      </c>
      <c r="C23" s="1" t="n">
        <v>45925</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61943-2024</t>
        </is>
      </c>
      <c r="B24" s="1" t="n">
        <v>45653.49774305556</v>
      </c>
      <c r="C24" s="1" t="n">
        <v>45925</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40313-2025</t>
        </is>
      </c>
      <c r="B25" s="1" t="n">
        <v>45895.42209490741</v>
      </c>
      <c r="C25" s="1" t="n">
        <v>45925</v>
      </c>
      <c r="D25" t="inlineStr">
        <is>
          <t>DALARNAS LÄN</t>
        </is>
      </c>
      <c r="E25" t="inlineStr">
        <is>
          <t>MORA</t>
        </is>
      </c>
      <c r="G25" t="n">
        <v>16</v>
      </c>
      <c r="H25" t="n">
        <v>3</v>
      </c>
      <c r="I25" t="n">
        <v>3</v>
      </c>
      <c r="J25" t="n">
        <v>5</v>
      </c>
      <c r="K25" t="n">
        <v>0</v>
      </c>
      <c r="L25" t="n">
        <v>0</v>
      </c>
      <c r="M25" t="n">
        <v>0</v>
      </c>
      <c r="N25" t="n">
        <v>0</v>
      </c>
      <c r="O25" t="n">
        <v>5</v>
      </c>
      <c r="P25" t="n">
        <v>0</v>
      </c>
      <c r="Q25" t="n">
        <v>9</v>
      </c>
      <c r="R25" s="2" t="inlineStr">
        <is>
          <t>Garnlav
Mörk kolflarnlav
Spillkråka
Tallticka
Tretåig hackspett
Bollvitmossa
Dropptaggsvamp
Mindre märgborre
Tjäder</t>
        </is>
      </c>
      <c r="S25">
        <f>HYPERLINK("https://klasma.github.io/Logging_2062/artfynd/A 40313-2025 artfynd.xlsx", "A 40313-2025")</f>
        <v/>
      </c>
      <c r="T25">
        <f>HYPERLINK("https://klasma.github.io/Logging_2062/kartor/A 40313-2025 karta.png", "A 40313-2025")</f>
        <v/>
      </c>
      <c r="V25">
        <f>HYPERLINK("https://klasma.github.io/Logging_2062/klagomål/A 40313-2025 FSC-klagomål.docx", "A 40313-2025")</f>
        <v/>
      </c>
      <c r="W25">
        <f>HYPERLINK("https://klasma.github.io/Logging_2062/klagomålsmail/A 40313-2025 FSC-klagomål mail.docx", "A 40313-2025")</f>
        <v/>
      </c>
      <c r="X25">
        <f>HYPERLINK("https://klasma.github.io/Logging_2062/tillsyn/A 40313-2025 tillsynsbegäran.docx", "A 40313-2025")</f>
        <v/>
      </c>
      <c r="Y25">
        <f>HYPERLINK("https://klasma.github.io/Logging_2062/tillsynsmail/A 40313-2025 tillsynsbegäran mail.docx", "A 40313-2025")</f>
        <v/>
      </c>
      <c r="Z25">
        <f>HYPERLINK("https://klasma.github.io/Logging_2062/fåglar/A 40313-2025 prioriterade fågelarter.docx", "A 40313-2025")</f>
        <v/>
      </c>
    </row>
    <row r="26" ht="15" customHeight="1">
      <c r="A26" t="inlineStr">
        <is>
          <t>A 35486-2025</t>
        </is>
      </c>
      <c r="B26" s="1" t="n">
        <v>45855.74986111111</v>
      </c>
      <c r="C26" s="1" t="n">
        <v>45925</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45925</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39480-2025</t>
        </is>
      </c>
      <c r="B28" s="1" t="n">
        <v>45890.35232638889</v>
      </c>
      <c r="C28" s="1" t="n">
        <v>45925</v>
      </c>
      <c r="D28" t="inlineStr">
        <is>
          <t>DALARNAS LÄN</t>
        </is>
      </c>
      <c r="E28" t="inlineStr">
        <is>
          <t>MORA</t>
        </is>
      </c>
      <c r="G28" t="n">
        <v>1.3</v>
      </c>
      <c r="H28" t="n">
        <v>3</v>
      </c>
      <c r="I28" t="n">
        <v>1</v>
      </c>
      <c r="J28" t="n">
        <v>6</v>
      </c>
      <c r="K28" t="n">
        <v>0</v>
      </c>
      <c r="L28" t="n">
        <v>0</v>
      </c>
      <c r="M28" t="n">
        <v>0</v>
      </c>
      <c r="N28" t="n">
        <v>0</v>
      </c>
      <c r="O28" t="n">
        <v>6</v>
      </c>
      <c r="P28" t="n">
        <v>0</v>
      </c>
      <c r="Q28" t="n">
        <v>8</v>
      </c>
      <c r="R28" s="2" t="inlineStr">
        <is>
          <t>Garnlav
Rödvingetrast
Spillkråka
Tallticka
Vedflamlav
Vedskivlav
Mindre märgborre
Järnsparv</t>
        </is>
      </c>
      <c r="S28">
        <f>HYPERLINK("https://klasma.github.io/Logging_2062/artfynd/A 39480-2025 artfynd.xlsx", "A 39480-2025")</f>
        <v/>
      </c>
      <c r="T28">
        <f>HYPERLINK("https://klasma.github.io/Logging_2062/kartor/A 39480-2025 karta.png", "A 39480-2025")</f>
        <v/>
      </c>
      <c r="V28">
        <f>HYPERLINK("https://klasma.github.io/Logging_2062/klagomål/A 39480-2025 FSC-klagomål.docx", "A 39480-2025")</f>
        <v/>
      </c>
      <c r="W28">
        <f>HYPERLINK("https://klasma.github.io/Logging_2062/klagomålsmail/A 39480-2025 FSC-klagomål mail.docx", "A 39480-2025")</f>
        <v/>
      </c>
      <c r="X28">
        <f>HYPERLINK("https://klasma.github.io/Logging_2062/tillsyn/A 39480-2025 tillsynsbegäran.docx", "A 39480-2025")</f>
        <v/>
      </c>
      <c r="Y28">
        <f>HYPERLINK("https://klasma.github.io/Logging_2062/tillsynsmail/A 39480-2025 tillsynsbegäran mail.docx", "A 39480-2025")</f>
        <v/>
      </c>
      <c r="Z28">
        <f>HYPERLINK("https://klasma.github.io/Logging_2062/fåglar/A 39480-2025 prioriterade fågelarter.docx", "A 39480-2025")</f>
        <v/>
      </c>
    </row>
    <row r="29" ht="15" customHeight="1">
      <c r="A29" t="inlineStr">
        <is>
          <t>A 59983-2024</t>
        </is>
      </c>
      <c r="B29" s="1" t="n">
        <v>45642</v>
      </c>
      <c r="C29" s="1" t="n">
        <v>45925</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30904-2025</t>
        </is>
      </c>
      <c r="B30" s="1" t="n">
        <v>45832.36327546297</v>
      </c>
      <c r="C30" s="1" t="n">
        <v>45925</v>
      </c>
      <c r="D30" t="inlineStr">
        <is>
          <t>DALARNAS LÄN</t>
        </is>
      </c>
      <c r="E30" t="inlineStr">
        <is>
          <t>MORA</t>
        </is>
      </c>
      <c r="G30" t="n">
        <v>6.6</v>
      </c>
      <c r="H30" t="n">
        <v>3</v>
      </c>
      <c r="I30" t="n">
        <v>1</v>
      </c>
      <c r="J30" t="n">
        <v>6</v>
      </c>
      <c r="K30" t="n">
        <v>0</v>
      </c>
      <c r="L30" t="n">
        <v>0</v>
      </c>
      <c r="M30" t="n">
        <v>0</v>
      </c>
      <c r="N30" t="n">
        <v>0</v>
      </c>
      <c r="O30" t="n">
        <v>6</v>
      </c>
      <c r="P30" t="n">
        <v>0</v>
      </c>
      <c r="Q30" t="n">
        <v>8</v>
      </c>
      <c r="R30" s="2" t="inlineStr">
        <is>
          <t>Garnlav
Spillkråka
Tallticka
Talltita
Vedflamlav
Vedskivlav
Mindre märgborre
Kungsfågel</t>
        </is>
      </c>
      <c r="S30">
        <f>HYPERLINK("https://klasma.github.io/Logging_2062/artfynd/A 30904-2025 artfynd.xlsx", "A 30904-2025")</f>
        <v/>
      </c>
      <c r="T30">
        <f>HYPERLINK("https://klasma.github.io/Logging_2062/kartor/A 30904-2025 karta.png", "A 30904-2025")</f>
        <v/>
      </c>
      <c r="V30">
        <f>HYPERLINK("https://klasma.github.io/Logging_2062/klagomål/A 30904-2025 FSC-klagomål.docx", "A 30904-2025")</f>
        <v/>
      </c>
      <c r="W30">
        <f>HYPERLINK("https://klasma.github.io/Logging_2062/klagomålsmail/A 30904-2025 FSC-klagomål mail.docx", "A 30904-2025")</f>
        <v/>
      </c>
      <c r="X30">
        <f>HYPERLINK("https://klasma.github.io/Logging_2062/tillsyn/A 30904-2025 tillsynsbegäran.docx", "A 30904-2025")</f>
        <v/>
      </c>
      <c r="Y30">
        <f>HYPERLINK("https://klasma.github.io/Logging_2062/tillsynsmail/A 30904-2025 tillsynsbegäran mail.docx", "A 30904-2025")</f>
        <v/>
      </c>
      <c r="Z30">
        <f>HYPERLINK("https://klasma.github.io/Logging_2062/fåglar/A 30904-2025 prioriterade fågelarter.docx", "A 30904-2025")</f>
        <v/>
      </c>
    </row>
    <row r="31" ht="15" customHeight="1">
      <c r="A31" t="inlineStr">
        <is>
          <t>A 54028-2020</t>
        </is>
      </c>
      <c r="B31" s="1" t="n">
        <v>44125</v>
      </c>
      <c r="C31" s="1" t="n">
        <v>45925</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61259-2023</t>
        </is>
      </c>
      <c r="B32" s="1" t="n">
        <v>45264</v>
      </c>
      <c r="C32" s="1" t="n">
        <v>45925</v>
      </c>
      <c r="D32" t="inlineStr">
        <is>
          <t>DALARNAS LÄN</t>
        </is>
      </c>
      <c r="E32" t="inlineStr">
        <is>
          <t>MORA</t>
        </is>
      </c>
      <c r="F32" t="inlineStr">
        <is>
          <t>Allmännings- och besparingsskogar</t>
        </is>
      </c>
      <c r="G32" t="n">
        <v>1</v>
      </c>
      <c r="H32" t="n">
        <v>1</v>
      </c>
      <c r="I32" t="n">
        <v>3</v>
      </c>
      <c r="J32" t="n">
        <v>3</v>
      </c>
      <c r="K32" t="n">
        <v>1</v>
      </c>
      <c r="L32" t="n">
        <v>0</v>
      </c>
      <c r="M32" t="n">
        <v>0</v>
      </c>
      <c r="N32" t="n">
        <v>0</v>
      </c>
      <c r="O32" t="n">
        <v>4</v>
      </c>
      <c r="P32" t="n">
        <v>1</v>
      </c>
      <c r="Q32" t="n">
        <v>7</v>
      </c>
      <c r="R32" s="2" t="inlineStr">
        <is>
          <t>Knärot
Brunpudrad nållav
Garnlav
Vitgrynig nållav
Bronshjon
Thomsons trägnagare
Vågbandad barkbock</t>
        </is>
      </c>
      <c r="S32">
        <f>HYPERLINK("https://klasma.github.io/Logging_2062/artfynd/A 61259-2023 artfynd.xlsx", "A 61259-2023")</f>
        <v/>
      </c>
      <c r="T32">
        <f>HYPERLINK("https://klasma.github.io/Logging_2062/kartor/A 61259-2023 karta.png", "A 61259-2023")</f>
        <v/>
      </c>
      <c r="U32">
        <f>HYPERLINK("https://klasma.github.io/Logging_2062/knärot/A 61259-2023 karta knärot.png", "A 61259-2023")</f>
        <v/>
      </c>
      <c r="V32">
        <f>HYPERLINK("https://klasma.github.io/Logging_2062/klagomål/A 61259-2023 FSC-klagomål.docx", "A 61259-2023")</f>
        <v/>
      </c>
      <c r="W32">
        <f>HYPERLINK("https://klasma.github.io/Logging_2062/klagomålsmail/A 61259-2023 FSC-klagomål mail.docx", "A 61259-2023")</f>
        <v/>
      </c>
      <c r="X32">
        <f>HYPERLINK("https://klasma.github.io/Logging_2062/tillsyn/A 61259-2023 tillsynsbegäran.docx", "A 61259-2023")</f>
        <v/>
      </c>
      <c r="Y32">
        <f>HYPERLINK("https://klasma.github.io/Logging_2062/tillsynsmail/A 61259-2023 tillsynsbegäran mail.docx", "A 61259-2023")</f>
        <v/>
      </c>
    </row>
    <row r="33" ht="15" customHeight="1">
      <c r="A33" t="inlineStr">
        <is>
          <t>A 29380-2025</t>
        </is>
      </c>
      <c r="B33" s="1" t="n">
        <v>45824.59025462963</v>
      </c>
      <c r="C33" s="1" t="n">
        <v>45925</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29520-2025</t>
        </is>
      </c>
      <c r="B34" s="1" t="n">
        <v>45825.3303125</v>
      </c>
      <c r="C34" s="1" t="n">
        <v>45925</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34719-2025</t>
        </is>
      </c>
      <c r="B35" s="1" t="n">
        <v>45848.53040509259</v>
      </c>
      <c r="C35" s="1" t="n">
        <v>45925</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34447-2024</t>
        </is>
      </c>
      <c r="B36" s="1" t="n">
        <v>45525</v>
      </c>
      <c r="C36" s="1" t="n">
        <v>45925</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31539-2025</t>
        </is>
      </c>
      <c r="B37" s="1" t="n">
        <v>45833</v>
      </c>
      <c r="C37" s="1" t="n">
        <v>45925</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45925</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8760-2025</t>
        </is>
      </c>
      <c r="B39" s="1" t="n">
        <v>45712.57467592593</v>
      </c>
      <c r="C39" s="1" t="n">
        <v>45925</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25750-2021</t>
        </is>
      </c>
      <c r="B40" s="1" t="n">
        <v>44343</v>
      </c>
      <c r="C40" s="1" t="n">
        <v>45925</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39478-2025</t>
        </is>
      </c>
      <c r="B41" s="1" t="n">
        <v>45890.3469212963</v>
      </c>
      <c r="C41" s="1" t="n">
        <v>45925</v>
      </c>
      <c r="D41" t="inlineStr">
        <is>
          <t>DALARNAS LÄN</t>
        </is>
      </c>
      <c r="E41" t="inlineStr">
        <is>
          <t>MORA</t>
        </is>
      </c>
      <c r="G41" t="n">
        <v>1.8</v>
      </c>
      <c r="H41" t="n">
        <v>0</v>
      </c>
      <c r="I41" t="n">
        <v>0</v>
      </c>
      <c r="J41" t="n">
        <v>4</v>
      </c>
      <c r="K41" t="n">
        <v>0</v>
      </c>
      <c r="L41" t="n">
        <v>0</v>
      </c>
      <c r="M41" t="n">
        <v>0</v>
      </c>
      <c r="N41" t="n">
        <v>0</v>
      </c>
      <c r="O41" t="n">
        <v>4</v>
      </c>
      <c r="P41" t="n">
        <v>0</v>
      </c>
      <c r="Q41" t="n">
        <v>4</v>
      </c>
      <c r="R41" s="2" t="inlineStr">
        <is>
          <t>Garnlav
Mörk kolflarnlav
Vedflamlav
Vedskivlav</t>
        </is>
      </c>
      <c r="S41">
        <f>HYPERLINK("https://klasma.github.io/Logging_2062/artfynd/A 39478-2025 artfynd.xlsx", "A 39478-2025")</f>
        <v/>
      </c>
      <c r="T41">
        <f>HYPERLINK("https://klasma.github.io/Logging_2062/kartor/A 39478-2025 karta.png", "A 39478-2025")</f>
        <v/>
      </c>
      <c r="V41">
        <f>HYPERLINK("https://klasma.github.io/Logging_2062/klagomål/A 39478-2025 FSC-klagomål.docx", "A 39478-2025")</f>
        <v/>
      </c>
      <c r="W41">
        <f>HYPERLINK("https://klasma.github.io/Logging_2062/klagomålsmail/A 39478-2025 FSC-klagomål mail.docx", "A 39478-2025")</f>
        <v/>
      </c>
      <c r="X41">
        <f>HYPERLINK("https://klasma.github.io/Logging_2062/tillsyn/A 39478-2025 tillsynsbegäran.docx", "A 39478-2025")</f>
        <v/>
      </c>
      <c r="Y41">
        <f>HYPERLINK("https://klasma.github.io/Logging_2062/tillsynsmail/A 39478-2025 tillsynsbegäran mail.docx", "A 39478-2025")</f>
        <v/>
      </c>
    </row>
    <row r="42" ht="15" customHeight="1">
      <c r="A42" t="inlineStr">
        <is>
          <t>A 14293-2024</t>
        </is>
      </c>
      <c r="B42" s="1" t="n">
        <v>45393.63902777778</v>
      </c>
      <c r="C42" s="1" t="n">
        <v>45925</v>
      </c>
      <c r="D42" t="inlineStr">
        <is>
          <t>DALARNAS LÄN</t>
        </is>
      </c>
      <c r="E42" t="inlineStr">
        <is>
          <t>MORA</t>
        </is>
      </c>
      <c r="G42" t="n">
        <v>7.4</v>
      </c>
      <c r="H42" t="n">
        <v>2</v>
      </c>
      <c r="I42" t="n">
        <v>1</v>
      </c>
      <c r="J42" t="n">
        <v>2</v>
      </c>
      <c r="K42" t="n">
        <v>0</v>
      </c>
      <c r="L42" t="n">
        <v>0</v>
      </c>
      <c r="M42" t="n">
        <v>0</v>
      </c>
      <c r="N42" t="n">
        <v>0</v>
      </c>
      <c r="O42" t="n">
        <v>2</v>
      </c>
      <c r="P42" t="n">
        <v>0</v>
      </c>
      <c r="Q42" t="n">
        <v>4</v>
      </c>
      <c r="R42" s="2" t="inlineStr">
        <is>
          <t>Garnlav
Talltita
Dropptaggsvamp
Tjäder</t>
        </is>
      </c>
      <c r="S42">
        <f>HYPERLINK("https://klasma.github.io/Logging_2062/artfynd/A 14293-2024 artfynd.xlsx", "A 14293-2024")</f>
        <v/>
      </c>
      <c r="T42">
        <f>HYPERLINK("https://klasma.github.io/Logging_2062/kartor/A 14293-2024 karta.png", "A 14293-2024")</f>
        <v/>
      </c>
      <c r="V42">
        <f>HYPERLINK("https://klasma.github.io/Logging_2062/klagomål/A 14293-2024 FSC-klagomål.docx", "A 14293-2024")</f>
        <v/>
      </c>
      <c r="W42">
        <f>HYPERLINK("https://klasma.github.io/Logging_2062/klagomålsmail/A 14293-2024 FSC-klagomål mail.docx", "A 14293-2024")</f>
        <v/>
      </c>
      <c r="X42">
        <f>HYPERLINK("https://klasma.github.io/Logging_2062/tillsyn/A 14293-2024 tillsynsbegäran.docx", "A 14293-2024")</f>
        <v/>
      </c>
      <c r="Y42">
        <f>HYPERLINK("https://klasma.github.io/Logging_2062/tillsynsmail/A 14293-2024 tillsynsbegäran mail.docx", "A 14293-2024")</f>
        <v/>
      </c>
      <c r="Z42">
        <f>HYPERLINK("https://klasma.github.io/Logging_2062/fåglar/A 14293-2024 prioriterade fågelarter.docx", "A 14293-2024")</f>
        <v/>
      </c>
    </row>
    <row r="43" ht="15" customHeight="1">
      <c r="A43" t="inlineStr">
        <is>
          <t>A 17648-2024</t>
        </is>
      </c>
      <c r="B43" s="1" t="n">
        <v>45418.39261574074</v>
      </c>
      <c r="C43" s="1" t="n">
        <v>45925</v>
      </c>
      <c r="D43" t="inlineStr">
        <is>
          <t>DALARNAS LÄN</t>
        </is>
      </c>
      <c r="E43" t="inlineStr">
        <is>
          <t>MORA</t>
        </is>
      </c>
      <c r="G43" t="n">
        <v>1.7</v>
      </c>
      <c r="H43" t="n">
        <v>4</v>
      </c>
      <c r="I43" t="n">
        <v>0</v>
      </c>
      <c r="J43" t="n">
        <v>2</v>
      </c>
      <c r="K43" t="n">
        <v>0</v>
      </c>
      <c r="L43" t="n">
        <v>0</v>
      </c>
      <c r="M43" t="n">
        <v>0</v>
      </c>
      <c r="N43" t="n">
        <v>0</v>
      </c>
      <c r="O43" t="n">
        <v>2</v>
      </c>
      <c r="P43" t="n">
        <v>0</v>
      </c>
      <c r="Q43" t="n">
        <v>4</v>
      </c>
      <c r="R43" s="2" t="inlineStr">
        <is>
          <t>Brunlångöra
Nordfladdermus
Dvärgpipistrell
Vattenfladdermus</t>
        </is>
      </c>
      <c r="S43">
        <f>HYPERLINK("https://klasma.github.io/Logging_2062/artfynd/A 17648-2024 artfynd.xlsx", "A 17648-2024")</f>
        <v/>
      </c>
      <c r="T43">
        <f>HYPERLINK("https://klasma.github.io/Logging_2062/kartor/A 17648-2024 karta.png", "A 17648-2024")</f>
        <v/>
      </c>
      <c r="V43">
        <f>HYPERLINK("https://klasma.github.io/Logging_2062/klagomål/A 17648-2024 FSC-klagomål.docx", "A 17648-2024")</f>
        <v/>
      </c>
      <c r="W43">
        <f>HYPERLINK("https://klasma.github.io/Logging_2062/klagomålsmail/A 17648-2024 FSC-klagomål mail.docx", "A 17648-2024")</f>
        <v/>
      </c>
      <c r="X43">
        <f>HYPERLINK("https://klasma.github.io/Logging_2062/tillsyn/A 17648-2024 tillsynsbegäran.docx", "A 17648-2024")</f>
        <v/>
      </c>
      <c r="Y43">
        <f>HYPERLINK("https://klasma.github.io/Logging_2062/tillsynsmail/A 17648-2024 tillsynsbegäran mail.docx", "A 17648-2024")</f>
        <v/>
      </c>
    </row>
    <row r="44" ht="15" customHeight="1">
      <c r="A44" t="inlineStr">
        <is>
          <t>A 14829-2025</t>
        </is>
      </c>
      <c r="B44" s="1" t="n">
        <v>45743.36951388889</v>
      </c>
      <c r="C44" s="1" t="n">
        <v>45925</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HYPERLINK("https://klasma.github.io/Logging_2062/artfynd/A 14829-2025 artfynd.xlsx", "A 14829-2025")</f>
        <v/>
      </c>
      <c r="T44">
        <f>HYPERLINK("https://klasma.github.io/Logging_2062/kartor/A 14829-2025 karta.png", "A 14829-2025")</f>
        <v/>
      </c>
      <c r="V44">
        <f>HYPERLINK("https://klasma.github.io/Logging_2062/klagomål/A 14829-2025 FSC-klagomål.docx", "A 14829-2025")</f>
        <v/>
      </c>
      <c r="W44">
        <f>HYPERLINK("https://klasma.github.io/Logging_2062/klagomålsmail/A 14829-2025 FSC-klagomål mail.docx", "A 14829-2025")</f>
        <v/>
      </c>
      <c r="X44">
        <f>HYPERLINK("https://klasma.github.io/Logging_2062/tillsyn/A 14829-2025 tillsynsbegäran.docx", "A 14829-2025")</f>
        <v/>
      </c>
      <c r="Y44">
        <f>HYPERLINK("https://klasma.github.io/Logging_2062/tillsynsmail/A 14829-2025 tillsynsbegäran mail.docx", "A 14829-2025")</f>
        <v/>
      </c>
      <c r="Z44">
        <f>HYPERLINK("https://klasma.github.io/Logging_2062/fåglar/A 14829-2025 prioriterade fågelarter.docx", "A 14829-2025")</f>
        <v/>
      </c>
    </row>
    <row r="45" ht="15" customHeight="1">
      <c r="A45" t="inlineStr">
        <is>
          <t>A 34715-2025</t>
        </is>
      </c>
      <c r="B45" s="1" t="n">
        <v>45848.52225694444</v>
      </c>
      <c r="C45" s="1" t="n">
        <v>45925</v>
      </c>
      <c r="D45" t="inlineStr">
        <is>
          <t>DALARNAS LÄN</t>
        </is>
      </c>
      <c r="E45" t="inlineStr">
        <is>
          <t>MORA</t>
        </is>
      </c>
      <c r="G45" t="n">
        <v>8.5</v>
      </c>
      <c r="H45" t="n">
        <v>2</v>
      </c>
      <c r="I45" t="n">
        <v>0</v>
      </c>
      <c r="J45" t="n">
        <v>3</v>
      </c>
      <c r="K45" t="n">
        <v>1</v>
      </c>
      <c r="L45" t="n">
        <v>0</v>
      </c>
      <c r="M45" t="n">
        <v>0</v>
      </c>
      <c r="N45" t="n">
        <v>0</v>
      </c>
      <c r="O45" t="n">
        <v>4</v>
      </c>
      <c r="P45" t="n">
        <v>1</v>
      </c>
      <c r="Q45" t="n">
        <v>4</v>
      </c>
      <c r="R45" s="2" t="inlineStr">
        <is>
          <t>Knärot
Garnlav
Tallticka
Tretåig hackspett</t>
        </is>
      </c>
      <c r="S45">
        <f>HYPERLINK("https://klasma.github.io/Logging_2062/artfynd/A 34715-2025 artfynd.xlsx", "A 34715-2025")</f>
        <v/>
      </c>
      <c r="T45">
        <f>HYPERLINK("https://klasma.github.io/Logging_2062/kartor/A 34715-2025 karta.png", "A 34715-2025")</f>
        <v/>
      </c>
      <c r="U45">
        <f>HYPERLINK("https://klasma.github.io/Logging_2062/knärot/A 34715-2025 karta knärot.png", "A 34715-2025")</f>
        <v/>
      </c>
      <c r="V45">
        <f>HYPERLINK("https://klasma.github.io/Logging_2062/klagomål/A 34715-2025 FSC-klagomål.docx", "A 34715-2025")</f>
        <v/>
      </c>
      <c r="W45">
        <f>HYPERLINK("https://klasma.github.io/Logging_2062/klagomålsmail/A 34715-2025 FSC-klagomål mail.docx", "A 34715-2025")</f>
        <v/>
      </c>
      <c r="X45">
        <f>HYPERLINK("https://klasma.github.io/Logging_2062/tillsyn/A 34715-2025 tillsynsbegäran.docx", "A 34715-2025")</f>
        <v/>
      </c>
      <c r="Y45">
        <f>HYPERLINK("https://klasma.github.io/Logging_2062/tillsynsmail/A 34715-2025 tillsynsbegäran mail.docx", "A 34715-2025")</f>
        <v/>
      </c>
      <c r="Z45">
        <f>HYPERLINK("https://klasma.github.io/Logging_2062/fåglar/A 34715-2025 prioriterade fågelarter.docx", "A 34715-2025")</f>
        <v/>
      </c>
    </row>
    <row r="46" ht="15" customHeight="1">
      <c r="A46" t="inlineStr">
        <is>
          <t>A 32222-2025</t>
        </is>
      </c>
      <c r="B46" s="1" t="n">
        <v>45835.59140046296</v>
      </c>
      <c r="C46" s="1" t="n">
        <v>45925</v>
      </c>
      <c r="D46" t="inlineStr">
        <is>
          <t>DALARNAS LÄN</t>
        </is>
      </c>
      <c r="E46" t="inlineStr">
        <is>
          <t>MORA</t>
        </is>
      </c>
      <c r="G46" t="n">
        <v>11.5</v>
      </c>
      <c r="H46" t="n">
        <v>1</v>
      </c>
      <c r="I46" t="n">
        <v>0</v>
      </c>
      <c r="J46" t="n">
        <v>4</v>
      </c>
      <c r="K46" t="n">
        <v>0</v>
      </c>
      <c r="L46" t="n">
        <v>0</v>
      </c>
      <c r="M46" t="n">
        <v>0</v>
      </c>
      <c r="N46" t="n">
        <v>0</v>
      </c>
      <c r="O46" t="n">
        <v>4</v>
      </c>
      <c r="P46" t="n">
        <v>0</v>
      </c>
      <c r="Q46" t="n">
        <v>4</v>
      </c>
      <c r="R46" s="2" t="inlineStr">
        <is>
          <t>Garnlav
Reliktbock
Tallticka
Tretåig hackspett</t>
        </is>
      </c>
      <c r="S46">
        <f>HYPERLINK("https://klasma.github.io/Logging_2062/artfynd/A 32222-2025 artfynd.xlsx", "A 32222-2025")</f>
        <v/>
      </c>
      <c r="T46">
        <f>HYPERLINK("https://klasma.github.io/Logging_2062/kartor/A 32222-2025 karta.png", "A 32222-2025")</f>
        <v/>
      </c>
      <c r="V46">
        <f>HYPERLINK("https://klasma.github.io/Logging_2062/klagomål/A 32222-2025 FSC-klagomål.docx", "A 32222-2025")</f>
        <v/>
      </c>
      <c r="W46">
        <f>HYPERLINK("https://klasma.github.io/Logging_2062/klagomålsmail/A 32222-2025 FSC-klagomål mail.docx", "A 32222-2025")</f>
        <v/>
      </c>
      <c r="X46">
        <f>HYPERLINK("https://klasma.github.io/Logging_2062/tillsyn/A 32222-2025 tillsynsbegäran.docx", "A 32222-2025")</f>
        <v/>
      </c>
      <c r="Y46">
        <f>HYPERLINK("https://klasma.github.io/Logging_2062/tillsynsmail/A 32222-2025 tillsynsbegäran mail.docx", "A 32222-2025")</f>
        <v/>
      </c>
      <c r="Z46">
        <f>HYPERLINK("https://klasma.github.io/Logging_2062/fåglar/A 32222-2025 prioriterade fågelarter.docx", "A 32222-2025")</f>
        <v/>
      </c>
    </row>
    <row r="47" ht="15" customHeight="1">
      <c r="A47" t="inlineStr">
        <is>
          <t>A 39483-2025</t>
        </is>
      </c>
      <c r="B47" s="1" t="n">
        <v>45890.35881944445</v>
      </c>
      <c r="C47" s="1" t="n">
        <v>45925</v>
      </c>
      <c r="D47" t="inlineStr">
        <is>
          <t>DALARNAS LÄN</t>
        </is>
      </c>
      <c r="E47" t="inlineStr">
        <is>
          <t>MORA</t>
        </is>
      </c>
      <c r="G47" t="n">
        <v>0.4</v>
      </c>
      <c r="H47" t="n">
        <v>2</v>
      </c>
      <c r="I47" t="n">
        <v>0</v>
      </c>
      <c r="J47" t="n">
        <v>3</v>
      </c>
      <c r="K47" t="n">
        <v>0</v>
      </c>
      <c r="L47" t="n">
        <v>0</v>
      </c>
      <c r="M47" t="n">
        <v>0</v>
      </c>
      <c r="N47" t="n">
        <v>0</v>
      </c>
      <c r="O47" t="n">
        <v>3</v>
      </c>
      <c r="P47" t="n">
        <v>0</v>
      </c>
      <c r="Q47" t="n">
        <v>4</v>
      </c>
      <c r="R47" s="2" t="inlineStr">
        <is>
          <t>Garnlav
Spillkråka
Vitgrynig nållav
Revlummer</t>
        </is>
      </c>
      <c r="S47">
        <f>HYPERLINK("https://klasma.github.io/Logging_2062/artfynd/A 39483-2025 artfynd.xlsx", "A 39483-2025")</f>
        <v/>
      </c>
      <c r="T47">
        <f>HYPERLINK("https://klasma.github.io/Logging_2062/kartor/A 39483-2025 karta.png", "A 39483-2025")</f>
        <v/>
      </c>
      <c r="V47">
        <f>HYPERLINK("https://klasma.github.io/Logging_2062/klagomål/A 39483-2025 FSC-klagomål.docx", "A 39483-2025")</f>
        <v/>
      </c>
      <c r="W47">
        <f>HYPERLINK("https://klasma.github.io/Logging_2062/klagomålsmail/A 39483-2025 FSC-klagomål mail.docx", "A 39483-2025")</f>
        <v/>
      </c>
      <c r="X47">
        <f>HYPERLINK("https://klasma.github.io/Logging_2062/tillsyn/A 39483-2025 tillsynsbegäran.docx", "A 39483-2025")</f>
        <v/>
      </c>
      <c r="Y47">
        <f>HYPERLINK("https://klasma.github.io/Logging_2062/tillsynsmail/A 39483-2025 tillsynsbegäran mail.docx", "A 39483-2025")</f>
        <v/>
      </c>
      <c r="Z47">
        <f>HYPERLINK("https://klasma.github.io/Logging_2062/fåglar/A 39483-2025 prioriterade fågelarter.docx", "A 39483-2025")</f>
        <v/>
      </c>
    </row>
    <row r="48" ht="15" customHeight="1">
      <c r="A48" t="inlineStr">
        <is>
          <t>A 24220-2025</t>
        </is>
      </c>
      <c r="B48" s="1" t="n">
        <v>45797.3635300926</v>
      </c>
      <c r="C48" s="1" t="n">
        <v>45925</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29392-2025</t>
        </is>
      </c>
      <c r="B49" s="1" t="n">
        <v>45824.60537037037</v>
      </c>
      <c r="C49" s="1" t="n">
        <v>45925</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45925</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45925</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59626-2020</t>
        </is>
      </c>
      <c r="B52" s="1" t="n">
        <v>44150</v>
      </c>
      <c r="C52" s="1" t="n">
        <v>45925</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45925</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35068-2025</t>
        </is>
      </c>
      <c r="B54" s="1" t="n">
        <v>45852.45686342593</v>
      </c>
      <c r="C54" s="1" t="n">
        <v>45925</v>
      </c>
      <c r="D54" t="inlineStr">
        <is>
          <t>DALARNAS LÄN</t>
        </is>
      </c>
      <c r="E54" t="inlineStr">
        <is>
          <t>MORA</t>
        </is>
      </c>
      <c r="G54" t="n">
        <v>0.7</v>
      </c>
      <c r="H54" t="n">
        <v>0</v>
      </c>
      <c r="I54" t="n">
        <v>1</v>
      </c>
      <c r="J54" t="n">
        <v>1</v>
      </c>
      <c r="K54" t="n">
        <v>0</v>
      </c>
      <c r="L54" t="n">
        <v>0</v>
      </c>
      <c r="M54" t="n">
        <v>0</v>
      </c>
      <c r="N54" t="n">
        <v>0</v>
      </c>
      <c r="O54" t="n">
        <v>1</v>
      </c>
      <c r="P54" t="n">
        <v>0</v>
      </c>
      <c r="Q54" t="n">
        <v>2</v>
      </c>
      <c r="R54" s="2" t="inlineStr">
        <is>
          <t>Garnlav
Mindre märgborre</t>
        </is>
      </c>
      <c r="S54">
        <f>HYPERLINK("https://klasma.github.io/Logging_2062/artfynd/A 35068-2025 artfynd.xlsx", "A 35068-2025")</f>
        <v/>
      </c>
      <c r="T54">
        <f>HYPERLINK("https://klasma.github.io/Logging_2062/kartor/A 35068-2025 karta.png", "A 35068-2025")</f>
        <v/>
      </c>
      <c r="V54">
        <f>HYPERLINK("https://klasma.github.io/Logging_2062/klagomål/A 35068-2025 FSC-klagomål.docx", "A 35068-2025")</f>
        <v/>
      </c>
      <c r="W54">
        <f>HYPERLINK("https://klasma.github.io/Logging_2062/klagomålsmail/A 35068-2025 FSC-klagomål mail.docx", "A 35068-2025")</f>
        <v/>
      </c>
      <c r="X54">
        <f>HYPERLINK("https://klasma.github.io/Logging_2062/tillsyn/A 35068-2025 tillsynsbegäran.docx", "A 35068-2025")</f>
        <v/>
      </c>
      <c r="Y54">
        <f>HYPERLINK("https://klasma.github.io/Logging_2062/tillsynsmail/A 35068-2025 tillsynsbegäran mail.docx", "A 35068-2025")</f>
        <v/>
      </c>
    </row>
    <row r="55" ht="15" customHeight="1">
      <c r="A55" t="inlineStr">
        <is>
          <t>A 24126-2025</t>
        </is>
      </c>
      <c r="B55" s="1" t="n">
        <v>45796.63011574074</v>
      </c>
      <c r="C55" s="1" t="n">
        <v>45925</v>
      </c>
      <c r="D55" t="inlineStr">
        <is>
          <t>DALARNAS LÄN</t>
        </is>
      </c>
      <c r="E55" t="inlineStr">
        <is>
          <t>MORA</t>
        </is>
      </c>
      <c r="F55" t="inlineStr">
        <is>
          <t>Bergvik skog öst AB</t>
        </is>
      </c>
      <c r="G55" t="n">
        <v>0.9</v>
      </c>
      <c r="H55" t="n">
        <v>0</v>
      </c>
      <c r="I55" t="n">
        <v>1</v>
      </c>
      <c r="J55" t="n">
        <v>1</v>
      </c>
      <c r="K55" t="n">
        <v>0</v>
      </c>
      <c r="L55" t="n">
        <v>0</v>
      </c>
      <c r="M55" t="n">
        <v>0</v>
      </c>
      <c r="N55" t="n">
        <v>0</v>
      </c>
      <c r="O55" t="n">
        <v>1</v>
      </c>
      <c r="P55" t="n">
        <v>0</v>
      </c>
      <c r="Q55" t="n">
        <v>2</v>
      </c>
      <c r="R55" s="2" t="inlineStr">
        <is>
          <t>Garnlav
Bollvitmossa</t>
        </is>
      </c>
      <c r="S55">
        <f>HYPERLINK("https://klasma.github.io/Logging_2062/artfynd/A 24126-2025 artfynd.xlsx", "A 24126-2025")</f>
        <v/>
      </c>
      <c r="T55">
        <f>HYPERLINK("https://klasma.github.io/Logging_2062/kartor/A 24126-2025 karta.png", "A 24126-2025")</f>
        <v/>
      </c>
      <c r="V55">
        <f>HYPERLINK("https://klasma.github.io/Logging_2062/klagomål/A 24126-2025 FSC-klagomål.docx", "A 24126-2025")</f>
        <v/>
      </c>
      <c r="W55">
        <f>HYPERLINK("https://klasma.github.io/Logging_2062/klagomålsmail/A 24126-2025 FSC-klagomål mail.docx", "A 24126-2025")</f>
        <v/>
      </c>
      <c r="X55">
        <f>HYPERLINK("https://klasma.github.io/Logging_2062/tillsyn/A 24126-2025 tillsynsbegäran.docx", "A 24126-2025")</f>
        <v/>
      </c>
      <c r="Y55">
        <f>HYPERLINK("https://klasma.github.io/Logging_2062/tillsynsmail/A 24126-2025 tillsynsbegäran mail.docx", "A 24126-2025")</f>
        <v/>
      </c>
    </row>
    <row r="56" ht="15" customHeight="1">
      <c r="A56" t="inlineStr">
        <is>
          <t>A 23163-2025</t>
        </is>
      </c>
      <c r="B56" s="1" t="n">
        <v>45791.41832175926</v>
      </c>
      <c r="C56" s="1" t="n">
        <v>45925</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HYPERLINK("https://klasma.github.io/Logging_2062/artfynd/A 23163-2025 artfynd.xlsx", "A 23163-2025")</f>
        <v/>
      </c>
      <c r="T56">
        <f>HYPERLINK("https://klasma.github.io/Logging_2062/kartor/A 23163-2025 karta.png", "A 23163-2025")</f>
        <v/>
      </c>
      <c r="V56">
        <f>HYPERLINK("https://klasma.github.io/Logging_2062/klagomål/A 23163-2025 FSC-klagomål.docx", "A 23163-2025")</f>
        <v/>
      </c>
      <c r="W56">
        <f>HYPERLINK("https://klasma.github.io/Logging_2062/klagomålsmail/A 23163-2025 FSC-klagomål mail.docx", "A 23163-2025")</f>
        <v/>
      </c>
      <c r="X56">
        <f>HYPERLINK("https://klasma.github.io/Logging_2062/tillsyn/A 23163-2025 tillsynsbegäran.docx", "A 23163-2025")</f>
        <v/>
      </c>
      <c r="Y56">
        <f>HYPERLINK("https://klasma.github.io/Logging_2062/tillsynsmail/A 23163-2025 tillsynsbegäran mail.docx", "A 23163-2025")</f>
        <v/>
      </c>
      <c r="Z56">
        <f>HYPERLINK("https://klasma.github.io/Logging_2062/fåglar/A 23163-2025 prioriterade fågelarter.docx", "A 23163-2025")</f>
        <v/>
      </c>
    </row>
    <row r="57" ht="15" customHeight="1">
      <c r="A57" t="inlineStr">
        <is>
          <t>A 42028-2023</t>
        </is>
      </c>
      <c r="B57" s="1" t="n">
        <v>45177.49715277777</v>
      </c>
      <c r="C57" s="1" t="n">
        <v>45925</v>
      </c>
      <c r="D57" t="inlineStr">
        <is>
          <t>DALARNAS LÄN</t>
        </is>
      </c>
      <c r="E57" t="inlineStr">
        <is>
          <t>MORA</t>
        </is>
      </c>
      <c r="F57" t="inlineStr">
        <is>
          <t>Allmännings- och besparingsskogar</t>
        </is>
      </c>
      <c r="G57" t="n">
        <v>6.5</v>
      </c>
      <c r="H57" t="n">
        <v>0</v>
      </c>
      <c r="I57" t="n">
        <v>0</v>
      </c>
      <c r="J57" t="n">
        <v>2</v>
      </c>
      <c r="K57" t="n">
        <v>0</v>
      </c>
      <c r="L57" t="n">
        <v>0</v>
      </c>
      <c r="M57" t="n">
        <v>0</v>
      </c>
      <c r="N57" t="n">
        <v>0</v>
      </c>
      <c r="O57" t="n">
        <v>2</v>
      </c>
      <c r="P57" t="n">
        <v>0</v>
      </c>
      <c r="Q57" t="n">
        <v>2</v>
      </c>
      <c r="R57" s="2" t="inlineStr">
        <is>
          <t>Dvärgbägarlav
Vedskivlav</t>
        </is>
      </c>
      <c r="S57">
        <f>HYPERLINK("https://klasma.github.io/Logging_2062/artfynd/A 42028-2023 artfynd.xlsx", "A 42028-2023")</f>
        <v/>
      </c>
      <c r="T57">
        <f>HYPERLINK("https://klasma.github.io/Logging_2062/kartor/A 42028-2023 karta.png", "A 42028-2023")</f>
        <v/>
      </c>
      <c r="V57">
        <f>HYPERLINK("https://klasma.github.io/Logging_2062/klagomål/A 42028-2023 FSC-klagomål.docx", "A 42028-2023")</f>
        <v/>
      </c>
      <c r="W57">
        <f>HYPERLINK("https://klasma.github.io/Logging_2062/klagomålsmail/A 42028-2023 FSC-klagomål mail.docx", "A 42028-2023")</f>
        <v/>
      </c>
      <c r="X57">
        <f>HYPERLINK("https://klasma.github.io/Logging_2062/tillsyn/A 42028-2023 tillsynsbegäran.docx", "A 42028-2023")</f>
        <v/>
      </c>
      <c r="Y57">
        <f>HYPERLINK("https://klasma.github.io/Logging_2062/tillsynsmail/A 42028-2023 tillsynsbegäran mail.docx", "A 42028-2023")</f>
        <v/>
      </c>
    </row>
    <row r="58" ht="15" customHeight="1">
      <c r="A58" t="inlineStr">
        <is>
          <t>A 30328-2021</t>
        </is>
      </c>
      <c r="B58" s="1" t="n">
        <v>44364</v>
      </c>
      <c r="C58" s="1" t="n">
        <v>45925</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57669-2022</t>
        </is>
      </c>
      <c r="B59" s="1" t="n">
        <v>44897</v>
      </c>
      <c r="C59" s="1" t="n">
        <v>45925</v>
      </c>
      <c r="D59" t="inlineStr">
        <is>
          <t>DALARNAS LÄN</t>
        </is>
      </c>
      <c r="E59" t="inlineStr">
        <is>
          <t>MORA</t>
        </is>
      </c>
      <c r="G59" t="n">
        <v>4.1</v>
      </c>
      <c r="H59" t="n">
        <v>0</v>
      </c>
      <c r="I59" t="n">
        <v>0</v>
      </c>
      <c r="J59" t="n">
        <v>1</v>
      </c>
      <c r="K59" t="n">
        <v>0</v>
      </c>
      <c r="L59" t="n">
        <v>0</v>
      </c>
      <c r="M59" t="n">
        <v>0</v>
      </c>
      <c r="N59" t="n">
        <v>0</v>
      </c>
      <c r="O59" t="n">
        <v>1</v>
      </c>
      <c r="P59" t="n">
        <v>0</v>
      </c>
      <c r="Q59" t="n">
        <v>1</v>
      </c>
      <c r="R59" s="2" t="inlineStr">
        <is>
          <t>Igelkott</t>
        </is>
      </c>
      <c r="S59">
        <f>HYPERLINK("https://klasma.github.io/Logging_2062/artfynd/A 57669-2022 artfynd.xlsx", "A 57669-2022")</f>
        <v/>
      </c>
      <c r="T59">
        <f>HYPERLINK("https://klasma.github.io/Logging_2062/kartor/A 57669-2022 karta.png", "A 57669-2022")</f>
        <v/>
      </c>
      <c r="V59">
        <f>HYPERLINK("https://klasma.github.io/Logging_2062/klagomål/A 57669-2022 FSC-klagomål.docx", "A 57669-2022")</f>
        <v/>
      </c>
      <c r="W59">
        <f>HYPERLINK("https://klasma.github.io/Logging_2062/klagomålsmail/A 57669-2022 FSC-klagomål mail.docx", "A 57669-2022")</f>
        <v/>
      </c>
      <c r="X59">
        <f>HYPERLINK("https://klasma.github.io/Logging_2062/tillsyn/A 57669-2022 tillsynsbegäran.docx", "A 57669-2022")</f>
        <v/>
      </c>
      <c r="Y59">
        <f>HYPERLINK("https://klasma.github.io/Logging_2062/tillsynsmail/A 57669-2022 tillsynsbegäran mail.docx", "A 57669-2022")</f>
        <v/>
      </c>
    </row>
    <row r="60" ht="15" customHeight="1">
      <c r="A60" t="inlineStr">
        <is>
          <t>A 45344-2024</t>
        </is>
      </c>
      <c r="B60" s="1" t="n">
        <v>45576</v>
      </c>
      <c r="C60" s="1" t="n">
        <v>45925</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16094-2024</t>
        </is>
      </c>
      <c r="B61" s="1" t="n">
        <v>45406.41648148148</v>
      </c>
      <c r="C61" s="1" t="n">
        <v>45925</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23736-2023</t>
        </is>
      </c>
      <c r="B62" s="1" t="n">
        <v>45077</v>
      </c>
      <c r="C62" s="1" t="n">
        <v>45925</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20538-2025</t>
        </is>
      </c>
      <c r="B63" s="1" t="n">
        <v>45775.62283564815</v>
      </c>
      <c r="C63" s="1" t="n">
        <v>45925</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45925</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37552-2023</t>
        </is>
      </c>
      <c r="B65" s="1" t="n">
        <v>45159.32799768518</v>
      </c>
      <c r="C65" s="1" t="n">
        <v>45925</v>
      </c>
      <c r="D65" t="inlineStr">
        <is>
          <t>DALARNAS LÄN</t>
        </is>
      </c>
      <c r="E65" t="inlineStr">
        <is>
          <t>MORA</t>
        </is>
      </c>
      <c r="G65" t="n">
        <v>4</v>
      </c>
      <c r="H65" t="n">
        <v>0</v>
      </c>
      <c r="I65" t="n">
        <v>0</v>
      </c>
      <c r="J65" t="n">
        <v>1</v>
      </c>
      <c r="K65" t="n">
        <v>0</v>
      </c>
      <c r="L65" t="n">
        <v>0</v>
      </c>
      <c r="M65" t="n">
        <v>0</v>
      </c>
      <c r="N65" t="n">
        <v>0</v>
      </c>
      <c r="O65" t="n">
        <v>1</v>
      </c>
      <c r="P65" t="n">
        <v>0</v>
      </c>
      <c r="Q65" t="n">
        <v>1</v>
      </c>
      <c r="R65" s="2" t="inlineStr">
        <is>
          <t>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5304-2023</t>
        </is>
      </c>
      <c r="B66" s="1" t="n">
        <v>44959.55116898148</v>
      </c>
      <c r="C66" s="1" t="n">
        <v>45925</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27113-2024</t>
        </is>
      </c>
      <c r="B67" s="1" t="n">
        <v>45471</v>
      </c>
      <c r="C67" s="1" t="n">
        <v>45925</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45925</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66990-2020</t>
        </is>
      </c>
      <c r="B69" s="1" t="n">
        <v>44180</v>
      </c>
      <c r="C69" s="1" t="n">
        <v>45925</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45925</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45925</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45925</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45925</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45925</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45925</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45925</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45925</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45925</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45925</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69517-2020</t>
        </is>
      </c>
      <c r="B80" s="1" t="n">
        <v>44194</v>
      </c>
      <c r="C80" s="1" t="n">
        <v>45925</v>
      </c>
      <c r="D80" t="inlineStr">
        <is>
          <t>DALARNAS LÄN</t>
        </is>
      </c>
      <c r="E80" t="inlineStr">
        <is>
          <t>MORA</t>
        </is>
      </c>
      <c r="G80" t="n">
        <v>2</v>
      </c>
      <c r="H80" t="n">
        <v>0</v>
      </c>
      <c r="I80" t="n">
        <v>0</v>
      </c>
      <c r="J80" t="n">
        <v>0</v>
      </c>
      <c r="K80" t="n">
        <v>0</v>
      </c>
      <c r="L80" t="n">
        <v>0</v>
      </c>
      <c r="M80" t="n">
        <v>0</v>
      </c>
      <c r="N80" t="n">
        <v>0</v>
      </c>
      <c r="O80" t="n">
        <v>0</v>
      </c>
      <c r="P80" t="n">
        <v>0</v>
      </c>
      <c r="Q80" t="n">
        <v>0</v>
      </c>
      <c r="R80" s="2" t="inlineStr"/>
    </row>
    <row r="81" ht="15" customHeight="1">
      <c r="A81" t="inlineStr">
        <is>
          <t>A 61338-2020</t>
        </is>
      </c>
      <c r="B81" s="1" t="n">
        <v>44155</v>
      </c>
      <c r="C81" s="1" t="n">
        <v>45925</v>
      </c>
      <c r="D81" t="inlineStr">
        <is>
          <t>DALARNAS LÄN</t>
        </is>
      </c>
      <c r="E81" t="inlineStr">
        <is>
          <t>MORA</t>
        </is>
      </c>
      <c r="F81" t="inlineStr">
        <is>
          <t>Bergvik skog väst AB</t>
        </is>
      </c>
      <c r="G81" t="n">
        <v>2</v>
      </c>
      <c r="H81" t="n">
        <v>0</v>
      </c>
      <c r="I81" t="n">
        <v>0</v>
      </c>
      <c r="J81" t="n">
        <v>0</v>
      </c>
      <c r="K81" t="n">
        <v>0</v>
      </c>
      <c r="L81" t="n">
        <v>0</v>
      </c>
      <c r="M81" t="n">
        <v>0</v>
      </c>
      <c r="N81" t="n">
        <v>0</v>
      </c>
      <c r="O81" t="n">
        <v>0</v>
      </c>
      <c r="P81" t="n">
        <v>0</v>
      </c>
      <c r="Q81" t="n">
        <v>0</v>
      </c>
      <c r="R81" s="2" t="inlineStr"/>
    </row>
    <row r="82" ht="15" customHeight="1">
      <c r="A82" t="inlineStr">
        <is>
          <t>A 51608-2020</t>
        </is>
      </c>
      <c r="B82" s="1" t="n">
        <v>44109</v>
      </c>
      <c r="C82" s="1" t="n">
        <v>45925</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45925</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45925</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45925</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54239-2021</t>
        </is>
      </c>
      <c r="B86" s="1" t="n">
        <v>44470.63695601852</v>
      </c>
      <c r="C86" s="1" t="n">
        <v>45925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45925</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45925</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45925</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45925</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45925</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45925</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45925</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45925</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45925</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45925</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45925</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28344-2022</t>
        </is>
      </c>
      <c r="B99" s="1" t="n">
        <v>44747</v>
      </c>
      <c r="C99" s="1" t="n">
        <v>45925</v>
      </c>
      <c r="D99" t="inlineStr">
        <is>
          <t>DALARNAS LÄN</t>
        </is>
      </c>
      <c r="E99" t="inlineStr">
        <is>
          <t>MORA</t>
        </is>
      </c>
      <c r="F99" t="inlineStr">
        <is>
          <t>Kyrkan</t>
        </is>
      </c>
      <c r="G99" t="n">
        <v>6.4</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45925</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45925</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45925</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45925</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45925</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45925</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45925</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45925</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45925</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45925</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45925</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45925</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45925</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45925</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45925</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45925</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45925</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45925</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45925</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45925</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45925</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59899-2021</t>
        </is>
      </c>
      <c r="B121" s="1" t="n">
        <v>44494.63381944445</v>
      </c>
      <c r="C121" s="1" t="n">
        <v>45925</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45925</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45925</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48065-2020</t>
        </is>
      </c>
      <c r="B124" s="1" t="n">
        <v>44100</v>
      </c>
      <c r="C124" s="1" t="n">
        <v>45925</v>
      </c>
      <c r="D124" t="inlineStr">
        <is>
          <t>DALARNAS LÄN</t>
        </is>
      </c>
      <c r="E124" t="inlineStr">
        <is>
          <t>MORA</t>
        </is>
      </c>
      <c r="G124" t="n">
        <v>8.6</v>
      </c>
      <c r="H124" t="n">
        <v>0</v>
      </c>
      <c r="I124" t="n">
        <v>0</v>
      </c>
      <c r="J124" t="n">
        <v>0</v>
      </c>
      <c r="K124" t="n">
        <v>0</v>
      </c>
      <c r="L124" t="n">
        <v>0</v>
      </c>
      <c r="M124" t="n">
        <v>0</v>
      </c>
      <c r="N124" t="n">
        <v>0</v>
      </c>
      <c r="O124" t="n">
        <v>0</v>
      </c>
      <c r="P124" t="n">
        <v>0</v>
      </c>
      <c r="Q124" t="n">
        <v>0</v>
      </c>
      <c r="R124" s="2" t="inlineStr"/>
    </row>
    <row r="125" ht="15" customHeight="1">
      <c r="A125" t="inlineStr">
        <is>
          <t>A 55249-2020</t>
        </is>
      </c>
      <c r="B125" s="1" t="n">
        <v>44130</v>
      </c>
      <c r="C125" s="1" t="n">
        <v>45925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45925</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45925</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14744-2022</t>
        </is>
      </c>
      <c r="B129" s="1" t="n">
        <v>44656.37616898148</v>
      </c>
      <c r="C129" s="1" t="n">
        <v>45925</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8546-2022</t>
        </is>
      </c>
      <c r="B130" s="1" t="n">
        <v>44613</v>
      </c>
      <c r="C130" s="1" t="n">
        <v>45925</v>
      </c>
      <c r="D130" t="inlineStr">
        <is>
          <t>DALARNAS LÄN</t>
        </is>
      </c>
      <c r="E130" t="inlineStr">
        <is>
          <t>MORA</t>
        </is>
      </c>
      <c r="G130" t="n">
        <v>2.6</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45925</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45925</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45925</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45925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22931-2021</t>
        </is>
      </c>
      <c r="B135" s="1" t="n">
        <v>44326</v>
      </c>
      <c r="C135" s="1" t="n">
        <v>45925</v>
      </c>
      <c r="D135" t="inlineStr">
        <is>
          <t>DALARNAS LÄN</t>
        </is>
      </c>
      <c r="E135" t="inlineStr">
        <is>
          <t>MORA</t>
        </is>
      </c>
      <c r="G135" t="n">
        <v>4.4</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45925</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24393-2022</t>
        </is>
      </c>
      <c r="B137" s="1" t="n">
        <v>44726</v>
      </c>
      <c r="C137" s="1" t="n">
        <v>45925</v>
      </c>
      <c r="D137" t="inlineStr">
        <is>
          <t>DALARNAS LÄN</t>
        </is>
      </c>
      <c r="E137" t="inlineStr">
        <is>
          <t>MORA</t>
        </is>
      </c>
      <c r="G137" t="n">
        <v>2.1</v>
      </c>
      <c r="H137" t="n">
        <v>0</v>
      </c>
      <c r="I137" t="n">
        <v>0</v>
      </c>
      <c r="J137" t="n">
        <v>0</v>
      </c>
      <c r="K137" t="n">
        <v>0</v>
      </c>
      <c r="L137" t="n">
        <v>0</v>
      </c>
      <c r="M137" t="n">
        <v>0</v>
      </c>
      <c r="N137" t="n">
        <v>0</v>
      </c>
      <c r="O137" t="n">
        <v>0</v>
      </c>
      <c r="P137" t="n">
        <v>0</v>
      </c>
      <c r="Q137" t="n">
        <v>0</v>
      </c>
      <c r="R137" s="2" t="inlineStr"/>
    </row>
    <row r="138" ht="15" customHeight="1">
      <c r="A138" t="inlineStr">
        <is>
          <t>A 655-2021</t>
        </is>
      </c>
      <c r="B138" s="1" t="n">
        <v>44203</v>
      </c>
      <c r="C138" s="1" t="n">
        <v>45925</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45925</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45925</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45925</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45925</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45925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27461-2022</t>
        </is>
      </c>
      <c r="B144" s="1" t="n">
        <v>44742.58386574074</v>
      </c>
      <c r="C144" s="1" t="n">
        <v>45925</v>
      </c>
      <c r="D144" t="inlineStr">
        <is>
          <t>DALARNAS LÄN</t>
        </is>
      </c>
      <c r="E144" t="inlineStr">
        <is>
          <t>MORA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66157-2021</t>
        </is>
      </c>
      <c r="B145" s="1" t="n">
        <v>44517.92888888889</v>
      </c>
      <c r="C145" s="1" t="n">
        <v>45925</v>
      </c>
      <c r="D145" t="inlineStr">
        <is>
          <t>DALARNAS LÄN</t>
        </is>
      </c>
      <c r="E145" t="inlineStr">
        <is>
          <t>MORA</t>
        </is>
      </c>
      <c r="G145" t="n">
        <v>2.9</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45925</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56770-2024</t>
        </is>
      </c>
      <c r="B147" s="1" t="n">
        <v>45628.41587962963</v>
      </c>
      <c r="C147" s="1" t="n">
        <v>45925</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43498-2023</t>
        </is>
      </c>
      <c r="B148" s="1" t="n">
        <v>45184</v>
      </c>
      <c r="C148" s="1" t="n">
        <v>45925</v>
      </c>
      <c r="D148" t="inlineStr">
        <is>
          <t>DALARNAS LÄN</t>
        </is>
      </c>
      <c r="E148" t="inlineStr">
        <is>
          <t>MORA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58413-2021</t>
        </is>
      </c>
      <c r="B149" s="1" t="n">
        <v>44488</v>
      </c>
      <c r="C149" s="1" t="n">
        <v>45925</v>
      </c>
      <c r="D149" t="inlineStr">
        <is>
          <t>DALARNAS LÄN</t>
        </is>
      </c>
      <c r="E149" t="inlineStr">
        <is>
          <t>MORA</t>
        </is>
      </c>
      <c r="F149" t="inlineStr">
        <is>
          <t>Bergvik skog öst AB</t>
        </is>
      </c>
      <c r="G149" t="n">
        <v>5.3</v>
      </c>
      <c r="H149" t="n">
        <v>0</v>
      </c>
      <c r="I149" t="n">
        <v>0</v>
      </c>
      <c r="J149" t="n">
        <v>0</v>
      </c>
      <c r="K149" t="n">
        <v>0</v>
      </c>
      <c r="L149" t="n">
        <v>0</v>
      </c>
      <c r="M149" t="n">
        <v>0</v>
      </c>
      <c r="N149" t="n">
        <v>0</v>
      </c>
      <c r="O149" t="n">
        <v>0</v>
      </c>
      <c r="P149" t="n">
        <v>0</v>
      </c>
      <c r="Q149" t="n">
        <v>0</v>
      </c>
      <c r="R149" s="2" t="inlineStr"/>
    </row>
    <row r="150" ht="15" customHeight="1">
      <c r="A150" t="inlineStr">
        <is>
          <t>A 32474-2022</t>
        </is>
      </c>
      <c r="B150" s="1" t="n">
        <v>44782</v>
      </c>
      <c r="C150" s="1" t="n">
        <v>45925</v>
      </c>
      <c r="D150" t="inlineStr">
        <is>
          <t>DALARNAS LÄN</t>
        </is>
      </c>
      <c r="E150" t="inlineStr">
        <is>
          <t>MORA</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34927-2022</t>
        </is>
      </c>
      <c r="B151" s="1" t="n">
        <v>44796.60181712963</v>
      </c>
      <c r="C151" s="1" t="n">
        <v>45925</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48456-2022</t>
        </is>
      </c>
      <c r="B152" s="1" t="n">
        <v>44858.66387731482</v>
      </c>
      <c r="C152" s="1" t="n">
        <v>45925</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5527-2024</t>
        </is>
      </c>
      <c r="B153" s="1" t="n">
        <v>45334.38981481481</v>
      </c>
      <c r="C153" s="1" t="n">
        <v>45925</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45925</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45925</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24335-2022</t>
        </is>
      </c>
      <c r="B156" s="1" t="n">
        <v>44725</v>
      </c>
      <c r="C156" s="1" t="n">
        <v>45925</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67045-2021</t>
        </is>
      </c>
      <c r="B157" s="1" t="n">
        <v>44522</v>
      </c>
      <c r="C157" s="1" t="n">
        <v>45925</v>
      </c>
      <c r="D157" t="inlineStr">
        <is>
          <t>DALARNAS LÄN</t>
        </is>
      </c>
      <c r="E157" t="inlineStr">
        <is>
          <t>MORA</t>
        </is>
      </c>
      <c r="G157" t="n">
        <v>0.2</v>
      </c>
      <c r="H157" t="n">
        <v>0</v>
      </c>
      <c r="I157" t="n">
        <v>0</v>
      </c>
      <c r="J157" t="n">
        <v>0</v>
      </c>
      <c r="K157" t="n">
        <v>0</v>
      </c>
      <c r="L157" t="n">
        <v>0</v>
      </c>
      <c r="M157" t="n">
        <v>0</v>
      </c>
      <c r="N157" t="n">
        <v>0</v>
      </c>
      <c r="O157" t="n">
        <v>0</v>
      </c>
      <c r="P157" t="n">
        <v>0</v>
      </c>
      <c r="Q157" t="n">
        <v>0</v>
      </c>
      <c r="R157" s="2" t="inlineStr"/>
    </row>
    <row r="158" ht="15" customHeight="1">
      <c r="A158" t="inlineStr">
        <is>
          <t>A 51253-2023</t>
        </is>
      </c>
      <c r="B158" s="1" t="n">
        <v>45219</v>
      </c>
      <c r="C158" s="1" t="n">
        <v>45925</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58116-2022</t>
        </is>
      </c>
      <c r="B159" s="1" t="n">
        <v>44900.65716435185</v>
      </c>
      <c r="C159" s="1" t="n">
        <v>45925</v>
      </c>
      <c r="D159" t="inlineStr">
        <is>
          <t>DALARNAS LÄN</t>
        </is>
      </c>
      <c r="E159" t="inlineStr">
        <is>
          <t>MORA</t>
        </is>
      </c>
      <c r="G159" t="n">
        <v>2.9</v>
      </c>
      <c r="H159" t="n">
        <v>0</v>
      </c>
      <c r="I159" t="n">
        <v>0</v>
      </c>
      <c r="J159" t="n">
        <v>0</v>
      </c>
      <c r="K159" t="n">
        <v>0</v>
      </c>
      <c r="L159" t="n">
        <v>0</v>
      </c>
      <c r="M159" t="n">
        <v>0</v>
      </c>
      <c r="N159" t="n">
        <v>0</v>
      </c>
      <c r="O159" t="n">
        <v>0</v>
      </c>
      <c r="P159" t="n">
        <v>0</v>
      </c>
      <c r="Q159" t="n">
        <v>0</v>
      </c>
      <c r="R159" s="2" t="inlineStr"/>
    </row>
    <row r="160" ht="15" customHeight="1">
      <c r="A160" t="inlineStr">
        <is>
          <t>A 40147-2025</t>
        </is>
      </c>
      <c r="B160" s="1" t="n">
        <v>45894.57918981482</v>
      </c>
      <c r="C160" s="1" t="n">
        <v>45925</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15440-2024</t>
        </is>
      </c>
      <c r="B161" s="1" t="n">
        <v>45401.4194212963</v>
      </c>
      <c r="C161" s="1" t="n">
        <v>45925</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11857-2023</t>
        </is>
      </c>
      <c r="B162" s="1" t="n">
        <v>44995</v>
      </c>
      <c r="C162" s="1" t="n">
        <v>45925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15818-2024</t>
        </is>
      </c>
      <c r="B163" s="1" t="n">
        <v>45404.67442129629</v>
      </c>
      <c r="C163" s="1" t="n">
        <v>45925</v>
      </c>
      <c r="D163" t="inlineStr">
        <is>
          <t>DALARNAS LÄN</t>
        </is>
      </c>
      <c r="E163" t="inlineStr">
        <is>
          <t>MORA</t>
        </is>
      </c>
      <c r="G163" t="n">
        <v>7</v>
      </c>
      <c r="H163" t="n">
        <v>0</v>
      </c>
      <c r="I163" t="n">
        <v>0</v>
      </c>
      <c r="J163" t="n">
        <v>0</v>
      </c>
      <c r="K163" t="n">
        <v>0</v>
      </c>
      <c r="L163" t="n">
        <v>0</v>
      </c>
      <c r="M163" t="n">
        <v>0</v>
      </c>
      <c r="N163" t="n">
        <v>0</v>
      </c>
      <c r="O163" t="n">
        <v>0</v>
      </c>
      <c r="P163" t="n">
        <v>0</v>
      </c>
      <c r="Q163" t="n">
        <v>0</v>
      </c>
      <c r="R163" s="2" t="inlineStr"/>
    </row>
    <row r="164" ht="15" customHeight="1">
      <c r="A164" t="inlineStr">
        <is>
          <t>A 34933-2025</t>
        </is>
      </c>
      <c r="B164" s="1" t="n">
        <v>45849.57297453703</v>
      </c>
      <c r="C164" s="1" t="n">
        <v>45925</v>
      </c>
      <c r="D164" t="inlineStr">
        <is>
          <t>DALARNAS LÄN</t>
        </is>
      </c>
      <c r="E164" t="inlineStr">
        <is>
          <t>MORA</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33666-2024</t>
        </is>
      </c>
      <c r="B165" s="1" t="n">
        <v>45520.48304398148</v>
      </c>
      <c r="C165" s="1" t="n">
        <v>45925</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45674-2024</t>
        </is>
      </c>
      <c r="B166" s="1" t="n">
        <v>45573</v>
      </c>
      <c r="C166" s="1" t="n">
        <v>45925</v>
      </c>
      <c r="D166" t="inlineStr">
        <is>
          <t>DALARNAS LÄN</t>
        </is>
      </c>
      <c r="E166" t="inlineStr">
        <is>
          <t>MORA</t>
        </is>
      </c>
      <c r="G166" t="n">
        <v>3.2</v>
      </c>
      <c r="H166" t="n">
        <v>0</v>
      </c>
      <c r="I166" t="n">
        <v>0</v>
      </c>
      <c r="J166" t="n">
        <v>0</v>
      </c>
      <c r="K166" t="n">
        <v>0</v>
      </c>
      <c r="L166" t="n">
        <v>0</v>
      </c>
      <c r="M166" t="n">
        <v>0</v>
      </c>
      <c r="N166" t="n">
        <v>0</v>
      </c>
      <c r="O166" t="n">
        <v>0</v>
      </c>
      <c r="P166" t="n">
        <v>0</v>
      </c>
      <c r="Q166" t="n">
        <v>0</v>
      </c>
      <c r="R166" s="2" t="inlineStr"/>
    </row>
    <row r="167" ht="15" customHeight="1">
      <c r="A167" t="inlineStr">
        <is>
          <t>A 17145-2024</t>
        </is>
      </c>
      <c r="B167" s="1" t="n">
        <v>45412</v>
      </c>
      <c r="C167" s="1" t="n">
        <v>45925</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51780-2023</t>
        </is>
      </c>
      <c r="B168" s="1" t="n">
        <v>45222</v>
      </c>
      <c r="C168" s="1" t="n">
        <v>45925</v>
      </c>
      <c r="D168" t="inlineStr">
        <is>
          <t>DALARNAS LÄN</t>
        </is>
      </c>
      <c r="E168" t="inlineStr">
        <is>
          <t>MORA</t>
        </is>
      </c>
      <c r="G168" t="n">
        <v>9.9</v>
      </c>
      <c r="H168" t="n">
        <v>0</v>
      </c>
      <c r="I168" t="n">
        <v>0</v>
      </c>
      <c r="J168" t="n">
        <v>0</v>
      </c>
      <c r="K168" t="n">
        <v>0</v>
      </c>
      <c r="L168" t="n">
        <v>0</v>
      </c>
      <c r="M168" t="n">
        <v>0</v>
      </c>
      <c r="N168" t="n">
        <v>0</v>
      </c>
      <c r="O168" t="n">
        <v>0</v>
      </c>
      <c r="P168" t="n">
        <v>0</v>
      </c>
      <c r="Q168" t="n">
        <v>0</v>
      </c>
      <c r="R168" s="2" t="inlineStr"/>
    </row>
    <row r="169" ht="15" customHeight="1">
      <c r="A169" t="inlineStr">
        <is>
          <t>A 40140-2025</t>
        </is>
      </c>
      <c r="B169" s="1" t="n">
        <v>45894.57016203704</v>
      </c>
      <c r="C169" s="1" t="n">
        <v>45925</v>
      </c>
      <c r="D169" t="inlineStr">
        <is>
          <t>DALARNAS LÄN</t>
        </is>
      </c>
      <c r="E169" t="inlineStr">
        <is>
          <t>MORA</t>
        </is>
      </c>
      <c r="G169" t="n">
        <v>0.7</v>
      </c>
      <c r="H169" t="n">
        <v>0</v>
      </c>
      <c r="I169" t="n">
        <v>0</v>
      </c>
      <c r="J169" t="n">
        <v>0</v>
      </c>
      <c r="K169" t="n">
        <v>0</v>
      </c>
      <c r="L169" t="n">
        <v>0</v>
      </c>
      <c r="M169" t="n">
        <v>0</v>
      </c>
      <c r="N169" t="n">
        <v>0</v>
      </c>
      <c r="O169" t="n">
        <v>0</v>
      </c>
      <c r="P169" t="n">
        <v>0</v>
      </c>
      <c r="Q169" t="n">
        <v>0</v>
      </c>
      <c r="R169" s="2" t="inlineStr"/>
    </row>
    <row r="170" ht="15" customHeight="1">
      <c r="A170" t="inlineStr">
        <is>
          <t>A 40142-2025</t>
        </is>
      </c>
      <c r="B170" s="1" t="n">
        <v>45894.57202546296</v>
      </c>
      <c r="C170" s="1" t="n">
        <v>45925</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42941-2024</t>
        </is>
      </c>
      <c r="B171" s="1" t="n">
        <v>45567.3515162037</v>
      </c>
      <c r="C171" s="1" t="n">
        <v>45925</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45390-2024</t>
        </is>
      </c>
      <c r="B172" s="1" t="n">
        <v>45576.54820601852</v>
      </c>
      <c r="C172" s="1" t="n">
        <v>45925</v>
      </c>
      <c r="D172" t="inlineStr">
        <is>
          <t>DALARNAS LÄN</t>
        </is>
      </c>
      <c r="E172" t="inlineStr">
        <is>
          <t>MORA</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39787-2025</t>
        </is>
      </c>
      <c r="B173" s="1" t="n">
        <v>45891</v>
      </c>
      <c r="C173" s="1" t="n">
        <v>45925</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19756-2022</t>
        </is>
      </c>
      <c r="B174" s="1" t="n">
        <v>44694.62913194444</v>
      </c>
      <c r="C174" s="1" t="n">
        <v>45925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46188-2022</t>
        </is>
      </c>
      <c r="B175" s="1" t="n">
        <v>44847.518125</v>
      </c>
      <c r="C175" s="1" t="n">
        <v>45925</v>
      </c>
      <c r="D175" t="inlineStr">
        <is>
          <t>DALARNAS LÄN</t>
        </is>
      </c>
      <c r="E175" t="inlineStr">
        <is>
          <t>MORA</t>
        </is>
      </c>
      <c r="G175" t="n">
        <v>1.8</v>
      </c>
      <c r="H175" t="n">
        <v>0</v>
      </c>
      <c r="I175" t="n">
        <v>0</v>
      </c>
      <c r="J175" t="n">
        <v>0</v>
      </c>
      <c r="K175" t="n">
        <v>0</v>
      </c>
      <c r="L175" t="n">
        <v>0</v>
      </c>
      <c r="M175" t="n">
        <v>0</v>
      </c>
      <c r="N175" t="n">
        <v>0</v>
      </c>
      <c r="O175" t="n">
        <v>0</v>
      </c>
      <c r="P175" t="n">
        <v>0</v>
      </c>
      <c r="Q175" t="n">
        <v>0</v>
      </c>
      <c r="R175" s="2" t="inlineStr"/>
    </row>
    <row r="176" ht="15" customHeight="1">
      <c r="A176" t="inlineStr">
        <is>
          <t>A 5216-2025</t>
        </is>
      </c>
      <c r="B176" s="1" t="n">
        <v>45691.69671296296</v>
      </c>
      <c r="C176" s="1" t="n">
        <v>45925</v>
      </c>
      <c r="D176" t="inlineStr">
        <is>
          <t>DALARNAS LÄN</t>
        </is>
      </c>
      <c r="E176" t="inlineStr">
        <is>
          <t>MORA</t>
        </is>
      </c>
      <c r="G176" t="n">
        <v>2.5</v>
      </c>
      <c r="H176" t="n">
        <v>0</v>
      </c>
      <c r="I176" t="n">
        <v>0</v>
      </c>
      <c r="J176" t="n">
        <v>0</v>
      </c>
      <c r="K176" t="n">
        <v>0</v>
      </c>
      <c r="L176" t="n">
        <v>0</v>
      </c>
      <c r="M176" t="n">
        <v>0</v>
      </c>
      <c r="N176" t="n">
        <v>0</v>
      </c>
      <c r="O176" t="n">
        <v>0</v>
      </c>
      <c r="P176" t="n">
        <v>0</v>
      </c>
      <c r="Q176" t="n">
        <v>0</v>
      </c>
      <c r="R176" s="2" t="inlineStr"/>
    </row>
    <row r="177" ht="15" customHeight="1">
      <c r="A177" t="inlineStr">
        <is>
          <t>A 53344-2023</t>
        </is>
      </c>
      <c r="B177" s="1" t="n">
        <v>45229</v>
      </c>
      <c r="C177" s="1" t="n">
        <v>45925</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39674-2023</t>
        </is>
      </c>
      <c r="B178" s="1" t="n">
        <v>45167</v>
      </c>
      <c r="C178" s="1" t="n">
        <v>45925</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39824-2025</t>
        </is>
      </c>
      <c r="B179" s="1" t="n">
        <v>45891</v>
      </c>
      <c r="C179" s="1" t="n">
        <v>45925</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35121-2025</t>
        </is>
      </c>
      <c r="B180" s="1" t="n">
        <v>45852.60936342592</v>
      </c>
      <c r="C180" s="1" t="n">
        <v>45925</v>
      </c>
      <c r="D180" t="inlineStr">
        <is>
          <t>DALARNAS LÄN</t>
        </is>
      </c>
      <c r="E180" t="inlineStr">
        <is>
          <t>MORA</t>
        </is>
      </c>
      <c r="F180" t="inlineStr">
        <is>
          <t>Bergvik skog öst AB</t>
        </is>
      </c>
      <c r="G180" t="n">
        <v>15.9</v>
      </c>
      <c r="H180" t="n">
        <v>0</v>
      </c>
      <c r="I180" t="n">
        <v>0</v>
      </c>
      <c r="J180" t="n">
        <v>0</v>
      </c>
      <c r="K180" t="n">
        <v>0</v>
      </c>
      <c r="L180" t="n">
        <v>0</v>
      </c>
      <c r="M180" t="n">
        <v>0</v>
      </c>
      <c r="N180" t="n">
        <v>0</v>
      </c>
      <c r="O180" t="n">
        <v>0</v>
      </c>
      <c r="P180" t="n">
        <v>0</v>
      </c>
      <c r="Q180" t="n">
        <v>0</v>
      </c>
      <c r="R180" s="2" t="inlineStr"/>
    </row>
    <row r="181" ht="15" customHeight="1">
      <c r="A181" t="inlineStr">
        <is>
          <t>A 17516-2024</t>
        </is>
      </c>
      <c r="B181" s="1" t="n">
        <v>45415.58502314815</v>
      </c>
      <c r="C181" s="1" t="n">
        <v>45925</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59448-2022</t>
        </is>
      </c>
      <c r="B182" s="1" t="n">
        <v>44907</v>
      </c>
      <c r="C182" s="1" t="n">
        <v>45925</v>
      </c>
      <c r="D182" t="inlineStr">
        <is>
          <t>DALARNAS LÄN</t>
        </is>
      </c>
      <c r="E182" t="inlineStr">
        <is>
          <t>MORA</t>
        </is>
      </c>
      <c r="G182" t="n">
        <v>35.7</v>
      </c>
      <c r="H182" t="n">
        <v>0</v>
      </c>
      <c r="I182" t="n">
        <v>0</v>
      </c>
      <c r="J182" t="n">
        <v>0</v>
      </c>
      <c r="K182" t="n">
        <v>0</v>
      </c>
      <c r="L182" t="n">
        <v>0</v>
      </c>
      <c r="M182" t="n">
        <v>0</v>
      </c>
      <c r="N182" t="n">
        <v>0</v>
      </c>
      <c r="O182" t="n">
        <v>0</v>
      </c>
      <c r="P182" t="n">
        <v>0</v>
      </c>
      <c r="Q182" t="n">
        <v>0</v>
      </c>
      <c r="R182" s="2" t="inlineStr"/>
    </row>
    <row r="183" ht="15" customHeight="1">
      <c r="A183" t="inlineStr">
        <is>
          <t>A 53341-2023</t>
        </is>
      </c>
      <c r="B183" s="1" t="n">
        <v>45229</v>
      </c>
      <c r="C183" s="1" t="n">
        <v>45925</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57797-2022</t>
        </is>
      </c>
      <c r="B184" s="1" t="n">
        <v>44897</v>
      </c>
      <c r="C184" s="1" t="n">
        <v>45925</v>
      </c>
      <c r="D184" t="inlineStr">
        <is>
          <t>DALARNAS LÄN</t>
        </is>
      </c>
      <c r="E184" t="inlineStr">
        <is>
          <t>MORA</t>
        </is>
      </c>
      <c r="G184" t="n">
        <v>3.1</v>
      </c>
      <c r="H184" t="n">
        <v>0</v>
      </c>
      <c r="I184" t="n">
        <v>0</v>
      </c>
      <c r="J184" t="n">
        <v>0</v>
      </c>
      <c r="K184" t="n">
        <v>0</v>
      </c>
      <c r="L184" t="n">
        <v>0</v>
      </c>
      <c r="M184" t="n">
        <v>0</v>
      </c>
      <c r="N184" t="n">
        <v>0</v>
      </c>
      <c r="O184" t="n">
        <v>0</v>
      </c>
      <c r="P184" t="n">
        <v>0</v>
      </c>
      <c r="Q184" t="n">
        <v>0</v>
      </c>
      <c r="R184" s="2" t="inlineStr"/>
    </row>
    <row r="185" ht="15" customHeight="1">
      <c r="A185" t="inlineStr">
        <is>
          <t>A 40286-2024</t>
        </is>
      </c>
      <c r="B185" s="1" t="n">
        <v>45554.6687037037</v>
      </c>
      <c r="C185" s="1" t="n">
        <v>45925</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48824-2023</t>
        </is>
      </c>
      <c r="B186" s="1" t="n">
        <v>45203</v>
      </c>
      <c r="C186" s="1" t="n">
        <v>45925</v>
      </c>
      <c r="D186" t="inlineStr">
        <is>
          <t>DALARNAS LÄN</t>
        </is>
      </c>
      <c r="E186" t="inlineStr">
        <is>
          <t>MORA</t>
        </is>
      </c>
      <c r="G186" t="n">
        <v>3.3</v>
      </c>
      <c r="H186" t="n">
        <v>0</v>
      </c>
      <c r="I186" t="n">
        <v>0</v>
      </c>
      <c r="J186" t="n">
        <v>0</v>
      </c>
      <c r="K186" t="n">
        <v>0</v>
      </c>
      <c r="L186" t="n">
        <v>0</v>
      </c>
      <c r="M186" t="n">
        <v>0</v>
      </c>
      <c r="N186" t="n">
        <v>0</v>
      </c>
      <c r="O186" t="n">
        <v>0</v>
      </c>
      <c r="P186" t="n">
        <v>0</v>
      </c>
      <c r="Q186" t="n">
        <v>0</v>
      </c>
      <c r="R186" s="2" t="inlineStr"/>
    </row>
    <row r="187" ht="15" customHeight="1">
      <c r="A187" t="inlineStr">
        <is>
          <t>A 45355-2024</t>
        </is>
      </c>
      <c r="B187" s="1" t="n">
        <v>45576</v>
      </c>
      <c r="C187" s="1" t="n">
        <v>45925</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20504-2023</t>
        </is>
      </c>
      <c r="B188" s="1" t="n">
        <v>45057</v>
      </c>
      <c r="C188" s="1" t="n">
        <v>45925</v>
      </c>
      <c r="D188" t="inlineStr">
        <is>
          <t>DALARNAS LÄN</t>
        </is>
      </c>
      <c r="E188" t="inlineStr">
        <is>
          <t>MORA</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44595-2024</t>
        </is>
      </c>
      <c r="B189" s="1" t="n">
        <v>45574.51053240741</v>
      </c>
      <c r="C189" s="1" t="n">
        <v>45925</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5001-2025</t>
        </is>
      </c>
      <c r="B190" s="1" t="n">
        <v>45691.36403935185</v>
      </c>
      <c r="C190" s="1" t="n">
        <v>45925</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53026-2023</t>
        </is>
      </c>
      <c r="B191" s="1" t="n">
        <v>45226.6987037037</v>
      </c>
      <c r="C191" s="1" t="n">
        <v>45925</v>
      </c>
      <c r="D191" t="inlineStr">
        <is>
          <t>DALARNAS LÄN</t>
        </is>
      </c>
      <c r="E191" t="inlineStr">
        <is>
          <t>MORA</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43566-2023</t>
        </is>
      </c>
      <c r="B192" s="1" t="n">
        <v>45184.58199074074</v>
      </c>
      <c r="C192" s="1" t="n">
        <v>45925</v>
      </c>
      <c r="D192" t="inlineStr">
        <is>
          <t>DALARNAS LÄN</t>
        </is>
      </c>
      <c r="E192" t="inlineStr">
        <is>
          <t>MORA</t>
        </is>
      </c>
      <c r="F192" t="inlineStr">
        <is>
          <t>Bergvik skog väst AB</t>
        </is>
      </c>
      <c r="G192" t="n">
        <v>4.3</v>
      </c>
      <c r="H192" t="n">
        <v>0</v>
      </c>
      <c r="I192" t="n">
        <v>0</v>
      </c>
      <c r="J192" t="n">
        <v>0</v>
      </c>
      <c r="K192" t="n">
        <v>0</v>
      </c>
      <c r="L192" t="n">
        <v>0</v>
      </c>
      <c r="M192" t="n">
        <v>0</v>
      </c>
      <c r="N192" t="n">
        <v>0</v>
      </c>
      <c r="O192" t="n">
        <v>0</v>
      </c>
      <c r="P192" t="n">
        <v>0</v>
      </c>
      <c r="Q192" t="n">
        <v>0</v>
      </c>
      <c r="R192" s="2" t="inlineStr"/>
    </row>
    <row r="193" ht="15" customHeight="1">
      <c r="A193" t="inlineStr">
        <is>
          <t>A 54903-2024</t>
        </is>
      </c>
      <c r="B193" s="1" t="n">
        <v>45618</v>
      </c>
      <c r="C193" s="1" t="n">
        <v>45925</v>
      </c>
      <c r="D193" t="inlineStr">
        <is>
          <t>DALARNAS LÄN</t>
        </is>
      </c>
      <c r="E193" t="inlineStr">
        <is>
          <t>MORA</t>
        </is>
      </c>
      <c r="G193" t="n">
        <v>28.2</v>
      </c>
      <c r="H193" t="n">
        <v>0</v>
      </c>
      <c r="I193" t="n">
        <v>0</v>
      </c>
      <c r="J193" t="n">
        <v>0</v>
      </c>
      <c r="K193" t="n">
        <v>0</v>
      </c>
      <c r="L193" t="n">
        <v>0</v>
      </c>
      <c r="M193" t="n">
        <v>0</v>
      </c>
      <c r="N193" t="n">
        <v>0</v>
      </c>
      <c r="O193" t="n">
        <v>0</v>
      </c>
      <c r="P193" t="n">
        <v>0</v>
      </c>
      <c r="Q193" t="n">
        <v>0</v>
      </c>
      <c r="R193" s="2" t="inlineStr"/>
    </row>
    <row r="194" ht="15" customHeight="1">
      <c r="A194" t="inlineStr">
        <is>
          <t>A 40660-2025</t>
        </is>
      </c>
      <c r="B194" s="1" t="n">
        <v>45896.64631944444</v>
      </c>
      <c r="C194" s="1" t="n">
        <v>45925</v>
      </c>
      <c r="D194" t="inlineStr">
        <is>
          <t>DALARNAS LÄN</t>
        </is>
      </c>
      <c r="E194" t="inlineStr">
        <is>
          <t>MORA</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40661-2025</t>
        </is>
      </c>
      <c r="B195" s="1" t="n">
        <v>45896.64715277778</v>
      </c>
      <c r="C195" s="1" t="n">
        <v>45925</v>
      </c>
      <c r="D195" t="inlineStr">
        <is>
          <t>DALARNAS LÄN</t>
        </is>
      </c>
      <c r="E195" t="inlineStr">
        <is>
          <t>MORA</t>
        </is>
      </c>
      <c r="G195" t="n">
        <v>2.8</v>
      </c>
      <c r="H195" t="n">
        <v>0</v>
      </c>
      <c r="I195" t="n">
        <v>0</v>
      </c>
      <c r="J195" t="n">
        <v>0</v>
      </c>
      <c r="K195" t="n">
        <v>0</v>
      </c>
      <c r="L195" t="n">
        <v>0</v>
      </c>
      <c r="M195" t="n">
        <v>0</v>
      </c>
      <c r="N195" t="n">
        <v>0</v>
      </c>
      <c r="O195" t="n">
        <v>0</v>
      </c>
      <c r="P195" t="n">
        <v>0</v>
      </c>
      <c r="Q195" t="n">
        <v>0</v>
      </c>
      <c r="R195" s="2" t="inlineStr"/>
    </row>
    <row r="196" ht="15" customHeight="1">
      <c r="A196" t="inlineStr">
        <is>
          <t>A 24772-2024</t>
        </is>
      </c>
      <c r="B196" s="1" t="n">
        <v>45460.70204861111</v>
      </c>
      <c r="C196" s="1" t="n">
        <v>45925</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40471-2025</t>
        </is>
      </c>
      <c r="B197" s="1" t="n">
        <v>45895.67356481482</v>
      </c>
      <c r="C197" s="1" t="n">
        <v>45925</v>
      </c>
      <c r="D197" t="inlineStr">
        <is>
          <t>DALARNAS LÄN</t>
        </is>
      </c>
      <c r="E197" t="inlineStr">
        <is>
          <t>MORA</t>
        </is>
      </c>
      <c r="G197" t="n">
        <v>2.8</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45925</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34923-2022</t>
        </is>
      </c>
      <c r="B199" s="1" t="n">
        <v>44796</v>
      </c>
      <c r="C199" s="1" t="n">
        <v>45925</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53743-2024</t>
        </is>
      </c>
      <c r="B200" s="1" t="n">
        <v>45615.47137731482</v>
      </c>
      <c r="C200" s="1" t="n">
        <v>45925</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59174-2023</t>
        </is>
      </c>
      <c r="B201" s="1" t="n">
        <v>45253.43202546296</v>
      </c>
      <c r="C201" s="1" t="n">
        <v>45925</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45925</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41200-2025</t>
        </is>
      </c>
      <c r="B203" s="1" t="n">
        <v>45898.5738425926</v>
      </c>
      <c r="C203" s="1" t="n">
        <v>45925</v>
      </c>
      <c r="D203" t="inlineStr">
        <is>
          <t>DALARNAS LÄN</t>
        </is>
      </c>
      <c r="E203" t="inlineStr">
        <is>
          <t>MORA</t>
        </is>
      </c>
      <c r="G203" t="n">
        <v>8.9</v>
      </c>
      <c r="H203" t="n">
        <v>0</v>
      </c>
      <c r="I203" t="n">
        <v>0</v>
      </c>
      <c r="J203" t="n">
        <v>0</v>
      </c>
      <c r="K203" t="n">
        <v>0</v>
      </c>
      <c r="L203" t="n">
        <v>0</v>
      </c>
      <c r="M203" t="n">
        <v>0</v>
      </c>
      <c r="N203" t="n">
        <v>0</v>
      </c>
      <c r="O203" t="n">
        <v>0</v>
      </c>
      <c r="P203" t="n">
        <v>0</v>
      </c>
      <c r="Q203" t="n">
        <v>0</v>
      </c>
      <c r="R203" s="2" t="inlineStr"/>
    </row>
    <row r="204" ht="15" customHeight="1">
      <c r="A204" t="inlineStr">
        <is>
          <t>A 48170-2024</t>
        </is>
      </c>
      <c r="B204" s="1" t="n">
        <v>45589.76975694444</v>
      </c>
      <c r="C204" s="1" t="n">
        <v>45925</v>
      </c>
      <c r="D204" t="inlineStr">
        <is>
          <t>DALARNAS LÄN</t>
        </is>
      </c>
      <c r="E204" t="inlineStr">
        <is>
          <t>MORA</t>
        </is>
      </c>
      <c r="G204" t="n">
        <v>2.4</v>
      </c>
      <c r="H204" t="n">
        <v>0</v>
      </c>
      <c r="I204" t="n">
        <v>0</v>
      </c>
      <c r="J204" t="n">
        <v>0</v>
      </c>
      <c r="K204" t="n">
        <v>0</v>
      </c>
      <c r="L204" t="n">
        <v>0</v>
      </c>
      <c r="M204" t="n">
        <v>0</v>
      </c>
      <c r="N204" t="n">
        <v>0</v>
      </c>
      <c r="O204" t="n">
        <v>0</v>
      </c>
      <c r="P204" t="n">
        <v>0</v>
      </c>
      <c r="Q204" t="n">
        <v>0</v>
      </c>
      <c r="R204" s="2" t="inlineStr"/>
    </row>
    <row r="205" ht="15" customHeight="1">
      <c r="A205" t="inlineStr">
        <is>
          <t>A 40805-2025</t>
        </is>
      </c>
      <c r="B205" s="1" t="n">
        <v>45897.46659722222</v>
      </c>
      <c r="C205" s="1" t="n">
        <v>45925</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41175-2025</t>
        </is>
      </c>
      <c r="B206" s="1" t="n">
        <v>45898.55165509259</v>
      </c>
      <c r="C206" s="1" t="n">
        <v>45925</v>
      </c>
      <c r="D206" t="inlineStr">
        <is>
          <t>DALARNAS LÄN</t>
        </is>
      </c>
      <c r="E206" t="inlineStr">
        <is>
          <t>MORA</t>
        </is>
      </c>
      <c r="G206" t="n">
        <v>4.5</v>
      </c>
      <c r="H206" t="n">
        <v>0</v>
      </c>
      <c r="I206" t="n">
        <v>0</v>
      </c>
      <c r="J206" t="n">
        <v>0</v>
      </c>
      <c r="K206" t="n">
        <v>0</v>
      </c>
      <c r="L206" t="n">
        <v>0</v>
      </c>
      <c r="M206" t="n">
        <v>0</v>
      </c>
      <c r="N206" t="n">
        <v>0</v>
      </c>
      <c r="O206" t="n">
        <v>0</v>
      </c>
      <c r="P206" t="n">
        <v>0</v>
      </c>
      <c r="Q206" t="n">
        <v>0</v>
      </c>
      <c r="R206" s="2" t="inlineStr"/>
    </row>
    <row r="207" ht="15" customHeight="1">
      <c r="A207" t="inlineStr">
        <is>
          <t>A 18202-2024</t>
        </is>
      </c>
      <c r="B207" s="1" t="n">
        <v>45420.68172453704</v>
      </c>
      <c r="C207" s="1" t="n">
        <v>45925</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23057-2024</t>
        </is>
      </c>
      <c r="B208" s="1" t="n">
        <v>45450</v>
      </c>
      <c r="C208" s="1" t="n">
        <v>45925</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35407-2025</t>
        </is>
      </c>
      <c r="B209" s="1" t="n">
        <v>45855.35989583333</v>
      </c>
      <c r="C209" s="1" t="n">
        <v>45925</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20594-2025</t>
        </is>
      </c>
      <c r="B210" s="1" t="n">
        <v>45775.74009259259</v>
      </c>
      <c r="C210" s="1" t="n">
        <v>45925</v>
      </c>
      <c r="D210" t="inlineStr">
        <is>
          <t>DALARNAS LÄN</t>
        </is>
      </c>
      <c r="E210" t="inlineStr">
        <is>
          <t>MORA</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25494-2024</t>
        </is>
      </c>
      <c r="B211" s="1" t="n">
        <v>45463</v>
      </c>
      <c r="C211" s="1" t="n">
        <v>45925</v>
      </c>
      <c r="D211" t="inlineStr">
        <is>
          <t>DALARNAS LÄN</t>
        </is>
      </c>
      <c r="E211" t="inlineStr">
        <is>
          <t>MORA</t>
        </is>
      </c>
      <c r="G211" t="n">
        <v>4.9</v>
      </c>
      <c r="H211" t="n">
        <v>0</v>
      </c>
      <c r="I211" t="n">
        <v>0</v>
      </c>
      <c r="J211" t="n">
        <v>0</v>
      </c>
      <c r="K211" t="n">
        <v>0</v>
      </c>
      <c r="L211" t="n">
        <v>0</v>
      </c>
      <c r="M211" t="n">
        <v>0</v>
      </c>
      <c r="N211" t="n">
        <v>0</v>
      </c>
      <c r="O211" t="n">
        <v>0</v>
      </c>
      <c r="P211" t="n">
        <v>0</v>
      </c>
      <c r="Q211" t="n">
        <v>0</v>
      </c>
      <c r="R211" s="2" t="inlineStr"/>
    </row>
    <row r="212" ht="15" customHeight="1">
      <c r="A212" t="inlineStr">
        <is>
          <t>A 49159-2023</t>
        </is>
      </c>
      <c r="B212" s="1" t="n">
        <v>45210</v>
      </c>
      <c r="C212" s="1" t="n">
        <v>45925</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14040-2023</t>
        </is>
      </c>
      <c r="B213" s="1" t="n">
        <v>45008.64575231481</v>
      </c>
      <c r="C213" s="1" t="n">
        <v>45925</v>
      </c>
      <c r="D213" t="inlineStr">
        <is>
          <t>DALARNAS LÄN</t>
        </is>
      </c>
      <c r="E213" t="inlineStr">
        <is>
          <t>MORA</t>
        </is>
      </c>
      <c r="G213" t="n">
        <v>1.3</v>
      </c>
      <c r="H213" t="n">
        <v>0</v>
      </c>
      <c r="I213" t="n">
        <v>0</v>
      </c>
      <c r="J213" t="n">
        <v>0</v>
      </c>
      <c r="K213" t="n">
        <v>0</v>
      </c>
      <c r="L213" t="n">
        <v>0</v>
      </c>
      <c r="M213" t="n">
        <v>0</v>
      </c>
      <c r="N213" t="n">
        <v>0</v>
      </c>
      <c r="O213" t="n">
        <v>0</v>
      </c>
      <c r="P213" t="n">
        <v>0</v>
      </c>
      <c r="Q213" t="n">
        <v>0</v>
      </c>
      <c r="R213" s="2" t="inlineStr"/>
    </row>
    <row r="214" ht="15" customHeight="1">
      <c r="A214" t="inlineStr">
        <is>
          <t>A 55331-2022</t>
        </is>
      </c>
      <c r="B214" s="1" t="n">
        <v>44887.43714120371</v>
      </c>
      <c r="C214" s="1" t="n">
        <v>45925</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64088-2023</t>
        </is>
      </c>
      <c r="B215" s="1" t="n">
        <v>45279.43570601852</v>
      </c>
      <c r="C215" s="1" t="n">
        <v>45925</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18444-2024</t>
        </is>
      </c>
      <c r="B216" s="1" t="n">
        <v>45425.45568287037</v>
      </c>
      <c r="C216" s="1" t="n">
        <v>45925</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45475-2023</t>
        </is>
      </c>
      <c r="B217" s="1" t="n">
        <v>45188</v>
      </c>
      <c r="C217" s="1" t="n">
        <v>45925</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35611-2025</t>
        </is>
      </c>
      <c r="B218" s="1" t="n">
        <v>45859.35384259259</v>
      </c>
      <c r="C218" s="1" t="n">
        <v>45925</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11919-2024</t>
        </is>
      </c>
      <c r="B219" s="1" t="n">
        <v>45376.61019675926</v>
      </c>
      <c r="C219" s="1" t="n">
        <v>45925</v>
      </c>
      <c r="D219" t="inlineStr">
        <is>
          <t>DALARNAS LÄN</t>
        </is>
      </c>
      <c r="E219" t="inlineStr">
        <is>
          <t>MORA</t>
        </is>
      </c>
      <c r="G219" t="n">
        <v>3.5</v>
      </c>
      <c r="H219" t="n">
        <v>0</v>
      </c>
      <c r="I219" t="n">
        <v>0</v>
      </c>
      <c r="J219" t="n">
        <v>0</v>
      </c>
      <c r="K219" t="n">
        <v>0</v>
      </c>
      <c r="L219" t="n">
        <v>0</v>
      </c>
      <c r="M219" t="n">
        <v>0</v>
      </c>
      <c r="N219" t="n">
        <v>0</v>
      </c>
      <c r="O219" t="n">
        <v>0</v>
      </c>
      <c r="P219" t="n">
        <v>0</v>
      </c>
      <c r="Q219" t="n">
        <v>0</v>
      </c>
      <c r="R219" s="2" t="inlineStr"/>
    </row>
    <row r="220" ht="15" customHeight="1">
      <c r="A220" t="inlineStr">
        <is>
          <t>A 41794-2025</t>
        </is>
      </c>
      <c r="B220" s="1" t="n">
        <v>45902.60008101852</v>
      </c>
      <c r="C220" s="1" t="n">
        <v>45925</v>
      </c>
      <c r="D220" t="inlineStr">
        <is>
          <t>DALARNAS LÄN</t>
        </is>
      </c>
      <c r="E220" t="inlineStr">
        <is>
          <t>MORA</t>
        </is>
      </c>
      <c r="G220" t="n">
        <v>14.4</v>
      </c>
      <c r="H220" t="n">
        <v>0</v>
      </c>
      <c r="I220" t="n">
        <v>0</v>
      </c>
      <c r="J220" t="n">
        <v>0</v>
      </c>
      <c r="K220" t="n">
        <v>0</v>
      </c>
      <c r="L220" t="n">
        <v>0</v>
      </c>
      <c r="M220" t="n">
        <v>0</v>
      </c>
      <c r="N220" t="n">
        <v>0</v>
      </c>
      <c r="O220" t="n">
        <v>0</v>
      </c>
      <c r="P220" t="n">
        <v>0</v>
      </c>
      <c r="Q220" t="n">
        <v>0</v>
      </c>
      <c r="R220" s="2" t="inlineStr"/>
    </row>
    <row r="221" ht="15" customHeight="1">
      <c r="A221" t="inlineStr">
        <is>
          <t>A 18992-2024</t>
        </is>
      </c>
      <c r="B221" s="1" t="n">
        <v>45427.61516203704</v>
      </c>
      <c r="C221" s="1" t="n">
        <v>45925</v>
      </c>
      <c r="D221" t="inlineStr">
        <is>
          <t>DALARNAS LÄN</t>
        </is>
      </c>
      <c r="E221" t="inlineStr">
        <is>
          <t>MORA</t>
        </is>
      </c>
      <c r="G221" t="n">
        <v>9.9</v>
      </c>
      <c r="H221" t="n">
        <v>0</v>
      </c>
      <c r="I221" t="n">
        <v>0</v>
      </c>
      <c r="J221" t="n">
        <v>0</v>
      </c>
      <c r="K221" t="n">
        <v>0</v>
      </c>
      <c r="L221" t="n">
        <v>0</v>
      </c>
      <c r="M221" t="n">
        <v>0</v>
      </c>
      <c r="N221" t="n">
        <v>0</v>
      </c>
      <c r="O221" t="n">
        <v>0</v>
      </c>
      <c r="P221" t="n">
        <v>0</v>
      </c>
      <c r="Q221" t="n">
        <v>0</v>
      </c>
      <c r="R221" s="2" t="inlineStr"/>
    </row>
    <row r="222" ht="15" customHeight="1">
      <c r="A222" t="inlineStr">
        <is>
          <t>A 60673-2023</t>
        </is>
      </c>
      <c r="B222" s="1" t="n">
        <v>45260.46438657407</v>
      </c>
      <c r="C222" s="1" t="n">
        <v>45925</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45315-2024</t>
        </is>
      </c>
      <c r="B223" s="1" t="n">
        <v>45576.43782407408</v>
      </c>
      <c r="C223" s="1" t="n">
        <v>45925</v>
      </c>
      <c r="D223" t="inlineStr">
        <is>
          <t>DALARNAS LÄN</t>
        </is>
      </c>
      <c r="E223" t="inlineStr">
        <is>
          <t>MORA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60718-2023</t>
        </is>
      </c>
      <c r="B224" s="1" t="n">
        <v>45260.5284375</v>
      </c>
      <c r="C224" s="1" t="n">
        <v>45925</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41783-2025</t>
        </is>
      </c>
      <c r="B225" s="1" t="n">
        <v>45902.58721064815</v>
      </c>
      <c r="C225" s="1" t="n">
        <v>45925</v>
      </c>
      <c r="D225" t="inlineStr">
        <is>
          <t>DALARNAS LÄN</t>
        </is>
      </c>
      <c r="E225" t="inlineStr">
        <is>
          <t>MORA</t>
        </is>
      </c>
      <c r="G225" t="n">
        <v>0.6</v>
      </c>
      <c r="H225" t="n">
        <v>0</v>
      </c>
      <c r="I225" t="n">
        <v>0</v>
      </c>
      <c r="J225" t="n">
        <v>0</v>
      </c>
      <c r="K225" t="n">
        <v>0</v>
      </c>
      <c r="L225" t="n">
        <v>0</v>
      </c>
      <c r="M225" t="n">
        <v>0</v>
      </c>
      <c r="N225" t="n">
        <v>0</v>
      </c>
      <c r="O225" t="n">
        <v>0</v>
      </c>
      <c r="P225" t="n">
        <v>0</v>
      </c>
      <c r="Q225" t="n">
        <v>0</v>
      </c>
      <c r="R225" s="2" t="inlineStr"/>
    </row>
    <row r="226" ht="15" customHeight="1">
      <c r="A226" t="inlineStr">
        <is>
          <t>A 35622-2025</t>
        </is>
      </c>
      <c r="B226" s="1" t="n">
        <v>45859</v>
      </c>
      <c r="C226" s="1" t="n">
        <v>45925</v>
      </c>
      <c r="D226" t="inlineStr">
        <is>
          <t>DALARNAS LÄN</t>
        </is>
      </c>
      <c r="E226" t="inlineStr">
        <is>
          <t>MORA</t>
        </is>
      </c>
      <c r="F226" t="inlineStr">
        <is>
          <t>Bergvik skog öst AB</t>
        </is>
      </c>
      <c r="G226" t="n">
        <v>5.8</v>
      </c>
      <c r="H226" t="n">
        <v>0</v>
      </c>
      <c r="I226" t="n">
        <v>0</v>
      </c>
      <c r="J226" t="n">
        <v>0</v>
      </c>
      <c r="K226" t="n">
        <v>0</v>
      </c>
      <c r="L226" t="n">
        <v>0</v>
      </c>
      <c r="M226" t="n">
        <v>0</v>
      </c>
      <c r="N226" t="n">
        <v>0</v>
      </c>
      <c r="O226" t="n">
        <v>0</v>
      </c>
      <c r="P226" t="n">
        <v>0</v>
      </c>
      <c r="Q226" t="n">
        <v>0</v>
      </c>
      <c r="R226" s="2" t="inlineStr"/>
    </row>
    <row r="227" ht="15" customHeight="1">
      <c r="A227" t="inlineStr">
        <is>
          <t>A 35734-2025</t>
        </is>
      </c>
      <c r="B227" s="1" t="n">
        <v>45860.471875</v>
      </c>
      <c r="C227" s="1" t="n">
        <v>45925</v>
      </c>
      <c r="D227" t="inlineStr">
        <is>
          <t>DALARNAS LÄN</t>
        </is>
      </c>
      <c r="E227" t="inlineStr">
        <is>
          <t>MORA</t>
        </is>
      </c>
      <c r="G227" t="n">
        <v>1.3</v>
      </c>
      <c r="H227" t="n">
        <v>0</v>
      </c>
      <c r="I227" t="n">
        <v>0</v>
      </c>
      <c r="J227" t="n">
        <v>0</v>
      </c>
      <c r="K227" t="n">
        <v>0</v>
      </c>
      <c r="L227" t="n">
        <v>0</v>
      </c>
      <c r="M227" t="n">
        <v>0</v>
      </c>
      <c r="N227" t="n">
        <v>0</v>
      </c>
      <c r="O227" t="n">
        <v>0</v>
      </c>
      <c r="P227" t="n">
        <v>0</v>
      </c>
      <c r="Q227" t="n">
        <v>0</v>
      </c>
      <c r="R227" s="2" t="inlineStr"/>
    </row>
    <row r="228" ht="15" customHeight="1">
      <c r="A228" t="inlineStr">
        <is>
          <t>A 14641-2023</t>
        </is>
      </c>
      <c r="B228" s="1" t="n">
        <v>45013</v>
      </c>
      <c r="C228" s="1" t="n">
        <v>45925</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9277-2024</t>
        </is>
      </c>
      <c r="B229" s="1" t="n">
        <v>45358.63265046296</v>
      </c>
      <c r="C229" s="1" t="n">
        <v>45925</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60847-2021</t>
        </is>
      </c>
      <c r="B230" s="1" t="n">
        <v>44497</v>
      </c>
      <c r="C230" s="1" t="n">
        <v>45925</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41410-2025</t>
        </is>
      </c>
      <c r="B231" s="1" t="n">
        <v>45901.35030092593</v>
      </c>
      <c r="C231" s="1" t="n">
        <v>45925</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12151-2021</t>
        </is>
      </c>
      <c r="B232" s="1" t="n">
        <v>44266</v>
      </c>
      <c r="C232" s="1" t="n">
        <v>45925</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32410-2024</t>
        </is>
      </c>
      <c r="B233" s="1" t="n">
        <v>45512.70077546296</v>
      </c>
      <c r="C233" s="1" t="n">
        <v>45925</v>
      </c>
      <c r="D233" t="inlineStr">
        <is>
          <t>DALARNAS LÄN</t>
        </is>
      </c>
      <c r="E233" t="inlineStr">
        <is>
          <t>MORA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17529-2023</t>
        </is>
      </c>
      <c r="B234" s="1" t="n">
        <v>45036.46804398148</v>
      </c>
      <c r="C234" s="1" t="n">
        <v>45925</v>
      </c>
      <c r="D234" t="inlineStr">
        <is>
          <t>DALARNAS LÄN</t>
        </is>
      </c>
      <c r="E234" t="inlineStr">
        <is>
          <t>MORA</t>
        </is>
      </c>
      <c r="G234" t="n">
        <v>6</v>
      </c>
      <c r="H234" t="n">
        <v>0</v>
      </c>
      <c r="I234" t="n">
        <v>0</v>
      </c>
      <c r="J234" t="n">
        <v>0</v>
      </c>
      <c r="K234" t="n">
        <v>0</v>
      </c>
      <c r="L234" t="n">
        <v>0</v>
      </c>
      <c r="M234" t="n">
        <v>0</v>
      </c>
      <c r="N234" t="n">
        <v>0</v>
      </c>
      <c r="O234" t="n">
        <v>0</v>
      </c>
      <c r="P234" t="n">
        <v>0</v>
      </c>
      <c r="Q234" t="n">
        <v>0</v>
      </c>
      <c r="R234" s="2" t="inlineStr"/>
    </row>
    <row r="235" ht="15" customHeight="1">
      <c r="A235" t="inlineStr">
        <is>
          <t>A 35623-2025</t>
        </is>
      </c>
      <c r="B235" s="1" t="n">
        <v>45859</v>
      </c>
      <c r="C235" s="1" t="n">
        <v>45925</v>
      </c>
      <c r="D235" t="inlineStr">
        <is>
          <t>DALARNAS LÄN</t>
        </is>
      </c>
      <c r="E235" t="inlineStr">
        <is>
          <t>MORA</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41614-2025</t>
        </is>
      </c>
      <c r="B236" s="1" t="n">
        <v>45901.68267361111</v>
      </c>
      <c r="C236" s="1" t="n">
        <v>45925</v>
      </c>
      <c r="D236" t="inlineStr">
        <is>
          <t>DALARNAS LÄN</t>
        </is>
      </c>
      <c r="E236" t="inlineStr">
        <is>
          <t>MORA</t>
        </is>
      </c>
      <c r="F236" t="inlineStr">
        <is>
          <t>Bergvik skog väst AB</t>
        </is>
      </c>
      <c r="G236" t="n">
        <v>13.8</v>
      </c>
      <c r="H236" t="n">
        <v>0</v>
      </c>
      <c r="I236" t="n">
        <v>0</v>
      </c>
      <c r="J236" t="n">
        <v>0</v>
      </c>
      <c r="K236" t="n">
        <v>0</v>
      </c>
      <c r="L236" t="n">
        <v>0</v>
      </c>
      <c r="M236" t="n">
        <v>0</v>
      </c>
      <c r="N236" t="n">
        <v>0</v>
      </c>
      <c r="O236" t="n">
        <v>0</v>
      </c>
      <c r="P236" t="n">
        <v>0</v>
      </c>
      <c r="Q236" t="n">
        <v>0</v>
      </c>
      <c r="R236" s="2" t="inlineStr"/>
    </row>
    <row r="237" ht="15" customHeight="1">
      <c r="A237" t="inlineStr">
        <is>
          <t>A 4209-2023</t>
        </is>
      </c>
      <c r="B237" s="1" t="n">
        <v>44953</v>
      </c>
      <c r="C237" s="1" t="n">
        <v>45925</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32721-2024</t>
        </is>
      </c>
      <c r="B238" s="1" t="n">
        <v>45516.40261574074</v>
      </c>
      <c r="C238" s="1" t="n">
        <v>45925</v>
      </c>
      <c r="D238" t="inlineStr">
        <is>
          <t>DALARNAS LÄN</t>
        </is>
      </c>
      <c r="E238" t="inlineStr">
        <is>
          <t>MORA</t>
        </is>
      </c>
      <c r="G238" t="n">
        <v>4.2</v>
      </c>
      <c r="H238" t="n">
        <v>0</v>
      </c>
      <c r="I238" t="n">
        <v>0</v>
      </c>
      <c r="J238" t="n">
        <v>0</v>
      </c>
      <c r="K238" t="n">
        <v>0</v>
      </c>
      <c r="L238" t="n">
        <v>0</v>
      </c>
      <c r="M238" t="n">
        <v>0</v>
      </c>
      <c r="N238" t="n">
        <v>0</v>
      </c>
      <c r="O238" t="n">
        <v>0</v>
      </c>
      <c r="P238" t="n">
        <v>0</v>
      </c>
      <c r="Q238" t="n">
        <v>0</v>
      </c>
      <c r="R238" s="2" t="inlineStr"/>
    </row>
    <row r="239" ht="15" customHeight="1">
      <c r="A239" t="inlineStr">
        <is>
          <t>A 35624-2025</t>
        </is>
      </c>
      <c r="B239" s="1" t="n">
        <v>45859</v>
      </c>
      <c r="C239" s="1" t="n">
        <v>45925</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36038-2024</t>
        </is>
      </c>
      <c r="B240" s="1" t="n">
        <v>45533</v>
      </c>
      <c r="C240" s="1" t="n">
        <v>45925</v>
      </c>
      <c r="D240" t="inlineStr">
        <is>
          <t>DALARNAS LÄN</t>
        </is>
      </c>
      <c r="E240" t="inlineStr">
        <is>
          <t>MORA</t>
        </is>
      </c>
      <c r="G240" t="n">
        <v>5.1</v>
      </c>
      <c r="H240" t="n">
        <v>0</v>
      </c>
      <c r="I240" t="n">
        <v>0</v>
      </c>
      <c r="J240" t="n">
        <v>0</v>
      </c>
      <c r="K240" t="n">
        <v>0</v>
      </c>
      <c r="L240" t="n">
        <v>0</v>
      </c>
      <c r="M240" t="n">
        <v>0</v>
      </c>
      <c r="N240" t="n">
        <v>0</v>
      </c>
      <c r="O240" t="n">
        <v>0</v>
      </c>
      <c r="P240" t="n">
        <v>0</v>
      </c>
      <c r="Q240" t="n">
        <v>0</v>
      </c>
      <c r="R240" s="2" t="inlineStr"/>
    </row>
    <row r="241" ht="15" customHeight="1">
      <c r="A241" t="inlineStr">
        <is>
          <t>A 42611-2022</t>
        </is>
      </c>
      <c r="B241" s="1" t="n">
        <v>44831.81482638889</v>
      </c>
      <c r="C241" s="1" t="n">
        <v>45925</v>
      </c>
      <c r="D241" t="inlineStr">
        <is>
          <t>DALARNAS LÄN</t>
        </is>
      </c>
      <c r="E241" t="inlineStr">
        <is>
          <t>MORA</t>
        </is>
      </c>
      <c r="G241" t="n">
        <v>2.1</v>
      </c>
      <c r="H241" t="n">
        <v>0</v>
      </c>
      <c r="I241" t="n">
        <v>0</v>
      </c>
      <c r="J241" t="n">
        <v>0</v>
      </c>
      <c r="K241" t="n">
        <v>0</v>
      </c>
      <c r="L241" t="n">
        <v>0</v>
      </c>
      <c r="M241" t="n">
        <v>0</v>
      </c>
      <c r="N241" t="n">
        <v>0</v>
      </c>
      <c r="O241" t="n">
        <v>0</v>
      </c>
      <c r="P241" t="n">
        <v>0</v>
      </c>
      <c r="Q241" t="n">
        <v>0</v>
      </c>
      <c r="R241" s="2" t="inlineStr"/>
    </row>
    <row r="242" ht="15" customHeight="1">
      <c r="A242" t="inlineStr">
        <is>
          <t>A 30194-2024</t>
        </is>
      </c>
      <c r="B242" s="1" t="n">
        <v>45490.33387731481</v>
      </c>
      <c r="C242" s="1" t="n">
        <v>45925</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8146-2021</t>
        </is>
      </c>
      <c r="B243" s="1" t="n">
        <v>44244</v>
      </c>
      <c r="C243" s="1" t="n">
        <v>45925</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47143-2022</t>
        </is>
      </c>
      <c r="B244" s="1" t="n">
        <v>44852</v>
      </c>
      <c r="C244" s="1" t="n">
        <v>45925</v>
      </c>
      <c r="D244" t="inlineStr">
        <is>
          <t>DALARNAS LÄN</t>
        </is>
      </c>
      <c r="E244" t="inlineStr">
        <is>
          <t>MORA</t>
        </is>
      </c>
      <c r="G244" t="n">
        <v>3.9</v>
      </c>
      <c r="H244" t="n">
        <v>0</v>
      </c>
      <c r="I244" t="n">
        <v>0</v>
      </c>
      <c r="J244" t="n">
        <v>0</v>
      </c>
      <c r="K244" t="n">
        <v>0</v>
      </c>
      <c r="L244" t="n">
        <v>0</v>
      </c>
      <c r="M244" t="n">
        <v>0</v>
      </c>
      <c r="N244" t="n">
        <v>0</v>
      </c>
      <c r="O244" t="n">
        <v>0</v>
      </c>
      <c r="P244" t="n">
        <v>0</v>
      </c>
      <c r="Q244" t="n">
        <v>0</v>
      </c>
      <c r="R244" s="2" t="inlineStr"/>
    </row>
    <row r="245" ht="15" customHeight="1">
      <c r="A245" t="inlineStr">
        <is>
          <t>A 15416-2023</t>
        </is>
      </c>
      <c r="B245" s="1" t="n">
        <v>45019.71342592593</v>
      </c>
      <c r="C245" s="1" t="n">
        <v>45925</v>
      </c>
      <c r="D245" t="inlineStr">
        <is>
          <t>DALARNAS LÄN</t>
        </is>
      </c>
      <c r="E245" t="inlineStr">
        <is>
          <t>MORA</t>
        </is>
      </c>
      <c r="G245" t="n">
        <v>2</v>
      </c>
      <c r="H245" t="n">
        <v>0</v>
      </c>
      <c r="I245" t="n">
        <v>0</v>
      </c>
      <c r="J245" t="n">
        <v>0</v>
      </c>
      <c r="K245" t="n">
        <v>0</v>
      </c>
      <c r="L245" t="n">
        <v>0</v>
      </c>
      <c r="M245" t="n">
        <v>0</v>
      </c>
      <c r="N245" t="n">
        <v>0</v>
      </c>
      <c r="O245" t="n">
        <v>0</v>
      </c>
      <c r="P245" t="n">
        <v>0</v>
      </c>
      <c r="Q245" t="n">
        <v>0</v>
      </c>
      <c r="R245" s="2" t="inlineStr"/>
    </row>
    <row r="246" ht="15" customHeight="1">
      <c r="A246" t="inlineStr">
        <is>
          <t>A 52288-2024</t>
        </is>
      </c>
      <c r="B246" s="1" t="n">
        <v>45608.69395833334</v>
      </c>
      <c r="C246" s="1" t="n">
        <v>45925</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3430-2023</t>
        </is>
      </c>
      <c r="B247" s="1" t="n">
        <v>44949.57856481482</v>
      </c>
      <c r="C247" s="1" t="n">
        <v>45925</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25935-2023</t>
        </is>
      </c>
      <c r="B248" s="1" t="n">
        <v>45090.68675925926</v>
      </c>
      <c r="C248" s="1" t="n">
        <v>45925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39344-2024</t>
        </is>
      </c>
      <c r="B249" s="1" t="n">
        <v>45551.44503472222</v>
      </c>
      <c r="C249" s="1" t="n">
        <v>45925</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42112-2025</t>
        </is>
      </c>
      <c r="B250" s="1" t="n">
        <v>45904.32134259259</v>
      </c>
      <c r="C250" s="1" t="n">
        <v>45925</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45925</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24768-2024</t>
        </is>
      </c>
      <c r="B252" s="1" t="n">
        <v>45460.69545138889</v>
      </c>
      <c r="C252" s="1" t="n">
        <v>45925</v>
      </c>
      <c r="D252" t="inlineStr">
        <is>
          <t>DALARNAS LÄN</t>
        </is>
      </c>
      <c r="E252" t="inlineStr">
        <is>
          <t>MORA</t>
        </is>
      </c>
      <c r="G252" t="n">
        <v>2.4</v>
      </c>
      <c r="H252" t="n">
        <v>0</v>
      </c>
      <c r="I252" t="n">
        <v>0</v>
      </c>
      <c r="J252" t="n">
        <v>0</v>
      </c>
      <c r="K252" t="n">
        <v>0</v>
      </c>
      <c r="L252" t="n">
        <v>0</v>
      </c>
      <c r="M252" t="n">
        <v>0</v>
      </c>
      <c r="N252" t="n">
        <v>0</v>
      </c>
      <c r="O252" t="n">
        <v>0</v>
      </c>
      <c r="P252" t="n">
        <v>0</v>
      </c>
      <c r="Q252" t="n">
        <v>0</v>
      </c>
      <c r="R252" s="2" t="inlineStr"/>
    </row>
    <row r="253" ht="15" customHeight="1">
      <c r="A253" t="inlineStr">
        <is>
          <t>A 41855-2025</t>
        </is>
      </c>
      <c r="B253" s="1" t="n">
        <v>45902.93693287037</v>
      </c>
      <c r="C253" s="1" t="n">
        <v>45925</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42813-2025</t>
        </is>
      </c>
      <c r="B254" s="1" t="n">
        <v>45908.56168981481</v>
      </c>
      <c r="C254" s="1" t="n">
        <v>45925</v>
      </c>
      <c r="D254" t="inlineStr">
        <is>
          <t>DALARNAS LÄN</t>
        </is>
      </c>
      <c r="E254" t="inlineStr">
        <is>
          <t>MORA</t>
        </is>
      </c>
      <c r="G254" t="n">
        <v>4.3</v>
      </c>
      <c r="H254" t="n">
        <v>0</v>
      </c>
      <c r="I254" t="n">
        <v>0</v>
      </c>
      <c r="J254" t="n">
        <v>0</v>
      </c>
      <c r="K254" t="n">
        <v>0</v>
      </c>
      <c r="L254" t="n">
        <v>0</v>
      </c>
      <c r="M254" t="n">
        <v>0</v>
      </c>
      <c r="N254" t="n">
        <v>0</v>
      </c>
      <c r="O254" t="n">
        <v>0</v>
      </c>
      <c r="P254" t="n">
        <v>0</v>
      </c>
      <c r="Q254" t="n">
        <v>0</v>
      </c>
      <c r="R254" s="2" t="inlineStr"/>
    </row>
    <row r="255" ht="15" customHeight="1">
      <c r="A255" t="inlineStr">
        <is>
          <t>A 34282-2024</t>
        </is>
      </c>
      <c r="B255" s="1" t="n">
        <v>45524.62600694445</v>
      </c>
      <c r="C255" s="1" t="n">
        <v>45925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18559-2024</t>
        </is>
      </c>
      <c r="B256" s="1" t="n">
        <v>45425.66265046296</v>
      </c>
      <c r="C256" s="1" t="n">
        <v>45925</v>
      </c>
      <c r="D256" t="inlineStr">
        <is>
          <t>DALARNAS LÄN</t>
        </is>
      </c>
      <c r="E256" t="inlineStr">
        <is>
          <t>MORA</t>
        </is>
      </c>
      <c r="G256" t="n">
        <v>3.6</v>
      </c>
      <c r="H256" t="n">
        <v>0</v>
      </c>
      <c r="I256" t="n">
        <v>0</v>
      </c>
      <c r="J256" t="n">
        <v>0</v>
      </c>
      <c r="K256" t="n">
        <v>0</v>
      </c>
      <c r="L256" t="n">
        <v>0</v>
      </c>
      <c r="M256" t="n">
        <v>0</v>
      </c>
      <c r="N256" t="n">
        <v>0</v>
      </c>
      <c r="O256" t="n">
        <v>0</v>
      </c>
      <c r="P256" t="n">
        <v>0</v>
      </c>
      <c r="Q256" t="n">
        <v>0</v>
      </c>
      <c r="R256" s="2" t="inlineStr"/>
    </row>
    <row r="257" ht="15" customHeight="1">
      <c r="A257" t="inlineStr">
        <is>
          <t>A 42830-2025</t>
        </is>
      </c>
      <c r="B257" s="1" t="n">
        <v>45908.57753472222</v>
      </c>
      <c r="C257" s="1" t="n">
        <v>45925</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50911-2024</t>
        </is>
      </c>
      <c r="B258" s="1" t="n">
        <v>45602.7022337963</v>
      </c>
      <c r="C258" s="1" t="n">
        <v>45925</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35040-2023</t>
        </is>
      </c>
      <c r="B259" s="1" t="n">
        <v>45145.36853009259</v>
      </c>
      <c r="C259" s="1" t="n">
        <v>45925</v>
      </c>
      <c r="D259" t="inlineStr">
        <is>
          <t>DALARNAS LÄN</t>
        </is>
      </c>
      <c r="E259" t="inlineStr">
        <is>
          <t>MORA</t>
        </is>
      </c>
      <c r="G259" t="n">
        <v>2.1</v>
      </c>
      <c r="H259" t="n">
        <v>0</v>
      </c>
      <c r="I259" t="n">
        <v>0</v>
      </c>
      <c r="J259" t="n">
        <v>0</v>
      </c>
      <c r="K259" t="n">
        <v>0</v>
      </c>
      <c r="L259" t="n">
        <v>0</v>
      </c>
      <c r="M259" t="n">
        <v>0</v>
      </c>
      <c r="N259" t="n">
        <v>0</v>
      </c>
      <c r="O259" t="n">
        <v>0</v>
      </c>
      <c r="P259" t="n">
        <v>0</v>
      </c>
      <c r="Q259" t="n">
        <v>0</v>
      </c>
      <c r="R259" s="2" t="inlineStr"/>
    </row>
    <row r="260" ht="15" customHeight="1">
      <c r="A260" t="inlineStr">
        <is>
          <t>A 52525-2022</t>
        </is>
      </c>
      <c r="B260" s="1" t="n">
        <v>44874</v>
      </c>
      <c r="C260" s="1" t="n">
        <v>45925</v>
      </c>
      <c r="D260" t="inlineStr">
        <is>
          <t>DALARNAS LÄN</t>
        </is>
      </c>
      <c r="E260" t="inlineStr">
        <is>
          <t>MORA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58036-2024</t>
        </is>
      </c>
      <c r="B261" s="1" t="n">
        <v>45631.71893518518</v>
      </c>
      <c r="C261" s="1" t="n">
        <v>45925</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36041-2025</t>
        </is>
      </c>
      <c r="B262" s="1" t="n">
        <v>45866.34385416667</v>
      </c>
      <c r="C262" s="1" t="n">
        <v>45925</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41169-2023</t>
        </is>
      </c>
      <c r="B263" s="1" t="n">
        <v>45174.34662037037</v>
      </c>
      <c r="C263" s="1" t="n">
        <v>45925</v>
      </c>
      <c r="D263" t="inlineStr">
        <is>
          <t>DALARNAS LÄN</t>
        </is>
      </c>
      <c r="E263" t="inlineStr">
        <is>
          <t>MORA</t>
        </is>
      </c>
      <c r="G263" t="n">
        <v>3</v>
      </c>
      <c r="H263" t="n">
        <v>0</v>
      </c>
      <c r="I263" t="n">
        <v>0</v>
      </c>
      <c r="J263" t="n">
        <v>0</v>
      </c>
      <c r="K263" t="n">
        <v>0</v>
      </c>
      <c r="L263" t="n">
        <v>0</v>
      </c>
      <c r="M263" t="n">
        <v>0</v>
      </c>
      <c r="N263" t="n">
        <v>0</v>
      </c>
      <c r="O263" t="n">
        <v>0</v>
      </c>
      <c r="P263" t="n">
        <v>0</v>
      </c>
      <c r="Q263" t="n">
        <v>0</v>
      </c>
      <c r="R263" s="2" t="inlineStr"/>
    </row>
    <row r="264" ht="15" customHeight="1">
      <c r="A264" t="inlineStr">
        <is>
          <t>A 28964-2024</t>
        </is>
      </c>
      <c r="B264" s="1" t="n">
        <v>45481.42923611111</v>
      </c>
      <c r="C264" s="1" t="n">
        <v>45925</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27420-2024</t>
        </is>
      </c>
      <c r="B265" s="1" t="n">
        <v>45474.37850694444</v>
      </c>
      <c r="C265" s="1" t="n">
        <v>45925</v>
      </c>
      <c r="D265" t="inlineStr">
        <is>
          <t>DALARNAS LÄN</t>
        </is>
      </c>
      <c r="E265" t="inlineStr">
        <is>
          <t>MORA</t>
        </is>
      </c>
      <c r="G265" t="n">
        <v>7.3</v>
      </c>
      <c r="H265" t="n">
        <v>0</v>
      </c>
      <c r="I265" t="n">
        <v>0</v>
      </c>
      <c r="J265" t="n">
        <v>0</v>
      </c>
      <c r="K265" t="n">
        <v>0</v>
      </c>
      <c r="L265" t="n">
        <v>0</v>
      </c>
      <c r="M265" t="n">
        <v>0</v>
      </c>
      <c r="N265" t="n">
        <v>0</v>
      </c>
      <c r="O265" t="n">
        <v>0</v>
      </c>
      <c r="P265" t="n">
        <v>0</v>
      </c>
      <c r="Q265" t="n">
        <v>0</v>
      </c>
      <c r="R265" s="2" t="inlineStr"/>
    </row>
    <row r="266" ht="15" customHeight="1">
      <c r="A266" t="inlineStr">
        <is>
          <t>A 60051-2022</t>
        </is>
      </c>
      <c r="B266" s="1" t="n">
        <v>44909.52385416667</v>
      </c>
      <c r="C266" s="1" t="n">
        <v>45925</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69483-2021</t>
        </is>
      </c>
      <c r="B267" s="1" t="n">
        <v>44531</v>
      </c>
      <c r="C267" s="1" t="n">
        <v>45925</v>
      </c>
      <c r="D267" t="inlineStr">
        <is>
          <t>DALARNAS LÄN</t>
        </is>
      </c>
      <c r="E267" t="inlineStr">
        <is>
          <t>MORA</t>
        </is>
      </c>
      <c r="G267" t="n">
        <v>1.5</v>
      </c>
      <c r="H267" t="n">
        <v>0</v>
      </c>
      <c r="I267" t="n">
        <v>0</v>
      </c>
      <c r="J267" t="n">
        <v>0</v>
      </c>
      <c r="K267" t="n">
        <v>0</v>
      </c>
      <c r="L267" t="n">
        <v>0</v>
      </c>
      <c r="M267" t="n">
        <v>0</v>
      </c>
      <c r="N267" t="n">
        <v>0</v>
      </c>
      <c r="O267" t="n">
        <v>0</v>
      </c>
      <c r="P267" t="n">
        <v>0</v>
      </c>
      <c r="Q267" t="n">
        <v>0</v>
      </c>
      <c r="R267" s="2" t="inlineStr"/>
    </row>
    <row r="268" ht="15" customHeight="1">
      <c r="A268" t="inlineStr">
        <is>
          <t>A 56460-2022</t>
        </is>
      </c>
      <c r="B268" s="1" t="n">
        <v>44893</v>
      </c>
      <c r="C268" s="1" t="n">
        <v>45925</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48390-2024</t>
        </is>
      </c>
      <c r="B269" s="1" t="n">
        <v>45590.60216435185</v>
      </c>
      <c r="C269" s="1" t="n">
        <v>45925</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57110-2021</t>
        </is>
      </c>
      <c r="B270" s="1" t="n">
        <v>44482</v>
      </c>
      <c r="C270" s="1" t="n">
        <v>45925</v>
      </c>
      <c r="D270" t="inlineStr">
        <is>
          <t>DALARNAS LÄN</t>
        </is>
      </c>
      <c r="E270" t="inlineStr">
        <is>
          <t>MORA</t>
        </is>
      </c>
      <c r="G270" t="n">
        <v>5.4</v>
      </c>
      <c r="H270" t="n">
        <v>0</v>
      </c>
      <c r="I270" t="n">
        <v>0</v>
      </c>
      <c r="J270" t="n">
        <v>0</v>
      </c>
      <c r="K270" t="n">
        <v>0</v>
      </c>
      <c r="L270" t="n">
        <v>0</v>
      </c>
      <c r="M270" t="n">
        <v>0</v>
      </c>
      <c r="N270" t="n">
        <v>0</v>
      </c>
      <c r="O270" t="n">
        <v>0</v>
      </c>
      <c r="P270" t="n">
        <v>0</v>
      </c>
      <c r="Q270" t="n">
        <v>0</v>
      </c>
      <c r="R270" s="2" t="inlineStr"/>
    </row>
    <row r="271" ht="15" customHeight="1">
      <c r="A271" t="inlineStr">
        <is>
          <t>A 16174-2025</t>
        </is>
      </c>
      <c r="B271" s="1" t="n">
        <v>45750</v>
      </c>
      <c r="C271" s="1" t="n">
        <v>45925</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55671-2024</t>
        </is>
      </c>
      <c r="B272" s="1" t="n">
        <v>45622.65269675926</v>
      </c>
      <c r="C272" s="1" t="n">
        <v>45925</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39882-2024</t>
        </is>
      </c>
      <c r="B273" s="1" t="n">
        <v>45553</v>
      </c>
      <c r="C273" s="1" t="n">
        <v>45925</v>
      </c>
      <c r="D273" t="inlineStr">
        <is>
          <t>DALARNAS LÄN</t>
        </is>
      </c>
      <c r="E273" t="inlineStr">
        <is>
          <t>MORA</t>
        </is>
      </c>
      <c r="G273" t="n">
        <v>14.6</v>
      </c>
      <c r="H273" t="n">
        <v>0</v>
      </c>
      <c r="I273" t="n">
        <v>0</v>
      </c>
      <c r="J273" t="n">
        <v>0</v>
      </c>
      <c r="K273" t="n">
        <v>0</v>
      </c>
      <c r="L273" t="n">
        <v>0</v>
      </c>
      <c r="M273" t="n">
        <v>0</v>
      </c>
      <c r="N273" t="n">
        <v>0</v>
      </c>
      <c r="O273" t="n">
        <v>0</v>
      </c>
      <c r="P273" t="n">
        <v>0</v>
      </c>
      <c r="Q273" t="n">
        <v>0</v>
      </c>
      <c r="R273" s="2" t="inlineStr"/>
    </row>
    <row r="274" ht="15" customHeight="1">
      <c r="A274" t="inlineStr">
        <is>
          <t>A 43153-2025</t>
        </is>
      </c>
      <c r="B274" s="1" t="n">
        <v>45910.34449074074</v>
      </c>
      <c r="C274" s="1" t="n">
        <v>45925</v>
      </c>
      <c r="D274" t="inlineStr">
        <is>
          <t>DALARNAS LÄN</t>
        </is>
      </c>
      <c r="E274" t="inlineStr">
        <is>
          <t>MORA</t>
        </is>
      </c>
      <c r="G274" t="n">
        <v>3.9</v>
      </c>
      <c r="H274" t="n">
        <v>0</v>
      </c>
      <c r="I274" t="n">
        <v>0</v>
      </c>
      <c r="J274" t="n">
        <v>0</v>
      </c>
      <c r="K274" t="n">
        <v>0</v>
      </c>
      <c r="L274" t="n">
        <v>0</v>
      </c>
      <c r="M274" t="n">
        <v>0</v>
      </c>
      <c r="N274" t="n">
        <v>0</v>
      </c>
      <c r="O274" t="n">
        <v>0</v>
      </c>
      <c r="P274" t="n">
        <v>0</v>
      </c>
      <c r="Q274" t="n">
        <v>0</v>
      </c>
      <c r="R274" s="2" t="inlineStr"/>
    </row>
    <row r="275" ht="15" customHeight="1">
      <c r="A275" t="inlineStr">
        <is>
          <t>A 42954-2025</t>
        </is>
      </c>
      <c r="B275" s="1" t="n">
        <v>45909.3578125</v>
      </c>
      <c r="C275" s="1" t="n">
        <v>45925</v>
      </c>
      <c r="D275" t="inlineStr">
        <is>
          <t>DALARNAS LÄN</t>
        </is>
      </c>
      <c r="E275" t="inlineStr">
        <is>
          <t>MORA</t>
        </is>
      </c>
      <c r="G275" t="n">
        <v>2.5</v>
      </c>
      <c r="H275" t="n">
        <v>0</v>
      </c>
      <c r="I275" t="n">
        <v>0</v>
      </c>
      <c r="J275" t="n">
        <v>0</v>
      </c>
      <c r="K275" t="n">
        <v>0</v>
      </c>
      <c r="L275" t="n">
        <v>0</v>
      </c>
      <c r="M275" t="n">
        <v>0</v>
      </c>
      <c r="N275" t="n">
        <v>0</v>
      </c>
      <c r="O275" t="n">
        <v>0</v>
      </c>
      <c r="P275" t="n">
        <v>0</v>
      </c>
      <c r="Q275" t="n">
        <v>0</v>
      </c>
      <c r="R275" s="2" t="inlineStr"/>
    </row>
    <row r="276" ht="15" customHeight="1">
      <c r="A276" t="inlineStr">
        <is>
          <t>A 42960-2025</t>
        </is>
      </c>
      <c r="B276" s="1" t="n">
        <v>45909.36631944445</v>
      </c>
      <c r="C276" s="1" t="n">
        <v>45925</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53546-2024</t>
        </is>
      </c>
      <c r="B277" s="1" t="n">
        <v>45614.63725694444</v>
      </c>
      <c r="C277" s="1" t="n">
        <v>45925</v>
      </c>
      <c r="D277" t="inlineStr">
        <is>
          <t>DALARNAS LÄN</t>
        </is>
      </c>
      <c r="E277" t="inlineStr">
        <is>
          <t>MORA</t>
        </is>
      </c>
      <c r="G277" t="n">
        <v>2.6</v>
      </c>
      <c r="H277" t="n">
        <v>0</v>
      </c>
      <c r="I277" t="n">
        <v>0</v>
      </c>
      <c r="J277" t="n">
        <v>0</v>
      </c>
      <c r="K277" t="n">
        <v>0</v>
      </c>
      <c r="L277" t="n">
        <v>0</v>
      </c>
      <c r="M277" t="n">
        <v>0</v>
      </c>
      <c r="N277" t="n">
        <v>0</v>
      </c>
      <c r="O277" t="n">
        <v>0</v>
      </c>
      <c r="P277" t="n">
        <v>0</v>
      </c>
      <c r="Q277" t="n">
        <v>0</v>
      </c>
      <c r="R277" s="2" t="inlineStr"/>
    </row>
    <row r="278" ht="15" customHeight="1">
      <c r="A278" t="inlineStr">
        <is>
          <t>A 42319-2025</t>
        </is>
      </c>
      <c r="B278" s="1" t="n">
        <v>45903</v>
      </c>
      <c r="C278" s="1" t="n">
        <v>45925</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12920-2022</t>
        </is>
      </c>
      <c r="B279" s="1" t="n">
        <v>44642.65418981481</v>
      </c>
      <c r="C279" s="1" t="n">
        <v>45925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61188-2024</t>
        </is>
      </c>
      <c r="B280" s="1" t="n">
        <v>45645.62282407407</v>
      </c>
      <c r="C280" s="1" t="n">
        <v>45925</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4208-2023</t>
        </is>
      </c>
      <c r="B281" s="1" t="n">
        <v>44953</v>
      </c>
      <c r="C281" s="1" t="n">
        <v>45925</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4210-2023</t>
        </is>
      </c>
      <c r="B282" s="1" t="n">
        <v>44953.44965277778</v>
      </c>
      <c r="C282" s="1" t="n">
        <v>45925</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5491-2023</t>
        </is>
      </c>
      <c r="B283" s="1" t="n">
        <v>44957</v>
      </c>
      <c r="C283" s="1" t="n">
        <v>45925</v>
      </c>
      <c r="D283" t="inlineStr">
        <is>
          <t>DALARNAS LÄN</t>
        </is>
      </c>
      <c r="E283" t="inlineStr">
        <is>
          <t>MORA</t>
        </is>
      </c>
      <c r="G283" t="n">
        <v>3.5</v>
      </c>
      <c r="H283" t="n">
        <v>0</v>
      </c>
      <c r="I283" t="n">
        <v>0</v>
      </c>
      <c r="J283" t="n">
        <v>0</v>
      </c>
      <c r="K283" t="n">
        <v>0</v>
      </c>
      <c r="L283" t="n">
        <v>0</v>
      </c>
      <c r="M283" t="n">
        <v>0</v>
      </c>
      <c r="N283" t="n">
        <v>0</v>
      </c>
      <c r="O283" t="n">
        <v>0</v>
      </c>
      <c r="P283" t="n">
        <v>0</v>
      </c>
      <c r="Q283" t="n">
        <v>0</v>
      </c>
      <c r="R283" s="2" t="inlineStr"/>
    </row>
    <row r="284" ht="15" customHeight="1">
      <c r="A284" t="inlineStr">
        <is>
          <t>A 5493-2023</t>
        </is>
      </c>
      <c r="B284" s="1" t="n">
        <v>44957</v>
      </c>
      <c r="C284" s="1" t="n">
        <v>45925</v>
      </c>
      <c r="D284" t="inlineStr">
        <is>
          <t>DALARNAS LÄN</t>
        </is>
      </c>
      <c r="E284" t="inlineStr">
        <is>
          <t>MORA</t>
        </is>
      </c>
      <c r="F284" t="inlineStr">
        <is>
          <t>Allmännings- och besparingsskogar</t>
        </is>
      </c>
      <c r="G284" t="n">
        <v>14.9</v>
      </c>
      <c r="H284" t="n">
        <v>0</v>
      </c>
      <c r="I284" t="n">
        <v>0</v>
      </c>
      <c r="J284" t="n">
        <v>0</v>
      </c>
      <c r="K284" t="n">
        <v>0</v>
      </c>
      <c r="L284" t="n">
        <v>0</v>
      </c>
      <c r="M284" t="n">
        <v>0</v>
      </c>
      <c r="N284" t="n">
        <v>0</v>
      </c>
      <c r="O284" t="n">
        <v>0</v>
      </c>
      <c r="P284" t="n">
        <v>0</v>
      </c>
      <c r="Q284" t="n">
        <v>0</v>
      </c>
      <c r="R284" s="2" t="inlineStr"/>
    </row>
    <row r="285" ht="15" customHeight="1">
      <c r="A285" t="inlineStr">
        <is>
          <t>A 43157-2025</t>
        </is>
      </c>
      <c r="B285" s="1" t="n">
        <v>45910.34953703704</v>
      </c>
      <c r="C285" s="1" t="n">
        <v>45925</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39897-2022</t>
        </is>
      </c>
      <c r="B286" s="1" t="n">
        <v>44819.66083333334</v>
      </c>
      <c r="C286" s="1" t="n">
        <v>45925</v>
      </c>
      <c r="D286" t="inlineStr">
        <is>
          <t>DALARNAS LÄN</t>
        </is>
      </c>
      <c r="E286" t="inlineStr">
        <is>
          <t>MORA</t>
        </is>
      </c>
      <c r="G286" t="n">
        <v>15.8</v>
      </c>
      <c r="H286" t="n">
        <v>0</v>
      </c>
      <c r="I286" t="n">
        <v>0</v>
      </c>
      <c r="J286" t="n">
        <v>0</v>
      </c>
      <c r="K286" t="n">
        <v>0</v>
      </c>
      <c r="L286" t="n">
        <v>0</v>
      </c>
      <c r="M286" t="n">
        <v>0</v>
      </c>
      <c r="N286" t="n">
        <v>0</v>
      </c>
      <c r="O286" t="n">
        <v>0</v>
      </c>
      <c r="P286" t="n">
        <v>0</v>
      </c>
      <c r="Q286" t="n">
        <v>0</v>
      </c>
      <c r="R286" s="2" t="inlineStr"/>
    </row>
    <row r="287" ht="15" customHeight="1">
      <c r="A287" t="inlineStr">
        <is>
          <t>A 58089-2024</t>
        </is>
      </c>
      <c r="B287" s="1" t="n">
        <v>45632.34984953704</v>
      </c>
      <c r="C287" s="1" t="n">
        <v>45925</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36179-2025</t>
        </is>
      </c>
      <c r="B288" s="1" t="n">
        <v>45867</v>
      </c>
      <c r="C288" s="1" t="n">
        <v>45925</v>
      </c>
      <c r="D288" t="inlineStr">
        <is>
          <t>DALARNAS LÄN</t>
        </is>
      </c>
      <c r="E288" t="inlineStr">
        <is>
          <t>MORA</t>
        </is>
      </c>
      <c r="G288" t="n">
        <v>2.5</v>
      </c>
      <c r="H288" t="n">
        <v>0</v>
      </c>
      <c r="I288" t="n">
        <v>0</v>
      </c>
      <c r="J288" t="n">
        <v>0</v>
      </c>
      <c r="K288" t="n">
        <v>0</v>
      </c>
      <c r="L288" t="n">
        <v>0</v>
      </c>
      <c r="M288" t="n">
        <v>0</v>
      </c>
      <c r="N288" t="n">
        <v>0</v>
      </c>
      <c r="O288" t="n">
        <v>0</v>
      </c>
      <c r="P288" t="n">
        <v>0</v>
      </c>
      <c r="Q288" t="n">
        <v>0</v>
      </c>
      <c r="R288" s="2" t="inlineStr"/>
    </row>
    <row r="289" ht="15" customHeight="1">
      <c r="A289" t="inlineStr">
        <is>
          <t>A 61350-2024</t>
        </is>
      </c>
      <c r="B289" s="1" t="n">
        <v>45646.37872685185</v>
      </c>
      <c r="C289" s="1" t="n">
        <v>45925</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42947-2025</t>
        </is>
      </c>
      <c r="B290" s="1" t="n">
        <v>45909.34799768519</v>
      </c>
      <c r="C290" s="1" t="n">
        <v>45925</v>
      </c>
      <c r="D290" t="inlineStr">
        <is>
          <t>DALARNAS LÄN</t>
        </is>
      </c>
      <c r="E290" t="inlineStr">
        <is>
          <t>MORA</t>
        </is>
      </c>
      <c r="F290" t="inlineStr">
        <is>
          <t>Allmännings- och besparingsskogar</t>
        </is>
      </c>
      <c r="G290" t="n">
        <v>6.2</v>
      </c>
      <c r="H290" t="n">
        <v>0</v>
      </c>
      <c r="I290" t="n">
        <v>0</v>
      </c>
      <c r="J290" t="n">
        <v>0</v>
      </c>
      <c r="K290" t="n">
        <v>0</v>
      </c>
      <c r="L290" t="n">
        <v>0</v>
      </c>
      <c r="M290" t="n">
        <v>0</v>
      </c>
      <c r="N290" t="n">
        <v>0</v>
      </c>
      <c r="O290" t="n">
        <v>0</v>
      </c>
      <c r="P290" t="n">
        <v>0</v>
      </c>
      <c r="Q290" t="n">
        <v>0</v>
      </c>
      <c r="R290" s="2" t="inlineStr"/>
    </row>
    <row r="291" ht="15" customHeight="1">
      <c r="A291" t="inlineStr">
        <is>
          <t>A 9554-2025</t>
        </is>
      </c>
      <c r="B291" s="1" t="n">
        <v>45715.59936342593</v>
      </c>
      <c r="C291" s="1" t="n">
        <v>45925</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11463-2024</t>
        </is>
      </c>
      <c r="B292" s="1" t="n">
        <v>45372.58969907407</v>
      </c>
      <c r="C292" s="1" t="n">
        <v>45925</v>
      </c>
      <c r="D292" t="inlineStr">
        <is>
          <t>DALARNAS LÄN</t>
        </is>
      </c>
      <c r="E292" t="inlineStr">
        <is>
          <t>MORA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62266-2020</t>
        </is>
      </c>
      <c r="B293" s="1" t="n">
        <v>44160.35008101852</v>
      </c>
      <c r="C293" s="1" t="n">
        <v>45925</v>
      </c>
      <c r="D293" t="inlineStr">
        <is>
          <t>DALARNAS LÄN</t>
        </is>
      </c>
      <c r="E293" t="inlineStr">
        <is>
          <t>MORA</t>
        </is>
      </c>
      <c r="F293" t="inlineStr">
        <is>
          <t>Bergvik skog väst AB</t>
        </is>
      </c>
      <c r="G293" t="n">
        <v>5.9</v>
      </c>
      <c r="H293" t="n">
        <v>0</v>
      </c>
      <c r="I293" t="n">
        <v>0</v>
      </c>
      <c r="J293" t="n">
        <v>0</v>
      </c>
      <c r="K293" t="n">
        <v>0</v>
      </c>
      <c r="L293" t="n">
        <v>0</v>
      </c>
      <c r="M293" t="n">
        <v>0</v>
      </c>
      <c r="N293" t="n">
        <v>0</v>
      </c>
      <c r="O293" t="n">
        <v>0</v>
      </c>
      <c r="P293" t="n">
        <v>0</v>
      </c>
      <c r="Q293" t="n">
        <v>0</v>
      </c>
      <c r="R293" s="2" t="inlineStr"/>
    </row>
    <row r="294" ht="15" customHeight="1">
      <c r="A294" t="inlineStr">
        <is>
          <t>A 43569-2025</t>
        </is>
      </c>
      <c r="B294" s="1" t="n">
        <v>45911.63363425926</v>
      </c>
      <c r="C294" s="1" t="n">
        <v>45925</v>
      </c>
      <c r="D294" t="inlineStr">
        <is>
          <t>DALARNAS LÄN</t>
        </is>
      </c>
      <c r="E294" t="inlineStr">
        <is>
          <t>MORA</t>
        </is>
      </c>
      <c r="G294" t="n">
        <v>4.7</v>
      </c>
      <c r="H294" t="n">
        <v>0</v>
      </c>
      <c r="I294" t="n">
        <v>0</v>
      </c>
      <c r="J294" t="n">
        <v>0</v>
      </c>
      <c r="K294" t="n">
        <v>0</v>
      </c>
      <c r="L294" t="n">
        <v>0</v>
      </c>
      <c r="M294" t="n">
        <v>0</v>
      </c>
      <c r="N294" t="n">
        <v>0</v>
      </c>
      <c r="O294" t="n">
        <v>0</v>
      </c>
      <c r="P294" t="n">
        <v>0</v>
      </c>
      <c r="Q294" t="n">
        <v>0</v>
      </c>
      <c r="R294" s="2" t="inlineStr"/>
    </row>
    <row r="295" ht="15" customHeight="1">
      <c r="A295" t="inlineStr">
        <is>
          <t>A 43811-2025</t>
        </is>
      </c>
      <c r="B295" s="1" t="n">
        <v>45912.58710648148</v>
      </c>
      <c r="C295" s="1" t="n">
        <v>45925</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23302-2024</t>
        </is>
      </c>
      <c r="B296" s="1" t="n">
        <v>45453.44091435185</v>
      </c>
      <c r="C296" s="1" t="n">
        <v>45925</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30985-2024</t>
        </is>
      </c>
      <c r="B297" s="1" t="n">
        <v>45499.51721064815</v>
      </c>
      <c r="C297" s="1" t="n">
        <v>45925</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27975-2023</t>
        </is>
      </c>
      <c r="B298" s="1" t="n">
        <v>45098</v>
      </c>
      <c r="C298" s="1" t="n">
        <v>45925</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36586-2025</t>
        </is>
      </c>
      <c r="B299" s="1" t="n">
        <v>45869</v>
      </c>
      <c r="C299" s="1" t="n">
        <v>45925</v>
      </c>
      <c r="D299" t="inlineStr">
        <is>
          <t>DALARNAS LÄN</t>
        </is>
      </c>
      <c r="E299" t="inlineStr">
        <is>
          <t>MORA</t>
        </is>
      </c>
      <c r="G299" t="n">
        <v>1.8</v>
      </c>
      <c r="H299" t="n">
        <v>0</v>
      </c>
      <c r="I299" t="n">
        <v>0</v>
      </c>
      <c r="J299" t="n">
        <v>0</v>
      </c>
      <c r="K299" t="n">
        <v>0</v>
      </c>
      <c r="L299" t="n">
        <v>0</v>
      </c>
      <c r="M299" t="n">
        <v>0</v>
      </c>
      <c r="N299" t="n">
        <v>0</v>
      </c>
      <c r="O299" t="n">
        <v>0</v>
      </c>
      <c r="P299" t="n">
        <v>0</v>
      </c>
      <c r="Q299" t="n">
        <v>0</v>
      </c>
      <c r="R299" s="2" t="inlineStr"/>
    </row>
    <row r="300" ht="15" customHeight="1">
      <c r="A300" t="inlineStr">
        <is>
          <t>A 5769-2025</t>
        </is>
      </c>
      <c r="B300" s="1" t="n">
        <v>45694.59288194445</v>
      </c>
      <c r="C300" s="1" t="n">
        <v>45925</v>
      </c>
      <c r="D300" t="inlineStr">
        <is>
          <t>DALARNAS LÄN</t>
        </is>
      </c>
      <c r="E300" t="inlineStr">
        <is>
          <t>MORA</t>
        </is>
      </c>
      <c r="G300" t="n">
        <v>15.7</v>
      </c>
      <c r="H300" t="n">
        <v>0</v>
      </c>
      <c r="I300" t="n">
        <v>0</v>
      </c>
      <c r="J300" t="n">
        <v>0</v>
      </c>
      <c r="K300" t="n">
        <v>0</v>
      </c>
      <c r="L300" t="n">
        <v>0</v>
      </c>
      <c r="M300" t="n">
        <v>0</v>
      </c>
      <c r="N300" t="n">
        <v>0</v>
      </c>
      <c r="O300" t="n">
        <v>0</v>
      </c>
      <c r="P300" t="n">
        <v>0</v>
      </c>
      <c r="Q300" t="n">
        <v>0</v>
      </c>
      <c r="R300" s="2" t="inlineStr"/>
    </row>
    <row r="301" ht="15" customHeight="1">
      <c r="A301" t="inlineStr">
        <is>
          <t>A 57859-2022</t>
        </is>
      </c>
      <c r="B301" s="1" t="n">
        <v>44898</v>
      </c>
      <c r="C301" s="1" t="n">
        <v>45925</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59101-2024</t>
        </is>
      </c>
      <c r="B302" s="1" t="n">
        <v>45637.34074074074</v>
      </c>
      <c r="C302" s="1" t="n">
        <v>45925</v>
      </c>
      <c r="D302" t="inlineStr">
        <is>
          <t>DALARNAS LÄN</t>
        </is>
      </c>
      <c r="E302" t="inlineStr">
        <is>
          <t>MORA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43533-2023</t>
        </is>
      </c>
      <c r="B303" s="1" t="n">
        <v>45184.53412037037</v>
      </c>
      <c r="C303" s="1" t="n">
        <v>45925</v>
      </c>
      <c r="D303" t="inlineStr">
        <is>
          <t>DALARNAS LÄN</t>
        </is>
      </c>
      <c r="E303" t="inlineStr">
        <is>
          <t>MORA</t>
        </is>
      </c>
      <c r="F303" t="inlineStr">
        <is>
          <t>Bergvik skog väst AB</t>
        </is>
      </c>
      <c r="G303" t="n">
        <v>10.3</v>
      </c>
      <c r="H303" t="n">
        <v>0</v>
      </c>
      <c r="I303" t="n">
        <v>0</v>
      </c>
      <c r="J303" t="n">
        <v>0</v>
      </c>
      <c r="K303" t="n">
        <v>0</v>
      </c>
      <c r="L303" t="n">
        <v>0</v>
      </c>
      <c r="M303" t="n">
        <v>0</v>
      </c>
      <c r="N303" t="n">
        <v>0</v>
      </c>
      <c r="O303" t="n">
        <v>0</v>
      </c>
      <c r="P303" t="n">
        <v>0</v>
      </c>
      <c r="Q303" t="n">
        <v>0</v>
      </c>
      <c r="R303" s="2" t="inlineStr"/>
    </row>
    <row r="304" ht="15" customHeight="1">
      <c r="A304" t="inlineStr">
        <is>
          <t>A 30998-2022</t>
        </is>
      </c>
      <c r="B304" s="1" t="n">
        <v>44768</v>
      </c>
      <c r="C304" s="1" t="n">
        <v>45925</v>
      </c>
      <c r="D304" t="inlineStr">
        <is>
          <t>DALARNAS LÄN</t>
        </is>
      </c>
      <c r="E304" t="inlineStr">
        <is>
          <t>MORA</t>
        </is>
      </c>
      <c r="G304" t="n">
        <v>1.7</v>
      </c>
      <c r="H304" t="n">
        <v>0</v>
      </c>
      <c r="I304" t="n">
        <v>0</v>
      </c>
      <c r="J304" t="n">
        <v>0</v>
      </c>
      <c r="K304" t="n">
        <v>0</v>
      </c>
      <c r="L304" t="n">
        <v>0</v>
      </c>
      <c r="M304" t="n">
        <v>0</v>
      </c>
      <c r="N304" t="n">
        <v>0</v>
      </c>
      <c r="O304" t="n">
        <v>0</v>
      </c>
      <c r="P304" t="n">
        <v>0</v>
      </c>
      <c r="Q304" t="n">
        <v>0</v>
      </c>
      <c r="R304" s="2" t="inlineStr"/>
    </row>
    <row r="305" ht="15" customHeight="1">
      <c r="A305" t="inlineStr">
        <is>
          <t>A 60647-2022</t>
        </is>
      </c>
      <c r="B305" s="1" t="n">
        <v>44911</v>
      </c>
      <c r="C305" s="1" t="n">
        <v>45925</v>
      </c>
      <c r="D305" t="inlineStr">
        <is>
          <t>DALARNAS LÄN</t>
        </is>
      </c>
      <c r="E305" t="inlineStr">
        <is>
          <t>MORA</t>
        </is>
      </c>
      <c r="G305" t="n">
        <v>4.8</v>
      </c>
      <c r="H305" t="n">
        <v>0</v>
      </c>
      <c r="I305" t="n">
        <v>0</v>
      </c>
      <c r="J305" t="n">
        <v>0</v>
      </c>
      <c r="K305" t="n">
        <v>0</v>
      </c>
      <c r="L305" t="n">
        <v>0</v>
      </c>
      <c r="M305" t="n">
        <v>0</v>
      </c>
      <c r="N305" t="n">
        <v>0</v>
      </c>
      <c r="O305" t="n">
        <v>0</v>
      </c>
      <c r="P305" t="n">
        <v>0</v>
      </c>
      <c r="Q305" t="n">
        <v>0</v>
      </c>
      <c r="R305" s="2" t="inlineStr"/>
    </row>
    <row r="306" ht="15" customHeight="1">
      <c r="A306" t="inlineStr">
        <is>
          <t>A 43874-2024</t>
        </is>
      </c>
      <c r="B306" s="1" t="n">
        <v>45572.38476851852</v>
      </c>
      <c r="C306" s="1" t="n">
        <v>45925</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43474-2025</t>
        </is>
      </c>
      <c r="B307" s="1" t="n">
        <v>45911.48967592593</v>
      </c>
      <c r="C307" s="1" t="n">
        <v>45925</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8343-2025</t>
        </is>
      </c>
      <c r="B308" s="1" t="n">
        <v>45708.67253472222</v>
      </c>
      <c r="C308" s="1" t="n">
        <v>45925</v>
      </c>
      <c r="D308" t="inlineStr">
        <is>
          <t>DALARNAS LÄN</t>
        </is>
      </c>
      <c r="E308" t="inlineStr">
        <is>
          <t>MORA</t>
        </is>
      </c>
      <c r="G308" t="n">
        <v>3.4</v>
      </c>
      <c r="H308" t="n">
        <v>0</v>
      </c>
      <c r="I308" t="n">
        <v>0</v>
      </c>
      <c r="J308" t="n">
        <v>0</v>
      </c>
      <c r="K308" t="n">
        <v>0</v>
      </c>
      <c r="L308" t="n">
        <v>0</v>
      </c>
      <c r="M308" t="n">
        <v>0</v>
      </c>
      <c r="N308" t="n">
        <v>0</v>
      </c>
      <c r="O308" t="n">
        <v>0</v>
      </c>
      <c r="P308" t="n">
        <v>0</v>
      </c>
      <c r="Q308" t="n">
        <v>0</v>
      </c>
      <c r="R308" s="2" t="inlineStr"/>
    </row>
    <row r="309" ht="15" customHeight="1">
      <c r="A309" t="inlineStr">
        <is>
          <t>A 57903-2022</t>
        </is>
      </c>
      <c r="B309" s="1" t="n">
        <v>44900.3521412037</v>
      </c>
      <c r="C309" s="1" t="n">
        <v>45925</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24169-2022</t>
        </is>
      </c>
      <c r="B310" s="1" t="n">
        <v>44725.50280092593</v>
      </c>
      <c r="C310" s="1" t="n">
        <v>45925</v>
      </c>
      <c r="D310" t="inlineStr">
        <is>
          <t>DALARNAS LÄN</t>
        </is>
      </c>
      <c r="E310" t="inlineStr">
        <is>
          <t>MORA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45925</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58892-2023</t>
        </is>
      </c>
      <c r="B312" s="1" t="n">
        <v>45252.48592592592</v>
      </c>
      <c r="C312" s="1" t="n">
        <v>45925</v>
      </c>
      <c r="D312" t="inlineStr">
        <is>
          <t>DALARNAS LÄN</t>
        </is>
      </c>
      <c r="E312" t="inlineStr">
        <is>
          <t>MORA</t>
        </is>
      </c>
      <c r="G312" t="n">
        <v>2.2</v>
      </c>
      <c r="H312" t="n">
        <v>0</v>
      </c>
      <c r="I312" t="n">
        <v>0</v>
      </c>
      <c r="J312" t="n">
        <v>0</v>
      </c>
      <c r="K312" t="n">
        <v>0</v>
      </c>
      <c r="L312" t="n">
        <v>0</v>
      </c>
      <c r="M312" t="n">
        <v>0</v>
      </c>
      <c r="N312" t="n">
        <v>0</v>
      </c>
      <c r="O312" t="n">
        <v>0</v>
      </c>
      <c r="P312" t="n">
        <v>0</v>
      </c>
      <c r="Q312" t="n">
        <v>0</v>
      </c>
      <c r="R312" s="2" t="inlineStr"/>
    </row>
    <row r="313" ht="15" customHeight="1">
      <c r="A313" t="inlineStr">
        <is>
          <t>A 24590-2024</t>
        </is>
      </c>
      <c r="B313" s="1" t="n">
        <v>45460</v>
      </c>
      <c r="C313" s="1" t="n">
        <v>45925</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11442-2022</t>
        </is>
      </c>
      <c r="B314" s="1" t="n">
        <v>44630.62788194444</v>
      </c>
      <c r="C314" s="1" t="n">
        <v>45925</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6183-2024</t>
        </is>
      </c>
      <c r="B315" s="1" t="n">
        <v>45337.54135416666</v>
      </c>
      <c r="C315" s="1" t="n">
        <v>45925</v>
      </c>
      <c r="D315" t="inlineStr">
        <is>
          <t>DALARNAS LÄN</t>
        </is>
      </c>
      <c r="E315" t="inlineStr">
        <is>
          <t>MORA</t>
        </is>
      </c>
      <c r="G315" t="n">
        <v>7.9</v>
      </c>
      <c r="H315" t="n">
        <v>0</v>
      </c>
      <c r="I315" t="n">
        <v>0</v>
      </c>
      <c r="J315" t="n">
        <v>0</v>
      </c>
      <c r="K315" t="n">
        <v>0</v>
      </c>
      <c r="L315" t="n">
        <v>0</v>
      </c>
      <c r="M315" t="n">
        <v>0</v>
      </c>
      <c r="N315" t="n">
        <v>0</v>
      </c>
      <c r="O315" t="n">
        <v>0</v>
      </c>
      <c r="P315" t="n">
        <v>0</v>
      </c>
      <c r="Q315" t="n">
        <v>0</v>
      </c>
      <c r="R315" s="2" t="inlineStr"/>
    </row>
    <row r="316" ht="15" customHeight="1">
      <c r="A316" t="inlineStr">
        <is>
          <t>A 45562-2023</t>
        </is>
      </c>
      <c r="B316" s="1" t="n">
        <v>45194.59378472222</v>
      </c>
      <c r="C316" s="1" t="n">
        <v>45925</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35551-2023</t>
        </is>
      </c>
      <c r="B317" s="1" t="n">
        <v>45147.3934837963</v>
      </c>
      <c r="C317" s="1" t="n">
        <v>45925</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42934-2024</t>
        </is>
      </c>
      <c r="B318" s="1" t="n">
        <v>45567.33655092592</v>
      </c>
      <c r="C318" s="1" t="n">
        <v>45925</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44384-2025</t>
        </is>
      </c>
      <c r="B319" s="1" t="n">
        <v>45916.48513888889</v>
      </c>
      <c r="C319" s="1" t="n">
        <v>45925</v>
      </c>
      <c r="D319" t="inlineStr">
        <is>
          <t>DALARNAS LÄN</t>
        </is>
      </c>
      <c r="E319" t="inlineStr">
        <is>
          <t>MORA</t>
        </is>
      </c>
      <c r="F319" t="inlineStr">
        <is>
          <t>Kyrkan</t>
        </is>
      </c>
      <c r="G319" t="n">
        <v>5.1</v>
      </c>
      <c r="H319" t="n">
        <v>0</v>
      </c>
      <c r="I319" t="n">
        <v>0</v>
      </c>
      <c r="J319" t="n">
        <v>0</v>
      </c>
      <c r="K319" t="n">
        <v>0</v>
      </c>
      <c r="L319" t="n">
        <v>0</v>
      </c>
      <c r="M319" t="n">
        <v>0</v>
      </c>
      <c r="N319" t="n">
        <v>0</v>
      </c>
      <c r="O319" t="n">
        <v>0</v>
      </c>
      <c r="P319" t="n">
        <v>0</v>
      </c>
      <c r="Q319" t="n">
        <v>0</v>
      </c>
      <c r="R319" s="2" t="inlineStr"/>
    </row>
    <row r="320" ht="15" customHeight="1">
      <c r="A320" t="inlineStr">
        <is>
          <t>A 44417-2025</t>
        </is>
      </c>
      <c r="B320" s="1" t="n">
        <v>45916.5453587963</v>
      </c>
      <c r="C320" s="1" t="n">
        <v>45925</v>
      </c>
      <c r="D320" t="inlineStr">
        <is>
          <t>DALARNAS LÄN</t>
        </is>
      </c>
      <c r="E320" t="inlineStr">
        <is>
          <t>MORA</t>
        </is>
      </c>
      <c r="G320" t="n">
        <v>13.1</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45925</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17164-2025</t>
        </is>
      </c>
      <c r="B322" s="1" t="n">
        <v>45756.36403935185</v>
      </c>
      <c r="C322" s="1" t="n">
        <v>45925</v>
      </c>
      <c r="D322" t="inlineStr">
        <is>
          <t>DALARNAS LÄN</t>
        </is>
      </c>
      <c r="E322" t="inlineStr">
        <is>
          <t>MORA</t>
        </is>
      </c>
      <c r="F322" t="inlineStr">
        <is>
          <t>Bergvik skog öst AB</t>
        </is>
      </c>
      <c r="G322" t="n">
        <v>0.3</v>
      </c>
      <c r="H322" t="n">
        <v>0</v>
      </c>
      <c r="I322" t="n">
        <v>0</v>
      </c>
      <c r="J322" t="n">
        <v>0</v>
      </c>
      <c r="K322" t="n">
        <v>0</v>
      </c>
      <c r="L322" t="n">
        <v>0</v>
      </c>
      <c r="M322" t="n">
        <v>0</v>
      </c>
      <c r="N322" t="n">
        <v>0</v>
      </c>
      <c r="O322" t="n">
        <v>0</v>
      </c>
      <c r="P322" t="n">
        <v>0</v>
      </c>
      <c r="Q322" t="n">
        <v>0</v>
      </c>
      <c r="R322" s="2" t="inlineStr"/>
    </row>
    <row r="323" ht="15" customHeight="1">
      <c r="A323" t="inlineStr">
        <is>
          <t>A 23300-2024</t>
        </is>
      </c>
      <c r="B323" s="1" t="n">
        <v>45453.43695601852</v>
      </c>
      <c r="C323" s="1" t="n">
        <v>45925</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61654-2024</t>
        </is>
      </c>
      <c r="B324" s="1" t="n">
        <v>45646.74988425926</v>
      </c>
      <c r="C324" s="1" t="n">
        <v>45925</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36760-2025</t>
        </is>
      </c>
      <c r="B325" s="1" t="n">
        <v>45873.57319444444</v>
      </c>
      <c r="C325" s="1" t="n">
        <v>45925</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37774-2022</t>
        </is>
      </c>
      <c r="B326" s="1" t="n">
        <v>44810.64164351852</v>
      </c>
      <c r="C326" s="1" t="n">
        <v>45925</v>
      </c>
      <c r="D326" t="inlineStr">
        <is>
          <t>DALARNAS LÄN</t>
        </is>
      </c>
      <c r="E326" t="inlineStr">
        <is>
          <t>MORA</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56268-2024</t>
        </is>
      </c>
      <c r="B327" s="1" t="n">
        <v>45624.65785879629</v>
      </c>
      <c r="C327" s="1" t="n">
        <v>45925</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5309-2023</t>
        </is>
      </c>
      <c r="B328" s="1" t="n">
        <v>44956</v>
      </c>
      <c r="C328" s="1" t="n">
        <v>45925</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571-2024</t>
        </is>
      </c>
      <c r="B329" s="1" t="n">
        <v>45299</v>
      </c>
      <c r="C329" s="1" t="n">
        <v>45925</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22854-2023</t>
        </is>
      </c>
      <c r="B330" s="1" t="n">
        <v>45072</v>
      </c>
      <c r="C330" s="1" t="n">
        <v>45925</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54628-2024</t>
        </is>
      </c>
      <c r="B331" s="1" t="n">
        <v>45617.83969907407</v>
      </c>
      <c r="C331" s="1" t="n">
        <v>45925</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1252-2025</t>
        </is>
      </c>
      <c r="B332" s="1" t="n">
        <v>45667.46648148148</v>
      </c>
      <c r="C332" s="1" t="n">
        <v>45925</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44318-2025</t>
        </is>
      </c>
      <c r="B333" s="1" t="n">
        <v>45916.39680555555</v>
      </c>
      <c r="C333" s="1" t="n">
        <v>45925</v>
      </c>
      <c r="D333" t="inlineStr">
        <is>
          <t>DALARNAS LÄN</t>
        </is>
      </c>
      <c r="E333" t="inlineStr">
        <is>
          <t>MORA</t>
        </is>
      </c>
      <c r="G333" t="n">
        <v>7.4</v>
      </c>
      <c r="H333" t="n">
        <v>0</v>
      </c>
      <c r="I333" t="n">
        <v>0</v>
      </c>
      <c r="J333" t="n">
        <v>0</v>
      </c>
      <c r="K333" t="n">
        <v>0</v>
      </c>
      <c r="L333" t="n">
        <v>0</v>
      </c>
      <c r="M333" t="n">
        <v>0</v>
      </c>
      <c r="N333" t="n">
        <v>0</v>
      </c>
      <c r="O333" t="n">
        <v>0</v>
      </c>
      <c r="P333" t="n">
        <v>0</v>
      </c>
      <c r="Q333" t="n">
        <v>0</v>
      </c>
      <c r="R333" s="2" t="inlineStr"/>
    </row>
    <row r="334" ht="15" customHeight="1">
      <c r="A334" t="inlineStr">
        <is>
          <t>A 39348-2024</t>
        </is>
      </c>
      <c r="B334" s="1" t="n">
        <v>45551.45322916667</v>
      </c>
      <c r="C334" s="1" t="n">
        <v>45925</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50056-2022</t>
        </is>
      </c>
      <c r="B335" s="1" t="n">
        <v>44865</v>
      </c>
      <c r="C335" s="1" t="n">
        <v>45925</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2830-2023</t>
        </is>
      </c>
      <c r="B336" s="1" t="n">
        <v>44945.32997685186</v>
      </c>
      <c r="C336" s="1" t="n">
        <v>45925</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36846-2025</t>
        </is>
      </c>
      <c r="B337" s="1" t="n">
        <v>45874.38655092593</v>
      </c>
      <c r="C337" s="1" t="n">
        <v>45925</v>
      </c>
      <c r="D337" t="inlineStr">
        <is>
          <t>DALARNAS LÄN</t>
        </is>
      </c>
      <c r="E337" t="inlineStr">
        <is>
          <t>MORA</t>
        </is>
      </c>
      <c r="G337" t="n">
        <v>10.7</v>
      </c>
      <c r="H337" t="n">
        <v>0</v>
      </c>
      <c r="I337" t="n">
        <v>0</v>
      </c>
      <c r="J337" t="n">
        <v>0</v>
      </c>
      <c r="K337" t="n">
        <v>0</v>
      </c>
      <c r="L337" t="n">
        <v>0</v>
      </c>
      <c r="M337" t="n">
        <v>0</v>
      </c>
      <c r="N337" t="n">
        <v>0</v>
      </c>
      <c r="O337" t="n">
        <v>0</v>
      </c>
      <c r="P337" t="n">
        <v>0</v>
      </c>
      <c r="Q337" t="n">
        <v>0</v>
      </c>
      <c r="R337" s="2" t="inlineStr"/>
    </row>
    <row r="338" ht="15" customHeight="1">
      <c r="A338" t="inlineStr">
        <is>
          <t>A 56532-2024</t>
        </is>
      </c>
      <c r="B338" s="1" t="n">
        <v>45625.55440972222</v>
      </c>
      <c r="C338" s="1" t="n">
        <v>45925</v>
      </c>
      <c r="D338" t="inlineStr">
        <is>
          <t>DALARNAS LÄN</t>
        </is>
      </c>
      <c r="E338" t="inlineStr">
        <is>
          <t>MORA</t>
        </is>
      </c>
      <c r="G338" t="n">
        <v>6.9</v>
      </c>
      <c r="H338" t="n">
        <v>0</v>
      </c>
      <c r="I338" t="n">
        <v>0</v>
      </c>
      <c r="J338" t="n">
        <v>0</v>
      </c>
      <c r="K338" t="n">
        <v>0</v>
      </c>
      <c r="L338" t="n">
        <v>0</v>
      </c>
      <c r="M338" t="n">
        <v>0</v>
      </c>
      <c r="N338" t="n">
        <v>0</v>
      </c>
      <c r="O338" t="n">
        <v>0</v>
      </c>
      <c r="P338" t="n">
        <v>0</v>
      </c>
      <c r="Q338" t="n">
        <v>0</v>
      </c>
      <c r="R338" s="2" t="inlineStr"/>
    </row>
    <row r="339" ht="15" customHeight="1">
      <c r="A339" t="inlineStr">
        <is>
          <t>A 15499-2024</t>
        </is>
      </c>
      <c r="B339" s="1" t="n">
        <v>45401.53798611111</v>
      </c>
      <c r="C339" s="1" t="n">
        <v>45925</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24465-2021</t>
        </is>
      </c>
      <c r="B340" s="1" t="n">
        <v>44337</v>
      </c>
      <c r="C340" s="1" t="n">
        <v>45925</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5298-2023</t>
        </is>
      </c>
      <c r="B341" s="1" t="n">
        <v>44959.54355324074</v>
      </c>
      <c r="C341" s="1" t="n">
        <v>45925</v>
      </c>
      <c r="D341" t="inlineStr">
        <is>
          <t>DALARNAS LÄN</t>
        </is>
      </c>
      <c r="E341" t="inlineStr">
        <is>
          <t>MORA</t>
        </is>
      </c>
      <c r="F341" t="inlineStr">
        <is>
          <t>Bergvik skog väst AB</t>
        </is>
      </c>
      <c r="G341" t="n">
        <v>6.2</v>
      </c>
      <c r="H341" t="n">
        <v>0</v>
      </c>
      <c r="I341" t="n">
        <v>0</v>
      </c>
      <c r="J341" t="n">
        <v>0</v>
      </c>
      <c r="K341" t="n">
        <v>0</v>
      </c>
      <c r="L341" t="n">
        <v>0</v>
      </c>
      <c r="M341" t="n">
        <v>0</v>
      </c>
      <c r="N341" t="n">
        <v>0</v>
      </c>
      <c r="O341" t="n">
        <v>0</v>
      </c>
      <c r="P341" t="n">
        <v>0</v>
      </c>
      <c r="Q341" t="n">
        <v>0</v>
      </c>
      <c r="R341" s="2" t="inlineStr"/>
    </row>
    <row r="342" ht="15" customHeight="1">
      <c r="A342" t="inlineStr">
        <is>
          <t>A 43879-2022</t>
        </is>
      </c>
      <c r="B342" s="1" t="n">
        <v>44838.46721064814</v>
      </c>
      <c r="C342" s="1" t="n">
        <v>45925</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39888-2024</t>
        </is>
      </c>
      <c r="B343" s="1" t="n">
        <v>45553.47538194444</v>
      </c>
      <c r="C343" s="1" t="n">
        <v>45925</v>
      </c>
      <c r="D343" t="inlineStr">
        <is>
          <t>DALARNAS LÄN</t>
        </is>
      </c>
      <c r="E343" t="inlineStr">
        <is>
          <t>MORA</t>
        </is>
      </c>
      <c r="G343" t="n">
        <v>5.4</v>
      </c>
      <c r="H343" t="n">
        <v>0</v>
      </c>
      <c r="I343" t="n">
        <v>0</v>
      </c>
      <c r="J343" t="n">
        <v>0</v>
      </c>
      <c r="K343" t="n">
        <v>0</v>
      </c>
      <c r="L343" t="n">
        <v>0</v>
      </c>
      <c r="M343" t="n">
        <v>0</v>
      </c>
      <c r="N343" t="n">
        <v>0</v>
      </c>
      <c r="O343" t="n">
        <v>0</v>
      </c>
      <c r="P343" t="n">
        <v>0</v>
      </c>
      <c r="Q343" t="n">
        <v>0</v>
      </c>
      <c r="R343" s="2" t="inlineStr"/>
    </row>
    <row r="344" ht="15" customHeight="1">
      <c r="A344" t="inlineStr">
        <is>
          <t>A 59002-2024</t>
        </is>
      </c>
      <c r="B344" s="1" t="n">
        <v>45636</v>
      </c>
      <c r="C344" s="1" t="n">
        <v>45925</v>
      </c>
      <c r="D344" t="inlineStr">
        <is>
          <t>DALARNAS LÄN</t>
        </is>
      </c>
      <c r="E344" t="inlineStr">
        <is>
          <t>MORA</t>
        </is>
      </c>
      <c r="F344" t="inlineStr">
        <is>
          <t>Bergvik skog väst AB</t>
        </is>
      </c>
      <c r="G344" t="n">
        <v>24.8</v>
      </c>
      <c r="H344" t="n">
        <v>0</v>
      </c>
      <c r="I344" t="n">
        <v>0</v>
      </c>
      <c r="J344" t="n">
        <v>0</v>
      </c>
      <c r="K344" t="n">
        <v>0</v>
      </c>
      <c r="L344" t="n">
        <v>0</v>
      </c>
      <c r="M344" t="n">
        <v>0</v>
      </c>
      <c r="N344" t="n">
        <v>0</v>
      </c>
      <c r="O344" t="n">
        <v>0</v>
      </c>
      <c r="P344" t="n">
        <v>0</v>
      </c>
      <c r="Q344" t="n">
        <v>0</v>
      </c>
      <c r="R344" s="2" t="inlineStr"/>
    </row>
    <row r="345" ht="15" customHeight="1">
      <c r="A345" t="inlineStr">
        <is>
          <t>A 44621-2025</t>
        </is>
      </c>
      <c r="B345" s="1" t="n">
        <v>45917.466875</v>
      </c>
      <c r="C345" s="1" t="n">
        <v>45925</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37268-2025</t>
        </is>
      </c>
      <c r="B346" s="1" t="n">
        <v>45876.46681712963</v>
      </c>
      <c r="C346" s="1" t="n">
        <v>45925</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12828-2023</t>
        </is>
      </c>
      <c r="B347" s="1" t="n">
        <v>45001</v>
      </c>
      <c r="C347" s="1" t="n">
        <v>45925</v>
      </c>
      <c r="D347" t="inlineStr">
        <is>
          <t>DALARNAS LÄN</t>
        </is>
      </c>
      <c r="E347" t="inlineStr">
        <is>
          <t>MORA</t>
        </is>
      </c>
      <c r="F347" t="inlineStr">
        <is>
          <t>Bergvik skog väst AB</t>
        </is>
      </c>
      <c r="G347" t="n">
        <v>5.4</v>
      </c>
      <c r="H347" t="n">
        <v>0</v>
      </c>
      <c r="I347" t="n">
        <v>0</v>
      </c>
      <c r="J347" t="n">
        <v>0</v>
      </c>
      <c r="K347" t="n">
        <v>0</v>
      </c>
      <c r="L347" t="n">
        <v>0</v>
      </c>
      <c r="M347" t="n">
        <v>0</v>
      </c>
      <c r="N347" t="n">
        <v>0</v>
      </c>
      <c r="O347" t="n">
        <v>0</v>
      </c>
      <c r="P347" t="n">
        <v>0</v>
      </c>
      <c r="Q347" t="n">
        <v>0</v>
      </c>
      <c r="R347" s="2" t="inlineStr"/>
    </row>
    <row r="348" ht="15" customHeight="1">
      <c r="A348" t="inlineStr">
        <is>
          <t>A 44106-2023</t>
        </is>
      </c>
      <c r="B348" s="1" t="n">
        <v>45188</v>
      </c>
      <c r="C348" s="1" t="n">
        <v>45925</v>
      </c>
      <c r="D348" t="inlineStr">
        <is>
          <t>DALARNAS LÄN</t>
        </is>
      </c>
      <c r="E348" t="inlineStr">
        <is>
          <t>MORA</t>
        </is>
      </c>
      <c r="G348" t="n">
        <v>10.1</v>
      </c>
      <c r="H348" t="n">
        <v>0</v>
      </c>
      <c r="I348" t="n">
        <v>0</v>
      </c>
      <c r="J348" t="n">
        <v>0</v>
      </c>
      <c r="K348" t="n">
        <v>0</v>
      </c>
      <c r="L348" t="n">
        <v>0</v>
      </c>
      <c r="M348" t="n">
        <v>0</v>
      </c>
      <c r="N348" t="n">
        <v>0</v>
      </c>
      <c r="O348" t="n">
        <v>0</v>
      </c>
      <c r="P348" t="n">
        <v>0</v>
      </c>
      <c r="Q348" t="n">
        <v>0</v>
      </c>
      <c r="R348" s="2" t="inlineStr"/>
    </row>
    <row r="349" ht="15" customHeight="1">
      <c r="A349" t="inlineStr">
        <is>
          <t>A 60099-2024</t>
        </is>
      </c>
      <c r="B349" s="1" t="n">
        <v>45642.55645833333</v>
      </c>
      <c r="C349" s="1" t="n">
        <v>45925</v>
      </c>
      <c r="D349" t="inlineStr">
        <is>
          <t>DALARNAS LÄN</t>
        </is>
      </c>
      <c r="E349" t="inlineStr">
        <is>
          <t>MORA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53750-2024</t>
        </is>
      </c>
      <c r="B350" s="1" t="n">
        <v>45615.48465277778</v>
      </c>
      <c r="C350" s="1" t="n">
        <v>45925</v>
      </c>
      <c r="D350" t="inlineStr">
        <is>
          <t>DALARNAS LÄN</t>
        </is>
      </c>
      <c r="E350" t="inlineStr">
        <is>
          <t>MORA</t>
        </is>
      </c>
      <c r="G350" t="n">
        <v>2.3</v>
      </c>
      <c r="H350" t="n">
        <v>0</v>
      </c>
      <c r="I350" t="n">
        <v>0</v>
      </c>
      <c r="J350" t="n">
        <v>0</v>
      </c>
      <c r="K350" t="n">
        <v>0</v>
      </c>
      <c r="L350" t="n">
        <v>0</v>
      </c>
      <c r="M350" t="n">
        <v>0</v>
      </c>
      <c r="N350" t="n">
        <v>0</v>
      </c>
      <c r="O350" t="n">
        <v>0</v>
      </c>
      <c r="P350" t="n">
        <v>0</v>
      </c>
      <c r="Q350" t="n">
        <v>0</v>
      </c>
      <c r="R350" s="2" t="inlineStr"/>
    </row>
    <row r="351" ht="15" customHeight="1">
      <c r="A351" t="inlineStr">
        <is>
          <t>A 37070-2025</t>
        </is>
      </c>
      <c r="B351" s="1" t="n">
        <v>45875.39822916667</v>
      </c>
      <c r="C351" s="1" t="n">
        <v>45925</v>
      </c>
      <c r="D351" t="inlineStr">
        <is>
          <t>DALARNAS LÄN</t>
        </is>
      </c>
      <c r="E351" t="inlineStr">
        <is>
          <t>MORA</t>
        </is>
      </c>
      <c r="G351" t="n">
        <v>2.7</v>
      </c>
      <c r="H351" t="n">
        <v>0</v>
      </c>
      <c r="I351" t="n">
        <v>0</v>
      </c>
      <c r="J351" t="n">
        <v>0</v>
      </c>
      <c r="K351" t="n">
        <v>0</v>
      </c>
      <c r="L351" t="n">
        <v>0</v>
      </c>
      <c r="M351" t="n">
        <v>0</v>
      </c>
      <c r="N351" t="n">
        <v>0</v>
      </c>
      <c r="O351" t="n">
        <v>0</v>
      </c>
      <c r="P351" t="n">
        <v>0</v>
      </c>
      <c r="Q351" t="n">
        <v>0</v>
      </c>
      <c r="R351" s="2" t="inlineStr"/>
    </row>
    <row r="352" ht="15" customHeight="1">
      <c r="A352" t="inlineStr">
        <is>
          <t>A 37971-2024</t>
        </is>
      </c>
      <c r="B352" s="1" t="n">
        <v>45544</v>
      </c>
      <c r="C352" s="1" t="n">
        <v>45925</v>
      </c>
      <c r="D352" t="inlineStr">
        <is>
          <t>DALARNAS LÄN</t>
        </is>
      </c>
      <c r="E352" t="inlineStr">
        <is>
          <t>MORA</t>
        </is>
      </c>
      <c r="G352" t="n">
        <v>2.3</v>
      </c>
      <c r="H352" t="n">
        <v>0</v>
      </c>
      <c r="I352" t="n">
        <v>0</v>
      </c>
      <c r="J352" t="n">
        <v>0</v>
      </c>
      <c r="K352" t="n">
        <v>0</v>
      </c>
      <c r="L352" t="n">
        <v>0</v>
      </c>
      <c r="M352" t="n">
        <v>0</v>
      </c>
      <c r="N352" t="n">
        <v>0</v>
      </c>
      <c r="O352" t="n">
        <v>0</v>
      </c>
      <c r="P352" t="n">
        <v>0</v>
      </c>
      <c r="Q352" t="n">
        <v>0</v>
      </c>
      <c r="R352" s="2" t="inlineStr"/>
    </row>
    <row r="353" ht="15" customHeight="1">
      <c r="A353" t="inlineStr">
        <is>
          <t>A 57091-2021</t>
        </is>
      </c>
      <c r="B353" s="1" t="n">
        <v>44482</v>
      </c>
      <c r="C353" s="1" t="n">
        <v>45925</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34660-2021</t>
        </is>
      </c>
      <c r="B354" s="1" t="n">
        <v>44382.57981481482</v>
      </c>
      <c r="C354" s="1" t="n">
        <v>45925</v>
      </c>
      <c r="D354" t="inlineStr">
        <is>
          <t>DALARNAS LÄN</t>
        </is>
      </c>
      <c r="E354" t="inlineStr">
        <is>
          <t>MORA</t>
        </is>
      </c>
      <c r="G354" t="n">
        <v>7.5</v>
      </c>
      <c r="H354" t="n">
        <v>0</v>
      </c>
      <c r="I354" t="n">
        <v>0</v>
      </c>
      <c r="J354" t="n">
        <v>0</v>
      </c>
      <c r="K354" t="n">
        <v>0</v>
      </c>
      <c r="L354" t="n">
        <v>0</v>
      </c>
      <c r="M354" t="n">
        <v>0</v>
      </c>
      <c r="N354" t="n">
        <v>0</v>
      </c>
      <c r="O354" t="n">
        <v>0</v>
      </c>
      <c r="P354" t="n">
        <v>0</v>
      </c>
      <c r="Q354" t="n">
        <v>0</v>
      </c>
      <c r="R354" s="2" t="inlineStr"/>
    </row>
    <row r="355" ht="15" customHeight="1">
      <c r="A355" t="inlineStr">
        <is>
          <t>A 4994-2025</t>
        </is>
      </c>
      <c r="B355" s="1" t="n">
        <v>45691.35427083333</v>
      </c>
      <c r="C355" s="1" t="n">
        <v>45925</v>
      </c>
      <c r="D355" t="inlineStr">
        <is>
          <t>DALARNAS LÄN</t>
        </is>
      </c>
      <c r="E355" t="inlineStr">
        <is>
          <t>MORA</t>
        </is>
      </c>
      <c r="G355" t="n">
        <v>4.6</v>
      </c>
      <c r="H355" t="n">
        <v>0</v>
      </c>
      <c r="I355" t="n">
        <v>0</v>
      </c>
      <c r="J355" t="n">
        <v>0</v>
      </c>
      <c r="K355" t="n">
        <v>0</v>
      </c>
      <c r="L355" t="n">
        <v>0</v>
      </c>
      <c r="M355" t="n">
        <v>0</v>
      </c>
      <c r="N355" t="n">
        <v>0</v>
      </c>
      <c r="O355" t="n">
        <v>0</v>
      </c>
      <c r="P355" t="n">
        <v>0</v>
      </c>
      <c r="Q355" t="n">
        <v>0</v>
      </c>
      <c r="R355" s="2" t="inlineStr"/>
    </row>
    <row r="356" ht="15" customHeight="1">
      <c r="A356" t="inlineStr">
        <is>
          <t>A 2308-2023</t>
        </is>
      </c>
      <c r="B356" s="1" t="n">
        <v>44942.57987268519</v>
      </c>
      <c r="C356" s="1" t="n">
        <v>45925</v>
      </c>
      <c r="D356" t="inlineStr">
        <is>
          <t>DALARNAS LÄN</t>
        </is>
      </c>
      <c r="E356" t="inlineStr">
        <is>
          <t>MORA</t>
        </is>
      </c>
      <c r="G356" t="n">
        <v>2.2</v>
      </c>
      <c r="H356" t="n">
        <v>0</v>
      </c>
      <c r="I356" t="n">
        <v>0</v>
      </c>
      <c r="J356" t="n">
        <v>0</v>
      </c>
      <c r="K356" t="n">
        <v>0</v>
      </c>
      <c r="L356" t="n">
        <v>0</v>
      </c>
      <c r="M356" t="n">
        <v>0</v>
      </c>
      <c r="N356" t="n">
        <v>0</v>
      </c>
      <c r="O356" t="n">
        <v>0</v>
      </c>
      <c r="P356" t="n">
        <v>0</v>
      </c>
      <c r="Q356" t="n">
        <v>0</v>
      </c>
      <c r="R356" s="2" t="inlineStr"/>
    </row>
    <row r="357" ht="15" customHeight="1">
      <c r="A357" t="inlineStr">
        <is>
          <t>A 35287-2024</t>
        </is>
      </c>
      <c r="B357" s="1" t="n">
        <v>45530</v>
      </c>
      <c r="C357" s="1" t="n">
        <v>45925</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18702-2025</t>
        </is>
      </c>
      <c r="B358" s="1" t="n">
        <v>45763.63166666667</v>
      </c>
      <c r="C358" s="1" t="n">
        <v>45925</v>
      </c>
      <c r="D358" t="inlineStr">
        <is>
          <t>DALARNAS LÄN</t>
        </is>
      </c>
      <c r="E358" t="inlineStr">
        <is>
          <t>MORA</t>
        </is>
      </c>
      <c r="G358" t="n">
        <v>3.6</v>
      </c>
      <c r="H358" t="n">
        <v>0</v>
      </c>
      <c r="I358" t="n">
        <v>0</v>
      </c>
      <c r="J358" t="n">
        <v>0</v>
      </c>
      <c r="K358" t="n">
        <v>0</v>
      </c>
      <c r="L358" t="n">
        <v>0</v>
      </c>
      <c r="M358" t="n">
        <v>0</v>
      </c>
      <c r="N358" t="n">
        <v>0</v>
      </c>
      <c r="O358" t="n">
        <v>0</v>
      </c>
      <c r="P358" t="n">
        <v>0</v>
      </c>
      <c r="Q358" t="n">
        <v>0</v>
      </c>
      <c r="R358" s="2" t="inlineStr"/>
    </row>
    <row r="359" ht="15" customHeight="1">
      <c r="A359" t="inlineStr">
        <is>
          <t>A 7766-2025</t>
        </is>
      </c>
      <c r="B359" s="1" t="n">
        <v>45706.5562037037</v>
      </c>
      <c r="C359" s="1" t="n">
        <v>45925</v>
      </c>
      <c r="D359" t="inlineStr">
        <is>
          <t>DALARNAS LÄN</t>
        </is>
      </c>
      <c r="E359" t="inlineStr">
        <is>
          <t>MORA</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56012-2023</t>
        </is>
      </c>
      <c r="B360" s="1" t="n">
        <v>45240</v>
      </c>
      <c r="C360" s="1" t="n">
        <v>45925</v>
      </c>
      <c r="D360" t="inlineStr">
        <is>
          <t>DALARNAS LÄN</t>
        </is>
      </c>
      <c r="E360" t="inlineStr">
        <is>
          <t>MORA</t>
        </is>
      </c>
      <c r="G360" t="n">
        <v>0.3</v>
      </c>
      <c r="H360" t="n">
        <v>0</v>
      </c>
      <c r="I360" t="n">
        <v>0</v>
      </c>
      <c r="J360" t="n">
        <v>0</v>
      </c>
      <c r="K360" t="n">
        <v>0</v>
      </c>
      <c r="L360" t="n">
        <v>0</v>
      </c>
      <c r="M360" t="n">
        <v>0</v>
      </c>
      <c r="N360" t="n">
        <v>0</v>
      </c>
      <c r="O360" t="n">
        <v>0</v>
      </c>
      <c r="P360" t="n">
        <v>0</v>
      </c>
      <c r="Q360" t="n">
        <v>0</v>
      </c>
      <c r="R360" s="2" t="inlineStr"/>
    </row>
    <row r="361" ht="15" customHeight="1">
      <c r="A361" t="inlineStr">
        <is>
          <t>A 18122-2025</t>
        </is>
      </c>
      <c r="B361" s="1" t="n">
        <v>45761.59221064814</v>
      </c>
      <c r="C361" s="1" t="n">
        <v>45925</v>
      </c>
      <c r="D361" t="inlineStr">
        <is>
          <t>DALARNAS LÄN</t>
        </is>
      </c>
      <c r="E361" t="inlineStr">
        <is>
          <t>MORA</t>
        </is>
      </c>
      <c r="F361" t="inlineStr">
        <is>
          <t>Bergvik skog öst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46923-2024</t>
        </is>
      </c>
      <c r="B362" s="1" t="n">
        <v>45584.42887731481</v>
      </c>
      <c r="C362" s="1" t="n">
        <v>45925</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44644.70184027778</v>
      </c>
      <c r="C363" s="1" t="n">
        <v>45925</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12478-2025</t>
        </is>
      </c>
      <c r="B364" s="1" t="n">
        <v>45730.57429398148</v>
      </c>
      <c r="C364" s="1" t="n">
        <v>45925</v>
      </c>
      <c r="D364" t="inlineStr">
        <is>
          <t>DALARNAS LÄN</t>
        </is>
      </c>
      <c r="E364" t="inlineStr">
        <is>
          <t>MORA</t>
        </is>
      </c>
      <c r="F364" t="inlineStr">
        <is>
          <t>Bergvik skog öst AB</t>
        </is>
      </c>
      <c r="G364" t="n">
        <v>1.6</v>
      </c>
      <c r="H364" t="n">
        <v>0</v>
      </c>
      <c r="I364" t="n">
        <v>0</v>
      </c>
      <c r="J364" t="n">
        <v>0</v>
      </c>
      <c r="K364" t="n">
        <v>0</v>
      </c>
      <c r="L364" t="n">
        <v>0</v>
      </c>
      <c r="M364" t="n">
        <v>0</v>
      </c>
      <c r="N364" t="n">
        <v>0</v>
      </c>
      <c r="O364" t="n">
        <v>0</v>
      </c>
      <c r="P364" t="n">
        <v>0</v>
      </c>
      <c r="Q364" t="n">
        <v>0</v>
      </c>
      <c r="R364" s="2" t="inlineStr"/>
    </row>
    <row r="365" ht="15" customHeight="1">
      <c r="A365" t="inlineStr">
        <is>
          <t>A 47036-2023</t>
        </is>
      </c>
      <c r="B365" s="1" t="n">
        <v>45196</v>
      </c>
      <c r="C365" s="1" t="n">
        <v>45925</v>
      </c>
      <c r="D365" t="inlineStr">
        <is>
          <t>DALARNAS LÄN</t>
        </is>
      </c>
      <c r="E365" t="inlineStr">
        <is>
          <t>MORA</t>
        </is>
      </c>
      <c r="G365" t="n">
        <v>2.7</v>
      </c>
      <c r="H365" t="n">
        <v>0</v>
      </c>
      <c r="I365" t="n">
        <v>0</v>
      </c>
      <c r="J365" t="n">
        <v>0</v>
      </c>
      <c r="K365" t="n">
        <v>0</v>
      </c>
      <c r="L365" t="n">
        <v>0</v>
      </c>
      <c r="M365" t="n">
        <v>0</v>
      </c>
      <c r="N365" t="n">
        <v>0</v>
      </c>
      <c r="O365" t="n">
        <v>0</v>
      </c>
      <c r="P365" t="n">
        <v>0</v>
      </c>
      <c r="Q365" t="n">
        <v>0</v>
      </c>
      <c r="R365" s="2" t="inlineStr"/>
    </row>
    <row r="366" ht="15" customHeight="1">
      <c r="A366" t="inlineStr">
        <is>
          <t>A 45191-2025</t>
        </is>
      </c>
      <c r="B366" s="1" t="n">
        <v>45919.54811342592</v>
      </c>
      <c r="C366" s="1" t="n">
        <v>45925</v>
      </c>
      <c r="D366" t="inlineStr">
        <is>
          <t>DALARNAS LÄN</t>
        </is>
      </c>
      <c r="E366" t="inlineStr">
        <is>
          <t>MORA</t>
        </is>
      </c>
      <c r="G366" t="n">
        <v>2.2</v>
      </c>
      <c r="H366" t="n">
        <v>0</v>
      </c>
      <c r="I366" t="n">
        <v>0</v>
      </c>
      <c r="J366" t="n">
        <v>0</v>
      </c>
      <c r="K366" t="n">
        <v>0</v>
      </c>
      <c r="L366" t="n">
        <v>0</v>
      </c>
      <c r="M366" t="n">
        <v>0</v>
      </c>
      <c r="N366" t="n">
        <v>0</v>
      </c>
      <c r="O366" t="n">
        <v>0</v>
      </c>
      <c r="P366" t="n">
        <v>0</v>
      </c>
      <c r="Q366" t="n">
        <v>0</v>
      </c>
      <c r="R366" s="2" t="inlineStr"/>
    </row>
    <row r="367" ht="15" customHeight="1">
      <c r="A367" t="inlineStr">
        <is>
          <t>A 1897-2023</t>
        </is>
      </c>
      <c r="B367" s="1" t="n">
        <v>44937</v>
      </c>
      <c r="C367" s="1" t="n">
        <v>45925</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20549-2025</t>
        </is>
      </c>
      <c r="B368" s="1" t="n">
        <v>45775.63459490741</v>
      </c>
      <c r="C368" s="1" t="n">
        <v>45925</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19193-2025</t>
        </is>
      </c>
      <c r="B369" s="1" t="n">
        <v>45769.42203703704</v>
      </c>
      <c r="C369" s="1" t="n">
        <v>45925</v>
      </c>
      <c r="D369" t="inlineStr">
        <is>
          <t>DALARNAS LÄN</t>
        </is>
      </c>
      <c r="E369" t="inlineStr">
        <is>
          <t>MORA</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40325-2024</t>
        </is>
      </c>
      <c r="B370" s="1" t="n">
        <v>45554.88538194444</v>
      </c>
      <c r="C370" s="1" t="n">
        <v>45925</v>
      </c>
      <c r="D370" t="inlineStr">
        <is>
          <t>DALARNAS LÄN</t>
        </is>
      </c>
      <c r="E370" t="inlineStr">
        <is>
          <t>MORA</t>
        </is>
      </c>
      <c r="G370" t="n">
        <v>2.8</v>
      </c>
      <c r="H370" t="n">
        <v>0</v>
      </c>
      <c r="I370" t="n">
        <v>0</v>
      </c>
      <c r="J370" t="n">
        <v>0</v>
      </c>
      <c r="K370" t="n">
        <v>0</v>
      </c>
      <c r="L370" t="n">
        <v>0</v>
      </c>
      <c r="M370" t="n">
        <v>0</v>
      </c>
      <c r="N370" t="n">
        <v>0</v>
      </c>
      <c r="O370" t="n">
        <v>0</v>
      </c>
      <c r="P370" t="n">
        <v>0</v>
      </c>
      <c r="Q370" t="n">
        <v>0</v>
      </c>
      <c r="R370" s="2" t="inlineStr"/>
    </row>
    <row r="371" ht="15" customHeight="1">
      <c r="A371" t="inlineStr">
        <is>
          <t>A 30030-2021</t>
        </is>
      </c>
      <c r="B371" s="1" t="n">
        <v>44363</v>
      </c>
      <c r="C371" s="1" t="n">
        <v>45925</v>
      </c>
      <c r="D371" t="inlineStr">
        <is>
          <t>DALARNAS LÄN</t>
        </is>
      </c>
      <c r="E371" t="inlineStr">
        <is>
          <t>MORA</t>
        </is>
      </c>
      <c r="G371" t="n">
        <v>7.1</v>
      </c>
      <c r="H371" t="n">
        <v>0</v>
      </c>
      <c r="I371" t="n">
        <v>0</v>
      </c>
      <c r="J371" t="n">
        <v>0</v>
      </c>
      <c r="K371" t="n">
        <v>0</v>
      </c>
      <c r="L371" t="n">
        <v>0</v>
      </c>
      <c r="M371" t="n">
        <v>0</v>
      </c>
      <c r="N371" t="n">
        <v>0</v>
      </c>
      <c r="O371" t="n">
        <v>0</v>
      </c>
      <c r="P371" t="n">
        <v>0</v>
      </c>
      <c r="Q371" t="n">
        <v>0</v>
      </c>
      <c r="R371" s="2" t="inlineStr"/>
    </row>
    <row r="372" ht="15" customHeight="1">
      <c r="A372" t="inlineStr">
        <is>
          <t>A 31085-2024</t>
        </is>
      </c>
      <c r="B372" s="1" t="n">
        <v>45502.48047453703</v>
      </c>
      <c r="C372" s="1" t="n">
        <v>45925</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45181-2025</t>
        </is>
      </c>
      <c r="B373" s="1" t="n">
        <v>45919.53329861111</v>
      </c>
      <c r="C373" s="1" t="n">
        <v>45925</v>
      </c>
      <c r="D373" t="inlineStr">
        <is>
          <t>DALARNAS LÄN</t>
        </is>
      </c>
      <c r="E373" t="inlineStr">
        <is>
          <t>MORA</t>
        </is>
      </c>
      <c r="G373" t="n">
        <v>4.5</v>
      </c>
      <c r="H373" t="n">
        <v>0</v>
      </c>
      <c r="I373" t="n">
        <v>0</v>
      </c>
      <c r="J373" t="n">
        <v>0</v>
      </c>
      <c r="K373" t="n">
        <v>0</v>
      </c>
      <c r="L373" t="n">
        <v>0</v>
      </c>
      <c r="M373" t="n">
        <v>0</v>
      </c>
      <c r="N373" t="n">
        <v>0</v>
      </c>
      <c r="O373" t="n">
        <v>0</v>
      </c>
      <c r="P373" t="n">
        <v>0</v>
      </c>
      <c r="Q373" t="n">
        <v>0</v>
      </c>
      <c r="R373" s="2" t="inlineStr"/>
    </row>
    <row r="374" ht="15" customHeight="1">
      <c r="A374" t="inlineStr">
        <is>
          <t>A 19814-2025</t>
        </is>
      </c>
      <c r="B374" s="1" t="n">
        <v>45771.45686342593</v>
      </c>
      <c r="C374" s="1" t="n">
        <v>45925</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44071-2024</t>
        </is>
      </c>
      <c r="B375" s="1" t="n">
        <v>45572.60915509259</v>
      </c>
      <c r="C375" s="1" t="n">
        <v>45925</v>
      </c>
      <c r="D375" t="inlineStr">
        <is>
          <t>DALARNAS LÄN</t>
        </is>
      </c>
      <c r="E375" t="inlineStr">
        <is>
          <t>MORA</t>
        </is>
      </c>
      <c r="G375" t="n">
        <v>4.5</v>
      </c>
      <c r="H375" t="n">
        <v>0</v>
      </c>
      <c r="I375" t="n">
        <v>0</v>
      </c>
      <c r="J375" t="n">
        <v>0</v>
      </c>
      <c r="K375" t="n">
        <v>0</v>
      </c>
      <c r="L375" t="n">
        <v>0</v>
      </c>
      <c r="M375" t="n">
        <v>0</v>
      </c>
      <c r="N375" t="n">
        <v>0</v>
      </c>
      <c r="O375" t="n">
        <v>0</v>
      </c>
      <c r="P375" t="n">
        <v>0</v>
      </c>
      <c r="Q375" t="n">
        <v>0</v>
      </c>
      <c r="R375" s="2" t="inlineStr"/>
    </row>
    <row r="376" ht="15" customHeight="1">
      <c r="A376" t="inlineStr">
        <is>
          <t>A 12490-2025</t>
        </is>
      </c>
      <c r="B376" s="1" t="n">
        <v>45730.59239583334</v>
      </c>
      <c r="C376" s="1" t="n">
        <v>45925</v>
      </c>
      <c r="D376" t="inlineStr">
        <is>
          <t>DALARNAS LÄN</t>
        </is>
      </c>
      <c r="E376" t="inlineStr">
        <is>
          <t>MORA</t>
        </is>
      </c>
      <c r="F376" t="inlineStr">
        <is>
          <t>Bergvik skog öst AB</t>
        </is>
      </c>
      <c r="G376" t="n">
        <v>1.6</v>
      </c>
      <c r="H376" t="n">
        <v>0</v>
      </c>
      <c r="I376" t="n">
        <v>0</v>
      </c>
      <c r="J376" t="n">
        <v>0</v>
      </c>
      <c r="K376" t="n">
        <v>0</v>
      </c>
      <c r="L376" t="n">
        <v>0</v>
      </c>
      <c r="M376" t="n">
        <v>0</v>
      </c>
      <c r="N376" t="n">
        <v>0</v>
      </c>
      <c r="O376" t="n">
        <v>0</v>
      </c>
      <c r="P376" t="n">
        <v>0</v>
      </c>
      <c r="Q376" t="n">
        <v>0</v>
      </c>
      <c r="R376" s="2" t="inlineStr"/>
    </row>
    <row r="377" ht="15" customHeight="1">
      <c r="A377" t="inlineStr">
        <is>
          <t>A 8100-2024</t>
        </is>
      </c>
      <c r="B377" s="1" t="n">
        <v>45351.46583333334</v>
      </c>
      <c r="C377" s="1" t="n">
        <v>45925</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45199-2025</t>
        </is>
      </c>
      <c r="B378" s="1" t="n">
        <v>45919.56107638889</v>
      </c>
      <c r="C378" s="1" t="n">
        <v>45925</v>
      </c>
      <c r="D378" t="inlineStr">
        <is>
          <t>DALARNAS LÄN</t>
        </is>
      </c>
      <c r="E378" t="inlineStr">
        <is>
          <t>MORA</t>
        </is>
      </c>
      <c r="G378" t="n">
        <v>12.1</v>
      </c>
      <c r="H378" t="n">
        <v>0</v>
      </c>
      <c r="I378" t="n">
        <v>0</v>
      </c>
      <c r="J378" t="n">
        <v>0</v>
      </c>
      <c r="K378" t="n">
        <v>0</v>
      </c>
      <c r="L378" t="n">
        <v>0</v>
      </c>
      <c r="M378" t="n">
        <v>0</v>
      </c>
      <c r="N378" t="n">
        <v>0</v>
      </c>
      <c r="O378" t="n">
        <v>0</v>
      </c>
      <c r="P378" t="n">
        <v>0</v>
      </c>
      <c r="Q378" t="n">
        <v>0</v>
      </c>
      <c r="R378" s="2" t="inlineStr"/>
    </row>
    <row r="379" ht="15" customHeight="1">
      <c r="A379" t="inlineStr">
        <is>
          <t>A 9855-2024</t>
        </is>
      </c>
      <c r="B379" s="1" t="n">
        <v>45363.40368055556</v>
      </c>
      <c r="C379" s="1" t="n">
        <v>45925</v>
      </c>
      <c r="D379" t="inlineStr">
        <is>
          <t>DALARNAS LÄN</t>
        </is>
      </c>
      <c r="E379" t="inlineStr">
        <is>
          <t>MORA</t>
        </is>
      </c>
      <c r="G379" t="n">
        <v>8.6</v>
      </c>
      <c r="H379" t="n">
        <v>0</v>
      </c>
      <c r="I379" t="n">
        <v>0</v>
      </c>
      <c r="J379" t="n">
        <v>0</v>
      </c>
      <c r="K379" t="n">
        <v>0</v>
      </c>
      <c r="L379" t="n">
        <v>0</v>
      </c>
      <c r="M379" t="n">
        <v>0</v>
      </c>
      <c r="N379" t="n">
        <v>0</v>
      </c>
      <c r="O379" t="n">
        <v>0</v>
      </c>
      <c r="P379" t="n">
        <v>0</v>
      </c>
      <c r="Q379" t="n">
        <v>0</v>
      </c>
      <c r="R379" s="2" t="inlineStr"/>
    </row>
    <row r="380" ht="15" customHeight="1">
      <c r="A380" t="inlineStr">
        <is>
          <t>A 22732-2024</t>
        </is>
      </c>
      <c r="B380" s="1" t="n">
        <v>45448.38677083333</v>
      </c>
      <c r="C380" s="1" t="n">
        <v>45925</v>
      </c>
      <c r="D380" t="inlineStr">
        <is>
          <t>DALARNAS LÄN</t>
        </is>
      </c>
      <c r="E380" t="inlineStr">
        <is>
          <t>MORA</t>
        </is>
      </c>
      <c r="G380" t="n">
        <v>3.6</v>
      </c>
      <c r="H380" t="n">
        <v>0</v>
      </c>
      <c r="I380" t="n">
        <v>0</v>
      </c>
      <c r="J380" t="n">
        <v>0</v>
      </c>
      <c r="K380" t="n">
        <v>0</v>
      </c>
      <c r="L380" t="n">
        <v>0</v>
      </c>
      <c r="M380" t="n">
        <v>0</v>
      </c>
      <c r="N380" t="n">
        <v>0</v>
      </c>
      <c r="O380" t="n">
        <v>0</v>
      </c>
      <c r="P380" t="n">
        <v>0</v>
      </c>
      <c r="Q380" t="n">
        <v>0</v>
      </c>
      <c r="R380" s="2" t="inlineStr"/>
    </row>
    <row r="381" ht="15" customHeight="1">
      <c r="A381" t="inlineStr">
        <is>
          <t>A 21410-2023</t>
        </is>
      </c>
      <c r="B381" s="1" t="n">
        <v>45063</v>
      </c>
      <c r="C381" s="1" t="n">
        <v>45925</v>
      </c>
      <c r="D381" t="inlineStr">
        <is>
          <t>DALARNAS LÄN</t>
        </is>
      </c>
      <c r="E381" t="inlineStr">
        <is>
          <t>MORA</t>
        </is>
      </c>
      <c r="G381" t="n">
        <v>7</v>
      </c>
      <c r="H381" t="n">
        <v>0</v>
      </c>
      <c r="I381" t="n">
        <v>0</v>
      </c>
      <c r="J381" t="n">
        <v>0</v>
      </c>
      <c r="K381" t="n">
        <v>0</v>
      </c>
      <c r="L381" t="n">
        <v>0</v>
      </c>
      <c r="M381" t="n">
        <v>0</v>
      </c>
      <c r="N381" t="n">
        <v>0</v>
      </c>
      <c r="O381" t="n">
        <v>0</v>
      </c>
      <c r="P381" t="n">
        <v>0</v>
      </c>
      <c r="Q381" t="n">
        <v>0</v>
      </c>
      <c r="R381" s="2" t="inlineStr"/>
    </row>
    <row r="382" ht="15" customHeight="1">
      <c r="A382" t="inlineStr">
        <is>
          <t>A 46801-2022</t>
        </is>
      </c>
      <c r="B382" s="1" t="n">
        <v>44851</v>
      </c>
      <c r="C382" s="1" t="n">
        <v>45925</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47784-2024</t>
        </is>
      </c>
      <c r="B383" s="1" t="n">
        <v>45588.59290509259</v>
      </c>
      <c r="C383" s="1" t="n">
        <v>45925</v>
      </c>
      <c r="D383" t="inlineStr">
        <is>
          <t>DALARNAS LÄN</t>
        </is>
      </c>
      <c r="E383" t="inlineStr">
        <is>
          <t>MORA</t>
        </is>
      </c>
      <c r="G383" t="n">
        <v>15.3</v>
      </c>
      <c r="H383" t="n">
        <v>0</v>
      </c>
      <c r="I383" t="n">
        <v>0</v>
      </c>
      <c r="J383" t="n">
        <v>0</v>
      </c>
      <c r="K383" t="n">
        <v>0</v>
      </c>
      <c r="L383" t="n">
        <v>0</v>
      </c>
      <c r="M383" t="n">
        <v>0</v>
      </c>
      <c r="N383" t="n">
        <v>0</v>
      </c>
      <c r="O383" t="n">
        <v>0</v>
      </c>
      <c r="P383" t="n">
        <v>0</v>
      </c>
      <c r="Q383" t="n">
        <v>0</v>
      </c>
      <c r="R383" s="2" t="inlineStr"/>
    </row>
    <row r="384" ht="15" customHeight="1">
      <c r="A384" t="inlineStr">
        <is>
          <t>A 70141-2021</t>
        </is>
      </c>
      <c r="B384" s="1" t="n">
        <v>44533</v>
      </c>
      <c r="C384" s="1" t="n">
        <v>45925</v>
      </c>
      <c r="D384" t="inlineStr">
        <is>
          <t>DALARNAS LÄN</t>
        </is>
      </c>
      <c r="E384" t="inlineStr">
        <is>
          <t>MORA</t>
        </is>
      </c>
      <c r="G384" t="n">
        <v>4.1</v>
      </c>
      <c r="H384" t="n">
        <v>0</v>
      </c>
      <c r="I384" t="n">
        <v>0</v>
      </c>
      <c r="J384" t="n">
        <v>0</v>
      </c>
      <c r="K384" t="n">
        <v>0</v>
      </c>
      <c r="L384" t="n">
        <v>0</v>
      </c>
      <c r="M384" t="n">
        <v>0</v>
      </c>
      <c r="N384" t="n">
        <v>0</v>
      </c>
      <c r="O384" t="n">
        <v>0</v>
      </c>
      <c r="P384" t="n">
        <v>0</v>
      </c>
      <c r="Q384" t="n">
        <v>0</v>
      </c>
      <c r="R384" s="2" t="inlineStr"/>
    </row>
    <row r="385" ht="15" customHeight="1">
      <c r="A385" t="inlineStr">
        <is>
          <t>A 46090-2025</t>
        </is>
      </c>
      <c r="B385" s="1" t="n">
        <v>45924.5253125</v>
      </c>
      <c r="C385" s="1" t="n">
        <v>45925</v>
      </c>
      <c r="D385" t="inlineStr">
        <is>
          <t>DALARNAS LÄN</t>
        </is>
      </c>
      <c r="E385" t="inlineStr">
        <is>
          <t>MORA</t>
        </is>
      </c>
      <c r="G385" t="n">
        <v>1.1</v>
      </c>
      <c r="H385" t="n">
        <v>0</v>
      </c>
      <c r="I385" t="n">
        <v>0</v>
      </c>
      <c r="J385" t="n">
        <v>0</v>
      </c>
      <c r="K385" t="n">
        <v>0</v>
      </c>
      <c r="L385" t="n">
        <v>0</v>
      </c>
      <c r="M385" t="n">
        <v>0</v>
      </c>
      <c r="N385" t="n">
        <v>0</v>
      </c>
      <c r="O385" t="n">
        <v>0</v>
      </c>
      <c r="P385" t="n">
        <v>0</v>
      </c>
      <c r="Q385" t="n">
        <v>0</v>
      </c>
      <c r="R385" s="2" t="inlineStr"/>
    </row>
    <row r="386" ht="15" customHeight="1">
      <c r="A386" t="inlineStr">
        <is>
          <t>A 46091-2025</t>
        </is>
      </c>
      <c r="B386" s="1" t="n">
        <v>45924.52871527777</v>
      </c>
      <c r="C386" s="1" t="n">
        <v>45925</v>
      </c>
      <c r="D386" t="inlineStr">
        <is>
          <t>DALARNAS LÄN</t>
        </is>
      </c>
      <c r="E386" t="inlineStr">
        <is>
          <t>MORA</t>
        </is>
      </c>
      <c r="G386" t="n">
        <v>1.2</v>
      </c>
      <c r="H386" t="n">
        <v>0</v>
      </c>
      <c r="I386" t="n">
        <v>0</v>
      </c>
      <c r="J386" t="n">
        <v>0</v>
      </c>
      <c r="K386" t="n">
        <v>0</v>
      </c>
      <c r="L386" t="n">
        <v>0</v>
      </c>
      <c r="M386" t="n">
        <v>0</v>
      </c>
      <c r="N386" t="n">
        <v>0</v>
      </c>
      <c r="O386" t="n">
        <v>0</v>
      </c>
      <c r="P386" t="n">
        <v>0</v>
      </c>
      <c r="Q386" t="n">
        <v>0</v>
      </c>
      <c r="R386" s="2" t="inlineStr"/>
    </row>
    <row r="387" ht="15" customHeight="1">
      <c r="A387" t="inlineStr">
        <is>
          <t>A 56767-2023</t>
        </is>
      </c>
      <c r="B387" s="1" t="n">
        <v>45244</v>
      </c>
      <c r="C387" s="1" t="n">
        <v>45925</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40949-2023</t>
        </is>
      </c>
      <c r="B388" s="1" t="n">
        <v>45173</v>
      </c>
      <c r="C388" s="1" t="n">
        <v>45925</v>
      </c>
      <c r="D388" t="inlineStr">
        <is>
          <t>DALARNAS LÄN</t>
        </is>
      </c>
      <c r="E388" t="inlineStr">
        <is>
          <t>MORA</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66232-2021</t>
        </is>
      </c>
      <c r="B389" s="1" t="n">
        <v>44518.39234953704</v>
      </c>
      <c r="C389" s="1" t="n">
        <v>45925</v>
      </c>
      <c r="D389" t="inlineStr">
        <is>
          <t>DALARNAS LÄN</t>
        </is>
      </c>
      <c r="E389" t="inlineStr">
        <is>
          <t>MORA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38073-2025</t>
        </is>
      </c>
      <c r="B390" s="1" t="n">
        <v>45882</v>
      </c>
      <c r="C390" s="1" t="n">
        <v>45925</v>
      </c>
      <c r="D390" t="inlineStr">
        <is>
          <t>DALARNAS LÄN</t>
        </is>
      </c>
      <c r="E390" t="inlineStr">
        <is>
          <t>MORA</t>
        </is>
      </c>
      <c r="G390" t="n">
        <v>2.5</v>
      </c>
      <c r="H390" t="n">
        <v>0</v>
      </c>
      <c r="I390" t="n">
        <v>0</v>
      </c>
      <c r="J390" t="n">
        <v>0</v>
      </c>
      <c r="K390" t="n">
        <v>0</v>
      </c>
      <c r="L390" t="n">
        <v>0</v>
      </c>
      <c r="M390" t="n">
        <v>0</v>
      </c>
      <c r="N390" t="n">
        <v>0</v>
      </c>
      <c r="O390" t="n">
        <v>0</v>
      </c>
      <c r="P390" t="n">
        <v>0</v>
      </c>
      <c r="Q390" t="n">
        <v>0</v>
      </c>
      <c r="R390" s="2" t="inlineStr"/>
    </row>
    <row r="391" ht="15" customHeight="1">
      <c r="A391" t="inlineStr">
        <is>
          <t>A 38086-2025</t>
        </is>
      </c>
      <c r="B391" s="1" t="n">
        <v>45882.47625</v>
      </c>
      <c r="C391" s="1" t="n">
        <v>45925</v>
      </c>
      <c r="D391" t="inlineStr">
        <is>
          <t>DALARNAS LÄN</t>
        </is>
      </c>
      <c r="E391" t="inlineStr">
        <is>
          <t>MORA</t>
        </is>
      </c>
      <c r="G391" t="n">
        <v>2.4</v>
      </c>
      <c r="H391" t="n">
        <v>0</v>
      </c>
      <c r="I391" t="n">
        <v>0</v>
      </c>
      <c r="J391" t="n">
        <v>0</v>
      </c>
      <c r="K391" t="n">
        <v>0</v>
      </c>
      <c r="L391" t="n">
        <v>0</v>
      </c>
      <c r="M391" t="n">
        <v>0</v>
      </c>
      <c r="N391" t="n">
        <v>0</v>
      </c>
      <c r="O391" t="n">
        <v>0</v>
      </c>
      <c r="P391" t="n">
        <v>0</v>
      </c>
      <c r="Q391" t="n">
        <v>0</v>
      </c>
      <c r="R391" s="2" t="inlineStr"/>
    </row>
    <row r="392" ht="15" customHeight="1">
      <c r="A392" t="inlineStr">
        <is>
          <t>A 64099-2023</t>
        </is>
      </c>
      <c r="B392" s="1" t="n">
        <v>45279.46009259259</v>
      </c>
      <c r="C392" s="1" t="n">
        <v>45925</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21244-2024</t>
        </is>
      </c>
      <c r="B393" s="1" t="n">
        <v>45440.59936342593</v>
      </c>
      <c r="C393" s="1" t="n">
        <v>45925</v>
      </c>
      <c r="D393" t="inlineStr">
        <is>
          <t>DALARNAS LÄN</t>
        </is>
      </c>
      <c r="E393" t="inlineStr">
        <is>
          <t>MORA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37879-2025</t>
        </is>
      </c>
      <c r="B394" s="1" t="n">
        <v>45881.48791666667</v>
      </c>
      <c r="C394" s="1" t="n">
        <v>45925</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44307-2021</t>
        </is>
      </c>
      <c r="B395" s="1" t="n">
        <v>44435</v>
      </c>
      <c r="C395" s="1" t="n">
        <v>45925</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34272-2024</t>
        </is>
      </c>
      <c r="B396" s="1" t="n">
        <v>45524.61752314815</v>
      </c>
      <c r="C396" s="1" t="n">
        <v>45925</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37471-2024</t>
        </is>
      </c>
      <c r="B397" s="1" t="n">
        <v>45540.85054398148</v>
      </c>
      <c r="C397" s="1" t="n">
        <v>45925</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28131-2024</t>
        </is>
      </c>
      <c r="B398" s="1" t="n">
        <v>45476.68435185185</v>
      </c>
      <c r="C398" s="1" t="n">
        <v>45925</v>
      </c>
      <c r="D398" t="inlineStr">
        <is>
          <t>DALARNAS LÄN</t>
        </is>
      </c>
      <c r="E398" t="inlineStr">
        <is>
          <t>MORA</t>
        </is>
      </c>
      <c r="G398" t="n">
        <v>0.8</v>
      </c>
      <c r="H398" t="n">
        <v>0</v>
      </c>
      <c r="I398" t="n">
        <v>0</v>
      </c>
      <c r="J398" t="n">
        <v>0</v>
      </c>
      <c r="K398" t="n">
        <v>0</v>
      </c>
      <c r="L398" t="n">
        <v>0</v>
      </c>
      <c r="M398" t="n">
        <v>0</v>
      </c>
      <c r="N398" t="n">
        <v>0</v>
      </c>
      <c r="O398" t="n">
        <v>0</v>
      </c>
      <c r="P398" t="n">
        <v>0</v>
      </c>
      <c r="Q398" t="n">
        <v>0</v>
      </c>
      <c r="R398" s="2" t="inlineStr"/>
    </row>
    <row r="399" ht="15" customHeight="1">
      <c r="A399" t="inlineStr">
        <is>
          <t>A 28132-2024</t>
        </is>
      </c>
      <c r="B399" s="1" t="n">
        <v>45476.68616898148</v>
      </c>
      <c r="C399" s="1" t="n">
        <v>45925</v>
      </c>
      <c r="D399" t="inlineStr">
        <is>
          <t>DALARNAS LÄN</t>
        </is>
      </c>
      <c r="E399" t="inlineStr">
        <is>
          <t>MORA</t>
        </is>
      </c>
      <c r="G399" t="n">
        <v>0.2</v>
      </c>
      <c r="H399" t="n">
        <v>0</v>
      </c>
      <c r="I399" t="n">
        <v>0</v>
      </c>
      <c r="J399" t="n">
        <v>0</v>
      </c>
      <c r="K399" t="n">
        <v>0</v>
      </c>
      <c r="L399" t="n">
        <v>0</v>
      </c>
      <c r="M399" t="n">
        <v>0</v>
      </c>
      <c r="N399" t="n">
        <v>0</v>
      </c>
      <c r="O399" t="n">
        <v>0</v>
      </c>
      <c r="P399" t="n">
        <v>0</v>
      </c>
      <c r="Q399" t="n">
        <v>0</v>
      </c>
      <c r="R399" s="2" t="inlineStr"/>
    </row>
    <row r="400" ht="15" customHeight="1">
      <c r="A400" t="inlineStr">
        <is>
          <t>A 33531-2024</t>
        </is>
      </c>
      <c r="B400" s="1" t="n">
        <v>45519.67503472222</v>
      </c>
      <c r="C400" s="1" t="n">
        <v>45925</v>
      </c>
      <c r="D400" t="inlineStr">
        <is>
          <t>DALARNAS LÄN</t>
        </is>
      </c>
      <c r="E400" t="inlineStr">
        <is>
          <t>MORA</t>
        </is>
      </c>
      <c r="G400" t="n">
        <v>14.8</v>
      </c>
      <c r="H400" t="n">
        <v>0</v>
      </c>
      <c r="I400" t="n">
        <v>0</v>
      </c>
      <c r="J400" t="n">
        <v>0</v>
      </c>
      <c r="K400" t="n">
        <v>0</v>
      </c>
      <c r="L400" t="n">
        <v>0</v>
      </c>
      <c r="M400" t="n">
        <v>0</v>
      </c>
      <c r="N400" t="n">
        <v>0</v>
      </c>
      <c r="O400" t="n">
        <v>0</v>
      </c>
      <c r="P400" t="n">
        <v>0</v>
      </c>
      <c r="Q400" t="n">
        <v>0</v>
      </c>
      <c r="R400" s="2" t="inlineStr"/>
    </row>
    <row r="401" ht="15" customHeight="1">
      <c r="A401" t="inlineStr">
        <is>
          <t>A 57608-2021</t>
        </is>
      </c>
      <c r="B401" s="1" t="n">
        <v>44484</v>
      </c>
      <c r="C401" s="1" t="n">
        <v>45925</v>
      </c>
      <c r="D401" t="inlineStr">
        <is>
          <t>DALARNAS LÄN</t>
        </is>
      </c>
      <c r="E401" t="inlineStr">
        <is>
          <t>MORA</t>
        </is>
      </c>
      <c r="G401" t="n">
        <v>6.3</v>
      </c>
      <c r="H401" t="n">
        <v>0</v>
      </c>
      <c r="I401" t="n">
        <v>0</v>
      </c>
      <c r="J401" t="n">
        <v>0</v>
      </c>
      <c r="K401" t="n">
        <v>0</v>
      </c>
      <c r="L401" t="n">
        <v>0</v>
      </c>
      <c r="M401" t="n">
        <v>0</v>
      </c>
      <c r="N401" t="n">
        <v>0</v>
      </c>
      <c r="O401" t="n">
        <v>0</v>
      </c>
      <c r="P401" t="n">
        <v>0</v>
      </c>
      <c r="Q401" t="n">
        <v>0</v>
      </c>
      <c r="R401" s="2" t="inlineStr"/>
    </row>
    <row r="402" ht="15" customHeight="1">
      <c r="A402" t="inlineStr">
        <is>
          <t>A 22785-2023</t>
        </is>
      </c>
      <c r="B402" s="1" t="n">
        <v>45072.34796296297</v>
      </c>
      <c r="C402" s="1" t="n">
        <v>45925</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23586-2023</t>
        </is>
      </c>
      <c r="B403" s="1" t="n">
        <v>45077</v>
      </c>
      <c r="C403" s="1" t="n">
        <v>45925</v>
      </c>
      <c r="D403" t="inlineStr">
        <is>
          <t>DALARNAS LÄN</t>
        </is>
      </c>
      <c r="E403" t="inlineStr">
        <is>
          <t>MORA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53754-2024</t>
        </is>
      </c>
      <c r="B404" s="1" t="n">
        <v>45615.49371527778</v>
      </c>
      <c r="C404" s="1" t="n">
        <v>45925</v>
      </c>
      <c r="D404" t="inlineStr">
        <is>
          <t>DALARNAS LÄN</t>
        </is>
      </c>
      <c r="E404" t="inlineStr">
        <is>
          <t>MORA</t>
        </is>
      </c>
      <c r="G404" t="n">
        <v>4.8</v>
      </c>
      <c r="H404" t="n">
        <v>0</v>
      </c>
      <c r="I404" t="n">
        <v>0</v>
      </c>
      <c r="J404" t="n">
        <v>0</v>
      </c>
      <c r="K404" t="n">
        <v>0</v>
      </c>
      <c r="L404" t="n">
        <v>0</v>
      </c>
      <c r="M404" t="n">
        <v>0</v>
      </c>
      <c r="N404" t="n">
        <v>0</v>
      </c>
      <c r="O404" t="n">
        <v>0</v>
      </c>
      <c r="P404" t="n">
        <v>0</v>
      </c>
      <c r="Q404" t="n">
        <v>0</v>
      </c>
      <c r="R404" s="2" t="inlineStr"/>
    </row>
    <row r="405" ht="15" customHeight="1">
      <c r="A405" t="inlineStr">
        <is>
          <t>A 20989-2024</t>
        </is>
      </c>
      <c r="B405" s="1" t="n">
        <v>45439</v>
      </c>
      <c r="C405" s="1" t="n">
        <v>45925</v>
      </c>
      <c r="D405" t="inlineStr">
        <is>
          <t>DALARNAS LÄN</t>
        </is>
      </c>
      <c r="E405" t="inlineStr">
        <is>
          <t>MORA</t>
        </is>
      </c>
      <c r="F405" t="inlineStr">
        <is>
          <t>Bergvik skog öst AB</t>
        </is>
      </c>
      <c r="G405" t="n">
        <v>14.7</v>
      </c>
      <c r="H405" t="n">
        <v>0</v>
      </c>
      <c r="I405" t="n">
        <v>0</v>
      </c>
      <c r="J405" t="n">
        <v>0</v>
      </c>
      <c r="K405" t="n">
        <v>0</v>
      </c>
      <c r="L405" t="n">
        <v>0</v>
      </c>
      <c r="M405" t="n">
        <v>0</v>
      </c>
      <c r="N405" t="n">
        <v>0</v>
      </c>
      <c r="O405" t="n">
        <v>0</v>
      </c>
      <c r="P405" t="n">
        <v>0</v>
      </c>
      <c r="Q405" t="n">
        <v>0</v>
      </c>
      <c r="R405" s="2" t="inlineStr"/>
    </row>
    <row r="406" ht="15" customHeight="1">
      <c r="A406" t="inlineStr">
        <is>
          <t>A 20930-2024</t>
        </is>
      </c>
      <c r="B406" s="1" t="n">
        <v>45439.51907407407</v>
      </c>
      <c r="C406" s="1" t="n">
        <v>45925</v>
      </c>
      <c r="D406" t="inlineStr">
        <is>
          <t>DALARNAS LÄN</t>
        </is>
      </c>
      <c r="E406" t="inlineStr">
        <is>
          <t>MORA</t>
        </is>
      </c>
      <c r="F406" t="inlineStr">
        <is>
          <t>Bergvik skog väst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5644-2024</t>
        </is>
      </c>
      <c r="B407" s="1" t="n">
        <v>45334</v>
      </c>
      <c r="C407" s="1" t="n">
        <v>45925</v>
      </c>
      <c r="D407" t="inlineStr">
        <is>
          <t>DALARNAS LÄN</t>
        </is>
      </c>
      <c r="E407" t="inlineStr">
        <is>
          <t>MORA</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7972-2024</t>
        </is>
      </c>
      <c r="B408" s="1" t="n">
        <v>45350</v>
      </c>
      <c r="C408" s="1" t="n">
        <v>45925</v>
      </c>
      <c r="D408" t="inlineStr">
        <is>
          <t>DALARNAS LÄN</t>
        </is>
      </c>
      <c r="E408" t="inlineStr">
        <is>
          <t>MORA</t>
        </is>
      </c>
      <c r="G408" t="n">
        <v>2.4</v>
      </c>
      <c r="H408" t="n">
        <v>0</v>
      </c>
      <c r="I408" t="n">
        <v>0</v>
      </c>
      <c r="J408" t="n">
        <v>0</v>
      </c>
      <c r="K408" t="n">
        <v>0</v>
      </c>
      <c r="L408" t="n">
        <v>0</v>
      </c>
      <c r="M408" t="n">
        <v>0</v>
      </c>
      <c r="N408" t="n">
        <v>0</v>
      </c>
      <c r="O408" t="n">
        <v>0</v>
      </c>
      <c r="P408" t="n">
        <v>0</v>
      </c>
      <c r="Q408" t="n">
        <v>0</v>
      </c>
      <c r="R408" s="2" t="inlineStr"/>
    </row>
    <row r="409" ht="15" customHeight="1">
      <c r="A409" t="inlineStr">
        <is>
          <t>A 43432-2024</t>
        </is>
      </c>
      <c r="B409" s="1" t="n">
        <v>45568.64337962963</v>
      </c>
      <c r="C409" s="1" t="n">
        <v>45925</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54257-2023</t>
        </is>
      </c>
      <c r="B410" s="1" t="n">
        <v>45232.64195601852</v>
      </c>
      <c r="C410" s="1" t="n">
        <v>45925</v>
      </c>
      <c r="D410" t="inlineStr">
        <is>
          <t>DALARNAS LÄN</t>
        </is>
      </c>
      <c r="E410" t="inlineStr">
        <is>
          <t>MORA</t>
        </is>
      </c>
      <c r="G410" t="n">
        <v>4</v>
      </c>
      <c r="H410" t="n">
        <v>0</v>
      </c>
      <c r="I410" t="n">
        <v>0</v>
      </c>
      <c r="J410" t="n">
        <v>0</v>
      </c>
      <c r="K410" t="n">
        <v>0</v>
      </c>
      <c r="L410" t="n">
        <v>0</v>
      </c>
      <c r="M410" t="n">
        <v>0</v>
      </c>
      <c r="N410" t="n">
        <v>0</v>
      </c>
      <c r="O410" t="n">
        <v>0</v>
      </c>
      <c r="P410" t="n">
        <v>0</v>
      </c>
      <c r="Q410" t="n">
        <v>0</v>
      </c>
      <c r="R410" s="2" t="inlineStr"/>
    </row>
    <row r="411" ht="15" customHeight="1">
      <c r="A411" t="inlineStr">
        <is>
          <t>A 37385-2022</t>
        </is>
      </c>
      <c r="B411" s="1" t="n">
        <v>44806</v>
      </c>
      <c r="C411" s="1" t="n">
        <v>45925</v>
      </c>
      <c r="D411" t="inlineStr">
        <is>
          <t>DALARNAS LÄN</t>
        </is>
      </c>
      <c r="E411" t="inlineStr">
        <is>
          <t>MORA</t>
        </is>
      </c>
      <c r="G411" t="n">
        <v>2.2</v>
      </c>
      <c r="H411" t="n">
        <v>0</v>
      </c>
      <c r="I411" t="n">
        <v>0</v>
      </c>
      <c r="J411" t="n">
        <v>0</v>
      </c>
      <c r="K411" t="n">
        <v>0</v>
      </c>
      <c r="L411" t="n">
        <v>0</v>
      </c>
      <c r="M411" t="n">
        <v>0</v>
      </c>
      <c r="N411" t="n">
        <v>0</v>
      </c>
      <c r="O411" t="n">
        <v>0</v>
      </c>
      <c r="P411" t="n">
        <v>0</v>
      </c>
      <c r="Q411" t="n">
        <v>0</v>
      </c>
      <c r="R411" s="2" t="inlineStr"/>
    </row>
    <row r="412" ht="15" customHeight="1">
      <c r="A412" t="inlineStr">
        <is>
          <t>A 61217-2023</t>
        </is>
      </c>
      <c r="B412" s="1" t="n">
        <v>45264.43802083333</v>
      </c>
      <c r="C412" s="1" t="n">
        <v>45925</v>
      </c>
      <c r="D412" t="inlineStr">
        <is>
          <t>DALARNAS LÄN</t>
        </is>
      </c>
      <c r="E412" t="inlineStr">
        <is>
          <t>MORA</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61218-2023</t>
        </is>
      </c>
      <c r="B413" s="1" t="n">
        <v>45264</v>
      </c>
      <c r="C413" s="1" t="n">
        <v>45925</v>
      </c>
      <c r="D413" t="inlineStr">
        <is>
          <t>DALARNAS LÄN</t>
        </is>
      </c>
      <c r="E413" t="inlineStr">
        <is>
          <t>MORA</t>
        </is>
      </c>
      <c r="F413" t="inlineStr">
        <is>
          <t>Allmännings- och besparingsskogar</t>
        </is>
      </c>
      <c r="G413" t="n">
        <v>2.6</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45925</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25749-2023</t>
        </is>
      </c>
      <c r="B415" s="1" t="n">
        <v>45090</v>
      </c>
      <c r="C415" s="1" t="n">
        <v>45925</v>
      </c>
      <c r="D415" t="inlineStr">
        <is>
          <t>DALARNAS LÄN</t>
        </is>
      </c>
      <c r="E415" t="inlineStr">
        <is>
          <t>MORA</t>
        </is>
      </c>
      <c r="G415" t="n">
        <v>2.4</v>
      </c>
      <c r="H415" t="n">
        <v>0</v>
      </c>
      <c r="I415" t="n">
        <v>0</v>
      </c>
      <c r="J415" t="n">
        <v>0</v>
      </c>
      <c r="K415" t="n">
        <v>0</v>
      </c>
      <c r="L415" t="n">
        <v>0</v>
      </c>
      <c r="M415" t="n">
        <v>0</v>
      </c>
      <c r="N415" t="n">
        <v>0</v>
      </c>
      <c r="O415" t="n">
        <v>0</v>
      </c>
      <c r="P415" t="n">
        <v>0</v>
      </c>
      <c r="Q415" t="n">
        <v>0</v>
      </c>
      <c r="R415" s="2" t="inlineStr"/>
    </row>
    <row r="416" ht="15" customHeight="1">
      <c r="A416" t="inlineStr">
        <is>
          <t>A 35363-2024</t>
        </is>
      </c>
      <c r="B416" s="1" t="n">
        <v>45531.34050925926</v>
      </c>
      <c r="C416" s="1" t="n">
        <v>45925</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58972-2023</t>
        </is>
      </c>
      <c r="B417" s="1" t="n">
        <v>45252</v>
      </c>
      <c r="C417" s="1" t="n">
        <v>45925</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58171-2024</t>
        </is>
      </c>
      <c r="B418" s="1" t="n">
        <v>45632.46545138889</v>
      </c>
      <c r="C418" s="1" t="n">
        <v>45925</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33513-2024</t>
        </is>
      </c>
      <c r="B419" s="1" t="n">
        <v>45519.644375</v>
      </c>
      <c r="C419" s="1" t="n">
        <v>45925</v>
      </c>
      <c r="D419" t="inlineStr">
        <is>
          <t>DALARNAS LÄN</t>
        </is>
      </c>
      <c r="E419" t="inlineStr">
        <is>
          <t>MORA</t>
        </is>
      </c>
      <c r="G419" t="n">
        <v>5.9</v>
      </c>
      <c r="H419" t="n">
        <v>0</v>
      </c>
      <c r="I419" t="n">
        <v>0</v>
      </c>
      <c r="J419" t="n">
        <v>0</v>
      </c>
      <c r="K419" t="n">
        <v>0</v>
      </c>
      <c r="L419" t="n">
        <v>0</v>
      </c>
      <c r="M419" t="n">
        <v>0</v>
      </c>
      <c r="N419" t="n">
        <v>0</v>
      </c>
      <c r="O419" t="n">
        <v>0</v>
      </c>
      <c r="P419" t="n">
        <v>0</v>
      </c>
      <c r="Q419" t="n">
        <v>0</v>
      </c>
      <c r="R419" s="2" t="inlineStr"/>
    </row>
    <row r="420" ht="15" customHeight="1">
      <c r="A420" t="inlineStr">
        <is>
          <t>A 39856-2024</t>
        </is>
      </c>
      <c r="B420" s="1" t="n">
        <v>45553.44084490741</v>
      </c>
      <c r="C420" s="1" t="n">
        <v>45925</v>
      </c>
      <c r="D420" t="inlineStr">
        <is>
          <t>DALARNAS LÄN</t>
        </is>
      </c>
      <c r="E420" t="inlineStr">
        <is>
          <t>MORA</t>
        </is>
      </c>
      <c r="G420" t="n">
        <v>4.8</v>
      </c>
      <c r="H420" t="n">
        <v>0</v>
      </c>
      <c r="I420" t="n">
        <v>0</v>
      </c>
      <c r="J420" t="n">
        <v>0</v>
      </c>
      <c r="K420" t="n">
        <v>0</v>
      </c>
      <c r="L420" t="n">
        <v>0</v>
      </c>
      <c r="M420" t="n">
        <v>0</v>
      </c>
      <c r="N420" t="n">
        <v>0</v>
      </c>
      <c r="O420" t="n">
        <v>0</v>
      </c>
      <c r="P420" t="n">
        <v>0</v>
      </c>
      <c r="Q420" t="n">
        <v>0</v>
      </c>
      <c r="R420" s="2" t="inlineStr"/>
    </row>
    <row r="421" ht="15" customHeight="1">
      <c r="A421" t="inlineStr">
        <is>
          <t>A 60428-2023</t>
        </is>
      </c>
      <c r="B421" s="1" t="n">
        <v>45259.50996527778</v>
      </c>
      <c r="C421" s="1" t="n">
        <v>45925</v>
      </c>
      <c r="D421" t="inlineStr">
        <is>
          <t>DALARNAS LÄN</t>
        </is>
      </c>
      <c r="E421" t="inlineStr">
        <is>
          <t>MORA</t>
        </is>
      </c>
      <c r="G421" t="n">
        <v>4.9</v>
      </c>
      <c r="H421" t="n">
        <v>0</v>
      </c>
      <c r="I421" t="n">
        <v>0</v>
      </c>
      <c r="J421" t="n">
        <v>0</v>
      </c>
      <c r="K421" t="n">
        <v>0</v>
      </c>
      <c r="L421" t="n">
        <v>0</v>
      </c>
      <c r="M421" t="n">
        <v>0</v>
      </c>
      <c r="N421" t="n">
        <v>0</v>
      </c>
      <c r="O421" t="n">
        <v>0</v>
      </c>
      <c r="P421" t="n">
        <v>0</v>
      </c>
      <c r="Q421" t="n">
        <v>0</v>
      </c>
      <c r="R421" s="2" t="inlineStr"/>
    </row>
    <row r="422" ht="15" customHeight="1">
      <c r="A422" t="inlineStr">
        <is>
          <t>A 437-2024</t>
        </is>
      </c>
      <c r="B422" s="1" t="n">
        <v>45296</v>
      </c>
      <c r="C422" s="1" t="n">
        <v>45925</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59182-2023</t>
        </is>
      </c>
      <c r="B423" s="1" t="n">
        <v>45253</v>
      </c>
      <c r="C423" s="1" t="n">
        <v>45925</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60715-2023</t>
        </is>
      </c>
      <c r="B424" s="1" t="n">
        <v>45260.52684027778</v>
      </c>
      <c r="C424" s="1" t="n">
        <v>45925</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501-2024</t>
        </is>
      </c>
      <c r="B425" s="1" t="n">
        <v>45299</v>
      </c>
      <c r="C425" s="1" t="n">
        <v>45925</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64327-2023</t>
        </is>
      </c>
      <c r="B426" s="1" t="n">
        <v>45280</v>
      </c>
      <c r="C426" s="1" t="n">
        <v>45925</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17494-2025</t>
        </is>
      </c>
      <c r="B427" s="1" t="n">
        <v>45757.52033564815</v>
      </c>
      <c r="C427" s="1" t="n">
        <v>45925</v>
      </c>
      <c r="D427" t="inlineStr">
        <is>
          <t>DALARNAS LÄN</t>
        </is>
      </c>
      <c r="E427" t="inlineStr">
        <is>
          <t>MORA</t>
        </is>
      </c>
      <c r="G427" t="n">
        <v>5.3</v>
      </c>
      <c r="H427" t="n">
        <v>0</v>
      </c>
      <c r="I427" t="n">
        <v>0</v>
      </c>
      <c r="J427" t="n">
        <v>0</v>
      </c>
      <c r="K427" t="n">
        <v>0</v>
      </c>
      <c r="L427" t="n">
        <v>0</v>
      </c>
      <c r="M427" t="n">
        <v>0</v>
      </c>
      <c r="N427" t="n">
        <v>0</v>
      </c>
      <c r="O427" t="n">
        <v>0</v>
      </c>
      <c r="P427" t="n">
        <v>0</v>
      </c>
      <c r="Q427" t="n">
        <v>0</v>
      </c>
      <c r="R427" s="2" t="inlineStr"/>
    </row>
    <row r="428" ht="15" customHeight="1">
      <c r="A428" t="inlineStr">
        <is>
          <t>A 58958-2022</t>
        </is>
      </c>
      <c r="B428" s="1" t="n">
        <v>44903.6605324074</v>
      </c>
      <c r="C428" s="1" t="n">
        <v>45925</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12987-2024</t>
        </is>
      </c>
      <c r="B429" s="1" t="n">
        <v>45385.55375</v>
      </c>
      <c r="C429" s="1" t="n">
        <v>45925</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29188-2023</t>
        </is>
      </c>
      <c r="B430" s="1" t="n">
        <v>45105.54270833333</v>
      </c>
      <c r="C430" s="1" t="n">
        <v>45925</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442-2024</t>
        </is>
      </c>
      <c r="B431" s="1" t="n">
        <v>45296.60353009259</v>
      </c>
      <c r="C431" s="1" t="n">
        <v>45925</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15172-2025</t>
        </is>
      </c>
      <c r="B432" s="1" t="n">
        <v>45744.50722222222</v>
      </c>
      <c r="C432" s="1" t="n">
        <v>45925</v>
      </c>
      <c r="D432" t="inlineStr">
        <is>
          <t>DALARNAS LÄN</t>
        </is>
      </c>
      <c r="E432" t="inlineStr">
        <is>
          <t>MORA</t>
        </is>
      </c>
      <c r="G432" t="n">
        <v>3.2</v>
      </c>
      <c r="H432" t="n">
        <v>0</v>
      </c>
      <c r="I432" t="n">
        <v>0</v>
      </c>
      <c r="J432" t="n">
        <v>0</v>
      </c>
      <c r="K432" t="n">
        <v>0</v>
      </c>
      <c r="L432" t="n">
        <v>0</v>
      </c>
      <c r="M432" t="n">
        <v>0</v>
      </c>
      <c r="N432" t="n">
        <v>0</v>
      </c>
      <c r="O432" t="n">
        <v>0</v>
      </c>
      <c r="P432" t="n">
        <v>0</v>
      </c>
      <c r="Q432" t="n">
        <v>0</v>
      </c>
      <c r="R432" s="2" t="inlineStr"/>
    </row>
    <row r="433" ht="15" customHeight="1">
      <c r="A433" t="inlineStr">
        <is>
          <t>A 27125-2024</t>
        </is>
      </c>
      <c r="B433" s="1" t="n">
        <v>45471</v>
      </c>
      <c r="C433" s="1" t="n">
        <v>45925</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17278-2025</t>
        </is>
      </c>
      <c r="B434" s="1" t="n">
        <v>45756.56131944444</v>
      </c>
      <c r="C434" s="1" t="n">
        <v>45925</v>
      </c>
      <c r="D434" t="inlineStr">
        <is>
          <t>DALARNAS LÄN</t>
        </is>
      </c>
      <c r="E434" t="inlineStr">
        <is>
          <t>MORA</t>
        </is>
      </c>
      <c r="G434" t="n">
        <v>3</v>
      </c>
      <c r="H434" t="n">
        <v>0</v>
      </c>
      <c r="I434" t="n">
        <v>0</v>
      </c>
      <c r="J434" t="n">
        <v>0</v>
      </c>
      <c r="K434" t="n">
        <v>0</v>
      </c>
      <c r="L434" t="n">
        <v>0</v>
      </c>
      <c r="M434" t="n">
        <v>0</v>
      </c>
      <c r="N434" t="n">
        <v>0</v>
      </c>
      <c r="O434" t="n">
        <v>0</v>
      </c>
      <c r="P434" t="n">
        <v>0</v>
      </c>
      <c r="Q434" t="n">
        <v>0</v>
      </c>
      <c r="R434" s="2" t="inlineStr"/>
    </row>
    <row r="435" ht="15" customHeight="1">
      <c r="A435" t="inlineStr">
        <is>
          <t>A 33627-2024</t>
        </is>
      </c>
      <c r="B435" s="1" t="n">
        <v>45520</v>
      </c>
      <c r="C435" s="1" t="n">
        <v>45925</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30822-2024</t>
        </is>
      </c>
      <c r="B436" s="1" t="n">
        <v>45497</v>
      </c>
      <c r="C436" s="1" t="n">
        <v>45925</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61278-2024</t>
        </is>
      </c>
      <c r="B437" s="1" t="n">
        <v>45645.76561342592</v>
      </c>
      <c r="C437" s="1" t="n">
        <v>45925</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58177-2024</t>
        </is>
      </c>
      <c r="B438" s="1" t="n">
        <v>45632.46821759259</v>
      </c>
      <c r="C438" s="1" t="n">
        <v>45925</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60674-2023</t>
        </is>
      </c>
      <c r="B439" s="1" t="n">
        <v>45260.46609953704</v>
      </c>
      <c r="C439" s="1" t="n">
        <v>45925</v>
      </c>
      <c r="D439" t="inlineStr">
        <is>
          <t>DALARNAS LÄN</t>
        </is>
      </c>
      <c r="E439" t="inlineStr">
        <is>
          <t>MORA</t>
        </is>
      </c>
      <c r="G439" t="n">
        <v>2.9</v>
      </c>
      <c r="H439" t="n">
        <v>0</v>
      </c>
      <c r="I439" t="n">
        <v>0</v>
      </c>
      <c r="J439" t="n">
        <v>0</v>
      </c>
      <c r="K439" t="n">
        <v>0</v>
      </c>
      <c r="L439" t="n">
        <v>0</v>
      </c>
      <c r="M439" t="n">
        <v>0</v>
      </c>
      <c r="N439" t="n">
        <v>0</v>
      </c>
      <c r="O439" t="n">
        <v>0</v>
      </c>
      <c r="P439" t="n">
        <v>0</v>
      </c>
      <c r="Q439" t="n">
        <v>0</v>
      </c>
      <c r="R439" s="2" t="inlineStr"/>
    </row>
    <row r="440" ht="15" customHeight="1">
      <c r="A440" t="inlineStr">
        <is>
          <t>A 17172-2025</t>
        </is>
      </c>
      <c r="B440" s="1" t="n">
        <v>45756.37201388889</v>
      </c>
      <c r="C440" s="1" t="n">
        <v>45925</v>
      </c>
      <c r="D440" t="inlineStr">
        <is>
          <t>DALARNAS LÄN</t>
        </is>
      </c>
      <c r="E440" t="inlineStr">
        <is>
          <t>MORA</t>
        </is>
      </c>
      <c r="F440" t="inlineStr">
        <is>
          <t>Bergvik skog öst AB</t>
        </is>
      </c>
      <c r="G440" t="n">
        <v>0.5</v>
      </c>
      <c r="H440" t="n">
        <v>0</v>
      </c>
      <c r="I440" t="n">
        <v>0</v>
      </c>
      <c r="J440" t="n">
        <v>0</v>
      </c>
      <c r="K440" t="n">
        <v>0</v>
      </c>
      <c r="L440" t="n">
        <v>0</v>
      </c>
      <c r="M440" t="n">
        <v>0</v>
      </c>
      <c r="N440" t="n">
        <v>0</v>
      </c>
      <c r="O440" t="n">
        <v>0</v>
      </c>
      <c r="P440" t="n">
        <v>0</v>
      </c>
      <c r="Q440" t="n">
        <v>0</v>
      </c>
      <c r="R440" s="2" t="inlineStr"/>
    </row>
    <row r="441" ht="15" customHeight="1">
      <c r="A441" t="inlineStr">
        <is>
          <t>A 61293-2022</t>
        </is>
      </c>
      <c r="B441" s="1" t="n">
        <v>44915.62751157407</v>
      </c>
      <c r="C441" s="1" t="n">
        <v>45925</v>
      </c>
      <c r="D441" t="inlineStr">
        <is>
          <t>DALARNAS LÄN</t>
        </is>
      </c>
      <c r="E441" t="inlineStr">
        <is>
          <t>MORA</t>
        </is>
      </c>
      <c r="G441" t="n">
        <v>0.3</v>
      </c>
      <c r="H441" t="n">
        <v>0</v>
      </c>
      <c r="I441" t="n">
        <v>0</v>
      </c>
      <c r="J441" t="n">
        <v>0</v>
      </c>
      <c r="K441" t="n">
        <v>0</v>
      </c>
      <c r="L441" t="n">
        <v>0</v>
      </c>
      <c r="M441" t="n">
        <v>0</v>
      </c>
      <c r="N441" t="n">
        <v>0</v>
      </c>
      <c r="O441" t="n">
        <v>0</v>
      </c>
      <c r="P441" t="n">
        <v>0</v>
      </c>
      <c r="Q441" t="n">
        <v>0</v>
      </c>
      <c r="R441" s="2" t="inlineStr"/>
    </row>
    <row r="442" ht="15" customHeight="1">
      <c r="A442" t="inlineStr">
        <is>
          <t>A 60360-2023</t>
        </is>
      </c>
      <c r="B442" s="1" t="n">
        <v>45259</v>
      </c>
      <c r="C442" s="1" t="n">
        <v>45925</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18139-2025</t>
        </is>
      </c>
      <c r="B443" s="1" t="n">
        <v>45761.60459490741</v>
      </c>
      <c r="C443" s="1" t="n">
        <v>45925</v>
      </c>
      <c r="D443" t="inlineStr">
        <is>
          <t>DALARNAS LÄN</t>
        </is>
      </c>
      <c r="E443" t="inlineStr">
        <is>
          <t>MORA</t>
        </is>
      </c>
      <c r="F443" t="inlineStr">
        <is>
          <t>Bergvik skog öst AB</t>
        </is>
      </c>
      <c r="G443" t="n">
        <v>3</v>
      </c>
      <c r="H443" t="n">
        <v>0</v>
      </c>
      <c r="I443" t="n">
        <v>0</v>
      </c>
      <c r="J443" t="n">
        <v>0</v>
      </c>
      <c r="K443" t="n">
        <v>0</v>
      </c>
      <c r="L443" t="n">
        <v>0</v>
      </c>
      <c r="M443" t="n">
        <v>0</v>
      </c>
      <c r="N443" t="n">
        <v>0</v>
      </c>
      <c r="O443" t="n">
        <v>0</v>
      </c>
      <c r="P443" t="n">
        <v>0</v>
      </c>
      <c r="Q443" t="n">
        <v>0</v>
      </c>
      <c r="R443" s="2" t="inlineStr"/>
    </row>
    <row r="444" ht="15" customHeight="1">
      <c r="A444" t="inlineStr">
        <is>
          <t>A 15993-2025</t>
        </is>
      </c>
      <c r="B444" s="1" t="n">
        <v>45749.58428240741</v>
      </c>
      <c r="C444" s="1" t="n">
        <v>45925</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25499-2024</t>
        </is>
      </c>
      <c r="B445" s="1" t="n">
        <v>45463</v>
      </c>
      <c r="C445" s="1" t="n">
        <v>45925</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14832-2025</t>
        </is>
      </c>
      <c r="B446" s="1" t="n">
        <v>45743</v>
      </c>
      <c r="C446" s="1" t="n">
        <v>45925</v>
      </c>
      <c r="D446" t="inlineStr">
        <is>
          <t>DALARNAS LÄN</t>
        </is>
      </c>
      <c r="E446" t="inlineStr">
        <is>
          <t>MORA</t>
        </is>
      </c>
      <c r="G446" t="n">
        <v>9.1</v>
      </c>
      <c r="H446" t="n">
        <v>0</v>
      </c>
      <c r="I446" t="n">
        <v>0</v>
      </c>
      <c r="J446" t="n">
        <v>0</v>
      </c>
      <c r="K446" t="n">
        <v>0</v>
      </c>
      <c r="L446" t="n">
        <v>0</v>
      </c>
      <c r="M446" t="n">
        <v>0</v>
      </c>
      <c r="N446" t="n">
        <v>0</v>
      </c>
      <c r="O446" t="n">
        <v>0</v>
      </c>
      <c r="P446" t="n">
        <v>0</v>
      </c>
      <c r="Q446" t="n">
        <v>0</v>
      </c>
      <c r="R446" s="2" t="inlineStr"/>
    </row>
    <row r="447" ht="15" customHeight="1">
      <c r="A447" t="inlineStr">
        <is>
          <t>A 15443-2025</t>
        </is>
      </c>
      <c r="B447" s="1" t="n">
        <v>45747.48371527778</v>
      </c>
      <c r="C447" s="1" t="n">
        <v>45925</v>
      </c>
      <c r="D447" t="inlineStr">
        <is>
          <t>DALARNAS LÄN</t>
        </is>
      </c>
      <c r="E447" t="inlineStr">
        <is>
          <t>MORA</t>
        </is>
      </c>
      <c r="G447" t="n">
        <v>1.8</v>
      </c>
      <c r="H447" t="n">
        <v>0</v>
      </c>
      <c r="I447" t="n">
        <v>0</v>
      </c>
      <c r="J447" t="n">
        <v>0</v>
      </c>
      <c r="K447" t="n">
        <v>0</v>
      </c>
      <c r="L447" t="n">
        <v>0</v>
      </c>
      <c r="M447" t="n">
        <v>0</v>
      </c>
      <c r="N447" t="n">
        <v>0</v>
      </c>
      <c r="O447" t="n">
        <v>0</v>
      </c>
      <c r="P447" t="n">
        <v>0</v>
      </c>
      <c r="Q447" t="n">
        <v>0</v>
      </c>
      <c r="R447" s="2" t="inlineStr"/>
    </row>
    <row r="448" ht="15" customHeight="1">
      <c r="A448" t="inlineStr">
        <is>
          <t>A 45574-2023</t>
        </is>
      </c>
      <c r="B448" s="1" t="n">
        <v>45194</v>
      </c>
      <c r="C448" s="1" t="n">
        <v>45925</v>
      </c>
      <c r="D448" t="inlineStr">
        <is>
          <t>DALARNAS LÄN</t>
        </is>
      </c>
      <c r="E448" t="inlineStr">
        <is>
          <t>MORA</t>
        </is>
      </c>
      <c r="G448" t="n">
        <v>6.3</v>
      </c>
      <c r="H448" t="n">
        <v>0</v>
      </c>
      <c r="I448" t="n">
        <v>0</v>
      </c>
      <c r="J448" t="n">
        <v>0</v>
      </c>
      <c r="K448" t="n">
        <v>0</v>
      </c>
      <c r="L448" t="n">
        <v>0</v>
      </c>
      <c r="M448" t="n">
        <v>0</v>
      </c>
      <c r="N448" t="n">
        <v>0</v>
      </c>
      <c r="O448" t="n">
        <v>0</v>
      </c>
      <c r="P448" t="n">
        <v>0</v>
      </c>
      <c r="Q448" t="n">
        <v>0</v>
      </c>
      <c r="R448" s="2" t="inlineStr"/>
    </row>
    <row r="449" ht="15" customHeight="1">
      <c r="A449" t="inlineStr">
        <is>
          <t>A 5922-2025</t>
        </is>
      </c>
      <c r="B449" s="1" t="n">
        <v>45695.42762731481</v>
      </c>
      <c r="C449" s="1" t="n">
        <v>45925</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19910-2024</t>
        </is>
      </c>
      <c r="B450" s="1" t="n">
        <v>45433.5741087963</v>
      </c>
      <c r="C450" s="1" t="n">
        <v>45925</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61405-2023</t>
        </is>
      </c>
      <c r="B451" s="1" t="n">
        <v>45264.65987268519</v>
      </c>
      <c r="C451" s="1" t="n">
        <v>45925</v>
      </c>
      <c r="D451" t="inlineStr">
        <is>
          <t>DALARNAS LÄN</t>
        </is>
      </c>
      <c r="E451" t="inlineStr">
        <is>
          <t>MORA</t>
        </is>
      </c>
      <c r="G451" t="n">
        <v>0.4</v>
      </c>
      <c r="H451" t="n">
        <v>0</v>
      </c>
      <c r="I451" t="n">
        <v>0</v>
      </c>
      <c r="J451" t="n">
        <v>0</v>
      </c>
      <c r="K451" t="n">
        <v>0</v>
      </c>
      <c r="L451" t="n">
        <v>0</v>
      </c>
      <c r="M451" t="n">
        <v>0</v>
      </c>
      <c r="N451" t="n">
        <v>0</v>
      </c>
      <c r="O451" t="n">
        <v>0</v>
      </c>
      <c r="P451" t="n">
        <v>0</v>
      </c>
      <c r="Q451" t="n">
        <v>0</v>
      </c>
      <c r="R451" s="2" t="inlineStr"/>
    </row>
    <row r="452" ht="15" customHeight="1">
      <c r="A452" t="inlineStr">
        <is>
          <t>A 20126-2025</t>
        </is>
      </c>
      <c r="B452" s="1" t="n">
        <v>45772.49640046297</v>
      </c>
      <c r="C452" s="1" t="n">
        <v>45925</v>
      </c>
      <c r="D452" t="inlineStr">
        <is>
          <t>DALARNAS LÄN</t>
        </is>
      </c>
      <c r="E452" t="inlineStr">
        <is>
          <t>MORA</t>
        </is>
      </c>
      <c r="G452" t="n">
        <v>12.1</v>
      </c>
      <c r="H452" t="n">
        <v>0</v>
      </c>
      <c r="I452" t="n">
        <v>0</v>
      </c>
      <c r="J452" t="n">
        <v>0</v>
      </c>
      <c r="K452" t="n">
        <v>0</v>
      </c>
      <c r="L452" t="n">
        <v>0</v>
      </c>
      <c r="M452" t="n">
        <v>0</v>
      </c>
      <c r="N452" t="n">
        <v>0</v>
      </c>
      <c r="O452" t="n">
        <v>0</v>
      </c>
      <c r="P452" t="n">
        <v>0</v>
      </c>
      <c r="Q452" t="n">
        <v>0</v>
      </c>
      <c r="R452" s="2" t="inlineStr"/>
    </row>
    <row r="453" ht="15" customHeight="1">
      <c r="A453" t="inlineStr">
        <is>
          <t>A 15643-2025</t>
        </is>
      </c>
      <c r="B453" s="1" t="n">
        <v>45748.39222222222</v>
      </c>
      <c r="C453" s="1" t="n">
        <v>45925</v>
      </c>
      <c r="D453" t="inlineStr">
        <is>
          <t>DALARNAS LÄN</t>
        </is>
      </c>
      <c r="E453" t="inlineStr">
        <is>
          <t>MORA</t>
        </is>
      </c>
      <c r="G453" t="n">
        <v>7.6</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45925</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36058-2024</t>
        </is>
      </c>
      <c r="B455" s="1" t="n">
        <v>45533</v>
      </c>
      <c r="C455" s="1" t="n">
        <v>45925</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17692-2024</t>
        </is>
      </c>
      <c r="B456" s="1" t="n">
        <v>45418.44195601852</v>
      </c>
      <c r="C456" s="1" t="n">
        <v>45925</v>
      </c>
      <c r="D456" t="inlineStr">
        <is>
          <t>DALARNAS LÄN</t>
        </is>
      </c>
      <c r="E456" t="inlineStr">
        <is>
          <t>MORA</t>
        </is>
      </c>
      <c r="F456" t="inlineStr">
        <is>
          <t>Bergvik skog öst AB</t>
        </is>
      </c>
      <c r="G456" t="n">
        <v>7.9</v>
      </c>
      <c r="H456" t="n">
        <v>0</v>
      </c>
      <c r="I456" t="n">
        <v>0</v>
      </c>
      <c r="J456" t="n">
        <v>0</v>
      </c>
      <c r="K456" t="n">
        <v>0</v>
      </c>
      <c r="L456" t="n">
        <v>0</v>
      </c>
      <c r="M456" t="n">
        <v>0</v>
      </c>
      <c r="N456" t="n">
        <v>0</v>
      </c>
      <c r="O456" t="n">
        <v>0</v>
      </c>
      <c r="P456" t="n">
        <v>0</v>
      </c>
      <c r="Q456" t="n">
        <v>0</v>
      </c>
      <c r="R456" s="2" t="inlineStr"/>
    </row>
    <row r="457" ht="15" customHeight="1">
      <c r="A457" t="inlineStr">
        <is>
          <t>A 46414-2024</t>
        </is>
      </c>
      <c r="B457" s="1" t="n">
        <v>45582.45226851852</v>
      </c>
      <c r="C457" s="1" t="n">
        <v>45925</v>
      </c>
      <c r="D457" t="inlineStr">
        <is>
          <t>DALARNAS LÄN</t>
        </is>
      </c>
      <c r="E457" t="inlineStr">
        <is>
          <t>MORA</t>
        </is>
      </c>
      <c r="G457" t="n">
        <v>0.6</v>
      </c>
      <c r="H457" t="n">
        <v>0</v>
      </c>
      <c r="I457" t="n">
        <v>0</v>
      </c>
      <c r="J457" t="n">
        <v>0</v>
      </c>
      <c r="K457" t="n">
        <v>0</v>
      </c>
      <c r="L457" t="n">
        <v>0</v>
      </c>
      <c r="M457" t="n">
        <v>0</v>
      </c>
      <c r="N457" t="n">
        <v>0</v>
      </c>
      <c r="O457" t="n">
        <v>0</v>
      </c>
      <c r="P457" t="n">
        <v>0</v>
      </c>
      <c r="Q457" t="n">
        <v>0</v>
      </c>
      <c r="R457" s="2" t="inlineStr"/>
    </row>
    <row r="458" ht="15" customHeight="1">
      <c r="A458" t="inlineStr">
        <is>
          <t>A 46417-2024</t>
        </is>
      </c>
      <c r="B458" s="1" t="n">
        <v>45582.45449074074</v>
      </c>
      <c r="C458" s="1" t="n">
        <v>45925</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17280-2025</t>
        </is>
      </c>
      <c r="B459" s="1" t="n">
        <v>45756</v>
      </c>
      <c r="C459" s="1" t="n">
        <v>45925</v>
      </c>
      <c r="D459" t="inlineStr">
        <is>
          <t>DALARNAS LÄN</t>
        </is>
      </c>
      <c r="E459" t="inlineStr">
        <is>
          <t>MORA</t>
        </is>
      </c>
      <c r="G459" t="n">
        <v>2.1</v>
      </c>
      <c r="H459" t="n">
        <v>0</v>
      </c>
      <c r="I459" t="n">
        <v>0</v>
      </c>
      <c r="J459" t="n">
        <v>0</v>
      </c>
      <c r="K459" t="n">
        <v>0</v>
      </c>
      <c r="L459" t="n">
        <v>0</v>
      </c>
      <c r="M459" t="n">
        <v>0</v>
      </c>
      <c r="N459" t="n">
        <v>0</v>
      </c>
      <c r="O459" t="n">
        <v>0</v>
      </c>
      <c r="P459" t="n">
        <v>0</v>
      </c>
      <c r="Q459" t="n">
        <v>0</v>
      </c>
      <c r="R459" s="2" t="inlineStr"/>
    </row>
    <row r="460" ht="15" customHeight="1">
      <c r="A460" t="inlineStr">
        <is>
          <t>A 61270-2024</t>
        </is>
      </c>
      <c r="B460" s="1" t="n">
        <v>45645.74694444444</v>
      </c>
      <c r="C460" s="1" t="n">
        <v>45925</v>
      </c>
      <c r="D460" t="inlineStr">
        <is>
          <t>DALARNAS LÄN</t>
        </is>
      </c>
      <c r="E460" t="inlineStr">
        <is>
          <t>MORA</t>
        </is>
      </c>
      <c r="G460" t="n">
        <v>5.1</v>
      </c>
      <c r="H460" t="n">
        <v>0</v>
      </c>
      <c r="I460" t="n">
        <v>0</v>
      </c>
      <c r="J460" t="n">
        <v>0</v>
      </c>
      <c r="K460" t="n">
        <v>0</v>
      </c>
      <c r="L460" t="n">
        <v>0</v>
      </c>
      <c r="M460" t="n">
        <v>0</v>
      </c>
      <c r="N460" t="n">
        <v>0</v>
      </c>
      <c r="O460" t="n">
        <v>0</v>
      </c>
      <c r="P460" t="n">
        <v>0</v>
      </c>
      <c r="Q460" t="n">
        <v>0</v>
      </c>
      <c r="R460" s="2" t="inlineStr"/>
    </row>
    <row r="461" ht="15" customHeight="1">
      <c r="A461" t="inlineStr">
        <is>
          <t>A 7116-2024</t>
        </is>
      </c>
      <c r="B461" s="1" t="n">
        <v>45343.95445601852</v>
      </c>
      <c r="C461" s="1" t="n">
        <v>45925</v>
      </c>
      <c r="D461" t="inlineStr">
        <is>
          <t>DALARNAS LÄN</t>
        </is>
      </c>
      <c r="E461" t="inlineStr">
        <is>
          <t>MORA</t>
        </is>
      </c>
      <c r="G461" t="n">
        <v>0.3</v>
      </c>
      <c r="H461" t="n">
        <v>0</v>
      </c>
      <c r="I461" t="n">
        <v>0</v>
      </c>
      <c r="J461" t="n">
        <v>0</v>
      </c>
      <c r="K461" t="n">
        <v>0</v>
      </c>
      <c r="L461" t="n">
        <v>0</v>
      </c>
      <c r="M461" t="n">
        <v>0</v>
      </c>
      <c r="N461" t="n">
        <v>0</v>
      </c>
      <c r="O461" t="n">
        <v>0</v>
      </c>
      <c r="P461" t="n">
        <v>0</v>
      </c>
      <c r="Q461" t="n">
        <v>0</v>
      </c>
      <c r="R461" s="2" t="inlineStr"/>
    </row>
    <row r="462" ht="15" customHeight="1">
      <c r="A462" t="inlineStr">
        <is>
          <t>A 59995-2023</t>
        </is>
      </c>
      <c r="B462" s="1" t="n">
        <v>45254</v>
      </c>
      <c r="C462" s="1" t="n">
        <v>45925</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13479-2024</t>
        </is>
      </c>
      <c r="B463" s="1" t="n">
        <v>45387.5900925926</v>
      </c>
      <c r="C463" s="1" t="n">
        <v>45925</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21890-2025</t>
        </is>
      </c>
      <c r="B464" s="1" t="n">
        <v>45784.44481481481</v>
      </c>
      <c r="C464" s="1" t="n">
        <v>45925</v>
      </c>
      <c r="D464" t="inlineStr">
        <is>
          <t>DALARNAS LÄN</t>
        </is>
      </c>
      <c r="E464" t="inlineStr">
        <is>
          <t>MORA</t>
        </is>
      </c>
      <c r="G464" t="n">
        <v>3.8</v>
      </c>
      <c r="H464" t="n">
        <v>0</v>
      </c>
      <c r="I464" t="n">
        <v>0</v>
      </c>
      <c r="J464" t="n">
        <v>0</v>
      </c>
      <c r="K464" t="n">
        <v>0</v>
      </c>
      <c r="L464" t="n">
        <v>0</v>
      </c>
      <c r="M464" t="n">
        <v>0</v>
      </c>
      <c r="N464" t="n">
        <v>0</v>
      </c>
      <c r="O464" t="n">
        <v>0</v>
      </c>
      <c r="P464" t="n">
        <v>0</v>
      </c>
      <c r="Q464" t="n">
        <v>0</v>
      </c>
      <c r="R464" s="2" t="inlineStr"/>
    </row>
    <row r="465" ht="15" customHeight="1">
      <c r="A465" t="inlineStr">
        <is>
          <t>A 21895-2025</t>
        </is>
      </c>
      <c r="B465" s="1" t="n">
        <v>45784.45273148148</v>
      </c>
      <c r="C465" s="1" t="n">
        <v>45925</v>
      </c>
      <c r="D465" t="inlineStr">
        <is>
          <t>DALARNAS LÄN</t>
        </is>
      </c>
      <c r="E465" t="inlineStr">
        <is>
          <t>MORA</t>
        </is>
      </c>
      <c r="G465" t="n">
        <v>0.4</v>
      </c>
      <c r="H465" t="n">
        <v>0</v>
      </c>
      <c r="I465" t="n">
        <v>0</v>
      </c>
      <c r="J465" t="n">
        <v>0</v>
      </c>
      <c r="K465" t="n">
        <v>0</v>
      </c>
      <c r="L465" t="n">
        <v>0</v>
      </c>
      <c r="M465" t="n">
        <v>0</v>
      </c>
      <c r="N465" t="n">
        <v>0</v>
      </c>
      <c r="O465" t="n">
        <v>0</v>
      </c>
      <c r="P465" t="n">
        <v>0</v>
      </c>
      <c r="Q465" t="n">
        <v>0</v>
      </c>
      <c r="R465" s="2" t="inlineStr"/>
    </row>
    <row r="466" ht="15" customHeight="1">
      <c r="A466" t="inlineStr">
        <is>
          <t>A 41812-2024</t>
        </is>
      </c>
      <c r="B466" s="1" t="n">
        <v>45561.3771412037</v>
      </c>
      <c r="C466" s="1" t="n">
        <v>45925</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42085-2024</t>
        </is>
      </c>
      <c r="B467" s="1" t="n">
        <v>45562.33179398148</v>
      </c>
      <c r="C467" s="1" t="n">
        <v>45925</v>
      </c>
      <c r="D467" t="inlineStr">
        <is>
          <t>DALARNAS LÄN</t>
        </is>
      </c>
      <c r="E467" t="inlineStr">
        <is>
          <t>MORA</t>
        </is>
      </c>
      <c r="G467" t="n">
        <v>4.9</v>
      </c>
      <c r="H467" t="n">
        <v>0</v>
      </c>
      <c r="I467" t="n">
        <v>0</v>
      </c>
      <c r="J467" t="n">
        <v>0</v>
      </c>
      <c r="K467" t="n">
        <v>0</v>
      </c>
      <c r="L467" t="n">
        <v>0</v>
      </c>
      <c r="M467" t="n">
        <v>0</v>
      </c>
      <c r="N467" t="n">
        <v>0</v>
      </c>
      <c r="O467" t="n">
        <v>0</v>
      </c>
      <c r="P467" t="n">
        <v>0</v>
      </c>
      <c r="Q467" t="n">
        <v>0</v>
      </c>
      <c r="R467" s="2" t="inlineStr"/>
    </row>
    <row r="468" ht="15" customHeight="1">
      <c r="A468" t="inlineStr">
        <is>
          <t>A 21894-2025</t>
        </is>
      </c>
      <c r="B468" s="1" t="n">
        <v>45784.45060185185</v>
      </c>
      <c r="C468" s="1" t="n">
        <v>45925</v>
      </c>
      <c r="D468" t="inlineStr">
        <is>
          <t>DALARNAS LÄN</t>
        </is>
      </c>
      <c r="E468" t="inlineStr">
        <is>
          <t>MORA</t>
        </is>
      </c>
      <c r="G468" t="n">
        <v>0.7</v>
      </c>
      <c r="H468" t="n">
        <v>0</v>
      </c>
      <c r="I468" t="n">
        <v>0</v>
      </c>
      <c r="J468" t="n">
        <v>0</v>
      </c>
      <c r="K468" t="n">
        <v>0</v>
      </c>
      <c r="L468" t="n">
        <v>0</v>
      </c>
      <c r="M468" t="n">
        <v>0</v>
      </c>
      <c r="N468" t="n">
        <v>0</v>
      </c>
      <c r="O468" t="n">
        <v>0</v>
      </c>
      <c r="P468" t="n">
        <v>0</v>
      </c>
      <c r="Q468" t="n">
        <v>0</v>
      </c>
      <c r="R468" s="2" t="inlineStr"/>
    </row>
    <row r="469" ht="15" customHeight="1">
      <c r="A469" t="inlineStr">
        <is>
          <t>A 60465-2023</t>
        </is>
      </c>
      <c r="B469" s="1" t="n">
        <v>45259.57872685185</v>
      </c>
      <c r="C469" s="1" t="n">
        <v>45925</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33676-2023</t>
        </is>
      </c>
      <c r="B470" s="1" t="n">
        <v>45132.6291550926</v>
      </c>
      <c r="C470" s="1" t="n">
        <v>45925</v>
      </c>
      <c r="D470" t="inlineStr">
        <is>
          <t>DALARNAS LÄN</t>
        </is>
      </c>
      <c r="E470" t="inlineStr">
        <is>
          <t>MORA</t>
        </is>
      </c>
      <c r="F470" t="inlineStr">
        <is>
          <t>Bergvik skog öst AB</t>
        </is>
      </c>
      <c r="G470" t="n">
        <v>2.7</v>
      </c>
      <c r="H470" t="n">
        <v>0</v>
      </c>
      <c r="I470" t="n">
        <v>0</v>
      </c>
      <c r="J470" t="n">
        <v>0</v>
      </c>
      <c r="K470" t="n">
        <v>0</v>
      </c>
      <c r="L470" t="n">
        <v>0</v>
      </c>
      <c r="M470" t="n">
        <v>0</v>
      </c>
      <c r="N470" t="n">
        <v>0</v>
      </c>
      <c r="O470" t="n">
        <v>0</v>
      </c>
      <c r="P470" t="n">
        <v>0</v>
      </c>
      <c r="Q470" t="n">
        <v>0</v>
      </c>
      <c r="R470" s="2" t="inlineStr"/>
    </row>
    <row r="471" ht="15" customHeight="1">
      <c r="A471" t="inlineStr">
        <is>
          <t>A 21877-2025</t>
        </is>
      </c>
      <c r="B471" s="1" t="n">
        <v>45784.40041666666</v>
      </c>
      <c r="C471" s="1" t="n">
        <v>45925</v>
      </c>
      <c r="D471" t="inlineStr">
        <is>
          <t>DALARNAS LÄN</t>
        </is>
      </c>
      <c r="E471" t="inlineStr">
        <is>
          <t>MORA</t>
        </is>
      </c>
      <c r="G471" t="n">
        <v>5.9</v>
      </c>
      <c r="H471" t="n">
        <v>0</v>
      </c>
      <c r="I471" t="n">
        <v>0</v>
      </c>
      <c r="J471" t="n">
        <v>0</v>
      </c>
      <c r="K471" t="n">
        <v>0</v>
      </c>
      <c r="L471" t="n">
        <v>0</v>
      </c>
      <c r="M471" t="n">
        <v>0</v>
      </c>
      <c r="N471" t="n">
        <v>0</v>
      </c>
      <c r="O471" t="n">
        <v>0</v>
      </c>
      <c r="P471" t="n">
        <v>0</v>
      </c>
      <c r="Q471" t="n">
        <v>0</v>
      </c>
      <c r="R471" s="2" t="inlineStr"/>
    </row>
    <row r="472" ht="15" customHeight="1">
      <c r="A472" t="inlineStr">
        <is>
          <t>A 29193-2023</t>
        </is>
      </c>
      <c r="B472" s="1" t="n">
        <v>45105.54791666667</v>
      </c>
      <c r="C472" s="1" t="n">
        <v>45925</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35325-2024</t>
        </is>
      </c>
      <c r="B473" s="1" t="n">
        <v>45530.71158564815</v>
      </c>
      <c r="C473" s="1" t="n">
        <v>45925</v>
      </c>
      <c r="D473" t="inlineStr">
        <is>
          <t>DALARNAS LÄN</t>
        </is>
      </c>
      <c r="E473" t="inlineStr">
        <is>
          <t>MORA</t>
        </is>
      </c>
      <c r="G473" t="n">
        <v>5</v>
      </c>
      <c r="H473" t="n">
        <v>0</v>
      </c>
      <c r="I473" t="n">
        <v>0</v>
      </c>
      <c r="J473" t="n">
        <v>0</v>
      </c>
      <c r="K473" t="n">
        <v>0</v>
      </c>
      <c r="L473" t="n">
        <v>0</v>
      </c>
      <c r="M473" t="n">
        <v>0</v>
      </c>
      <c r="N473" t="n">
        <v>0</v>
      </c>
      <c r="O473" t="n">
        <v>0</v>
      </c>
      <c r="P473" t="n">
        <v>0</v>
      </c>
      <c r="Q473" t="n">
        <v>0</v>
      </c>
      <c r="R473" s="2" t="inlineStr"/>
    </row>
    <row r="474" ht="15" customHeight="1">
      <c r="A474" t="inlineStr">
        <is>
          <t>A 6371-2022</t>
        </is>
      </c>
      <c r="B474" s="1" t="n">
        <v>44600</v>
      </c>
      <c r="C474" s="1" t="n">
        <v>45925</v>
      </c>
      <c r="D474" t="inlineStr">
        <is>
          <t>DALARNAS LÄN</t>
        </is>
      </c>
      <c r="E474" t="inlineStr">
        <is>
          <t>MORA</t>
        </is>
      </c>
      <c r="G474" t="n">
        <v>4.6</v>
      </c>
      <c r="H474" t="n">
        <v>0</v>
      </c>
      <c r="I474" t="n">
        <v>0</v>
      </c>
      <c r="J474" t="n">
        <v>0</v>
      </c>
      <c r="K474" t="n">
        <v>0</v>
      </c>
      <c r="L474" t="n">
        <v>0</v>
      </c>
      <c r="M474" t="n">
        <v>0</v>
      </c>
      <c r="N474" t="n">
        <v>0</v>
      </c>
      <c r="O474" t="n">
        <v>0</v>
      </c>
      <c r="P474" t="n">
        <v>0</v>
      </c>
      <c r="Q474" t="n">
        <v>0</v>
      </c>
      <c r="R474" s="2" t="inlineStr"/>
    </row>
    <row r="475" ht="15" customHeight="1">
      <c r="A475" t="inlineStr">
        <is>
          <t>A 16573-2024</t>
        </is>
      </c>
      <c r="B475" s="1" t="n">
        <v>45408.46980324074</v>
      </c>
      <c r="C475" s="1" t="n">
        <v>45925</v>
      </c>
      <c r="D475" t="inlineStr">
        <is>
          <t>DALARNAS LÄN</t>
        </is>
      </c>
      <c r="E475" t="inlineStr">
        <is>
          <t>MORA</t>
        </is>
      </c>
      <c r="G475" t="n">
        <v>4.5</v>
      </c>
      <c r="H475" t="n">
        <v>0</v>
      </c>
      <c r="I475" t="n">
        <v>0</v>
      </c>
      <c r="J475" t="n">
        <v>0</v>
      </c>
      <c r="K475" t="n">
        <v>0</v>
      </c>
      <c r="L475" t="n">
        <v>0</v>
      </c>
      <c r="M475" t="n">
        <v>0</v>
      </c>
      <c r="N475" t="n">
        <v>0</v>
      </c>
      <c r="O475" t="n">
        <v>0</v>
      </c>
      <c r="P475" t="n">
        <v>0</v>
      </c>
      <c r="Q475" t="n">
        <v>0</v>
      </c>
      <c r="R475" s="2" t="inlineStr"/>
    </row>
    <row r="476" ht="15" customHeight="1">
      <c r="A476" t="inlineStr">
        <is>
          <t>A 69519-2020</t>
        </is>
      </c>
      <c r="B476" s="1" t="n">
        <v>44194</v>
      </c>
      <c r="C476" s="1" t="n">
        <v>45925</v>
      </c>
      <c r="D476" t="inlineStr">
        <is>
          <t>DALARNAS LÄN</t>
        </is>
      </c>
      <c r="E476" t="inlineStr">
        <is>
          <t>MORA</t>
        </is>
      </c>
      <c r="G476" t="n">
        <v>0.4</v>
      </c>
      <c r="H476" t="n">
        <v>0</v>
      </c>
      <c r="I476" t="n">
        <v>0</v>
      </c>
      <c r="J476" t="n">
        <v>0</v>
      </c>
      <c r="K476" t="n">
        <v>0</v>
      </c>
      <c r="L476" t="n">
        <v>0</v>
      </c>
      <c r="M476" t="n">
        <v>0</v>
      </c>
      <c r="N476" t="n">
        <v>0</v>
      </c>
      <c r="O476" t="n">
        <v>0</v>
      </c>
      <c r="P476" t="n">
        <v>0</v>
      </c>
      <c r="Q476" t="n">
        <v>0</v>
      </c>
      <c r="R476" s="2" t="inlineStr"/>
    </row>
    <row r="477" ht="15" customHeight="1">
      <c r="A477" t="inlineStr">
        <is>
          <t>A 22409-2025</t>
        </is>
      </c>
      <c r="B477" s="1" t="n">
        <v>45786.54940972223</v>
      </c>
      <c r="C477" s="1" t="n">
        <v>45925</v>
      </c>
      <c r="D477" t="inlineStr">
        <is>
          <t>DALARNAS LÄN</t>
        </is>
      </c>
      <c r="E477" t="inlineStr">
        <is>
          <t>MORA</t>
        </is>
      </c>
      <c r="F477" t="inlineStr">
        <is>
          <t>Bergvik skog öst AB</t>
        </is>
      </c>
      <c r="G477" t="n">
        <v>5</v>
      </c>
      <c r="H477" t="n">
        <v>0</v>
      </c>
      <c r="I477" t="n">
        <v>0</v>
      </c>
      <c r="J477" t="n">
        <v>0</v>
      </c>
      <c r="K477" t="n">
        <v>0</v>
      </c>
      <c r="L477" t="n">
        <v>0</v>
      </c>
      <c r="M477" t="n">
        <v>0</v>
      </c>
      <c r="N477" t="n">
        <v>0</v>
      </c>
      <c r="O477" t="n">
        <v>0</v>
      </c>
      <c r="P477" t="n">
        <v>0</v>
      </c>
      <c r="Q477" t="n">
        <v>0</v>
      </c>
      <c r="R477" s="2" t="inlineStr"/>
    </row>
    <row r="478" ht="15" customHeight="1">
      <c r="A478" t="inlineStr">
        <is>
          <t>A 64093-2023</t>
        </is>
      </c>
      <c r="B478" s="1" t="n">
        <v>45279</v>
      </c>
      <c r="C478" s="1" t="n">
        <v>45925</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28832-2023</t>
        </is>
      </c>
      <c r="B479" s="1" t="n">
        <v>45104.40493055555</v>
      </c>
      <c r="C479" s="1" t="n">
        <v>45925</v>
      </c>
      <c r="D479" t="inlineStr">
        <is>
          <t>DALARNAS LÄN</t>
        </is>
      </c>
      <c r="E479" t="inlineStr">
        <is>
          <t>MORA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37710-2023</t>
        </is>
      </c>
      <c r="B480" s="1" t="n">
        <v>45159.59186342593</v>
      </c>
      <c r="C480" s="1" t="n">
        <v>45925</v>
      </c>
      <c r="D480" t="inlineStr">
        <is>
          <t>DALARNAS LÄN</t>
        </is>
      </c>
      <c r="E480" t="inlineStr">
        <is>
          <t>MORA</t>
        </is>
      </c>
      <c r="G480" t="n">
        <v>1.9</v>
      </c>
      <c r="H480" t="n">
        <v>0</v>
      </c>
      <c r="I480" t="n">
        <v>0</v>
      </c>
      <c r="J480" t="n">
        <v>0</v>
      </c>
      <c r="K480" t="n">
        <v>0</v>
      </c>
      <c r="L480" t="n">
        <v>0</v>
      </c>
      <c r="M480" t="n">
        <v>0</v>
      </c>
      <c r="N480" t="n">
        <v>0</v>
      </c>
      <c r="O480" t="n">
        <v>0</v>
      </c>
      <c r="P480" t="n">
        <v>0</v>
      </c>
      <c r="Q480" t="n">
        <v>0</v>
      </c>
      <c r="R480" s="2" t="inlineStr"/>
    </row>
    <row r="481" ht="15" customHeight="1">
      <c r="A481" t="inlineStr">
        <is>
          <t>A 27188-2023</t>
        </is>
      </c>
      <c r="B481" s="1" t="n">
        <v>45096</v>
      </c>
      <c r="C481" s="1" t="n">
        <v>45925</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31395-2024</t>
        </is>
      </c>
      <c r="B482" s="1" t="n">
        <v>45505.47716435185</v>
      </c>
      <c r="C482" s="1" t="n">
        <v>45925</v>
      </c>
      <c r="D482" t="inlineStr">
        <is>
          <t>DALARNAS LÄN</t>
        </is>
      </c>
      <c r="E482" t="inlineStr">
        <is>
          <t>MORA</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11193-2025</t>
        </is>
      </c>
      <c r="B483" s="1" t="n">
        <v>45725</v>
      </c>
      <c r="C483" s="1" t="n">
        <v>45925</v>
      </c>
      <c r="D483" t="inlineStr">
        <is>
          <t>DALARNAS LÄN</t>
        </is>
      </c>
      <c r="E483" t="inlineStr">
        <is>
          <t>MORA</t>
        </is>
      </c>
      <c r="G483" t="n">
        <v>4.1</v>
      </c>
      <c r="H483" t="n">
        <v>0</v>
      </c>
      <c r="I483" t="n">
        <v>0</v>
      </c>
      <c r="J483" t="n">
        <v>0</v>
      </c>
      <c r="K483" t="n">
        <v>0</v>
      </c>
      <c r="L483" t="n">
        <v>0</v>
      </c>
      <c r="M483" t="n">
        <v>0</v>
      </c>
      <c r="N483" t="n">
        <v>0</v>
      </c>
      <c r="O483" t="n">
        <v>0</v>
      </c>
      <c r="P483" t="n">
        <v>0</v>
      </c>
      <c r="Q483" t="n">
        <v>0</v>
      </c>
      <c r="R483" s="2" t="inlineStr"/>
    </row>
    <row r="484" ht="15" customHeight="1">
      <c r="A484" t="inlineStr">
        <is>
          <t>A 22354-2025</t>
        </is>
      </c>
      <c r="B484" s="1" t="n">
        <v>45786.45721064815</v>
      </c>
      <c r="C484" s="1" t="n">
        <v>45925</v>
      </c>
      <c r="D484" t="inlineStr">
        <is>
          <t>DALARNAS LÄN</t>
        </is>
      </c>
      <c r="E484" t="inlineStr">
        <is>
          <t>MORA</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38055-2024</t>
        </is>
      </c>
      <c r="B485" s="1" t="n">
        <v>45544</v>
      </c>
      <c r="C485" s="1" t="n">
        <v>45925</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35327-2024</t>
        </is>
      </c>
      <c r="B486" s="1" t="n">
        <v>45530.71334490741</v>
      </c>
      <c r="C486" s="1" t="n">
        <v>45925</v>
      </c>
      <c r="D486" t="inlineStr">
        <is>
          <t>DALARNAS LÄN</t>
        </is>
      </c>
      <c r="E486" t="inlineStr">
        <is>
          <t>MORA</t>
        </is>
      </c>
      <c r="G486" t="n">
        <v>5</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45925</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46129-2024</t>
        </is>
      </c>
      <c r="B488" s="1" t="n">
        <v>45581.43337962963</v>
      </c>
      <c r="C488" s="1" t="n">
        <v>45925</v>
      </c>
      <c r="D488" t="inlineStr">
        <is>
          <t>DALARNAS LÄN</t>
        </is>
      </c>
      <c r="E488" t="inlineStr">
        <is>
          <t>MORA</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28934-2023</t>
        </is>
      </c>
      <c r="B489" s="1" t="n">
        <v>45104</v>
      </c>
      <c r="C489" s="1" t="n">
        <v>45925</v>
      </c>
      <c r="D489" t="inlineStr">
        <is>
          <t>DALARNAS LÄN</t>
        </is>
      </c>
      <c r="E489" t="inlineStr">
        <is>
          <t>MORA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31929-2024</t>
        </is>
      </c>
      <c r="B490" s="1" t="n">
        <v>45510.40587962963</v>
      </c>
      <c r="C490" s="1" t="n">
        <v>45925</v>
      </c>
      <c r="D490" t="inlineStr">
        <is>
          <t>DALARNAS LÄN</t>
        </is>
      </c>
      <c r="E490" t="inlineStr">
        <is>
          <t>MORA</t>
        </is>
      </c>
      <c r="G490" t="n">
        <v>10.8</v>
      </c>
      <c r="H490" t="n">
        <v>0</v>
      </c>
      <c r="I490" t="n">
        <v>0</v>
      </c>
      <c r="J490" t="n">
        <v>0</v>
      </c>
      <c r="K490" t="n">
        <v>0</v>
      </c>
      <c r="L490" t="n">
        <v>0</v>
      </c>
      <c r="M490" t="n">
        <v>0</v>
      </c>
      <c r="N490" t="n">
        <v>0</v>
      </c>
      <c r="O490" t="n">
        <v>0</v>
      </c>
      <c r="P490" t="n">
        <v>0</v>
      </c>
      <c r="Q490" t="n">
        <v>0</v>
      </c>
      <c r="R490" s="2" t="inlineStr"/>
    </row>
    <row r="491" ht="15" customHeight="1">
      <c r="A491" t="inlineStr">
        <is>
          <t>A 56900-2024</t>
        </is>
      </c>
      <c r="B491" s="1" t="n">
        <v>45625</v>
      </c>
      <c r="C491" s="1" t="n">
        <v>45925</v>
      </c>
      <c r="D491" t="inlineStr">
        <is>
          <t>DALARNAS LÄN</t>
        </is>
      </c>
      <c r="E491" t="inlineStr">
        <is>
          <t>MORA</t>
        </is>
      </c>
      <c r="G491" t="n">
        <v>2.7</v>
      </c>
      <c r="H491" t="n">
        <v>0</v>
      </c>
      <c r="I491" t="n">
        <v>0</v>
      </c>
      <c r="J491" t="n">
        <v>0</v>
      </c>
      <c r="K491" t="n">
        <v>0</v>
      </c>
      <c r="L491" t="n">
        <v>0</v>
      </c>
      <c r="M491" t="n">
        <v>0</v>
      </c>
      <c r="N491" t="n">
        <v>0</v>
      </c>
      <c r="O491" t="n">
        <v>0</v>
      </c>
      <c r="P491" t="n">
        <v>0</v>
      </c>
      <c r="Q491" t="n">
        <v>0</v>
      </c>
      <c r="R491" s="2" t="inlineStr"/>
    </row>
    <row r="492" ht="15" customHeight="1">
      <c r="A492" t="inlineStr">
        <is>
          <t>A 56927-2024</t>
        </is>
      </c>
      <c r="B492" s="1" t="n">
        <v>45625</v>
      </c>
      <c r="C492" s="1" t="n">
        <v>45925</v>
      </c>
      <c r="D492" t="inlineStr">
        <is>
          <t>DALARNAS LÄN</t>
        </is>
      </c>
      <c r="E492" t="inlineStr">
        <is>
          <t>MORA</t>
        </is>
      </c>
      <c r="G492" t="n">
        <v>2.8</v>
      </c>
      <c r="H492" t="n">
        <v>0</v>
      </c>
      <c r="I492" t="n">
        <v>0</v>
      </c>
      <c r="J492" t="n">
        <v>0</v>
      </c>
      <c r="K492" t="n">
        <v>0</v>
      </c>
      <c r="L492" t="n">
        <v>0</v>
      </c>
      <c r="M492" t="n">
        <v>0</v>
      </c>
      <c r="N492" t="n">
        <v>0</v>
      </c>
      <c r="O492" t="n">
        <v>0</v>
      </c>
      <c r="P492" t="n">
        <v>0</v>
      </c>
      <c r="Q492" t="n">
        <v>0</v>
      </c>
      <c r="R492" s="2" t="inlineStr"/>
    </row>
    <row r="493" ht="15" customHeight="1">
      <c r="A493" t="inlineStr">
        <is>
          <t>A 55691-2023</t>
        </is>
      </c>
      <c r="B493" s="1" t="n">
        <v>45239.36509259259</v>
      </c>
      <c r="C493" s="1" t="n">
        <v>45925</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54192-2023</t>
        </is>
      </c>
      <c r="B494" s="1" t="n">
        <v>45232.53052083333</v>
      </c>
      <c r="C494" s="1" t="n">
        <v>45925</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59404-2024</t>
        </is>
      </c>
      <c r="B495" s="1" t="n">
        <v>45638</v>
      </c>
      <c r="C495" s="1" t="n">
        <v>45925</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22185-2025</t>
        </is>
      </c>
      <c r="B496" s="1" t="n">
        <v>45785</v>
      </c>
      <c r="C496" s="1" t="n">
        <v>45925</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23368-2025</t>
        </is>
      </c>
      <c r="B497" s="1" t="n">
        <v>45791.70299768518</v>
      </c>
      <c r="C497" s="1" t="n">
        <v>45925</v>
      </c>
      <c r="D497" t="inlineStr">
        <is>
          <t>DALARNAS LÄN</t>
        </is>
      </c>
      <c r="E497" t="inlineStr">
        <is>
          <t>MORA</t>
        </is>
      </c>
      <c r="G497" t="n">
        <v>1.4</v>
      </c>
      <c r="H497" t="n">
        <v>0</v>
      </c>
      <c r="I497" t="n">
        <v>0</v>
      </c>
      <c r="J497" t="n">
        <v>0</v>
      </c>
      <c r="K497" t="n">
        <v>0</v>
      </c>
      <c r="L497" t="n">
        <v>0</v>
      </c>
      <c r="M497" t="n">
        <v>0</v>
      </c>
      <c r="N497" t="n">
        <v>0</v>
      </c>
      <c r="O497" t="n">
        <v>0</v>
      </c>
      <c r="P497" t="n">
        <v>0</v>
      </c>
      <c r="Q497" t="n">
        <v>0</v>
      </c>
      <c r="R497" s="2" t="inlineStr"/>
    </row>
    <row r="498" ht="15" customHeight="1">
      <c r="A498" t="inlineStr">
        <is>
          <t>A 56935-2024</t>
        </is>
      </c>
      <c r="B498" s="1" t="n">
        <v>45625</v>
      </c>
      <c r="C498" s="1" t="n">
        <v>45925</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23354-2022</t>
        </is>
      </c>
      <c r="B499" s="1" t="n">
        <v>44720</v>
      </c>
      <c r="C499" s="1" t="n">
        <v>45925</v>
      </c>
      <c r="D499" t="inlineStr">
        <is>
          <t>DALARNAS LÄN</t>
        </is>
      </c>
      <c r="E499" t="inlineStr">
        <is>
          <t>MORA</t>
        </is>
      </c>
      <c r="G499" t="n">
        <v>5.2</v>
      </c>
      <c r="H499" t="n">
        <v>0</v>
      </c>
      <c r="I499" t="n">
        <v>0</v>
      </c>
      <c r="J499" t="n">
        <v>0</v>
      </c>
      <c r="K499" t="n">
        <v>0</v>
      </c>
      <c r="L499" t="n">
        <v>0</v>
      </c>
      <c r="M499" t="n">
        <v>0</v>
      </c>
      <c r="N499" t="n">
        <v>0</v>
      </c>
      <c r="O499" t="n">
        <v>0</v>
      </c>
      <c r="P499" t="n">
        <v>0</v>
      </c>
      <c r="Q499" t="n">
        <v>0</v>
      </c>
      <c r="R499" s="2" t="inlineStr"/>
    </row>
    <row r="500" ht="15" customHeight="1">
      <c r="A500" t="inlineStr">
        <is>
          <t>A 34928-2022</t>
        </is>
      </c>
      <c r="B500" s="1" t="n">
        <v>44796.60479166666</v>
      </c>
      <c r="C500" s="1" t="n">
        <v>45925</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9461-2025</t>
        </is>
      </c>
      <c r="B501" s="1" t="n">
        <v>45715.45341435185</v>
      </c>
      <c r="C501" s="1" t="n">
        <v>45925</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24127-2025</t>
        </is>
      </c>
      <c r="B502" s="1" t="n">
        <v>45796.63137731481</v>
      </c>
      <c r="C502" s="1" t="n">
        <v>45925</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36600-2023</t>
        </is>
      </c>
      <c r="B503" s="1" t="n">
        <v>45153</v>
      </c>
      <c r="C503" s="1" t="n">
        <v>45925</v>
      </c>
      <c r="D503" t="inlineStr">
        <is>
          <t>DALARNAS LÄN</t>
        </is>
      </c>
      <c r="E503" t="inlineStr">
        <is>
          <t>MORA</t>
        </is>
      </c>
      <c r="G503" t="n">
        <v>7.3</v>
      </c>
      <c r="H503" t="n">
        <v>0</v>
      </c>
      <c r="I503" t="n">
        <v>0</v>
      </c>
      <c r="J503" t="n">
        <v>0</v>
      </c>
      <c r="K503" t="n">
        <v>0</v>
      </c>
      <c r="L503" t="n">
        <v>0</v>
      </c>
      <c r="M503" t="n">
        <v>0</v>
      </c>
      <c r="N503" t="n">
        <v>0</v>
      </c>
      <c r="O503" t="n">
        <v>0</v>
      </c>
      <c r="P503" t="n">
        <v>0</v>
      </c>
      <c r="Q503" t="n">
        <v>0</v>
      </c>
      <c r="R503" s="2" t="inlineStr"/>
    </row>
    <row r="504" ht="15" customHeight="1">
      <c r="A504" t="inlineStr">
        <is>
          <t>A 42943-2024</t>
        </is>
      </c>
      <c r="B504" s="1" t="n">
        <v>45567.35359953704</v>
      </c>
      <c r="C504" s="1" t="n">
        <v>45925</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4489-2022</t>
        </is>
      </c>
      <c r="B505" s="1" t="n">
        <v>44589</v>
      </c>
      <c r="C505" s="1" t="n">
        <v>45925</v>
      </c>
      <c r="D505" t="inlineStr">
        <is>
          <t>DALARNAS LÄN</t>
        </is>
      </c>
      <c r="E505" t="inlineStr">
        <is>
          <t>MORA</t>
        </is>
      </c>
      <c r="G505" t="n">
        <v>0.7</v>
      </c>
      <c r="H505" t="n">
        <v>0</v>
      </c>
      <c r="I505" t="n">
        <v>0</v>
      </c>
      <c r="J505" t="n">
        <v>0</v>
      </c>
      <c r="K505" t="n">
        <v>0</v>
      </c>
      <c r="L505" t="n">
        <v>0</v>
      </c>
      <c r="M505" t="n">
        <v>0</v>
      </c>
      <c r="N505" t="n">
        <v>0</v>
      </c>
      <c r="O505" t="n">
        <v>0</v>
      </c>
      <c r="P505" t="n">
        <v>0</v>
      </c>
      <c r="Q505" t="n">
        <v>0</v>
      </c>
      <c r="R505" s="2" t="inlineStr"/>
    </row>
    <row r="506" ht="15" customHeight="1">
      <c r="A506" t="inlineStr">
        <is>
          <t>A 5418-2025</t>
        </is>
      </c>
      <c r="B506" s="1" t="n">
        <v>45692.68561342593</v>
      </c>
      <c r="C506" s="1" t="n">
        <v>45925</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19842-2025</t>
        </is>
      </c>
      <c r="B507" s="1" t="n">
        <v>45771.47938657407</v>
      </c>
      <c r="C507" s="1" t="n">
        <v>45925</v>
      </c>
      <c r="D507" t="inlineStr">
        <is>
          <t>DALARNAS LÄN</t>
        </is>
      </c>
      <c r="E507" t="inlineStr">
        <is>
          <t>MORA</t>
        </is>
      </c>
      <c r="G507" t="n">
        <v>1.9</v>
      </c>
      <c r="H507" t="n">
        <v>0</v>
      </c>
      <c r="I507" t="n">
        <v>0</v>
      </c>
      <c r="J507" t="n">
        <v>0</v>
      </c>
      <c r="K507" t="n">
        <v>0</v>
      </c>
      <c r="L507" t="n">
        <v>0</v>
      </c>
      <c r="M507" t="n">
        <v>0</v>
      </c>
      <c r="N507" t="n">
        <v>0</v>
      </c>
      <c r="O507" t="n">
        <v>0</v>
      </c>
      <c r="P507" t="n">
        <v>0</v>
      </c>
      <c r="Q507" t="n">
        <v>0</v>
      </c>
      <c r="R507" s="2" t="inlineStr"/>
    </row>
    <row r="508" ht="15" customHeight="1">
      <c r="A508" t="inlineStr">
        <is>
          <t>A 18134-2025</t>
        </is>
      </c>
      <c r="B508" s="1" t="n">
        <v>45761.60189814815</v>
      </c>
      <c r="C508" s="1" t="n">
        <v>45925</v>
      </c>
      <c r="D508" t="inlineStr">
        <is>
          <t>DALARNAS LÄN</t>
        </is>
      </c>
      <c r="E508" t="inlineStr">
        <is>
          <t>MORA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62854-2023</t>
        </is>
      </c>
      <c r="B509" s="1" t="n">
        <v>45272</v>
      </c>
      <c r="C509" s="1" t="n">
        <v>45925</v>
      </c>
      <c r="D509" t="inlineStr">
        <is>
          <t>DALARNAS LÄN</t>
        </is>
      </c>
      <c r="E509" t="inlineStr">
        <is>
          <t>MORA</t>
        </is>
      </c>
      <c r="G509" t="n">
        <v>11.3</v>
      </c>
      <c r="H509" t="n">
        <v>0</v>
      </c>
      <c r="I509" t="n">
        <v>0</v>
      </c>
      <c r="J509" t="n">
        <v>0</v>
      </c>
      <c r="K509" t="n">
        <v>0</v>
      </c>
      <c r="L509" t="n">
        <v>0</v>
      </c>
      <c r="M509" t="n">
        <v>0</v>
      </c>
      <c r="N509" t="n">
        <v>0</v>
      </c>
      <c r="O509" t="n">
        <v>0</v>
      </c>
      <c r="P509" t="n">
        <v>0</v>
      </c>
      <c r="Q509" t="n">
        <v>0</v>
      </c>
      <c r="R509" s="2" t="inlineStr"/>
    </row>
    <row r="510" ht="15" customHeight="1">
      <c r="A510" t="inlineStr">
        <is>
          <t>A 61249-2023</t>
        </is>
      </c>
      <c r="B510" s="1" t="n">
        <v>45264</v>
      </c>
      <c r="C510" s="1" t="n">
        <v>45925</v>
      </c>
      <c r="D510" t="inlineStr">
        <is>
          <t>DALARNAS LÄN</t>
        </is>
      </c>
      <c r="E510" t="inlineStr">
        <is>
          <t>MORA</t>
        </is>
      </c>
      <c r="F510" t="inlineStr">
        <is>
          <t>Allmännings- och besparingsskogar</t>
        </is>
      </c>
      <c r="G510" t="n">
        <v>1.7</v>
      </c>
      <c r="H510" t="n">
        <v>0</v>
      </c>
      <c r="I510" t="n">
        <v>0</v>
      </c>
      <c r="J510" t="n">
        <v>0</v>
      </c>
      <c r="K510" t="n">
        <v>0</v>
      </c>
      <c r="L510" t="n">
        <v>0</v>
      </c>
      <c r="M510" t="n">
        <v>0</v>
      </c>
      <c r="N510" t="n">
        <v>0</v>
      </c>
      <c r="O510" t="n">
        <v>0</v>
      </c>
      <c r="P510" t="n">
        <v>0</v>
      </c>
      <c r="Q510" t="n">
        <v>0</v>
      </c>
      <c r="R510" s="2" t="inlineStr"/>
    </row>
    <row r="511" ht="15" customHeight="1">
      <c r="A511" t="inlineStr">
        <is>
          <t>A 19286-2023</t>
        </is>
      </c>
      <c r="B511" s="1" t="n">
        <v>45049</v>
      </c>
      <c r="C511" s="1" t="n">
        <v>45925</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23229-2025</t>
        </is>
      </c>
      <c r="B512" s="1" t="n">
        <v>45791</v>
      </c>
      <c r="C512" s="1" t="n">
        <v>45925</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48522-2024</t>
        </is>
      </c>
      <c r="B513" s="1" t="n">
        <v>45593.32924768519</v>
      </c>
      <c r="C513" s="1" t="n">
        <v>45925</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16733-2024</t>
        </is>
      </c>
      <c r="B514" s="1" t="n">
        <v>45410.78502314815</v>
      </c>
      <c r="C514" s="1" t="n">
        <v>45925</v>
      </c>
      <c r="D514" t="inlineStr">
        <is>
          <t>DALARNAS LÄN</t>
        </is>
      </c>
      <c r="E514" t="inlineStr">
        <is>
          <t>MORA</t>
        </is>
      </c>
      <c r="G514" t="n">
        <v>6.3</v>
      </c>
      <c r="H514" t="n">
        <v>0</v>
      </c>
      <c r="I514" t="n">
        <v>0</v>
      </c>
      <c r="J514" t="n">
        <v>0</v>
      </c>
      <c r="K514" t="n">
        <v>0</v>
      </c>
      <c r="L514" t="n">
        <v>0</v>
      </c>
      <c r="M514" t="n">
        <v>0</v>
      </c>
      <c r="N514" t="n">
        <v>0</v>
      </c>
      <c r="O514" t="n">
        <v>0</v>
      </c>
      <c r="P514" t="n">
        <v>0</v>
      </c>
      <c r="Q514" t="n">
        <v>0</v>
      </c>
      <c r="R514" s="2" t="inlineStr"/>
    </row>
    <row r="515" ht="15" customHeight="1">
      <c r="A515" t="inlineStr">
        <is>
          <t>A 53159-2024</t>
        </is>
      </c>
      <c r="B515" s="1" t="n">
        <v>45611.63849537037</v>
      </c>
      <c r="C515" s="1" t="n">
        <v>45925</v>
      </c>
      <c r="D515" t="inlineStr">
        <is>
          <t>DALARNAS LÄN</t>
        </is>
      </c>
      <c r="E515" t="inlineStr">
        <is>
          <t>MORA</t>
        </is>
      </c>
      <c r="G515" t="n">
        <v>3.3</v>
      </c>
      <c r="H515" t="n">
        <v>0</v>
      </c>
      <c r="I515" t="n">
        <v>0</v>
      </c>
      <c r="J515" t="n">
        <v>0</v>
      </c>
      <c r="K515" t="n">
        <v>0</v>
      </c>
      <c r="L515" t="n">
        <v>0</v>
      </c>
      <c r="M515" t="n">
        <v>0</v>
      </c>
      <c r="N515" t="n">
        <v>0</v>
      </c>
      <c r="O515" t="n">
        <v>0</v>
      </c>
      <c r="P515" t="n">
        <v>0</v>
      </c>
      <c r="Q515" t="n">
        <v>0</v>
      </c>
      <c r="R515" s="2" t="inlineStr"/>
    </row>
    <row r="516" ht="15" customHeight="1">
      <c r="A516" t="inlineStr">
        <is>
          <t>A 68415-2021</t>
        </is>
      </c>
      <c r="B516" s="1" t="n">
        <v>44529</v>
      </c>
      <c r="C516" s="1" t="n">
        <v>45925</v>
      </c>
      <c r="D516" t="inlineStr">
        <is>
          <t>DALARNAS LÄN</t>
        </is>
      </c>
      <c r="E516" t="inlineStr">
        <is>
          <t>MORA</t>
        </is>
      </c>
      <c r="G516" t="n">
        <v>1.2</v>
      </c>
      <c r="H516" t="n">
        <v>0</v>
      </c>
      <c r="I516" t="n">
        <v>0</v>
      </c>
      <c r="J516" t="n">
        <v>0</v>
      </c>
      <c r="K516" t="n">
        <v>0</v>
      </c>
      <c r="L516" t="n">
        <v>0</v>
      </c>
      <c r="M516" t="n">
        <v>0</v>
      </c>
      <c r="N516" t="n">
        <v>0</v>
      </c>
      <c r="O516" t="n">
        <v>0</v>
      </c>
      <c r="P516" t="n">
        <v>0</v>
      </c>
      <c r="Q516" t="n">
        <v>0</v>
      </c>
      <c r="R516" s="2" t="inlineStr"/>
    </row>
    <row r="517" ht="15" customHeight="1">
      <c r="A517" t="inlineStr">
        <is>
          <t>A 24280-2025</t>
        </is>
      </c>
      <c r="B517" s="1" t="n">
        <v>45797.45581018519</v>
      </c>
      <c r="C517" s="1" t="n">
        <v>45925</v>
      </c>
      <c r="D517" t="inlineStr">
        <is>
          <t>DALARNAS LÄN</t>
        </is>
      </c>
      <c r="E517" t="inlineStr">
        <is>
          <t>MORA</t>
        </is>
      </c>
      <c r="G517" t="n">
        <v>1.1</v>
      </c>
      <c r="H517" t="n">
        <v>0</v>
      </c>
      <c r="I517" t="n">
        <v>0</v>
      </c>
      <c r="J517" t="n">
        <v>0</v>
      </c>
      <c r="K517" t="n">
        <v>0</v>
      </c>
      <c r="L517" t="n">
        <v>0</v>
      </c>
      <c r="M517" t="n">
        <v>0</v>
      </c>
      <c r="N517" t="n">
        <v>0</v>
      </c>
      <c r="O517" t="n">
        <v>0</v>
      </c>
      <c r="P517" t="n">
        <v>0</v>
      </c>
      <c r="Q517" t="n">
        <v>0</v>
      </c>
      <c r="R517" s="2" t="inlineStr"/>
    </row>
    <row r="518" ht="15" customHeight="1">
      <c r="A518" t="inlineStr">
        <is>
          <t>A 24630-2025</t>
        </is>
      </c>
      <c r="B518" s="1" t="n">
        <v>45798.6003587963</v>
      </c>
      <c r="C518" s="1" t="n">
        <v>45925</v>
      </c>
      <c r="D518" t="inlineStr">
        <is>
          <t>DALARNAS LÄN</t>
        </is>
      </c>
      <c r="E518" t="inlineStr">
        <is>
          <t>MORA</t>
        </is>
      </c>
      <c r="F518" t="inlineStr">
        <is>
          <t>Bergvik skog väst AB</t>
        </is>
      </c>
      <c r="G518" t="n">
        <v>10.4</v>
      </c>
      <c r="H518" t="n">
        <v>0</v>
      </c>
      <c r="I518" t="n">
        <v>0</v>
      </c>
      <c r="J518" t="n">
        <v>0</v>
      </c>
      <c r="K518" t="n">
        <v>0</v>
      </c>
      <c r="L518" t="n">
        <v>0</v>
      </c>
      <c r="M518" t="n">
        <v>0</v>
      </c>
      <c r="N518" t="n">
        <v>0</v>
      </c>
      <c r="O518" t="n">
        <v>0</v>
      </c>
      <c r="P518" t="n">
        <v>0</v>
      </c>
      <c r="Q518" t="n">
        <v>0</v>
      </c>
      <c r="R518" s="2" t="inlineStr"/>
    </row>
    <row r="519" ht="15" customHeight="1">
      <c r="A519" t="inlineStr">
        <is>
          <t>A 60187-2024</t>
        </is>
      </c>
      <c r="B519" s="1" t="n">
        <v>45642.64803240741</v>
      </c>
      <c r="C519" s="1" t="n">
        <v>45925</v>
      </c>
      <c r="D519" t="inlineStr">
        <is>
          <t>DALARNAS LÄN</t>
        </is>
      </c>
      <c r="E519" t="inlineStr">
        <is>
          <t>MORA</t>
        </is>
      </c>
      <c r="F519" t="inlineStr">
        <is>
          <t>Allmännings- och besparingsskogar</t>
        </is>
      </c>
      <c r="G519" t="n">
        <v>24.6</v>
      </c>
      <c r="H519" t="n">
        <v>0</v>
      </c>
      <c r="I519" t="n">
        <v>0</v>
      </c>
      <c r="J519" t="n">
        <v>0</v>
      </c>
      <c r="K519" t="n">
        <v>0</v>
      </c>
      <c r="L519" t="n">
        <v>0</v>
      </c>
      <c r="M519" t="n">
        <v>0</v>
      </c>
      <c r="N519" t="n">
        <v>0</v>
      </c>
      <c r="O519" t="n">
        <v>0</v>
      </c>
      <c r="P519" t="n">
        <v>0</v>
      </c>
      <c r="Q519" t="n">
        <v>0</v>
      </c>
      <c r="R519" s="2" t="inlineStr"/>
    </row>
    <row r="520" ht="15" customHeight="1">
      <c r="A520" t="inlineStr">
        <is>
          <t>A 15435-2024</t>
        </is>
      </c>
      <c r="B520" s="1" t="n">
        <v>45401.40806712963</v>
      </c>
      <c r="C520" s="1" t="n">
        <v>45925</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51965-2024</t>
        </is>
      </c>
      <c r="B521" s="1" t="n">
        <v>45607.65123842593</v>
      </c>
      <c r="C521" s="1" t="n">
        <v>45925</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19183-2025</t>
        </is>
      </c>
      <c r="B522" s="1" t="n">
        <v>45769</v>
      </c>
      <c r="C522" s="1" t="n">
        <v>45925</v>
      </c>
      <c r="D522" t="inlineStr">
        <is>
          <t>DALARNAS LÄN</t>
        </is>
      </c>
      <c r="E522" t="inlineStr">
        <is>
          <t>MORA</t>
        </is>
      </c>
      <c r="G522" t="n">
        <v>0.5</v>
      </c>
      <c r="H522" t="n">
        <v>0</v>
      </c>
      <c r="I522" t="n">
        <v>0</v>
      </c>
      <c r="J522" t="n">
        <v>0</v>
      </c>
      <c r="K522" t="n">
        <v>0</v>
      </c>
      <c r="L522" t="n">
        <v>0</v>
      </c>
      <c r="M522" t="n">
        <v>0</v>
      </c>
      <c r="N522" t="n">
        <v>0</v>
      </c>
      <c r="O522" t="n">
        <v>0</v>
      </c>
      <c r="P522" t="n">
        <v>0</v>
      </c>
      <c r="Q522" t="n">
        <v>0</v>
      </c>
      <c r="R522" s="2" t="inlineStr"/>
    </row>
    <row r="523" ht="15" customHeight="1">
      <c r="A523" t="inlineStr">
        <is>
          <t>A 24642-2025</t>
        </is>
      </c>
      <c r="B523" s="1" t="n">
        <v>45798.62894675926</v>
      </c>
      <c r="C523" s="1" t="n">
        <v>45925</v>
      </c>
      <c r="D523" t="inlineStr">
        <is>
          <t>DALARNAS LÄN</t>
        </is>
      </c>
      <c r="E523" t="inlineStr">
        <is>
          <t>MORA</t>
        </is>
      </c>
      <c r="F523" t="inlineStr">
        <is>
          <t>Bergvik skog väst AB</t>
        </is>
      </c>
      <c r="G523" t="n">
        <v>1.7</v>
      </c>
      <c r="H523" t="n">
        <v>0</v>
      </c>
      <c r="I523" t="n">
        <v>0</v>
      </c>
      <c r="J523" t="n">
        <v>0</v>
      </c>
      <c r="K523" t="n">
        <v>0</v>
      </c>
      <c r="L523" t="n">
        <v>0</v>
      </c>
      <c r="M523" t="n">
        <v>0</v>
      </c>
      <c r="N523" t="n">
        <v>0</v>
      </c>
      <c r="O523" t="n">
        <v>0</v>
      </c>
      <c r="P523" t="n">
        <v>0</v>
      </c>
      <c r="Q523" t="n">
        <v>0</v>
      </c>
      <c r="R523" s="2" t="inlineStr"/>
    </row>
    <row r="524" ht="15" customHeight="1">
      <c r="A524" t="inlineStr">
        <is>
          <t>A 24653-2025</t>
        </is>
      </c>
      <c r="B524" s="1" t="n">
        <v>45798.63875</v>
      </c>
      <c r="C524" s="1" t="n">
        <v>45925</v>
      </c>
      <c r="D524" t="inlineStr">
        <is>
          <t>DALARNAS LÄN</t>
        </is>
      </c>
      <c r="E524" t="inlineStr">
        <is>
          <t>MORA</t>
        </is>
      </c>
      <c r="F524" t="inlineStr">
        <is>
          <t>Bergvik skog väst AB</t>
        </is>
      </c>
      <c r="G524" t="n">
        <v>4.9</v>
      </c>
      <c r="H524" t="n">
        <v>0</v>
      </c>
      <c r="I524" t="n">
        <v>0</v>
      </c>
      <c r="J524" t="n">
        <v>0</v>
      </c>
      <c r="K524" t="n">
        <v>0</v>
      </c>
      <c r="L524" t="n">
        <v>0</v>
      </c>
      <c r="M524" t="n">
        <v>0</v>
      </c>
      <c r="N524" t="n">
        <v>0</v>
      </c>
      <c r="O524" t="n">
        <v>0</v>
      </c>
      <c r="P524" t="n">
        <v>0</v>
      </c>
      <c r="Q524" t="n">
        <v>0</v>
      </c>
      <c r="R524" s="2" t="inlineStr"/>
    </row>
    <row r="525" ht="15" customHeight="1">
      <c r="A525" t="inlineStr">
        <is>
          <t>A 24249-2025</t>
        </is>
      </c>
      <c r="B525" s="1" t="n">
        <v>45797.40260416667</v>
      </c>
      <c r="C525" s="1" t="n">
        <v>45925</v>
      </c>
      <c r="D525" t="inlineStr">
        <is>
          <t>DALARNAS LÄN</t>
        </is>
      </c>
      <c r="E525" t="inlineStr">
        <is>
          <t>MORA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24640-2025</t>
        </is>
      </c>
      <c r="B526" s="1" t="n">
        <v>45798.62243055556</v>
      </c>
      <c r="C526" s="1" t="n">
        <v>45925</v>
      </c>
      <c r="D526" t="inlineStr">
        <is>
          <t>DALARNAS LÄN</t>
        </is>
      </c>
      <c r="E526" t="inlineStr">
        <is>
          <t>MORA</t>
        </is>
      </c>
      <c r="F526" t="inlineStr">
        <is>
          <t>Bergvik skog väst AB</t>
        </is>
      </c>
      <c r="G526" t="n">
        <v>2.2</v>
      </c>
      <c r="H526" t="n">
        <v>0</v>
      </c>
      <c r="I526" t="n">
        <v>0</v>
      </c>
      <c r="J526" t="n">
        <v>0</v>
      </c>
      <c r="K526" t="n">
        <v>0</v>
      </c>
      <c r="L526" t="n">
        <v>0</v>
      </c>
      <c r="M526" t="n">
        <v>0</v>
      </c>
      <c r="N526" t="n">
        <v>0</v>
      </c>
      <c r="O526" t="n">
        <v>0</v>
      </c>
      <c r="P526" t="n">
        <v>0</v>
      </c>
      <c r="Q526" t="n">
        <v>0</v>
      </c>
      <c r="R526" s="2" t="inlineStr"/>
    </row>
    <row r="527" ht="15" customHeight="1">
      <c r="A527" t="inlineStr">
        <is>
          <t>A 24230-2025</t>
        </is>
      </c>
      <c r="B527" s="1" t="n">
        <v>45797.37607638889</v>
      </c>
      <c r="C527" s="1" t="n">
        <v>45925</v>
      </c>
      <c r="D527" t="inlineStr">
        <is>
          <t>DALARNAS LÄN</t>
        </is>
      </c>
      <c r="E527" t="inlineStr">
        <is>
          <t>MORA</t>
        </is>
      </c>
      <c r="G527" t="n">
        <v>6.8</v>
      </c>
      <c r="H527" t="n">
        <v>0</v>
      </c>
      <c r="I527" t="n">
        <v>0</v>
      </c>
      <c r="J527" t="n">
        <v>0</v>
      </c>
      <c r="K527" t="n">
        <v>0</v>
      </c>
      <c r="L527" t="n">
        <v>0</v>
      </c>
      <c r="M527" t="n">
        <v>0</v>
      </c>
      <c r="N527" t="n">
        <v>0</v>
      </c>
      <c r="O527" t="n">
        <v>0</v>
      </c>
      <c r="P527" t="n">
        <v>0</v>
      </c>
      <c r="Q527" t="n">
        <v>0</v>
      </c>
      <c r="R527" s="2" t="inlineStr"/>
    </row>
    <row r="528" ht="15" customHeight="1">
      <c r="A528" t="inlineStr">
        <is>
          <t>A 54398-2021</t>
        </is>
      </c>
      <c r="B528" s="1" t="n">
        <v>44473.39252314815</v>
      </c>
      <c r="C528" s="1" t="n">
        <v>45925</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24620-2025</t>
        </is>
      </c>
      <c r="B529" s="1" t="n">
        <v>45798.59290509259</v>
      </c>
      <c r="C529" s="1" t="n">
        <v>45925</v>
      </c>
      <c r="D529" t="inlineStr">
        <is>
          <t>DALARNAS LÄN</t>
        </is>
      </c>
      <c r="E529" t="inlineStr">
        <is>
          <t>MORA</t>
        </is>
      </c>
      <c r="F529" t="inlineStr">
        <is>
          <t>Bergvik skog väst AB</t>
        </is>
      </c>
      <c r="G529" t="n">
        <v>4.9</v>
      </c>
      <c r="H529" t="n">
        <v>0</v>
      </c>
      <c r="I529" t="n">
        <v>0</v>
      </c>
      <c r="J529" t="n">
        <v>0</v>
      </c>
      <c r="K529" t="n">
        <v>0</v>
      </c>
      <c r="L529" t="n">
        <v>0</v>
      </c>
      <c r="M529" t="n">
        <v>0</v>
      </c>
      <c r="N529" t="n">
        <v>0</v>
      </c>
      <c r="O529" t="n">
        <v>0</v>
      </c>
      <c r="P529" t="n">
        <v>0</v>
      </c>
      <c r="Q529" t="n">
        <v>0</v>
      </c>
      <c r="R529" s="2" t="inlineStr"/>
    </row>
    <row r="530" ht="15" customHeight="1">
      <c r="A530" t="inlineStr">
        <is>
          <t>A 24960-2025</t>
        </is>
      </c>
      <c r="B530" s="1" t="n">
        <v>45799.57666666667</v>
      </c>
      <c r="C530" s="1" t="n">
        <v>45925</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42391-2023</t>
        </is>
      </c>
      <c r="B531" s="1" t="n">
        <v>45180</v>
      </c>
      <c r="C531" s="1" t="n">
        <v>45925</v>
      </c>
      <c r="D531" t="inlineStr">
        <is>
          <t>DALARNAS LÄN</t>
        </is>
      </c>
      <c r="E531" t="inlineStr">
        <is>
          <t>MORA</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24947-2025</t>
        </is>
      </c>
      <c r="B532" s="1" t="n">
        <v>45799.56524305556</v>
      </c>
      <c r="C532" s="1" t="n">
        <v>45925</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2865-2022</t>
        </is>
      </c>
      <c r="B533" s="1" t="n">
        <v>44581</v>
      </c>
      <c r="C533" s="1" t="n">
        <v>45925</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45349-2024</t>
        </is>
      </c>
      <c r="B534" s="1" t="n">
        <v>45576</v>
      </c>
      <c r="C534" s="1" t="n">
        <v>45925</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25737-2025</t>
        </is>
      </c>
      <c r="B535" s="1" t="n">
        <v>45800</v>
      </c>
      <c r="C535" s="1" t="n">
        <v>45925</v>
      </c>
      <c r="D535" t="inlineStr">
        <is>
          <t>DALARNAS LÄN</t>
        </is>
      </c>
      <c r="E535" t="inlineStr">
        <is>
          <t>MORA</t>
        </is>
      </c>
      <c r="G535" t="n">
        <v>9.6</v>
      </c>
      <c r="H535" t="n">
        <v>0</v>
      </c>
      <c r="I535" t="n">
        <v>0</v>
      </c>
      <c r="J535" t="n">
        <v>0</v>
      </c>
      <c r="K535" t="n">
        <v>0</v>
      </c>
      <c r="L535" t="n">
        <v>0</v>
      </c>
      <c r="M535" t="n">
        <v>0</v>
      </c>
      <c r="N535" t="n">
        <v>0</v>
      </c>
      <c r="O535" t="n">
        <v>0</v>
      </c>
      <c r="P535" t="n">
        <v>0</v>
      </c>
      <c r="Q535" t="n">
        <v>0</v>
      </c>
      <c r="R535" s="2" t="inlineStr"/>
    </row>
    <row r="536" ht="15" customHeight="1">
      <c r="A536" t="inlineStr">
        <is>
          <t>A 57408-2024</t>
        </is>
      </c>
      <c r="B536" s="1" t="n">
        <v>45629</v>
      </c>
      <c r="C536" s="1" t="n">
        <v>45925</v>
      </c>
      <c r="D536" t="inlineStr">
        <is>
          <t>DALARNAS LÄN</t>
        </is>
      </c>
      <c r="E536" t="inlineStr">
        <is>
          <t>MORA</t>
        </is>
      </c>
      <c r="F536" t="inlineStr">
        <is>
          <t>Allmännings- och besparingsskogar</t>
        </is>
      </c>
      <c r="G536" t="n">
        <v>2.5</v>
      </c>
      <c r="H536" t="n">
        <v>0</v>
      </c>
      <c r="I536" t="n">
        <v>0</v>
      </c>
      <c r="J536" t="n">
        <v>0</v>
      </c>
      <c r="K536" t="n">
        <v>0</v>
      </c>
      <c r="L536" t="n">
        <v>0</v>
      </c>
      <c r="M536" t="n">
        <v>0</v>
      </c>
      <c r="N536" t="n">
        <v>0</v>
      </c>
      <c r="O536" t="n">
        <v>0</v>
      </c>
      <c r="P536" t="n">
        <v>0</v>
      </c>
      <c r="Q536" t="n">
        <v>0</v>
      </c>
      <c r="R536" s="2" t="inlineStr"/>
    </row>
    <row r="537" ht="15" customHeight="1">
      <c r="A537" t="inlineStr">
        <is>
          <t>A 46412-2024</t>
        </is>
      </c>
      <c r="B537" s="1" t="n">
        <v>45582.44894675926</v>
      </c>
      <c r="C537" s="1" t="n">
        <v>45925</v>
      </c>
      <c r="D537" t="inlineStr">
        <is>
          <t>DALARNAS LÄN</t>
        </is>
      </c>
      <c r="E537" t="inlineStr">
        <is>
          <t>MORA</t>
        </is>
      </c>
      <c r="G537" t="n">
        <v>4.1</v>
      </c>
      <c r="H537" t="n">
        <v>0</v>
      </c>
      <c r="I537" t="n">
        <v>0</v>
      </c>
      <c r="J537" t="n">
        <v>0</v>
      </c>
      <c r="K537" t="n">
        <v>0</v>
      </c>
      <c r="L537" t="n">
        <v>0</v>
      </c>
      <c r="M537" t="n">
        <v>0</v>
      </c>
      <c r="N537" t="n">
        <v>0</v>
      </c>
      <c r="O537" t="n">
        <v>0</v>
      </c>
      <c r="P537" t="n">
        <v>0</v>
      </c>
      <c r="Q537" t="n">
        <v>0</v>
      </c>
      <c r="R537" s="2" t="inlineStr"/>
    </row>
    <row r="538" ht="15" customHeight="1">
      <c r="A538" t="inlineStr">
        <is>
          <t>A 50685-2023</t>
        </is>
      </c>
      <c r="B538" s="1" t="n">
        <v>45210</v>
      </c>
      <c r="C538" s="1" t="n">
        <v>45925</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50759-2023</t>
        </is>
      </c>
      <c r="B539" s="1" t="n">
        <v>45217.60914351852</v>
      </c>
      <c r="C539" s="1" t="n">
        <v>45925</v>
      </c>
      <c r="D539" t="inlineStr">
        <is>
          <t>DALARNAS LÄN</t>
        </is>
      </c>
      <c r="E539" t="inlineStr">
        <is>
          <t>MORA</t>
        </is>
      </c>
      <c r="G539" t="n">
        <v>5.3</v>
      </c>
      <c r="H539" t="n">
        <v>0</v>
      </c>
      <c r="I539" t="n">
        <v>0</v>
      </c>
      <c r="J539" t="n">
        <v>0</v>
      </c>
      <c r="K539" t="n">
        <v>0</v>
      </c>
      <c r="L539" t="n">
        <v>0</v>
      </c>
      <c r="M539" t="n">
        <v>0</v>
      </c>
      <c r="N539" t="n">
        <v>0</v>
      </c>
      <c r="O539" t="n">
        <v>0</v>
      </c>
      <c r="P539" t="n">
        <v>0</v>
      </c>
      <c r="Q539" t="n">
        <v>0</v>
      </c>
      <c r="R539" s="2" t="inlineStr"/>
    </row>
    <row r="540" ht="15" customHeight="1">
      <c r="A540" t="inlineStr">
        <is>
          <t>A 43964-2024</t>
        </is>
      </c>
      <c r="B540" s="1" t="n">
        <v>45572.48407407408</v>
      </c>
      <c r="C540" s="1" t="n">
        <v>45925</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26647-2025</t>
        </is>
      </c>
      <c r="B541" s="1" t="n">
        <v>45810.38439814815</v>
      </c>
      <c r="C541" s="1" t="n">
        <v>45925</v>
      </c>
      <c r="D541" t="inlineStr">
        <is>
          <t>DALARNAS LÄN</t>
        </is>
      </c>
      <c r="E541" t="inlineStr">
        <is>
          <t>MORA</t>
        </is>
      </c>
      <c r="G541" t="n">
        <v>7.9</v>
      </c>
      <c r="H541" t="n">
        <v>0</v>
      </c>
      <c r="I541" t="n">
        <v>0</v>
      </c>
      <c r="J541" t="n">
        <v>0</v>
      </c>
      <c r="K541" t="n">
        <v>0</v>
      </c>
      <c r="L541" t="n">
        <v>0</v>
      </c>
      <c r="M541" t="n">
        <v>0</v>
      </c>
      <c r="N541" t="n">
        <v>0</v>
      </c>
      <c r="O541" t="n">
        <v>0</v>
      </c>
      <c r="P541" t="n">
        <v>0</v>
      </c>
      <c r="Q541" t="n">
        <v>0</v>
      </c>
      <c r="R541" s="2" t="inlineStr"/>
    </row>
    <row r="542" ht="15" customHeight="1">
      <c r="A542" t="inlineStr">
        <is>
          <t>A 56425-2024</t>
        </is>
      </c>
      <c r="B542" s="1" t="n">
        <v>45625.38677083333</v>
      </c>
      <c r="C542" s="1" t="n">
        <v>45925</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30819-2024</t>
        </is>
      </c>
      <c r="B543" s="1" t="n">
        <v>45497</v>
      </c>
      <c r="C543" s="1" t="n">
        <v>45925</v>
      </c>
      <c r="D543" t="inlineStr">
        <is>
          <t>DALARNAS LÄN</t>
        </is>
      </c>
      <c r="E543" t="inlineStr">
        <is>
          <t>MORA</t>
        </is>
      </c>
      <c r="G543" t="n">
        <v>2.2</v>
      </c>
      <c r="H543" t="n">
        <v>0</v>
      </c>
      <c r="I543" t="n">
        <v>0</v>
      </c>
      <c r="J543" t="n">
        <v>0</v>
      </c>
      <c r="K543" t="n">
        <v>0</v>
      </c>
      <c r="L543" t="n">
        <v>0</v>
      </c>
      <c r="M543" t="n">
        <v>0</v>
      </c>
      <c r="N543" t="n">
        <v>0</v>
      </c>
      <c r="O543" t="n">
        <v>0</v>
      </c>
      <c r="P543" t="n">
        <v>0</v>
      </c>
      <c r="Q543" t="n">
        <v>0</v>
      </c>
      <c r="R543" s="2" t="inlineStr"/>
    </row>
    <row r="544" ht="15" customHeight="1">
      <c r="A544" t="inlineStr">
        <is>
          <t>A 39511-2024</t>
        </is>
      </c>
      <c r="B544" s="1" t="n">
        <v>45551.68347222222</v>
      </c>
      <c r="C544" s="1" t="n">
        <v>45925</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37695-2024</t>
        </is>
      </c>
      <c r="B545" s="1" t="n">
        <v>45541.61094907407</v>
      </c>
      <c r="C545" s="1" t="n">
        <v>45925</v>
      </c>
      <c r="D545" t="inlineStr">
        <is>
          <t>DALARNAS LÄN</t>
        </is>
      </c>
      <c r="E545" t="inlineStr">
        <is>
          <t>MORA</t>
        </is>
      </c>
      <c r="G545" t="n">
        <v>19.7</v>
      </c>
      <c r="H545" t="n">
        <v>0</v>
      </c>
      <c r="I545" t="n">
        <v>0</v>
      </c>
      <c r="J545" t="n">
        <v>0</v>
      </c>
      <c r="K545" t="n">
        <v>0</v>
      </c>
      <c r="L545" t="n">
        <v>0</v>
      </c>
      <c r="M545" t="n">
        <v>0</v>
      </c>
      <c r="N545" t="n">
        <v>0</v>
      </c>
      <c r="O545" t="n">
        <v>0</v>
      </c>
      <c r="P545" t="n">
        <v>0</v>
      </c>
      <c r="Q545" t="n">
        <v>0</v>
      </c>
      <c r="R545" s="2" t="inlineStr"/>
    </row>
    <row r="546" ht="15" customHeight="1">
      <c r="A546" t="inlineStr">
        <is>
          <t>A 56834-2024</t>
        </is>
      </c>
      <c r="B546" s="1" t="n">
        <v>45628.49931712963</v>
      </c>
      <c r="C546" s="1" t="n">
        <v>45925</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26546-2025</t>
        </is>
      </c>
      <c r="B547" s="1" t="n">
        <v>45807</v>
      </c>
      <c r="C547" s="1" t="n">
        <v>45925</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26573-2025</t>
        </is>
      </c>
      <c r="B548" s="1" t="n">
        <v>45807</v>
      </c>
      <c r="C548" s="1" t="n">
        <v>45925</v>
      </c>
      <c r="D548" t="inlineStr">
        <is>
          <t>DALARNAS LÄN</t>
        </is>
      </c>
      <c r="E548" t="inlineStr">
        <is>
          <t>MORA</t>
        </is>
      </c>
      <c r="G548" t="n">
        <v>4.3</v>
      </c>
      <c r="H548" t="n">
        <v>0</v>
      </c>
      <c r="I548" t="n">
        <v>0</v>
      </c>
      <c r="J548" t="n">
        <v>0</v>
      </c>
      <c r="K548" t="n">
        <v>0</v>
      </c>
      <c r="L548" t="n">
        <v>0</v>
      </c>
      <c r="M548" t="n">
        <v>0</v>
      </c>
      <c r="N548" t="n">
        <v>0</v>
      </c>
      <c r="O548" t="n">
        <v>0</v>
      </c>
      <c r="P548" t="n">
        <v>0</v>
      </c>
      <c r="Q548" t="n">
        <v>0</v>
      </c>
      <c r="R548" s="2" t="inlineStr"/>
    </row>
    <row r="549" ht="15" customHeight="1">
      <c r="A549" t="inlineStr">
        <is>
          <t>A 26532-2025</t>
        </is>
      </c>
      <c r="B549" s="1" t="n">
        <v>45807</v>
      </c>
      <c r="C549" s="1" t="n">
        <v>45925</v>
      </c>
      <c r="D549" t="inlineStr">
        <is>
          <t>DALARNAS LÄN</t>
        </is>
      </c>
      <c r="E549" t="inlineStr">
        <is>
          <t>MORA</t>
        </is>
      </c>
      <c r="G549" t="n">
        <v>4.4</v>
      </c>
      <c r="H549" t="n">
        <v>0</v>
      </c>
      <c r="I549" t="n">
        <v>0</v>
      </c>
      <c r="J549" t="n">
        <v>0</v>
      </c>
      <c r="K549" t="n">
        <v>0</v>
      </c>
      <c r="L549" t="n">
        <v>0</v>
      </c>
      <c r="M549" t="n">
        <v>0</v>
      </c>
      <c r="N549" t="n">
        <v>0</v>
      </c>
      <c r="O549" t="n">
        <v>0</v>
      </c>
      <c r="P549" t="n">
        <v>0</v>
      </c>
      <c r="Q549" t="n">
        <v>0</v>
      </c>
      <c r="R549" s="2" t="inlineStr"/>
    </row>
    <row r="550" ht="15" customHeight="1">
      <c r="A550" t="inlineStr">
        <is>
          <t>A 26545-2025</t>
        </is>
      </c>
      <c r="B550" s="1" t="n">
        <v>45807</v>
      </c>
      <c r="C550" s="1" t="n">
        <v>45925</v>
      </c>
      <c r="D550" t="inlineStr">
        <is>
          <t>DALARNAS LÄN</t>
        </is>
      </c>
      <c r="E550" t="inlineStr">
        <is>
          <t>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20885-2024</t>
        </is>
      </c>
      <c r="B551" s="1" t="n">
        <v>45439.45527777778</v>
      </c>
      <c r="C551" s="1" t="n">
        <v>45925</v>
      </c>
      <c r="D551" t="inlineStr">
        <is>
          <t>DALARNAS LÄN</t>
        </is>
      </c>
      <c r="E551" t="inlineStr">
        <is>
          <t>MORA</t>
        </is>
      </c>
      <c r="G551" t="n">
        <v>5</v>
      </c>
      <c r="H551" t="n">
        <v>0</v>
      </c>
      <c r="I551" t="n">
        <v>0</v>
      </c>
      <c r="J551" t="n">
        <v>0</v>
      </c>
      <c r="K551" t="n">
        <v>0</v>
      </c>
      <c r="L551" t="n">
        <v>0</v>
      </c>
      <c r="M551" t="n">
        <v>0</v>
      </c>
      <c r="N551" t="n">
        <v>0</v>
      </c>
      <c r="O551" t="n">
        <v>0</v>
      </c>
      <c r="P551" t="n">
        <v>0</v>
      </c>
      <c r="Q551" t="n">
        <v>0</v>
      </c>
      <c r="R551" s="2" t="inlineStr"/>
    </row>
    <row r="552" ht="15" customHeight="1">
      <c r="A552" t="inlineStr">
        <is>
          <t>A 26630-2025</t>
        </is>
      </c>
      <c r="B552" s="1" t="n">
        <v>45809</v>
      </c>
      <c r="C552" s="1" t="n">
        <v>45925</v>
      </c>
      <c r="D552" t="inlineStr">
        <is>
          <t>DALARNAS LÄN</t>
        </is>
      </c>
      <c r="E552" t="inlineStr">
        <is>
          <t>MORA</t>
        </is>
      </c>
      <c r="G552" t="n">
        <v>32.1</v>
      </c>
      <c r="H552" t="n">
        <v>0</v>
      </c>
      <c r="I552" t="n">
        <v>0</v>
      </c>
      <c r="J552" t="n">
        <v>0</v>
      </c>
      <c r="K552" t="n">
        <v>0</v>
      </c>
      <c r="L552" t="n">
        <v>0</v>
      </c>
      <c r="M552" t="n">
        <v>0</v>
      </c>
      <c r="N552" t="n">
        <v>0</v>
      </c>
      <c r="O552" t="n">
        <v>0</v>
      </c>
      <c r="P552" t="n">
        <v>0</v>
      </c>
      <c r="Q552" t="n">
        <v>0</v>
      </c>
      <c r="R552" s="2" t="inlineStr"/>
    </row>
    <row r="553" ht="15" customHeight="1">
      <c r="A553" t="inlineStr">
        <is>
          <t>A 8068-2024</t>
        </is>
      </c>
      <c r="B553" s="1" t="n">
        <v>45351.41524305556</v>
      </c>
      <c r="C553" s="1" t="n">
        <v>45925</v>
      </c>
      <c r="D553" t="inlineStr">
        <is>
          <t>DALARNAS LÄN</t>
        </is>
      </c>
      <c r="E553" t="inlineStr">
        <is>
          <t>MORA</t>
        </is>
      </c>
      <c r="G553" t="n">
        <v>6.4</v>
      </c>
      <c r="H553" t="n">
        <v>0</v>
      </c>
      <c r="I553" t="n">
        <v>0</v>
      </c>
      <c r="J553" t="n">
        <v>0</v>
      </c>
      <c r="K553" t="n">
        <v>0</v>
      </c>
      <c r="L553" t="n">
        <v>0</v>
      </c>
      <c r="M553" t="n">
        <v>0</v>
      </c>
      <c r="N553" t="n">
        <v>0</v>
      </c>
      <c r="O553" t="n">
        <v>0</v>
      </c>
      <c r="P553" t="n">
        <v>0</v>
      </c>
      <c r="Q553" t="n">
        <v>0</v>
      </c>
      <c r="R553" s="2" t="inlineStr"/>
    </row>
    <row r="554" ht="15" customHeight="1">
      <c r="A554" t="inlineStr">
        <is>
          <t>A 26577-2025</t>
        </is>
      </c>
      <c r="B554" s="1" t="n">
        <v>45807</v>
      </c>
      <c r="C554" s="1" t="n">
        <v>45925</v>
      </c>
      <c r="D554" t="inlineStr">
        <is>
          <t>DALARNAS LÄN</t>
        </is>
      </c>
      <c r="E554" t="inlineStr">
        <is>
          <t>MORA</t>
        </is>
      </c>
      <c r="G554" t="n">
        <v>2.8</v>
      </c>
      <c r="H554" t="n">
        <v>0</v>
      </c>
      <c r="I554" t="n">
        <v>0</v>
      </c>
      <c r="J554" t="n">
        <v>0</v>
      </c>
      <c r="K554" t="n">
        <v>0</v>
      </c>
      <c r="L554" t="n">
        <v>0</v>
      </c>
      <c r="M554" t="n">
        <v>0</v>
      </c>
      <c r="N554" t="n">
        <v>0</v>
      </c>
      <c r="O554" t="n">
        <v>0</v>
      </c>
      <c r="P554" t="n">
        <v>0</v>
      </c>
      <c r="Q554" t="n">
        <v>0</v>
      </c>
      <c r="R554" s="2" t="inlineStr"/>
    </row>
    <row r="555" ht="15" customHeight="1">
      <c r="A555" t="inlineStr">
        <is>
          <t>A 26854-2025</t>
        </is>
      </c>
      <c r="B555" s="1" t="n">
        <v>45810.67462962963</v>
      </c>
      <c r="C555" s="1" t="n">
        <v>45925</v>
      </c>
      <c r="D555" t="inlineStr">
        <is>
          <t>DALARNAS LÄN</t>
        </is>
      </c>
      <c r="E555" t="inlineStr">
        <is>
          <t>MORA</t>
        </is>
      </c>
      <c r="G555" t="n">
        <v>4.4</v>
      </c>
      <c r="H555" t="n">
        <v>0</v>
      </c>
      <c r="I555" t="n">
        <v>0</v>
      </c>
      <c r="J555" t="n">
        <v>0</v>
      </c>
      <c r="K555" t="n">
        <v>0</v>
      </c>
      <c r="L555" t="n">
        <v>0</v>
      </c>
      <c r="M555" t="n">
        <v>0</v>
      </c>
      <c r="N555" t="n">
        <v>0</v>
      </c>
      <c r="O555" t="n">
        <v>0</v>
      </c>
      <c r="P555" t="n">
        <v>0</v>
      </c>
      <c r="Q555" t="n">
        <v>0</v>
      </c>
      <c r="R555" s="2" t="inlineStr"/>
    </row>
    <row r="556" ht="15" customHeight="1">
      <c r="A556" t="inlineStr">
        <is>
          <t>A 43863-2023</t>
        </is>
      </c>
      <c r="B556" s="1" t="n">
        <v>45187.62532407408</v>
      </c>
      <c r="C556" s="1" t="n">
        <v>45925</v>
      </c>
      <c r="D556" t="inlineStr">
        <is>
          <t>DALARNAS LÄN</t>
        </is>
      </c>
      <c r="E556" t="inlineStr">
        <is>
          <t>MORA</t>
        </is>
      </c>
      <c r="F556" t="inlineStr">
        <is>
          <t>Bergvik skog väst AB</t>
        </is>
      </c>
      <c r="G556" t="n">
        <v>3.9</v>
      </c>
      <c r="H556" t="n">
        <v>0</v>
      </c>
      <c r="I556" t="n">
        <v>0</v>
      </c>
      <c r="J556" t="n">
        <v>0</v>
      </c>
      <c r="K556" t="n">
        <v>0</v>
      </c>
      <c r="L556" t="n">
        <v>0</v>
      </c>
      <c r="M556" t="n">
        <v>0</v>
      </c>
      <c r="N556" t="n">
        <v>0</v>
      </c>
      <c r="O556" t="n">
        <v>0</v>
      </c>
      <c r="P556" t="n">
        <v>0</v>
      </c>
      <c r="Q556" t="n">
        <v>0</v>
      </c>
      <c r="R556" s="2" t="inlineStr"/>
    </row>
    <row r="557" ht="15" customHeight="1">
      <c r="A557" t="inlineStr">
        <is>
          <t>A 26731-2025</t>
        </is>
      </c>
      <c r="B557" s="1" t="n">
        <v>45810.50702546296</v>
      </c>
      <c r="C557" s="1" t="n">
        <v>45925</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26711-2025</t>
        </is>
      </c>
      <c r="B558" s="1" t="n">
        <v>45810.46144675926</v>
      </c>
      <c r="C558" s="1" t="n">
        <v>45925</v>
      </c>
      <c r="D558" t="inlineStr">
        <is>
          <t>DALARNAS LÄN</t>
        </is>
      </c>
      <c r="E558" t="inlineStr">
        <is>
          <t>MORA</t>
        </is>
      </c>
      <c r="G558" t="n">
        <v>0.5</v>
      </c>
      <c r="H558" t="n">
        <v>0</v>
      </c>
      <c r="I558" t="n">
        <v>0</v>
      </c>
      <c r="J558" t="n">
        <v>0</v>
      </c>
      <c r="K558" t="n">
        <v>0</v>
      </c>
      <c r="L558" t="n">
        <v>0</v>
      </c>
      <c r="M558" t="n">
        <v>0</v>
      </c>
      <c r="N558" t="n">
        <v>0</v>
      </c>
      <c r="O558" t="n">
        <v>0</v>
      </c>
      <c r="P558" t="n">
        <v>0</v>
      </c>
      <c r="Q558" t="n">
        <v>0</v>
      </c>
      <c r="R558" s="2" t="inlineStr"/>
    </row>
    <row r="559" ht="15" customHeight="1">
      <c r="A559" t="inlineStr">
        <is>
          <t>A 35521-2023</t>
        </is>
      </c>
      <c r="B559" s="1" t="n">
        <v>45147.33251157407</v>
      </c>
      <c r="C559" s="1" t="n">
        <v>45925</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31112-2024</t>
        </is>
      </c>
      <c r="B560" s="1" t="n">
        <v>45502.55185185185</v>
      </c>
      <c r="C560" s="1" t="n">
        <v>45925</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45925</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27177-2025</t>
        </is>
      </c>
      <c r="B562" s="1" t="n">
        <v>45812.3533912037</v>
      </c>
      <c r="C562" s="1" t="n">
        <v>45925</v>
      </c>
      <c r="D562" t="inlineStr">
        <is>
          <t>DALARNAS LÄN</t>
        </is>
      </c>
      <c r="E562" t="inlineStr">
        <is>
          <t>MORA</t>
        </is>
      </c>
      <c r="F562" t="inlineStr">
        <is>
          <t>Bergvik skog öst AB</t>
        </is>
      </c>
      <c r="G562" t="n">
        <v>2.5</v>
      </c>
      <c r="H562" t="n">
        <v>0</v>
      </c>
      <c r="I562" t="n">
        <v>0</v>
      </c>
      <c r="J562" t="n">
        <v>0</v>
      </c>
      <c r="K562" t="n">
        <v>0</v>
      </c>
      <c r="L562" t="n">
        <v>0</v>
      </c>
      <c r="M562" t="n">
        <v>0</v>
      </c>
      <c r="N562" t="n">
        <v>0</v>
      </c>
      <c r="O562" t="n">
        <v>0</v>
      </c>
      <c r="P562" t="n">
        <v>0</v>
      </c>
      <c r="Q562" t="n">
        <v>0</v>
      </c>
      <c r="R562" s="2" t="inlineStr"/>
    </row>
    <row r="563" ht="15" customHeight="1">
      <c r="A563" t="inlineStr">
        <is>
          <t>A 27194-2025</t>
        </is>
      </c>
      <c r="B563" s="1" t="n">
        <v>45812.37965277778</v>
      </c>
      <c r="C563" s="1" t="n">
        <v>45925</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14611-2025</t>
        </is>
      </c>
      <c r="B564" s="1" t="n">
        <v>45742.38511574074</v>
      </c>
      <c r="C564" s="1" t="n">
        <v>45925</v>
      </c>
      <c r="D564" t="inlineStr">
        <is>
          <t>DALARNAS LÄN</t>
        </is>
      </c>
      <c r="E564" t="inlineStr">
        <is>
          <t>MORA</t>
        </is>
      </c>
      <c r="F564" t="inlineStr">
        <is>
          <t>Bergvik skog väst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27175-2025</t>
        </is>
      </c>
      <c r="B565" s="1" t="n">
        <v>45812.35072916667</v>
      </c>
      <c r="C565" s="1" t="n">
        <v>45925</v>
      </c>
      <c r="D565" t="inlineStr">
        <is>
          <t>DALARNAS LÄN</t>
        </is>
      </c>
      <c r="E565" t="inlineStr">
        <is>
          <t>MORA</t>
        </is>
      </c>
      <c r="F565" t="inlineStr">
        <is>
          <t>Bergvik skog öst AB</t>
        </is>
      </c>
      <c r="G565" t="n">
        <v>4</v>
      </c>
      <c r="H565" t="n">
        <v>0</v>
      </c>
      <c r="I565" t="n">
        <v>0</v>
      </c>
      <c r="J565" t="n">
        <v>0</v>
      </c>
      <c r="K565" t="n">
        <v>0</v>
      </c>
      <c r="L565" t="n">
        <v>0</v>
      </c>
      <c r="M565" t="n">
        <v>0</v>
      </c>
      <c r="N565" t="n">
        <v>0</v>
      </c>
      <c r="O565" t="n">
        <v>0</v>
      </c>
      <c r="P565" t="n">
        <v>0</v>
      </c>
      <c r="Q565" t="n">
        <v>0</v>
      </c>
      <c r="R565" s="2" t="inlineStr"/>
    </row>
    <row r="566" ht="15" customHeight="1">
      <c r="A566" t="inlineStr">
        <is>
          <t>A 7565-2025</t>
        </is>
      </c>
      <c r="B566" s="1" t="n">
        <v>45705.59269675926</v>
      </c>
      <c r="C566" s="1" t="n">
        <v>45925</v>
      </c>
      <c r="D566" t="inlineStr">
        <is>
          <t>DALARNAS LÄN</t>
        </is>
      </c>
      <c r="E566" t="inlineStr">
        <is>
          <t>MORA</t>
        </is>
      </c>
      <c r="G566" t="n">
        <v>3</v>
      </c>
      <c r="H566" t="n">
        <v>0</v>
      </c>
      <c r="I566" t="n">
        <v>0</v>
      </c>
      <c r="J566" t="n">
        <v>0</v>
      </c>
      <c r="K566" t="n">
        <v>0</v>
      </c>
      <c r="L566" t="n">
        <v>0</v>
      </c>
      <c r="M566" t="n">
        <v>0</v>
      </c>
      <c r="N566" t="n">
        <v>0</v>
      </c>
      <c r="O566" t="n">
        <v>0</v>
      </c>
      <c r="P566" t="n">
        <v>0</v>
      </c>
      <c r="Q566" t="n">
        <v>0</v>
      </c>
      <c r="R566" s="2" t="inlineStr"/>
    </row>
    <row r="567" ht="15" customHeight="1">
      <c r="A567" t="inlineStr">
        <is>
          <t>A 27184-2025</t>
        </is>
      </c>
      <c r="B567" s="1" t="n">
        <v>45812.36133101852</v>
      </c>
      <c r="C567" s="1" t="n">
        <v>45925</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17268-2025</t>
        </is>
      </c>
      <c r="B568" s="1" t="n">
        <v>45756</v>
      </c>
      <c r="C568" s="1" t="n">
        <v>45925</v>
      </c>
      <c r="D568" t="inlineStr">
        <is>
          <t>DALARNAS LÄN</t>
        </is>
      </c>
      <c r="E568" t="inlineStr">
        <is>
          <t>MORA</t>
        </is>
      </c>
      <c r="G568" t="n">
        <v>6.8</v>
      </c>
      <c r="H568" t="n">
        <v>0</v>
      </c>
      <c r="I568" t="n">
        <v>0</v>
      </c>
      <c r="J568" t="n">
        <v>0</v>
      </c>
      <c r="K568" t="n">
        <v>0</v>
      </c>
      <c r="L568" t="n">
        <v>0</v>
      </c>
      <c r="M568" t="n">
        <v>0</v>
      </c>
      <c r="N568" t="n">
        <v>0</v>
      </c>
      <c r="O568" t="n">
        <v>0</v>
      </c>
      <c r="P568" t="n">
        <v>0</v>
      </c>
      <c r="Q568" t="n">
        <v>0</v>
      </c>
      <c r="R568" s="2" t="inlineStr"/>
    </row>
    <row r="569" ht="15" customHeight="1">
      <c r="A569" t="inlineStr">
        <is>
          <t>A 51168-2024</t>
        </is>
      </c>
      <c r="B569" s="1" t="n">
        <v>45603.58619212963</v>
      </c>
      <c r="C569" s="1" t="n">
        <v>45925</v>
      </c>
      <c r="D569" t="inlineStr">
        <is>
          <t>DALARNAS LÄN</t>
        </is>
      </c>
      <c r="E569" t="inlineStr">
        <is>
          <t>MORA</t>
        </is>
      </c>
      <c r="G569" t="n">
        <v>3</v>
      </c>
      <c r="H569" t="n">
        <v>0</v>
      </c>
      <c r="I569" t="n">
        <v>0</v>
      </c>
      <c r="J569" t="n">
        <v>0</v>
      </c>
      <c r="K569" t="n">
        <v>0</v>
      </c>
      <c r="L569" t="n">
        <v>0</v>
      </c>
      <c r="M569" t="n">
        <v>0</v>
      </c>
      <c r="N569" t="n">
        <v>0</v>
      </c>
      <c r="O569" t="n">
        <v>0</v>
      </c>
      <c r="P569" t="n">
        <v>0</v>
      </c>
      <c r="Q569" t="n">
        <v>0</v>
      </c>
      <c r="R569" s="2" t="inlineStr"/>
    </row>
    <row r="570" ht="15" customHeight="1">
      <c r="A570" t="inlineStr">
        <is>
          <t>A 18214-2024</t>
        </is>
      </c>
      <c r="B570" s="1" t="n">
        <v>45420</v>
      </c>
      <c r="C570" s="1" t="n">
        <v>45925</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27642-2025</t>
        </is>
      </c>
      <c r="B571" s="1" t="n">
        <v>45813.59405092592</v>
      </c>
      <c r="C571" s="1" t="n">
        <v>45925</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16522-2024</t>
        </is>
      </c>
      <c r="B572" s="1" t="n">
        <v>45408.41166666667</v>
      </c>
      <c r="C572" s="1" t="n">
        <v>45925</v>
      </c>
      <c r="D572" t="inlineStr">
        <is>
          <t>DALARNAS LÄN</t>
        </is>
      </c>
      <c r="E572" t="inlineStr">
        <is>
          <t>MORA</t>
        </is>
      </c>
      <c r="G572" t="n">
        <v>11.2</v>
      </c>
      <c r="H572" t="n">
        <v>0</v>
      </c>
      <c r="I572" t="n">
        <v>0</v>
      </c>
      <c r="J572" t="n">
        <v>0</v>
      </c>
      <c r="K572" t="n">
        <v>0</v>
      </c>
      <c r="L572" t="n">
        <v>0</v>
      </c>
      <c r="M572" t="n">
        <v>0</v>
      </c>
      <c r="N572" t="n">
        <v>0</v>
      </c>
      <c r="O572" t="n">
        <v>0</v>
      </c>
      <c r="P572" t="n">
        <v>0</v>
      </c>
      <c r="Q572" t="n">
        <v>0</v>
      </c>
      <c r="R572" s="2" t="inlineStr"/>
    </row>
    <row r="573" ht="15" customHeight="1">
      <c r="A573" t="inlineStr">
        <is>
          <t>A 55120-2024</t>
        </is>
      </c>
      <c r="B573" s="1" t="n">
        <v>45621.45765046297</v>
      </c>
      <c r="C573" s="1" t="n">
        <v>45925</v>
      </c>
      <c r="D573" t="inlineStr">
        <is>
          <t>DALARNAS LÄN</t>
        </is>
      </c>
      <c r="E573" t="inlineStr">
        <is>
          <t>MORA</t>
        </is>
      </c>
      <c r="G573" t="n">
        <v>1.9</v>
      </c>
      <c r="H573" t="n">
        <v>0</v>
      </c>
      <c r="I573" t="n">
        <v>0</v>
      </c>
      <c r="J573" t="n">
        <v>0</v>
      </c>
      <c r="K573" t="n">
        <v>0</v>
      </c>
      <c r="L573" t="n">
        <v>0</v>
      </c>
      <c r="M573" t="n">
        <v>0</v>
      </c>
      <c r="N573" t="n">
        <v>0</v>
      </c>
      <c r="O573" t="n">
        <v>0</v>
      </c>
      <c r="P573" t="n">
        <v>0</v>
      </c>
      <c r="Q573" t="n">
        <v>0</v>
      </c>
      <c r="R573" s="2" t="inlineStr"/>
    </row>
    <row r="574" ht="15" customHeight="1">
      <c r="A574" t="inlineStr">
        <is>
          <t>A 28033-2025</t>
        </is>
      </c>
      <c r="B574" s="1" t="n">
        <v>45817.6325462963</v>
      </c>
      <c r="C574" s="1" t="n">
        <v>45925</v>
      </c>
      <c r="D574" t="inlineStr">
        <is>
          <t>DALARNAS LÄN</t>
        </is>
      </c>
      <c r="E574" t="inlineStr">
        <is>
          <t>MORA</t>
        </is>
      </c>
      <c r="F574" t="inlineStr">
        <is>
          <t>Bergvik skog öst AB</t>
        </is>
      </c>
      <c r="G574" t="n">
        <v>12.8</v>
      </c>
      <c r="H574" t="n">
        <v>0</v>
      </c>
      <c r="I574" t="n">
        <v>0</v>
      </c>
      <c r="J574" t="n">
        <v>0</v>
      </c>
      <c r="K574" t="n">
        <v>0</v>
      </c>
      <c r="L574" t="n">
        <v>0</v>
      </c>
      <c r="M574" t="n">
        <v>0</v>
      </c>
      <c r="N574" t="n">
        <v>0</v>
      </c>
      <c r="O574" t="n">
        <v>0</v>
      </c>
      <c r="P574" t="n">
        <v>0</v>
      </c>
      <c r="Q574" t="n">
        <v>0</v>
      </c>
      <c r="R574" s="2" t="inlineStr"/>
    </row>
    <row r="575" ht="15" customHeight="1">
      <c r="A575" t="inlineStr">
        <is>
          <t>A 43873-2024</t>
        </is>
      </c>
      <c r="B575" s="1" t="n">
        <v>45572.38429398148</v>
      </c>
      <c r="C575" s="1" t="n">
        <v>45925</v>
      </c>
      <c r="D575" t="inlineStr">
        <is>
          <t>DALARNAS LÄN</t>
        </is>
      </c>
      <c r="E575" t="inlineStr">
        <is>
          <t>MORA</t>
        </is>
      </c>
      <c r="G575" t="n">
        <v>4.1</v>
      </c>
      <c r="H575" t="n">
        <v>0</v>
      </c>
      <c r="I575" t="n">
        <v>0</v>
      </c>
      <c r="J575" t="n">
        <v>0</v>
      </c>
      <c r="K575" t="n">
        <v>0</v>
      </c>
      <c r="L575" t="n">
        <v>0</v>
      </c>
      <c r="M575" t="n">
        <v>0</v>
      </c>
      <c r="N575" t="n">
        <v>0</v>
      </c>
      <c r="O575" t="n">
        <v>0</v>
      </c>
      <c r="P575" t="n">
        <v>0</v>
      </c>
      <c r="Q575" t="n">
        <v>0</v>
      </c>
      <c r="R575" s="2" t="inlineStr"/>
    </row>
    <row r="576" ht="15" customHeight="1">
      <c r="A576" t="inlineStr">
        <is>
          <t>A 28751-2025</t>
        </is>
      </c>
      <c r="B576" s="1" t="n">
        <v>45820.40034722222</v>
      </c>
      <c r="C576" s="1" t="n">
        <v>45925</v>
      </c>
      <c r="D576" t="inlineStr">
        <is>
          <t>DALARNAS LÄN</t>
        </is>
      </c>
      <c r="E576" t="inlineStr">
        <is>
          <t>MORA</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28925-2025</t>
        </is>
      </c>
      <c r="B577" s="1" t="n">
        <v>45820.67107638889</v>
      </c>
      <c r="C577" s="1" t="n">
        <v>45925</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28927-2025</t>
        </is>
      </c>
      <c r="B578" s="1" t="n">
        <v>45820.67221064815</v>
      </c>
      <c r="C578" s="1" t="n">
        <v>45925</v>
      </c>
      <c r="D578" t="inlineStr">
        <is>
          <t>DALARNAS LÄN</t>
        </is>
      </c>
      <c r="E578" t="inlineStr">
        <is>
          <t>MORA</t>
        </is>
      </c>
      <c r="G578" t="n">
        <v>0.4</v>
      </c>
      <c r="H578" t="n">
        <v>0</v>
      </c>
      <c r="I578" t="n">
        <v>0</v>
      </c>
      <c r="J578" t="n">
        <v>0</v>
      </c>
      <c r="K578" t="n">
        <v>0</v>
      </c>
      <c r="L578" t="n">
        <v>0</v>
      </c>
      <c r="M578" t="n">
        <v>0</v>
      </c>
      <c r="N578" t="n">
        <v>0</v>
      </c>
      <c r="O578" t="n">
        <v>0</v>
      </c>
      <c r="P578" t="n">
        <v>0</v>
      </c>
      <c r="Q578" t="n">
        <v>0</v>
      </c>
      <c r="R578" s="2" t="inlineStr"/>
    </row>
    <row r="579" ht="15" customHeight="1">
      <c r="A579" t="inlineStr">
        <is>
          <t>A 46152-2023</t>
        </is>
      </c>
      <c r="B579" s="1" t="n">
        <v>45196.58278935185</v>
      </c>
      <c r="C579" s="1" t="n">
        <v>45925</v>
      </c>
      <c r="D579" t="inlineStr">
        <is>
          <t>DALARNAS LÄN</t>
        </is>
      </c>
      <c r="E579" t="inlineStr">
        <is>
          <t>MORA</t>
        </is>
      </c>
      <c r="G579" t="n">
        <v>2</v>
      </c>
      <c r="H579" t="n">
        <v>0</v>
      </c>
      <c r="I579" t="n">
        <v>0</v>
      </c>
      <c r="J579" t="n">
        <v>0</v>
      </c>
      <c r="K579" t="n">
        <v>0</v>
      </c>
      <c r="L579" t="n">
        <v>0</v>
      </c>
      <c r="M579" t="n">
        <v>0</v>
      </c>
      <c r="N579" t="n">
        <v>0</v>
      </c>
      <c r="O579" t="n">
        <v>0</v>
      </c>
      <c r="P579" t="n">
        <v>0</v>
      </c>
      <c r="Q579" t="n">
        <v>0</v>
      </c>
      <c r="R579" s="2" t="inlineStr"/>
    </row>
    <row r="580" ht="15" customHeight="1">
      <c r="A580" t="inlineStr">
        <is>
          <t>A 28924-2025</t>
        </is>
      </c>
      <c r="B580" s="1" t="n">
        <v>45820.66846064815</v>
      </c>
      <c r="C580" s="1" t="n">
        <v>45925</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25345-2025</t>
        </is>
      </c>
      <c r="B581" s="1" t="n">
        <v>45799</v>
      </c>
      <c r="C581" s="1" t="n">
        <v>45925</v>
      </c>
      <c r="D581" t="inlineStr">
        <is>
          <t>DALARNAS LÄN</t>
        </is>
      </c>
      <c r="E581" t="inlineStr">
        <is>
          <t>MORA</t>
        </is>
      </c>
      <c r="G581" t="n">
        <v>3.1</v>
      </c>
      <c r="H581" t="n">
        <v>0</v>
      </c>
      <c r="I581" t="n">
        <v>0</v>
      </c>
      <c r="J581" t="n">
        <v>0</v>
      </c>
      <c r="K581" t="n">
        <v>0</v>
      </c>
      <c r="L581" t="n">
        <v>0</v>
      </c>
      <c r="M581" t="n">
        <v>0</v>
      </c>
      <c r="N581" t="n">
        <v>0</v>
      </c>
      <c r="O581" t="n">
        <v>0</v>
      </c>
      <c r="P581" t="n">
        <v>0</v>
      </c>
      <c r="Q581" t="n">
        <v>0</v>
      </c>
      <c r="R581" s="2" t="inlineStr"/>
    </row>
    <row r="582" ht="15" customHeight="1">
      <c r="A582" t="inlineStr">
        <is>
          <t>A 29425-2025</t>
        </is>
      </c>
      <c r="B582" s="1" t="n">
        <v>45824.64524305556</v>
      </c>
      <c r="C582" s="1" t="n">
        <v>45925</v>
      </c>
      <c r="D582" t="inlineStr">
        <is>
          <t>DALARNAS LÄN</t>
        </is>
      </c>
      <c r="E582" t="inlineStr">
        <is>
          <t>MORA</t>
        </is>
      </c>
      <c r="G582" t="n">
        <v>4.4</v>
      </c>
      <c r="H582" t="n">
        <v>0</v>
      </c>
      <c r="I582" t="n">
        <v>0</v>
      </c>
      <c r="J582" t="n">
        <v>0</v>
      </c>
      <c r="K582" t="n">
        <v>0</v>
      </c>
      <c r="L582" t="n">
        <v>0</v>
      </c>
      <c r="M582" t="n">
        <v>0</v>
      </c>
      <c r="N582" t="n">
        <v>0</v>
      </c>
      <c r="O582" t="n">
        <v>0</v>
      </c>
      <c r="P582" t="n">
        <v>0</v>
      </c>
      <c r="Q582" t="n">
        <v>0</v>
      </c>
      <c r="R582" s="2" t="inlineStr"/>
    </row>
    <row r="583" ht="15" customHeight="1">
      <c r="A583" t="inlineStr">
        <is>
          <t>A 42035-2022</t>
        </is>
      </c>
      <c r="B583" s="1" t="n">
        <v>44830</v>
      </c>
      <c r="C583" s="1" t="n">
        <v>45925</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28976-2025</t>
        </is>
      </c>
      <c r="B584" s="1" t="n">
        <v>45821.34855324074</v>
      </c>
      <c r="C584" s="1" t="n">
        <v>45925</v>
      </c>
      <c r="D584" t="inlineStr">
        <is>
          <t>DALARNAS LÄN</t>
        </is>
      </c>
      <c r="E584" t="inlineStr">
        <is>
          <t>MORA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45925</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29068-2025</t>
        </is>
      </c>
      <c r="B586" s="1" t="n">
        <v>45821.50900462963</v>
      </c>
      <c r="C586" s="1" t="n">
        <v>45925</v>
      </c>
      <c r="D586" t="inlineStr">
        <is>
          <t>DALARNAS LÄN</t>
        </is>
      </c>
      <c r="E586" t="inlineStr">
        <is>
          <t>MORA</t>
        </is>
      </c>
      <c r="G586" t="n">
        <v>1.2</v>
      </c>
      <c r="H586" t="n">
        <v>0</v>
      </c>
      <c r="I586" t="n">
        <v>0</v>
      </c>
      <c r="J586" t="n">
        <v>0</v>
      </c>
      <c r="K586" t="n">
        <v>0</v>
      </c>
      <c r="L586" t="n">
        <v>0</v>
      </c>
      <c r="M586" t="n">
        <v>0</v>
      </c>
      <c r="N586" t="n">
        <v>0</v>
      </c>
      <c r="O586" t="n">
        <v>0</v>
      </c>
      <c r="P586" t="n">
        <v>0</v>
      </c>
      <c r="Q586" t="n">
        <v>0</v>
      </c>
      <c r="R586" s="2" t="inlineStr"/>
    </row>
    <row r="587" ht="15" customHeight="1">
      <c r="A587" t="inlineStr">
        <is>
          <t>A 29870-2025</t>
        </is>
      </c>
      <c r="B587" s="1" t="n">
        <v>45826.35716435185</v>
      </c>
      <c r="C587" s="1" t="n">
        <v>45925</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29873-2025</t>
        </is>
      </c>
      <c r="B588" s="1" t="n">
        <v>45826</v>
      </c>
      <c r="C588" s="1" t="n">
        <v>45925</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5980-2025</t>
        </is>
      </c>
      <c r="B589" s="1" t="n">
        <v>45695.54651620371</v>
      </c>
      <c r="C589" s="1" t="n">
        <v>45925</v>
      </c>
      <c r="D589" t="inlineStr">
        <is>
          <t>DALARNAS LÄN</t>
        </is>
      </c>
      <c r="E589" t="inlineStr">
        <is>
          <t>MORA</t>
        </is>
      </c>
      <c r="G589" t="n">
        <v>2.7</v>
      </c>
      <c r="H589" t="n">
        <v>0</v>
      </c>
      <c r="I589" t="n">
        <v>0</v>
      </c>
      <c r="J589" t="n">
        <v>0</v>
      </c>
      <c r="K589" t="n">
        <v>0</v>
      </c>
      <c r="L589" t="n">
        <v>0</v>
      </c>
      <c r="M589" t="n">
        <v>0</v>
      </c>
      <c r="N589" t="n">
        <v>0</v>
      </c>
      <c r="O589" t="n">
        <v>0</v>
      </c>
      <c r="P589" t="n">
        <v>0</v>
      </c>
      <c r="Q589" t="n">
        <v>0</v>
      </c>
      <c r="R589" s="2" t="inlineStr"/>
    </row>
    <row r="590" ht="15" customHeight="1">
      <c r="A590" t="inlineStr">
        <is>
          <t>A 29528-2025</t>
        </is>
      </c>
      <c r="B590" s="1" t="n">
        <v>45825.34322916667</v>
      </c>
      <c r="C590" s="1" t="n">
        <v>45925</v>
      </c>
      <c r="D590" t="inlineStr">
        <is>
          <t>DALARNAS LÄN</t>
        </is>
      </c>
      <c r="E590" t="inlineStr">
        <is>
          <t>MORA</t>
        </is>
      </c>
      <c r="G590" t="n">
        <v>2.2</v>
      </c>
      <c r="H590" t="n">
        <v>0</v>
      </c>
      <c r="I590" t="n">
        <v>0</v>
      </c>
      <c r="J590" t="n">
        <v>0</v>
      </c>
      <c r="K590" t="n">
        <v>0</v>
      </c>
      <c r="L590" t="n">
        <v>0</v>
      </c>
      <c r="M590" t="n">
        <v>0</v>
      </c>
      <c r="N590" t="n">
        <v>0</v>
      </c>
      <c r="O590" t="n">
        <v>0</v>
      </c>
      <c r="P590" t="n">
        <v>0</v>
      </c>
      <c r="Q590" t="n">
        <v>0</v>
      </c>
      <c r="R590" s="2" t="inlineStr"/>
    </row>
    <row r="591" ht="15" customHeight="1">
      <c r="A591" t="inlineStr">
        <is>
          <t>A 9599-2022</t>
        </is>
      </c>
      <c r="B591" s="1" t="n">
        <v>44617.48909722222</v>
      </c>
      <c r="C591" s="1" t="n">
        <v>45925</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30087-2025</t>
        </is>
      </c>
      <c r="B592" s="1" t="n">
        <v>45826.6575</v>
      </c>
      <c r="C592" s="1" t="n">
        <v>45925</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51883-2024</t>
        </is>
      </c>
      <c r="B593" s="1" t="n">
        <v>45607</v>
      </c>
      <c r="C593" s="1" t="n">
        <v>45925</v>
      </c>
      <c r="D593" t="inlineStr">
        <is>
          <t>DALARNAS LÄN</t>
        </is>
      </c>
      <c r="E593" t="inlineStr">
        <is>
          <t>MORA</t>
        </is>
      </c>
      <c r="G593" t="n">
        <v>0.2</v>
      </c>
      <c r="H593" t="n">
        <v>0</v>
      </c>
      <c r="I593" t="n">
        <v>0</v>
      </c>
      <c r="J593" t="n">
        <v>0</v>
      </c>
      <c r="K593" t="n">
        <v>0</v>
      </c>
      <c r="L593" t="n">
        <v>0</v>
      </c>
      <c r="M593" t="n">
        <v>0</v>
      </c>
      <c r="N593" t="n">
        <v>0</v>
      </c>
      <c r="O593" t="n">
        <v>0</v>
      </c>
      <c r="P593" t="n">
        <v>0</v>
      </c>
      <c r="Q593" t="n">
        <v>0</v>
      </c>
      <c r="R593" s="2" t="inlineStr"/>
    </row>
    <row r="594" ht="15" customHeight="1">
      <c r="A594" t="inlineStr">
        <is>
          <t>A 51888-2024</t>
        </is>
      </c>
      <c r="B594" s="1" t="n">
        <v>45607.57142361111</v>
      </c>
      <c r="C594" s="1" t="n">
        <v>45925</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38627-2023</t>
        </is>
      </c>
      <c r="B595" s="1" t="n">
        <v>45162.68787037037</v>
      </c>
      <c r="C595" s="1" t="n">
        <v>45925</v>
      </c>
      <c r="D595" t="inlineStr">
        <is>
          <t>DALARNAS LÄN</t>
        </is>
      </c>
      <c r="E595" t="inlineStr">
        <is>
          <t>MORA</t>
        </is>
      </c>
      <c r="G595" t="n">
        <v>6.5</v>
      </c>
      <c r="H595" t="n">
        <v>0</v>
      </c>
      <c r="I595" t="n">
        <v>0</v>
      </c>
      <c r="J595" t="n">
        <v>0</v>
      </c>
      <c r="K595" t="n">
        <v>0</v>
      </c>
      <c r="L595" t="n">
        <v>0</v>
      </c>
      <c r="M595" t="n">
        <v>0</v>
      </c>
      <c r="N595" t="n">
        <v>0</v>
      </c>
      <c r="O595" t="n">
        <v>0</v>
      </c>
      <c r="P595" t="n">
        <v>0</v>
      </c>
      <c r="Q595" t="n">
        <v>0</v>
      </c>
      <c r="R595" s="2" t="inlineStr"/>
    </row>
    <row r="596" ht="15" customHeight="1">
      <c r="A596" t="inlineStr">
        <is>
          <t>A 16637-2025</t>
        </is>
      </c>
      <c r="B596" s="1" t="n">
        <v>45754.36738425926</v>
      </c>
      <c r="C596" s="1" t="n">
        <v>45925</v>
      </c>
      <c r="D596" t="inlineStr">
        <is>
          <t>DALARNAS LÄN</t>
        </is>
      </c>
      <c r="E596" t="inlineStr">
        <is>
          <t>MORA</t>
        </is>
      </c>
      <c r="G596" t="n">
        <v>1.1</v>
      </c>
      <c r="H596" t="n">
        <v>0</v>
      </c>
      <c r="I596" t="n">
        <v>0</v>
      </c>
      <c r="J596" t="n">
        <v>0</v>
      </c>
      <c r="K596" t="n">
        <v>0</v>
      </c>
      <c r="L596" t="n">
        <v>0</v>
      </c>
      <c r="M596" t="n">
        <v>0</v>
      </c>
      <c r="N596" t="n">
        <v>0</v>
      </c>
      <c r="O596" t="n">
        <v>0</v>
      </c>
      <c r="P596" t="n">
        <v>0</v>
      </c>
      <c r="Q596" t="n">
        <v>0</v>
      </c>
      <c r="R596" s="2" t="inlineStr"/>
    </row>
    <row r="597" ht="15" customHeight="1">
      <c r="A597" t="inlineStr">
        <is>
          <t>A 48570-2022</t>
        </is>
      </c>
      <c r="B597" s="1" t="n">
        <v>44859</v>
      </c>
      <c r="C597" s="1" t="n">
        <v>45925</v>
      </c>
      <c r="D597" t="inlineStr">
        <is>
          <t>DALARNAS LÄN</t>
        </is>
      </c>
      <c r="E597" t="inlineStr">
        <is>
          <t>MORA</t>
        </is>
      </c>
      <c r="G597" t="n">
        <v>6.2</v>
      </c>
      <c r="H597" t="n">
        <v>0</v>
      </c>
      <c r="I597" t="n">
        <v>0</v>
      </c>
      <c r="J597" t="n">
        <v>0</v>
      </c>
      <c r="K597" t="n">
        <v>0</v>
      </c>
      <c r="L597" t="n">
        <v>0</v>
      </c>
      <c r="M597" t="n">
        <v>0</v>
      </c>
      <c r="N597" t="n">
        <v>0</v>
      </c>
      <c r="O597" t="n">
        <v>0</v>
      </c>
      <c r="P597" t="n">
        <v>0</v>
      </c>
      <c r="Q597" t="n">
        <v>0</v>
      </c>
      <c r="R597" s="2" t="inlineStr"/>
    </row>
    <row r="598" ht="15" customHeight="1">
      <c r="A598" t="inlineStr">
        <is>
          <t>A 49991-2023</t>
        </is>
      </c>
      <c r="B598" s="1" t="n">
        <v>45215.43879629629</v>
      </c>
      <c r="C598" s="1" t="n">
        <v>45925</v>
      </c>
      <c r="D598" t="inlineStr">
        <is>
          <t>DALARNAS LÄN</t>
        </is>
      </c>
      <c r="E598" t="inlineStr">
        <is>
          <t>MORA</t>
        </is>
      </c>
      <c r="G598" t="n">
        <v>1.8</v>
      </c>
      <c r="H598" t="n">
        <v>0</v>
      </c>
      <c r="I598" t="n">
        <v>0</v>
      </c>
      <c r="J598" t="n">
        <v>0</v>
      </c>
      <c r="K598" t="n">
        <v>0</v>
      </c>
      <c r="L598" t="n">
        <v>0</v>
      </c>
      <c r="M598" t="n">
        <v>0</v>
      </c>
      <c r="N598" t="n">
        <v>0</v>
      </c>
      <c r="O598" t="n">
        <v>0</v>
      </c>
      <c r="P598" t="n">
        <v>0</v>
      </c>
      <c r="Q598" t="n">
        <v>0</v>
      </c>
      <c r="R598" s="2" t="inlineStr"/>
    </row>
    <row r="599" ht="15" customHeight="1">
      <c r="A599" t="inlineStr">
        <is>
          <t>A 62268-2020</t>
        </is>
      </c>
      <c r="B599" s="1" t="n">
        <v>44160</v>
      </c>
      <c r="C599" s="1" t="n">
        <v>45925</v>
      </c>
      <c r="D599" t="inlineStr">
        <is>
          <t>DALARNAS LÄN</t>
        </is>
      </c>
      <c r="E599" t="inlineStr">
        <is>
          <t>MORA</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30166-2025</t>
        </is>
      </c>
      <c r="B600" s="1" t="n">
        <v>45827.33116898148</v>
      </c>
      <c r="C600" s="1" t="n">
        <v>45925</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20401-2022</t>
        </is>
      </c>
      <c r="B601" s="1" t="n">
        <v>44699</v>
      </c>
      <c r="C601" s="1" t="n">
        <v>45925</v>
      </c>
      <c r="D601" t="inlineStr">
        <is>
          <t>DALARNAS LÄN</t>
        </is>
      </c>
      <c r="E601" t="inlineStr">
        <is>
          <t>MORA</t>
        </is>
      </c>
      <c r="G601" t="n">
        <v>3.2</v>
      </c>
      <c r="H601" t="n">
        <v>0</v>
      </c>
      <c r="I601" t="n">
        <v>0</v>
      </c>
      <c r="J601" t="n">
        <v>0</v>
      </c>
      <c r="K601" t="n">
        <v>0</v>
      </c>
      <c r="L601" t="n">
        <v>0</v>
      </c>
      <c r="M601" t="n">
        <v>0</v>
      </c>
      <c r="N601" t="n">
        <v>0</v>
      </c>
      <c r="O601" t="n">
        <v>0</v>
      </c>
      <c r="P601" t="n">
        <v>0</v>
      </c>
      <c r="Q601" t="n">
        <v>0</v>
      </c>
      <c r="R601" s="2" t="inlineStr"/>
    </row>
    <row r="602" ht="15" customHeight="1">
      <c r="A602" t="inlineStr">
        <is>
          <t>A 18120-2025</t>
        </is>
      </c>
      <c r="B602" s="1" t="n">
        <v>45761</v>
      </c>
      <c r="C602" s="1" t="n">
        <v>45925</v>
      </c>
      <c r="D602" t="inlineStr">
        <is>
          <t>DALARNAS LÄN</t>
        </is>
      </c>
      <c r="E602" t="inlineStr">
        <is>
          <t>MORA</t>
        </is>
      </c>
      <c r="F602" t="inlineStr">
        <is>
          <t>Bergvik skog väst AB</t>
        </is>
      </c>
      <c r="G602" t="n">
        <v>6.4</v>
      </c>
      <c r="H602" t="n">
        <v>0</v>
      </c>
      <c r="I602" t="n">
        <v>0</v>
      </c>
      <c r="J602" t="n">
        <v>0</v>
      </c>
      <c r="K602" t="n">
        <v>0</v>
      </c>
      <c r="L602" t="n">
        <v>0</v>
      </c>
      <c r="M602" t="n">
        <v>0</v>
      </c>
      <c r="N602" t="n">
        <v>0</v>
      </c>
      <c r="O602" t="n">
        <v>0</v>
      </c>
      <c r="P602" t="n">
        <v>0</v>
      </c>
      <c r="Q602" t="n">
        <v>0</v>
      </c>
      <c r="R602" s="2" t="inlineStr"/>
    </row>
    <row r="603" ht="15" customHeight="1">
      <c r="A603" t="inlineStr">
        <is>
          <t>A 18127-2025</t>
        </is>
      </c>
      <c r="B603" s="1" t="n">
        <v>45761.59523148148</v>
      </c>
      <c r="C603" s="1" t="n">
        <v>45925</v>
      </c>
      <c r="D603" t="inlineStr">
        <is>
          <t>DALARNAS LÄN</t>
        </is>
      </c>
      <c r="E603" t="inlineStr">
        <is>
          <t>MORA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25887-2023</t>
        </is>
      </c>
      <c r="B604" s="1" t="n">
        <v>45090.62493055555</v>
      </c>
      <c r="C604" s="1" t="n">
        <v>45925</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20544-2025</t>
        </is>
      </c>
      <c r="B605" s="1" t="n">
        <v>45775.63119212963</v>
      </c>
      <c r="C605" s="1" t="n">
        <v>45925</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30507-2025</t>
        </is>
      </c>
      <c r="B606" s="1" t="n">
        <v>45831.24760416667</v>
      </c>
      <c r="C606" s="1" t="n">
        <v>45925</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45925</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30858-2025</t>
        </is>
      </c>
      <c r="B608" s="1" t="n">
        <v>45831.92416666666</v>
      </c>
      <c r="C608" s="1" t="n">
        <v>45925</v>
      </c>
      <c r="D608" t="inlineStr">
        <is>
          <t>DALARNAS LÄN</t>
        </is>
      </c>
      <c r="E608" t="inlineStr">
        <is>
          <t>MORA</t>
        </is>
      </c>
      <c r="G608" t="n">
        <v>2.9</v>
      </c>
      <c r="H608" t="n">
        <v>0</v>
      </c>
      <c r="I608" t="n">
        <v>0</v>
      </c>
      <c r="J608" t="n">
        <v>0</v>
      </c>
      <c r="K608" t="n">
        <v>0</v>
      </c>
      <c r="L608" t="n">
        <v>0</v>
      </c>
      <c r="M608" t="n">
        <v>0</v>
      </c>
      <c r="N608" t="n">
        <v>0</v>
      </c>
      <c r="O608" t="n">
        <v>0</v>
      </c>
      <c r="P608" t="n">
        <v>0</v>
      </c>
      <c r="Q608" t="n">
        <v>0</v>
      </c>
      <c r="R608" s="2" t="inlineStr"/>
    </row>
    <row r="609" ht="15" customHeight="1">
      <c r="A609" t="inlineStr">
        <is>
          <t>A 30859-2025</t>
        </is>
      </c>
      <c r="B609" s="1" t="n">
        <v>45831.93105324074</v>
      </c>
      <c r="C609" s="1" t="n">
        <v>45925</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30989-2025</t>
        </is>
      </c>
      <c r="B610" s="1" t="n">
        <v>45832.48185185185</v>
      </c>
      <c r="C610" s="1" t="n">
        <v>45925</v>
      </c>
      <c r="D610" t="inlineStr">
        <is>
          <t>DALARNAS LÄN</t>
        </is>
      </c>
      <c r="E610" t="inlineStr">
        <is>
          <t>MORA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48342-2023</t>
        </is>
      </c>
      <c r="B611" s="1" t="n">
        <v>45205</v>
      </c>
      <c r="C611" s="1" t="n">
        <v>45925</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30509-2025</t>
        </is>
      </c>
      <c r="B612" s="1" t="n">
        <v>45831.25519675926</v>
      </c>
      <c r="C612" s="1" t="n">
        <v>45925</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31849-2025</t>
        </is>
      </c>
      <c r="B613" s="1" t="n">
        <v>45834.60525462963</v>
      </c>
      <c r="C613" s="1" t="n">
        <v>45925</v>
      </c>
      <c r="D613" t="inlineStr">
        <is>
          <t>DALARNAS LÄN</t>
        </is>
      </c>
      <c r="E613" t="inlineStr">
        <is>
          <t>MORA</t>
        </is>
      </c>
      <c r="G613" t="n">
        <v>3.9</v>
      </c>
      <c r="H613" t="n">
        <v>0</v>
      </c>
      <c r="I613" t="n">
        <v>0</v>
      </c>
      <c r="J613" t="n">
        <v>0</v>
      </c>
      <c r="K613" t="n">
        <v>0</v>
      </c>
      <c r="L613" t="n">
        <v>0</v>
      </c>
      <c r="M613" t="n">
        <v>0</v>
      </c>
      <c r="N613" t="n">
        <v>0</v>
      </c>
      <c r="O613" t="n">
        <v>0</v>
      </c>
      <c r="P613" t="n">
        <v>0</v>
      </c>
      <c r="Q613" t="n">
        <v>0</v>
      </c>
      <c r="R613" s="2" t="inlineStr"/>
    </row>
    <row r="614" ht="15" customHeight="1">
      <c r="A614" t="inlineStr">
        <is>
          <t>A 53527-2024</t>
        </is>
      </c>
      <c r="B614" s="1" t="n">
        <v>45614.61569444444</v>
      </c>
      <c r="C614" s="1" t="n">
        <v>45925</v>
      </c>
      <c r="D614" t="inlineStr">
        <is>
          <t>DALARNAS LÄN</t>
        </is>
      </c>
      <c r="E614" t="inlineStr">
        <is>
          <t>MORA</t>
        </is>
      </c>
      <c r="G614" t="n">
        <v>3.3</v>
      </c>
      <c r="H614" t="n">
        <v>0</v>
      </c>
      <c r="I614" t="n">
        <v>0</v>
      </c>
      <c r="J614" t="n">
        <v>0</v>
      </c>
      <c r="K614" t="n">
        <v>0</v>
      </c>
      <c r="L614" t="n">
        <v>0</v>
      </c>
      <c r="M614" t="n">
        <v>0</v>
      </c>
      <c r="N614" t="n">
        <v>0</v>
      </c>
      <c r="O614" t="n">
        <v>0</v>
      </c>
      <c r="P614" t="n">
        <v>0</v>
      </c>
      <c r="Q614" t="n">
        <v>0</v>
      </c>
      <c r="R614" s="2" t="inlineStr"/>
    </row>
    <row r="615" ht="15" customHeight="1">
      <c r="A615" t="inlineStr">
        <is>
          <t>A 17393-2025</t>
        </is>
      </c>
      <c r="B615" s="1" t="n">
        <v>45757.34350694445</v>
      </c>
      <c r="C615" s="1" t="n">
        <v>45925</v>
      </c>
      <c r="D615" t="inlineStr">
        <is>
          <t>DALARNAS LÄN</t>
        </is>
      </c>
      <c r="E615" t="inlineStr">
        <is>
          <t>MORA</t>
        </is>
      </c>
      <c r="G615" t="n">
        <v>10.1</v>
      </c>
      <c r="H615" t="n">
        <v>0</v>
      </c>
      <c r="I615" t="n">
        <v>0</v>
      </c>
      <c r="J615" t="n">
        <v>0</v>
      </c>
      <c r="K615" t="n">
        <v>0</v>
      </c>
      <c r="L615" t="n">
        <v>0</v>
      </c>
      <c r="M615" t="n">
        <v>0</v>
      </c>
      <c r="N615" t="n">
        <v>0</v>
      </c>
      <c r="O615" t="n">
        <v>0</v>
      </c>
      <c r="P615" t="n">
        <v>0</v>
      </c>
      <c r="Q615" t="n">
        <v>0</v>
      </c>
      <c r="R615" s="2" t="inlineStr"/>
    </row>
    <row r="616" ht="15" customHeight="1">
      <c r="A616" t="inlineStr">
        <is>
          <t>A 31846-2025</t>
        </is>
      </c>
      <c r="B616" s="1" t="n">
        <v>45834.60209490741</v>
      </c>
      <c r="C616" s="1" t="n">
        <v>45925</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31842-2025</t>
        </is>
      </c>
      <c r="B617" s="1" t="n">
        <v>45834.59822916667</v>
      </c>
      <c r="C617" s="1" t="n">
        <v>45925</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14936-2025</t>
        </is>
      </c>
      <c r="B618" s="1" t="n">
        <v>45743.55756944444</v>
      </c>
      <c r="C618" s="1" t="n">
        <v>45925</v>
      </c>
      <c r="D618" t="inlineStr">
        <is>
          <t>DALARNAS LÄN</t>
        </is>
      </c>
      <c r="E618" t="inlineStr">
        <is>
          <t>MORA</t>
        </is>
      </c>
      <c r="G618" t="n">
        <v>2.4</v>
      </c>
      <c r="H618" t="n">
        <v>0</v>
      </c>
      <c r="I618" t="n">
        <v>0</v>
      </c>
      <c r="J618" t="n">
        <v>0</v>
      </c>
      <c r="K618" t="n">
        <v>0</v>
      </c>
      <c r="L618" t="n">
        <v>0</v>
      </c>
      <c r="M618" t="n">
        <v>0</v>
      </c>
      <c r="N618" t="n">
        <v>0</v>
      </c>
      <c r="O618" t="n">
        <v>0</v>
      </c>
      <c r="P618" t="n">
        <v>0</v>
      </c>
      <c r="Q618" t="n">
        <v>0</v>
      </c>
      <c r="R618" s="2" t="inlineStr"/>
    </row>
    <row r="619" ht="15" customHeight="1">
      <c r="A619" t="inlineStr">
        <is>
          <t>A 35381-2024</t>
        </is>
      </c>
      <c r="B619" s="1" t="n">
        <v>45531.38372685185</v>
      </c>
      <c r="C619" s="1" t="n">
        <v>45925</v>
      </c>
      <c r="D619" t="inlineStr">
        <is>
          <t>DALARNAS LÄN</t>
        </is>
      </c>
      <c r="E619" t="inlineStr">
        <is>
          <t>MORA</t>
        </is>
      </c>
      <c r="G619" t="n">
        <v>3.7</v>
      </c>
      <c r="H619" t="n">
        <v>0</v>
      </c>
      <c r="I619" t="n">
        <v>0</v>
      </c>
      <c r="J619" t="n">
        <v>0</v>
      </c>
      <c r="K619" t="n">
        <v>0</v>
      </c>
      <c r="L619" t="n">
        <v>0</v>
      </c>
      <c r="M619" t="n">
        <v>0</v>
      </c>
      <c r="N619" t="n">
        <v>0</v>
      </c>
      <c r="O619" t="n">
        <v>0</v>
      </c>
      <c r="P619" t="n">
        <v>0</v>
      </c>
      <c r="Q619" t="n">
        <v>0</v>
      </c>
      <c r="R619" s="2" t="inlineStr"/>
    </row>
    <row r="620" ht="15" customHeight="1">
      <c r="A620" t="inlineStr">
        <is>
          <t>A 15817-2024</t>
        </is>
      </c>
      <c r="B620" s="1" t="n">
        <v>45404.67387731482</v>
      </c>
      <c r="C620" s="1" t="n">
        <v>45925</v>
      </c>
      <c r="D620" t="inlineStr">
        <is>
          <t>DALARNAS LÄN</t>
        </is>
      </c>
      <c r="E620" t="inlineStr">
        <is>
          <t>MORA</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46755-2023</t>
        </is>
      </c>
      <c r="B621" s="1" t="n">
        <v>45198.61314814815</v>
      </c>
      <c r="C621" s="1" t="n">
        <v>45925</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14372-2025</t>
        </is>
      </c>
      <c r="B622" s="1" t="n">
        <v>45741.4050462963</v>
      </c>
      <c r="C622" s="1" t="n">
        <v>45925</v>
      </c>
      <c r="D622" t="inlineStr">
        <is>
          <t>DALARNAS LÄN</t>
        </is>
      </c>
      <c r="E622" t="inlineStr">
        <is>
          <t>MORA</t>
        </is>
      </c>
      <c r="G622" t="n">
        <v>5.1</v>
      </c>
      <c r="H622" t="n">
        <v>0</v>
      </c>
      <c r="I622" t="n">
        <v>0</v>
      </c>
      <c r="J622" t="n">
        <v>0</v>
      </c>
      <c r="K622" t="n">
        <v>0</v>
      </c>
      <c r="L622" t="n">
        <v>0</v>
      </c>
      <c r="M622" t="n">
        <v>0</v>
      </c>
      <c r="N622" t="n">
        <v>0</v>
      </c>
      <c r="O622" t="n">
        <v>0</v>
      </c>
      <c r="P622" t="n">
        <v>0</v>
      </c>
      <c r="Q622" t="n">
        <v>0</v>
      </c>
      <c r="R622" s="2" t="inlineStr"/>
    </row>
    <row r="623" ht="15" customHeight="1">
      <c r="A623" t="inlineStr">
        <is>
          <t>A 14378-2025</t>
        </is>
      </c>
      <c r="B623" s="1" t="n">
        <v>45741</v>
      </c>
      <c r="C623" s="1" t="n">
        <v>45925</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44177-2023</t>
        </is>
      </c>
      <c r="B624" s="1" t="n">
        <v>45188.51439814815</v>
      </c>
      <c r="C624" s="1" t="n">
        <v>45925</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32852-2025</t>
        </is>
      </c>
      <c r="B625" s="1" t="n">
        <v>45839.57559027777</v>
      </c>
      <c r="C625" s="1" t="n">
        <v>45925</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44201-2023</t>
        </is>
      </c>
      <c r="B626" s="1" t="n">
        <v>45188</v>
      </c>
      <c r="C626" s="1" t="n">
        <v>45925</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55222-2023</t>
        </is>
      </c>
      <c r="B627" s="1" t="n">
        <v>45237.60775462963</v>
      </c>
      <c r="C627" s="1" t="n">
        <v>45925</v>
      </c>
      <c r="D627" t="inlineStr">
        <is>
          <t>DALARNAS LÄN</t>
        </is>
      </c>
      <c r="E627" t="inlineStr">
        <is>
          <t>MORA</t>
        </is>
      </c>
      <c r="F627" t="inlineStr">
        <is>
          <t>Allmännings- och besparingsskogar</t>
        </is>
      </c>
      <c r="G627" t="n">
        <v>19.8</v>
      </c>
      <c r="H627" t="n">
        <v>0</v>
      </c>
      <c r="I627" t="n">
        <v>0</v>
      </c>
      <c r="J627" t="n">
        <v>0</v>
      </c>
      <c r="K627" t="n">
        <v>0</v>
      </c>
      <c r="L627" t="n">
        <v>0</v>
      </c>
      <c r="M627" t="n">
        <v>0</v>
      </c>
      <c r="N627" t="n">
        <v>0</v>
      </c>
      <c r="O627" t="n">
        <v>0</v>
      </c>
      <c r="P627" t="n">
        <v>0</v>
      </c>
      <c r="Q627" t="n">
        <v>0</v>
      </c>
      <c r="R627" s="2" t="inlineStr"/>
    </row>
    <row r="628" ht="15" customHeight="1">
      <c r="A628" t="inlineStr">
        <is>
          <t>A 31177-2021</t>
        </is>
      </c>
      <c r="B628" s="1" t="n">
        <v>44368</v>
      </c>
      <c r="C628" s="1" t="n">
        <v>45925</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51570-2023</t>
        </is>
      </c>
      <c r="B629" s="1" t="n">
        <v>45222</v>
      </c>
      <c r="C629" s="1" t="n">
        <v>45925</v>
      </c>
      <c r="D629" t="inlineStr">
        <is>
          <t>DALARNAS LÄN</t>
        </is>
      </c>
      <c r="E629" t="inlineStr">
        <is>
          <t>MORA</t>
        </is>
      </c>
      <c r="G629" t="n">
        <v>10.1</v>
      </c>
      <c r="H629" t="n">
        <v>0</v>
      </c>
      <c r="I629" t="n">
        <v>0</v>
      </c>
      <c r="J629" t="n">
        <v>0</v>
      </c>
      <c r="K629" t="n">
        <v>0</v>
      </c>
      <c r="L629" t="n">
        <v>0</v>
      </c>
      <c r="M629" t="n">
        <v>0</v>
      </c>
      <c r="N629" t="n">
        <v>0</v>
      </c>
      <c r="O629" t="n">
        <v>0</v>
      </c>
      <c r="P629" t="n">
        <v>0</v>
      </c>
      <c r="Q629" t="n">
        <v>0</v>
      </c>
      <c r="R629" s="2" t="inlineStr"/>
    </row>
    <row r="630" ht="15" customHeight="1">
      <c r="A630" t="inlineStr">
        <is>
          <t>A 33443-2025</t>
        </is>
      </c>
      <c r="B630" s="1" t="n">
        <v>45841</v>
      </c>
      <c r="C630" s="1" t="n">
        <v>45925</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32261-2022</t>
        </is>
      </c>
      <c r="B631" s="1" t="n">
        <v>44781.5350925926</v>
      </c>
      <c r="C631" s="1" t="n">
        <v>45925</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45925</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18806-2025</t>
        </is>
      </c>
      <c r="B633" s="1" t="n">
        <v>45764.35269675926</v>
      </c>
      <c r="C633" s="1" t="n">
        <v>45925</v>
      </c>
      <c r="D633" t="inlineStr">
        <is>
          <t>DALARNAS LÄN</t>
        </is>
      </c>
      <c r="E633" t="inlineStr">
        <is>
          <t>MORA</t>
        </is>
      </c>
      <c r="G633" t="n">
        <v>1.7</v>
      </c>
      <c r="H633" t="n">
        <v>0</v>
      </c>
      <c r="I633" t="n">
        <v>0</v>
      </c>
      <c r="J633" t="n">
        <v>0</v>
      </c>
      <c r="K633" t="n">
        <v>0</v>
      </c>
      <c r="L633" t="n">
        <v>0</v>
      </c>
      <c r="M633" t="n">
        <v>0</v>
      </c>
      <c r="N633" t="n">
        <v>0</v>
      </c>
      <c r="O633" t="n">
        <v>0</v>
      </c>
      <c r="P633" t="n">
        <v>0</v>
      </c>
      <c r="Q633" t="n">
        <v>0</v>
      </c>
      <c r="R633" s="2" t="inlineStr"/>
    </row>
    <row r="634" ht="15" customHeight="1">
      <c r="A634" t="inlineStr">
        <is>
          <t>A 17163-2025</t>
        </is>
      </c>
      <c r="B634" s="1" t="n">
        <v>45756.35998842592</v>
      </c>
      <c r="C634" s="1" t="n">
        <v>45925</v>
      </c>
      <c r="D634" t="inlineStr">
        <is>
          <t>DALARNAS LÄN</t>
        </is>
      </c>
      <c r="E634" t="inlineStr">
        <is>
          <t>MORA</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10777-2025</t>
        </is>
      </c>
      <c r="B635" s="1" t="n">
        <v>45722.47743055555</v>
      </c>
      <c r="C635" s="1" t="n">
        <v>45925</v>
      </c>
      <c r="D635" t="inlineStr">
        <is>
          <t>DALARNAS LÄN</t>
        </is>
      </c>
      <c r="E635" t="inlineStr">
        <is>
          <t>MORA</t>
        </is>
      </c>
      <c r="G635" t="n">
        <v>9.9</v>
      </c>
      <c r="H635" t="n">
        <v>0</v>
      </c>
      <c r="I635" t="n">
        <v>0</v>
      </c>
      <c r="J635" t="n">
        <v>0</v>
      </c>
      <c r="K635" t="n">
        <v>0</v>
      </c>
      <c r="L635" t="n">
        <v>0</v>
      </c>
      <c r="M635" t="n">
        <v>0</v>
      </c>
      <c r="N635" t="n">
        <v>0</v>
      </c>
      <c r="O635" t="n">
        <v>0</v>
      </c>
      <c r="P635" t="n">
        <v>0</v>
      </c>
      <c r="Q635" t="n">
        <v>0</v>
      </c>
      <c r="R635" s="2" t="inlineStr"/>
    </row>
    <row r="636" ht="15" customHeight="1">
      <c r="A636" t="inlineStr">
        <is>
          <t>A 34005-2025</t>
        </is>
      </c>
      <c r="B636" s="1" t="n">
        <v>45844.58890046296</v>
      </c>
      <c r="C636" s="1" t="n">
        <v>45925</v>
      </c>
      <c r="D636" t="inlineStr">
        <is>
          <t>DALARNAS LÄN</t>
        </is>
      </c>
      <c r="E636" t="inlineStr">
        <is>
          <t>MORA</t>
        </is>
      </c>
      <c r="G636" t="n">
        <v>7.2</v>
      </c>
      <c r="H636" t="n">
        <v>0</v>
      </c>
      <c r="I636" t="n">
        <v>0</v>
      </c>
      <c r="J636" t="n">
        <v>0</v>
      </c>
      <c r="K636" t="n">
        <v>0</v>
      </c>
      <c r="L636" t="n">
        <v>0</v>
      </c>
      <c r="M636" t="n">
        <v>0</v>
      </c>
      <c r="N636" t="n">
        <v>0</v>
      </c>
      <c r="O636" t="n">
        <v>0</v>
      </c>
      <c r="P636" t="n">
        <v>0</v>
      </c>
      <c r="Q636" t="n">
        <v>0</v>
      </c>
      <c r="R636" s="2" t="inlineStr"/>
    </row>
    <row r="637" ht="15" customHeight="1">
      <c r="A637" t="inlineStr">
        <is>
          <t>A 54253-2023</t>
        </is>
      </c>
      <c r="B637" s="1" t="n">
        <v>45232.63217592592</v>
      </c>
      <c r="C637" s="1" t="n">
        <v>45925</v>
      </c>
      <c r="D637" t="inlineStr">
        <is>
          <t>DALARNAS LÄN</t>
        </is>
      </c>
      <c r="E637" t="inlineStr">
        <is>
          <t>MORA</t>
        </is>
      </c>
      <c r="G637" t="n">
        <v>4.5</v>
      </c>
      <c r="H637" t="n">
        <v>0</v>
      </c>
      <c r="I637" t="n">
        <v>0</v>
      </c>
      <c r="J637" t="n">
        <v>0</v>
      </c>
      <c r="K637" t="n">
        <v>0</v>
      </c>
      <c r="L637" t="n">
        <v>0</v>
      </c>
      <c r="M637" t="n">
        <v>0</v>
      </c>
      <c r="N637" t="n">
        <v>0</v>
      </c>
      <c r="O637" t="n">
        <v>0</v>
      </c>
      <c r="P637" t="n">
        <v>0</v>
      </c>
      <c r="Q637" t="n">
        <v>0</v>
      </c>
      <c r="R637" s="2" t="inlineStr"/>
    </row>
    <row r="638" ht="15" customHeight="1">
      <c r="A638" t="inlineStr">
        <is>
          <t>A 34382-2025</t>
        </is>
      </c>
      <c r="B638" s="1" t="n">
        <v>45846</v>
      </c>
      <c r="C638" s="1" t="n">
        <v>45925</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34182-2025</t>
        </is>
      </c>
      <c r="B639" s="1" t="n">
        <v>45845.60520833333</v>
      </c>
      <c r="C639" s="1" t="n">
        <v>45925</v>
      </c>
      <c r="D639" t="inlineStr">
        <is>
          <t>DALARNAS LÄN</t>
        </is>
      </c>
      <c r="E639" t="inlineStr">
        <is>
          <t>MORA</t>
        </is>
      </c>
      <c r="G639" t="n">
        <v>3.4</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45190.51887731482</v>
      </c>
      <c r="C640" s="1" t="n">
        <v>45925</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17865-2025</t>
        </is>
      </c>
      <c r="B641" s="1" t="n">
        <v>45758.62951388889</v>
      </c>
      <c r="C641" s="1" t="n">
        <v>45925</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17167-2025</t>
        </is>
      </c>
      <c r="B642" s="1" t="n">
        <v>45756.36844907407</v>
      </c>
      <c r="C642" s="1" t="n">
        <v>45925</v>
      </c>
      <c r="D642" t="inlineStr">
        <is>
          <t>DALARNAS LÄN</t>
        </is>
      </c>
      <c r="E642" t="inlineStr">
        <is>
          <t>MORA</t>
        </is>
      </c>
      <c r="F642" t="inlineStr">
        <is>
          <t>Bergvik skog öst AB</t>
        </is>
      </c>
      <c r="G642" t="n">
        <v>1.7</v>
      </c>
      <c r="H642" t="n">
        <v>0</v>
      </c>
      <c r="I642" t="n">
        <v>0</v>
      </c>
      <c r="J642" t="n">
        <v>0</v>
      </c>
      <c r="K642" t="n">
        <v>0</v>
      </c>
      <c r="L642" t="n">
        <v>0</v>
      </c>
      <c r="M642" t="n">
        <v>0</v>
      </c>
      <c r="N642" t="n">
        <v>0</v>
      </c>
      <c r="O642" t="n">
        <v>0</v>
      </c>
      <c r="P642" t="n">
        <v>0</v>
      </c>
      <c r="Q642" t="n">
        <v>0</v>
      </c>
      <c r="R642" s="2" t="inlineStr"/>
    </row>
    <row r="643" ht="15" customHeight="1">
      <c r="A643" t="inlineStr">
        <is>
          <t>A 17176-2025</t>
        </is>
      </c>
      <c r="B643" s="1" t="n">
        <v>45756.37520833333</v>
      </c>
      <c r="C643" s="1" t="n">
        <v>45925</v>
      </c>
      <c r="D643" t="inlineStr">
        <is>
          <t>DALARNAS LÄN</t>
        </is>
      </c>
      <c r="E643" t="inlineStr">
        <is>
          <t>MORA</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34482-2025</t>
        </is>
      </c>
      <c r="B644" s="1" t="n">
        <v>45847.38469907407</v>
      </c>
      <c r="C644" s="1" t="n">
        <v>45925</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57999-2023</t>
        </is>
      </c>
      <c r="B645" s="1" t="n">
        <v>45247</v>
      </c>
      <c r="C645" s="1" t="n">
        <v>45925</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39456-2025</t>
        </is>
      </c>
      <c r="B646" s="1" t="n">
        <v>45889.76200231481</v>
      </c>
      <c r="C646" s="1" t="n">
        <v>45925</v>
      </c>
      <c r="D646" t="inlineStr">
        <is>
          <t>DALARNAS LÄN</t>
        </is>
      </c>
      <c r="E646" t="inlineStr">
        <is>
          <t>MORA</t>
        </is>
      </c>
      <c r="F646" t="inlineStr">
        <is>
          <t>Bergvik skog öst AB</t>
        </is>
      </c>
      <c r="G646" t="n">
        <v>16.7</v>
      </c>
      <c r="H646" t="n">
        <v>0</v>
      </c>
      <c r="I646" t="n">
        <v>0</v>
      </c>
      <c r="J646" t="n">
        <v>0</v>
      </c>
      <c r="K646" t="n">
        <v>0</v>
      </c>
      <c r="L646" t="n">
        <v>0</v>
      </c>
      <c r="M646" t="n">
        <v>0</v>
      </c>
      <c r="N646" t="n">
        <v>0</v>
      </c>
      <c r="O646" t="n">
        <v>0</v>
      </c>
      <c r="P646" t="n">
        <v>0</v>
      </c>
      <c r="Q646" t="n">
        <v>0</v>
      </c>
      <c r="R646" s="2" t="inlineStr"/>
    </row>
    <row r="647" ht="15" customHeight="1">
      <c r="A647" t="inlineStr">
        <is>
          <t>A 57319-2023</t>
        </is>
      </c>
      <c r="B647" s="1" t="n">
        <v>45245.64877314815</v>
      </c>
      <c r="C647" s="1" t="n">
        <v>45925</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62853-2023</t>
        </is>
      </c>
      <c r="B648" s="1" t="n">
        <v>45272</v>
      </c>
      <c r="C648" s="1" t="n">
        <v>45925</v>
      </c>
      <c r="D648" t="inlineStr">
        <is>
          <t>DALARNAS LÄN</t>
        </is>
      </c>
      <c r="E648" t="inlineStr">
        <is>
          <t>MORA</t>
        </is>
      </c>
      <c r="G648" t="n">
        <v>13.6</v>
      </c>
      <c r="H648" t="n">
        <v>0</v>
      </c>
      <c r="I648" t="n">
        <v>0</v>
      </c>
      <c r="J648" t="n">
        <v>0</v>
      </c>
      <c r="K648" t="n">
        <v>0</v>
      </c>
      <c r="L648" t="n">
        <v>0</v>
      </c>
      <c r="M648" t="n">
        <v>0</v>
      </c>
      <c r="N648" t="n">
        <v>0</v>
      </c>
      <c r="O648" t="n">
        <v>0</v>
      </c>
      <c r="P648" t="n">
        <v>0</v>
      </c>
      <c r="Q648" t="n">
        <v>0</v>
      </c>
      <c r="R648" s="2" t="inlineStr"/>
    </row>
    <row r="649" ht="15" customHeight="1">
      <c r="A649" t="inlineStr">
        <is>
          <t>A 43826-2022</t>
        </is>
      </c>
      <c r="B649" s="1" t="n">
        <v>44838</v>
      </c>
      <c r="C649" s="1" t="n">
        <v>45925</v>
      </c>
      <c r="D649" t="inlineStr">
        <is>
          <t>DALARNAS LÄN</t>
        </is>
      </c>
      <c r="E649" t="inlineStr">
        <is>
          <t>MORA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29754-2022</t>
        </is>
      </c>
      <c r="B650" s="1" t="n">
        <v>44755.59188657408</v>
      </c>
      <c r="C650" s="1" t="n">
        <v>45925</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36579-2022</t>
        </is>
      </c>
      <c r="B651" s="1" t="n">
        <v>44804.61636574074</v>
      </c>
      <c r="C651" s="1" t="n">
        <v>45925</v>
      </c>
      <c r="D651" t="inlineStr">
        <is>
          <t>DALARNAS LÄN</t>
        </is>
      </c>
      <c r="E651" t="inlineStr">
        <is>
          <t>MORA</t>
        </is>
      </c>
      <c r="G651" t="n">
        <v>2.3</v>
      </c>
      <c r="H651" t="n">
        <v>0</v>
      </c>
      <c r="I651" t="n">
        <v>0</v>
      </c>
      <c r="J651" t="n">
        <v>0</v>
      </c>
      <c r="K651" t="n">
        <v>0</v>
      </c>
      <c r="L651" t="n">
        <v>0</v>
      </c>
      <c r="M651" t="n">
        <v>0</v>
      </c>
      <c r="N651" t="n">
        <v>0</v>
      </c>
      <c r="O651" t="n">
        <v>0</v>
      </c>
      <c r="P651" t="n">
        <v>0</v>
      </c>
      <c r="Q651" t="n">
        <v>0</v>
      </c>
      <c r="R651" s="2" t="inlineStr"/>
    </row>
    <row r="652" ht="15" customHeight="1">
      <c r="A652" t="inlineStr">
        <is>
          <t>A 3531-2024</t>
        </is>
      </c>
      <c r="B652" s="1" t="n">
        <v>45320</v>
      </c>
      <c r="C652" s="1" t="n">
        <v>45925</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c r="U652">
        <f>HYPERLINK("https://klasma.github.io/Logging_2062/knärot/A 3531-2024 karta knärot.png", "A 3531-2024")</f>
        <v/>
      </c>
      <c r="V652">
        <f>HYPERLINK("https://klasma.github.io/Logging_2062/klagomål/A 3531-2024 FSC-klagomål.docx", "A 3531-2024")</f>
        <v/>
      </c>
      <c r="W652">
        <f>HYPERLINK("https://klasma.github.io/Logging_2062/klagomålsmail/A 3531-2024 FSC-klagomål mail.docx", "A 3531-2024")</f>
        <v/>
      </c>
      <c r="X652">
        <f>HYPERLINK("https://klasma.github.io/Logging_2062/tillsyn/A 3531-2024 tillsynsbegäran.docx", "A 3531-2024")</f>
        <v/>
      </c>
      <c r="Y652">
        <f>HYPERLINK("https://klasma.github.io/Logging_2062/tillsynsmail/A 3531-2024 tillsynsbegäran mail.docx", "A 3531-2024")</f>
        <v/>
      </c>
    </row>
    <row r="653" ht="15" customHeight="1">
      <c r="A653" t="inlineStr">
        <is>
          <t>A 39009-2023</t>
        </is>
      </c>
      <c r="B653" s="1" t="n">
        <v>45162</v>
      </c>
      <c r="C653" s="1" t="n">
        <v>45925</v>
      </c>
      <c r="D653" t="inlineStr">
        <is>
          <t>DALARNAS LÄN</t>
        </is>
      </c>
      <c r="E653" t="inlineStr">
        <is>
          <t>MORA</t>
        </is>
      </c>
      <c r="G653" t="n">
        <v>1.9</v>
      </c>
      <c r="H653" t="n">
        <v>0</v>
      </c>
      <c r="I653" t="n">
        <v>0</v>
      </c>
      <c r="J653" t="n">
        <v>0</v>
      </c>
      <c r="K653" t="n">
        <v>0</v>
      </c>
      <c r="L653" t="n">
        <v>0</v>
      </c>
      <c r="M653" t="n">
        <v>0</v>
      </c>
      <c r="N653" t="n">
        <v>0</v>
      </c>
      <c r="O653" t="n">
        <v>0</v>
      </c>
      <c r="P653" t="n">
        <v>0</v>
      </c>
      <c r="Q653" t="n">
        <v>0</v>
      </c>
      <c r="R653" s="2" t="inlineStr"/>
    </row>
    <row r="654" ht="15" customHeight="1">
      <c r="A654" t="inlineStr">
        <is>
          <t>A 44769-2021</t>
        </is>
      </c>
      <c r="B654" s="1" t="n">
        <v>44438</v>
      </c>
      <c r="C654" s="1" t="n">
        <v>45925</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28487-2024</t>
        </is>
      </c>
      <c r="B655" s="1" t="n">
        <v>45477.75744212963</v>
      </c>
      <c r="C655" s="1" t="n">
        <v>45925</v>
      </c>
      <c r="D655" t="inlineStr">
        <is>
          <t>DALARNAS LÄN</t>
        </is>
      </c>
      <c r="E655" t="inlineStr">
        <is>
          <t>MORA</t>
        </is>
      </c>
      <c r="G655" t="n">
        <v>3.1</v>
      </c>
      <c r="H655" t="n">
        <v>0</v>
      </c>
      <c r="I655" t="n">
        <v>0</v>
      </c>
      <c r="J655" t="n">
        <v>0</v>
      </c>
      <c r="K655" t="n">
        <v>0</v>
      </c>
      <c r="L655" t="n">
        <v>0</v>
      </c>
      <c r="M655" t="n">
        <v>0</v>
      </c>
      <c r="N655" t="n">
        <v>0</v>
      </c>
      <c r="O655" t="n">
        <v>0</v>
      </c>
      <c r="P655" t="n">
        <v>0</v>
      </c>
      <c r="Q655" t="n">
        <v>0</v>
      </c>
      <c r="R655" s="2" t="inlineStr"/>
    </row>
    <row r="656" ht="15" customHeight="1">
      <c r="A656" t="inlineStr">
        <is>
          <t>A 48728-2022</t>
        </is>
      </c>
      <c r="B656" s="1" t="n">
        <v>44859.52145833334</v>
      </c>
      <c r="C656" s="1" t="n">
        <v>45925</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61222-2023</t>
        </is>
      </c>
      <c r="B657" s="1" t="n">
        <v>45264</v>
      </c>
      <c r="C657" s="1" t="n">
        <v>45925</v>
      </c>
      <c r="D657" t="inlineStr">
        <is>
          <t>DALARNAS LÄN</t>
        </is>
      </c>
      <c r="E657" t="inlineStr">
        <is>
          <t>MORA</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16967-2025</t>
        </is>
      </c>
      <c r="B658" s="1" t="n">
        <v>45755.46106481482</v>
      </c>
      <c r="C658" s="1" t="n">
        <v>45925</v>
      </c>
      <c r="D658" t="inlineStr">
        <is>
          <t>DALARNAS LÄN</t>
        </is>
      </c>
      <c r="E658" t="inlineStr">
        <is>
          <t>MORA</t>
        </is>
      </c>
      <c r="F658" t="inlineStr">
        <is>
          <t>Bergvik skog öst AB</t>
        </is>
      </c>
      <c r="G658" t="n">
        <v>2.9</v>
      </c>
      <c r="H658" t="n">
        <v>0</v>
      </c>
      <c r="I658" t="n">
        <v>0</v>
      </c>
      <c r="J658" t="n">
        <v>0</v>
      </c>
      <c r="K658" t="n">
        <v>0</v>
      </c>
      <c r="L658" t="n">
        <v>0</v>
      </c>
      <c r="M658" t="n">
        <v>0</v>
      </c>
      <c r="N658" t="n">
        <v>0</v>
      </c>
      <c r="O658" t="n">
        <v>0</v>
      </c>
      <c r="P658" t="n">
        <v>0</v>
      </c>
      <c r="Q658" t="n">
        <v>0</v>
      </c>
      <c r="R658" s="2" t="inlineStr"/>
    </row>
    <row r="659" ht="15" customHeight="1">
      <c r="A659" t="inlineStr">
        <is>
          <t>A 60526-2023</t>
        </is>
      </c>
      <c r="B659" s="1" t="n">
        <v>45259</v>
      </c>
      <c r="C659" s="1" t="n">
        <v>45925</v>
      </c>
      <c r="D659" t="inlineStr">
        <is>
          <t>DALARNAS LÄN</t>
        </is>
      </c>
      <c r="E659" t="inlineStr">
        <is>
          <t>MORA</t>
        </is>
      </c>
      <c r="G659" t="n">
        <v>6.7</v>
      </c>
      <c r="H659" t="n">
        <v>0</v>
      </c>
      <c r="I659" t="n">
        <v>0</v>
      </c>
      <c r="J659" t="n">
        <v>0</v>
      </c>
      <c r="K659" t="n">
        <v>0</v>
      </c>
      <c r="L659" t="n">
        <v>0</v>
      </c>
      <c r="M659" t="n">
        <v>0</v>
      </c>
      <c r="N659" t="n">
        <v>0</v>
      </c>
      <c r="O659" t="n">
        <v>0</v>
      </c>
      <c r="P659" t="n">
        <v>0</v>
      </c>
      <c r="Q659" t="n">
        <v>0</v>
      </c>
      <c r="R659" s="2" t="inlineStr"/>
    </row>
    <row r="660" ht="15" customHeight="1">
      <c r="A660" t="inlineStr">
        <is>
          <t>A 63958-2023</t>
        </is>
      </c>
      <c r="B660" s="1" t="n">
        <v>45278</v>
      </c>
      <c r="C660" s="1" t="n">
        <v>45925</v>
      </c>
      <c r="D660" t="inlineStr">
        <is>
          <t>DALARNAS LÄN</t>
        </is>
      </c>
      <c r="E660" t="inlineStr">
        <is>
          <t>MORA</t>
        </is>
      </c>
      <c r="G660" t="n">
        <v>1.9</v>
      </c>
      <c r="H660" t="n">
        <v>0</v>
      </c>
      <c r="I660" t="n">
        <v>0</v>
      </c>
      <c r="J660" t="n">
        <v>0</v>
      </c>
      <c r="K660" t="n">
        <v>0</v>
      </c>
      <c r="L660" t="n">
        <v>0</v>
      </c>
      <c r="M660" t="n">
        <v>0</v>
      </c>
      <c r="N660" t="n">
        <v>0</v>
      </c>
      <c r="O660" t="n">
        <v>0</v>
      </c>
      <c r="P660" t="n">
        <v>0</v>
      </c>
      <c r="Q660" t="n">
        <v>0</v>
      </c>
      <c r="R660" s="2" t="inlineStr"/>
    </row>
    <row r="661" ht="15" customHeight="1">
      <c r="A661" t="inlineStr">
        <is>
          <t>A 52908-2023</t>
        </is>
      </c>
      <c r="B661" s="1" t="n">
        <v>45226.49950231481</v>
      </c>
      <c r="C661" s="1" t="n">
        <v>45925</v>
      </c>
      <c r="D661" t="inlineStr">
        <is>
          <t>DALARNAS LÄN</t>
        </is>
      </c>
      <c r="E661" t="inlineStr">
        <is>
          <t>MORA</t>
        </is>
      </c>
      <c r="G661" t="n">
        <v>3.3</v>
      </c>
      <c r="H661" t="n">
        <v>0</v>
      </c>
      <c r="I661" t="n">
        <v>0</v>
      </c>
      <c r="J661" t="n">
        <v>0</v>
      </c>
      <c r="K661" t="n">
        <v>0</v>
      </c>
      <c r="L661" t="n">
        <v>0</v>
      </c>
      <c r="M661" t="n">
        <v>0</v>
      </c>
      <c r="N661" t="n">
        <v>0</v>
      </c>
      <c r="O661" t="n">
        <v>0</v>
      </c>
      <c r="P661" t="n">
        <v>0</v>
      </c>
      <c r="Q661" t="n">
        <v>0</v>
      </c>
      <c r="R661" s="2" t="inlineStr"/>
    </row>
    <row r="662">
      <c r="A662" t="inlineStr">
        <is>
          <t>A 19896-2021</t>
        </is>
      </c>
      <c r="B662" s="1" t="n">
        <v>44313.54942129629</v>
      </c>
      <c r="C662" s="1" t="n">
        <v>45925</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2025-09-25T10:36:20Z</dcterms:created>
  <dcterms:modified xmlns:dcterms="http://purl.org/dc/terms/" xmlns:xsi="http://www.w3.org/2001/XMLSchema-instance" xsi:type="dcterms:W3CDTF">2025-09-25T10:36:20Z</dcterms:modified>
</cp:coreProperties>
</file>