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45752</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45752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45752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13728-2025</t>
        </is>
      </c>
      <c r="B6" s="1" t="n">
        <v>45737</v>
      </c>
      <c r="C6" s="1" t="n">
        <v>45752</v>
      </c>
      <c r="D6" t="inlineStr">
        <is>
          <t>DALARNAS LÄN</t>
        </is>
      </c>
      <c r="E6" t="inlineStr">
        <is>
          <t>MORA</t>
        </is>
      </c>
      <c r="G6" t="n">
        <v>111.2</v>
      </c>
      <c r="H6" t="n">
        <v>5</v>
      </c>
      <c r="I6" t="n">
        <v>2</v>
      </c>
      <c r="J6" t="n">
        <v>16</v>
      </c>
      <c r="K6" t="n">
        <v>1</v>
      </c>
      <c r="L6" t="n">
        <v>0</v>
      </c>
      <c r="M6" t="n">
        <v>0</v>
      </c>
      <c r="N6" t="n">
        <v>0</v>
      </c>
      <c r="O6" t="n">
        <v>17</v>
      </c>
      <c r="P6" t="n">
        <v>1</v>
      </c>
      <c r="Q6" t="n">
        <v>21</v>
      </c>
      <c r="R6"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6">
        <f>HYPERLINK("https://klasma.github.io/Logging_202062/artfynd/A 13728-2025 artfynd.xlsx", "A 13728-2025")</f>
        <v/>
      </c>
      <c r="T6">
        <f>HYPERLINK("https://klasma.github.io/Logging_202062/kartor/A 13728-2025 karta.png", "A 13728-2025")</f>
        <v/>
      </c>
      <c r="V6">
        <f>HYPERLINK("https://klasma.github.io/Logging_202062/klagomål/A 13728-2025 FSC-klagomål.docx", "A 13728-2025")</f>
        <v/>
      </c>
      <c r="W6">
        <f>HYPERLINK("https://klasma.github.io/Logging_202062/klagomålsmail/A 13728-2025 FSC-klagomål mail.docx", "A 13728-2025")</f>
        <v/>
      </c>
      <c r="X6">
        <f>HYPERLINK("https://klasma.github.io/Logging_202062/tillsyn/A 13728-2025 tillsynsbegäran.docx", "A 13728-2025")</f>
        <v/>
      </c>
      <c r="Y6">
        <f>HYPERLINK("https://klasma.github.io/Logging_202062/tillsynsmail/A 13728-2025 tillsynsbegäran mail.docx", "A 13728-2025")</f>
        <v/>
      </c>
      <c r="Z6">
        <f>HYPERLINK("https://klasma.github.io/Logging_202062/fåglar/A 13728-2025 prioriterade fågelarter.docx", "A 13728-2025")</f>
        <v/>
      </c>
    </row>
    <row r="7" ht="15" customHeight="1">
      <c r="A7" t="inlineStr">
        <is>
          <t>A 1254-2025</t>
        </is>
      </c>
      <c r="B7" s="1" t="n">
        <v>45666</v>
      </c>
      <c r="C7" s="1" t="n">
        <v>45752</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12986-2024</t>
        </is>
      </c>
      <c r="B8" s="1" t="n">
        <v>45385</v>
      </c>
      <c r="C8" s="1" t="n">
        <v>45752</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12992-2024</t>
        </is>
      </c>
      <c r="B9" s="1" t="n">
        <v>45385</v>
      </c>
      <c r="C9" s="1" t="n">
        <v>45752</v>
      </c>
      <c r="D9" t="inlineStr">
        <is>
          <t>DALARNAS LÄN</t>
        </is>
      </c>
      <c r="E9" t="inlineStr">
        <is>
          <t>MORA</t>
        </is>
      </c>
      <c r="G9" t="n">
        <v>1.8</v>
      </c>
      <c r="H9" t="n">
        <v>2</v>
      </c>
      <c r="I9" t="n">
        <v>4</v>
      </c>
      <c r="J9" t="n">
        <v>8</v>
      </c>
      <c r="K9" t="n">
        <v>0</v>
      </c>
      <c r="L9" t="n">
        <v>0</v>
      </c>
      <c r="M9" t="n">
        <v>0</v>
      </c>
      <c r="N9" t="n">
        <v>0</v>
      </c>
      <c r="O9" t="n">
        <v>8</v>
      </c>
      <c r="P9" t="n">
        <v>0</v>
      </c>
      <c r="Q9" t="n">
        <v>14</v>
      </c>
      <c r="R9" s="2" t="inlineStr">
        <is>
          <t>Blanksvart spiklav
Blågrå svartspik
Garnlav
Kolflarnlav
Mörk kolflarnlav
Vedskivlav
Violettgrå tagellav
Vitgrynig nållav
Mindre märgborre
Norrlandslav
Nästlav
Vedticka
Grönsiska
Kungsfågel</t>
        </is>
      </c>
      <c r="S9">
        <f>HYPERLINK("https://klasma.github.io/Logging_2062/artfynd/A 12992-2024 artfynd.xlsx", "A 12992-2024")</f>
        <v/>
      </c>
      <c r="T9">
        <f>HYPERLINK("https://klasma.github.io/Logging_2062/kartor/A 12992-2024 karta.png", "A 12992-2024")</f>
        <v/>
      </c>
      <c r="V9">
        <f>HYPERLINK("https://klasma.github.io/Logging_2062/klagomål/A 12992-2024 FSC-klagomål.docx", "A 12992-2024")</f>
        <v/>
      </c>
      <c r="W9">
        <f>HYPERLINK("https://klasma.github.io/Logging_2062/klagomålsmail/A 12992-2024 FSC-klagomål mail.docx", "A 12992-2024")</f>
        <v/>
      </c>
      <c r="X9">
        <f>HYPERLINK("https://klasma.github.io/Logging_2062/tillsyn/A 12992-2024 tillsynsbegäran.docx", "A 12992-2024")</f>
        <v/>
      </c>
      <c r="Y9">
        <f>HYPERLINK("https://klasma.github.io/Logging_2062/tillsynsmail/A 12992-2024 tillsynsbegäran mail.docx", "A 12992-2024")</f>
        <v/>
      </c>
      <c r="Z9">
        <f>HYPERLINK("https://klasma.github.io/Logging_2062/fåglar/A 12992-2024 prioriterade fågelarter.docx", "A 12992-2024")</f>
        <v/>
      </c>
    </row>
    <row r="10" ht="15" customHeight="1">
      <c r="A10" t="inlineStr">
        <is>
          <t>A 12910-2024</t>
        </is>
      </c>
      <c r="B10" s="1" t="n">
        <v>45385</v>
      </c>
      <c r="C10" s="1" t="n">
        <v>45752</v>
      </c>
      <c r="D10" t="inlineStr">
        <is>
          <t>DALARNAS LÄN</t>
        </is>
      </c>
      <c r="E10" t="inlineStr">
        <is>
          <t>MORA</t>
        </is>
      </c>
      <c r="G10" t="n">
        <v>6.7</v>
      </c>
      <c r="H10" t="n">
        <v>2</v>
      </c>
      <c r="I10" t="n">
        <v>4</v>
      </c>
      <c r="J10" t="n">
        <v>9</v>
      </c>
      <c r="K10" t="n">
        <v>0</v>
      </c>
      <c r="L10" t="n">
        <v>0</v>
      </c>
      <c r="M10" t="n">
        <v>0</v>
      </c>
      <c r="N10" t="n">
        <v>0</v>
      </c>
      <c r="O10" t="n">
        <v>9</v>
      </c>
      <c r="P10" t="n">
        <v>0</v>
      </c>
      <c r="Q10" t="n">
        <v>14</v>
      </c>
      <c r="R10" s="2" t="inlineStr">
        <is>
          <t>Dvärgbägarlav
Garnlav
Järpe
Kolflarnlav
Kortskaftad ärgspik
Mörk kolflarnlav
Vedflamlav
Vedskivlav
Violettgrå tagellav
Blodticka
Dropptaggsvamp
Nästlav
Vågbandad barkbock
Tjäder</t>
        </is>
      </c>
      <c r="S10">
        <f>HYPERLINK("https://klasma.github.io/Logging_2062/artfynd/A 12910-2024 artfynd.xlsx", "A 12910-2024")</f>
        <v/>
      </c>
      <c r="T10">
        <f>HYPERLINK("https://klasma.github.io/Logging_2062/kartor/A 12910-2024 karta.png", "A 12910-2024")</f>
        <v/>
      </c>
      <c r="V10">
        <f>HYPERLINK("https://klasma.github.io/Logging_2062/klagomål/A 12910-2024 FSC-klagomål.docx", "A 12910-2024")</f>
        <v/>
      </c>
      <c r="W10">
        <f>HYPERLINK("https://klasma.github.io/Logging_2062/klagomålsmail/A 12910-2024 FSC-klagomål mail.docx", "A 12910-2024")</f>
        <v/>
      </c>
      <c r="X10">
        <f>HYPERLINK("https://klasma.github.io/Logging_2062/tillsyn/A 12910-2024 tillsynsbegäran.docx", "A 12910-2024")</f>
        <v/>
      </c>
      <c r="Y10">
        <f>HYPERLINK("https://klasma.github.io/Logging_2062/tillsynsmail/A 12910-2024 tillsynsbegäran mail.docx", "A 12910-2024")</f>
        <v/>
      </c>
      <c r="Z10">
        <f>HYPERLINK("https://klasma.github.io/Logging_2062/fåglar/A 12910-2024 prioriterade fågelarter.docx", "A 12910-2024")</f>
        <v/>
      </c>
    </row>
    <row r="11" ht="15" customHeight="1">
      <c r="A11" t="inlineStr">
        <is>
          <t>A 24118-2023</t>
        </is>
      </c>
      <c r="B11" s="1" t="n">
        <v>45079</v>
      </c>
      <c r="C11" s="1" t="n">
        <v>45752</v>
      </c>
      <c r="D11" t="inlineStr">
        <is>
          <t>DALARNAS LÄN</t>
        </is>
      </c>
      <c r="E11" t="inlineStr">
        <is>
          <t>MORA</t>
        </is>
      </c>
      <c r="F11" t="inlineStr">
        <is>
          <t>Bergvik skog väst AB</t>
        </is>
      </c>
      <c r="G11" t="n">
        <v>6.1</v>
      </c>
      <c r="H11" t="n">
        <v>0</v>
      </c>
      <c r="I11" t="n">
        <v>0</v>
      </c>
      <c r="J11" t="n">
        <v>11</v>
      </c>
      <c r="K11" t="n">
        <v>1</v>
      </c>
      <c r="L11" t="n">
        <v>1</v>
      </c>
      <c r="M11" t="n">
        <v>0</v>
      </c>
      <c r="N11" t="n">
        <v>0</v>
      </c>
      <c r="O11" t="n">
        <v>13</v>
      </c>
      <c r="P11" t="n">
        <v>2</v>
      </c>
      <c r="Q11" t="n">
        <v>13</v>
      </c>
      <c r="R11" s="2" t="inlineStr">
        <is>
          <t>Urskogsticka
Fläckporing
Blanksvart spiklav
Blågrå svartspik
Dvärgbägarlav
Garnlav
Kolflarnlav
Kortskaftad ärgspik
Lunglav
Mörk kolflarnlav
Nordtagging
Vedflamlav
Vedskivlav</t>
        </is>
      </c>
      <c r="S11">
        <f>HYPERLINK("https://klasma.github.io/Logging_2062/artfynd/A 24118-2023 artfynd.xlsx", "A 24118-2023")</f>
        <v/>
      </c>
      <c r="T11">
        <f>HYPERLINK("https://klasma.github.io/Logging_2062/kartor/A 24118-2023 karta.png", "A 24118-2023")</f>
        <v/>
      </c>
      <c r="U11">
        <f>HYPERLINK("https://klasma.github.io/Logging_2062/knärot/A 24118-2023 karta knärot.png", "A 24118-2023")</f>
        <v/>
      </c>
      <c r="V11">
        <f>HYPERLINK("https://klasma.github.io/Logging_2062/klagomål/A 24118-2023 FSC-klagomål.docx", "A 24118-2023")</f>
        <v/>
      </c>
      <c r="W11">
        <f>HYPERLINK("https://klasma.github.io/Logging_2062/klagomålsmail/A 24118-2023 FSC-klagomål mail.docx", "A 24118-2023")</f>
        <v/>
      </c>
      <c r="X11">
        <f>HYPERLINK("https://klasma.github.io/Logging_2062/tillsyn/A 24118-2023 tillsynsbegäran.docx", "A 24118-2023")</f>
        <v/>
      </c>
      <c r="Y11">
        <f>HYPERLINK("https://klasma.github.io/Logging_2062/tillsynsmail/A 24118-2023 tillsynsbegäran mail.docx", "A 24118-2023")</f>
        <v/>
      </c>
    </row>
    <row r="12" ht="15" customHeight="1">
      <c r="A12" t="inlineStr">
        <is>
          <t>A 61324-2022</t>
        </is>
      </c>
      <c r="B12" s="1" t="n">
        <v>44915</v>
      </c>
      <c r="C12" s="1" t="n">
        <v>45752</v>
      </c>
      <c r="D12" t="inlineStr">
        <is>
          <t>DALARNAS LÄN</t>
        </is>
      </c>
      <c r="E12" t="inlineStr">
        <is>
          <t>MORA</t>
        </is>
      </c>
      <c r="G12" t="n">
        <v>54.4</v>
      </c>
      <c r="H12" t="n">
        <v>3</v>
      </c>
      <c r="I12" t="n">
        <v>0</v>
      </c>
      <c r="J12" t="n">
        <v>9</v>
      </c>
      <c r="K12" t="n">
        <v>1</v>
      </c>
      <c r="L12" t="n">
        <v>0</v>
      </c>
      <c r="M12" t="n">
        <v>0</v>
      </c>
      <c r="N12" t="n">
        <v>0</v>
      </c>
      <c r="O12" t="n">
        <v>10</v>
      </c>
      <c r="P12" t="n">
        <v>1</v>
      </c>
      <c r="Q12" t="n">
        <v>11</v>
      </c>
      <c r="R12" s="2" t="inlineStr">
        <is>
          <t>Smalfotad taggsvamp
Blågrå svartspik
Garnlav
Kolflarnlav
Mörk kolflarnlav
Skrovellav
Spillkråka
Varglav
Vedflamlav
Vedskivlav
Tjäder</t>
        </is>
      </c>
      <c r="S12">
        <f>HYPERLINK("https://klasma.github.io/Logging_2062/artfynd/A 61324-2022 artfynd.xlsx", "A 61324-2022")</f>
        <v/>
      </c>
      <c r="T12">
        <f>HYPERLINK("https://klasma.github.io/Logging_2062/kartor/A 61324-2022 karta.png", "A 61324-2022")</f>
        <v/>
      </c>
      <c r="V12">
        <f>HYPERLINK("https://klasma.github.io/Logging_2062/klagomål/A 61324-2022 FSC-klagomål.docx", "A 61324-2022")</f>
        <v/>
      </c>
      <c r="W12">
        <f>HYPERLINK("https://klasma.github.io/Logging_2062/klagomålsmail/A 61324-2022 FSC-klagomål mail.docx", "A 61324-2022")</f>
        <v/>
      </c>
      <c r="X12">
        <f>HYPERLINK("https://klasma.github.io/Logging_2062/tillsyn/A 61324-2022 tillsynsbegäran.docx", "A 61324-2022")</f>
        <v/>
      </c>
      <c r="Y12">
        <f>HYPERLINK("https://klasma.github.io/Logging_2062/tillsynsmail/A 61324-2022 tillsynsbegäran mail.docx", "A 61324-2022")</f>
        <v/>
      </c>
      <c r="Z12">
        <f>HYPERLINK("https://klasma.github.io/Logging_2062/fåglar/A 61324-2022 prioriterade fågelarter.docx", "A 61324-2022")</f>
        <v/>
      </c>
    </row>
    <row r="13" ht="15" customHeight="1">
      <c r="A13" t="inlineStr">
        <is>
          <t>A 64406-2023</t>
        </is>
      </c>
      <c r="B13" s="1" t="n">
        <v>45280</v>
      </c>
      <c r="C13" s="1" t="n">
        <v>45752</v>
      </c>
      <c r="D13" t="inlineStr">
        <is>
          <t>DALARNAS LÄN</t>
        </is>
      </c>
      <c r="E13" t="inlineStr">
        <is>
          <t>MORA</t>
        </is>
      </c>
      <c r="G13" t="n">
        <v>2.2</v>
      </c>
      <c r="H13" t="n">
        <v>2</v>
      </c>
      <c r="I13" t="n">
        <v>0</v>
      </c>
      <c r="J13" t="n">
        <v>8</v>
      </c>
      <c r="K13" t="n">
        <v>1</v>
      </c>
      <c r="L13" t="n">
        <v>0</v>
      </c>
      <c r="M13" t="n">
        <v>0</v>
      </c>
      <c r="N13" t="n">
        <v>0</v>
      </c>
      <c r="O13" t="n">
        <v>9</v>
      </c>
      <c r="P13" t="n">
        <v>1</v>
      </c>
      <c r="Q13" t="n">
        <v>10</v>
      </c>
      <c r="R13" s="2" t="inlineStr">
        <is>
          <t>Gräddporing
Doftskinn
Garnlav
Mörk kolflarnlav
Spillkråka
Vedflamlav
Vedskivlav
Violettgrå tagellav
Vitgrynig nållav
Fläcknycklar</t>
        </is>
      </c>
      <c r="S13">
        <f>HYPERLINK("https://klasma.github.io/Logging_2062/artfynd/A 64406-2023 artfynd.xlsx", "A 64406-2023")</f>
        <v/>
      </c>
      <c r="T13">
        <f>HYPERLINK("https://klasma.github.io/Logging_2062/kartor/A 64406-2023 karta.png", "A 64406-2023")</f>
        <v/>
      </c>
      <c r="V13">
        <f>HYPERLINK("https://klasma.github.io/Logging_2062/klagomål/A 64406-2023 FSC-klagomål.docx", "A 64406-2023")</f>
        <v/>
      </c>
      <c r="W13">
        <f>HYPERLINK("https://klasma.github.io/Logging_2062/klagomålsmail/A 64406-2023 FSC-klagomål mail.docx", "A 64406-2023")</f>
        <v/>
      </c>
      <c r="X13">
        <f>HYPERLINK("https://klasma.github.io/Logging_2062/tillsyn/A 64406-2023 tillsynsbegäran.docx", "A 64406-2023")</f>
        <v/>
      </c>
      <c r="Y13">
        <f>HYPERLINK("https://klasma.github.io/Logging_2062/tillsynsmail/A 64406-2023 tillsynsbegäran mail.docx", "A 64406-2023")</f>
        <v/>
      </c>
      <c r="Z13">
        <f>HYPERLINK("https://klasma.github.io/Logging_2062/fåglar/A 64406-2023 prioriterade fågelarter.docx", "A 64406-2023")</f>
        <v/>
      </c>
    </row>
    <row r="14" ht="15" customHeight="1">
      <c r="A14" t="inlineStr">
        <is>
          <t>A 35944-2024</t>
        </is>
      </c>
      <c r="B14" s="1" t="n">
        <v>45533</v>
      </c>
      <c r="C14" s="1" t="n">
        <v>45752</v>
      </c>
      <c r="D14" t="inlineStr">
        <is>
          <t>DALARNAS LÄN</t>
        </is>
      </c>
      <c r="E14" t="inlineStr">
        <is>
          <t>MORA</t>
        </is>
      </c>
      <c r="G14" t="n">
        <v>1.7</v>
      </c>
      <c r="H14" t="n">
        <v>2</v>
      </c>
      <c r="I14" t="n">
        <v>4</v>
      </c>
      <c r="J14" t="n">
        <v>6</v>
      </c>
      <c r="K14" t="n">
        <v>0</v>
      </c>
      <c r="L14" t="n">
        <v>0</v>
      </c>
      <c r="M14" t="n">
        <v>0</v>
      </c>
      <c r="N14" t="n">
        <v>0</v>
      </c>
      <c r="O14" t="n">
        <v>6</v>
      </c>
      <c r="P14" t="n">
        <v>0</v>
      </c>
      <c r="Q14" t="n">
        <v>10</v>
      </c>
      <c r="R14" s="2" t="inlineStr">
        <is>
          <t>Garnlav
Kortskaftad ärgspik
Spillkråka
Talltita
Ullticka
Vedtrappmossa
Bronshjon
Mindre märgborre
Thomsons trägnagare
Vedticka</t>
        </is>
      </c>
      <c r="S14">
        <f>HYPERLINK("https://klasma.github.io/Logging_2062/artfynd/A 35944-2024 artfynd.xlsx", "A 35944-2024")</f>
        <v/>
      </c>
      <c r="T14">
        <f>HYPERLINK("https://klasma.github.io/Logging_2062/kartor/A 35944-2024 karta.png", "A 35944-2024")</f>
        <v/>
      </c>
      <c r="V14">
        <f>HYPERLINK("https://klasma.github.io/Logging_2062/klagomål/A 35944-2024 FSC-klagomål.docx", "A 35944-2024")</f>
        <v/>
      </c>
      <c r="W14">
        <f>HYPERLINK("https://klasma.github.io/Logging_2062/klagomålsmail/A 35944-2024 FSC-klagomål mail.docx", "A 35944-2024")</f>
        <v/>
      </c>
      <c r="X14">
        <f>HYPERLINK("https://klasma.github.io/Logging_2062/tillsyn/A 35944-2024 tillsynsbegäran.docx", "A 35944-2024")</f>
        <v/>
      </c>
      <c r="Y14">
        <f>HYPERLINK("https://klasma.github.io/Logging_2062/tillsynsmail/A 35944-2024 tillsynsbegäran mail.docx", "A 35944-2024")</f>
        <v/>
      </c>
      <c r="Z14">
        <f>HYPERLINK("https://klasma.github.io/Logging_2062/fåglar/A 35944-2024 prioriterade fågelarter.docx", "A 35944-2024")</f>
        <v/>
      </c>
    </row>
    <row r="15" ht="15" customHeight="1">
      <c r="A15" t="inlineStr">
        <is>
          <t>A 21041-2023</t>
        </is>
      </c>
      <c r="B15" s="1" t="n">
        <v>45061</v>
      </c>
      <c r="C15" s="1" t="n">
        <v>45752</v>
      </c>
      <c r="D15" t="inlineStr">
        <is>
          <t>DALARNAS LÄN</t>
        </is>
      </c>
      <c r="E15" t="inlineStr">
        <is>
          <t>MORA</t>
        </is>
      </c>
      <c r="F15" t="inlineStr">
        <is>
          <t>Bergvik skog öst AB</t>
        </is>
      </c>
      <c r="G15" t="n">
        <v>9.9</v>
      </c>
      <c r="H15" t="n">
        <v>0</v>
      </c>
      <c r="I15" t="n">
        <v>1</v>
      </c>
      <c r="J15" t="n">
        <v>8</v>
      </c>
      <c r="K15" t="n">
        <v>0</v>
      </c>
      <c r="L15" t="n">
        <v>0</v>
      </c>
      <c r="M15" t="n">
        <v>0</v>
      </c>
      <c r="N15" t="n">
        <v>0</v>
      </c>
      <c r="O15" t="n">
        <v>8</v>
      </c>
      <c r="P15" t="n">
        <v>0</v>
      </c>
      <c r="Q15" t="n">
        <v>9</v>
      </c>
      <c r="R15" s="2" t="inlineStr">
        <is>
          <t>Dvärgbägarlav
Garnlav
Kolflarnlav
Kortskaftad ärgspik
Mörk kolflarnlav
Vedflamlav
Vedskivlav
Violettgrå tagellav
Mindre märgborre</t>
        </is>
      </c>
      <c r="S15">
        <f>HYPERLINK("https://klasma.github.io/Logging_2062/artfynd/A 21041-2023 artfynd.xlsx", "A 21041-2023")</f>
        <v/>
      </c>
      <c r="T15">
        <f>HYPERLINK("https://klasma.github.io/Logging_2062/kartor/A 21041-2023 karta.png", "A 21041-2023")</f>
        <v/>
      </c>
      <c r="V15">
        <f>HYPERLINK("https://klasma.github.io/Logging_2062/klagomål/A 21041-2023 FSC-klagomål.docx", "A 21041-2023")</f>
        <v/>
      </c>
      <c r="W15">
        <f>HYPERLINK("https://klasma.github.io/Logging_2062/klagomålsmail/A 21041-2023 FSC-klagomål mail.docx", "A 21041-2023")</f>
        <v/>
      </c>
      <c r="X15">
        <f>HYPERLINK("https://klasma.github.io/Logging_2062/tillsyn/A 21041-2023 tillsynsbegäran.docx", "A 21041-2023")</f>
        <v/>
      </c>
      <c r="Y15">
        <f>HYPERLINK("https://klasma.github.io/Logging_2062/tillsynsmail/A 21041-2023 tillsynsbegäran mail.docx", "A 21041-2023")</f>
        <v/>
      </c>
    </row>
    <row r="16" ht="15" customHeight="1">
      <c r="A16" t="inlineStr">
        <is>
          <t>A 5134-2024</t>
        </is>
      </c>
      <c r="B16" s="1" t="n">
        <v>45330</v>
      </c>
      <c r="C16" s="1" t="n">
        <v>45752</v>
      </c>
      <c r="D16" t="inlineStr">
        <is>
          <t>DALARNAS LÄN</t>
        </is>
      </c>
      <c r="E16" t="inlineStr">
        <is>
          <t>MORA</t>
        </is>
      </c>
      <c r="G16" t="n">
        <v>2</v>
      </c>
      <c r="H16" t="n">
        <v>1</v>
      </c>
      <c r="I16" t="n">
        <v>2</v>
      </c>
      <c r="J16" t="n">
        <v>7</v>
      </c>
      <c r="K16" t="n">
        <v>0</v>
      </c>
      <c r="L16" t="n">
        <v>0</v>
      </c>
      <c r="M16" t="n">
        <v>0</v>
      </c>
      <c r="N16" t="n">
        <v>0</v>
      </c>
      <c r="O16" t="n">
        <v>7</v>
      </c>
      <c r="P16" t="n">
        <v>0</v>
      </c>
      <c r="Q16" t="n">
        <v>9</v>
      </c>
      <c r="R16" s="2" t="inlineStr">
        <is>
          <t>Blå taggsvamp
Dvärgbägarlav
Garnlav
Reliktbock
Tretåig hackspett
Vedskivlav
Vitgrynig nållav
Dropptaggsvamp
Mindre märgborre</t>
        </is>
      </c>
      <c r="S16">
        <f>HYPERLINK("https://klasma.github.io/Logging_2062/artfynd/A 5134-2024 artfynd.xlsx", "A 5134-2024")</f>
        <v/>
      </c>
      <c r="T16">
        <f>HYPERLINK("https://klasma.github.io/Logging_2062/kartor/A 5134-2024 karta.png", "A 5134-2024")</f>
        <v/>
      </c>
      <c r="V16">
        <f>HYPERLINK("https://klasma.github.io/Logging_2062/klagomål/A 5134-2024 FSC-klagomål.docx", "A 5134-2024")</f>
        <v/>
      </c>
      <c r="W16">
        <f>HYPERLINK("https://klasma.github.io/Logging_2062/klagomålsmail/A 5134-2024 FSC-klagomål mail.docx", "A 5134-2024")</f>
        <v/>
      </c>
      <c r="X16">
        <f>HYPERLINK("https://klasma.github.io/Logging_2062/tillsyn/A 5134-2024 tillsynsbegäran.docx", "A 5134-2024")</f>
        <v/>
      </c>
      <c r="Y16">
        <f>HYPERLINK("https://klasma.github.io/Logging_2062/tillsynsmail/A 5134-2024 tillsynsbegäran mail.docx", "A 5134-2024")</f>
        <v/>
      </c>
      <c r="Z16">
        <f>HYPERLINK("https://klasma.github.io/Logging_2062/fåglar/A 5134-2024 prioriterade fågelarter.docx", "A 5134-2024")</f>
        <v/>
      </c>
    </row>
    <row r="17" ht="15" customHeight="1">
      <c r="A17" t="inlineStr">
        <is>
          <t>A 56438-2024</t>
        </is>
      </c>
      <c r="B17" s="1" t="n">
        <v>45625</v>
      </c>
      <c r="C17" s="1" t="n">
        <v>45752</v>
      </c>
      <c r="D17" t="inlineStr">
        <is>
          <t>DALARNAS LÄN</t>
        </is>
      </c>
      <c r="E17" t="inlineStr">
        <is>
          <t>MORA</t>
        </is>
      </c>
      <c r="G17" t="n">
        <v>8.800000000000001</v>
      </c>
      <c r="H17" t="n">
        <v>2</v>
      </c>
      <c r="I17" t="n">
        <v>1</v>
      </c>
      <c r="J17" t="n">
        <v>8</v>
      </c>
      <c r="K17" t="n">
        <v>0</v>
      </c>
      <c r="L17" t="n">
        <v>0</v>
      </c>
      <c r="M17" t="n">
        <v>0</v>
      </c>
      <c r="N17" t="n">
        <v>0</v>
      </c>
      <c r="O17" t="n">
        <v>8</v>
      </c>
      <c r="P17" t="n">
        <v>0</v>
      </c>
      <c r="Q17" t="n">
        <v>9</v>
      </c>
      <c r="R17" s="2" t="inlineStr">
        <is>
          <t>Garnlav
Kolflarnlav
Spillkråka
Tallticka
Tretåig hackspett
Ullticka
Vedskivlav
Vitgrynig nållav
Bronshjon</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61943-2024</t>
        </is>
      </c>
      <c r="B18" s="1" t="n">
        <v>45653</v>
      </c>
      <c r="C18" s="1" t="n">
        <v>45752</v>
      </c>
      <c r="D18" t="inlineStr">
        <is>
          <t>DALARNAS LÄN</t>
        </is>
      </c>
      <c r="E18" t="inlineStr">
        <is>
          <t>MORA</t>
        </is>
      </c>
      <c r="G18" t="n">
        <v>4.3</v>
      </c>
      <c r="H18" t="n">
        <v>2</v>
      </c>
      <c r="I18" t="n">
        <v>1</v>
      </c>
      <c r="J18" t="n">
        <v>7</v>
      </c>
      <c r="K18" t="n">
        <v>0</v>
      </c>
      <c r="L18" t="n">
        <v>0</v>
      </c>
      <c r="M18" t="n">
        <v>0</v>
      </c>
      <c r="N18" t="n">
        <v>0</v>
      </c>
      <c r="O18" t="n">
        <v>7</v>
      </c>
      <c r="P18" t="n">
        <v>0</v>
      </c>
      <c r="Q18" t="n">
        <v>9</v>
      </c>
      <c r="R18" s="2" t="inlineStr">
        <is>
          <t>Dvärgbägarlav
Garnlav
Mörk kolflarnlav
Spillkråka
Vedskivlav
Violettgrå tagellav
Vitgrynig nållav
Mindre märgborre
Tjäder</t>
        </is>
      </c>
      <c r="S18">
        <f>HYPERLINK("https://klasma.github.io/Logging_2062/artfynd/A 61943-2024 artfynd.xlsx", "A 61943-2024")</f>
        <v/>
      </c>
      <c r="T18">
        <f>HYPERLINK("https://klasma.github.io/Logging_2062/kartor/A 61943-2024 karta.png", "A 61943-2024")</f>
        <v/>
      </c>
      <c r="V18">
        <f>HYPERLINK("https://klasma.github.io/Logging_2062/klagomål/A 61943-2024 FSC-klagomål.docx", "A 61943-2024")</f>
        <v/>
      </c>
      <c r="W18">
        <f>HYPERLINK("https://klasma.github.io/Logging_2062/klagomålsmail/A 61943-2024 FSC-klagomål mail.docx", "A 61943-2024")</f>
        <v/>
      </c>
      <c r="X18">
        <f>HYPERLINK("https://klasma.github.io/Logging_2062/tillsyn/A 61943-2024 tillsynsbegäran.docx", "A 61943-2024")</f>
        <v/>
      </c>
      <c r="Y18">
        <f>HYPERLINK("https://klasma.github.io/Logging_2062/tillsynsmail/A 61943-2024 tillsynsbegäran mail.docx", "A 61943-2024")</f>
        <v/>
      </c>
      <c r="Z18">
        <f>HYPERLINK("https://klasma.github.io/Logging_2062/fåglar/A 61943-2024 prioriterade fågelarter.docx", "A 61943-2024")</f>
        <v/>
      </c>
    </row>
    <row r="19" ht="15" customHeight="1">
      <c r="A19" t="inlineStr">
        <is>
          <t>A 5064-2023</t>
        </is>
      </c>
      <c r="B19" s="1" t="n">
        <v>44958</v>
      </c>
      <c r="C19" s="1" t="n">
        <v>45752</v>
      </c>
      <c r="D19" t="inlineStr">
        <is>
          <t>DALARNAS LÄN</t>
        </is>
      </c>
      <c r="E19" t="inlineStr">
        <is>
          <t>MORA</t>
        </is>
      </c>
      <c r="G19" t="n">
        <v>3.9</v>
      </c>
      <c r="H19" t="n">
        <v>2</v>
      </c>
      <c r="I19" t="n">
        <v>1</v>
      </c>
      <c r="J19" t="n">
        <v>7</v>
      </c>
      <c r="K19" t="n">
        <v>0</v>
      </c>
      <c r="L19" t="n">
        <v>0</v>
      </c>
      <c r="M19" t="n">
        <v>0</v>
      </c>
      <c r="N19" t="n">
        <v>0</v>
      </c>
      <c r="O19" t="n">
        <v>7</v>
      </c>
      <c r="P19" t="n">
        <v>0</v>
      </c>
      <c r="Q19" t="n">
        <v>8</v>
      </c>
      <c r="R19" s="2" t="inlineStr">
        <is>
          <t>Garnlav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54028-2020</t>
        </is>
      </c>
      <c r="B20" s="1" t="n">
        <v>44125</v>
      </c>
      <c r="C20" s="1" t="n">
        <v>45752</v>
      </c>
      <c r="D20" t="inlineStr">
        <is>
          <t>DALARNAS LÄN</t>
        </is>
      </c>
      <c r="E20" t="inlineStr">
        <is>
          <t>MORA</t>
        </is>
      </c>
      <c r="G20" t="n">
        <v>10.9</v>
      </c>
      <c r="H20" t="n">
        <v>1</v>
      </c>
      <c r="I20" t="n">
        <v>1</v>
      </c>
      <c r="J20" t="n">
        <v>5</v>
      </c>
      <c r="K20" t="n">
        <v>1</v>
      </c>
      <c r="L20" t="n">
        <v>0</v>
      </c>
      <c r="M20" t="n">
        <v>0</v>
      </c>
      <c r="N20" t="n">
        <v>0</v>
      </c>
      <c r="O20" t="n">
        <v>6</v>
      </c>
      <c r="P20" t="n">
        <v>1</v>
      </c>
      <c r="Q20" t="n">
        <v>7</v>
      </c>
      <c r="R20" s="2" t="inlineStr">
        <is>
          <t>Gräddporing
Kolflarnlav
Kortskaftad ärgspik
Nordtagging
Tretåig hackspett
Vedskivlav
Mindre märgborre</t>
        </is>
      </c>
      <c r="S20">
        <f>HYPERLINK("https://klasma.github.io/Logging_2062/artfynd/A 54028-2020 artfynd.xlsx", "A 54028-2020")</f>
        <v/>
      </c>
      <c r="T20">
        <f>HYPERLINK("https://klasma.github.io/Logging_2062/kartor/A 54028-2020 karta.png", "A 54028-2020")</f>
        <v/>
      </c>
      <c r="V20">
        <f>HYPERLINK("https://klasma.github.io/Logging_2062/klagomål/A 54028-2020 FSC-klagomål.docx", "A 54028-2020")</f>
        <v/>
      </c>
      <c r="W20">
        <f>HYPERLINK("https://klasma.github.io/Logging_2062/klagomålsmail/A 54028-2020 FSC-klagomål mail.docx", "A 54028-2020")</f>
        <v/>
      </c>
      <c r="X20">
        <f>HYPERLINK("https://klasma.github.io/Logging_2062/tillsyn/A 54028-2020 tillsynsbegäran.docx", "A 54028-2020")</f>
        <v/>
      </c>
      <c r="Y20">
        <f>HYPERLINK("https://klasma.github.io/Logging_2062/tillsynsmail/A 54028-2020 tillsynsbegäran mail.docx", "A 54028-2020")</f>
        <v/>
      </c>
      <c r="Z20">
        <f>HYPERLINK("https://klasma.github.io/Logging_2062/fåglar/A 54028-2020 prioriterade fågelarter.docx", "A 54028-2020")</f>
        <v/>
      </c>
    </row>
    <row r="21" ht="15" customHeight="1">
      <c r="A21" t="inlineStr">
        <is>
          <t>A 61259-2023</t>
        </is>
      </c>
      <c r="B21" s="1" t="n">
        <v>45264</v>
      </c>
      <c r="C21" s="1" t="n">
        <v>45752</v>
      </c>
      <c r="D21" t="inlineStr">
        <is>
          <t>DALARNAS LÄN</t>
        </is>
      </c>
      <c r="E21" t="inlineStr">
        <is>
          <t>MORA</t>
        </is>
      </c>
      <c r="F21" t="inlineStr">
        <is>
          <t>Allmännings- och besparingsskogar</t>
        </is>
      </c>
      <c r="G21" t="n">
        <v>1</v>
      </c>
      <c r="H21" t="n">
        <v>1</v>
      </c>
      <c r="I21" t="n">
        <v>3</v>
      </c>
      <c r="J21" t="n">
        <v>3</v>
      </c>
      <c r="K21" t="n">
        <v>1</v>
      </c>
      <c r="L21" t="n">
        <v>0</v>
      </c>
      <c r="M21" t="n">
        <v>0</v>
      </c>
      <c r="N21" t="n">
        <v>0</v>
      </c>
      <c r="O21" t="n">
        <v>4</v>
      </c>
      <c r="P21" t="n">
        <v>1</v>
      </c>
      <c r="Q21" t="n">
        <v>7</v>
      </c>
      <c r="R21" s="2" t="inlineStr">
        <is>
          <t>Knärot
Brunpudrad nållav
Garnlav
Vitgrynig nållav
Bronshjon
Thomsons trägnagare
Vågbandad barkbock</t>
        </is>
      </c>
      <c r="S21">
        <f>HYPERLINK("https://klasma.github.io/Logging_2062/artfynd/A 61259-2023 artfynd.xlsx", "A 61259-2023")</f>
        <v/>
      </c>
      <c r="T21">
        <f>HYPERLINK("https://klasma.github.io/Logging_2062/kartor/A 61259-2023 karta.png", "A 61259-2023")</f>
        <v/>
      </c>
      <c r="U21">
        <f>HYPERLINK("https://klasma.github.io/Logging_2062/knärot/A 61259-2023 karta knärot.png", "A 61259-2023")</f>
        <v/>
      </c>
      <c r="V21">
        <f>HYPERLINK("https://klasma.github.io/Logging_2062/klagomål/A 61259-2023 FSC-klagomål.docx", "A 61259-2023")</f>
        <v/>
      </c>
      <c r="W21">
        <f>HYPERLINK("https://klasma.github.io/Logging_2062/klagomålsmail/A 61259-2023 FSC-klagomål mail.docx", "A 61259-2023")</f>
        <v/>
      </c>
      <c r="X21">
        <f>HYPERLINK("https://klasma.github.io/Logging_2062/tillsyn/A 61259-2023 tillsynsbegäran.docx", "A 61259-2023")</f>
        <v/>
      </c>
      <c r="Y21">
        <f>HYPERLINK("https://klasma.github.io/Logging_2062/tillsynsmail/A 61259-2023 tillsynsbegäran mail.docx", "A 61259-2023")</f>
        <v/>
      </c>
    </row>
    <row r="22" ht="15" customHeight="1">
      <c r="A22" t="inlineStr">
        <is>
          <t>A 61782-2024</t>
        </is>
      </c>
      <c r="B22" s="1" t="n">
        <v>45649</v>
      </c>
      <c r="C22" s="1" t="n">
        <v>45752</v>
      </c>
      <c r="D22" t="inlineStr">
        <is>
          <t>DALARNAS LÄN</t>
        </is>
      </c>
      <c r="E22" t="inlineStr">
        <is>
          <t>MORA</t>
        </is>
      </c>
      <c r="F22" t="inlineStr">
        <is>
          <t>Allmännings- och besparingsskogar</t>
        </is>
      </c>
      <c r="G22" t="n">
        <v>17.2</v>
      </c>
      <c r="H22" t="n">
        <v>0</v>
      </c>
      <c r="I22" t="n">
        <v>0</v>
      </c>
      <c r="J22" t="n">
        <v>7</v>
      </c>
      <c r="K22" t="n">
        <v>0</v>
      </c>
      <c r="L22" t="n">
        <v>0</v>
      </c>
      <c r="M22" t="n">
        <v>0</v>
      </c>
      <c r="N22" t="n">
        <v>0</v>
      </c>
      <c r="O22" t="n">
        <v>7</v>
      </c>
      <c r="P22" t="n">
        <v>0</v>
      </c>
      <c r="Q22" t="n">
        <v>7</v>
      </c>
      <c r="R22" s="2" t="inlineStr">
        <is>
          <t>Blanksvart spiklav
Garnlav
Kolflarnlav
Mörk kolflarnlav
Vedflamlav
Vedskivlav
Violettgrå tagellav</t>
        </is>
      </c>
      <c r="S22">
        <f>HYPERLINK("https://klasma.github.io/Logging_2062/artfynd/A 61782-2024 artfynd.xlsx", "A 61782-2024")</f>
        <v/>
      </c>
      <c r="T22">
        <f>HYPERLINK("https://klasma.github.io/Logging_2062/kartor/A 61782-2024 karta.png", "A 61782-2024")</f>
        <v/>
      </c>
      <c r="V22">
        <f>HYPERLINK("https://klasma.github.io/Logging_2062/klagomål/A 61782-2024 FSC-klagomål.docx", "A 61782-2024")</f>
        <v/>
      </c>
      <c r="W22">
        <f>HYPERLINK("https://klasma.github.io/Logging_2062/klagomålsmail/A 61782-2024 FSC-klagomål mail.docx", "A 61782-2024")</f>
        <v/>
      </c>
      <c r="X22">
        <f>HYPERLINK("https://klasma.github.io/Logging_2062/tillsyn/A 61782-2024 tillsynsbegäran.docx", "A 61782-2024")</f>
        <v/>
      </c>
      <c r="Y22">
        <f>HYPERLINK("https://klasma.github.io/Logging_2062/tillsynsmail/A 61782-2024 tillsynsbegäran mail.docx", "A 61782-2024")</f>
        <v/>
      </c>
    </row>
    <row r="23" ht="15" customHeight="1">
      <c r="A23" t="inlineStr">
        <is>
          <t>A 25094-2020</t>
        </is>
      </c>
      <c r="B23" s="1" t="n">
        <v>43979</v>
      </c>
      <c r="C23" s="1" t="n">
        <v>45752</v>
      </c>
      <c r="D23" t="inlineStr">
        <is>
          <t>DALARNAS LÄN</t>
        </is>
      </c>
      <c r="E23" t="inlineStr">
        <is>
          <t>MORA</t>
        </is>
      </c>
      <c r="G23" t="n">
        <v>1.2</v>
      </c>
      <c r="H23" t="n">
        <v>4</v>
      </c>
      <c r="I23" t="n">
        <v>0</v>
      </c>
      <c r="J23" t="n">
        <v>3</v>
      </c>
      <c r="K23" t="n">
        <v>0</v>
      </c>
      <c r="L23" t="n">
        <v>0</v>
      </c>
      <c r="M23" t="n">
        <v>0</v>
      </c>
      <c r="N23" t="n">
        <v>0</v>
      </c>
      <c r="O23" t="n">
        <v>3</v>
      </c>
      <c r="P23" t="n">
        <v>0</v>
      </c>
      <c r="Q23" t="n">
        <v>6</v>
      </c>
      <c r="R23" s="2" t="inlineStr">
        <is>
          <t>Brunag
Riddarsporre
Strandlummer
Fläcknycklar
Ängsnycklar
Revlummer</t>
        </is>
      </c>
      <c r="S23">
        <f>HYPERLINK("https://klasma.github.io/Logging_2062/artfynd/A 25094-2020 artfynd.xlsx", "A 25094-2020")</f>
        <v/>
      </c>
      <c r="T23">
        <f>HYPERLINK("https://klasma.github.io/Logging_2062/kartor/A 25094-2020 karta.png", "A 25094-2020")</f>
        <v/>
      </c>
      <c r="V23">
        <f>HYPERLINK("https://klasma.github.io/Logging_2062/klagomål/A 25094-2020 FSC-klagomål.docx", "A 25094-2020")</f>
        <v/>
      </c>
      <c r="W23">
        <f>HYPERLINK("https://klasma.github.io/Logging_2062/klagomålsmail/A 25094-2020 FSC-klagomål mail.docx", "A 25094-2020")</f>
        <v/>
      </c>
      <c r="X23">
        <f>HYPERLINK("https://klasma.github.io/Logging_2062/tillsyn/A 25094-2020 tillsynsbegäran.docx", "A 25094-2020")</f>
        <v/>
      </c>
      <c r="Y23">
        <f>HYPERLINK("https://klasma.github.io/Logging_2062/tillsynsmail/A 25094-2020 tillsynsbegäran mail.docx", "A 25094-2020")</f>
        <v/>
      </c>
    </row>
    <row r="24" ht="15" customHeight="1">
      <c r="A24" t="inlineStr">
        <is>
          <t>A 34447-2024</t>
        </is>
      </c>
      <c r="B24" s="1" t="n">
        <v>45525</v>
      </c>
      <c r="C24" s="1" t="n">
        <v>45752</v>
      </c>
      <c r="D24" t="inlineStr">
        <is>
          <t>DALARNAS LÄN</t>
        </is>
      </c>
      <c r="E24" t="inlineStr">
        <is>
          <t>MORA</t>
        </is>
      </c>
      <c r="G24" t="n">
        <v>8.300000000000001</v>
      </c>
      <c r="H24" t="n">
        <v>0</v>
      </c>
      <c r="I24" t="n">
        <v>0</v>
      </c>
      <c r="J24" t="n">
        <v>6</v>
      </c>
      <c r="K24" t="n">
        <v>0</v>
      </c>
      <c r="L24" t="n">
        <v>0</v>
      </c>
      <c r="M24" t="n">
        <v>0</v>
      </c>
      <c r="N24" t="n">
        <v>0</v>
      </c>
      <c r="O24" t="n">
        <v>6</v>
      </c>
      <c r="P24" t="n">
        <v>0</v>
      </c>
      <c r="Q24" t="n">
        <v>6</v>
      </c>
      <c r="R24" s="2" t="inlineStr">
        <is>
          <t>Dvärgbägarlav
Garnlav
Kolflarnlav
Mörk kolflarnlav
Vedflamlav
Vedskivlav</t>
        </is>
      </c>
      <c r="S24">
        <f>HYPERLINK("https://klasma.github.io/Logging_2062/artfynd/A 34447-2024 artfynd.xlsx", "A 34447-2024")</f>
        <v/>
      </c>
      <c r="T24">
        <f>HYPERLINK("https://klasma.github.io/Logging_2062/kartor/A 34447-2024 karta.png", "A 34447-2024")</f>
        <v/>
      </c>
      <c r="V24">
        <f>HYPERLINK("https://klasma.github.io/Logging_2062/klagomål/A 34447-2024 FSC-klagomål.docx", "A 34447-2024")</f>
        <v/>
      </c>
      <c r="W24">
        <f>HYPERLINK("https://klasma.github.io/Logging_2062/klagomålsmail/A 34447-2024 FSC-klagomål mail.docx", "A 34447-2024")</f>
        <v/>
      </c>
      <c r="X24">
        <f>HYPERLINK("https://klasma.github.io/Logging_2062/tillsyn/A 34447-2024 tillsynsbegäran.docx", "A 34447-2024")</f>
        <v/>
      </c>
      <c r="Y24">
        <f>HYPERLINK("https://klasma.github.io/Logging_2062/tillsynsmail/A 34447-2024 tillsynsbegäran mail.docx", "A 34447-2024")</f>
        <v/>
      </c>
    </row>
    <row r="25" ht="15" customHeight="1">
      <c r="A25" t="inlineStr">
        <is>
          <t>A 43194-2024</t>
        </is>
      </c>
      <c r="B25" s="1" t="n">
        <v>45567</v>
      </c>
      <c r="C25" s="1" t="n">
        <v>45752</v>
      </c>
      <c r="D25" t="inlineStr">
        <is>
          <t>DALARNAS LÄN</t>
        </is>
      </c>
      <c r="E25" t="inlineStr">
        <is>
          <t>MORA</t>
        </is>
      </c>
      <c r="G25" t="n">
        <v>6.8</v>
      </c>
      <c r="H25" t="n">
        <v>0</v>
      </c>
      <c r="I25" t="n">
        <v>2</v>
      </c>
      <c r="J25" t="n">
        <v>4</v>
      </c>
      <c r="K25" t="n">
        <v>0</v>
      </c>
      <c r="L25" t="n">
        <v>0</v>
      </c>
      <c r="M25" t="n">
        <v>0</v>
      </c>
      <c r="N25" t="n">
        <v>0</v>
      </c>
      <c r="O25" t="n">
        <v>4</v>
      </c>
      <c r="P25" t="n">
        <v>0</v>
      </c>
      <c r="Q25" t="n">
        <v>6</v>
      </c>
      <c r="R25" s="2" t="inlineStr">
        <is>
          <t>Dvärgbägarlav
Garnlav
Vedskivlav
Violettgrå tagellav
Dropptaggsvamp
Mindre märgborre</t>
        </is>
      </c>
      <c r="S25">
        <f>HYPERLINK("https://klasma.github.io/Logging_2062/artfynd/A 43194-2024 artfynd.xlsx", "A 43194-2024")</f>
        <v/>
      </c>
      <c r="T25">
        <f>HYPERLINK("https://klasma.github.io/Logging_2062/kartor/A 43194-2024 karta.png", "A 43194-2024")</f>
        <v/>
      </c>
      <c r="V25">
        <f>HYPERLINK("https://klasma.github.io/Logging_2062/klagomål/A 43194-2024 FSC-klagomål.docx", "A 43194-2024")</f>
        <v/>
      </c>
      <c r="W25">
        <f>HYPERLINK("https://klasma.github.io/Logging_2062/klagomålsmail/A 43194-2024 FSC-klagomål mail.docx", "A 43194-2024")</f>
        <v/>
      </c>
      <c r="X25">
        <f>HYPERLINK("https://klasma.github.io/Logging_2062/tillsyn/A 43194-2024 tillsynsbegäran.docx", "A 43194-2024")</f>
        <v/>
      </c>
      <c r="Y25">
        <f>HYPERLINK("https://klasma.github.io/Logging_2062/tillsynsmail/A 43194-2024 tillsynsbegäran mail.docx", "A 43194-2024")</f>
        <v/>
      </c>
    </row>
    <row r="26" ht="15" customHeight="1">
      <c r="A26" t="inlineStr">
        <is>
          <t>A 60365-2023</t>
        </is>
      </c>
      <c r="B26" s="1" t="n">
        <v>45259</v>
      </c>
      <c r="C26" s="1" t="n">
        <v>45752</v>
      </c>
      <c r="D26" t="inlineStr">
        <is>
          <t>DALARNAS LÄN</t>
        </is>
      </c>
      <c r="E26" t="inlineStr">
        <is>
          <t>MORA</t>
        </is>
      </c>
      <c r="G26" t="n">
        <v>7.5</v>
      </c>
      <c r="H26" t="n">
        <v>5</v>
      </c>
      <c r="I26" t="n">
        <v>0</v>
      </c>
      <c r="J26" t="n">
        <v>3</v>
      </c>
      <c r="K26" t="n">
        <v>0</v>
      </c>
      <c r="L26" t="n">
        <v>0</v>
      </c>
      <c r="M26" t="n">
        <v>0</v>
      </c>
      <c r="N26" t="n">
        <v>0</v>
      </c>
      <c r="O26" t="n">
        <v>3</v>
      </c>
      <c r="P26" t="n">
        <v>0</v>
      </c>
      <c r="Q26" t="n">
        <v>5</v>
      </c>
      <c r="R26" s="2" t="inlineStr">
        <is>
          <t>Grönsångare
Rödvingetrast
Slaguggla
Trana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8760-2025</t>
        </is>
      </c>
      <c r="B27" s="1" t="n">
        <v>45712</v>
      </c>
      <c r="C27" s="1" t="n">
        <v>45752</v>
      </c>
      <c r="D27" t="inlineStr">
        <is>
          <t>DALARNAS LÄN</t>
        </is>
      </c>
      <c r="E27" t="inlineStr">
        <is>
          <t>MORA</t>
        </is>
      </c>
      <c r="F27" t="inlineStr">
        <is>
          <t>Allmännings- och besparingsskogar</t>
        </is>
      </c>
      <c r="G27" t="n">
        <v>36.6</v>
      </c>
      <c r="H27" t="n">
        <v>0</v>
      </c>
      <c r="I27" t="n">
        <v>0</v>
      </c>
      <c r="J27" t="n">
        <v>5</v>
      </c>
      <c r="K27" t="n">
        <v>0</v>
      </c>
      <c r="L27" t="n">
        <v>0</v>
      </c>
      <c r="M27" t="n">
        <v>0</v>
      </c>
      <c r="N27" t="n">
        <v>0</v>
      </c>
      <c r="O27" t="n">
        <v>5</v>
      </c>
      <c r="P27" t="n">
        <v>0</v>
      </c>
      <c r="Q27" t="n">
        <v>5</v>
      </c>
      <c r="R27" s="2" t="inlineStr">
        <is>
          <t>Garnlav
Mörk kolflarnlav
Skogshare
Vedflamlav
Vedskivlav</t>
        </is>
      </c>
      <c r="S27">
        <f>HYPERLINK("https://klasma.github.io/Logging_2062/artfynd/A 8760-2025 artfynd.xlsx", "A 8760-2025")</f>
        <v/>
      </c>
      <c r="T27">
        <f>HYPERLINK("https://klasma.github.io/Logging_2062/kartor/A 8760-2025 karta.png", "A 8760-2025")</f>
        <v/>
      </c>
      <c r="V27">
        <f>HYPERLINK("https://klasma.github.io/Logging_2062/klagomål/A 8760-2025 FSC-klagomål.docx", "A 8760-2025")</f>
        <v/>
      </c>
      <c r="W27">
        <f>HYPERLINK("https://klasma.github.io/Logging_2062/klagomålsmail/A 8760-2025 FSC-klagomål mail.docx", "A 8760-2025")</f>
        <v/>
      </c>
      <c r="X27">
        <f>HYPERLINK("https://klasma.github.io/Logging_2062/tillsyn/A 8760-2025 tillsynsbegäran.docx", "A 8760-2025")</f>
        <v/>
      </c>
      <c r="Y27">
        <f>HYPERLINK("https://klasma.github.io/Logging_2062/tillsynsmail/A 8760-2025 tillsynsbegäran mail.docx", "A 8760-2025")</f>
        <v/>
      </c>
    </row>
    <row r="28" ht="15" customHeight="1">
      <c r="A28" t="inlineStr">
        <is>
          <t>A 29386-2019</t>
        </is>
      </c>
      <c r="B28" s="1" t="n">
        <v>43629</v>
      </c>
      <c r="C28" s="1" t="n">
        <v>45752</v>
      </c>
      <c r="D28" t="inlineStr">
        <is>
          <t>DALARNAS LÄN</t>
        </is>
      </c>
      <c r="E28" t="inlineStr">
        <is>
          <t>MORA</t>
        </is>
      </c>
      <c r="G28" t="n">
        <v>1.8</v>
      </c>
      <c r="H28" t="n">
        <v>1</v>
      </c>
      <c r="I28" t="n">
        <v>1</v>
      </c>
      <c r="J28" t="n">
        <v>2</v>
      </c>
      <c r="K28" t="n">
        <v>0</v>
      </c>
      <c r="L28" t="n">
        <v>0</v>
      </c>
      <c r="M28" t="n">
        <v>0</v>
      </c>
      <c r="N28" t="n">
        <v>0</v>
      </c>
      <c r="O28" t="n">
        <v>2</v>
      </c>
      <c r="P28" t="n">
        <v>0</v>
      </c>
      <c r="Q28" t="n">
        <v>4</v>
      </c>
      <c r="R28" s="2" t="inlineStr">
        <is>
          <t>Garnlav
Mörk kolflarnlav
Mindre märgborre
Kungsfågel</t>
        </is>
      </c>
      <c r="S28">
        <f>HYPERLINK("https://klasma.github.io/Logging_2062/artfynd/A 29386-2019 artfynd.xlsx", "A 29386-2019")</f>
        <v/>
      </c>
      <c r="T28">
        <f>HYPERLINK("https://klasma.github.io/Logging_2062/kartor/A 29386-2019 karta.png", "A 29386-2019")</f>
        <v/>
      </c>
      <c r="V28">
        <f>HYPERLINK("https://klasma.github.io/Logging_2062/klagomål/A 29386-2019 FSC-klagomål.docx", "A 29386-2019")</f>
        <v/>
      </c>
      <c r="W28">
        <f>HYPERLINK("https://klasma.github.io/Logging_2062/klagomålsmail/A 29386-2019 FSC-klagomål mail.docx", "A 29386-2019")</f>
        <v/>
      </c>
      <c r="X28">
        <f>HYPERLINK("https://klasma.github.io/Logging_2062/tillsyn/A 29386-2019 tillsynsbegäran.docx", "A 29386-2019")</f>
        <v/>
      </c>
      <c r="Y28">
        <f>HYPERLINK("https://klasma.github.io/Logging_2062/tillsynsmail/A 29386-2019 tillsynsbegäran mail.docx", "A 29386-2019")</f>
        <v/>
      </c>
      <c r="Z28">
        <f>HYPERLINK("https://klasma.github.io/Logging_2062/fåglar/A 29386-2019 prioriterade fågelarter.docx", "A 29386-2019")</f>
        <v/>
      </c>
    </row>
    <row r="29" ht="15" customHeight="1">
      <c r="A29" t="inlineStr">
        <is>
          <t>A 14293-2024</t>
        </is>
      </c>
      <c r="B29" s="1" t="n">
        <v>45393</v>
      </c>
      <c r="C29" s="1" t="n">
        <v>45752</v>
      </c>
      <c r="D29" t="inlineStr">
        <is>
          <t>DALARNAS LÄN</t>
        </is>
      </c>
      <c r="E29" t="inlineStr">
        <is>
          <t>MORA</t>
        </is>
      </c>
      <c r="G29" t="n">
        <v>7.4</v>
      </c>
      <c r="H29" t="n">
        <v>2</v>
      </c>
      <c r="I29" t="n">
        <v>1</v>
      </c>
      <c r="J29" t="n">
        <v>2</v>
      </c>
      <c r="K29" t="n">
        <v>0</v>
      </c>
      <c r="L29" t="n">
        <v>0</v>
      </c>
      <c r="M29" t="n">
        <v>0</v>
      </c>
      <c r="N29" t="n">
        <v>0</v>
      </c>
      <c r="O29" t="n">
        <v>2</v>
      </c>
      <c r="P29" t="n">
        <v>0</v>
      </c>
      <c r="Q29" t="n">
        <v>4</v>
      </c>
      <c r="R29" s="2" t="inlineStr">
        <is>
          <t>Garnlav
Talltita
Dropptaggsvamp
Tjäder</t>
        </is>
      </c>
      <c r="S29">
        <f>HYPERLINK("https://klasma.github.io/Logging_2062/artfynd/A 14293-2024 artfynd.xlsx", "A 14293-2024")</f>
        <v/>
      </c>
      <c r="T29">
        <f>HYPERLINK("https://klasma.github.io/Logging_2062/kartor/A 14293-2024 karta.png", "A 14293-2024")</f>
        <v/>
      </c>
      <c r="V29">
        <f>HYPERLINK("https://klasma.github.io/Logging_2062/klagomål/A 14293-2024 FSC-klagomål.docx", "A 14293-2024")</f>
        <v/>
      </c>
      <c r="W29">
        <f>HYPERLINK("https://klasma.github.io/Logging_2062/klagomålsmail/A 14293-2024 FSC-klagomål mail.docx", "A 14293-2024")</f>
        <v/>
      </c>
      <c r="X29">
        <f>HYPERLINK("https://klasma.github.io/Logging_2062/tillsyn/A 14293-2024 tillsynsbegäran.docx", "A 14293-2024")</f>
        <v/>
      </c>
      <c r="Y29">
        <f>HYPERLINK("https://klasma.github.io/Logging_2062/tillsynsmail/A 14293-2024 tillsynsbegäran mail.docx", "A 14293-2024")</f>
        <v/>
      </c>
      <c r="Z29">
        <f>HYPERLINK("https://klasma.github.io/Logging_2062/fåglar/A 14293-2024 prioriterade fågelarter.docx", "A 14293-2024")</f>
        <v/>
      </c>
    </row>
    <row r="30" ht="15" customHeight="1">
      <c r="A30" t="inlineStr">
        <is>
          <t>A 17648-2024</t>
        </is>
      </c>
      <c r="B30" s="1" t="n">
        <v>45418</v>
      </c>
      <c r="C30" s="1" t="n">
        <v>45752</v>
      </c>
      <c r="D30" t="inlineStr">
        <is>
          <t>DALARNAS LÄN</t>
        </is>
      </c>
      <c r="E30" t="inlineStr">
        <is>
          <t>MORA</t>
        </is>
      </c>
      <c r="G30" t="n">
        <v>1.7</v>
      </c>
      <c r="H30" t="n">
        <v>4</v>
      </c>
      <c r="I30" t="n">
        <v>0</v>
      </c>
      <c r="J30" t="n">
        <v>2</v>
      </c>
      <c r="K30" t="n">
        <v>0</v>
      </c>
      <c r="L30" t="n">
        <v>0</v>
      </c>
      <c r="M30" t="n">
        <v>0</v>
      </c>
      <c r="N30" t="n">
        <v>0</v>
      </c>
      <c r="O30" t="n">
        <v>2</v>
      </c>
      <c r="P30" t="n">
        <v>0</v>
      </c>
      <c r="Q30" t="n">
        <v>4</v>
      </c>
      <c r="R30" s="2" t="inlineStr">
        <is>
          <t>Brunlångöra
Nordfladdermus
Dvärgpipistrell
Vattenfladdermus</t>
        </is>
      </c>
      <c r="S30">
        <f>HYPERLINK("https://klasma.github.io/Logging_2062/artfynd/A 17648-2024 artfynd.xlsx", "A 17648-2024")</f>
        <v/>
      </c>
      <c r="T30">
        <f>HYPERLINK("https://klasma.github.io/Logging_2062/kartor/A 17648-2024 karta.png", "A 17648-2024")</f>
        <v/>
      </c>
      <c r="V30">
        <f>HYPERLINK("https://klasma.github.io/Logging_2062/klagomål/A 17648-2024 FSC-klagomål.docx", "A 17648-2024")</f>
        <v/>
      </c>
      <c r="W30">
        <f>HYPERLINK("https://klasma.github.io/Logging_2062/klagomålsmail/A 17648-2024 FSC-klagomål mail.docx", "A 17648-2024")</f>
        <v/>
      </c>
      <c r="X30">
        <f>HYPERLINK("https://klasma.github.io/Logging_2062/tillsyn/A 17648-2024 tillsynsbegäran.docx", "A 17648-2024")</f>
        <v/>
      </c>
      <c r="Y30">
        <f>HYPERLINK("https://klasma.github.io/Logging_2062/tillsynsmail/A 17648-2024 tillsynsbegäran mail.docx", "A 17648-2024")</f>
        <v/>
      </c>
    </row>
    <row r="31" ht="15" customHeight="1">
      <c r="A31" t="inlineStr">
        <is>
          <t>A 18954-2024</t>
        </is>
      </c>
      <c r="B31" s="1" t="n">
        <v>45427</v>
      </c>
      <c r="C31" s="1" t="n">
        <v>45752</v>
      </c>
      <c r="D31" t="inlineStr">
        <is>
          <t>DALARNAS LÄN</t>
        </is>
      </c>
      <c r="E31" t="inlineStr">
        <is>
          <t>MORA</t>
        </is>
      </c>
      <c r="G31" t="n">
        <v>17.5</v>
      </c>
      <c r="H31" t="n">
        <v>0</v>
      </c>
      <c r="I31" t="n">
        <v>1</v>
      </c>
      <c r="J31" t="n">
        <v>3</v>
      </c>
      <c r="K31" t="n">
        <v>0</v>
      </c>
      <c r="L31" t="n">
        <v>0</v>
      </c>
      <c r="M31" t="n">
        <v>0</v>
      </c>
      <c r="N31" t="n">
        <v>0</v>
      </c>
      <c r="O31" t="n">
        <v>3</v>
      </c>
      <c r="P31" t="n">
        <v>0</v>
      </c>
      <c r="Q31" t="n">
        <v>4</v>
      </c>
      <c r="R31" s="2" t="inlineStr">
        <is>
          <t>Furustumpbagge
Mörksömmad barksvartbagge
Tallstumpbagge
Mindre märgborre</t>
        </is>
      </c>
      <c r="S31">
        <f>HYPERLINK("https://klasma.github.io/Logging_2062/artfynd/A 18954-2024 artfynd.xlsx", "A 18954-2024")</f>
        <v/>
      </c>
      <c r="T31">
        <f>HYPERLINK("https://klasma.github.io/Logging_2062/kartor/A 18954-2024 karta.png", "A 18954-2024")</f>
        <v/>
      </c>
      <c r="V31">
        <f>HYPERLINK("https://klasma.github.io/Logging_2062/klagomål/A 18954-2024 FSC-klagomål.docx", "A 18954-2024")</f>
        <v/>
      </c>
      <c r="W31">
        <f>HYPERLINK("https://klasma.github.io/Logging_2062/klagomålsmail/A 18954-2024 FSC-klagomål mail.docx", "A 18954-2024")</f>
        <v/>
      </c>
      <c r="X31">
        <f>HYPERLINK("https://klasma.github.io/Logging_2062/tillsyn/A 18954-2024 tillsynsbegäran.docx", "A 18954-2024")</f>
        <v/>
      </c>
      <c r="Y31">
        <f>HYPERLINK("https://klasma.github.io/Logging_2062/tillsynsmail/A 18954-2024 tillsynsbegäran mail.docx", "A 18954-2024")</f>
        <v/>
      </c>
    </row>
    <row r="32" ht="15" customHeight="1">
      <c r="A32" t="inlineStr">
        <is>
          <t>A 20098-2024</t>
        </is>
      </c>
      <c r="B32" s="1" t="n">
        <v>45434</v>
      </c>
      <c r="C32" s="1" t="n">
        <v>45752</v>
      </c>
      <c r="D32" t="inlineStr">
        <is>
          <t>DALARNAS LÄN</t>
        </is>
      </c>
      <c r="E32" t="inlineStr">
        <is>
          <t>MORA</t>
        </is>
      </c>
      <c r="F32" t="inlineStr">
        <is>
          <t>Allmännings- och besparingsskogar</t>
        </is>
      </c>
      <c r="G32" t="n">
        <v>7.3</v>
      </c>
      <c r="H32" t="n">
        <v>0</v>
      </c>
      <c r="I32" t="n">
        <v>0</v>
      </c>
      <c r="J32" t="n">
        <v>4</v>
      </c>
      <c r="K32" t="n">
        <v>0</v>
      </c>
      <c r="L32" t="n">
        <v>0</v>
      </c>
      <c r="M32" t="n">
        <v>0</v>
      </c>
      <c r="N32" t="n">
        <v>0</v>
      </c>
      <c r="O32" t="n">
        <v>4</v>
      </c>
      <c r="P32" t="n">
        <v>0</v>
      </c>
      <c r="Q32" t="n">
        <v>4</v>
      </c>
      <c r="R32" s="2" t="inlineStr">
        <is>
          <t>Dvärgbägarlav
Garnlav
Ullticka
Vedflamlav</t>
        </is>
      </c>
      <c r="S32">
        <f>HYPERLINK("https://klasma.github.io/Logging_2062/artfynd/A 20098-2024 artfynd.xlsx", "A 20098-2024")</f>
        <v/>
      </c>
      <c r="T32">
        <f>HYPERLINK("https://klasma.github.io/Logging_2062/kartor/A 20098-2024 karta.png", "A 20098-2024")</f>
        <v/>
      </c>
      <c r="V32">
        <f>HYPERLINK("https://klasma.github.io/Logging_2062/klagomål/A 20098-2024 FSC-klagomål.docx", "A 20098-2024")</f>
        <v/>
      </c>
      <c r="W32">
        <f>HYPERLINK("https://klasma.github.io/Logging_2062/klagomålsmail/A 20098-2024 FSC-klagomål mail.docx", "A 20098-2024")</f>
        <v/>
      </c>
      <c r="X32">
        <f>HYPERLINK("https://klasma.github.io/Logging_2062/tillsyn/A 20098-2024 tillsynsbegäran.docx", "A 20098-2024")</f>
        <v/>
      </c>
      <c r="Y32">
        <f>HYPERLINK("https://klasma.github.io/Logging_2062/tillsynsmail/A 20098-2024 tillsynsbegäran mail.docx", "A 20098-2024")</f>
        <v/>
      </c>
    </row>
    <row r="33" ht="15" customHeight="1">
      <c r="A33" t="inlineStr">
        <is>
          <t>A 55418-2024</t>
        </is>
      </c>
      <c r="B33" s="1" t="n">
        <v>45622</v>
      </c>
      <c r="C33" s="1" t="n">
        <v>45752</v>
      </c>
      <c r="D33" t="inlineStr">
        <is>
          <t>DALARNAS LÄN</t>
        </is>
      </c>
      <c r="E33" t="inlineStr">
        <is>
          <t>MORA</t>
        </is>
      </c>
      <c r="G33" t="n">
        <v>1</v>
      </c>
      <c r="H33" t="n">
        <v>0</v>
      </c>
      <c r="I33" t="n">
        <v>2</v>
      </c>
      <c r="J33" t="n">
        <v>1</v>
      </c>
      <c r="K33" t="n">
        <v>1</v>
      </c>
      <c r="L33" t="n">
        <v>0</v>
      </c>
      <c r="M33" t="n">
        <v>0</v>
      </c>
      <c r="N33" t="n">
        <v>0</v>
      </c>
      <c r="O33" t="n">
        <v>2</v>
      </c>
      <c r="P33" t="n">
        <v>1</v>
      </c>
      <c r="Q33" t="n">
        <v>4</v>
      </c>
      <c r="R33" s="2" t="inlineStr">
        <is>
          <t>Rotfingersvamp
Druvfingersvamp
Dropptaggsvamp
Tallfingersvamp</t>
        </is>
      </c>
      <c r="S33">
        <f>HYPERLINK("https://klasma.github.io/Logging_2062/artfynd/A 55418-2024 artfynd.xlsx", "A 55418-2024")</f>
        <v/>
      </c>
      <c r="T33">
        <f>HYPERLINK("https://klasma.github.io/Logging_2062/kartor/A 55418-2024 karta.png", "A 55418-2024")</f>
        <v/>
      </c>
      <c r="V33">
        <f>HYPERLINK("https://klasma.github.io/Logging_2062/klagomål/A 55418-2024 FSC-klagomål.docx", "A 55418-2024")</f>
        <v/>
      </c>
      <c r="W33">
        <f>HYPERLINK("https://klasma.github.io/Logging_2062/klagomålsmail/A 55418-2024 FSC-klagomål mail.docx", "A 55418-2024")</f>
        <v/>
      </c>
      <c r="X33">
        <f>HYPERLINK("https://klasma.github.io/Logging_2062/tillsyn/A 55418-2024 tillsynsbegäran.docx", "A 55418-2024")</f>
        <v/>
      </c>
      <c r="Y33">
        <f>HYPERLINK("https://klasma.github.io/Logging_2062/tillsynsmail/A 55418-2024 tillsynsbegäran mail.docx", "A 55418-2024")</f>
        <v/>
      </c>
    </row>
    <row r="34" ht="15" customHeight="1">
      <c r="A34" t="inlineStr">
        <is>
          <t>A 55467-2024</t>
        </is>
      </c>
      <c r="B34" s="1" t="n">
        <v>45622</v>
      </c>
      <c r="C34" s="1" t="n">
        <v>45752</v>
      </c>
      <c r="D34" t="inlineStr">
        <is>
          <t>DALARNAS LÄN</t>
        </is>
      </c>
      <c r="E34" t="inlineStr">
        <is>
          <t>MORA</t>
        </is>
      </c>
      <c r="G34" t="n">
        <v>1.8</v>
      </c>
      <c r="H34" t="n">
        <v>0</v>
      </c>
      <c r="I34" t="n">
        <v>2</v>
      </c>
      <c r="J34" t="n">
        <v>1</v>
      </c>
      <c r="K34" t="n">
        <v>1</v>
      </c>
      <c r="L34" t="n">
        <v>0</v>
      </c>
      <c r="M34" t="n">
        <v>0</v>
      </c>
      <c r="N34" t="n">
        <v>0</v>
      </c>
      <c r="O34" t="n">
        <v>2</v>
      </c>
      <c r="P34" t="n">
        <v>1</v>
      </c>
      <c r="Q34" t="n">
        <v>4</v>
      </c>
      <c r="R34" s="2" t="inlineStr">
        <is>
          <t>Rotfingersvamp
Skrovlig taggsvamp
Dropptaggsvamp
Tallfingersvamp</t>
        </is>
      </c>
      <c r="S34">
        <f>HYPERLINK("https://klasma.github.io/Logging_2062/artfynd/A 55467-2024 artfynd.xlsx", "A 55467-2024")</f>
        <v/>
      </c>
      <c r="T34">
        <f>HYPERLINK("https://klasma.github.io/Logging_2062/kartor/A 55467-2024 karta.png", "A 55467-2024")</f>
        <v/>
      </c>
      <c r="V34">
        <f>HYPERLINK("https://klasma.github.io/Logging_2062/klagomål/A 55467-2024 FSC-klagomål.docx", "A 55467-2024")</f>
        <v/>
      </c>
      <c r="W34">
        <f>HYPERLINK("https://klasma.github.io/Logging_2062/klagomålsmail/A 55467-2024 FSC-klagomål mail.docx", "A 55467-2024")</f>
        <v/>
      </c>
      <c r="X34">
        <f>HYPERLINK("https://klasma.github.io/Logging_2062/tillsyn/A 55467-2024 tillsynsbegäran.docx", "A 55467-2024")</f>
        <v/>
      </c>
      <c r="Y34">
        <f>HYPERLINK("https://klasma.github.io/Logging_2062/tillsynsmail/A 55467-2024 tillsynsbegäran mail.docx", "A 55467-2024")</f>
        <v/>
      </c>
    </row>
    <row r="35" ht="15" customHeight="1">
      <c r="A35" t="inlineStr">
        <is>
          <t>A 61224-2024</t>
        </is>
      </c>
      <c r="B35" s="1" t="n">
        <v>45645</v>
      </c>
      <c r="C35" s="1" t="n">
        <v>45752</v>
      </c>
      <c r="D35" t="inlineStr">
        <is>
          <t>DALARNAS LÄN</t>
        </is>
      </c>
      <c r="E35" t="inlineStr">
        <is>
          <t>MORA</t>
        </is>
      </c>
      <c r="F35" t="inlineStr">
        <is>
          <t>Allmännings- och besparingsskogar</t>
        </is>
      </c>
      <c r="G35" t="n">
        <v>3.7</v>
      </c>
      <c r="H35" t="n">
        <v>0</v>
      </c>
      <c r="I35" t="n">
        <v>0</v>
      </c>
      <c r="J35" t="n">
        <v>4</v>
      </c>
      <c r="K35" t="n">
        <v>0</v>
      </c>
      <c r="L35" t="n">
        <v>0</v>
      </c>
      <c r="M35" t="n">
        <v>0</v>
      </c>
      <c r="N35" t="n">
        <v>0</v>
      </c>
      <c r="O35" t="n">
        <v>4</v>
      </c>
      <c r="P35" t="n">
        <v>0</v>
      </c>
      <c r="Q35" t="n">
        <v>4</v>
      </c>
      <c r="R35" s="2" t="inlineStr">
        <is>
          <t>Garnlav
Mörk kolflarnlav
Vedskivlav
Violettgrå tagellav</t>
        </is>
      </c>
      <c r="S35">
        <f>HYPERLINK("https://klasma.github.io/Logging_2062/artfynd/A 61224-2024 artfynd.xlsx", "A 61224-2024")</f>
        <v/>
      </c>
      <c r="T35">
        <f>HYPERLINK("https://klasma.github.io/Logging_2062/kartor/A 61224-2024 karta.png", "A 61224-2024")</f>
        <v/>
      </c>
      <c r="V35">
        <f>HYPERLINK("https://klasma.github.io/Logging_2062/klagomål/A 61224-2024 FSC-klagomål.docx", "A 61224-2024")</f>
        <v/>
      </c>
      <c r="W35">
        <f>HYPERLINK("https://klasma.github.io/Logging_2062/klagomålsmail/A 61224-2024 FSC-klagomål mail.docx", "A 61224-2024")</f>
        <v/>
      </c>
      <c r="X35">
        <f>HYPERLINK("https://klasma.github.io/Logging_2062/tillsyn/A 61224-2024 tillsynsbegäran.docx", "A 61224-2024")</f>
        <v/>
      </c>
      <c r="Y35">
        <f>HYPERLINK("https://klasma.github.io/Logging_2062/tillsynsmail/A 61224-2024 tillsynsbegäran mail.docx", "A 61224-2024")</f>
        <v/>
      </c>
    </row>
    <row r="36" ht="15" customHeight="1">
      <c r="A36" t="inlineStr">
        <is>
          <t>A 894-2025</t>
        </is>
      </c>
      <c r="B36" s="1" t="n">
        <v>45665</v>
      </c>
      <c r="C36" s="1" t="n">
        <v>45752</v>
      </c>
      <c r="D36" t="inlineStr">
        <is>
          <t>DALARNAS LÄN</t>
        </is>
      </c>
      <c r="E36" t="inlineStr">
        <is>
          <t>MORA</t>
        </is>
      </c>
      <c r="G36" t="n">
        <v>8.1</v>
      </c>
      <c r="H36" t="n">
        <v>2</v>
      </c>
      <c r="I36" t="n">
        <v>0</v>
      </c>
      <c r="J36" t="n">
        <v>3</v>
      </c>
      <c r="K36" t="n">
        <v>0</v>
      </c>
      <c r="L36" t="n">
        <v>0</v>
      </c>
      <c r="M36" t="n">
        <v>0</v>
      </c>
      <c r="N36" t="n">
        <v>0</v>
      </c>
      <c r="O36" t="n">
        <v>3</v>
      </c>
      <c r="P36" t="n">
        <v>0</v>
      </c>
      <c r="Q36" t="n">
        <v>4</v>
      </c>
      <c r="R36" s="2" t="inlineStr">
        <is>
          <t>Garnlav
Lunglav
Tretåig hackspett
Tjäder</t>
        </is>
      </c>
      <c r="S36">
        <f>HYPERLINK("https://klasma.github.io/Logging_2062/artfynd/A 894-2025 artfynd.xlsx", "A 894-2025")</f>
        <v/>
      </c>
      <c r="T36">
        <f>HYPERLINK("https://klasma.github.io/Logging_2062/kartor/A 894-2025 karta.png", "A 894-2025")</f>
        <v/>
      </c>
      <c r="V36">
        <f>HYPERLINK("https://klasma.github.io/Logging_2062/klagomål/A 894-2025 FSC-klagomål.docx", "A 894-2025")</f>
        <v/>
      </c>
      <c r="W36">
        <f>HYPERLINK("https://klasma.github.io/Logging_2062/klagomålsmail/A 894-2025 FSC-klagomål mail.docx", "A 894-2025")</f>
        <v/>
      </c>
      <c r="X36">
        <f>HYPERLINK("https://klasma.github.io/Logging_2062/tillsyn/A 894-2025 tillsynsbegäran.docx", "A 894-2025")</f>
        <v/>
      </c>
      <c r="Y36">
        <f>HYPERLINK("https://klasma.github.io/Logging_2062/tillsynsmail/A 894-2025 tillsynsbegäran mail.docx", "A 894-2025")</f>
        <v/>
      </c>
      <c r="Z36">
        <f>HYPERLINK("https://klasma.github.io/Logging_2062/fåglar/A 894-2025 prioriterade fågelarter.docx", "A 894-2025")</f>
        <v/>
      </c>
    </row>
    <row r="37" ht="15" customHeight="1">
      <c r="A37" t="inlineStr">
        <is>
          <t>A 5484-2023</t>
        </is>
      </c>
      <c r="B37" s="1" t="n">
        <v>44957</v>
      </c>
      <c r="C37" s="1" t="n">
        <v>45752</v>
      </c>
      <c r="D37" t="inlineStr">
        <is>
          <t>DALARNAS LÄN</t>
        </is>
      </c>
      <c r="E37" t="inlineStr">
        <is>
          <t>MORA</t>
        </is>
      </c>
      <c r="F37" t="inlineStr">
        <is>
          <t>Allmännings- och besparingsskogar</t>
        </is>
      </c>
      <c r="G37" t="n">
        <v>14.9</v>
      </c>
      <c r="H37" t="n">
        <v>0</v>
      </c>
      <c r="I37" t="n">
        <v>1</v>
      </c>
      <c r="J37" t="n">
        <v>0</v>
      </c>
      <c r="K37" t="n">
        <v>2</v>
      </c>
      <c r="L37" t="n">
        <v>0</v>
      </c>
      <c r="M37" t="n">
        <v>0</v>
      </c>
      <c r="N37" t="n">
        <v>0</v>
      </c>
      <c r="O37" t="n">
        <v>2</v>
      </c>
      <c r="P37" t="n">
        <v>2</v>
      </c>
      <c r="Q37" t="n">
        <v>3</v>
      </c>
      <c r="R37" s="2" t="inlineStr">
        <is>
          <t>Raggbock
Tallbarksvartbagge
Mindre märgborre</t>
        </is>
      </c>
      <c r="S37">
        <f>HYPERLINK("https://klasma.github.io/Logging_2062/artfynd/A 5484-2023 artfynd.xlsx", "A 5484-2023")</f>
        <v/>
      </c>
      <c r="T37">
        <f>HYPERLINK("https://klasma.github.io/Logging_2062/kartor/A 5484-2023 karta.png", "A 5484-2023")</f>
        <v/>
      </c>
      <c r="V37">
        <f>HYPERLINK("https://klasma.github.io/Logging_2062/klagomål/A 5484-2023 FSC-klagomål.docx", "A 5484-2023")</f>
        <v/>
      </c>
      <c r="W37">
        <f>HYPERLINK("https://klasma.github.io/Logging_2062/klagomålsmail/A 5484-2023 FSC-klagomål mail.docx", "A 5484-2023")</f>
        <v/>
      </c>
      <c r="X37">
        <f>HYPERLINK("https://klasma.github.io/Logging_2062/tillsyn/A 5484-2023 tillsynsbegäran.docx", "A 5484-2023")</f>
        <v/>
      </c>
      <c r="Y37">
        <f>HYPERLINK("https://klasma.github.io/Logging_2062/tillsynsmail/A 5484-2023 tillsynsbegäran mail.docx", "A 5484-2023")</f>
        <v/>
      </c>
    </row>
    <row r="38" ht="15" customHeight="1">
      <c r="A38" t="inlineStr">
        <is>
          <t>A 33185-2019</t>
        </is>
      </c>
      <c r="B38" s="1" t="n">
        <v>43649</v>
      </c>
      <c r="C38" s="1" t="n">
        <v>45752</v>
      </c>
      <c r="D38" t="inlineStr">
        <is>
          <t>DALARNAS LÄN</t>
        </is>
      </c>
      <c r="E38" t="inlineStr">
        <is>
          <t>MORA</t>
        </is>
      </c>
      <c r="G38" t="n">
        <v>8</v>
      </c>
      <c r="H38" t="n">
        <v>0</v>
      </c>
      <c r="I38" t="n">
        <v>0</v>
      </c>
      <c r="J38" t="n">
        <v>2</v>
      </c>
      <c r="K38" t="n">
        <v>0</v>
      </c>
      <c r="L38" t="n">
        <v>0</v>
      </c>
      <c r="M38" t="n">
        <v>0</v>
      </c>
      <c r="N38" t="n">
        <v>0</v>
      </c>
      <c r="O38" t="n">
        <v>2</v>
      </c>
      <c r="P38" t="n">
        <v>0</v>
      </c>
      <c r="Q38" t="n">
        <v>2</v>
      </c>
      <c r="R38" s="2" t="inlineStr">
        <is>
          <t>Mörk kolflarnlav
Vedskivlav</t>
        </is>
      </c>
      <c r="S38">
        <f>HYPERLINK("https://klasma.github.io/Logging_2062/artfynd/A 33185-2019 artfynd.xlsx", "A 33185-2019")</f>
        <v/>
      </c>
      <c r="T38">
        <f>HYPERLINK("https://klasma.github.io/Logging_2062/kartor/A 33185-2019 karta.png", "A 33185-2019")</f>
        <v/>
      </c>
      <c r="V38">
        <f>HYPERLINK("https://klasma.github.io/Logging_2062/klagomål/A 33185-2019 FSC-klagomål.docx", "A 33185-2019")</f>
        <v/>
      </c>
      <c r="W38">
        <f>HYPERLINK("https://klasma.github.io/Logging_2062/klagomålsmail/A 33185-2019 FSC-klagomål mail.docx", "A 33185-2019")</f>
        <v/>
      </c>
      <c r="X38">
        <f>HYPERLINK("https://klasma.github.io/Logging_2062/tillsyn/A 33185-2019 tillsynsbegäran.docx", "A 33185-2019")</f>
        <v/>
      </c>
      <c r="Y38">
        <f>HYPERLINK("https://klasma.github.io/Logging_2062/tillsynsmail/A 33185-2019 tillsynsbegäran mail.docx", "A 33185-2019")</f>
        <v/>
      </c>
    </row>
    <row r="39" ht="15" customHeight="1">
      <c r="A39" t="inlineStr">
        <is>
          <t>A 64812-2019</t>
        </is>
      </c>
      <c r="B39" s="1" t="n">
        <v>43801</v>
      </c>
      <c r="C39" s="1" t="n">
        <v>45752</v>
      </c>
      <c r="D39" t="inlineStr">
        <is>
          <t>DALARNAS LÄN</t>
        </is>
      </c>
      <c r="E39" t="inlineStr">
        <is>
          <t>MORA</t>
        </is>
      </c>
      <c r="G39" t="n">
        <v>5.6</v>
      </c>
      <c r="H39" t="n">
        <v>0</v>
      </c>
      <c r="I39" t="n">
        <v>0</v>
      </c>
      <c r="J39" t="n">
        <v>2</v>
      </c>
      <c r="K39" t="n">
        <v>0</v>
      </c>
      <c r="L39" t="n">
        <v>0</v>
      </c>
      <c r="M39" t="n">
        <v>0</v>
      </c>
      <c r="N39" t="n">
        <v>0</v>
      </c>
      <c r="O39" t="n">
        <v>2</v>
      </c>
      <c r="P39" t="n">
        <v>0</v>
      </c>
      <c r="Q39" t="n">
        <v>2</v>
      </c>
      <c r="R39" s="2" t="inlineStr">
        <is>
          <t>Rosenticka
Ullticka</t>
        </is>
      </c>
      <c r="S39">
        <f>HYPERLINK("https://klasma.github.io/Logging_2062/artfynd/A 64812-2019 artfynd.xlsx", "A 64812-2019")</f>
        <v/>
      </c>
      <c r="T39">
        <f>HYPERLINK("https://klasma.github.io/Logging_2062/kartor/A 64812-2019 karta.png", "A 64812-2019")</f>
        <v/>
      </c>
      <c r="V39">
        <f>HYPERLINK("https://klasma.github.io/Logging_2062/klagomål/A 64812-2019 FSC-klagomål.docx", "A 64812-2019")</f>
        <v/>
      </c>
      <c r="W39">
        <f>HYPERLINK("https://klasma.github.io/Logging_2062/klagomålsmail/A 64812-2019 FSC-klagomål mail.docx", "A 64812-2019")</f>
        <v/>
      </c>
      <c r="X39">
        <f>HYPERLINK("https://klasma.github.io/Logging_2062/tillsyn/A 64812-2019 tillsynsbegäran.docx", "A 64812-2019")</f>
        <v/>
      </c>
      <c r="Y39">
        <f>HYPERLINK("https://klasma.github.io/Logging_2062/tillsynsmail/A 64812-2019 tillsynsbegäran mail.docx", "A 64812-2019")</f>
        <v/>
      </c>
    </row>
    <row r="40" ht="15" customHeight="1">
      <c r="A40" t="inlineStr">
        <is>
          <t>A 59626-2020</t>
        </is>
      </c>
      <c r="B40" s="1" t="n">
        <v>44150</v>
      </c>
      <c r="C40" s="1" t="n">
        <v>45752</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45752</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26587-2023</t>
        </is>
      </c>
      <c r="B42" s="1" t="n">
        <v>45092</v>
      </c>
      <c r="C42" s="1" t="n">
        <v>45752</v>
      </c>
      <c r="D42" t="inlineStr">
        <is>
          <t>DALARNAS LÄN</t>
        </is>
      </c>
      <c r="E42" t="inlineStr">
        <is>
          <t>MORA</t>
        </is>
      </c>
      <c r="G42" t="n">
        <v>2.1</v>
      </c>
      <c r="H42" t="n">
        <v>0</v>
      </c>
      <c r="I42" t="n">
        <v>1</v>
      </c>
      <c r="J42" t="n">
        <v>1</v>
      </c>
      <c r="K42" t="n">
        <v>0</v>
      </c>
      <c r="L42" t="n">
        <v>0</v>
      </c>
      <c r="M42" t="n">
        <v>0</v>
      </c>
      <c r="N42" t="n">
        <v>0</v>
      </c>
      <c r="O42" t="n">
        <v>1</v>
      </c>
      <c r="P42" t="n">
        <v>0</v>
      </c>
      <c r="Q42" t="n">
        <v>2</v>
      </c>
      <c r="R42" s="2" t="inlineStr">
        <is>
          <t>Motaggsvamp
Mindre märgborre</t>
        </is>
      </c>
      <c r="S42">
        <f>HYPERLINK("https://klasma.github.io/Logging_2062/artfynd/A 26587-2023 artfynd.xlsx", "A 26587-2023")</f>
        <v/>
      </c>
      <c r="T42">
        <f>HYPERLINK("https://klasma.github.io/Logging_2062/kartor/A 26587-2023 karta.png", "A 26587-2023")</f>
        <v/>
      </c>
      <c r="V42">
        <f>HYPERLINK("https://klasma.github.io/Logging_2062/klagomål/A 26587-2023 FSC-klagomål.docx", "A 26587-2023")</f>
        <v/>
      </c>
      <c r="W42">
        <f>HYPERLINK("https://klasma.github.io/Logging_2062/klagomålsmail/A 26587-2023 FSC-klagomål mail.docx", "A 26587-2023")</f>
        <v/>
      </c>
      <c r="X42">
        <f>HYPERLINK("https://klasma.github.io/Logging_2062/tillsyn/A 26587-2023 tillsynsbegäran.docx", "A 26587-2023")</f>
        <v/>
      </c>
      <c r="Y42">
        <f>HYPERLINK("https://klasma.github.io/Logging_2062/tillsynsmail/A 26587-2023 tillsynsbegäran mail.docx", "A 26587-2023")</f>
        <v/>
      </c>
    </row>
    <row r="43" ht="15" customHeight="1">
      <c r="A43" t="inlineStr">
        <is>
          <t>A 30278-2023</t>
        </is>
      </c>
      <c r="B43" s="1" t="n">
        <v>45110</v>
      </c>
      <c r="C43" s="1" t="n">
        <v>45752</v>
      </c>
      <c r="D43" t="inlineStr">
        <is>
          <t>DALARNAS LÄN</t>
        </is>
      </c>
      <c r="E43" t="inlineStr">
        <is>
          <t>MORA</t>
        </is>
      </c>
      <c r="G43" t="n">
        <v>16</v>
      </c>
      <c r="H43" t="n">
        <v>0</v>
      </c>
      <c r="I43" t="n">
        <v>1</v>
      </c>
      <c r="J43" t="n">
        <v>0</v>
      </c>
      <c r="K43" t="n">
        <v>1</v>
      </c>
      <c r="L43" t="n">
        <v>0</v>
      </c>
      <c r="M43" t="n">
        <v>0</v>
      </c>
      <c r="N43" t="n">
        <v>0</v>
      </c>
      <c r="O43" t="n">
        <v>1</v>
      </c>
      <c r="P43" t="n">
        <v>1</v>
      </c>
      <c r="Q43" t="n">
        <v>2</v>
      </c>
      <c r="R43" s="2" t="inlineStr">
        <is>
          <t>Tallbarksvartbagge
Mindre märgborre</t>
        </is>
      </c>
      <c r="S43">
        <f>HYPERLINK("https://klasma.github.io/Logging_2062/artfynd/A 30278-2023 artfynd.xlsx", "A 30278-2023")</f>
        <v/>
      </c>
      <c r="T43">
        <f>HYPERLINK("https://klasma.github.io/Logging_2062/kartor/A 30278-2023 karta.png", "A 30278-2023")</f>
        <v/>
      </c>
      <c r="V43">
        <f>HYPERLINK("https://klasma.github.io/Logging_2062/klagomål/A 30278-2023 FSC-klagomål.docx", "A 30278-2023")</f>
        <v/>
      </c>
      <c r="W43">
        <f>HYPERLINK("https://klasma.github.io/Logging_2062/klagomålsmail/A 30278-2023 FSC-klagomål mail.docx", "A 30278-2023")</f>
        <v/>
      </c>
      <c r="X43">
        <f>HYPERLINK("https://klasma.github.io/Logging_2062/tillsyn/A 30278-2023 tillsynsbegäran.docx", "A 30278-2023")</f>
        <v/>
      </c>
      <c r="Y43">
        <f>HYPERLINK("https://klasma.github.io/Logging_2062/tillsynsmail/A 30278-2023 tillsynsbegäran mail.docx", "A 30278-2023")</f>
        <v/>
      </c>
    </row>
    <row r="44" ht="15" customHeight="1">
      <c r="A44" t="inlineStr">
        <is>
          <t>A 42028-2023</t>
        </is>
      </c>
      <c r="B44" s="1" t="n">
        <v>45177</v>
      </c>
      <c r="C44" s="1" t="n">
        <v>45752</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33968-2020</t>
        </is>
      </c>
      <c r="B45" s="1" t="n">
        <v>44028</v>
      </c>
      <c r="C45" s="1" t="n">
        <v>45752</v>
      </c>
      <c r="D45" t="inlineStr">
        <is>
          <t>DALARNAS LÄN</t>
        </is>
      </c>
      <c r="E45" t="inlineStr">
        <is>
          <t>MORA</t>
        </is>
      </c>
      <c r="G45" t="n">
        <v>0.5</v>
      </c>
      <c r="H45" t="n">
        <v>1</v>
      </c>
      <c r="I45" t="n">
        <v>0</v>
      </c>
      <c r="J45" t="n">
        <v>1</v>
      </c>
      <c r="K45" t="n">
        <v>0</v>
      </c>
      <c r="L45" t="n">
        <v>0</v>
      </c>
      <c r="M45" t="n">
        <v>0</v>
      </c>
      <c r="N45" t="n">
        <v>0</v>
      </c>
      <c r="O45" t="n">
        <v>1</v>
      </c>
      <c r="P45" t="n">
        <v>0</v>
      </c>
      <c r="Q45" t="n">
        <v>1</v>
      </c>
      <c r="R45" s="2" t="inlineStr">
        <is>
          <t>Spillkråka</t>
        </is>
      </c>
      <c r="S45">
        <f>HYPERLINK("https://klasma.github.io/Logging_2062/artfynd/A 33968-2020 artfynd.xlsx", "A 33968-2020")</f>
        <v/>
      </c>
      <c r="T45">
        <f>HYPERLINK("https://klasma.github.io/Logging_2062/kartor/A 33968-2020 karta.png", "A 33968-2020")</f>
        <v/>
      </c>
      <c r="V45">
        <f>HYPERLINK("https://klasma.github.io/Logging_2062/klagomål/A 33968-2020 FSC-klagomål.docx", "A 33968-2020")</f>
        <v/>
      </c>
      <c r="W45">
        <f>HYPERLINK("https://klasma.github.io/Logging_2062/klagomålsmail/A 33968-2020 FSC-klagomål mail.docx", "A 33968-2020")</f>
        <v/>
      </c>
      <c r="X45">
        <f>HYPERLINK("https://klasma.github.io/Logging_2062/tillsyn/A 33968-2020 tillsynsbegäran.docx", "A 33968-2020")</f>
        <v/>
      </c>
      <c r="Y45">
        <f>HYPERLINK("https://klasma.github.io/Logging_2062/tillsynsmail/A 33968-2020 tillsynsbegäran mail.docx", "A 33968-2020")</f>
        <v/>
      </c>
      <c r="Z45">
        <f>HYPERLINK("https://klasma.github.io/Logging_2062/fåglar/A 33968-2020 prioriterade fågelarter.docx", "A 33968-2020")</f>
        <v/>
      </c>
    </row>
    <row r="46" ht="15" customHeight="1">
      <c r="A46" t="inlineStr">
        <is>
          <t>A 30328-2021</t>
        </is>
      </c>
      <c r="B46" s="1" t="n">
        <v>44364</v>
      </c>
      <c r="C46" s="1" t="n">
        <v>45752</v>
      </c>
      <c r="D46" t="inlineStr">
        <is>
          <t>DALARNAS LÄN</t>
        </is>
      </c>
      <c r="E46" t="inlineStr">
        <is>
          <t>MORA</t>
        </is>
      </c>
      <c r="F46" t="inlineStr">
        <is>
          <t>Bergvik skog öst AB</t>
        </is>
      </c>
      <c r="G46" t="n">
        <v>1.1</v>
      </c>
      <c r="H46" t="n">
        <v>1</v>
      </c>
      <c r="I46" t="n">
        <v>0</v>
      </c>
      <c r="J46" t="n">
        <v>1</v>
      </c>
      <c r="K46" t="n">
        <v>0</v>
      </c>
      <c r="L46" t="n">
        <v>0</v>
      </c>
      <c r="M46" t="n">
        <v>0</v>
      </c>
      <c r="N46" t="n">
        <v>0</v>
      </c>
      <c r="O46" t="n">
        <v>1</v>
      </c>
      <c r="P46" t="n">
        <v>0</v>
      </c>
      <c r="Q46" t="n">
        <v>1</v>
      </c>
      <c r="R46" s="2" t="inlineStr">
        <is>
          <t>Fjällvråk</t>
        </is>
      </c>
      <c r="S46">
        <f>HYPERLINK("https://klasma.github.io/Logging_2062/artfynd/A 30328-2021 artfynd.xlsx", "A 30328-2021")</f>
        <v/>
      </c>
      <c r="T46">
        <f>HYPERLINK("https://klasma.github.io/Logging_2062/kartor/A 30328-2021 karta.png", "A 30328-2021")</f>
        <v/>
      </c>
      <c r="V46">
        <f>HYPERLINK("https://klasma.github.io/Logging_2062/klagomål/A 30328-2021 FSC-klagomål.docx", "A 30328-2021")</f>
        <v/>
      </c>
      <c r="W46">
        <f>HYPERLINK("https://klasma.github.io/Logging_2062/klagomålsmail/A 30328-2021 FSC-klagomål mail.docx", "A 30328-2021")</f>
        <v/>
      </c>
      <c r="X46">
        <f>HYPERLINK("https://klasma.github.io/Logging_2062/tillsyn/A 30328-2021 tillsynsbegäran.docx", "A 30328-2021")</f>
        <v/>
      </c>
      <c r="Y46">
        <f>HYPERLINK("https://klasma.github.io/Logging_2062/tillsynsmail/A 30328-2021 tillsynsbegäran mail.docx", "A 30328-2021")</f>
        <v/>
      </c>
      <c r="Z46">
        <f>HYPERLINK("https://klasma.github.io/Logging_2062/fåglar/A 30328-2021 prioriterade fågelarter.docx", "A 30328-2021")</f>
        <v/>
      </c>
    </row>
    <row r="47" ht="15" customHeight="1">
      <c r="A47" t="inlineStr">
        <is>
          <t>A 57669-2022</t>
        </is>
      </c>
      <c r="B47" s="1" t="n">
        <v>44897</v>
      </c>
      <c r="C47" s="1" t="n">
        <v>45752</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v>
      </c>
      <c r="C48" s="1" t="n">
        <v>45752</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45752</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45752</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45752</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45752</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45752</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45752</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45752</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45752</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45752</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45752</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45752</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45752</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45752</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45752</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45752</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45752</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45752</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45752</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45752</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45752</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45752</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45752</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45752</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45752</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45752</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45752</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45752</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45752</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45752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45752</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45752</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45752</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45752</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45752</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45752</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45752</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45752</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45752</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45752</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45752</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45752</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45752</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45752</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45752</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45752</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45752</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45752</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45752</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45752</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45752</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45752</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45752</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45752</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45752</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45752</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45752</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45752</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45752</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45752</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45752</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45752</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45752</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45752</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45752</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45752</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45752</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45752</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45752</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45752</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45752</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45752</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45752</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45752</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45752</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45752</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45752</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45752</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45752</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45752</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45752</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45752</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45752</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45752</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45752</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45752</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45752</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45752</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45752</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45752</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45752</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45752</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45752</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45752</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45752</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45752</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45752</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45752</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45752</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45752</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45752</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45752</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45752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45752</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45752</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45752</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45752</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45752</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45752</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45752</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45752</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45752</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45752</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45752</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45752</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45752</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45752</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45752</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45752</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45752</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45752</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45752</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45752</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45752</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45752</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45752</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45752</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45752</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45752</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45752</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45752</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45752</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45752</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45752</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45752</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45752</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45752</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45752</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45752</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45752</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45752</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45752</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45752</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45752</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45752</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45752</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45752</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45752</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45752</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45752</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45752</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45752</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45752</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45752</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45752</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45752</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45752</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45752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45752</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45752</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45752</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45752</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45752</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45752</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45752</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45752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45752</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45752</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45752</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45752</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45752</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45752</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45752</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45752</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45752</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45752</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45752</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45752</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45752</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45752</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45752</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45752</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45752</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45752</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45752</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45752</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45752</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45752</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45752</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45752</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45752</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45752</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45752</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45752</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45752</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45752</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45752</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45752</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45752</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45752</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45752</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45752</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45752</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45752</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45752</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45752</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45752</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45752</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45752</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45752</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45752</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45752</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45752</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45752</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45752</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45752</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45752</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45752</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45752</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45752</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45752</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45752</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45752</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45752</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45752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45752</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45752</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45752</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45752</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45752</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45752</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45752</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45752</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45752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45752</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45752</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45752</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45752</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45752</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45752</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45752</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45752</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45752</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45752</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45752</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45752</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45752</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45752</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45752</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45752</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45752</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45752</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45752</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45752</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45752</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45752</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45752</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45752</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45752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45752</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45752</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45752</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45752</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45752</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45752</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45752</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45752</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45752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45752</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45752</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45752</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45752</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45752</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45752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45752</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45752</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45752</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45752</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45752</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45752</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45752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45752</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45752</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45752</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45752</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45752</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45752</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45752</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45752</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45752</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45752</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45752</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45752</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45752</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45752</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45752</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45752</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45752</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45752</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45752</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45752</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45752</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45752</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45752</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45752</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45752</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45752</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45752</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45752</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45752</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45752</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45752</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45752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45752</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45752</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45752</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45752</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45752</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45752</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45752</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45752</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45752</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45752</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45752</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45752</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45752</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45752</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45752</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45752</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45752</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45752</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45752</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45752</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45752</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45752</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45752</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45752</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45752</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45752</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45752</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45752</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45752</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45752</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45752</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45752</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45752</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45752</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45752</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45752</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45752</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45752</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45752</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45752</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45752</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45752</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45752</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45752</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45752</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45752</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45752</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45752</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45752</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45752</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45752</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45752</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45752</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45752</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45752</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45752</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45752</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45752</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45752</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45752</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45752</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45752</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45752</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45752</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45752</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45752</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45752</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45752</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45752</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45752</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45752</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45752</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45752</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45752</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45752</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45752</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45752</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45752</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45752</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45752</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45752</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45752</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45752</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45752</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45752</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45752</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45752</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45752</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45752</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45752</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45752</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45752</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45752</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45752</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45752</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45752</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45752</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45752</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45752</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45752</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45752</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45752</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45752</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45752</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45752</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45752</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45752</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45752</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45752</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45752</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45752</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45752</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45752</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45752</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45752</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45752</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45752</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45752</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45752</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45752</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45752</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45752</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45752</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45752</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45752</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45752</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45752</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45752</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45752</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45752</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45752</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45752</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45752</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45752</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45752</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45752</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45752</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45752</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45752</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45752</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45752</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45752</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45752</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45752</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45752</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45752</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45752</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45752</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45752</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45752</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45752</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45752</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45752</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45752</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45752</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45752</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45752</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45752</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45752</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45752</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45752</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45752</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45752</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45752</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45752</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45752</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45752</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45752</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45752</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45752</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45752</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45752</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45752</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45752</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45752</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45752</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45752</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45752</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45752</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45752</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45752</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45752</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45752</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45752</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45752</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45752</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45752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45752</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45752</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45752</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45752</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45752</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45752</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45752</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45752</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45752</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45752</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45752</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45752</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45752</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45752</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45752</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45752</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45752</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45752</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45752</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45752</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45752</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45752</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45752</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45752</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45752</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45752</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45752</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45752</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45752</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45752</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45752</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45752</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45752</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45752</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45752</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45752</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45752</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45752</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45752</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45752</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45752</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45752</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45752</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45752</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45752</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45752</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45752</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45752</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45752</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45752</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45752</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45752</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45752</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45752</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45752</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45752</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45752</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45752</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45752</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45752</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45752</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45752</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45752</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45752</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45752</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45752</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45752</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45752</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45752</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45752</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45752</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45752</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45752</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45752</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45752</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45752</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45752</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45752</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45752</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45752</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45752</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45752</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45752</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45752</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45752</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45752</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45752</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45752</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45752</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45752</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45752</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45752</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45752</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45752</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45752</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45752</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45752</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45752</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45752</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45752</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45752</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45752</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45752</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45752</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45752</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45752</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45752</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45752</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45752</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45752</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45752</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45752</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45752</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45752</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45752</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45752</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45752</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45752</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45752</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45752</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45752</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45752</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45752</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45752</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45752</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45752</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45752</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45752</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45752</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45752</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45752</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45752</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45752</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45752</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45752</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45752</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45752</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45752</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45752</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45752</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45752</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45752</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45752</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45752</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45752</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45752</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45752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45752</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45752</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45752</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45752</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45752</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45752</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45752</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45752</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45752</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45752</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45752</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45752</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45752</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45752</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45752</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45752</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45752</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45752</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45752</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45752</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45752</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45752</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45752</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45752</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45752</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45752</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45752</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45752</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45752</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45752</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45752</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45752</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45752</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45752</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45752</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45752</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45752</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45752</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45752</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45752</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45752</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45752</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45752</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45752</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45752</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45752</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45752</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45752</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45752</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45752</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45752</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45752</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45752</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45752</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45752</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45752</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45752</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45752</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45752</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45752</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45752</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45752</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45752</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45752</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45752</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45752</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45752</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45752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45752</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45752</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45752</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45752</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45752</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45752</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45752</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45752</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45752</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45752</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45752</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45752</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45752</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45752</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45752</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45752</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45752</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45752</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45752</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45752</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45752</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45752</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45752</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45752</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45752</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45752</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45752</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45752</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45752</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45752</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45752</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45752</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45752</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45752</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45752</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45752</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45752</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45752</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45752</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45752</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45752</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45752</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45752</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45752</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45752</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45752</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45752</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45752</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45752</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45752</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45752</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45752</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45752</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45752</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45752</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45752</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45752</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45752</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45752</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45752</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45752</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45752</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45752</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45752</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45752</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45752</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45752</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45752</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45752</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45752</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45752</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45752</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45752</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45752</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45752</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45752</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45752</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45752</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45752</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45752</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45752</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45752</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45752</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45752</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45752</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45752</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45752</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45752</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45752</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45752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45752</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45752</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45752</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45752</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45752</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45752</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45752</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45752</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45752</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45752</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45752</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45752</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45752</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45752</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45752</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45752</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45752</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45752</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45752</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45752</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45752</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45752</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45752</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45752</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45752</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45752</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45752</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45752</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45752</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45752</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45752</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45752</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45752</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45752</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45752</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45752</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45752</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45752</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45752</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45752</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45752</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45752</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45752</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45752</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45752</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45752</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45752</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45752</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45752</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45752</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45752</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45752</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45752</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45752</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45752</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45752</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45752</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45752</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45752</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45752</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45752</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45752</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45752</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45752</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45752</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45752</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45752</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45752</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45752</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45752</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45752</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45752</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45752</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45752</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45752</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45752</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45752</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45752</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45752</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45752</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45752</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45752</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45752</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45752</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45752</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45752</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45752</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45752</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45752</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45752</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45752</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45752</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45752</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45752</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45752</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45752</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45752</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45752</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45752</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45752</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45752</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45752</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45752</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45752</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45752</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45752</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45752</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45752</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45752</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45752</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45752</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45752</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45752</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45752</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45752</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45752</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45752</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45752</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45752</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45752</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45752</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45752</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45752</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45752</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45752</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45752</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45752</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45752</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45752</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45752</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45752</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45752</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45752</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45752</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45752</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45752</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45752</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45752</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45752</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45752</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45752</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45752</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45752</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45752</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45752</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45752</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45752</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45752</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45752</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45752</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45752</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45752</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45752</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45752</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45752</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45752</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45752</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45752</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45752</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45752</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45752</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45752</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45752</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45752</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45752</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45752</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45752</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45752</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45752</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45752</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45752</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45752</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45752</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45752</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45752</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45752</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45752</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45752</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45752</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45752</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45752</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45752</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45752</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45752</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45752</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45752</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45752</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45752</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45752</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45752</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45752</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45752</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45752</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45752</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45752</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45752</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45752</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45752</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45752</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45752</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45752</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45752</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45752</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45752</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45752</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45752</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45752</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45752</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45752</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45752</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45752</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45752</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45752</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45752</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45752</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45752</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45752</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45752</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45752</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45752</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45752</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45752</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45752</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45752</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45752</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45752</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45752</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45752</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45752</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45752</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45752</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45752</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45752</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45752</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45752</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45752</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45752</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45752</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45752</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45752</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45752</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45752</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45752</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45752</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45752</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45752</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45752</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45752</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45752</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45752</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45752</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45752</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45752</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45752</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45752</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45752</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45752</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45752</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45752</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45752</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45752</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45752</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45752</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45752</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45752</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45752</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45752</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45752</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45752</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45752</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45752</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45752</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45752</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45752</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45752</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45752</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45752</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45752</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45752</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45752</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45752</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45752</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45752</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45752</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45752</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45752</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45752</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45752</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45752</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45752</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45752</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45752</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45752</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45752</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45752</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45752</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45752</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45752</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45752</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45752</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45752</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45752</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45752</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45752</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45752</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45752</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45752</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45752</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45752</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45752</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45752</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45752</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45752</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45752</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45752</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45752</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45752</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45752</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45752</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45752</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45752</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45752</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45752</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45752</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45752</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45752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45752</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45752</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45752</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45752</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45752</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45752</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45752</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45752</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45752</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45752</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45752</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45752</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45752</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45752</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45752</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45752</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45752</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45752</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45752</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45752</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45752</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45752</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45752</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45752</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15643-2025</t>
        </is>
      </c>
      <c r="B1203" s="1" t="n">
        <v>45748</v>
      </c>
      <c r="C1203" s="1" t="n">
        <v>45752</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15853-2025</t>
        </is>
      </c>
      <c r="B1204" s="1" t="n">
        <v>45749</v>
      </c>
      <c r="C1204" s="1" t="n">
        <v>45752</v>
      </c>
      <c r="D1204" t="inlineStr">
        <is>
          <t>DALARNAS LÄN</t>
        </is>
      </c>
      <c r="E1204" t="inlineStr">
        <is>
          <t>MORA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45752</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c r="A1206" t="inlineStr">
        <is>
          <t>A 16174-2025</t>
        </is>
      </c>
      <c r="B1206" s="1" t="n">
        <v>45750</v>
      </c>
      <c r="C1206" s="1" t="n">
        <v>45752</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2025-04-05T16:41:56Z</dcterms:created>
  <dcterms:modified xmlns:dcterms="http://purl.org/dc/terms/" xmlns:xsi="http://www.w3.org/2001/XMLSchema-instance" xsi:type="dcterms:W3CDTF">2025-04-05T16:41:57Z</dcterms:modified>
</cp:coreProperties>
</file>