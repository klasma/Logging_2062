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46220</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46220</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46220</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HYPERLINK("https://klasma.github.io/Logging_2062/knärot/A 31756-2023 karta knärot.png", "A 31756-2023")</f>
        <v/>
      </c>
      <c r="Y4">
        <f>HYPERLINK("https://klasma.github.io/Logging_2062/klagomål/A 31756-2023 FSC-klagomål.docx", "A 31756-2023")</f>
        <v/>
      </c>
      <c r="Z4">
        <f>HYPERLINK("https://klasma.github.io/Logging_2062/klagomålsmail/A 31756-2023 FSC-klagomål mail.docx", "A 31756-2023")</f>
        <v/>
      </c>
      <c r="AA4">
        <f>HYPERLINK("https://klasma.github.io/Logging_2062/tillsyn/A 31756-2023 tillsynsbegäran.docx", "A 31756-2023")</f>
        <v/>
      </c>
      <c r="AB4">
        <f>HYPERLINK("https://klasma.github.io/Logging_2062/tillsynsmail/A 31756-2023 tillsynsbegäran mail.docx", "A 31756-2023")</f>
        <v/>
      </c>
      <c r="AC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46220</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Y5">
        <f>HYPERLINK("https://klasma.github.io/Logging_2062/klagomål/A 13728-2025 FSC-klagomål.docx", "A 13728-2025")</f>
        <v/>
      </c>
      <c r="Z5">
        <f>HYPERLINK("https://klasma.github.io/Logging_2062/klagomålsmail/A 13728-2025 FSC-klagomål mail.docx", "A 13728-2025")</f>
        <v/>
      </c>
      <c r="AA5">
        <f>HYPERLINK("https://klasma.github.io/Logging_2062/tillsyn/A 13728-2025 tillsynsbegäran.docx", "A 13728-2025")</f>
        <v/>
      </c>
      <c r="AB5">
        <f>HYPERLINK("https://klasma.github.io/Logging_2062/tillsynsmail/A 13728-2025 tillsynsbegäran mail.docx", "A 13728-2025")</f>
        <v/>
      </c>
      <c r="AC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46220</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46220</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46220</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46220</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46220</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Y10">
        <f>HYPERLINK("https://klasma.github.io/Logging_2062/klagomål/A 1254-2025 FSC-klagomål.docx", "A 1254-2025")</f>
        <v/>
      </c>
      <c r="Z10">
        <f>HYPERLINK("https://klasma.github.io/Logging_2062/klagomålsmail/A 1254-2025 FSC-klagomål mail.docx", "A 1254-2025")</f>
        <v/>
      </c>
      <c r="AA10">
        <f>HYPERLINK("https://klasma.github.io/Logging_2062/tillsyn/A 1254-2025 tillsynsbegäran.docx", "A 1254-2025")</f>
        <v/>
      </c>
      <c r="AB10">
        <f>HYPERLINK("https://klasma.github.io/Logging_2062/tillsynsmail/A 1254-2025 tillsynsbegäran mail.docx", "A 1254-2025")</f>
        <v/>
      </c>
      <c r="AC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46220</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HYPERLINK("https://klasma.github.io/Logging_2062/knärot/A 9412-2026 karta knärot.png", "A 9412-2026")</f>
        <v/>
      </c>
      <c r="Y11">
        <f>HYPERLINK("https://klasma.github.io/Logging_2062/klagomål/A 9412-2026 FSC-klagomål.docx", "A 9412-2026")</f>
        <v/>
      </c>
      <c r="Z11">
        <f>HYPERLINK("https://klasma.github.io/Logging_2062/klagomålsmail/A 9412-2026 FSC-klagomål mail.docx", "A 9412-2026")</f>
        <v/>
      </c>
      <c r="AA11">
        <f>HYPERLINK("https://klasma.github.io/Logging_2062/tillsyn/A 9412-2026 tillsynsbegäran.docx", "A 9412-2026")</f>
        <v/>
      </c>
      <c r="AB11">
        <f>HYPERLINK("https://klasma.github.io/Logging_2062/tillsynsmail/A 9412-2026 tillsynsbegäran mail.docx", "A 9412-2026")</f>
        <v/>
      </c>
      <c r="AC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46220</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46220</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46220</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s="2" t="inlineStr">
        <is>
          <t>Garnlav
Tornseglare
Kolflarnlav
Mörk kolflarnlav
Talltagel
Vedflamlav
Vedskivlav
Violettgrå tagellav
Vitgrynig nållav
Luddlav
Mindre märgborre
Nästlav
Plattlummer
Tibast
Spillkråka
Kungsfågel
Fläcknycklar
Revlummer</t>
        </is>
      </c>
      <c r="V14">
        <f>HYPERLINK("https://klasma.github.io/Logging_2062/artfynd/A 20531-2025 artfynd.xlsx", "A 20531-2025")</f>
        <v/>
      </c>
      <c r="W14">
        <f>HYPERLINK("https://klasma.github.io/Logging_2062/kartor/A 20531-2025 karta.png", "A 20531-2025")</f>
        <v/>
      </c>
      <c r="Y14">
        <f>HYPERLINK("https://klasma.github.io/Logging_2062/klagomål/A 20531-2025 FSC-klagomål.docx", "A 20531-2025")</f>
        <v/>
      </c>
      <c r="Z14">
        <f>HYPERLINK("https://klasma.github.io/Logging_2062/klagomålsmail/A 20531-2025 FSC-klagomål mail.docx", "A 20531-2025")</f>
        <v/>
      </c>
      <c r="AA14">
        <f>HYPERLINK("https://klasma.github.io/Logging_2062/tillsyn/A 20531-2025 tillsynsbegäran.docx", "A 20531-2025")</f>
        <v/>
      </c>
      <c r="AB14">
        <f>HYPERLINK("https://klasma.github.io/Logging_2062/tillsynsmail/A 20531-2025 tillsynsbegäran mail.docx", "A 20531-2025")</f>
        <v/>
      </c>
      <c r="AC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46220</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s="2" t="inlineStr">
        <is>
          <t>Garnlav
Knärot
Dropptaggsvamp
Dvärgbägarlav
Kattfotslav
Kolflarnlav
Kortskaftad ärgspik
Tallticka
Tretåig hackspett
Ullticka
Vedskivlav
Violettgrå tagellav
Vitgrynig nållav
Thomsons trägnagare
Vedticka
Järpe
Spillkråka
Tjäder</t>
        </is>
      </c>
      <c r="V15">
        <f>HYPERLINK("https://klasma.github.io/Logging_2062/artfynd/A 29119-2026 artfynd.xlsx", "A 29119-2026")</f>
        <v/>
      </c>
      <c r="W15">
        <f>HYPERLINK("https://klasma.github.io/Logging_2062/kartor/A 29119-2026 karta.png", "A 29119-2026")</f>
        <v/>
      </c>
      <c r="X15">
        <f>HYPERLINK("https://klasma.github.io/Logging_2062/knärot/A 29119-2026 karta knärot.png", "A 29119-2026")</f>
        <v/>
      </c>
      <c r="Y15">
        <f>HYPERLINK("https://klasma.github.io/Logging_2062/klagomål/A 29119-2026 FSC-klagomål.docx", "A 29119-2026")</f>
        <v/>
      </c>
      <c r="Z15">
        <f>HYPERLINK("https://klasma.github.io/Logging_2062/klagomålsmail/A 29119-2026 FSC-klagomål mail.docx", "A 29119-2026")</f>
        <v/>
      </c>
      <c r="AA15">
        <f>HYPERLINK("https://klasma.github.io/Logging_2062/tillsyn/A 29119-2026 tillsynsbegäran.docx", "A 29119-2026")</f>
        <v/>
      </c>
      <c r="AB15">
        <f>HYPERLINK("https://klasma.github.io/Logging_2062/tillsynsmail/A 29119-2026 tillsynsbegäran mail.docx", "A 29119-2026")</f>
        <v/>
      </c>
      <c r="AC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46220</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s="2" t="inlineStr">
        <is>
          <t>Garnlav
Goliatmusseron
Jättemusseron
Lammticka
Rotfingersvamp
Skrovlig taggsvamp
Smalfotad taggsvamp
Tajgataggsvamp
Dropptaggsvamp
Motaggsvamp
Orange taggsvamp
Tallfingersvamp
Tallriska
Tallticka
Talltita
Mindre märgborre
Spillkråka</t>
        </is>
      </c>
      <c r="V16">
        <f>HYPERLINK("https://klasma.github.io/Logging_2062/artfynd/A 54991-2025 artfynd.xlsx", "A 54991-2025")</f>
        <v/>
      </c>
      <c r="W16">
        <f>HYPERLINK("https://klasma.github.io/Logging_2062/kartor/A 54991-2025 karta.png", "A 54991-2025")</f>
        <v/>
      </c>
      <c r="Y16">
        <f>HYPERLINK("https://klasma.github.io/Logging_2062/klagomål/A 54991-2025 FSC-klagomål.docx", "A 54991-2025")</f>
        <v/>
      </c>
      <c r="Z16">
        <f>HYPERLINK("https://klasma.github.io/Logging_2062/klagomålsmail/A 54991-2025 FSC-klagomål mail.docx", "A 54991-2025")</f>
        <v/>
      </c>
      <c r="AA16">
        <f>HYPERLINK("https://klasma.github.io/Logging_2062/tillsyn/A 54991-2025 tillsynsbegäran.docx", "A 54991-2025")</f>
        <v/>
      </c>
      <c r="AB16">
        <f>HYPERLINK("https://klasma.github.io/Logging_2062/tillsynsmail/A 54991-2025 tillsynsbegäran mail.docx", "A 54991-2025")</f>
        <v/>
      </c>
      <c r="AC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46220</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s="2" t="inlineStr">
        <is>
          <t>Fläckporing
Garnlav
Smalfotad taggsvamp
Dvärgbägarlav
Nordtagging
Tallticka
Talltita
Tretåig hackspett
Vaddporing
Vedskivlav
Violettgrå tagellav
Vitplätt
Dvärgtufs
Mindre märgborre
Stuplav
Spillkråka
Tjäder</t>
        </is>
      </c>
      <c r="V17">
        <f>HYPERLINK("https://klasma.github.io/Logging_2062/artfynd/A 45199-2025 artfynd.xlsx", "A 45199-2025")</f>
        <v/>
      </c>
      <c r="W17">
        <f>HYPERLINK("https://klasma.github.io/Logging_2062/kartor/A 45199-2025 karta.png", "A 45199-2025")</f>
        <v/>
      </c>
      <c r="Y17">
        <f>HYPERLINK("https://klasma.github.io/Logging_2062/klagomål/A 45199-2025 FSC-klagomål.docx", "A 45199-2025")</f>
        <v/>
      </c>
      <c r="Z17">
        <f>HYPERLINK("https://klasma.github.io/Logging_2062/klagomålsmail/A 45199-2025 FSC-klagomål mail.docx", "A 45199-2025")</f>
        <v/>
      </c>
      <c r="AA17">
        <f>HYPERLINK("https://klasma.github.io/Logging_2062/tillsyn/A 45199-2025 tillsynsbegäran.docx", "A 45199-2025")</f>
        <v/>
      </c>
      <c r="AB17">
        <f>HYPERLINK("https://klasma.github.io/Logging_2062/tillsynsmail/A 45199-2025 tillsynsbegäran mail.docx", "A 45199-2025")</f>
        <v/>
      </c>
      <c r="AC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46220</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s="2" t="inlineStr">
        <is>
          <t>Garnlav
Blanksvart spiklav
Blågrå svartspik
Dvärgbägarlav
Kolflarnlav
Kortskaftad ärgspik
Mörk kolflarnlav
Tallticka
Talltita
Varglav
Vedflamlav
Vedskivlav
Vitgrynig nållav
Mindre märgborre
Vedticka
Spillkråka
Kungsfågel</t>
        </is>
      </c>
      <c r="V18">
        <f>HYPERLINK("https://klasma.github.io/Logging_2062/artfynd/A 43504-2025 artfynd.xlsx", "A 43504-2025")</f>
        <v/>
      </c>
      <c r="W18">
        <f>HYPERLINK("https://klasma.github.io/Logging_2062/kartor/A 43504-2025 karta.png", "A 43504-2025")</f>
        <v/>
      </c>
      <c r="Y18">
        <f>HYPERLINK("https://klasma.github.io/Logging_2062/klagomål/A 43504-2025 FSC-klagomål.docx", "A 43504-2025")</f>
        <v/>
      </c>
      <c r="Z18">
        <f>HYPERLINK("https://klasma.github.io/Logging_2062/klagomålsmail/A 43504-2025 FSC-klagomål mail.docx", "A 43504-2025")</f>
        <v/>
      </c>
      <c r="AA18">
        <f>HYPERLINK("https://klasma.github.io/Logging_2062/tillsyn/A 43504-2025 tillsynsbegäran.docx", "A 43504-2025")</f>
        <v/>
      </c>
      <c r="AB18">
        <f>HYPERLINK("https://klasma.github.io/Logging_2062/tillsynsmail/A 43504-2025 tillsynsbegäran mail.docx", "A 43504-2025")</f>
        <v/>
      </c>
      <c r="AC18">
        <f>HYPERLINK("https://klasma.github.io/Logging_2062/fåglar/A 43504-2025 prioriterade fågelarter.docx", "A 43504-2025")</f>
        <v/>
      </c>
    </row>
    <row r="19" ht="15" customHeight="1">
      <c r="A19" t="inlineStr">
        <is>
          <t>A 53426-2025</t>
        </is>
      </c>
      <c r="B19" t="inlineStr">
        <is>
          <t>avverkningsanmälan</t>
        </is>
      </c>
      <c r="C19" t="inlineStr">
        <is>
          <t>Föryngringsavverkning</t>
        </is>
      </c>
      <c r="D19" s="1" t="n">
        <v>45959</v>
      </c>
      <c r="E19" s="1" t="n">
        <v>46220</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s="2" t="inlineStr">
        <is>
          <t>Garnlav
Gräddporing
Dvärgbägarlav
Kolflarnlav
Rosenticka
Tallticka
Tretåig hackspett
Vedskivlav
Bronshjon
Mindre märgborre
Thomsons trägnagare
Vågbandad barkbock
Spillkråka
Tjäder
Revlummer</t>
        </is>
      </c>
      <c r="V19">
        <f>HYPERLINK("https://klasma.github.io/Logging_2062/artfynd/A 53426-2025 artfynd.xlsx", "A 53426-2025")</f>
        <v/>
      </c>
      <c r="W19">
        <f>HYPERLINK("https://klasma.github.io/Logging_2062/kartor/A 53426-2025 karta.png", "A 53426-2025")</f>
        <v/>
      </c>
      <c r="Y19">
        <f>HYPERLINK("https://klasma.github.io/Logging_2062/klagomål/A 53426-2025 FSC-klagomål.docx", "A 53426-2025")</f>
        <v/>
      </c>
      <c r="Z19">
        <f>HYPERLINK("https://klasma.github.io/Logging_2062/klagomålsmail/A 53426-2025 FSC-klagomål mail.docx", "A 53426-2025")</f>
        <v/>
      </c>
      <c r="AA19">
        <f>HYPERLINK("https://klasma.github.io/Logging_2062/tillsyn/A 53426-2025 tillsynsbegäran.docx", "A 53426-2025")</f>
        <v/>
      </c>
      <c r="AB19">
        <f>HYPERLINK("https://klasma.github.io/Logging_2062/tillsynsmail/A 53426-2025 tillsynsbegäran mail.docx", "A 53426-2025")</f>
        <v/>
      </c>
      <c r="AC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46220</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s="2" t="inlineStr">
        <is>
          <t>Garnlav
Doftskinn
Dvärgbägarlav
Kolflarnlav
Mörk kolflarnlav
Skarp dropptaggsvamp
Tallriska
Tallticka
Talltita
Vedflamlav
Vedskivlav
Vitgrynig nållav
Bronshjon
Vedticka
Spillkråka</t>
        </is>
      </c>
      <c r="V20">
        <f>HYPERLINK("https://klasma.github.io/Logging_2062/artfynd/A 48348-2024 artfynd.xlsx", "A 48348-2024")</f>
        <v/>
      </c>
      <c r="W20">
        <f>HYPERLINK("https://klasma.github.io/Logging_2062/kartor/A 48348-2024 karta.png", "A 48348-2024")</f>
        <v/>
      </c>
      <c r="Y20">
        <f>HYPERLINK("https://klasma.github.io/Logging_2062/klagomål/A 48348-2024 FSC-klagomål.docx", "A 48348-2024")</f>
        <v/>
      </c>
      <c r="Z20">
        <f>HYPERLINK("https://klasma.github.io/Logging_2062/klagomålsmail/A 48348-2024 FSC-klagomål mail.docx", "A 48348-2024")</f>
        <v/>
      </c>
      <c r="AA20">
        <f>HYPERLINK("https://klasma.github.io/Logging_2062/tillsyn/A 48348-2024 tillsynsbegäran.docx", "A 48348-2024")</f>
        <v/>
      </c>
      <c r="AB20">
        <f>HYPERLINK("https://klasma.github.io/Logging_2062/tillsynsmail/A 48348-2024 tillsynsbegäran mail.docx", "A 48348-2024")</f>
        <v/>
      </c>
      <c r="AC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46220</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s="2" t="inlineStr">
        <is>
          <t>Garnlav
Blå taggsvamp
Blågrå svartspik
Dropptaggsvamp
Dvärgbägarlav
Grantaggsvamp
Kolflarnlav
Kortskaftad ärgspik
Mörk kolflarnlav
Skarp dropptaggsvamp
Talltita
Tretåig hackspett
Vedskivlav
Mindre märgborre</t>
        </is>
      </c>
      <c r="V21">
        <f>HYPERLINK("https://klasma.github.io/Logging_2062/artfynd/A 35485-2025 artfynd.xlsx", "A 35485-2025")</f>
        <v/>
      </c>
      <c r="W21">
        <f>HYPERLINK("https://klasma.github.io/Logging_2062/kartor/A 35485-2025 karta.png", "A 35485-2025")</f>
        <v/>
      </c>
      <c r="Y21">
        <f>HYPERLINK("https://klasma.github.io/Logging_2062/klagomål/A 35485-2025 FSC-klagomål.docx", "A 35485-2025")</f>
        <v/>
      </c>
      <c r="Z21">
        <f>HYPERLINK("https://klasma.github.io/Logging_2062/klagomålsmail/A 35485-2025 FSC-klagomål mail.docx", "A 35485-2025")</f>
        <v/>
      </c>
      <c r="AA21">
        <f>HYPERLINK("https://klasma.github.io/Logging_2062/tillsyn/A 35485-2025 tillsynsbegäran.docx", "A 35485-2025")</f>
        <v/>
      </c>
      <c r="AB21">
        <f>HYPERLINK("https://klasma.github.io/Logging_2062/tillsynsmail/A 35485-2025 tillsynsbegäran mail.docx", "A 35485-2025")</f>
        <v/>
      </c>
      <c r="AC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46220</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s="2" t="inlineStr">
        <is>
          <t>Garnlav
Kolflarnlav
Mörk kolflarnlav
Rosenticka
Tallticka
Tretåig hackspett
Ullticka
Vedskivlav
Vitgrynig nållav
Blodticka
Bronshjon
Mindre märgborre
Spillkråka
Tjäder</t>
        </is>
      </c>
      <c r="V22">
        <f>HYPERLINK("https://klasma.github.io/Logging_2062/artfynd/A 56438-2024 artfynd.xlsx", "A 56438-2024")</f>
        <v/>
      </c>
      <c r="W22">
        <f>HYPERLINK("https://klasma.github.io/Logging_2062/kartor/A 56438-2024 karta.png", "A 56438-2024")</f>
        <v/>
      </c>
      <c r="Y22">
        <f>HYPERLINK("https://klasma.github.io/Logging_2062/klagomål/A 56438-2024 FSC-klagomål.docx", "A 56438-2024")</f>
        <v/>
      </c>
      <c r="Z22">
        <f>HYPERLINK("https://klasma.github.io/Logging_2062/klagomålsmail/A 56438-2024 FSC-klagomål mail.docx", "A 56438-2024")</f>
        <v/>
      </c>
      <c r="AA22">
        <f>HYPERLINK("https://klasma.github.io/Logging_2062/tillsyn/A 56438-2024 tillsynsbegäran.docx", "A 56438-2024")</f>
        <v/>
      </c>
      <c r="AB22">
        <f>HYPERLINK("https://klasma.github.io/Logging_2062/tillsynsmail/A 56438-2024 tillsynsbegäran mail.docx", "A 56438-2024")</f>
        <v/>
      </c>
      <c r="AC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46220</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s="2" t="inlineStr">
        <is>
          <t>Garnlav
Dvärgbägarlav
Kolflarnlav
Mörk kolflarnlav
Tretåig hackspett
Vedflamlav
Vedskivlav
Violettgrå tagellav
Mindre märgborre
Nästlav
Plattlummer
Vedticka
Spillkråka
Tjäder</t>
        </is>
      </c>
      <c r="V23">
        <f>HYPERLINK("https://klasma.github.io/Logging_2062/artfynd/A 21284-2026 artfynd.xlsx", "A 21284-2026")</f>
        <v/>
      </c>
      <c r="W23">
        <f>HYPERLINK("https://klasma.github.io/Logging_2062/kartor/A 21284-2026 karta.png", "A 21284-2026")</f>
        <v/>
      </c>
      <c r="Y23">
        <f>HYPERLINK("https://klasma.github.io/Logging_2062/klagomål/A 21284-2026 FSC-klagomål.docx", "A 21284-2026")</f>
        <v/>
      </c>
      <c r="Z23">
        <f>HYPERLINK("https://klasma.github.io/Logging_2062/klagomålsmail/A 21284-2026 FSC-klagomål mail.docx", "A 21284-2026")</f>
        <v/>
      </c>
      <c r="AA23">
        <f>HYPERLINK("https://klasma.github.io/Logging_2062/tillsyn/A 21284-2026 tillsynsbegäran.docx", "A 21284-2026")</f>
        <v/>
      </c>
      <c r="AB23">
        <f>HYPERLINK("https://klasma.github.io/Logging_2062/tillsynsmail/A 21284-2026 tillsynsbegäran mail.docx", "A 21284-2026")</f>
        <v/>
      </c>
      <c r="AC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46220</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46220</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46220</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46220</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46220</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46220</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s="2" t="inlineStr">
        <is>
          <t>Garnlav
Dropptaggsvamp
Dvärgbägarlav
Kötticka
Talltagel
Talltita
Tretåig hackspett
Ullticka
Vedskivlav
Mindre märgborre
Svavelriska
Spillkråka</t>
        </is>
      </c>
      <c r="V29">
        <f>HYPERLINK("https://klasma.github.io/Logging_2062/artfynd/A 35486-2025 artfynd.xlsx", "A 35486-2025")</f>
        <v/>
      </c>
      <c r="W29">
        <f>HYPERLINK("https://klasma.github.io/Logging_2062/kartor/A 35486-2025 karta.png", "A 35486-2025")</f>
        <v/>
      </c>
      <c r="Y29">
        <f>HYPERLINK("https://klasma.github.io/Logging_2062/klagomål/A 35486-2025 FSC-klagomål.docx", "A 35486-2025")</f>
        <v/>
      </c>
      <c r="Z29">
        <f>HYPERLINK("https://klasma.github.io/Logging_2062/klagomålsmail/A 35486-2025 FSC-klagomål mail.docx", "A 35486-2025")</f>
        <v/>
      </c>
      <c r="AA29">
        <f>HYPERLINK("https://klasma.github.io/Logging_2062/tillsyn/A 35486-2025 tillsynsbegäran.docx", "A 35486-2025")</f>
        <v/>
      </c>
      <c r="AB29">
        <f>HYPERLINK("https://klasma.github.io/Logging_2062/tillsynsmail/A 35486-2025 tillsynsbegäran mail.docx", "A 35486-2025")</f>
        <v/>
      </c>
      <c r="AC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46220</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Y30">
        <f>HYPERLINK("https://klasma.github.io/Logging_2062/klagomål/A 29934-2025 FSC-klagomål.docx", "A 29934-2025")</f>
        <v/>
      </c>
      <c r="Z30">
        <f>HYPERLINK("https://klasma.github.io/Logging_2062/klagomålsmail/A 29934-2025 FSC-klagomål mail.docx", "A 29934-2025")</f>
        <v/>
      </c>
      <c r="AA30">
        <f>HYPERLINK("https://klasma.github.io/Logging_2062/tillsyn/A 29934-2025 tillsynsbegäran.docx", "A 29934-2025")</f>
        <v/>
      </c>
      <c r="AB30">
        <f>HYPERLINK("https://klasma.github.io/Logging_2062/tillsynsmail/A 29934-2025 tillsynsbegäran mail.docx", "A 29934-2025")</f>
        <v/>
      </c>
      <c r="AC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46220</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Y31">
        <f>HYPERLINK("https://klasma.github.io/Logging_2062/klagomål/A 25556-2026 FSC-klagomål.docx", "A 25556-2026")</f>
        <v/>
      </c>
      <c r="Z31">
        <f>HYPERLINK("https://klasma.github.io/Logging_2062/klagomålsmail/A 25556-2026 FSC-klagomål mail.docx", "A 25556-2026")</f>
        <v/>
      </c>
      <c r="AA31">
        <f>HYPERLINK("https://klasma.github.io/Logging_2062/tillsyn/A 25556-2026 tillsynsbegäran.docx", "A 25556-2026")</f>
        <v/>
      </c>
      <c r="AB31">
        <f>HYPERLINK("https://klasma.github.io/Logging_2062/tillsynsmail/A 25556-2026 tillsynsbegäran mail.docx", "A 25556-2026")</f>
        <v/>
      </c>
      <c r="AC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46220</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Y32">
        <f>HYPERLINK("https://klasma.github.io/Logging_2062/klagomål/A 56940-2025 FSC-klagomål.docx", "A 56940-2025")</f>
        <v/>
      </c>
      <c r="Z32">
        <f>HYPERLINK("https://klasma.github.io/Logging_2062/klagomålsmail/A 56940-2025 FSC-klagomål mail.docx", "A 56940-2025")</f>
        <v/>
      </c>
      <c r="AA32">
        <f>HYPERLINK("https://klasma.github.io/Logging_2062/tillsyn/A 56940-2025 tillsynsbegäran.docx", "A 56940-2025")</f>
        <v/>
      </c>
      <c r="AB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46220</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s="2" t="inlineStr">
        <is>
          <t>Garnlav
Knärot
Kolflarnlav
Vågbandad barkbock
Hultbräken
Mattlummer
Stjärnstarr
Tjäder
Orre
Fläcknycklar
Revlummer</t>
        </is>
      </c>
      <c r="V33">
        <f>HYPERLINK("https://klasma.github.io/Logging_2062/artfynd/A 63457-2025 artfynd.xlsx", "A 63457-2025")</f>
        <v/>
      </c>
      <c r="W33">
        <f>HYPERLINK("https://klasma.github.io/Logging_2062/kartor/A 63457-2025 karta.png", "A 63457-2025")</f>
        <v/>
      </c>
      <c r="X33">
        <f>HYPERLINK("https://klasma.github.io/Logging_2062/knärot/A 63457-2025 karta knärot.png", "A 63457-2025")</f>
        <v/>
      </c>
      <c r="Y33">
        <f>HYPERLINK("https://klasma.github.io/Logging_2062/klagomål/A 63457-2025 FSC-klagomål.docx", "A 63457-2025")</f>
        <v/>
      </c>
      <c r="Z33">
        <f>HYPERLINK("https://klasma.github.io/Logging_2062/klagomålsmail/A 63457-2025 FSC-klagomål mail.docx", "A 63457-2025")</f>
        <v/>
      </c>
      <c r="AA33">
        <f>HYPERLINK("https://klasma.github.io/Logging_2062/tillsyn/A 63457-2025 tillsynsbegäran.docx", "A 63457-2025")</f>
        <v/>
      </c>
      <c r="AB33">
        <f>HYPERLINK("https://klasma.github.io/Logging_2062/tillsynsmail/A 63457-2025 tillsynsbegäran mail.docx", "A 63457-2025")</f>
        <v/>
      </c>
      <c r="AC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46220</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s="2" t="inlineStr">
        <is>
          <t>Garnlav
Dvärgbägarlav
Lunglav
Mörk kolflarnlav
Tallticka
Vedskivlav
Violettgrå tagellav
Vitgrynig nållav
Mindre märgborre
Spillkråka
Tjäder</t>
        </is>
      </c>
      <c r="V34">
        <f>HYPERLINK("https://klasma.github.io/Logging_2062/artfynd/A 61943-2024 artfynd.xlsx", "A 61943-2024")</f>
        <v/>
      </c>
      <c r="W34">
        <f>HYPERLINK("https://klasma.github.io/Logging_2062/kartor/A 61943-2024 karta.png", "A 61943-2024")</f>
        <v/>
      </c>
      <c r="Y34">
        <f>HYPERLINK("https://klasma.github.io/Logging_2062/klagomål/A 61943-2024 FSC-klagomål.docx", "A 61943-2024")</f>
        <v/>
      </c>
      <c r="Z34">
        <f>HYPERLINK("https://klasma.github.io/Logging_2062/klagomålsmail/A 61943-2024 FSC-klagomål mail.docx", "A 61943-2024")</f>
        <v/>
      </c>
      <c r="AA34">
        <f>HYPERLINK("https://klasma.github.io/Logging_2062/tillsyn/A 61943-2024 tillsynsbegäran.docx", "A 61943-2024")</f>
        <v/>
      </c>
      <c r="AB34">
        <f>HYPERLINK("https://klasma.github.io/Logging_2062/tillsynsmail/A 61943-2024 tillsynsbegäran mail.docx", "A 61943-2024")</f>
        <v/>
      </c>
      <c r="AC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46220</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s="2" t="inlineStr">
        <is>
          <t>Garnlav
Talltagel
Tallticka
Talltita
Vedflamlav
Vedskivlav
Mindre märgborre
Vågbandad barkbock
Spillkråka
Tjäder
Kungsfågel</t>
        </is>
      </c>
      <c r="V35">
        <f>HYPERLINK("https://klasma.github.io/Logging_2062/artfynd/A 30904-2025 artfynd.xlsx", "A 30904-2025")</f>
        <v/>
      </c>
      <c r="W35">
        <f>HYPERLINK("https://klasma.github.io/Logging_2062/kartor/A 30904-2025 karta.png", "A 30904-2025")</f>
        <v/>
      </c>
      <c r="Y35">
        <f>HYPERLINK("https://klasma.github.io/Logging_2062/klagomål/A 30904-2025 FSC-klagomål.docx", "A 30904-2025")</f>
        <v/>
      </c>
      <c r="Z35">
        <f>HYPERLINK("https://klasma.github.io/Logging_2062/klagomålsmail/A 30904-2025 FSC-klagomål mail.docx", "A 30904-2025")</f>
        <v/>
      </c>
      <c r="AA35">
        <f>HYPERLINK("https://klasma.github.io/Logging_2062/tillsyn/A 30904-2025 tillsynsbegäran.docx", "A 30904-2025")</f>
        <v/>
      </c>
      <c r="AB35">
        <f>HYPERLINK("https://klasma.github.io/Logging_2062/tillsynsmail/A 30904-2025 tillsynsbegäran mail.docx", "A 30904-2025")</f>
        <v/>
      </c>
      <c r="AC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46220</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s="2" t="inlineStr">
        <is>
          <t>Garnlav
Knärot
Kattfotslav
Tallticka
Talltita
Tretåig hackspett
Vitgrynig nållav
Mindre märgborre
Nästlav
Thomsons trägnagare
Fläcknycklar</t>
        </is>
      </c>
      <c r="V36">
        <f>HYPERLINK("https://klasma.github.io/Logging_2062/artfynd/A 31562-2025 artfynd.xlsx", "A 31562-2025")</f>
        <v/>
      </c>
      <c r="W36">
        <f>HYPERLINK("https://klasma.github.io/Logging_2062/kartor/A 31562-2025 karta.png", "A 31562-2025")</f>
        <v/>
      </c>
      <c r="X36">
        <f>HYPERLINK("https://klasma.github.io/Logging_2062/knärot/A 31562-2025 karta knärot.png", "A 31562-2025")</f>
        <v/>
      </c>
      <c r="Y36">
        <f>HYPERLINK("https://klasma.github.io/Logging_2062/klagomål/A 31562-2025 FSC-klagomål.docx", "A 31562-2025")</f>
        <v/>
      </c>
      <c r="Z36">
        <f>HYPERLINK("https://klasma.github.io/Logging_2062/klagomålsmail/A 31562-2025 FSC-klagomål mail.docx", "A 31562-2025")</f>
        <v/>
      </c>
      <c r="AA36">
        <f>HYPERLINK("https://klasma.github.io/Logging_2062/tillsyn/A 31562-2025 tillsynsbegäran.docx", "A 31562-2025")</f>
        <v/>
      </c>
      <c r="AB36">
        <f>HYPERLINK("https://klasma.github.io/Logging_2062/tillsynsmail/A 31562-2025 tillsynsbegäran mail.docx", "A 31562-2025")</f>
        <v/>
      </c>
      <c r="AC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46220</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46220</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46220</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46220</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46220</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46220</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46220</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46220</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46220</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s="2" t="inlineStr">
        <is>
          <t>Garnlav
Kolflarnlav
Mörk kolflarnlav
Tretåig hackspett
Vedflamlav
Vedskivlav
Mindre märgborre
Spillkråka</t>
        </is>
      </c>
      <c r="V45">
        <f>HYPERLINK("https://klasma.github.io/Logging_2062/artfynd/A 2762-2026 artfynd.xlsx", "A 2762-2026")</f>
        <v/>
      </c>
      <c r="W45">
        <f>HYPERLINK("https://klasma.github.io/Logging_2062/kartor/A 2762-2026 karta.png", "A 2762-2026")</f>
        <v/>
      </c>
      <c r="Y45">
        <f>HYPERLINK("https://klasma.github.io/Logging_2062/klagomål/A 2762-2026 FSC-klagomål.docx", "A 2762-2026")</f>
        <v/>
      </c>
      <c r="Z45">
        <f>HYPERLINK("https://klasma.github.io/Logging_2062/klagomålsmail/A 2762-2026 FSC-klagomål mail.docx", "A 2762-2026")</f>
        <v/>
      </c>
      <c r="AA45">
        <f>HYPERLINK("https://klasma.github.io/Logging_2062/tillsyn/A 2762-2026 tillsynsbegäran.docx", "A 2762-2026")</f>
        <v/>
      </c>
      <c r="AB45">
        <f>HYPERLINK("https://klasma.github.io/Logging_2062/tillsynsmail/A 2762-2026 tillsynsbegäran mail.docx", "A 2762-2026")</f>
        <v/>
      </c>
      <c r="AC45">
        <f>HYPERLINK("https://klasma.github.io/Logging_2062/fåglar/A 2762-2026 prioriterade fågelarter.docx", "A 2762-2026")</f>
        <v/>
      </c>
    </row>
    <row r="46" ht="15" customHeight="1">
      <c r="A46" t="inlineStr">
        <is>
          <t>A 33380-2025</t>
        </is>
      </c>
      <c r="B46" t="inlineStr">
        <is>
          <t>avverkningsanmälan</t>
        </is>
      </c>
      <c r="C46" t="inlineStr">
        <is>
          <t>Föryngringsavverkning</t>
        </is>
      </c>
      <c r="D46" s="1" t="n">
        <v>45841</v>
      </c>
      <c r="E46" s="1" t="n">
        <v>46220</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61259-2023</t>
        </is>
      </c>
      <c r="B47" t="inlineStr">
        <is>
          <t>avverkningsanmälan</t>
        </is>
      </c>
      <c r="C47" t="inlineStr">
        <is>
          <t>Föryngringsavverkning</t>
        </is>
      </c>
      <c r="D47" s="1" t="n">
        <v>45264</v>
      </c>
      <c r="E47" s="1" t="n">
        <v>46220</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s="2" t="inlineStr">
        <is>
          <t>Garnlav
Knärot
Brunpudrad nållav
Vitgrynig nållav
Bollvitmossa
Bronshjon
Thomsons trägnagare
Vågbandad barkbock</t>
        </is>
      </c>
      <c r="V47">
        <f>HYPERLINK("https://klasma.github.io/Logging_2062/artfynd/A 61259-2023 artfynd.xlsx", "A 61259-2023")</f>
        <v/>
      </c>
      <c r="W47">
        <f>HYPERLINK("https://klasma.github.io/Logging_2062/kartor/A 61259-2023 karta.png", "A 61259-2023")</f>
        <v/>
      </c>
      <c r="X47">
        <f>HYPERLINK("https://klasma.github.io/Logging_2062/knärot/A 61259-2023 karta knärot.png", "A 61259-2023")</f>
        <v/>
      </c>
      <c r="Y47">
        <f>HYPERLINK("https://klasma.github.io/Logging_2062/klagomål/A 61259-2023 FSC-klagomål.docx", "A 61259-2023")</f>
        <v/>
      </c>
      <c r="Z47">
        <f>HYPERLINK("https://klasma.github.io/Logging_2062/klagomålsmail/A 61259-2023 FSC-klagomål mail.docx", "A 61259-2023")</f>
        <v/>
      </c>
      <c r="AA47">
        <f>HYPERLINK("https://klasma.github.io/Logging_2062/tillsyn/A 61259-2023 tillsynsbegäran.docx", "A 61259-2023")</f>
        <v/>
      </c>
      <c r="AB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46220</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46220</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46220</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s="2" t="inlineStr">
        <is>
          <t>Garnlav
Kolflarnlav
Kortskaftad ärgspik
Mörk kolflarnlav
Vedflamlav
Spillkråka
Tjäder</t>
        </is>
      </c>
      <c r="V50">
        <f>HYPERLINK("https://klasma.github.io/Logging_2062/artfynd/A 25724-2026 artfynd.xlsx", "A 25724-2026")</f>
        <v/>
      </c>
      <c r="W50">
        <f>HYPERLINK("https://klasma.github.io/Logging_2062/kartor/A 25724-2026 karta.png", "A 25724-2026")</f>
        <v/>
      </c>
      <c r="Y50">
        <f>HYPERLINK("https://klasma.github.io/Logging_2062/klagomål/A 25724-2026 FSC-klagomål.docx", "A 25724-2026")</f>
        <v/>
      </c>
      <c r="Z50">
        <f>HYPERLINK("https://klasma.github.io/Logging_2062/klagomålsmail/A 25724-2026 FSC-klagomål mail.docx", "A 25724-2026")</f>
        <v/>
      </c>
      <c r="AA50">
        <f>HYPERLINK("https://klasma.github.io/Logging_2062/tillsyn/A 25724-2026 tillsynsbegäran.docx", "A 25724-2026")</f>
        <v/>
      </c>
      <c r="AB50">
        <f>HYPERLINK("https://klasma.github.io/Logging_2062/tillsynsmail/A 25724-2026 tillsynsbegäran mail.docx", "A 25724-2026")</f>
        <v/>
      </c>
      <c r="AC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46220</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s="2" t="inlineStr">
        <is>
          <t>Garnlav
Blanksvart spiklav
Dvärgbägarlav
Kolflarnlav
Mörk kolflarnlav
Vedflamlav
Vedskivlav</t>
        </is>
      </c>
      <c r="V51">
        <f>HYPERLINK("https://klasma.github.io/Logging_2062/artfynd/A 34447-2024 artfynd.xlsx", "A 34447-2024")</f>
        <v/>
      </c>
      <c r="W51">
        <f>HYPERLINK("https://klasma.github.io/Logging_2062/kartor/A 34447-2024 karta.png", "A 34447-2024")</f>
        <v/>
      </c>
      <c r="Y51">
        <f>HYPERLINK("https://klasma.github.io/Logging_2062/klagomål/A 34447-2024 FSC-klagomål.docx", "A 34447-2024")</f>
        <v/>
      </c>
      <c r="Z51">
        <f>HYPERLINK("https://klasma.github.io/Logging_2062/klagomålsmail/A 34447-2024 FSC-klagomål mail.docx", "A 34447-2024")</f>
        <v/>
      </c>
      <c r="AA51">
        <f>HYPERLINK("https://klasma.github.io/Logging_2062/tillsyn/A 34447-2024 tillsynsbegäran.docx", "A 34447-2024")</f>
        <v/>
      </c>
      <c r="AB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46220</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46220</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46220</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46220</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46220</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46220</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46220</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s="2" t="inlineStr">
        <is>
          <t>Garnlav
Talltagel
Tretåig hackspett
Mindre märgborre
Spillkråka</t>
        </is>
      </c>
      <c r="V58">
        <f>HYPERLINK("https://klasma.github.io/Logging_2062/artfynd/A 61770-2025 artfynd.xlsx", "A 61770-2025")</f>
        <v/>
      </c>
      <c r="W58">
        <f>HYPERLINK("https://klasma.github.io/Logging_2062/kartor/A 61770-2025 karta.png", "A 61770-2025")</f>
        <v/>
      </c>
      <c r="Y58">
        <f>HYPERLINK("https://klasma.github.io/Logging_2062/klagomål/A 61770-2025 FSC-klagomål.docx", "A 61770-2025")</f>
        <v/>
      </c>
      <c r="Z58">
        <f>HYPERLINK("https://klasma.github.io/Logging_2062/klagomålsmail/A 61770-2025 FSC-klagomål mail.docx", "A 61770-2025")</f>
        <v/>
      </c>
      <c r="AA58">
        <f>HYPERLINK("https://klasma.github.io/Logging_2062/tillsyn/A 61770-2025 tillsynsbegäran.docx", "A 61770-2025")</f>
        <v/>
      </c>
      <c r="AB58">
        <f>HYPERLINK("https://klasma.github.io/Logging_2062/tillsynsmail/A 61770-2025 tillsynsbegäran mail.docx", "A 61770-2025")</f>
        <v/>
      </c>
      <c r="AC58">
        <f>HYPERLINK("https://klasma.github.io/Logging_2062/fåglar/A 61770-2025 prioriterade fågelarter.docx", "A 61770-2025")</f>
        <v/>
      </c>
    </row>
    <row r="59" ht="15" customHeight="1">
      <c r="A59" t="inlineStr">
        <is>
          <t>A 62628-2025</t>
        </is>
      </c>
      <c r="B59" t="inlineStr">
        <is>
          <t>avverkningsanmälan</t>
        </is>
      </c>
      <c r="C59" t="inlineStr">
        <is>
          <t>Föryngringsavverkning</t>
        </is>
      </c>
      <c r="D59" s="1" t="n">
        <v>46008</v>
      </c>
      <c r="E59" s="1" t="n">
        <v>46220</v>
      </c>
      <c r="F59" t="inlineStr">
        <is>
          <t>DALARNAS LÄN</t>
        </is>
      </c>
      <c r="G59" t="inlineStr">
        <is>
          <t>MORA</t>
        </is>
      </c>
      <c r="I59" t="n">
        <v>5.7</v>
      </c>
      <c r="J59" t="n">
        <v>3</v>
      </c>
      <c r="K59" t="n">
        <v>0</v>
      </c>
      <c r="L59" t="n">
        <v>2</v>
      </c>
      <c r="M59" t="n">
        <v>0</v>
      </c>
      <c r="N59" t="n">
        <v>0</v>
      </c>
      <c r="O59" t="n">
        <v>0</v>
      </c>
      <c r="P59" t="n">
        <v>0</v>
      </c>
      <c r="Q59" t="n">
        <v>2</v>
      </c>
      <c r="R59" t="n">
        <v>0</v>
      </c>
      <c r="S59" t="n">
        <v>5</v>
      </c>
      <c r="T59" t="n">
        <v>6</v>
      </c>
      <c r="U59" s="2" t="inlineStr">
        <is>
          <t>Dvärgbägarlav
Skrovellav
Järpe
Tjäder
Fläcknycklar</t>
        </is>
      </c>
      <c r="V59">
        <f>HYPERLINK("https://klasma.github.io/Logging_2062/artfynd/A 62628-2025 artfynd.xlsx", "A 62628-2025")</f>
        <v/>
      </c>
      <c r="W59">
        <f>HYPERLINK("https://klasma.github.io/Logging_2062/kartor/A 62628-2025 karta.png", "A 62628-2025")</f>
        <v/>
      </c>
      <c r="Y59">
        <f>HYPERLINK("https://klasma.github.io/Logging_2062/klagomål/A 62628-2025 FSC-klagomål.docx", "A 62628-2025")</f>
        <v/>
      </c>
      <c r="Z59">
        <f>HYPERLINK("https://klasma.github.io/Logging_2062/klagomålsmail/A 62628-2025 FSC-klagomål mail.docx", "A 62628-2025")</f>
        <v/>
      </c>
      <c r="AA59">
        <f>HYPERLINK("https://klasma.github.io/Logging_2062/tillsyn/A 62628-2025 tillsynsbegäran.docx", "A 62628-2025")</f>
        <v/>
      </c>
      <c r="AB59">
        <f>HYPERLINK("https://klasma.github.io/Logging_2062/tillsynsmail/A 62628-2025 tillsynsbegäran mail.docx", "A 62628-2025")</f>
        <v/>
      </c>
      <c r="AC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46220</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s="2" t="inlineStr">
        <is>
          <t>Garnlav
Dvärgbägarlav
Vedskivlav
Tjäder
Revlummer</t>
        </is>
      </c>
      <c r="V60">
        <f>HYPERLINK("https://klasma.github.io/Logging_2062/artfynd/A 35487-2025 artfynd.xlsx", "A 35487-2025")</f>
        <v/>
      </c>
      <c r="W60">
        <f>HYPERLINK("https://klasma.github.io/Logging_2062/kartor/A 35487-2025 karta.png", "A 35487-2025")</f>
        <v/>
      </c>
      <c r="Y60">
        <f>HYPERLINK("https://klasma.github.io/Logging_2062/klagomål/A 35487-2025 FSC-klagomål.docx", "A 35487-2025")</f>
        <v/>
      </c>
      <c r="Z60">
        <f>HYPERLINK("https://klasma.github.io/Logging_2062/klagomålsmail/A 35487-2025 FSC-klagomål mail.docx", "A 35487-2025")</f>
        <v/>
      </c>
      <c r="AA60">
        <f>HYPERLINK("https://klasma.github.io/Logging_2062/tillsyn/A 35487-2025 tillsynsbegäran.docx", "A 35487-2025")</f>
        <v/>
      </c>
      <c r="AB60">
        <f>HYPERLINK("https://klasma.github.io/Logging_2062/tillsynsmail/A 35487-2025 tillsynsbegäran mail.docx", "A 35487-2025")</f>
        <v/>
      </c>
      <c r="AC60">
        <f>HYPERLINK("https://klasma.github.io/Logging_2062/fåglar/A 35487-2025 prioriterade fågelarter.docx", "A 35487-2025")</f>
        <v/>
      </c>
    </row>
    <row r="61" ht="15" customHeight="1">
      <c r="A61" t="inlineStr">
        <is>
          <t>A 15203-2026</t>
        </is>
      </c>
      <c r="B61" t="inlineStr">
        <is>
          <t>avverkningsanmälan</t>
        </is>
      </c>
      <c r="C61" t="inlineStr">
        <is>
          <t>Föryngringsavverkning</t>
        </is>
      </c>
      <c r="D61" s="1" t="n">
        <v>46105</v>
      </c>
      <c r="E61" s="1" t="n">
        <v>46220</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s="2" t="inlineStr">
        <is>
          <t>Garnlav
Talltagel
Tallticka
Mindre märgborre
Spillkråka</t>
        </is>
      </c>
      <c r="V61">
        <f>HYPERLINK("https://klasma.github.io/Logging_2062/artfynd/A 15203-2026 artfynd.xlsx", "A 15203-2026")</f>
        <v/>
      </c>
      <c r="W61">
        <f>HYPERLINK("https://klasma.github.io/Logging_2062/kartor/A 15203-2026 karta.png", "A 15203-2026")</f>
        <v/>
      </c>
      <c r="Y61">
        <f>HYPERLINK("https://klasma.github.io/Logging_2062/klagomål/A 15203-2026 FSC-klagomål.docx", "A 15203-2026")</f>
        <v/>
      </c>
      <c r="Z61">
        <f>HYPERLINK("https://klasma.github.io/Logging_2062/klagomålsmail/A 15203-2026 FSC-klagomål mail.docx", "A 15203-2026")</f>
        <v/>
      </c>
      <c r="AA61">
        <f>HYPERLINK("https://klasma.github.io/Logging_2062/tillsyn/A 15203-2026 tillsynsbegäran.docx", "A 15203-2026")</f>
        <v/>
      </c>
      <c r="AB61">
        <f>HYPERLINK("https://klasma.github.io/Logging_2062/tillsynsmail/A 15203-2026 tillsynsbegäran mail.docx", "A 15203-2026")</f>
        <v/>
      </c>
      <c r="AC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46220</v>
      </c>
      <c r="F62" t="inlineStr">
        <is>
          <t>DALARNAS LÄN</t>
        </is>
      </c>
      <c r="G62" t="inlineStr">
        <is>
          <t>MORA</t>
        </is>
      </c>
      <c r="I62" t="n">
        <v>6</v>
      </c>
      <c r="J62" t="n">
        <v>2</v>
      </c>
      <c r="K62" t="n">
        <v>1</v>
      </c>
      <c r="L62" t="n">
        <v>2</v>
      </c>
      <c r="M62" t="n">
        <v>1</v>
      </c>
      <c r="N62" t="n">
        <v>0</v>
      </c>
      <c r="O62" t="n">
        <v>0</v>
      </c>
      <c r="P62" t="n">
        <v>0</v>
      </c>
      <c r="Q62" t="n">
        <v>3</v>
      </c>
      <c r="R62" t="n">
        <v>1</v>
      </c>
      <c r="S62" t="n">
        <v>5</v>
      </c>
      <c r="T62" t="n">
        <v>31</v>
      </c>
      <c r="U62" s="2" t="inlineStr">
        <is>
          <t>Garnlav
Skogshare
Tretåig hackspett
Mindre märgborre
Spillkråka</t>
        </is>
      </c>
      <c r="V62">
        <f>HYPERLINK("https://klasma.github.io/Logging_2062/artfynd/A 58478-2025 artfynd.xlsx", "A 58478-2025")</f>
        <v/>
      </c>
      <c r="W62">
        <f>HYPERLINK("https://klasma.github.io/Logging_2062/kartor/A 58478-2025 karta.png", "A 58478-2025")</f>
        <v/>
      </c>
      <c r="Y62">
        <f>HYPERLINK("https://klasma.github.io/Logging_2062/klagomål/A 58478-2025 FSC-klagomål.docx", "A 58478-2025")</f>
        <v/>
      </c>
      <c r="Z62">
        <f>HYPERLINK("https://klasma.github.io/Logging_2062/klagomålsmail/A 58478-2025 FSC-klagomål mail.docx", "A 58478-2025")</f>
        <v/>
      </c>
      <c r="AA62">
        <f>HYPERLINK("https://klasma.github.io/Logging_2062/tillsyn/A 58478-2025 tillsynsbegäran.docx", "A 58478-2025")</f>
        <v/>
      </c>
      <c r="AB62">
        <f>HYPERLINK("https://klasma.github.io/Logging_2062/tillsynsmail/A 58478-2025 tillsynsbegäran mail.docx", "A 58478-2025")</f>
        <v/>
      </c>
      <c r="AC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46220</v>
      </c>
      <c r="F63" t="inlineStr">
        <is>
          <t>DALARNAS LÄN</t>
        </is>
      </c>
      <c r="G63" t="inlineStr">
        <is>
          <t>MORA</t>
        </is>
      </c>
      <c r="I63" t="n">
        <v>5.3</v>
      </c>
      <c r="J63" t="n">
        <v>2</v>
      </c>
      <c r="K63" t="n">
        <v>1</v>
      </c>
      <c r="L63" t="n">
        <v>3</v>
      </c>
      <c r="M63" t="n">
        <v>1</v>
      </c>
      <c r="N63" t="n">
        <v>0</v>
      </c>
      <c r="O63" t="n">
        <v>0</v>
      </c>
      <c r="P63" t="n">
        <v>0</v>
      </c>
      <c r="Q63" t="n">
        <v>4</v>
      </c>
      <c r="R63" t="n">
        <v>1</v>
      </c>
      <c r="S63" t="n">
        <v>5</v>
      </c>
      <c r="T63" t="n">
        <v>7</v>
      </c>
      <c r="U63" s="2" t="inlineStr">
        <is>
          <t>Knärot
Kattfotslav
Tallticka
Talltita
Bollvitmossa</t>
        </is>
      </c>
      <c r="V63">
        <f>HYPERLINK("https://klasma.github.io/Logging_2062/artfynd/A 31539-2025 artfynd.xlsx", "A 31539-2025")</f>
        <v/>
      </c>
      <c r="W63">
        <f>HYPERLINK("https://klasma.github.io/Logging_2062/kartor/A 31539-2025 karta.png", "A 31539-2025")</f>
        <v/>
      </c>
      <c r="X63">
        <f>HYPERLINK("https://klasma.github.io/Logging_2062/knärot/A 31539-2025 karta knärot.png", "A 31539-2025")</f>
        <v/>
      </c>
      <c r="Y63">
        <f>HYPERLINK("https://klasma.github.io/Logging_2062/klagomål/A 31539-2025 FSC-klagomål.docx", "A 31539-2025")</f>
        <v/>
      </c>
      <c r="Z63">
        <f>HYPERLINK("https://klasma.github.io/Logging_2062/klagomålsmail/A 31539-2025 FSC-klagomål mail.docx", "A 31539-2025")</f>
        <v/>
      </c>
      <c r="AA63">
        <f>HYPERLINK("https://klasma.github.io/Logging_2062/tillsyn/A 31539-2025 tillsynsbegäran.docx", "A 31539-2025")</f>
        <v/>
      </c>
      <c r="AB63">
        <f>HYPERLINK("https://klasma.github.io/Logging_2062/tillsynsmail/A 31539-2025 tillsynsbegäran mail.docx", "A 31539-2025")</f>
        <v/>
      </c>
      <c r="AC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46220</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46220</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s="2" t="inlineStr">
        <is>
          <t>Garnlav
Tretåig hackspett
Vedskivlav
Spillkråka</t>
        </is>
      </c>
      <c r="V65">
        <f>HYPERLINK("https://klasma.github.io/Logging_2062/artfynd/A 39481-2025 artfynd.xlsx", "A 39481-2025")</f>
        <v/>
      </c>
      <c r="W65">
        <f>HYPERLINK("https://klasma.github.io/Logging_2062/kartor/A 39481-2025 karta.png", "A 39481-2025")</f>
        <v/>
      </c>
      <c r="Y65">
        <f>HYPERLINK("https://klasma.github.io/Logging_2062/klagomål/A 39481-2025 FSC-klagomål.docx", "A 39481-2025")</f>
        <v/>
      </c>
      <c r="Z65">
        <f>HYPERLINK("https://klasma.github.io/Logging_2062/klagomålsmail/A 39481-2025 FSC-klagomål mail.docx", "A 39481-2025")</f>
        <v/>
      </c>
      <c r="AA65">
        <f>HYPERLINK("https://klasma.github.io/Logging_2062/tillsyn/A 39481-2025 tillsynsbegäran.docx", "A 39481-2025")</f>
        <v/>
      </c>
      <c r="AB65">
        <f>HYPERLINK("https://klasma.github.io/Logging_2062/tillsynsmail/A 39481-2025 tillsynsbegäran mail.docx", "A 39481-2025")</f>
        <v/>
      </c>
      <c r="AC65">
        <f>HYPERLINK("https://klasma.github.io/Logging_2062/fåglar/A 39481-2025 prioriterade fågelarter.docx", "A 39481-2025")</f>
        <v/>
      </c>
    </row>
    <row r="66" ht="15" customHeight="1">
      <c r="A66" t="inlineStr">
        <is>
          <t>A 32222-2025</t>
        </is>
      </c>
      <c r="B66" t="inlineStr">
        <is>
          <t>avverkningsanmälan</t>
        </is>
      </c>
      <c r="C66" t="inlineStr">
        <is>
          <t>Föryngringsavverkning</t>
        </is>
      </c>
      <c r="D66" s="1" t="n">
        <v>45835</v>
      </c>
      <c r="E66" s="1" t="n">
        <v>46220</v>
      </c>
      <c r="F66" t="inlineStr">
        <is>
          <t>DALARNAS LÄN</t>
        </is>
      </c>
      <c r="G66" t="inlineStr">
        <is>
          <t>MORA</t>
        </is>
      </c>
      <c r="I66" t="n">
        <v>11.5</v>
      </c>
      <c r="J66" t="n">
        <v>1</v>
      </c>
      <c r="K66" t="n">
        <v>0</v>
      </c>
      <c r="L66" t="n">
        <v>3</v>
      </c>
      <c r="M66" t="n">
        <v>1</v>
      </c>
      <c r="N66" t="n">
        <v>0</v>
      </c>
      <c r="O66" t="n">
        <v>0</v>
      </c>
      <c r="P66" t="n">
        <v>0</v>
      </c>
      <c r="Q66" t="n">
        <v>4</v>
      </c>
      <c r="R66" t="n">
        <v>1</v>
      </c>
      <c r="S66" t="n">
        <v>4</v>
      </c>
      <c r="T66" t="n">
        <v>10</v>
      </c>
      <c r="U66" s="2" t="inlineStr">
        <is>
          <t>Garnlav
Reliktbock
Tallticka
Tretåig hackspett</t>
        </is>
      </c>
      <c r="V66">
        <f>HYPERLINK("https://klasma.github.io/Logging_2062/artfynd/A 32222-2025 artfynd.xlsx", "A 32222-2025")</f>
        <v/>
      </c>
      <c r="W66">
        <f>HYPERLINK("https://klasma.github.io/Logging_2062/kartor/A 32222-2025 karta.png", "A 32222-2025")</f>
        <v/>
      </c>
      <c r="Y66">
        <f>HYPERLINK("https://klasma.github.io/Logging_2062/klagomål/A 32222-2025 FSC-klagomål.docx", "A 32222-2025")</f>
        <v/>
      </c>
      <c r="Z66">
        <f>HYPERLINK("https://klasma.github.io/Logging_2062/klagomålsmail/A 32222-2025 FSC-klagomål mail.docx", "A 32222-2025")</f>
        <v/>
      </c>
      <c r="AA66">
        <f>HYPERLINK("https://klasma.github.io/Logging_2062/tillsyn/A 32222-2025 tillsynsbegäran.docx", "A 32222-2025")</f>
        <v/>
      </c>
      <c r="AB66">
        <f>HYPERLINK("https://klasma.github.io/Logging_2062/tillsynsmail/A 32222-2025 tillsynsbegäran mail.docx", "A 32222-2025")</f>
        <v/>
      </c>
      <c r="AC66">
        <f>HYPERLINK("https://klasma.github.io/Logging_2062/fåglar/A 32222-2025 prioriterade fågelarter.docx", "A 32222-2025")</f>
        <v/>
      </c>
    </row>
    <row r="67" ht="15" customHeight="1">
      <c r="A67" t="inlineStr">
        <is>
          <t>A 11973-2026</t>
        </is>
      </c>
      <c r="B67" t="inlineStr">
        <is>
          <t>avverkningsanmälan</t>
        </is>
      </c>
      <c r="C67" t="inlineStr">
        <is>
          <t>Föryngringsavverkning</t>
        </is>
      </c>
      <c r="D67" s="1" t="n">
        <v>46085</v>
      </c>
      <c r="E67" s="1" t="n">
        <v>46220</v>
      </c>
      <c r="F67" t="inlineStr">
        <is>
          <t>DALARNAS LÄN</t>
        </is>
      </c>
      <c r="G67" t="inlineStr">
        <is>
          <t>MORA</t>
        </is>
      </c>
      <c r="I67" t="n">
        <v>5.4</v>
      </c>
      <c r="J67" t="n">
        <v>1</v>
      </c>
      <c r="K67" t="n">
        <v>1</v>
      </c>
      <c r="L67" t="n">
        <v>1</v>
      </c>
      <c r="M67" t="n">
        <v>1</v>
      </c>
      <c r="N67" t="n">
        <v>0</v>
      </c>
      <c r="O67" t="n">
        <v>0</v>
      </c>
      <c r="P67" t="n">
        <v>0</v>
      </c>
      <c r="Q67" t="n">
        <v>2</v>
      </c>
      <c r="R67" t="n">
        <v>1</v>
      </c>
      <c r="S67" t="n">
        <v>4</v>
      </c>
      <c r="T67" t="n">
        <v>4</v>
      </c>
      <c r="U67" s="2" t="inlineStr">
        <is>
          <t>Garnlav
Mörk kolflarnlav
Mindre märgborre
Spillkråka</t>
        </is>
      </c>
      <c r="V67">
        <f>HYPERLINK("https://klasma.github.io/Logging_2062/artfynd/A 11973-2026 artfynd.xlsx", "A 11973-2026")</f>
        <v/>
      </c>
      <c r="W67">
        <f>HYPERLINK("https://klasma.github.io/Logging_2062/kartor/A 11973-2026 karta.png", "A 11973-2026")</f>
        <v/>
      </c>
      <c r="Y67">
        <f>HYPERLINK("https://klasma.github.io/Logging_2062/klagomål/A 11973-2026 FSC-klagomål.docx", "A 11973-2026")</f>
        <v/>
      </c>
      <c r="Z67">
        <f>HYPERLINK("https://klasma.github.io/Logging_2062/klagomålsmail/A 11973-2026 FSC-klagomål mail.docx", "A 11973-2026")</f>
        <v/>
      </c>
      <c r="AA67">
        <f>HYPERLINK("https://klasma.github.io/Logging_2062/tillsyn/A 11973-2026 tillsynsbegäran.docx", "A 11973-2026")</f>
        <v/>
      </c>
      <c r="AB67">
        <f>HYPERLINK("https://klasma.github.io/Logging_2062/tillsynsmail/A 11973-2026 tillsynsbegäran mail.docx", "A 11973-2026")</f>
        <v/>
      </c>
      <c r="AC67">
        <f>HYPERLINK("https://klasma.github.io/Logging_2062/fåglar/A 11973-2026 prioriterade fågelarter.docx", "A 11973-2026")</f>
        <v/>
      </c>
    </row>
    <row r="68" ht="15" customHeight="1">
      <c r="A68" t="inlineStr">
        <is>
          <t>A 34715-2025</t>
        </is>
      </c>
      <c r="B68" t="inlineStr">
        <is>
          <t>avverkningsanmälan</t>
        </is>
      </c>
      <c r="C68" t="inlineStr">
        <is>
          <t>Föryngringsavverkning</t>
        </is>
      </c>
      <c r="D68" s="1" t="n">
        <v>45848</v>
      </c>
      <c r="E68" s="1" t="n">
        <v>46220</v>
      </c>
      <c r="F68" t="inlineStr">
        <is>
          <t>DALARNAS LÄN</t>
        </is>
      </c>
      <c r="G68" t="inlineStr">
        <is>
          <t>MORA</t>
        </is>
      </c>
      <c r="I68" t="n">
        <v>8.5</v>
      </c>
      <c r="J68" t="n">
        <v>2</v>
      </c>
      <c r="K68" t="n">
        <v>0</v>
      </c>
      <c r="L68" t="n">
        <v>2</v>
      </c>
      <c r="M68" t="n">
        <v>2</v>
      </c>
      <c r="N68" t="n">
        <v>0</v>
      </c>
      <c r="O68" t="n">
        <v>0</v>
      </c>
      <c r="P68" t="n">
        <v>0</v>
      </c>
      <c r="Q68" t="n">
        <v>4</v>
      </c>
      <c r="R68" t="n">
        <v>2</v>
      </c>
      <c r="S68" t="n">
        <v>4</v>
      </c>
      <c r="T68" t="n">
        <v>5</v>
      </c>
      <c r="U68" s="2" t="inlineStr">
        <is>
          <t>Garnlav
Knärot
Tallticka
Tretåig hackspett</t>
        </is>
      </c>
      <c r="V68">
        <f>HYPERLINK("https://klasma.github.io/Logging_2062/artfynd/A 34715-2025 artfynd.xlsx", "A 34715-2025")</f>
        <v/>
      </c>
      <c r="W68">
        <f>HYPERLINK("https://klasma.github.io/Logging_2062/kartor/A 34715-2025 karta.png", "A 34715-2025")</f>
        <v/>
      </c>
      <c r="X68">
        <f>HYPERLINK("https://klasma.github.io/Logging_2062/knärot/A 34715-2025 karta knärot.png", "A 34715-2025")</f>
        <v/>
      </c>
      <c r="Y68">
        <f>HYPERLINK("https://klasma.github.io/Logging_2062/klagomål/A 34715-2025 FSC-klagomål.docx", "A 34715-2025")</f>
        <v/>
      </c>
      <c r="Z68">
        <f>HYPERLINK("https://klasma.github.io/Logging_2062/klagomålsmail/A 34715-2025 FSC-klagomål mail.docx", "A 34715-2025")</f>
        <v/>
      </c>
      <c r="AA68">
        <f>HYPERLINK("https://klasma.github.io/Logging_2062/tillsyn/A 34715-2025 tillsynsbegäran.docx", "A 34715-2025")</f>
        <v/>
      </c>
      <c r="AB68">
        <f>HYPERLINK("https://klasma.github.io/Logging_2062/tillsynsmail/A 34715-2025 tillsynsbegäran mail.docx", "A 34715-2025")</f>
        <v/>
      </c>
      <c r="AC68">
        <f>HYPERLINK("https://klasma.github.io/Logging_2062/fåglar/A 34715-2025 prioriterade fågelarter.docx", "A 34715-2025")</f>
        <v/>
      </c>
    </row>
    <row r="69" ht="15" customHeight="1">
      <c r="A69" t="inlineStr">
        <is>
          <t>A 28964-2024</t>
        </is>
      </c>
      <c r="B69" t="inlineStr">
        <is>
          <t>avverkningsanmälan</t>
        </is>
      </c>
      <c r="C69" t="inlineStr">
        <is>
          <t>Avverkning för annat ändamål</t>
        </is>
      </c>
      <c r="D69" s="1" t="n">
        <v>45481</v>
      </c>
      <c r="E69" s="1" t="n">
        <v>46220</v>
      </c>
      <c r="F69" t="inlineStr">
        <is>
          <t>DALARNAS LÄN</t>
        </is>
      </c>
      <c r="G69" t="inlineStr">
        <is>
          <t>MORA</t>
        </is>
      </c>
      <c r="I69" t="n">
        <v>1.3</v>
      </c>
      <c r="J69" t="n">
        <v>0</v>
      </c>
      <c r="K69" t="n">
        <v>0</v>
      </c>
      <c r="L69" t="n">
        <v>2</v>
      </c>
      <c r="M69" t="n">
        <v>2</v>
      </c>
      <c r="N69" t="n">
        <v>0</v>
      </c>
      <c r="O69" t="n">
        <v>0</v>
      </c>
      <c r="P69" t="n">
        <v>0</v>
      </c>
      <c r="Q69" t="n">
        <v>4</v>
      </c>
      <c r="R69" t="n">
        <v>2</v>
      </c>
      <c r="S69" t="n">
        <v>4</v>
      </c>
      <c r="T69" t="n">
        <v>4</v>
      </c>
      <c r="U69" s="2" t="inlineStr">
        <is>
          <t>Lammticka
Tallgråticka
Kötticka
Tallfingersvamp</t>
        </is>
      </c>
      <c r="V69">
        <f>HYPERLINK("https://klasma.github.io/Logging_2062/artfynd/A 28964-2024 artfynd.xlsx", "A 28964-2024")</f>
        <v/>
      </c>
      <c r="W69">
        <f>HYPERLINK("https://klasma.github.io/Logging_2062/kartor/A 28964-2024 karta.png", "A 28964-2024")</f>
        <v/>
      </c>
      <c r="Y69">
        <f>HYPERLINK("https://klasma.github.io/Logging_2062/klagomål/A 28964-2024 FSC-klagomål.docx", "A 28964-2024")</f>
        <v/>
      </c>
      <c r="Z69">
        <f>HYPERLINK("https://klasma.github.io/Logging_2062/klagomålsmail/A 28964-2024 FSC-klagomål mail.docx", "A 28964-2024")</f>
        <v/>
      </c>
      <c r="AA69">
        <f>HYPERLINK("https://klasma.github.io/Logging_2062/tillsyn/A 28964-2024 tillsynsbegäran.docx", "A 28964-2024")</f>
        <v/>
      </c>
      <c r="AB69">
        <f>HYPERLINK("https://klasma.github.io/Logging_2062/tillsynsmail/A 28964-2024 tillsynsbegäran mail.docx", "A 28964-2024")</f>
        <v/>
      </c>
    </row>
    <row r="70" ht="15" customHeight="1">
      <c r="A70" t="inlineStr">
        <is>
          <t>A 17648-2024</t>
        </is>
      </c>
      <c r="B70" t="inlineStr">
        <is>
          <t>avverkningsanmälan</t>
        </is>
      </c>
      <c r="C70" t="inlineStr">
        <is>
          <t>Föryngringsavverkning</t>
        </is>
      </c>
      <c r="D70" s="1" t="n">
        <v>45418</v>
      </c>
      <c r="E70" s="1" t="n">
        <v>46220</v>
      </c>
      <c r="F70" t="inlineStr">
        <is>
          <t>DALARNAS LÄN</t>
        </is>
      </c>
      <c r="G70" t="inlineStr">
        <is>
          <t>MORA</t>
        </is>
      </c>
      <c r="I70" t="n">
        <v>1.7</v>
      </c>
      <c r="J70" t="n">
        <v>4</v>
      </c>
      <c r="K70" t="n">
        <v>0</v>
      </c>
      <c r="L70" t="n">
        <v>2</v>
      </c>
      <c r="M70" t="n">
        <v>0</v>
      </c>
      <c r="N70" t="n">
        <v>0</v>
      </c>
      <c r="O70" t="n">
        <v>0</v>
      </c>
      <c r="P70" t="n">
        <v>0</v>
      </c>
      <c r="Q70" t="n">
        <v>2</v>
      </c>
      <c r="R70" t="n">
        <v>0</v>
      </c>
      <c r="S70" t="n">
        <v>4</v>
      </c>
      <c r="T70" t="n">
        <v>4</v>
      </c>
      <c r="U70" s="2" t="inlineStr">
        <is>
          <t>Brunlångöra
Nordfladdermus
Dvärgpipistrell
Vattenfladdermus</t>
        </is>
      </c>
      <c r="V70">
        <f>HYPERLINK("https://klasma.github.io/Logging_2062/artfynd/A 17648-2024 artfynd.xlsx", "A 17648-2024")</f>
        <v/>
      </c>
      <c r="W70">
        <f>HYPERLINK("https://klasma.github.io/Logging_2062/kartor/A 17648-2024 karta.png", "A 17648-2024")</f>
        <v/>
      </c>
      <c r="Y70">
        <f>HYPERLINK("https://klasma.github.io/Logging_2062/klagomål/A 17648-2024 FSC-klagomål.docx", "A 17648-2024")</f>
        <v/>
      </c>
      <c r="Z70">
        <f>HYPERLINK("https://klasma.github.io/Logging_2062/klagomålsmail/A 17648-2024 FSC-klagomål mail.docx", "A 17648-2024")</f>
        <v/>
      </c>
      <c r="AA70">
        <f>HYPERLINK("https://klasma.github.io/Logging_2062/tillsyn/A 17648-2024 tillsynsbegäran.docx", "A 17648-2024")</f>
        <v/>
      </c>
      <c r="AB70">
        <f>HYPERLINK("https://klasma.github.io/Logging_2062/tillsynsmail/A 17648-2024 tillsynsbegäran mail.docx", "A 17648-2024")</f>
        <v/>
      </c>
    </row>
    <row r="71" ht="15" customHeight="1">
      <c r="A71" t="inlineStr">
        <is>
          <t>S 1406-2025</t>
        </is>
      </c>
      <c r="B71" t="inlineStr">
        <is>
          <t>samrådsanmälan</t>
        </is>
      </c>
      <c r="C71" t="inlineStr">
        <is>
          <t>Annan skogsbruksåtgärd</t>
        </is>
      </c>
      <c r="D71" s="1" t="n">
        <v>45782</v>
      </c>
      <c r="E71" s="1" t="n">
        <v>46220</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46220</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46220</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54868-2025</t>
        </is>
      </c>
      <c r="B74" t="inlineStr">
        <is>
          <t>avverkningsanmälan</t>
        </is>
      </c>
      <c r="C74" t="inlineStr">
        <is>
          <t>Föryngringsavverkning</t>
        </is>
      </c>
      <c r="D74" s="1" t="n">
        <v>45966</v>
      </c>
      <c r="E74" s="1" t="n">
        <v>46220</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s="2" t="inlineStr">
        <is>
          <t>Gräddporing
Nordtagging
Vedskivlav</t>
        </is>
      </c>
      <c r="V74">
        <f>HYPERLINK("https://klasma.github.io/Logging_2062/artfynd/A 54868-2025 artfynd.xlsx", "A 54868-2025")</f>
        <v/>
      </c>
      <c r="W74">
        <f>HYPERLINK("https://klasma.github.io/Logging_2062/kartor/A 54868-2025 karta.png", "A 54868-2025")</f>
        <v/>
      </c>
      <c r="Y74">
        <f>HYPERLINK("https://klasma.github.io/Logging_2062/klagomål/A 54868-2025 FSC-klagomål.docx", "A 54868-2025")</f>
        <v/>
      </c>
      <c r="Z74">
        <f>HYPERLINK("https://klasma.github.io/Logging_2062/klagomålsmail/A 54868-2025 FSC-klagomål mail.docx", "A 54868-2025")</f>
        <v/>
      </c>
      <c r="AA74">
        <f>HYPERLINK("https://klasma.github.io/Logging_2062/tillsyn/A 54868-2025 tillsynsbegäran.docx", "A 54868-2025")</f>
        <v/>
      </c>
      <c r="AB74">
        <f>HYPERLINK("https://klasma.github.io/Logging_2062/tillsynsmail/A 54868-2025 tillsynsbegäran mail.docx", "A 54868-2025")</f>
        <v/>
      </c>
    </row>
    <row r="75" ht="15" customHeight="1">
      <c r="A75" t="inlineStr">
        <is>
          <t>A 54919-2025</t>
        </is>
      </c>
      <c r="B75" t="inlineStr">
        <is>
          <t>avverkningsanmälan</t>
        </is>
      </c>
      <c r="C75" t="inlineStr">
        <is>
          <t>Föryngringsavverkning</t>
        </is>
      </c>
      <c r="D75" s="1" t="n">
        <v>45967</v>
      </c>
      <c r="E75" s="1" t="n">
        <v>46220</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54919-2025 artfynd.xlsx", "A 54919-2025")</f>
        <v/>
      </c>
      <c r="W75">
        <f>HYPERLINK("https://klasma.github.io/Logging_2062/kartor/A 54919-2025 karta.png", "A 54919-2025")</f>
        <v/>
      </c>
      <c r="Y75">
        <f>HYPERLINK("https://klasma.github.io/Logging_2062/klagomål/A 54919-2025 FSC-klagomål.docx", "A 54919-2025")</f>
        <v/>
      </c>
      <c r="Z75">
        <f>HYPERLINK("https://klasma.github.io/Logging_2062/klagomålsmail/A 54919-2025 FSC-klagomål mail.docx", "A 54919-2025")</f>
        <v/>
      </c>
      <c r="AA75">
        <f>HYPERLINK("https://klasma.github.io/Logging_2062/tillsyn/A 54919-2025 tillsynsbegäran.docx", "A 54919-2025")</f>
        <v/>
      </c>
      <c r="AB75">
        <f>HYPERLINK("https://klasma.github.io/Logging_2062/tillsynsmail/A 54919-2025 tillsynsbegäran mail.docx", "A 54919-2025")</f>
        <v/>
      </c>
    </row>
    <row r="76" ht="15" customHeight="1">
      <c r="A76" t="inlineStr">
        <is>
          <t>A 62620-2025</t>
        </is>
      </c>
      <c r="B76" t="inlineStr">
        <is>
          <t>avverkningsanmälan</t>
        </is>
      </c>
      <c r="C76" t="inlineStr">
        <is>
          <t>Föryngringsavverkning</t>
        </is>
      </c>
      <c r="D76" s="1" t="n">
        <v>46008</v>
      </c>
      <c r="E76" s="1" t="n">
        <v>46220</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s="2" t="inlineStr">
        <is>
          <t>Garnlav
Tretåig hackspett
Mindre märgborre</t>
        </is>
      </c>
      <c r="V76">
        <f>HYPERLINK("https://klasma.github.io/Logging_2062/artfynd/A 62620-2025 artfynd.xlsx", "A 62620-2025")</f>
        <v/>
      </c>
      <c r="W76">
        <f>HYPERLINK("https://klasma.github.io/Logging_2062/kartor/A 62620-2025 karta.png", "A 62620-2025")</f>
        <v/>
      </c>
      <c r="Y76">
        <f>HYPERLINK("https://klasma.github.io/Logging_2062/klagomål/A 62620-2025 FSC-klagomål.docx", "A 62620-2025")</f>
        <v/>
      </c>
      <c r="Z76">
        <f>HYPERLINK("https://klasma.github.io/Logging_2062/klagomålsmail/A 62620-2025 FSC-klagomål mail.docx", "A 62620-2025")</f>
        <v/>
      </c>
      <c r="AA76">
        <f>HYPERLINK("https://klasma.github.io/Logging_2062/tillsyn/A 62620-2025 tillsynsbegäran.docx", "A 62620-2025")</f>
        <v/>
      </c>
      <c r="AB76">
        <f>HYPERLINK("https://klasma.github.io/Logging_2062/tillsynsmail/A 62620-2025 tillsynsbegäran mail.docx", "A 62620-2025")</f>
        <v/>
      </c>
      <c r="AC76">
        <f>HYPERLINK("https://klasma.github.io/Logging_2062/fåglar/A 62620-2025 prioriterade fågelarter.docx", "A 62620-2025")</f>
        <v/>
      </c>
    </row>
    <row r="77" ht="15" customHeight="1">
      <c r="A77" t="inlineStr">
        <is>
          <t>A 3531-2024</t>
        </is>
      </c>
      <c r="B77" t="inlineStr">
        <is>
          <t>avverkningsanmälan</t>
        </is>
      </c>
      <c r="C77" t="inlineStr">
        <is>
          <t>Avverkning för annat ändamål</t>
        </is>
      </c>
      <c r="D77" s="1" t="n">
        <v>45320</v>
      </c>
      <c r="E77" s="1" t="n">
        <v>46220</v>
      </c>
      <c r="F77" t="inlineStr">
        <is>
          <t>DALARNAS LÄN</t>
        </is>
      </c>
      <c r="G77" t="inlineStr">
        <is>
          <t>MORA</t>
        </is>
      </c>
      <c r="I77" t="n">
        <v>1.4</v>
      </c>
      <c r="J77" t="n">
        <v>2</v>
      </c>
      <c r="K77" t="n">
        <v>1</v>
      </c>
      <c r="L77" t="n">
        <v>0</v>
      </c>
      <c r="M77" t="n">
        <v>1</v>
      </c>
      <c r="N77" t="n">
        <v>1</v>
      </c>
      <c r="O77" t="n">
        <v>0</v>
      </c>
      <c r="P77" t="n">
        <v>0</v>
      </c>
      <c r="Q77" t="n">
        <v>2</v>
      </c>
      <c r="R77" t="n">
        <v>2</v>
      </c>
      <c r="S77" t="n">
        <v>3</v>
      </c>
      <c r="T77" t="n">
        <v>3</v>
      </c>
      <c r="U77" s="2" t="inlineStr">
        <is>
          <t>Mosippa
Knärot
Bronshjon</t>
        </is>
      </c>
      <c r="V77">
        <f>HYPERLINK("https://klasma.github.io/Logging_2062/artfynd/A 3531-2024 artfynd.xlsx", "A 3531-2024")</f>
        <v/>
      </c>
      <c r="W77">
        <f>HYPERLINK("https://klasma.github.io/Logging_2062/kartor/A 3531-2024 karta.png", "A 3531-2024")</f>
        <v/>
      </c>
      <c r="X77">
        <f>HYPERLINK("https://klasma.github.io/Logging_2062/knärot/A 3531-2024 karta knärot.png", "A 3531-2024")</f>
        <v/>
      </c>
      <c r="Y77">
        <f>HYPERLINK("https://klasma.github.io/Logging_2062/klagomål/A 3531-2024 FSC-klagomål.docx", "A 3531-2024")</f>
        <v/>
      </c>
      <c r="Z77">
        <f>HYPERLINK("https://klasma.github.io/Logging_2062/klagomålsmail/A 3531-2024 FSC-klagomål mail.docx", "A 3531-2024")</f>
        <v/>
      </c>
      <c r="AA77">
        <f>HYPERLINK("https://klasma.github.io/Logging_2062/tillsyn/A 3531-2024 tillsynsbegäran.docx", "A 3531-2024")</f>
        <v/>
      </c>
      <c r="AB77">
        <f>HYPERLINK("https://klasma.github.io/Logging_2062/tillsynsmail/A 3531-2024 tillsynsbegäran mail.docx", "A 3531-2024")</f>
        <v/>
      </c>
    </row>
    <row r="78" ht="15" customHeight="1">
      <c r="A78" t="inlineStr">
        <is>
          <t>A 23163-2025</t>
        </is>
      </c>
      <c r="B78" t="inlineStr">
        <is>
          <t>avverkningsanmälan</t>
        </is>
      </c>
      <c r="C78" t="inlineStr">
        <is>
          <t>Föryngringsavverkning</t>
        </is>
      </c>
      <c r="D78" s="1" t="n">
        <v>45791</v>
      </c>
      <c r="E78" s="1" t="n">
        <v>46220</v>
      </c>
      <c r="F78" t="inlineStr">
        <is>
          <t>DALARNAS LÄN</t>
        </is>
      </c>
      <c r="G78" t="inlineStr">
        <is>
          <t>MORA</t>
        </is>
      </c>
      <c r="I78" t="n">
        <v>4.2</v>
      </c>
      <c r="J78" t="n">
        <v>2</v>
      </c>
      <c r="K78" t="n">
        <v>0</v>
      </c>
      <c r="L78" t="n">
        <v>1</v>
      </c>
      <c r="M78" t="n">
        <v>1</v>
      </c>
      <c r="N78" t="n">
        <v>0</v>
      </c>
      <c r="O78" t="n">
        <v>0</v>
      </c>
      <c r="P78" t="n">
        <v>0</v>
      </c>
      <c r="Q78" t="n">
        <v>2</v>
      </c>
      <c r="R78" t="n">
        <v>1</v>
      </c>
      <c r="S78" t="n">
        <v>3</v>
      </c>
      <c r="T78" t="n">
        <v>3</v>
      </c>
      <c r="U78" s="2" t="inlineStr">
        <is>
          <t>Garnlav
Talltita
Spillkråka</t>
        </is>
      </c>
      <c r="V78">
        <f>HYPERLINK("https://klasma.github.io/Logging_2062/artfynd/A 23163-2025 artfynd.xlsx", "A 23163-2025")</f>
        <v/>
      </c>
      <c r="W78">
        <f>HYPERLINK("https://klasma.github.io/Logging_2062/kartor/A 23163-2025 karta.png", "A 23163-2025")</f>
        <v/>
      </c>
      <c r="X78">
        <f>HYPERLINK("https://klasma.github.io/Logging_2062/knärot/A 23163-2025 karta knärot.png", "A 23163-2025")</f>
        <v/>
      </c>
      <c r="Y78">
        <f>HYPERLINK("https://klasma.github.io/Logging_2062/klagomål/A 23163-2025 FSC-klagomål.docx", "A 23163-2025")</f>
        <v/>
      </c>
      <c r="Z78">
        <f>HYPERLINK("https://klasma.github.io/Logging_2062/klagomålsmail/A 23163-2025 FSC-klagomål mail.docx", "A 23163-2025")</f>
        <v/>
      </c>
      <c r="AA78">
        <f>HYPERLINK("https://klasma.github.io/Logging_2062/tillsyn/A 23163-2025 tillsynsbegäran.docx", "A 23163-2025")</f>
        <v/>
      </c>
      <c r="AB78">
        <f>HYPERLINK("https://klasma.github.io/Logging_2062/tillsynsmail/A 23163-2025 tillsynsbegäran mail.docx", "A 23163-2025")</f>
        <v/>
      </c>
      <c r="AC78">
        <f>HYPERLINK("https://klasma.github.io/Logging_2062/fåglar/A 23163-2025 prioriterade fågelarter.docx", "A 23163-2025")</f>
        <v/>
      </c>
    </row>
    <row r="79" ht="15" customHeight="1">
      <c r="A79" t="inlineStr">
        <is>
          <t>S 6554-2022</t>
        </is>
      </c>
      <c r="B79" t="inlineStr">
        <is>
          <t>samrådsanmälan</t>
        </is>
      </c>
      <c r="C79" t="inlineStr">
        <is>
          <t>Annan skogsbruksåtgärd</t>
        </is>
      </c>
      <c r="D79" s="1" t="n">
        <v>44881</v>
      </c>
      <c r="E79" s="1" t="n">
        <v>46220</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46220</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36058-2024</t>
        </is>
      </c>
      <c r="B81" t="inlineStr">
        <is>
          <t>avverkningsanmälan</t>
        </is>
      </c>
      <c r="C81" t="inlineStr">
        <is>
          <t>Föryngringsavverkning</t>
        </is>
      </c>
      <c r="D81" s="1" t="n">
        <v>45533</v>
      </c>
      <c r="E81" s="1" t="n">
        <v>46220</v>
      </c>
      <c r="F81" t="inlineStr">
        <is>
          <t>DALARNAS LÄN</t>
        </is>
      </c>
      <c r="G81" t="inlineStr">
        <is>
          <t>MORA</t>
        </is>
      </c>
      <c r="I81" t="n">
        <v>1</v>
      </c>
      <c r="J81" t="n">
        <v>0</v>
      </c>
      <c r="K81" t="n">
        <v>1</v>
      </c>
      <c r="L81" t="n">
        <v>0</v>
      </c>
      <c r="M81" t="n">
        <v>1</v>
      </c>
      <c r="N81" t="n">
        <v>0</v>
      </c>
      <c r="O81" t="n">
        <v>0</v>
      </c>
      <c r="P81" t="n">
        <v>0</v>
      </c>
      <c r="Q81" t="n">
        <v>1</v>
      </c>
      <c r="R81" t="n">
        <v>1</v>
      </c>
      <c r="S81" t="n">
        <v>2</v>
      </c>
      <c r="T81" t="n">
        <v>3</v>
      </c>
      <c r="U81" s="2" t="inlineStr">
        <is>
          <t>Garnlav
Mindre märgborre</t>
        </is>
      </c>
      <c r="V81">
        <f>HYPERLINK("https://klasma.github.io/Logging_2062/artfynd/A 36058-2024 artfynd.xlsx", "A 36058-2024")</f>
        <v/>
      </c>
      <c r="W81">
        <f>HYPERLINK("https://klasma.github.io/Logging_2062/kartor/A 36058-2024 karta.png", "A 36058-2024")</f>
        <v/>
      </c>
      <c r="Y81">
        <f>HYPERLINK("https://klasma.github.io/Logging_2062/klagomål/A 36058-2024 FSC-klagomål.docx", "A 36058-2024")</f>
        <v/>
      </c>
      <c r="Z81">
        <f>HYPERLINK("https://klasma.github.io/Logging_2062/klagomålsmail/A 36058-2024 FSC-klagomål mail.docx", "A 36058-2024")</f>
        <v/>
      </c>
      <c r="AA81">
        <f>HYPERLINK("https://klasma.github.io/Logging_2062/tillsyn/A 36058-2024 tillsynsbegäran.docx", "A 36058-2024")</f>
        <v/>
      </c>
      <c r="AB81">
        <f>HYPERLINK("https://klasma.github.io/Logging_2062/tillsynsmail/A 36058-2024 tillsynsbegäran mail.docx", "A 36058-2024")</f>
        <v/>
      </c>
    </row>
    <row r="82" ht="15" customHeight="1">
      <c r="A82" t="inlineStr">
        <is>
          <t>A 51253-2023</t>
        </is>
      </c>
      <c r="B82" t="inlineStr">
        <is>
          <t>avverkningsanmälan</t>
        </is>
      </c>
      <c r="C82" t="inlineStr">
        <is>
          <t>Föryngringsavverkning</t>
        </is>
      </c>
      <c r="D82" s="1" t="n">
        <v>45219</v>
      </c>
      <c r="E82" s="1" t="n">
        <v>46220</v>
      </c>
      <c r="F82" t="inlineStr">
        <is>
          <t>DALARNAS LÄN</t>
        </is>
      </c>
      <c r="G82" t="inlineStr">
        <is>
          <t>MORA</t>
        </is>
      </c>
      <c r="I82" t="n">
        <v>5</v>
      </c>
      <c r="J82" t="n">
        <v>0</v>
      </c>
      <c r="K82" t="n">
        <v>1</v>
      </c>
      <c r="L82" t="n">
        <v>0</v>
      </c>
      <c r="M82" t="n">
        <v>1</v>
      </c>
      <c r="N82" t="n">
        <v>0</v>
      </c>
      <c r="O82" t="n">
        <v>0</v>
      </c>
      <c r="P82" t="n">
        <v>0</v>
      </c>
      <c r="Q82" t="n">
        <v>1</v>
      </c>
      <c r="R82" t="n">
        <v>1</v>
      </c>
      <c r="S82" t="n">
        <v>2</v>
      </c>
      <c r="T82" t="n">
        <v>5</v>
      </c>
      <c r="U82" s="2" t="inlineStr">
        <is>
          <t>Garnlav
Mindre märgborre</t>
        </is>
      </c>
      <c r="V82">
        <f>HYPERLINK("https://klasma.github.io/Logging_2062/artfynd/A 51253-2023 artfynd.xlsx", "A 51253-2023")</f>
        <v/>
      </c>
      <c r="W82">
        <f>HYPERLINK("https://klasma.github.io/Logging_2062/kartor/A 51253-2023 karta.png", "A 51253-2023")</f>
        <v/>
      </c>
      <c r="Y82">
        <f>HYPERLINK("https://klasma.github.io/Logging_2062/klagomål/A 51253-2023 FSC-klagomål.docx", "A 51253-2023")</f>
        <v/>
      </c>
      <c r="Z82">
        <f>HYPERLINK("https://klasma.github.io/Logging_2062/klagomålsmail/A 51253-2023 FSC-klagomål mail.docx", "A 51253-2023")</f>
        <v/>
      </c>
      <c r="AA82">
        <f>HYPERLINK("https://klasma.github.io/Logging_2062/tillsyn/A 51253-2023 tillsynsbegäran.docx", "A 51253-2023")</f>
        <v/>
      </c>
      <c r="AB82">
        <f>HYPERLINK("https://klasma.github.io/Logging_2062/tillsynsmail/A 51253-2023 tillsynsbegäran mail.docx", "A 51253-2023")</f>
        <v/>
      </c>
    </row>
    <row r="83" ht="15" customHeight="1">
      <c r="A83" t="inlineStr">
        <is>
          <t>A 35068-2025</t>
        </is>
      </c>
      <c r="B83" t="inlineStr">
        <is>
          <t>avverkningsanmälan</t>
        </is>
      </c>
      <c r="C83" t="inlineStr">
        <is>
          <t>Föryngringsavverkning</t>
        </is>
      </c>
      <c r="D83" s="1" t="n">
        <v>45852</v>
      </c>
      <c r="E83" s="1" t="n">
        <v>46220</v>
      </c>
      <c r="F83" t="inlineStr">
        <is>
          <t>DALARNAS LÄN</t>
        </is>
      </c>
      <c r="G83" t="inlineStr">
        <is>
          <t>MORA</t>
        </is>
      </c>
      <c r="I83" t="n">
        <v>0.7</v>
      </c>
      <c r="J83" t="n">
        <v>0</v>
      </c>
      <c r="K83" t="n">
        <v>1</v>
      </c>
      <c r="L83" t="n">
        <v>0</v>
      </c>
      <c r="M83" t="n">
        <v>1</v>
      </c>
      <c r="N83" t="n">
        <v>0</v>
      </c>
      <c r="O83" t="n">
        <v>0</v>
      </c>
      <c r="P83" t="n">
        <v>0</v>
      </c>
      <c r="Q83" t="n">
        <v>1</v>
      </c>
      <c r="R83" t="n">
        <v>1</v>
      </c>
      <c r="S83" t="n">
        <v>2</v>
      </c>
      <c r="T83" t="n">
        <v>7</v>
      </c>
      <c r="U83" s="2" t="inlineStr">
        <is>
          <t>Garnlav
Mindre märgborre</t>
        </is>
      </c>
      <c r="V83">
        <f>HYPERLINK("https://klasma.github.io/Logging_2062/artfynd/A 35068-2025 artfynd.xlsx", "A 35068-2025")</f>
        <v/>
      </c>
      <c r="W83">
        <f>HYPERLINK("https://klasma.github.io/Logging_2062/kartor/A 35068-2025 karta.png", "A 35068-2025")</f>
        <v/>
      </c>
      <c r="Y83">
        <f>HYPERLINK("https://klasma.github.io/Logging_2062/klagomål/A 35068-2025 FSC-klagomål.docx", "A 35068-2025")</f>
        <v/>
      </c>
      <c r="Z83">
        <f>HYPERLINK("https://klasma.github.io/Logging_2062/klagomålsmail/A 35068-2025 FSC-klagomål mail.docx", "A 35068-2025")</f>
        <v/>
      </c>
      <c r="AA83">
        <f>HYPERLINK("https://klasma.github.io/Logging_2062/tillsyn/A 35068-2025 tillsynsbegäran.docx", "A 35068-2025")</f>
        <v/>
      </c>
      <c r="AB83">
        <f>HYPERLINK("https://klasma.github.io/Logging_2062/tillsynsmail/A 35068-2025 tillsynsbegäran mail.docx", "A 35068-2025")</f>
        <v/>
      </c>
    </row>
    <row r="84" ht="15" customHeight="1">
      <c r="A84" t="inlineStr">
        <is>
          <t>A 37552-2023</t>
        </is>
      </c>
      <c r="B84" t="inlineStr">
        <is>
          <t>avverkningsanmälan</t>
        </is>
      </c>
      <c r="C84" t="inlineStr">
        <is>
          <t>Föryngringsavverkning</t>
        </is>
      </c>
      <c r="D84" s="1" t="n">
        <v>45159</v>
      </c>
      <c r="E84" s="1" t="n">
        <v>46220</v>
      </c>
      <c r="F84" t="inlineStr">
        <is>
          <t>DALARNAS LÄN</t>
        </is>
      </c>
      <c r="G84" t="inlineStr">
        <is>
          <t>MORA</t>
        </is>
      </c>
      <c r="I84" t="n">
        <v>4</v>
      </c>
      <c r="J84" t="n">
        <v>0</v>
      </c>
      <c r="K84" t="n">
        <v>0</v>
      </c>
      <c r="L84" t="n">
        <v>1</v>
      </c>
      <c r="M84" t="n">
        <v>1</v>
      </c>
      <c r="N84" t="n">
        <v>0</v>
      </c>
      <c r="O84" t="n">
        <v>0</v>
      </c>
      <c r="P84" t="n">
        <v>0</v>
      </c>
      <c r="Q84" t="n">
        <v>2</v>
      </c>
      <c r="R84" t="n">
        <v>1</v>
      </c>
      <c r="S84" t="n">
        <v>2</v>
      </c>
      <c r="T84" t="n">
        <v>2</v>
      </c>
      <c r="U84" s="2" t="inlineStr">
        <is>
          <t>Garnlav
Tallticka</t>
        </is>
      </c>
      <c r="V84">
        <f>HYPERLINK("https://klasma.github.io/Logging_2062/artfynd/A 37552-2023 artfynd.xlsx", "A 37552-2023")</f>
        <v/>
      </c>
      <c r="W84">
        <f>HYPERLINK("https://klasma.github.io/Logging_2062/kartor/A 37552-2023 karta.png", "A 37552-2023")</f>
        <v/>
      </c>
      <c r="Y84">
        <f>HYPERLINK("https://klasma.github.io/Logging_2062/klagomål/A 37552-2023 FSC-klagomål.docx", "A 37552-2023")</f>
        <v/>
      </c>
      <c r="Z84">
        <f>HYPERLINK("https://klasma.github.io/Logging_2062/klagomålsmail/A 37552-2023 FSC-klagomål mail.docx", "A 37552-2023")</f>
        <v/>
      </c>
      <c r="AA84">
        <f>HYPERLINK("https://klasma.github.io/Logging_2062/tillsyn/A 37552-2023 tillsynsbegäran.docx", "A 37552-2023")</f>
        <v/>
      </c>
      <c r="AB84">
        <f>HYPERLINK("https://klasma.github.io/Logging_2062/tillsynsmail/A 37552-2023 tillsynsbegäran mail.docx", "A 37552-2023")</f>
        <v/>
      </c>
    </row>
    <row r="85" ht="15" customHeight="1">
      <c r="A85" t="inlineStr">
        <is>
          <t>A 17163-2025</t>
        </is>
      </c>
      <c r="B85" t="inlineStr">
        <is>
          <t>avverkningsanmälan</t>
        </is>
      </c>
      <c r="C85" t="inlineStr">
        <is>
          <t>Föryngringsavverkning</t>
        </is>
      </c>
      <c r="D85" s="1" t="n">
        <v>45756</v>
      </c>
      <c r="E85" s="1" t="n">
        <v>46220</v>
      </c>
      <c r="F85" t="inlineStr">
        <is>
          <t>DALARNAS LÄN</t>
        </is>
      </c>
      <c r="G85" t="inlineStr">
        <is>
          <t>MORA</t>
        </is>
      </c>
      <c r="H85" t="inlineStr">
        <is>
          <t>Bergvik skog öst AB</t>
        </is>
      </c>
      <c r="I85" t="n">
        <v>0.5</v>
      </c>
      <c r="J85" t="n">
        <v>0</v>
      </c>
      <c r="K85" t="n">
        <v>1</v>
      </c>
      <c r="L85" t="n">
        <v>0</v>
      </c>
      <c r="M85" t="n">
        <v>1</v>
      </c>
      <c r="N85" t="n">
        <v>0</v>
      </c>
      <c r="O85" t="n">
        <v>0</v>
      </c>
      <c r="P85" t="n">
        <v>0</v>
      </c>
      <c r="Q85" t="n">
        <v>1</v>
      </c>
      <c r="R85" t="n">
        <v>1</v>
      </c>
      <c r="S85" t="n">
        <v>2</v>
      </c>
      <c r="T85" t="n">
        <v>2</v>
      </c>
      <c r="U85" s="2" t="inlineStr">
        <is>
          <t>Garnlav
Bronshjon</t>
        </is>
      </c>
      <c r="V85">
        <f>HYPERLINK("https://klasma.github.io/Logging_2062/artfynd/A 17163-2025 artfynd.xlsx", "A 17163-2025")</f>
        <v/>
      </c>
      <c r="W85">
        <f>HYPERLINK("https://klasma.github.io/Logging_2062/kartor/A 17163-2025 karta.png", "A 17163-2025")</f>
        <v/>
      </c>
      <c r="Y85">
        <f>HYPERLINK("https://klasma.github.io/Logging_2062/klagomål/A 17163-2025 FSC-klagomål.docx", "A 17163-2025")</f>
        <v/>
      </c>
      <c r="Z85">
        <f>HYPERLINK("https://klasma.github.io/Logging_2062/klagomålsmail/A 17163-2025 FSC-klagomål mail.docx", "A 17163-2025")</f>
        <v/>
      </c>
      <c r="AA85">
        <f>HYPERLINK("https://klasma.github.io/Logging_2062/tillsyn/A 17163-2025 tillsynsbegäran.docx", "A 17163-2025")</f>
        <v/>
      </c>
      <c r="AB85">
        <f>HYPERLINK("https://klasma.github.io/Logging_2062/tillsynsmail/A 17163-2025 tillsynsbegäran mail.docx", "A 17163-2025")</f>
        <v/>
      </c>
    </row>
    <row r="86" ht="15" customHeight="1">
      <c r="A86" t="inlineStr">
        <is>
          <t>A 29123-2026</t>
        </is>
      </c>
      <c r="B86" t="inlineStr">
        <is>
          <t>avverkningsanmälan</t>
        </is>
      </c>
      <c r="C86" t="inlineStr">
        <is>
          <t>Föryngringsavverkning</t>
        </is>
      </c>
      <c r="D86" s="1" t="n">
        <v>46202</v>
      </c>
      <c r="E86" s="1" t="n">
        <v>46220</v>
      </c>
      <c r="F86" t="inlineStr">
        <is>
          <t>DALARNAS LÄN</t>
        </is>
      </c>
      <c r="G86" t="inlineStr">
        <is>
          <t>MORA</t>
        </is>
      </c>
      <c r="I86" t="n">
        <v>1.6</v>
      </c>
      <c r="J86" t="n">
        <v>0</v>
      </c>
      <c r="K86" t="n">
        <v>0</v>
      </c>
      <c r="L86" t="n">
        <v>1</v>
      </c>
      <c r="M86" t="n">
        <v>1</v>
      </c>
      <c r="N86" t="n">
        <v>0</v>
      </c>
      <c r="O86" t="n">
        <v>0</v>
      </c>
      <c r="P86" t="n">
        <v>0</v>
      </c>
      <c r="Q86" t="n">
        <v>2</v>
      </c>
      <c r="R86" t="n">
        <v>1</v>
      </c>
      <c r="S86" t="n">
        <v>2</v>
      </c>
      <c r="T86" t="n">
        <v>3</v>
      </c>
      <c r="U86" s="2" t="inlineStr">
        <is>
          <t>Garnlav
Mörk kolflarnlav</t>
        </is>
      </c>
      <c r="V86">
        <f>HYPERLINK("https://klasma.github.io/Logging_2062/artfynd/A 29123-2026 artfynd.xlsx", "A 29123-2026")</f>
        <v/>
      </c>
      <c r="W86">
        <f>HYPERLINK("https://klasma.github.io/Logging_2062/kartor/A 29123-2026 karta.png", "A 29123-2026")</f>
        <v/>
      </c>
      <c r="Y86">
        <f>HYPERLINK("https://klasma.github.io/Logging_2062/klagomål/A 29123-2026 FSC-klagomål.docx", "A 29123-2026")</f>
        <v/>
      </c>
      <c r="Z86">
        <f>HYPERLINK("https://klasma.github.io/Logging_2062/klagomålsmail/A 29123-2026 FSC-klagomål mail.docx", "A 29123-2026")</f>
        <v/>
      </c>
      <c r="AA86">
        <f>HYPERLINK("https://klasma.github.io/Logging_2062/tillsyn/A 29123-2026 tillsynsbegäran.docx", "A 29123-2026")</f>
        <v/>
      </c>
      <c r="AB86">
        <f>HYPERLINK("https://klasma.github.io/Logging_2062/tillsynsmail/A 29123-2026 tillsynsbegäran mail.docx", "A 29123-2026")</f>
        <v/>
      </c>
    </row>
    <row r="87" ht="15" customHeight="1">
      <c r="A87" t="inlineStr">
        <is>
          <t>A 23261-2026</t>
        </is>
      </c>
      <c r="B87" t="inlineStr">
        <is>
          <t>avverkningsanmälan</t>
        </is>
      </c>
      <c r="C87" t="inlineStr">
        <is>
          <t>Föryngringsavverkning</t>
        </is>
      </c>
      <c r="D87" s="1" t="n">
        <v>46162</v>
      </c>
      <c r="E87" s="1" t="n">
        <v>46220</v>
      </c>
      <c r="F87" t="inlineStr">
        <is>
          <t>DALARNAS LÄN</t>
        </is>
      </c>
      <c r="G87" t="inlineStr">
        <is>
          <t>MORA</t>
        </is>
      </c>
      <c r="I87" t="n">
        <v>4.1</v>
      </c>
      <c r="J87" t="n">
        <v>0</v>
      </c>
      <c r="K87" t="n">
        <v>0</v>
      </c>
      <c r="L87" t="n">
        <v>1</v>
      </c>
      <c r="M87" t="n">
        <v>1</v>
      </c>
      <c r="N87" t="n">
        <v>0</v>
      </c>
      <c r="O87" t="n">
        <v>0</v>
      </c>
      <c r="P87" t="n">
        <v>0</v>
      </c>
      <c r="Q87" t="n">
        <v>2</v>
      </c>
      <c r="R87" t="n">
        <v>1</v>
      </c>
      <c r="S87" t="n">
        <v>2</v>
      </c>
      <c r="T87" t="n">
        <v>2</v>
      </c>
      <c r="U87" s="2" t="inlineStr">
        <is>
          <t>Garnlav
Tallticka</t>
        </is>
      </c>
      <c r="V87">
        <f>HYPERLINK("https://klasma.github.io/Logging_2062/artfynd/A 23261-2026 artfynd.xlsx", "A 23261-2026")</f>
        <v/>
      </c>
      <c r="W87">
        <f>HYPERLINK("https://klasma.github.io/Logging_2062/kartor/A 23261-2026 karta.png", "A 23261-2026")</f>
        <v/>
      </c>
      <c r="Y87">
        <f>HYPERLINK("https://klasma.github.io/Logging_2062/klagomål/A 23261-2026 FSC-klagomål.docx", "A 23261-2026")</f>
        <v/>
      </c>
      <c r="Z87">
        <f>HYPERLINK("https://klasma.github.io/Logging_2062/klagomålsmail/A 23261-2026 FSC-klagomål mail.docx", "A 23261-2026")</f>
        <v/>
      </c>
      <c r="AA87">
        <f>HYPERLINK("https://klasma.github.io/Logging_2062/tillsyn/A 23261-2026 tillsynsbegäran.docx", "A 23261-2026")</f>
        <v/>
      </c>
      <c r="AB87">
        <f>HYPERLINK("https://klasma.github.io/Logging_2062/tillsynsmail/A 23261-2026 tillsynsbegäran mail.docx", "A 23261-2026")</f>
        <v/>
      </c>
    </row>
    <row r="88" ht="15" customHeight="1">
      <c r="A88" t="inlineStr">
        <is>
          <t>A 42391-2023</t>
        </is>
      </c>
      <c r="B88" t="inlineStr">
        <is>
          <t>avverkningsanmälan</t>
        </is>
      </c>
      <c r="C88" t="inlineStr">
        <is>
          <t>Avverkning för annat ändamål</t>
        </is>
      </c>
      <c r="D88" s="1" t="n">
        <v>45180</v>
      </c>
      <c r="E88" s="1" t="n">
        <v>46220</v>
      </c>
      <c r="F88" t="inlineStr">
        <is>
          <t>DALARNAS LÄN</t>
        </is>
      </c>
      <c r="G88" t="inlineStr">
        <is>
          <t>MORA</t>
        </is>
      </c>
      <c r="H88" t="inlineStr">
        <is>
          <t>Kommuner</t>
        </is>
      </c>
      <c r="I88" t="n">
        <v>0.3</v>
      </c>
      <c r="J88" t="n">
        <v>0</v>
      </c>
      <c r="K88" t="n">
        <v>2</v>
      </c>
      <c r="L88" t="n">
        <v>0</v>
      </c>
      <c r="M88" t="n">
        <v>0</v>
      </c>
      <c r="N88" t="n">
        <v>0</v>
      </c>
      <c r="O88" t="n">
        <v>0</v>
      </c>
      <c r="P88" t="n">
        <v>0</v>
      </c>
      <c r="Q88" t="n">
        <v>0</v>
      </c>
      <c r="R88" t="n">
        <v>0</v>
      </c>
      <c r="S88" t="n">
        <v>2</v>
      </c>
      <c r="T88" t="n">
        <v>2</v>
      </c>
      <c r="U88" s="2" t="inlineStr">
        <is>
          <t>Grön jordtunga
Sotriska</t>
        </is>
      </c>
      <c r="V88">
        <f>HYPERLINK("https://klasma.github.io/Logging_2062/artfynd/A 42391-2023 artfynd.xlsx", "A 42391-2023")</f>
        <v/>
      </c>
      <c r="W88">
        <f>HYPERLINK("https://klasma.github.io/Logging_2062/kartor/A 42391-2023 karta.png", "A 42391-2023")</f>
        <v/>
      </c>
      <c r="Y88">
        <f>HYPERLINK("https://klasma.github.io/Logging_2062/klagomål/A 42391-2023 FSC-klagomål.docx", "A 42391-2023")</f>
        <v/>
      </c>
      <c r="Z88">
        <f>HYPERLINK("https://klasma.github.io/Logging_2062/klagomålsmail/A 42391-2023 FSC-klagomål mail.docx", "A 42391-2023")</f>
        <v/>
      </c>
      <c r="AA88">
        <f>HYPERLINK("https://klasma.github.io/Logging_2062/tillsyn/A 42391-2023 tillsynsbegäran.docx", "A 42391-2023")</f>
        <v/>
      </c>
      <c r="AB88">
        <f>HYPERLINK("https://klasma.github.io/Logging_2062/tillsynsmail/A 42391-2023 tillsynsbegäran mail.docx", "A 42391-2023")</f>
        <v/>
      </c>
    </row>
    <row r="89" ht="15" customHeight="1">
      <c r="A89" t="inlineStr">
        <is>
          <t>A 13717-2023</t>
        </is>
      </c>
      <c r="B89" t="inlineStr">
        <is>
          <t>avverkningsanmälan</t>
        </is>
      </c>
      <c r="C89" t="inlineStr">
        <is>
          <t>Avverkning för annat ändamål</t>
        </is>
      </c>
      <c r="D89" s="1" t="n">
        <v>45007</v>
      </c>
      <c r="E89" s="1" t="n">
        <v>46220</v>
      </c>
      <c r="F89" t="inlineStr">
        <is>
          <t>DALARNAS LÄN</t>
        </is>
      </c>
      <c r="G89" t="inlineStr">
        <is>
          <t>MORA</t>
        </is>
      </c>
      <c r="I89" t="n">
        <v>5.6</v>
      </c>
      <c r="J89" t="n">
        <v>1</v>
      </c>
      <c r="K89" t="n">
        <v>0</v>
      </c>
      <c r="L89" t="n">
        <v>1</v>
      </c>
      <c r="M89" t="n">
        <v>1</v>
      </c>
      <c r="N89" t="n">
        <v>0</v>
      </c>
      <c r="O89" t="n">
        <v>0</v>
      </c>
      <c r="P89" t="n">
        <v>0</v>
      </c>
      <c r="Q89" t="n">
        <v>2</v>
      </c>
      <c r="R89" t="n">
        <v>1</v>
      </c>
      <c r="S89" t="n">
        <v>2</v>
      </c>
      <c r="T89" t="n">
        <v>2</v>
      </c>
      <c r="U89" s="2" t="inlineStr">
        <is>
          <t>Knärot
Slåtterfibbla</t>
        </is>
      </c>
      <c r="V89">
        <f>HYPERLINK("https://klasma.github.io/Logging_2062/artfynd/A 13717-2023 artfynd.xlsx", "A 13717-2023")</f>
        <v/>
      </c>
      <c r="W89">
        <f>HYPERLINK("https://klasma.github.io/Logging_2062/kartor/A 13717-2023 karta.png", "A 13717-2023")</f>
        <v/>
      </c>
      <c r="X89">
        <f>HYPERLINK("https://klasma.github.io/Logging_2062/knärot/A 13717-2023 karta knärot.png", "A 13717-2023")</f>
        <v/>
      </c>
      <c r="Y89">
        <f>HYPERLINK("https://klasma.github.io/Logging_2062/klagomål/A 13717-2023 FSC-klagomål.docx", "A 13717-2023")</f>
        <v/>
      </c>
      <c r="Z89">
        <f>HYPERLINK("https://klasma.github.io/Logging_2062/klagomålsmail/A 13717-2023 FSC-klagomål mail.docx", "A 13717-2023")</f>
        <v/>
      </c>
      <c r="AA89">
        <f>HYPERLINK("https://klasma.github.io/Logging_2062/tillsyn/A 13717-2023 tillsynsbegäran.docx", "A 13717-2023")</f>
        <v/>
      </c>
      <c r="AB89">
        <f>HYPERLINK("https://klasma.github.io/Logging_2062/tillsynsmail/A 13717-2023 tillsynsbegäran mail.docx", "A 13717-2023")</f>
        <v/>
      </c>
    </row>
    <row r="90" ht="15" customHeight="1">
      <c r="A90" t="inlineStr">
        <is>
          <t>A 25749-2023</t>
        </is>
      </c>
      <c r="B90" t="inlineStr">
        <is>
          <t>avverkningsanmälan</t>
        </is>
      </c>
      <c r="C90" t="inlineStr">
        <is>
          <t>Föryngringsavverkning</t>
        </is>
      </c>
      <c r="D90" s="1" t="n">
        <v>45090</v>
      </c>
      <c r="E90" s="1" t="n">
        <v>46220</v>
      </c>
      <c r="F90" t="inlineStr">
        <is>
          <t>DALARNAS LÄN</t>
        </is>
      </c>
      <c r="G90" t="inlineStr">
        <is>
          <t>MORA</t>
        </is>
      </c>
      <c r="I90" t="n">
        <v>2.4</v>
      </c>
      <c r="J90" t="n">
        <v>0</v>
      </c>
      <c r="K90" t="n">
        <v>0</v>
      </c>
      <c r="L90" t="n">
        <v>2</v>
      </c>
      <c r="M90" t="n">
        <v>0</v>
      </c>
      <c r="N90" t="n">
        <v>0</v>
      </c>
      <c r="O90" t="n">
        <v>0</v>
      </c>
      <c r="P90" t="n">
        <v>0</v>
      </c>
      <c r="Q90" t="n">
        <v>2</v>
      </c>
      <c r="R90" t="n">
        <v>0</v>
      </c>
      <c r="S90" t="n">
        <v>2</v>
      </c>
      <c r="T90" t="n">
        <v>2</v>
      </c>
      <c r="U90" s="2" t="inlineStr">
        <is>
          <t>Blå taggsvamp
Orange taggsvamp</t>
        </is>
      </c>
      <c r="V90">
        <f>HYPERLINK("https://klasma.github.io/Logging_2062/artfynd/A 25749-2023 artfynd.xlsx", "A 25749-2023")</f>
        <v/>
      </c>
      <c r="W90">
        <f>HYPERLINK("https://klasma.github.io/Logging_2062/kartor/A 25749-2023 karta.png", "A 25749-2023")</f>
        <v/>
      </c>
      <c r="Y90">
        <f>HYPERLINK("https://klasma.github.io/Logging_2062/klagomål/A 25749-2023 FSC-klagomål.docx", "A 25749-2023")</f>
        <v/>
      </c>
      <c r="Z90">
        <f>HYPERLINK("https://klasma.github.io/Logging_2062/klagomålsmail/A 25749-2023 FSC-klagomål mail.docx", "A 25749-2023")</f>
        <v/>
      </c>
      <c r="AA90">
        <f>HYPERLINK("https://klasma.github.io/Logging_2062/tillsyn/A 25749-2023 tillsynsbegäran.docx", "A 25749-2023")</f>
        <v/>
      </c>
      <c r="AB90">
        <f>HYPERLINK("https://klasma.github.io/Logging_2062/tillsynsmail/A 25749-2023 tillsynsbegäran mail.docx", "A 25749-2023")</f>
        <v/>
      </c>
    </row>
    <row r="91" ht="15" customHeight="1">
      <c r="A91" t="inlineStr">
        <is>
          <t>A 20538-2025</t>
        </is>
      </c>
      <c r="B91" t="inlineStr">
        <is>
          <t>avverkningsanmälan</t>
        </is>
      </c>
      <c r="C91" t="inlineStr">
        <is>
          <t>Föryngringsavverkning</t>
        </is>
      </c>
      <c r="D91" s="1" t="n">
        <v>45775</v>
      </c>
      <c r="E91" s="1" t="n">
        <v>46220</v>
      </c>
      <c r="F91" t="inlineStr">
        <is>
          <t>DALARNAS LÄN</t>
        </is>
      </c>
      <c r="G91" t="inlineStr">
        <is>
          <t>MORA</t>
        </is>
      </c>
      <c r="I91" t="n">
        <v>0.9</v>
      </c>
      <c r="J91" t="n">
        <v>0</v>
      </c>
      <c r="K91" t="n">
        <v>1</v>
      </c>
      <c r="L91" t="n">
        <v>0</v>
      </c>
      <c r="M91" t="n">
        <v>1</v>
      </c>
      <c r="N91" t="n">
        <v>0</v>
      </c>
      <c r="O91" t="n">
        <v>0</v>
      </c>
      <c r="P91" t="n">
        <v>0</v>
      </c>
      <c r="Q91" t="n">
        <v>1</v>
      </c>
      <c r="R91" t="n">
        <v>1</v>
      </c>
      <c r="S91" t="n">
        <v>2</v>
      </c>
      <c r="T91" t="n">
        <v>4</v>
      </c>
      <c r="U91" s="2" t="inlineStr">
        <is>
          <t>Garnlav
Mindre märgborre</t>
        </is>
      </c>
      <c r="V91">
        <f>HYPERLINK("https://klasma.github.io/Logging_2062/artfynd/A 20538-2025 artfynd.xlsx", "A 20538-2025")</f>
        <v/>
      </c>
      <c r="W91">
        <f>HYPERLINK("https://klasma.github.io/Logging_2062/kartor/A 20538-2025 karta.png", "A 20538-2025")</f>
        <v/>
      </c>
      <c r="Y91">
        <f>HYPERLINK("https://klasma.github.io/Logging_2062/klagomål/A 20538-2025 FSC-klagomål.docx", "A 20538-2025")</f>
        <v/>
      </c>
      <c r="Z91">
        <f>HYPERLINK("https://klasma.github.io/Logging_2062/klagomålsmail/A 20538-2025 FSC-klagomål mail.docx", "A 20538-2025")</f>
        <v/>
      </c>
      <c r="AA91">
        <f>HYPERLINK("https://klasma.github.io/Logging_2062/tillsyn/A 20538-2025 tillsynsbegäran.docx", "A 20538-2025")</f>
        <v/>
      </c>
      <c r="AB91">
        <f>HYPERLINK("https://klasma.github.io/Logging_2062/tillsynsmail/A 20538-2025 tillsynsbegäran mail.docx", "A 20538-2025")</f>
        <v/>
      </c>
    </row>
    <row r="92" ht="15" customHeight="1">
      <c r="A92" t="inlineStr">
        <is>
          <t>S 567-2022</t>
        </is>
      </c>
      <c r="B92" t="inlineStr">
        <is>
          <t>samrådsanmälan</t>
        </is>
      </c>
      <c r="C92" t="inlineStr">
        <is>
          <t>Skogsgödsling</t>
        </is>
      </c>
      <c r="D92" s="1" t="n">
        <v>44589</v>
      </c>
      <c r="E92" s="1" t="n">
        <v>46220</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46220</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44307-2021</t>
        </is>
      </c>
      <c r="B94" t="inlineStr">
        <is>
          <t>avverkningsanmälan</t>
        </is>
      </c>
      <c r="C94" t="inlineStr">
        <is>
          <t>Föryngringsavverkning</t>
        </is>
      </c>
      <c r="D94" s="1" t="n">
        <v>44435</v>
      </c>
      <c r="E94" s="1" t="n">
        <v>46220</v>
      </c>
      <c r="F94" t="inlineStr">
        <is>
          <t>DALARNAS LÄN</t>
        </is>
      </c>
      <c r="G94" t="inlineStr">
        <is>
          <t>MORA</t>
        </is>
      </c>
      <c r="I94" t="n">
        <v>1.2</v>
      </c>
      <c r="J94" t="n">
        <v>0</v>
      </c>
      <c r="K94" t="n">
        <v>0</v>
      </c>
      <c r="L94" t="n">
        <v>1</v>
      </c>
      <c r="M94" t="n">
        <v>0</v>
      </c>
      <c r="N94" t="n">
        <v>0</v>
      </c>
      <c r="O94" t="n">
        <v>0</v>
      </c>
      <c r="P94" t="n">
        <v>0</v>
      </c>
      <c r="Q94" t="n">
        <v>1</v>
      </c>
      <c r="R94" t="n">
        <v>0</v>
      </c>
      <c r="S94" t="n">
        <v>1</v>
      </c>
      <c r="T94" t="n">
        <v>1</v>
      </c>
      <c r="U94" s="2" t="inlineStr">
        <is>
          <t>Grentaggsvamp</t>
        </is>
      </c>
      <c r="V94">
        <f>HYPERLINK("https://klasma.github.io/Logging_2062/artfynd/A 44307-2021 artfynd.xlsx", "A 44307-2021")</f>
        <v/>
      </c>
      <c r="W94">
        <f>HYPERLINK("https://klasma.github.io/Logging_2062/kartor/A 44307-2021 karta.png", "A 44307-2021")</f>
        <v/>
      </c>
      <c r="Y94">
        <f>HYPERLINK("https://klasma.github.io/Logging_2062/klagomål/A 44307-2021 FSC-klagomål.docx", "A 44307-2021")</f>
        <v/>
      </c>
      <c r="Z94">
        <f>HYPERLINK("https://klasma.github.io/Logging_2062/klagomålsmail/A 44307-2021 FSC-klagomål mail.docx", "A 44307-2021")</f>
        <v/>
      </c>
      <c r="AA94">
        <f>HYPERLINK("https://klasma.github.io/Logging_2062/tillsyn/A 44307-2021 tillsynsbegäran.docx", "A 44307-2021")</f>
        <v/>
      </c>
      <c r="AB94">
        <f>HYPERLINK("https://klasma.github.io/Logging_2062/tillsynsmail/A 44307-2021 tillsynsbegäran mail.docx", "A 44307-2021")</f>
        <v/>
      </c>
    </row>
    <row r="95" ht="15" customHeight="1">
      <c r="A95" t="inlineStr">
        <is>
          <t>A 665-2026</t>
        </is>
      </c>
      <c r="B95" t="inlineStr">
        <is>
          <t>avverkningsanmälan</t>
        </is>
      </c>
      <c r="C95" t="inlineStr">
        <is>
          <t>Föryngringsavverkning</t>
        </is>
      </c>
      <c r="D95" s="1" t="n">
        <v>46029</v>
      </c>
      <c r="E95" s="1" t="n">
        <v>46220</v>
      </c>
      <c r="F95" t="inlineStr">
        <is>
          <t>DALARNAS LÄN</t>
        </is>
      </c>
      <c r="G95" t="inlineStr">
        <is>
          <t>MORA</t>
        </is>
      </c>
      <c r="H95" t="inlineStr">
        <is>
          <t>Kommuner</t>
        </is>
      </c>
      <c r="I95" t="n">
        <v>20.9</v>
      </c>
      <c r="J95" t="n">
        <v>1</v>
      </c>
      <c r="K95" t="n">
        <v>0</v>
      </c>
      <c r="L95" t="n">
        <v>0</v>
      </c>
      <c r="M95" t="n">
        <v>0</v>
      </c>
      <c r="N95" t="n">
        <v>0</v>
      </c>
      <c r="O95" t="n">
        <v>0</v>
      </c>
      <c r="P95" t="n">
        <v>0</v>
      </c>
      <c r="Q95" t="n">
        <v>0</v>
      </c>
      <c r="R95" t="n">
        <v>0</v>
      </c>
      <c r="S95" t="n">
        <v>1</v>
      </c>
      <c r="T95" t="n">
        <v>1</v>
      </c>
      <c r="U95" s="2" t="inlineStr">
        <is>
          <t>Fläcknycklar</t>
        </is>
      </c>
      <c r="V95">
        <f>HYPERLINK("https://klasma.github.io/Logging_2062/artfynd/A 665-2026 artfynd.xlsx", "A 665-2026")</f>
        <v/>
      </c>
      <c r="W95">
        <f>HYPERLINK("https://klasma.github.io/Logging_2062/kartor/A 665-2026 karta.png", "A 665-2026")</f>
        <v/>
      </c>
      <c r="Y95">
        <f>HYPERLINK("https://klasma.github.io/Logging_2062/klagomål/A 665-2026 FSC-klagomål.docx", "A 665-2026")</f>
        <v/>
      </c>
      <c r="Z95">
        <f>HYPERLINK("https://klasma.github.io/Logging_2062/klagomålsmail/A 665-2026 FSC-klagomål mail.docx", "A 665-2026")</f>
        <v/>
      </c>
      <c r="AA95">
        <f>HYPERLINK("https://klasma.github.io/Logging_2062/tillsyn/A 665-2026 tillsynsbegäran.docx", "A 665-2026")</f>
        <v/>
      </c>
      <c r="AB95">
        <f>HYPERLINK("https://klasma.github.io/Logging_2062/tillsynsmail/A 665-2026 tillsynsbegäran mail.docx", "A 665-2026")</f>
        <v/>
      </c>
    </row>
    <row r="96" ht="15" customHeight="1">
      <c r="A96" t="inlineStr">
        <is>
          <t>A 5304-2023</t>
        </is>
      </c>
      <c r="B96" t="inlineStr">
        <is>
          <t>avverkningsanmälan</t>
        </is>
      </c>
      <c r="C96" t="inlineStr">
        <is>
          <t>Föryngringsavverkning</t>
        </is>
      </c>
      <c r="D96" s="1" t="n">
        <v>44959</v>
      </c>
      <c r="E96" s="1" t="n">
        <v>46220</v>
      </c>
      <c r="F96" t="inlineStr">
        <is>
          <t>DALARNAS LÄN</t>
        </is>
      </c>
      <c r="G96" t="inlineStr">
        <is>
          <t>MORA</t>
        </is>
      </c>
      <c r="H96" t="inlineStr">
        <is>
          <t>Bergvik skog väst AB</t>
        </is>
      </c>
      <c r="I96" t="n">
        <v>7.3</v>
      </c>
      <c r="J96" t="n">
        <v>0</v>
      </c>
      <c r="K96" t="n">
        <v>0</v>
      </c>
      <c r="L96" t="n">
        <v>1</v>
      </c>
      <c r="M96" t="n">
        <v>0</v>
      </c>
      <c r="N96" t="n">
        <v>0</v>
      </c>
      <c r="O96" t="n">
        <v>0</v>
      </c>
      <c r="P96" t="n">
        <v>0</v>
      </c>
      <c r="Q96" t="n">
        <v>1</v>
      </c>
      <c r="R96" t="n">
        <v>0</v>
      </c>
      <c r="S96" t="n">
        <v>1</v>
      </c>
      <c r="T96" t="n">
        <v>1</v>
      </c>
      <c r="U96" s="2" t="inlineStr">
        <is>
          <t>Backruta</t>
        </is>
      </c>
      <c r="V96">
        <f>HYPERLINK("https://klasma.github.io/Logging_2062/artfynd/A 5304-2023 artfynd.xlsx", "A 5304-2023")</f>
        <v/>
      </c>
      <c r="W96">
        <f>HYPERLINK("https://klasma.github.io/Logging_2062/kartor/A 5304-2023 karta.png", "A 5304-2023")</f>
        <v/>
      </c>
      <c r="Y96">
        <f>HYPERLINK("https://klasma.github.io/Logging_2062/klagomål/A 5304-2023 FSC-klagomål.docx", "A 5304-2023")</f>
        <v/>
      </c>
      <c r="Z96">
        <f>HYPERLINK("https://klasma.github.io/Logging_2062/klagomålsmail/A 5304-2023 FSC-klagomål mail.docx", "A 5304-2023")</f>
        <v/>
      </c>
      <c r="AA96">
        <f>HYPERLINK("https://klasma.github.io/Logging_2062/tillsyn/A 5304-2023 tillsynsbegäran.docx", "A 5304-2023")</f>
        <v/>
      </c>
      <c r="AB96">
        <f>HYPERLINK("https://klasma.github.io/Logging_2062/tillsynsmail/A 5304-2023 tillsynsbegäran mail.docx", "A 5304-2023")</f>
        <v/>
      </c>
    </row>
    <row r="97" ht="15" customHeight="1">
      <c r="A97" t="inlineStr">
        <is>
          <t>A 27113-2024</t>
        </is>
      </c>
      <c r="B97" t="inlineStr">
        <is>
          <t>avverkningsanmälan</t>
        </is>
      </c>
      <c r="C97" t="inlineStr">
        <is>
          <t>Föryngringsavverkning</t>
        </is>
      </c>
      <c r="D97" s="1" t="n">
        <v>45471</v>
      </c>
      <c r="E97" s="1" t="n">
        <v>46220</v>
      </c>
      <c r="F97" t="inlineStr">
        <is>
          <t>DALARNAS LÄN</t>
        </is>
      </c>
      <c r="G97" t="inlineStr">
        <is>
          <t>MORA</t>
        </is>
      </c>
      <c r="I97" t="n">
        <v>10.3</v>
      </c>
      <c r="J97" t="n">
        <v>0</v>
      </c>
      <c r="K97" t="n">
        <v>1</v>
      </c>
      <c r="L97" t="n">
        <v>0</v>
      </c>
      <c r="M97" t="n">
        <v>0</v>
      </c>
      <c r="N97" t="n">
        <v>0</v>
      </c>
      <c r="O97" t="n">
        <v>0</v>
      </c>
      <c r="P97" t="n">
        <v>0</v>
      </c>
      <c r="Q97" t="n">
        <v>0</v>
      </c>
      <c r="R97" t="n">
        <v>0</v>
      </c>
      <c r="S97" t="n">
        <v>1</v>
      </c>
      <c r="T97" t="n">
        <v>1</v>
      </c>
      <c r="U97" s="2" t="inlineStr">
        <is>
          <t>Stor aspticka</t>
        </is>
      </c>
      <c r="V97">
        <f>HYPERLINK("https://klasma.github.io/Logging_2062/artfynd/A 27113-2024 artfynd.xlsx", "A 27113-2024")</f>
        <v/>
      </c>
      <c r="W97">
        <f>HYPERLINK("https://klasma.github.io/Logging_2062/kartor/A 27113-2024 karta.png", "A 27113-2024")</f>
        <v/>
      </c>
      <c r="Y97">
        <f>HYPERLINK("https://klasma.github.io/Logging_2062/klagomål/A 27113-2024 FSC-klagomål.docx", "A 27113-2024")</f>
        <v/>
      </c>
      <c r="Z97">
        <f>HYPERLINK("https://klasma.github.io/Logging_2062/klagomålsmail/A 27113-2024 FSC-klagomål mail.docx", "A 27113-2024")</f>
        <v/>
      </c>
      <c r="AA97">
        <f>HYPERLINK("https://klasma.github.io/Logging_2062/tillsyn/A 27113-2024 tillsynsbegäran.docx", "A 27113-2024")</f>
        <v/>
      </c>
      <c r="AB97">
        <f>HYPERLINK("https://klasma.github.io/Logging_2062/tillsynsmail/A 27113-2024 tillsynsbegäran mail.docx", "A 27113-2024")</f>
        <v/>
      </c>
    </row>
    <row r="98" ht="15" customHeight="1">
      <c r="A98" t="inlineStr">
        <is>
          <t>A 30087-2025</t>
        </is>
      </c>
      <c r="B98" t="inlineStr">
        <is>
          <t>avverkningsanmälan</t>
        </is>
      </c>
      <c r="C98" t="inlineStr">
        <is>
          <t>Föryngringsavverkning</t>
        </is>
      </c>
      <c r="D98" s="1" t="n">
        <v>45826</v>
      </c>
      <c r="E98" s="1" t="n">
        <v>46220</v>
      </c>
      <c r="F98" t="inlineStr">
        <is>
          <t>DALARNAS LÄN</t>
        </is>
      </c>
      <c r="G98" t="inlineStr">
        <is>
          <t>MORA</t>
        </is>
      </c>
      <c r="I98" t="n">
        <v>1.6</v>
      </c>
      <c r="J98" t="n">
        <v>1</v>
      </c>
      <c r="K98" t="n">
        <v>0</v>
      </c>
      <c r="L98" t="n">
        <v>0</v>
      </c>
      <c r="M98" t="n">
        <v>0</v>
      </c>
      <c r="N98" t="n">
        <v>0</v>
      </c>
      <c r="O98" t="n">
        <v>0</v>
      </c>
      <c r="P98" t="n">
        <v>0</v>
      </c>
      <c r="Q98" t="n">
        <v>0</v>
      </c>
      <c r="R98" t="n">
        <v>0</v>
      </c>
      <c r="S98" t="n">
        <v>1</v>
      </c>
      <c r="T98" t="n">
        <v>1</v>
      </c>
      <c r="U98" s="2" t="inlineStr">
        <is>
          <t>Slaguggla</t>
        </is>
      </c>
      <c r="V98">
        <f>HYPERLINK("https://klasma.github.io/Logging_2062/artfynd/A 30087-2025 artfynd.xlsx", "A 30087-2025")</f>
        <v/>
      </c>
      <c r="W98">
        <f>HYPERLINK("https://klasma.github.io/Logging_2062/kartor/A 30087-2025 karta.png", "A 30087-2025")</f>
        <v/>
      </c>
      <c r="Y98">
        <f>HYPERLINK("https://klasma.github.io/Logging_2062/klagomål/A 30087-2025 FSC-klagomål.docx", "A 30087-2025")</f>
        <v/>
      </c>
      <c r="Z98">
        <f>HYPERLINK("https://klasma.github.io/Logging_2062/klagomålsmail/A 30087-2025 FSC-klagomål mail.docx", "A 30087-2025")</f>
        <v/>
      </c>
      <c r="AA98">
        <f>HYPERLINK("https://klasma.github.io/Logging_2062/tillsyn/A 30087-2025 tillsynsbegäran.docx", "A 30087-2025")</f>
        <v/>
      </c>
      <c r="AB98">
        <f>HYPERLINK("https://klasma.github.io/Logging_2062/tillsynsmail/A 30087-2025 tillsynsbegäran mail.docx", "A 30087-2025")</f>
        <v/>
      </c>
      <c r="AC98">
        <f>HYPERLINK("https://klasma.github.io/Logging_2062/fåglar/A 30087-2025 prioriterade fågelarter.docx", "A 30087-2025")</f>
        <v/>
      </c>
    </row>
    <row r="99" ht="15" customHeight="1">
      <c r="A99" t="inlineStr">
        <is>
          <t>A 56460-2022</t>
        </is>
      </c>
      <c r="B99" t="inlineStr">
        <is>
          <t>avverkningsanmälan</t>
        </is>
      </c>
      <c r="C99" t="inlineStr">
        <is>
          <t>Föryngringsavverkning</t>
        </is>
      </c>
      <c r="D99" s="1" t="n">
        <v>44893</v>
      </c>
      <c r="E99" s="1" t="n">
        <v>46220</v>
      </c>
      <c r="F99" t="inlineStr">
        <is>
          <t>DALARNAS LÄN</t>
        </is>
      </c>
      <c r="G99" t="inlineStr">
        <is>
          <t>MORA</t>
        </is>
      </c>
      <c r="I99" t="n">
        <v>2.2</v>
      </c>
      <c r="J99" t="n">
        <v>0</v>
      </c>
      <c r="K99" t="n">
        <v>0</v>
      </c>
      <c r="L99" t="n">
        <v>1</v>
      </c>
      <c r="M99" t="n">
        <v>0</v>
      </c>
      <c r="N99" t="n">
        <v>0</v>
      </c>
      <c r="O99" t="n">
        <v>0</v>
      </c>
      <c r="P99" t="n">
        <v>0</v>
      </c>
      <c r="Q99" t="n">
        <v>1</v>
      </c>
      <c r="R99" t="n">
        <v>0</v>
      </c>
      <c r="S99" t="n">
        <v>1</v>
      </c>
      <c r="T99" t="n">
        <v>1</v>
      </c>
      <c r="U99" s="2" t="inlineStr">
        <is>
          <t>Slåtterfibbla</t>
        </is>
      </c>
      <c r="V99">
        <f>HYPERLINK("https://klasma.github.io/Logging_2062/artfynd/A 56460-2022 artfynd.xlsx", "A 56460-2022")</f>
        <v/>
      </c>
      <c r="W99">
        <f>HYPERLINK("https://klasma.github.io/Logging_2062/kartor/A 56460-2022 karta.png", "A 56460-2022")</f>
        <v/>
      </c>
      <c r="Y99">
        <f>HYPERLINK("https://klasma.github.io/Logging_2062/klagomål/A 56460-2022 FSC-klagomål.docx", "A 56460-2022")</f>
        <v/>
      </c>
      <c r="Z99">
        <f>HYPERLINK("https://klasma.github.io/Logging_2062/klagomålsmail/A 56460-2022 FSC-klagomål mail.docx", "A 56460-2022")</f>
        <v/>
      </c>
      <c r="AA99">
        <f>HYPERLINK("https://klasma.github.io/Logging_2062/tillsyn/A 56460-2022 tillsynsbegäran.docx", "A 56460-2022")</f>
        <v/>
      </c>
      <c r="AB99">
        <f>HYPERLINK("https://klasma.github.io/Logging_2062/tillsynsmail/A 56460-2022 tillsynsbegäran mail.docx", "A 56460-2022")</f>
        <v/>
      </c>
    </row>
    <row r="100" ht="15" customHeight="1">
      <c r="A100" t="inlineStr">
        <is>
          <t>A 68415-2021</t>
        </is>
      </c>
      <c r="B100" t="inlineStr">
        <is>
          <t>avverkningsanmälan</t>
        </is>
      </c>
      <c r="C100" t="inlineStr">
        <is>
          <t>Föryngringsavverkning</t>
        </is>
      </c>
      <c r="D100" s="1" t="n">
        <v>44529</v>
      </c>
      <c r="E100" s="1" t="n">
        <v>46220</v>
      </c>
      <c r="F100" t="inlineStr">
        <is>
          <t>DALARNAS LÄN</t>
        </is>
      </c>
      <c r="G100" t="inlineStr">
        <is>
          <t>MORA</t>
        </is>
      </c>
      <c r="I100" t="n">
        <v>1.2</v>
      </c>
      <c r="J100" t="n">
        <v>1</v>
      </c>
      <c r="K100" t="n">
        <v>0</v>
      </c>
      <c r="L100" t="n">
        <v>1</v>
      </c>
      <c r="M100" t="n">
        <v>0</v>
      </c>
      <c r="N100" t="n">
        <v>0</v>
      </c>
      <c r="O100" t="n">
        <v>0</v>
      </c>
      <c r="P100" t="n">
        <v>0</v>
      </c>
      <c r="Q100" t="n">
        <v>1</v>
      </c>
      <c r="R100" t="n">
        <v>0</v>
      </c>
      <c r="S100" t="n">
        <v>1</v>
      </c>
      <c r="T100" t="n">
        <v>1</v>
      </c>
      <c r="U100" s="2" t="inlineStr">
        <is>
          <t>Sparvuggla</t>
        </is>
      </c>
      <c r="V100">
        <f>HYPERLINK("https://klasma.github.io/Logging_2062/artfynd/A 68415-2021 artfynd.xlsx", "A 68415-2021")</f>
        <v/>
      </c>
      <c r="W100">
        <f>HYPERLINK("https://klasma.github.io/Logging_2062/kartor/A 68415-2021 karta.png", "A 68415-2021")</f>
        <v/>
      </c>
      <c r="Y100">
        <f>HYPERLINK("https://klasma.github.io/Logging_2062/klagomål/A 68415-2021 FSC-klagomål.docx", "A 68415-2021")</f>
        <v/>
      </c>
      <c r="Z100">
        <f>HYPERLINK("https://klasma.github.io/Logging_2062/klagomålsmail/A 68415-2021 FSC-klagomål mail.docx", "A 68415-2021")</f>
        <v/>
      </c>
      <c r="AA100">
        <f>HYPERLINK("https://klasma.github.io/Logging_2062/tillsyn/A 68415-2021 tillsynsbegäran.docx", "A 68415-2021")</f>
        <v/>
      </c>
      <c r="AB100">
        <f>HYPERLINK("https://klasma.github.io/Logging_2062/tillsynsmail/A 68415-2021 tillsynsbegäran mail.docx", "A 68415-2021")</f>
        <v/>
      </c>
      <c r="AC100">
        <f>HYPERLINK("https://klasma.github.io/Logging_2062/fåglar/A 68415-2021 prioriterade fågelarter.docx", "A 68415-2021")</f>
        <v/>
      </c>
    </row>
    <row r="101" ht="15" customHeight="1">
      <c r="A101" t="inlineStr">
        <is>
          <t>A 62096-2025</t>
        </is>
      </c>
      <c r="B101" t="inlineStr">
        <is>
          <t>avverkningsanmälan</t>
        </is>
      </c>
      <c r="C101" t="inlineStr">
        <is>
          <t>Föryngringsavverkning</t>
        </is>
      </c>
      <c r="D101" s="1" t="n">
        <v>46006</v>
      </c>
      <c r="E101" s="1" t="n">
        <v>46220</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HYPERLINK("https://klasma.github.io/Logging_2062/artfynd/A 62096-2025 artfynd.xlsx", "A 62096-2025")</f>
        <v/>
      </c>
      <c r="W101">
        <f>HYPERLINK("https://klasma.github.io/Logging_2062/kartor/A 62096-2025 karta.png", "A 62096-2025")</f>
        <v/>
      </c>
      <c r="Y101">
        <f>HYPERLINK("https://klasma.github.io/Logging_2062/klagomål/A 62096-2025 FSC-klagomål.docx", "A 62096-2025")</f>
        <v/>
      </c>
      <c r="Z101">
        <f>HYPERLINK("https://klasma.github.io/Logging_2062/klagomålsmail/A 62096-2025 FSC-klagomål mail.docx", "A 62096-2025")</f>
        <v/>
      </c>
      <c r="AA101">
        <f>HYPERLINK("https://klasma.github.io/Logging_2062/tillsyn/A 62096-2025 tillsynsbegäran.docx", "A 62096-2025")</f>
        <v/>
      </c>
      <c r="AB101">
        <f>HYPERLINK("https://klasma.github.io/Logging_2062/tillsynsmail/A 62096-2025 tillsynsbegäran mail.docx", "A 62096-2025")</f>
        <v/>
      </c>
    </row>
    <row r="102" ht="15" customHeight="1">
      <c r="A102" t="inlineStr">
        <is>
          <t>A 57669-2022</t>
        </is>
      </c>
      <c r="B102" t="inlineStr">
        <is>
          <t>avverkningsanmälan</t>
        </is>
      </c>
      <c r="C102" t="inlineStr">
        <is>
          <t>Föryngringsavverkning</t>
        </is>
      </c>
      <c r="D102" s="1" t="n">
        <v>44897</v>
      </c>
      <c r="E102" s="1" t="n">
        <v>46220</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s="2" t="inlineStr">
        <is>
          <t>Igelkott</t>
        </is>
      </c>
      <c r="V102">
        <f>HYPERLINK("https://klasma.github.io/Logging_2062/artfynd/A 57669-2022 artfynd.xlsx", "A 57669-2022")</f>
        <v/>
      </c>
      <c r="W102">
        <f>HYPERLINK("https://klasma.github.io/Logging_2062/kartor/A 57669-2022 karta.png", "A 57669-2022")</f>
        <v/>
      </c>
      <c r="Y102">
        <f>HYPERLINK("https://klasma.github.io/Logging_2062/klagomål/A 57669-2022 FSC-klagomål.docx", "A 57669-2022")</f>
        <v/>
      </c>
      <c r="Z102">
        <f>HYPERLINK("https://klasma.github.io/Logging_2062/klagomålsmail/A 57669-2022 FSC-klagomål mail.docx", "A 57669-2022")</f>
        <v/>
      </c>
      <c r="AA102">
        <f>HYPERLINK("https://klasma.github.io/Logging_2062/tillsyn/A 57669-2022 tillsynsbegäran.docx", "A 57669-2022")</f>
        <v/>
      </c>
      <c r="AB102">
        <f>HYPERLINK("https://klasma.github.io/Logging_2062/tillsynsmail/A 57669-2022 tillsynsbegäran mail.docx", "A 57669-2022")</f>
        <v/>
      </c>
    </row>
    <row r="103" ht="15" customHeight="1">
      <c r="A103" t="inlineStr">
        <is>
          <t>A 23736-2023</t>
        </is>
      </c>
      <c r="B103" t="inlineStr">
        <is>
          <t>avverkningsanmälan</t>
        </is>
      </c>
      <c r="C103" t="inlineStr">
        <is>
          <t>Föryngringsavverkning</t>
        </is>
      </c>
      <c r="D103" s="1" t="n">
        <v>45077</v>
      </c>
      <c r="E103" s="1" t="n">
        <v>46220</v>
      </c>
      <c r="F103" t="inlineStr">
        <is>
          <t>DALARNAS LÄN</t>
        </is>
      </c>
      <c r="G103" t="inlineStr">
        <is>
          <t>MORA</t>
        </is>
      </c>
      <c r="I103" t="n">
        <v>7.2</v>
      </c>
      <c r="J103" t="n">
        <v>0</v>
      </c>
      <c r="K103" t="n">
        <v>0</v>
      </c>
      <c r="L103" t="n">
        <v>1</v>
      </c>
      <c r="M103" t="n">
        <v>0</v>
      </c>
      <c r="N103" t="n">
        <v>0</v>
      </c>
      <c r="O103" t="n">
        <v>0</v>
      </c>
      <c r="P103" t="n">
        <v>0</v>
      </c>
      <c r="Q103" t="n">
        <v>1</v>
      </c>
      <c r="R103" t="n">
        <v>0</v>
      </c>
      <c r="S103" t="n">
        <v>1</v>
      </c>
      <c r="T103" t="n">
        <v>1</v>
      </c>
      <c r="U103" s="2" t="inlineStr">
        <is>
          <t>Reliktbock</t>
        </is>
      </c>
      <c r="V103">
        <f>HYPERLINK("https://klasma.github.io/Logging_2062/artfynd/A 23736-2023 artfynd.xlsx", "A 23736-2023")</f>
        <v/>
      </c>
      <c r="W103">
        <f>HYPERLINK("https://klasma.github.io/Logging_2062/kartor/A 23736-2023 karta.png", "A 23736-2023")</f>
        <v/>
      </c>
      <c r="Y103">
        <f>HYPERLINK("https://klasma.github.io/Logging_2062/klagomål/A 23736-2023 FSC-klagomål.docx", "A 23736-2023")</f>
        <v/>
      </c>
      <c r="Z103">
        <f>HYPERLINK("https://klasma.github.io/Logging_2062/klagomålsmail/A 23736-2023 FSC-klagomål mail.docx", "A 23736-2023")</f>
        <v/>
      </c>
      <c r="AA103">
        <f>HYPERLINK("https://klasma.github.io/Logging_2062/tillsyn/A 23736-2023 tillsynsbegäran.docx", "A 23736-2023")</f>
        <v/>
      </c>
      <c r="AB103">
        <f>HYPERLINK("https://klasma.github.io/Logging_2062/tillsynsmail/A 23736-2023 tillsynsbegäran mail.docx", "A 23736-2023")</f>
        <v/>
      </c>
    </row>
    <row r="104" ht="15" customHeight="1">
      <c r="A104" t="inlineStr">
        <is>
          <t>A 36038-2024</t>
        </is>
      </c>
      <c r="B104" t="inlineStr">
        <is>
          <t>avverkningsanmälan</t>
        </is>
      </c>
      <c r="C104" t="inlineStr">
        <is>
          <t>Föryngringsavverkning</t>
        </is>
      </c>
      <c r="D104" s="1" t="n">
        <v>45533</v>
      </c>
      <c r="E104" s="1" t="n">
        <v>46220</v>
      </c>
      <c r="F104" t="inlineStr">
        <is>
          <t>DALARNAS LÄN</t>
        </is>
      </c>
      <c r="G104" t="inlineStr">
        <is>
          <t>MORA</t>
        </is>
      </c>
      <c r="I104" t="n">
        <v>5.1</v>
      </c>
      <c r="J104" t="n">
        <v>0</v>
      </c>
      <c r="K104" t="n">
        <v>0</v>
      </c>
      <c r="L104" t="n">
        <v>0</v>
      </c>
      <c r="M104" t="n">
        <v>1</v>
      </c>
      <c r="N104" t="n">
        <v>0</v>
      </c>
      <c r="O104" t="n">
        <v>0</v>
      </c>
      <c r="P104" t="n">
        <v>0</v>
      </c>
      <c r="Q104" t="n">
        <v>1</v>
      </c>
      <c r="R104" t="n">
        <v>1</v>
      </c>
      <c r="S104" t="n">
        <v>1</v>
      </c>
      <c r="T104" t="n">
        <v>1</v>
      </c>
      <c r="U104" s="2" t="inlineStr">
        <is>
          <t>Garnlav</t>
        </is>
      </c>
      <c r="V104">
        <f>HYPERLINK("https://klasma.github.io/Logging_2062/artfynd/A 36038-2024 artfynd.xlsx", "A 36038-2024")</f>
        <v/>
      </c>
      <c r="W104">
        <f>HYPERLINK("https://klasma.github.io/Logging_2062/kartor/A 36038-2024 karta.png", "A 36038-2024")</f>
        <v/>
      </c>
      <c r="Y104">
        <f>HYPERLINK("https://klasma.github.io/Logging_2062/klagomål/A 36038-2024 FSC-klagomål.docx", "A 36038-2024")</f>
        <v/>
      </c>
      <c r="Z104">
        <f>HYPERLINK("https://klasma.github.io/Logging_2062/klagomålsmail/A 36038-2024 FSC-klagomål mail.docx", "A 36038-2024")</f>
        <v/>
      </c>
      <c r="AA104">
        <f>HYPERLINK("https://klasma.github.io/Logging_2062/tillsyn/A 36038-2024 tillsynsbegäran.docx", "A 36038-2024")</f>
        <v/>
      </c>
      <c r="AB104">
        <f>HYPERLINK("https://klasma.github.io/Logging_2062/tillsynsmail/A 36038-2024 tillsynsbegäran mail.docx", "A 36038-2024")</f>
        <v/>
      </c>
    </row>
    <row r="105" ht="15" customHeight="1">
      <c r="A105" t="inlineStr">
        <is>
          <t>A 28842-2026</t>
        </is>
      </c>
      <c r="B105" t="inlineStr">
        <is>
          <t>avverkningsanmälan</t>
        </is>
      </c>
      <c r="C105" t="inlineStr">
        <is>
          <t>Föryngringsavverkning</t>
        </is>
      </c>
      <c r="D105" s="1" t="n">
        <v>46198</v>
      </c>
      <c r="E105" s="1" t="n">
        <v>46220</v>
      </c>
      <c r="F105" t="inlineStr">
        <is>
          <t>DALARNAS LÄN</t>
        </is>
      </c>
      <c r="G105" t="inlineStr">
        <is>
          <t>MORA</t>
        </is>
      </c>
      <c r="I105" t="n">
        <v>1.3</v>
      </c>
      <c r="J105" t="n">
        <v>0</v>
      </c>
      <c r="K105" t="n">
        <v>0</v>
      </c>
      <c r="L105" t="n">
        <v>1</v>
      </c>
      <c r="M105" t="n">
        <v>0</v>
      </c>
      <c r="N105" t="n">
        <v>0</v>
      </c>
      <c r="O105" t="n">
        <v>0</v>
      </c>
      <c r="P105" t="n">
        <v>0</v>
      </c>
      <c r="Q105" t="n">
        <v>1</v>
      </c>
      <c r="R105" t="n">
        <v>0</v>
      </c>
      <c r="S105" t="n">
        <v>1</v>
      </c>
      <c r="T105" t="n">
        <v>1</v>
      </c>
      <c r="U105" s="2" t="inlineStr">
        <is>
          <t>Mörk kolflarnlav</t>
        </is>
      </c>
      <c r="V105">
        <f>HYPERLINK("https://klasma.github.io/Logging_2062/artfynd/A 28842-2026 artfynd.xlsx", "A 28842-2026")</f>
        <v/>
      </c>
      <c r="W105">
        <f>HYPERLINK("https://klasma.github.io/Logging_2062/kartor/A 28842-2026 karta.png", "A 28842-2026")</f>
        <v/>
      </c>
      <c r="Y105">
        <f>HYPERLINK("https://klasma.github.io/Logging_2062/klagomål/A 28842-2026 FSC-klagomål.docx", "A 28842-2026")</f>
        <v/>
      </c>
      <c r="Z105">
        <f>HYPERLINK("https://klasma.github.io/Logging_2062/klagomålsmail/A 28842-2026 FSC-klagomål mail.docx", "A 28842-2026")</f>
        <v/>
      </c>
      <c r="AA105">
        <f>HYPERLINK("https://klasma.github.io/Logging_2062/tillsyn/A 28842-2026 tillsynsbegäran.docx", "A 28842-2026")</f>
        <v/>
      </c>
      <c r="AB105">
        <f>HYPERLINK("https://klasma.github.io/Logging_2062/tillsynsmail/A 28842-2026 tillsynsbegäran mail.docx", "A 28842-2026")</f>
        <v/>
      </c>
    </row>
    <row r="106" ht="15" customHeight="1">
      <c r="A106" t="inlineStr">
        <is>
          <t>A 29122-2026</t>
        </is>
      </c>
      <c r="B106" t="inlineStr">
        <is>
          <t>avverkningsanmälan</t>
        </is>
      </c>
      <c r="C106" t="inlineStr">
        <is>
          <t>Föryngringsavverkning</t>
        </is>
      </c>
      <c r="D106" s="1" t="n">
        <v>46202</v>
      </c>
      <c r="E106" s="1" t="n">
        <v>46220</v>
      </c>
      <c r="F106" t="inlineStr">
        <is>
          <t>DALARNAS LÄN</t>
        </is>
      </c>
      <c r="G106" t="inlineStr">
        <is>
          <t>MORA</t>
        </is>
      </c>
      <c r="I106" t="n">
        <v>0.9</v>
      </c>
      <c r="J106" t="n">
        <v>0</v>
      </c>
      <c r="K106" t="n">
        <v>0</v>
      </c>
      <c r="L106" t="n">
        <v>1</v>
      </c>
      <c r="M106" t="n">
        <v>0</v>
      </c>
      <c r="N106" t="n">
        <v>0</v>
      </c>
      <c r="O106" t="n">
        <v>0</v>
      </c>
      <c r="P106" t="n">
        <v>0</v>
      </c>
      <c r="Q106" t="n">
        <v>1</v>
      </c>
      <c r="R106" t="n">
        <v>0</v>
      </c>
      <c r="S106" t="n">
        <v>1</v>
      </c>
      <c r="T106" t="n">
        <v>4</v>
      </c>
      <c r="U106" s="2" t="inlineStr">
        <is>
          <t>Mörk kolflarnlav</t>
        </is>
      </c>
      <c r="V106">
        <f>HYPERLINK("https://klasma.github.io/Logging_2062/artfynd/A 29122-2026 artfynd.xlsx", "A 29122-2026")</f>
        <v/>
      </c>
      <c r="W106">
        <f>HYPERLINK("https://klasma.github.io/Logging_2062/kartor/A 29122-2026 karta.png", "A 29122-2026")</f>
        <v/>
      </c>
      <c r="Y106">
        <f>HYPERLINK("https://klasma.github.io/Logging_2062/klagomål/A 29122-2026 FSC-klagomål.docx", "A 29122-2026")</f>
        <v/>
      </c>
      <c r="Z106">
        <f>HYPERLINK("https://klasma.github.io/Logging_2062/klagomålsmail/A 29122-2026 FSC-klagomål mail.docx", "A 29122-2026")</f>
        <v/>
      </c>
      <c r="AA106">
        <f>HYPERLINK("https://klasma.github.io/Logging_2062/tillsyn/A 29122-2026 tillsynsbegäran.docx", "A 29122-2026")</f>
        <v/>
      </c>
      <c r="AB106">
        <f>HYPERLINK("https://klasma.github.io/Logging_2062/tillsynsmail/A 29122-2026 tillsynsbegäran mail.docx", "A 29122-2026")</f>
        <v/>
      </c>
    </row>
    <row r="107" ht="15" customHeight="1">
      <c r="A107" t="inlineStr">
        <is>
          <t>A 27975-2023</t>
        </is>
      </c>
      <c r="B107" t="inlineStr">
        <is>
          <t>avverkningsanmälan</t>
        </is>
      </c>
      <c r="C107" t="inlineStr">
        <is>
          <t>Föryngringsavverkning</t>
        </is>
      </c>
      <c r="D107" s="1" t="n">
        <v>45098</v>
      </c>
      <c r="E107" s="1" t="n">
        <v>46220</v>
      </c>
      <c r="F107" t="inlineStr">
        <is>
          <t>DALARNAS LÄN</t>
        </is>
      </c>
      <c r="G107" t="inlineStr">
        <is>
          <t>MORA</t>
        </is>
      </c>
      <c r="I107" t="n">
        <v>1.1</v>
      </c>
      <c r="J107" t="n">
        <v>0</v>
      </c>
      <c r="K107" t="n">
        <v>0</v>
      </c>
      <c r="L107" t="n">
        <v>1</v>
      </c>
      <c r="M107" t="n">
        <v>0</v>
      </c>
      <c r="N107" t="n">
        <v>0</v>
      </c>
      <c r="O107" t="n">
        <v>0</v>
      </c>
      <c r="P107" t="n">
        <v>0</v>
      </c>
      <c r="Q107" t="n">
        <v>1</v>
      </c>
      <c r="R107" t="n">
        <v>0</v>
      </c>
      <c r="S107" t="n">
        <v>1</v>
      </c>
      <c r="T107" t="n">
        <v>1</v>
      </c>
      <c r="U107" s="2" t="inlineStr">
        <is>
          <t>Tallticka</t>
        </is>
      </c>
      <c r="V107">
        <f>HYPERLINK("https://klasma.github.io/Logging_2062/artfynd/A 27975-2023 artfynd.xlsx", "A 27975-2023")</f>
        <v/>
      </c>
      <c r="W107">
        <f>HYPERLINK("https://klasma.github.io/Logging_2062/kartor/A 27975-2023 karta.png", "A 27975-2023")</f>
        <v/>
      </c>
      <c r="Y107">
        <f>HYPERLINK("https://klasma.github.io/Logging_2062/klagomål/A 27975-2023 FSC-klagomål.docx", "A 27975-2023")</f>
        <v/>
      </c>
      <c r="Z107">
        <f>HYPERLINK("https://klasma.github.io/Logging_2062/klagomålsmail/A 27975-2023 FSC-klagomål mail.docx", "A 27975-2023")</f>
        <v/>
      </c>
      <c r="AA107">
        <f>HYPERLINK("https://klasma.github.io/Logging_2062/tillsyn/A 27975-2023 tillsynsbegäran.docx", "A 27975-2023")</f>
        <v/>
      </c>
      <c r="AB107">
        <f>HYPERLINK("https://klasma.github.io/Logging_2062/tillsynsmail/A 27975-2023 tillsynsbegäran mail.docx", "A 27975-2023")</f>
        <v/>
      </c>
    </row>
    <row r="108" ht="15" customHeight="1">
      <c r="A108" t="inlineStr">
        <is>
          <t>A 45344-2024</t>
        </is>
      </c>
      <c r="B108" t="inlineStr">
        <is>
          <t>avverkningsanmälan</t>
        </is>
      </c>
      <c r="C108" t="inlineStr">
        <is>
          <t>Föryngringsavverkning</t>
        </is>
      </c>
      <c r="D108" s="1" t="n">
        <v>45576</v>
      </c>
      <c r="E108" s="1" t="n">
        <v>46220</v>
      </c>
      <c r="F108" t="inlineStr">
        <is>
          <t>DALARNAS LÄN</t>
        </is>
      </c>
      <c r="G108" t="inlineStr">
        <is>
          <t>MORA</t>
        </is>
      </c>
      <c r="I108" t="n">
        <v>0.9</v>
      </c>
      <c r="J108" t="n">
        <v>0</v>
      </c>
      <c r="K108" t="n">
        <v>0</v>
      </c>
      <c r="L108" t="n">
        <v>0</v>
      </c>
      <c r="M108" t="n">
        <v>1</v>
      </c>
      <c r="N108" t="n">
        <v>0</v>
      </c>
      <c r="O108" t="n">
        <v>0</v>
      </c>
      <c r="P108" t="n">
        <v>0</v>
      </c>
      <c r="Q108" t="n">
        <v>1</v>
      </c>
      <c r="R108" t="n">
        <v>1</v>
      </c>
      <c r="S108" t="n">
        <v>1</v>
      </c>
      <c r="T108" t="n">
        <v>3</v>
      </c>
      <c r="U108" s="2" t="inlineStr">
        <is>
          <t>Garnlav</t>
        </is>
      </c>
      <c r="V108">
        <f>HYPERLINK("https://klasma.github.io/Logging_2062/artfynd/A 45344-2024 artfynd.xlsx", "A 45344-2024")</f>
        <v/>
      </c>
      <c r="W108">
        <f>HYPERLINK("https://klasma.github.io/Logging_2062/kartor/A 45344-2024 karta.png", "A 45344-2024")</f>
        <v/>
      </c>
      <c r="Y108">
        <f>HYPERLINK("https://klasma.github.io/Logging_2062/klagomål/A 45344-2024 FSC-klagomål.docx", "A 45344-2024")</f>
        <v/>
      </c>
      <c r="Z108">
        <f>HYPERLINK("https://klasma.github.io/Logging_2062/klagomålsmail/A 45344-2024 FSC-klagomål mail.docx", "A 45344-2024")</f>
        <v/>
      </c>
      <c r="AA108">
        <f>HYPERLINK("https://klasma.github.io/Logging_2062/tillsyn/A 45344-2024 tillsynsbegäran.docx", "A 45344-2024")</f>
        <v/>
      </c>
      <c r="AB108">
        <f>HYPERLINK("https://klasma.github.io/Logging_2062/tillsynsmail/A 45344-2024 tillsynsbegäran mail.docx", "A 45344-2024")</f>
        <v/>
      </c>
    </row>
    <row r="109" ht="15" customHeight="1">
      <c r="A109" t="inlineStr">
        <is>
          <t>A 37471-2024</t>
        </is>
      </c>
      <c r="B109" t="inlineStr">
        <is>
          <t>avverkningsanmälan</t>
        </is>
      </c>
      <c r="C109" t="inlineStr">
        <is>
          <t>Föryngringsavverkning</t>
        </is>
      </c>
      <c r="D109" s="1" t="n">
        <v>45540</v>
      </c>
      <c r="E109" s="1" t="n">
        <v>46220</v>
      </c>
      <c r="F109" t="inlineStr">
        <is>
          <t>DALARNAS LÄN</t>
        </is>
      </c>
      <c r="G109" t="inlineStr">
        <is>
          <t>MORA</t>
        </is>
      </c>
      <c r="I109" t="n">
        <v>3.5</v>
      </c>
      <c r="J109" t="n">
        <v>1</v>
      </c>
      <c r="K109" t="n">
        <v>0</v>
      </c>
      <c r="L109" t="n">
        <v>1</v>
      </c>
      <c r="M109" t="n">
        <v>0</v>
      </c>
      <c r="N109" t="n">
        <v>0</v>
      </c>
      <c r="O109" t="n">
        <v>0</v>
      </c>
      <c r="P109" t="n">
        <v>0</v>
      </c>
      <c r="Q109" t="n">
        <v>1</v>
      </c>
      <c r="R109" t="n">
        <v>0</v>
      </c>
      <c r="S109" t="n">
        <v>1</v>
      </c>
      <c r="T109" t="n">
        <v>1</v>
      </c>
      <c r="U109" s="2" t="inlineStr">
        <is>
          <t>Talltita</t>
        </is>
      </c>
      <c r="V109">
        <f>HYPERLINK("https://klasma.github.io/Logging_2062/artfynd/A 37471-2024 artfynd.xlsx", "A 37471-2024")</f>
        <v/>
      </c>
      <c r="W109">
        <f>HYPERLINK("https://klasma.github.io/Logging_2062/kartor/A 37471-2024 karta.png", "A 37471-2024")</f>
        <v/>
      </c>
      <c r="Y109">
        <f>HYPERLINK("https://klasma.github.io/Logging_2062/klagomål/A 37471-2024 FSC-klagomål.docx", "A 37471-2024")</f>
        <v/>
      </c>
      <c r="Z109">
        <f>HYPERLINK("https://klasma.github.io/Logging_2062/klagomålsmail/A 37471-2024 FSC-klagomål mail.docx", "A 37471-2024")</f>
        <v/>
      </c>
      <c r="AA109">
        <f>HYPERLINK("https://klasma.github.io/Logging_2062/tillsyn/A 37471-2024 tillsynsbegäran.docx", "A 37471-2024")</f>
        <v/>
      </c>
      <c r="AB109">
        <f>HYPERLINK("https://klasma.github.io/Logging_2062/tillsynsmail/A 37471-2024 tillsynsbegäran mail.docx", "A 37471-2024")</f>
        <v/>
      </c>
      <c r="AC109">
        <f>HYPERLINK("https://klasma.github.io/Logging_2062/fåglar/A 37471-2024 prioriterade fågelarter.docx", "A 37471-2024")</f>
        <v/>
      </c>
    </row>
    <row r="110" ht="15" customHeight="1">
      <c r="A110" t="inlineStr">
        <is>
          <t>A 4209-2023</t>
        </is>
      </c>
      <c r="B110" t="inlineStr">
        <is>
          <t>avverkningsanmälan</t>
        </is>
      </c>
      <c r="C110" t="inlineStr">
        <is>
          <t>Föryngringsavverkning</t>
        </is>
      </c>
      <c r="D110" s="1" t="n">
        <v>44953</v>
      </c>
      <c r="E110" s="1" t="n">
        <v>46220</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s="2" t="inlineStr">
        <is>
          <t>Utter</t>
        </is>
      </c>
      <c r="V110">
        <f>HYPERLINK("https://klasma.github.io/Logging_2062/artfynd/A 4209-2023 artfynd.xlsx", "A 4209-2023")</f>
        <v/>
      </c>
      <c r="W110">
        <f>HYPERLINK("https://klasma.github.io/Logging_2062/kartor/A 4209-2023 karta.png", "A 4209-2023")</f>
        <v/>
      </c>
      <c r="Y110">
        <f>HYPERLINK("https://klasma.github.io/Logging_2062/klagomål/A 4209-2023 FSC-klagomål.docx", "A 4209-2023")</f>
        <v/>
      </c>
      <c r="Z110">
        <f>HYPERLINK("https://klasma.github.io/Logging_2062/klagomålsmail/A 4209-2023 FSC-klagomål mail.docx", "A 4209-2023")</f>
        <v/>
      </c>
      <c r="AA110">
        <f>HYPERLINK("https://klasma.github.io/Logging_2062/tillsyn/A 4209-2023 tillsynsbegäran.docx", "A 4209-2023")</f>
        <v/>
      </c>
      <c r="AB110">
        <f>HYPERLINK("https://klasma.github.io/Logging_2062/tillsynsmail/A 4209-2023 tillsynsbegäran mail.docx", "A 4209-2023")</f>
        <v/>
      </c>
    </row>
    <row r="111" ht="15" customHeight="1">
      <c r="A111" t="inlineStr">
        <is>
          <t>A 54903-2024</t>
        </is>
      </c>
      <c r="B111" t="inlineStr">
        <is>
          <t>avverkningsanmälan</t>
        </is>
      </c>
      <c r="C111" t="inlineStr">
        <is>
          <t>Föryngringsavverkning</t>
        </is>
      </c>
      <c r="D111" s="1" t="n">
        <v>45618</v>
      </c>
      <c r="E111" s="1" t="n">
        <v>46220</v>
      </c>
      <c r="F111" t="inlineStr">
        <is>
          <t>DALARNAS LÄN</t>
        </is>
      </c>
      <c r="G111" t="inlineStr">
        <is>
          <t>MORA</t>
        </is>
      </c>
      <c r="I111" t="n">
        <v>28.2</v>
      </c>
      <c r="J111" t="n">
        <v>0</v>
      </c>
      <c r="K111" t="n">
        <v>0</v>
      </c>
      <c r="L111" t="n">
        <v>0</v>
      </c>
      <c r="M111" t="n">
        <v>1</v>
      </c>
      <c r="N111" t="n">
        <v>0</v>
      </c>
      <c r="O111" t="n">
        <v>0</v>
      </c>
      <c r="P111" t="n">
        <v>0</v>
      </c>
      <c r="Q111" t="n">
        <v>1</v>
      </c>
      <c r="R111" t="n">
        <v>1</v>
      </c>
      <c r="S111" t="n">
        <v>1</v>
      </c>
      <c r="T111" t="n">
        <v>1</v>
      </c>
      <c r="U111" s="2" t="inlineStr">
        <is>
          <t>Igelkott</t>
        </is>
      </c>
      <c r="V111">
        <f>HYPERLINK("https://klasma.github.io/Logging_2062/artfynd/A 54903-2024 artfynd.xlsx", "A 54903-2024")</f>
        <v/>
      </c>
      <c r="W111">
        <f>HYPERLINK("https://klasma.github.io/Logging_2062/kartor/A 54903-2024 karta.png", "A 54903-2024")</f>
        <v/>
      </c>
      <c r="Y111">
        <f>HYPERLINK("https://klasma.github.io/Logging_2062/klagomål/A 54903-2024 FSC-klagomål.docx", "A 54903-2024")</f>
        <v/>
      </c>
      <c r="Z111">
        <f>HYPERLINK("https://klasma.github.io/Logging_2062/klagomålsmail/A 54903-2024 FSC-klagomål mail.docx", "A 54903-2024")</f>
        <v/>
      </c>
      <c r="AA111">
        <f>HYPERLINK("https://klasma.github.io/Logging_2062/tillsyn/A 54903-2024 tillsynsbegäran.docx", "A 54903-2024")</f>
        <v/>
      </c>
      <c r="AB111">
        <f>HYPERLINK("https://klasma.github.io/Logging_2062/tillsynsmail/A 54903-2024 tillsynsbegäran mail.docx", "A 54903-2024")</f>
        <v/>
      </c>
    </row>
    <row r="112" ht="15" customHeight="1">
      <c r="A112" t="inlineStr">
        <is>
          <t>S 4367-2023</t>
        </is>
      </c>
      <c r="B112" t="inlineStr">
        <is>
          <t>samrådsanmälan</t>
        </is>
      </c>
      <c r="C112" t="inlineStr">
        <is>
          <t>Annan skogsbruksåtgärd</t>
        </is>
      </c>
      <c r="D112" s="1" t="n">
        <v>45264</v>
      </c>
      <c r="E112" s="1" t="n">
        <v>46220</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46220</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46220</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46220</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42505-2021</t>
        </is>
      </c>
      <c r="B116" t="inlineStr">
        <is>
          <t>avverkningsanmälan</t>
        </is>
      </c>
      <c r="C116" t="inlineStr">
        <is>
          <t>Föryngringsavverkning</t>
        </is>
      </c>
      <c r="D116" s="1" t="n">
        <v>44427</v>
      </c>
      <c r="E116" s="1" t="n">
        <v>46220</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72648-2021</t>
        </is>
      </c>
      <c r="B117" t="inlineStr">
        <is>
          <t>avverkningsanmälan</t>
        </is>
      </c>
      <c r="C117" t="inlineStr">
        <is>
          <t>Föryngringsavverkning</t>
        </is>
      </c>
      <c r="D117" s="1" t="n">
        <v>44546</v>
      </c>
      <c r="E117" s="1" t="n">
        <v>46220</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38651-2022</t>
        </is>
      </c>
      <c r="B118" t="inlineStr">
        <is>
          <t>avverkningsanmälan</t>
        </is>
      </c>
      <c r="C118" t="inlineStr">
        <is>
          <t>Föryngringsavverkning</t>
        </is>
      </c>
      <c r="D118" s="1" t="n">
        <v>44813</v>
      </c>
      <c r="E118" s="1" t="n">
        <v>46220</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46220</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46220</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46220</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46220</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46220</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46220</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46220</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46220</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46220</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46220</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43458-2021</t>
        </is>
      </c>
      <c r="B129" t="inlineStr">
        <is>
          <t>avverkningsanmälan</t>
        </is>
      </c>
      <c r="C129" t="inlineStr">
        <is>
          <t>Föryngringsavverkning</t>
        </is>
      </c>
      <c r="D129" s="1" t="n">
        <v>44432</v>
      </c>
      <c r="E129" s="1" t="n">
        <v>46220</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s="2" t="inlineStr"/>
    </row>
    <row r="130" ht="15" customHeight="1">
      <c r="A130" t="inlineStr">
        <is>
          <t>A 28344-2022</t>
        </is>
      </c>
      <c r="B130" t="inlineStr">
        <is>
          <t>avverkningsanmälan</t>
        </is>
      </c>
      <c r="C130" t="inlineStr">
        <is>
          <t>Föryngringsavverkning</t>
        </is>
      </c>
      <c r="D130" s="1" t="n">
        <v>44747</v>
      </c>
      <c r="E130" s="1" t="n">
        <v>46220</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46220</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46220</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16706-2022</t>
        </is>
      </c>
      <c r="B133" t="inlineStr">
        <is>
          <t>avverkningsanmälan</t>
        </is>
      </c>
      <c r="C133" t="inlineStr">
        <is>
          <t>Föryngringsavverkning</t>
        </is>
      </c>
      <c r="D133" s="1" t="n">
        <v>44673</v>
      </c>
      <c r="E133" s="1" t="n">
        <v>46220</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s="2" t="inlineStr"/>
    </row>
    <row r="134" ht="15" customHeight="1">
      <c r="A134" t="inlineStr">
        <is>
          <t>A 41763-2021</t>
        </is>
      </c>
      <c r="B134" t="inlineStr">
        <is>
          <t>avverkningsanmälan</t>
        </is>
      </c>
      <c r="C134" t="inlineStr">
        <is>
          <t>Föryngringsavverkning</t>
        </is>
      </c>
      <c r="D134" s="1" t="n">
        <v>44425</v>
      </c>
      <c r="E134" s="1" t="n">
        <v>46220</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46220</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46220</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46220</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46220</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41121-2021</t>
        </is>
      </c>
      <c r="B139" t="inlineStr">
        <is>
          <t>avverkningsanmälan</t>
        </is>
      </c>
      <c r="C139" t="inlineStr">
        <is>
          <t>Föryngringsavverkning</t>
        </is>
      </c>
      <c r="D139" s="1" t="n">
        <v>44423</v>
      </c>
      <c r="E139" s="1" t="n">
        <v>46220</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8145-2022</t>
        </is>
      </c>
      <c r="B140" t="inlineStr">
        <is>
          <t>avverkningsanmälan</t>
        </is>
      </c>
      <c r="C140" t="inlineStr">
        <is>
          <t>Föryngringsavverkning</t>
        </is>
      </c>
      <c r="D140" s="1" t="n">
        <v>44609</v>
      </c>
      <c r="E140" s="1" t="n">
        <v>46220</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46220</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46220</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46220</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68966-2021</t>
        </is>
      </c>
      <c r="B144" t="inlineStr">
        <is>
          <t>avverkningsanmälan</t>
        </is>
      </c>
      <c r="C144" t="inlineStr">
        <is>
          <t>Föryngringsavverkning</t>
        </is>
      </c>
      <c r="D144" s="1" t="n">
        <v>44530</v>
      </c>
      <c r="E144" s="1" t="n">
        <v>46220</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52573-2021</t>
        </is>
      </c>
      <c r="B145" t="inlineStr">
        <is>
          <t>avverkningsanmälan</t>
        </is>
      </c>
      <c r="C145" t="inlineStr">
        <is>
          <t>Föryngringsavverkning</t>
        </is>
      </c>
      <c r="D145" s="1" t="n">
        <v>44466</v>
      </c>
      <c r="E145" s="1" t="n">
        <v>46220</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27461-2022</t>
        </is>
      </c>
      <c r="B146" t="inlineStr">
        <is>
          <t>avverkningsanmälan</t>
        </is>
      </c>
      <c r="C146" t="inlineStr">
        <is>
          <t>Föryngringsavverkning</t>
        </is>
      </c>
      <c r="D146" s="1" t="n">
        <v>44742</v>
      </c>
      <c r="E146" s="1" t="n">
        <v>46220</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58413-2021</t>
        </is>
      </c>
      <c r="B147" t="inlineStr">
        <is>
          <t>avverkningsanmälan</t>
        </is>
      </c>
      <c r="C147" t="inlineStr">
        <is>
          <t>Föryngringsavverkning</t>
        </is>
      </c>
      <c r="D147" s="1" t="n">
        <v>44488</v>
      </c>
      <c r="E147" s="1" t="n">
        <v>46220</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56501-2021</t>
        </is>
      </c>
      <c r="B148" t="inlineStr">
        <is>
          <t>avverkningsanmälan</t>
        </is>
      </c>
      <c r="C148" t="inlineStr">
        <is>
          <t>Föryngringsavverkning</t>
        </is>
      </c>
      <c r="D148" s="1" t="n">
        <v>44480</v>
      </c>
      <c r="E148" s="1" t="n">
        <v>46220</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28914-2022</t>
        </is>
      </c>
      <c r="B149" t="inlineStr">
        <is>
          <t>avverkningsanmälan</t>
        </is>
      </c>
      <c r="C149" t="inlineStr">
        <is>
          <t>Föryngringsavverkning</t>
        </is>
      </c>
      <c r="D149" s="1" t="n">
        <v>44749</v>
      </c>
      <c r="E149" s="1" t="n">
        <v>46220</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32474-2022</t>
        </is>
      </c>
      <c r="B150" t="inlineStr">
        <is>
          <t>avverkningsanmälan</t>
        </is>
      </c>
      <c r="C150" t="inlineStr">
        <is>
          <t>Föryngringsavverkning</t>
        </is>
      </c>
      <c r="D150" s="1" t="n">
        <v>44782</v>
      </c>
      <c r="E150" s="1" t="n">
        <v>46220</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4488-2022</t>
        </is>
      </c>
      <c r="B151" t="inlineStr">
        <is>
          <t>avverkningsanmälan</t>
        </is>
      </c>
      <c r="C151" t="inlineStr">
        <is>
          <t>Föryngringsavverkning</t>
        </is>
      </c>
      <c r="D151" s="1" t="n">
        <v>44589</v>
      </c>
      <c r="E151" s="1" t="n">
        <v>46220</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71702-2021</t>
        </is>
      </c>
      <c r="B152" t="inlineStr">
        <is>
          <t>avverkningsanmälan</t>
        </is>
      </c>
      <c r="C152" t="inlineStr">
        <is>
          <t>Föryngringsavverkning</t>
        </is>
      </c>
      <c r="D152" s="1" t="n">
        <v>44543</v>
      </c>
      <c r="E152" s="1" t="n">
        <v>46220</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17622-2022</t>
        </is>
      </c>
      <c r="B153" t="inlineStr">
        <is>
          <t>avverkningsanmälan</t>
        </is>
      </c>
      <c r="C153" t="inlineStr">
        <is>
          <t>Föryngringsavverkning</t>
        </is>
      </c>
      <c r="D153" s="1" t="n">
        <v>44680</v>
      </c>
      <c r="E153" s="1" t="n">
        <v>46220</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58961-2021</t>
        </is>
      </c>
      <c r="B154" t="inlineStr">
        <is>
          <t>avverkningsanmälan</t>
        </is>
      </c>
      <c r="C154" t="inlineStr">
        <is>
          <t>Föryngringsavverkning</t>
        </is>
      </c>
      <c r="D154" s="1" t="n">
        <v>44489</v>
      </c>
      <c r="E154" s="1" t="n">
        <v>46220</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34927-2022</t>
        </is>
      </c>
      <c r="B155" t="inlineStr">
        <is>
          <t>avverkningsanmälan</t>
        </is>
      </c>
      <c r="C155" t="inlineStr">
        <is>
          <t>Föryngringsavverkning</t>
        </is>
      </c>
      <c r="D155" s="1" t="n">
        <v>44796</v>
      </c>
      <c r="E155" s="1" t="n">
        <v>46220</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48456-2022</t>
        </is>
      </c>
      <c r="B156" t="inlineStr">
        <is>
          <t>avverkningsanmälan</t>
        </is>
      </c>
      <c r="C156" t="inlineStr">
        <is>
          <t>Föryngringsavverkning</t>
        </is>
      </c>
      <c r="D156" s="1" t="n">
        <v>44858</v>
      </c>
      <c r="E156" s="1" t="n">
        <v>46220</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37771-2022</t>
        </is>
      </c>
      <c r="B157" t="inlineStr">
        <is>
          <t>avverkningsanmälan</t>
        </is>
      </c>
      <c r="C157" t="inlineStr">
        <is>
          <t>Föryngringsavverkning</t>
        </is>
      </c>
      <c r="D157" s="1" t="n">
        <v>44810</v>
      </c>
      <c r="E157" s="1" t="n">
        <v>46220</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67045-2021</t>
        </is>
      </c>
      <c r="B158" t="inlineStr">
        <is>
          <t>avverkningsanmälan</t>
        </is>
      </c>
      <c r="C158" t="inlineStr">
        <is>
          <t>Föryngringsavverkning</t>
        </is>
      </c>
      <c r="D158" s="1" t="n">
        <v>44522</v>
      </c>
      <c r="E158" s="1" t="n">
        <v>46220</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s="2" t="inlineStr"/>
    </row>
    <row r="159" ht="15" customHeight="1">
      <c r="A159" t="inlineStr">
        <is>
          <t>A 8546-2022</t>
        </is>
      </c>
      <c r="B159" t="inlineStr">
        <is>
          <t>avverkningsanmälan</t>
        </is>
      </c>
      <c r="C159" t="inlineStr">
        <is>
          <t>Föryngringsavverkning</t>
        </is>
      </c>
      <c r="D159" s="1" t="n">
        <v>44613</v>
      </c>
      <c r="E159" s="1" t="n">
        <v>46220</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14744-2022</t>
        </is>
      </c>
      <c r="B160" t="inlineStr">
        <is>
          <t>avverkningsanmälan</t>
        </is>
      </c>
      <c r="C160" t="inlineStr">
        <is>
          <t>Föryngringsavverkning</t>
        </is>
      </c>
      <c r="D160" s="1" t="n">
        <v>44656</v>
      </c>
      <c r="E160" s="1" t="n">
        <v>46220</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24393-2022</t>
        </is>
      </c>
      <c r="B161" t="inlineStr">
        <is>
          <t>avverkningsanmälan</t>
        </is>
      </c>
      <c r="C161" t="inlineStr">
        <is>
          <t>Föryngringsavverkning</t>
        </is>
      </c>
      <c r="D161" s="1" t="n">
        <v>44726</v>
      </c>
      <c r="E161" s="1" t="n">
        <v>46220</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35287-2024</t>
        </is>
      </c>
      <c r="B162" t="inlineStr">
        <is>
          <t>avverkningsanmälan</t>
        </is>
      </c>
      <c r="C162" t="inlineStr">
        <is>
          <t>Föryngringsavverkning</t>
        </is>
      </c>
      <c r="D162" s="1" t="n">
        <v>45530</v>
      </c>
      <c r="E162" s="1" t="n">
        <v>46220</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8068-2024</t>
        </is>
      </c>
      <c r="B163" t="inlineStr">
        <is>
          <t>avverkningsanmälan</t>
        </is>
      </c>
      <c r="C163" t="inlineStr">
        <is>
          <t>Föryngringsavverkning</t>
        </is>
      </c>
      <c r="D163" s="1" t="n">
        <v>45351</v>
      </c>
      <c r="E163" s="1" t="n">
        <v>46220</v>
      </c>
      <c r="F163" t="inlineStr">
        <is>
          <t>DALARNAS LÄN</t>
        </is>
      </c>
      <c r="G163" t="inlineStr">
        <is>
          <t>MORA</t>
        </is>
      </c>
      <c r="I163" t="n">
        <v>6.4</v>
      </c>
      <c r="J163" t="n">
        <v>0</v>
      </c>
      <c r="K163" t="n">
        <v>0</v>
      </c>
      <c r="L163" t="n">
        <v>0</v>
      </c>
      <c r="M163" t="n">
        <v>0</v>
      </c>
      <c r="N163" t="n">
        <v>0</v>
      </c>
      <c r="O163" t="n">
        <v>0</v>
      </c>
      <c r="P163" t="n">
        <v>0</v>
      </c>
      <c r="Q163" t="n">
        <v>0</v>
      </c>
      <c r="R163" t="n">
        <v>0</v>
      </c>
      <c r="S163" t="n">
        <v>0</v>
      </c>
      <c r="T163" t="n">
        <v>0</v>
      </c>
      <c r="U163" s="2" t="inlineStr"/>
    </row>
    <row r="164" ht="15" customHeight="1">
      <c r="A164" t="inlineStr">
        <is>
          <t>A 8100-2024</t>
        </is>
      </c>
      <c r="B164" t="inlineStr">
        <is>
          <t>avverkningsanmälan</t>
        </is>
      </c>
      <c r="C164" t="inlineStr">
        <is>
          <t>Föryngringsavverkning</t>
        </is>
      </c>
      <c r="D164" s="1" t="n">
        <v>45351</v>
      </c>
      <c r="E164" s="1" t="n">
        <v>46220</v>
      </c>
      <c r="F164" t="inlineStr">
        <is>
          <t>DALARNAS LÄN</t>
        </is>
      </c>
      <c r="G164" t="inlineStr">
        <is>
          <t>MORA</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5418-2025</t>
        </is>
      </c>
      <c r="B165" t="inlineStr">
        <is>
          <t>avverkningsanmälan</t>
        </is>
      </c>
      <c r="C165" t="inlineStr">
        <is>
          <t>Föryngringsavverkning</t>
        </is>
      </c>
      <c r="D165" s="1" t="n">
        <v>45692</v>
      </c>
      <c r="E165" s="1" t="n">
        <v>46220</v>
      </c>
      <c r="F165" t="inlineStr">
        <is>
          <t>DALARNAS LÄN</t>
        </is>
      </c>
      <c r="G165" t="inlineStr">
        <is>
          <t>MORA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52525-2022</t>
        </is>
      </c>
      <c r="B166" t="inlineStr">
        <is>
          <t>avverkningsanmälan</t>
        </is>
      </c>
      <c r="C166" t="inlineStr">
        <is>
          <t>Föryngringsavverkning</t>
        </is>
      </c>
      <c r="D166" s="1" t="n">
        <v>44874</v>
      </c>
      <c r="E166" s="1" t="n">
        <v>46220</v>
      </c>
      <c r="F166" t="inlineStr">
        <is>
          <t>DALARNAS LÄN</t>
        </is>
      </c>
      <c r="G166" t="inlineStr">
        <is>
          <t>MORA</t>
        </is>
      </c>
      <c r="H166" t="inlineStr">
        <is>
          <t>Bergvik skog öst AB</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48390-2024</t>
        </is>
      </c>
      <c r="B167" t="inlineStr">
        <is>
          <t>avverkningsanmälan</t>
        </is>
      </c>
      <c r="C167" t="inlineStr">
        <is>
          <t>Föryngringsavverkning</t>
        </is>
      </c>
      <c r="D167" s="1" t="n">
        <v>45590</v>
      </c>
      <c r="E167" s="1" t="n">
        <v>46220</v>
      </c>
      <c r="F167" t="inlineStr">
        <is>
          <t>DALARNAS LÄN</t>
        </is>
      </c>
      <c r="G167" t="inlineStr">
        <is>
          <t>MORA</t>
        </is>
      </c>
      <c r="I167" t="n">
        <v>5</v>
      </c>
      <c r="J167" t="n">
        <v>0</v>
      </c>
      <c r="K167" t="n">
        <v>0</v>
      </c>
      <c r="L167" t="n">
        <v>0</v>
      </c>
      <c r="M167" t="n">
        <v>0</v>
      </c>
      <c r="N167" t="n">
        <v>0</v>
      </c>
      <c r="O167" t="n">
        <v>0</v>
      </c>
      <c r="P167" t="n">
        <v>0</v>
      </c>
      <c r="Q167" t="n">
        <v>0</v>
      </c>
      <c r="R167" t="n">
        <v>0</v>
      </c>
      <c r="S167" t="n">
        <v>0</v>
      </c>
      <c r="T167" t="n">
        <v>0</v>
      </c>
      <c r="U167" s="2" t="inlineStr"/>
    </row>
    <row r="168" ht="15" customHeight="1">
      <c r="A168" t="inlineStr">
        <is>
          <t>A 17176-2025</t>
        </is>
      </c>
      <c r="B168" t="inlineStr">
        <is>
          <t>avverkningsanmälan</t>
        </is>
      </c>
      <c r="C168" t="inlineStr">
        <is>
          <t>Föryngringsavverkning</t>
        </is>
      </c>
      <c r="D168" s="1" t="n">
        <v>45756</v>
      </c>
      <c r="E168" s="1" t="n">
        <v>46220</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59101-2024</t>
        </is>
      </c>
      <c r="B169" t="inlineStr">
        <is>
          <t>avverkningsanmälan</t>
        </is>
      </c>
      <c r="C169" t="inlineStr">
        <is>
          <t>Föryngringsavverkning</t>
        </is>
      </c>
      <c r="D169" s="1" t="n">
        <v>45637</v>
      </c>
      <c r="E169" s="1" t="n">
        <v>46220</v>
      </c>
      <c r="F169" t="inlineStr">
        <is>
          <t>DALARNAS LÄN</t>
        </is>
      </c>
      <c r="G169" t="inlineStr">
        <is>
          <t>MORA</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s="2" t="inlineStr"/>
    </row>
    <row r="170" ht="15" customHeight="1">
      <c r="A170" t="inlineStr">
        <is>
          <t>A 11442-2022</t>
        </is>
      </c>
      <c r="B170" t="inlineStr">
        <is>
          <t>avverkningsanmälan</t>
        </is>
      </c>
      <c r="C170" t="inlineStr">
        <is>
          <t>Föryngringsavverkning</t>
        </is>
      </c>
      <c r="D170" s="1" t="n">
        <v>44630</v>
      </c>
      <c r="E170" s="1" t="n">
        <v>46220</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43874-2024</t>
        </is>
      </c>
      <c r="B171" t="inlineStr">
        <is>
          <t>avverkningsanmälan</t>
        </is>
      </c>
      <c r="C171" t="inlineStr">
        <is>
          <t>Avverkning för att bevara och utveckla /försöksver</t>
        </is>
      </c>
      <c r="D171" s="1" t="n">
        <v>45572</v>
      </c>
      <c r="E171" s="1" t="n">
        <v>46220</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s="2" t="inlineStr"/>
    </row>
    <row r="172" ht="15" customHeight="1">
      <c r="A172" t="inlineStr">
        <is>
          <t>A 60099-2024</t>
        </is>
      </c>
      <c r="B172" t="inlineStr">
        <is>
          <t>avverkningsanmälan</t>
        </is>
      </c>
      <c r="C172" t="inlineStr">
        <is>
          <t>Föryngringsavverkning</t>
        </is>
      </c>
      <c r="D172" s="1" t="n">
        <v>45642</v>
      </c>
      <c r="E172" s="1" t="n">
        <v>46220</v>
      </c>
      <c r="F172" t="inlineStr">
        <is>
          <t>DALARNAS LÄN</t>
        </is>
      </c>
      <c r="G172" t="inlineStr">
        <is>
          <t>MORA</t>
        </is>
      </c>
      <c r="I172" t="n">
        <v>9.300000000000001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61405-2023</t>
        </is>
      </c>
      <c r="B173" t="inlineStr">
        <is>
          <t>avverkningsanmälan</t>
        </is>
      </c>
      <c r="C173" t="inlineStr">
        <is>
          <t>Föryngringsavverkning</t>
        </is>
      </c>
      <c r="D173" s="1" t="n">
        <v>45264</v>
      </c>
      <c r="E173" s="1" t="n">
        <v>46220</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s="2" t="inlineStr"/>
    </row>
    <row r="174" ht="15" customHeight="1">
      <c r="A174" t="inlineStr">
        <is>
          <t>A 14832-2025</t>
        </is>
      </c>
      <c r="B174" t="inlineStr">
        <is>
          <t>avverkningsanmälan</t>
        </is>
      </c>
      <c r="C174" t="inlineStr">
        <is>
          <t>Föryngringsavverkning</t>
        </is>
      </c>
      <c r="D174" s="1" t="n">
        <v>45743</v>
      </c>
      <c r="E174" s="1" t="n">
        <v>46220</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s="2" t="inlineStr"/>
    </row>
    <row r="175" ht="15" customHeight="1">
      <c r="A175" t="inlineStr">
        <is>
          <t>A 39674-2023</t>
        </is>
      </c>
      <c r="B175" t="inlineStr">
        <is>
          <t>avverkningsanmälan</t>
        </is>
      </c>
      <c r="C175" t="inlineStr">
        <is>
          <t>Föryngringsavverkning</t>
        </is>
      </c>
      <c r="D175" s="1" t="n">
        <v>45167</v>
      </c>
      <c r="E175" s="1" t="n">
        <v>46220</v>
      </c>
      <c r="F175" t="inlineStr">
        <is>
          <t>DALARNAS LÄN</t>
        </is>
      </c>
      <c r="G175" t="inlineStr">
        <is>
          <t>MORA</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43432-2024</t>
        </is>
      </c>
      <c r="B176" t="inlineStr">
        <is>
          <t>avverkningsanmälan</t>
        </is>
      </c>
      <c r="C176" t="inlineStr">
        <is>
          <t>Föryngringsavverkning</t>
        </is>
      </c>
      <c r="D176" s="1" t="n">
        <v>45568</v>
      </c>
      <c r="E176" s="1" t="n">
        <v>46220</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55671-2024</t>
        </is>
      </c>
      <c r="B177" t="inlineStr">
        <is>
          <t>avverkningsanmälan</t>
        </is>
      </c>
      <c r="C177" t="inlineStr">
        <is>
          <t>Föryngringsavverkning</t>
        </is>
      </c>
      <c r="D177" s="1" t="n">
        <v>45622</v>
      </c>
      <c r="E177" s="1" t="n">
        <v>46220</v>
      </c>
      <c r="F177" t="inlineStr">
        <is>
          <t>DALARNAS LÄN</t>
        </is>
      </c>
      <c r="G177" t="inlineStr">
        <is>
          <t>MORA</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69483-2021</t>
        </is>
      </c>
      <c r="B178" t="inlineStr">
        <is>
          <t>avverkningsanmälan</t>
        </is>
      </c>
      <c r="C178" t="inlineStr">
        <is>
          <t>Föryngringsavverkning</t>
        </is>
      </c>
      <c r="D178" s="1" t="n">
        <v>44531</v>
      </c>
      <c r="E178" s="1" t="n">
        <v>46220</v>
      </c>
      <c r="F178" t="inlineStr">
        <is>
          <t>DALARNAS LÄN</t>
        </is>
      </c>
      <c r="G178" t="inlineStr">
        <is>
          <t>MORA</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17494-2025</t>
        </is>
      </c>
      <c r="B179" t="inlineStr">
        <is>
          <t>avverkningsanmälan</t>
        </is>
      </c>
      <c r="C179" t="inlineStr">
        <is>
          <t>Föryngringsavverkning</t>
        </is>
      </c>
      <c r="D179" s="1" t="n">
        <v>45757</v>
      </c>
      <c r="E179" s="1" t="n">
        <v>46220</v>
      </c>
      <c r="F179" t="inlineStr">
        <is>
          <t>DALARNAS LÄN</t>
        </is>
      </c>
      <c r="G179" t="inlineStr">
        <is>
          <t>MORA</t>
        </is>
      </c>
      <c r="I179" t="n">
        <v>5.3</v>
      </c>
      <c r="J179" t="n">
        <v>0</v>
      </c>
      <c r="K179" t="n">
        <v>0</v>
      </c>
      <c r="L179" t="n">
        <v>0</v>
      </c>
      <c r="M179" t="n">
        <v>0</v>
      </c>
      <c r="N179" t="n">
        <v>0</v>
      </c>
      <c r="O179" t="n">
        <v>0</v>
      </c>
      <c r="P179" t="n">
        <v>0</v>
      </c>
      <c r="Q179" t="n">
        <v>0</v>
      </c>
      <c r="R179" t="n">
        <v>0</v>
      </c>
      <c r="S179" t="n">
        <v>0</v>
      </c>
      <c r="T179" t="n">
        <v>0</v>
      </c>
      <c r="U179" s="2" t="inlineStr"/>
    </row>
    <row r="180" ht="15" customHeight="1">
      <c r="A180" t="inlineStr">
        <is>
          <t>A 50911-2024</t>
        </is>
      </c>
      <c r="B180" t="inlineStr">
        <is>
          <t>avverkningsanmälan</t>
        </is>
      </c>
      <c r="C180" t="inlineStr">
        <is>
          <t>Föryngringsavverkning</t>
        </is>
      </c>
      <c r="D180" s="1" t="n">
        <v>45602</v>
      </c>
      <c r="E180" s="1" t="n">
        <v>46220</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30998-2022</t>
        </is>
      </c>
      <c r="B181" t="inlineStr">
        <is>
          <t>avverkningsanmälan</t>
        </is>
      </c>
      <c r="C181" t="inlineStr">
        <is>
          <t>Föryngringsavverkning</t>
        </is>
      </c>
      <c r="D181" s="1" t="n">
        <v>44768</v>
      </c>
      <c r="E181" s="1" t="n">
        <v>46220</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47143-2022</t>
        </is>
      </c>
      <c r="B182" t="inlineStr">
        <is>
          <t>avverkningsanmälan</t>
        </is>
      </c>
      <c r="C182" t="inlineStr">
        <is>
          <t>Föryngringsavverkning</t>
        </is>
      </c>
      <c r="D182" s="1" t="n">
        <v>44852</v>
      </c>
      <c r="E182" s="1" t="n">
        <v>46220</v>
      </c>
      <c r="F182" t="inlineStr">
        <is>
          <t>DALARNAS LÄN</t>
        </is>
      </c>
      <c r="G182" t="inlineStr">
        <is>
          <t>MORA</t>
        </is>
      </c>
      <c r="I182" t="n">
        <v>3.9</v>
      </c>
      <c r="J182" t="n">
        <v>0</v>
      </c>
      <c r="K182" t="n">
        <v>0</v>
      </c>
      <c r="L182" t="n">
        <v>0</v>
      </c>
      <c r="M182" t="n">
        <v>0</v>
      </c>
      <c r="N182" t="n">
        <v>0</v>
      </c>
      <c r="O182" t="n">
        <v>0</v>
      </c>
      <c r="P182" t="n">
        <v>0</v>
      </c>
      <c r="Q182" t="n">
        <v>0</v>
      </c>
      <c r="R182" t="n">
        <v>0</v>
      </c>
      <c r="S182" t="n">
        <v>0</v>
      </c>
      <c r="T182" t="n">
        <v>0</v>
      </c>
      <c r="U182" s="2" t="inlineStr"/>
    </row>
    <row r="183" ht="15" customHeight="1">
      <c r="A183" t="inlineStr">
        <is>
          <t>A 57475-2022</t>
        </is>
      </c>
      <c r="B183" t="inlineStr">
        <is>
          <t>avverkningsanmälan</t>
        </is>
      </c>
      <c r="C183" t="inlineStr">
        <is>
          <t>Föryngringsavverkning</t>
        </is>
      </c>
      <c r="D183" s="1" t="n">
        <v>44896</v>
      </c>
      <c r="E183" s="1" t="n">
        <v>46220</v>
      </c>
      <c r="F183" t="inlineStr">
        <is>
          <t>DALARNAS LÄN</t>
        </is>
      </c>
      <c r="G183" t="inlineStr">
        <is>
          <t>MORA</t>
        </is>
      </c>
      <c r="I183" t="n">
        <v>5.7</v>
      </c>
      <c r="J183" t="n">
        <v>0</v>
      </c>
      <c r="K183" t="n">
        <v>0</v>
      </c>
      <c r="L183" t="n">
        <v>0</v>
      </c>
      <c r="M183" t="n">
        <v>0</v>
      </c>
      <c r="N183" t="n">
        <v>0</v>
      </c>
      <c r="O183" t="n">
        <v>0</v>
      </c>
      <c r="P183" t="n">
        <v>0</v>
      </c>
      <c r="Q183" t="n">
        <v>0</v>
      </c>
      <c r="R183" t="n">
        <v>0</v>
      </c>
      <c r="S183" t="n">
        <v>0</v>
      </c>
      <c r="T183" t="n">
        <v>0</v>
      </c>
      <c r="U183" s="2" t="inlineStr"/>
    </row>
    <row r="184" ht="15" customHeight="1">
      <c r="A184" t="inlineStr">
        <is>
          <t>A 62854-2023</t>
        </is>
      </c>
      <c r="B184" t="inlineStr">
        <is>
          <t>avverkningsanmälan</t>
        </is>
      </c>
      <c r="C184" t="inlineStr">
        <is>
          <t>Avverkning för annat ändamål</t>
        </is>
      </c>
      <c r="D184" s="1" t="n">
        <v>45272</v>
      </c>
      <c r="E184" s="1" t="n">
        <v>46220</v>
      </c>
      <c r="F184" t="inlineStr">
        <is>
          <t>DALARNAS LÄN</t>
        </is>
      </c>
      <c r="G184" t="inlineStr">
        <is>
          <t>MORA</t>
        </is>
      </c>
      <c r="I184" t="n">
        <v>11.3</v>
      </c>
      <c r="J184" t="n">
        <v>0</v>
      </c>
      <c r="K184" t="n">
        <v>0</v>
      </c>
      <c r="L184" t="n">
        <v>0</v>
      </c>
      <c r="M184" t="n">
        <v>0</v>
      </c>
      <c r="N184" t="n">
        <v>0</v>
      </c>
      <c r="O184" t="n">
        <v>0</v>
      </c>
      <c r="P184" t="n">
        <v>0</v>
      </c>
      <c r="Q184" t="n">
        <v>0</v>
      </c>
      <c r="R184" t="n">
        <v>0</v>
      </c>
      <c r="S184" t="n">
        <v>0</v>
      </c>
      <c r="T184" t="n">
        <v>0</v>
      </c>
      <c r="U184" s="2" t="inlineStr"/>
    </row>
    <row r="185" ht="15" customHeight="1">
      <c r="A185" t="inlineStr">
        <is>
          <t>A 24249-2025</t>
        </is>
      </c>
      <c r="B185" t="inlineStr">
        <is>
          <t>avverkningsanmälan</t>
        </is>
      </c>
      <c r="C185" t="inlineStr">
        <is>
          <t>Föryngringsavverkning</t>
        </is>
      </c>
      <c r="D185" s="1" t="n">
        <v>45797</v>
      </c>
      <c r="E185" s="1" t="n">
        <v>46220</v>
      </c>
      <c r="F185" t="inlineStr">
        <is>
          <t>DALARNAS LÄN</t>
        </is>
      </c>
      <c r="G185" t="inlineStr">
        <is>
          <t>MORA</t>
        </is>
      </c>
      <c r="I185" t="n">
        <v>9.300000000000001</v>
      </c>
      <c r="J185" t="n">
        <v>0</v>
      </c>
      <c r="K185" t="n">
        <v>0</v>
      </c>
      <c r="L185" t="n">
        <v>0</v>
      </c>
      <c r="M185" t="n">
        <v>0</v>
      </c>
      <c r="N185" t="n">
        <v>0</v>
      </c>
      <c r="O185" t="n">
        <v>0</v>
      </c>
      <c r="P185" t="n">
        <v>0</v>
      </c>
      <c r="Q185" t="n">
        <v>0</v>
      </c>
      <c r="R185" t="n">
        <v>0</v>
      </c>
      <c r="S185" t="n">
        <v>0</v>
      </c>
      <c r="T185" t="n">
        <v>0</v>
      </c>
      <c r="U185" s="2" t="inlineStr"/>
    </row>
    <row r="186" ht="15" customHeight="1">
      <c r="A186" t="inlineStr">
        <is>
          <t>A 9461-2025</t>
        </is>
      </c>
      <c r="B186" t="inlineStr">
        <is>
          <t>avverkningsanmälan</t>
        </is>
      </c>
      <c r="C186" t="inlineStr">
        <is>
          <t>Föryngringsavverkning</t>
        </is>
      </c>
      <c r="D186" s="1" t="n">
        <v>45715</v>
      </c>
      <c r="E186" s="1" t="n">
        <v>46220</v>
      </c>
      <c r="F186" t="inlineStr">
        <is>
          <t>DALARNAS LÄN</t>
        </is>
      </c>
      <c r="G186" t="inlineStr">
        <is>
          <t>MORA</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34928-2022</t>
        </is>
      </c>
      <c r="B187" t="inlineStr">
        <is>
          <t>avverkningsanmälan</t>
        </is>
      </c>
      <c r="C187" t="inlineStr">
        <is>
          <t>Föryngringsavverkning</t>
        </is>
      </c>
      <c r="D187" s="1" t="n">
        <v>44796</v>
      </c>
      <c r="E187" s="1" t="n">
        <v>46220</v>
      </c>
      <c r="F187" t="inlineStr">
        <is>
          <t>DALARNAS LÄN</t>
        </is>
      </c>
      <c r="G187" t="inlineStr">
        <is>
          <t>MORA</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19286-2023</t>
        </is>
      </c>
      <c r="B188" t="inlineStr">
        <is>
          <t>avverkningsanmälan</t>
        </is>
      </c>
      <c r="C188" t="inlineStr">
        <is>
          <t>Föryngringsavverkning</t>
        </is>
      </c>
      <c r="D188" s="1" t="n">
        <v>45049</v>
      </c>
      <c r="E188" s="1" t="n">
        <v>46220</v>
      </c>
      <c r="F188" t="inlineStr">
        <is>
          <t>DALARNAS LÄN</t>
        </is>
      </c>
      <c r="G188" t="inlineStr">
        <is>
          <t>MORA</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5922-2025</t>
        </is>
      </c>
      <c r="B189" t="inlineStr">
        <is>
          <t>avverkningsanmälan</t>
        </is>
      </c>
      <c r="C189" t="inlineStr">
        <is>
          <t>Föryngringsavverkning</t>
        </is>
      </c>
      <c r="D189" s="1" t="n">
        <v>45695</v>
      </c>
      <c r="E189" s="1" t="n">
        <v>46220</v>
      </c>
      <c r="F189" t="inlineStr">
        <is>
          <t>DALARNAS LÄN</t>
        </is>
      </c>
      <c r="G189" t="inlineStr">
        <is>
          <t>MORA</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43533-2023</t>
        </is>
      </c>
      <c r="B190" t="inlineStr">
        <is>
          <t>avverkningsanmälan</t>
        </is>
      </c>
      <c r="C190" t="inlineStr">
        <is>
          <t>Föryngringsavverkning</t>
        </is>
      </c>
      <c r="D190" s="1" t="n">
        <v>45184</v>
      </c>
      <c r="E190" s="1" t="n">
        <v>46220</v>
      </c>
      <c r="F190" t="inlineStr">
        <is>
          <t>DALARNAS LÄN</t>
        </is>
      </c>
      <c r="G190" t="inlineStr">
        <is>
          <t>MORA</t>
        </is>
      </c>
      <c r="H190" t="inlineStr">
        <is>
          <t>Bergvik skog väst AB</t>
        </is>
      </c>
      <c r="I190" t="n">
        <v>10.3</v>
      </c>
      <c r="J190" t="n">
        <v>0</v>
      </c>
      <c r="K190" t="n">
        <v>0</v>
      </c>
      <c r="L190" t="n">
        <v>0</v>
      </c>
      <c r="M190" t="n">
        <v>0</v>
      </c>
      <c r="N190" t="n">
        <v>0</v>
      </c>
      <c r="O190" t="n">
        <v>0</v>
      </c>
      <c r="P190" t="n">
        <v>0</v>
      </c>
      <c r="Q190" t="n">
        <v>0</v>
      </c>
      <c r="R190" t="n">
        <v>0</v>
      </c>
      <c r="S190" t="n">
        <v>0</v>
      </c>
      <c r="T190" t="n">
        <v>0</v>
      </c>
      <c r="U190" s="2" t="inlineStr"/>
    </row>
    <row r="191" ht="15" customHeight="1">
      <c r="A191" t="inlineStr">
        <is>
          <t>A 37774-2022</t>
        </is>
      </c>
      <c r="B191" t="inlineStr">
        <is>
          <t>avverkningsanmälan</t>
        </is>
      </c>
      <c r="C191" t="inlineStr">
        <is>
          <t>Föryngringsavverkning</t>
        </is>
      </c>
      <c r="D191" s="1" t="n">
        <v>44810</v>
      </c>
      <c r="E191" s="1" t="n">
        <v>46220</v>
      </c>
      <c r="F191" t="inlineStr">
        <is>
          <t>DALARNAS LÄN</t>
        </is>
      </c>
      <c r="G191" t="inlineStr">
        <is>
          <t>MORA</t>
        </is>
      </c>
      <c r="H191" t="inlineStr">
        <is>
          <t>Bergvik skog väst AB</t>
        </is>
      </c>
      <c r="I191" t="n">
        <v>8.5</v>
      </c>
      <c r="J191" t="n">
        <v>0</v>
      </c>
      <c r="K191" t="n">
        <v>0</v>
      </c>
      <c r="L191" t="n">
        <v>0</v>
      </c>
      <c r="M191" t="n">
        <v>0</v>
      </c>
      <c r="N191" t="n">
        <v>0</v>
      </c>
      <c r="O191" t="n">
        <v>0</v>
      </c>
      <c r="P191" t="n">
        <v>0</v>
      </c>
      <c r="Q191" t="n">
        <v>0</v>
      </c>
      <c r="R191" t="n">
        <v>0</v>
      </c>
      <c r="S191" t="n">
        <v>0</v>
      </c>
      <c r="T191" t="n">
        <v>0</v>
      </c>
      <c r="U191" s="2" t="inlineStr"/>
    </row>
    <row r="192" ht="15" customHeight="1">
      <c r="A192" t="inlineStr">
        <is>
          <t>A 24640-2025</t>
        </is>
      </c>
      <c r="B192" t="inlineStr">
        <is>
          <t>avverkningsanmälan</t>
        </is>
      </c>
      <c r="C192" t="inlineStr">
        <is>
          <t>Föryngringsavverkning</t>
        </is>
      </c>
      <c r="D192" s="1" t="n">
        <v>45798</v>
      </c>
      <c r="E192" s="1" t="n">
        <v>46220</v>
      </c>
      <c r="F192" t="inlineStr">
        <is>
          <t>DALARNAS LÄN</t>
        </is>
      </c>
      <c r="G192" t="inlineStr">
        <is>
          <t>MORA</t>
        </is>
      </c>
      <c r="H192" t="inlineStr">
        <is>
          <t>Bergvik skog väst AB</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64327-2023</t>
        </is>
      </c>
      <c r="B193" t="inlineStr">
        <is>
          <t>avverkningsanmälan</t>
        </is>
      </c>
      <c r="C193" t="inlineStr">
        <is>
          <t>Föryngringsavverkning</t>
        </is>
      </c>
      <c r="D193" s="1" t="n">
        <v>45280</v>
      </c>
      <c r="E193" s="1" t="n">
        <v>46220</v>
      </c>
      <c r="F193" t="inlineStr">
        <is>
          <t>DALARNAS LÄN</t>
        </is>
      </c>
      <c r="G193" t="inlineStr">
        <is>
          <t>MORA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17145-2024</t>
        </is>
      </c>
      <c r="B194" t="inlineStr">
        <is>
          <t>avverkningsanmälan</t>
        </is>
      </c>
      <c r="C194" t="inlineStr">
        <is>
          <t>Föryngringsavverkning</t>
        </is>
      </c>
      <c r="D194" s="1" t="n">
        <v>45412</v>
      </c>
      <c r="E194" s="1" t="n">
        <v>46220</v>
      </c>
      <c r="F194" t="inlineStr">
        <is>
          <t>DALARNAS LÄN</t>
        </is>
      </c>
      <c r="G194" t="inlineStr">
        <is>
          <t>MORA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48728-2022</t>
        </is>
      </c>
      <c r="B195" t="inlineStr">
        <is>
          <t>avverkningsanmälan</t>
        </is>
      </c>
      <c r="C195" t="inlineStr">
        <is>
          <t>Föryngringsavverkning</t>
        </is>
      </c>
      <c r="D195" s="1" t="n">
        <v>44859</v>
      </c>
      <c r="E195" s="1" t="n">
        <v>46220</v>
      </c>
      <c r="F195" t="inlineStr">
        <is>
          <t>DALARNAS LÄN</t>
        </is>
      </c>
      <c r="G195" t="inlineStr">
        <is>
          <t>MORA</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141-2026</t>
        </is>
      </c>
      <c r="B196" t="inlineStr">
        <is>
          <t>avverkningsanmälan</t>
        </is>
      </c>
      <c r="C196" t="inlineStr">
        <is>
          <t>Föryngringsavverkning</t>
        </is>
      </c>
      <c r="D196" s="1" t="n">
        <v>46024</v>
      </c>
      <c r="E196" s="1" t="n">
        <v>46220</v>
      </c>
      <c r="F196" t="inlineStr">
        <is>
          <t>DALARNAS LÄN</t>
        </is>
      </c>
      <c r="G196" t="inlineStr">
        <is>
          <t>MORA</t>
        </is>
      </c>
      <c r="I196" t="n">
        <v>4.4</v>
      </c>
      <c r="J196" t="n">
        <v>0</v>
      </c>
      <c r="K196" t="n">
        <v>0</v>
      </c>
      <c r="L196" t="n">
        <v>0</v>
      </c>
      <c r="M196" t="n">
        <v>0</v>
      </c>
      <c r="N196" t="n">
        <v>0</v>
      </c>
      <c r="O196" t="n">
        <v>0</v>
      </c>
      <c r="P196" t="n">
        <v>0</v>
      </c>
      <c r="Q196" t="n">
        <v>0</v>
      </c>
      <c r="R196" t="n">
        <v>0</v>
      </c>
      <c r="S196" t="n">
        <v>0</v>
      </c>
      <c r="T196" t="n">
        <v>0</v>
      </c>
      <c r="U196" s="2" t="inlineStr"/>
    </row>
    <row r="197" ht="15" customHeight="1">
      <c r="A197" t="inlineStr">
        <is>
          <t>A 60962-2025</t>
        </is>
      </c>
      <c r="B197" t="inlineStr">
        <is>
          <t>avverkningsanmälan</t>
        </is>
      </c>
      <c r="C197" t="inlineStr">
        <is>
          <t>Föryngringsavverkning</t>
        </is>
      </c>
      <c r="D197" s="1" t="n">
        <v>45999</v>
      </c>
      <c r="E197" s="1" t="n">
        <v>46220</v>
      </c>
      <c r="F197" t="inlineStr">
        <is>
          <t>DALARNAS LÄN</t>
        </is>
      </c>
      <c r="G197" t="inlineStr">
        <is>
          <t>MORA</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24642-2025</t>
        </is>
      </c>
      <c r="B198" t="inlineStr">
        <is>
          <t>avverkningsanmälan</t>
        </is>
      </c>
      <c r="C198" t="inlineStr">
        <is>
          <t>Föryngringsavverkning</t>
        </is>
      </c>
      <c r="D198" s="1" t="n">
        <v>45798</v>
      </c>
      <c r="E198" s="1" t="n">
        <v>46220</v>
      </c>
      <c r="F198" t="inlineStr">
        <is>
          <t>DALARNAS LÄN</t>
        </is>
      </c>
      <c r="G198" t="inlineStr">
        <is>
          <t>MORA</t>
        </is>
      </c>
      <c r="H198" t="inlineStr">
        <is>
          <t>Bergvik skog väst AB</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15993-2025</t>
        </is>
      </c>
      <c r="B199" t="inlineStr">
        <is>
          <t>avverkningsanmälan</t>
        </is>
      </c>
      <c r="C199" t="inlineStr">
        <is>
          <t>Föryngringsavverkning</t>
        </is>
      </c>
      <c r="D199" s="1" t="n">
        <v>45749</v>
      </c>
      <c r="E199" s="1" t="n">
        <v>46220</v>
      </c>
      <c r="F199" t="inlineStr">
        <is>
          <t>DALARNAS LÄN</t>
        </is>
      </c>
      <c r="G199" t="inlineStr">
        <is>
          <t>MORA</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54398-2021</t>
        </is>
      </c>
      <c r="B200" t="inlineStr">
        <is>
          <t>avverkningsanmälan</t>
        </is>
      </c>
      <c r="C200" t="inlineStr">
        <is>
          <t>Föryngringsavverkning</t>
        </is>
      </c>
      <c r="D200" s="1" t="n">
        <v>44473</v>
      </c>
      <c r="E200" s="1" t="n">
        <v>46220</v>
      </c>
      <c r="F200" t="inlineStr">
        <is>
          <t>DALARNAS LÄN</t>
        </is>
      </c>
      <c r="G200" t="inlineStr">
        <is>
          <t>MORA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57110-2021</t>
        </is>
      </c>
      <c r="B201" t="inlineStr">
        <is>
          <t>avverkningsanmälan</t>
        </is>
      </c>
      <c r="C201" t="inlineStr">
        <is>
          <t>Föryngringsavverkning</t>
        </is>
      </c>
      <c r="D201" s="1" t="n">
        <v>44482</v>
      </c>
      <c r="E201" s="1" t="n">
        <v>46220</v>
      </c>
      <c r="F201" t="inlineStr">
        <is>
          <t>DALARNAS LÄN</t>
        </is>
      </c>
      <c r="G201" t="inlineStr">
        <is>
          <t>MORA</t>
        </is>
      </c>
      <c r="I201" t="n">
        <v>5.4</v>
      </c>
      <c r="J201" t="n">
        <v>0</v>
      </c>
      <c r="K201" t="n">
        <v>0</v>
      </c>
      <c r="L201" t="n">
        <v>0</v>
      </c>
      <c r="M201" t="n">
        <v>0</v>
      </c>
      <c r="N201" t="n">
        <v>0</v>
      </c>
      <c r="O201" t="n">
        <v>0</v>
      </c>
      <c r="P201" t="n">
        <v>0</v>
      </c>
      <c r="Q201" t="n">
        <v>0</v>
      </c>
      <c r="R201" t="n">
        <v>0</v>
      </c>
      <c r="S201" t="n">
        <v>0</v>
      </c>
      <c r="T201" t="n">
        <v>0</v>
      </c>
      <c r="U201" s="2" t="inlineStr"/>
    </row>
    <row r="202" ht="15" customHeight="1">
      <c r="A202" t="inlineStr">
        <is>
          <t>A 11857-2023</t>
        </is>
      </c>
      <c r="B202" t="inlineStr">
        <is>
          <t>avverkningsanmälan</t>
        </is>
      </c>
      <c r="C202" t="inlineStr">
        <is>
          <t>Föryngringsavverkning</t>
        </is>
      </c>
      <c r="D202" s="1" t="n">
        <v>44995</v>
      </c>
      <c r="E202" s="1" t="n">
        <v>46220</v>
      </c>
      <c r="F202" t="inlineStr">
        <is>
          <t>DALARNAS LÄN</t>
        </is>
      </c>
      <c r="G202" t="inlineStr">
        <is>
          <t>MORA</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56012-2023</t>
        </is>
      </c>
      <c r="B203" t="inlineStr">
        <is>
          <t>avverkningsanmälan</t>
        </is>
      </c>
      <c r="C203" t="inlineStr">
        <is>
          <t>Föryngringsavverkning</t>
        </is>
      </c>
      <c r="D203" s="1" t="n">
        <v>45240</v>
      </c>
      <c r="E203" s="1" t="n">
        <v>46220</v>
      </c>
      <c r="F203" t="inlineStr">
        <is>
          <t>DALARNAS LÄN</t>
        </is>
      </c>
      <c r="G203" t="inlineStr">
        <is>
          <t>MORA</t>
        </is>
      </c>
      <c r="I203" t="n">
        <v>0.3</v>
      </c>
      <c r="J203" t="n">
        <v>0</v>
      </c>
      <c r="K203" t="n">
        <v>0</v>
      </c>
      <c r="L203" t="n">
        <v>0</v>
      </c>
      <c r="M203" t="n">
        <v>0</v>
      </c>
      <c r="N203" t="n">
        <v>0</v>
      </c>
      <c r="O203" t="n">
        <v>0</v>
      </c>
      <c r="P203" t="n">
        <v>0</v>
      </c>
      <c r="Q203" t="n">
        <v>0</v>
      </c>
      <c r="R203" t="n">
        <v>0</v>
      </c>
      <c r="S203" t="n">
        <v>0</v>
      </c>
      <c r="T203" t="n">
        <v>0</v>
      </c>
      <c r="U203" s="2" t="inlineStr"/>
    </row>
    <row r="204" ht="15" customHeight="1">
      <c r="A204" t="inlineStr">
        <is>
          <t>A 5298-2023</t>
        </is>
      </c>
      <c r="B204" t="inlineStr">
        <is>
          <t>avverkningsanmälan</t>
        </is>
      </c>
      <c r="C204" t="inlineStr">
        <is>
          <t>Föryngringsavverkning</t>
        </is>
      </c>
      <c r="D204" s="1" t="n">
        <v>44959</v>
      </c>
      <c r="E204" s="1" t="n">
        <v>46220</v>
      </c>
      <c r="F204" t="inlineStr">
        <is>
          <t>DALARNAS LÄN</t>
        </is>
      </c>
      <c r="G204" t="inlineStr">
        <is>
          <t>MORA</t>
        </is>
      </c>
      <c r="H204" t="inlineStr">
        <is>
          <t>Bergvik skog väst AB</t>
        </is>
      </c>
      <c r="I204" t="n">
        <v>6.2</v>
      </c>
      <c r="J204" t="n">
        <v>0</v>
      </c>
      <c r="K204" t="n">
        <v>0</v>
      </c>
      <c r="L204" t="n">
        <v>0</v>
      </c>
      <c r="M204" t="n">
        <v>0</v>
      </c>
      <c r="N204" t="n">
        <v>0</v>
      </c>
      <c r="O204" t="n">
        <v>0</v>
      </c>
      <c r="P204" t="n">
        <v>0</v>
      </c>
      <c r="Q204" t="n">
        <v>0</v>
      </c>
      <c r="R204" t="n">
        <v>0</v>
      </c>
      <c r="S204" t="n">
        <v>0</v>
      </c>
      <c r="T204" t="n">
        <v>0</v>
      </c>
      <c r="U204" s="2" t="inlineStr"/>
    </row>
    <row r="205" ht="15" customHeight="1">
      <c r="A205" t="inlineStr">
        <is>
          <t>A 57859-2022</t>
        </is>
      </c>
      <c r="B205" t="inlineStr">
        <is>
          <t>avverkningsanmälan</t>
        </is>
      </c>
      <c r="C205" t="inlineStr">
        <is>
          <t>Föryngringsavverkning</t>
        </is>
      </c>
      <c r="D205" s="1" t="n">
        <v>44898</v>
      </c>
      <c r="E205" s="1" t="n">
        <v>46220</v>
      </c>
      <c r="F205" t="inlineStr">
        <is>
          <t>DALARNAS LÄN</t>
        </is>
      </c>
      <c r="G205" t="inlineStr">
        <is>
          <t>MORA</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26532-2025</t>
        </is>
      </c>
      <c r="B206" t="inlineStr">
        <is>
          <t>avverkningsanmälan</t>
        </is>
      </c>
      <c r="C206" t="inlineStr">
        <is>
          <t>Föryngringsavverkning</t>
        </is>
      </c>
      <c r="D206" s="1" t="n">
        <v>45807</v>
      </c>
      <c r="E206" s="1" t="n">
        <v>46220</v>
      </c>
      <c r="F206" t="inlineStr">
        <is>
          <t>DALARNAS LÄN</t>
        </is>
      </c>
      <c r="G206" t="inlineStr">
        <is>
          <t>MORA</t>
        </is>
      </c>
      <c r="I206" t="n">
        <v>4.4</v>
      </c>
      <c r="J206" t="n">
        <v>0</v>
      </c>
      <c r="K206" t="n">
        <v>0</v>
      </c>
      <c r="L206" t="n">
        <v>0</v>
      </c>
      <c r="M206" t="n">
        <v>0</v>
      </c>
      <c r="N206" t="n">
        <v>0</v>
      </c>
      <c r="O206" t="n">
        <v>0</v>
      </c>
      <c r="P206" t="n">
        <v>0</v>
      </c>
      <c r="Q206" t="n">
        <v>0</v>
      </c>
      <c r="R206" t="n">
        <v>0</v>
      </c>
      <c r="S206" t="n">
        <v>0</v>
      </c>
      <c r="T206" t="n">
        <v>0</v>
      </c>
      <c r="U206" s="2" t="inlineStr"/>
    </row>
    <row r="207" ht="15" customHeight="1">
      <c r="A207" t="inlineStr">
        <is>
          <t>A 30819-2024</t>
        </is>
      </c>
      <c r="B207" t="inlineStr">
        <is>
          <t>avverkningsanmälan</t>
        </is>
      </c>
      <c r="C207" t="inlineStr">
        <is>
          <t>Föryngringsavverkning</t>
        </is>
      </c>
      <c r="D207" s="1" t="n">
        <v>45497</v>
      </c>
      <c r="E207" s="1" t="n">
        <v>46220</v>
      </c>
      <c r="F207" t="inlineStr">
        <is>
          <t>DALARNAS LÄN</t>
        </is>
      </c>
      <c r="G207" t="inlineStr">
        <is>
          <t>MORA</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25935-2023</t>
        </is>
      </c>
      <c r="B208" t="inlineStr">
        <is>
          <t>avverkningsanmälan</t>
        </is>
      </c>
      <c r="C208" t="inlineStr">
        <is>
          <t>Föryngringsavverkning</t>
        </is>
      </c>
      <c r="D208" s="1" t="n">
        <v>45090</v>
      </c>
      <c r="E208" s="1" t="n">
        <v>46220</v>
      </c>
      <c r="F208" t="inlineStr">
        <is>
          <t>DALARNAS LÄN</t>
        </is>
      </c>
      <c r="G208" t="inlineStr">
        <is>
          <t>MORA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26731-2025</t>
        </is>
      </c>
      <c r="B209" t="inlineStr">
        <is>
          <t>avverkningsanmälan</t>
        </is>
      </c>
      <c r="C209" t="inlineStr">
        <is>
          <t>Föryngringsavverkning</t>
        </is>
      </c>
      <c r="D209" s="1" t="n">
        <v>45810</v>
      </c>
      <c r="E209" s="1" t="n">
        <v>46220</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20885-2024</t>
        </is>
      </c>
      <c r="B210" t="inlineStr">
        <is>
          <t>avverkningsanmälan</t>
        </is>
      </c>
      <c r="C210" t="inlineStr">
        <is>
          <t>Föryngringsavverkning</t>
        </is>
      </c>
      <c r="D210" s="1" t="n">
        <v>45439</v>
      </c>
      <c r="E210" s="1" t="n">
        <v>46220</v>
      </c>
      <c r="F210" t="inlineStr">
        <is>
          <t>DALARNAS LÄN</t>
        </is>
      </c>
      <c r="G210" t="inlineStr">
        <is>
          <t>MORA</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56425-2024</t>
        </is>
      </c>
      <c r="B211" t="inlineStr">
        <is>
          <t>avverkningsanmälan</t>
        </is>
      </c>
      <c r="C211" t="inlineStr">
        <is>
          <t>Föryngringsavverkning</t>
        </is>
      </c>
      <c r="D211" s="1" t="n">
        <v>45625</v>
      </c>
      <c r="E211" s="1" t="n">
        <v>46220</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26711-2025</t>
        </is>
      </c>
      <c r="B212" t="inlineStr">
        <is>
          <t>avverkningsanmälan</t>
        </is>
      </c>
      <c r="C212" t="inlineStr">
        <is>
          <t>Föryngringsavverkning</t>
        </is>
      </c>
      <c r="D212" s="1" t="n">
        <v>45810</v>
      </c>
      <c r="E212" s="1" t="n">
        <v>46220</v>
      </c>
      <c r="F212" t="inlineStr">
        <is>
          <t>DALARNAS LÄN</t>
        </is>
      </c>
      <c r="G212" t="inlineStr">
        <is>
          <t>MORA</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59182-2023</t>
        </is>
      </c>
      <c r="B213" t="inlineStr">
        <is>
          <t>avverkningsanmälan</t>
        </is>
      </c>
      <c r="C213" t="inlineStr">
        <is>
          <t>Föryngringsavverkning</t>
        </is>
      </c>
      <c r="D213" s="1" t="n">
        <v>45253</v>
      </c>
      <c r="E213" s="1" t="n">
        <v>46220</v>
      </c>
      <c r="F213" t="inlineStr">
        <is>
          <t>DALARNAS LÄN</t>
        </is>
      </c>
      <c r="G213" t="inlineStr">
        <is>
          <t>MORA</t>
        </is>
      </c>
      <c r="I213" t="n">
        <v>3.3</v>
      </c>
      <c r="J213" t="n">
        <v>0</v>
      </c>
      <c r="K213" t="n">
        <v>0</v>
      </c>
      <c r="L213" t="n">
        <v>0</v>
      </c>
      <c r="M213" t="n">
        <v>0</v>
      </c>
      <c r="N213" t="n">
        <v>0</v>
      </c>
      <c r="O213" t="n">
        <v>0</v>
      </c>
      <c r="P213" t="n">
        <v>0</v>
      </c>
      <c r="Q213" t="n">
        <v>0</v>
      </c>
      <c r="R213" t="n">
        <v>0</v>
      </c>
      <c r="S213" t="n">
        <v>0</v>
      </c>
      <c r="T213" t="n">
        <v>0</v>
      </c>
      <c r="U213" s="2" t="inlineStr"/>
    </row>
    <row r="214" ht="15" customHeight="1">
      <c r="A214" t="inlineStr">
        <is>
          <t>A 7565-2025</t>
        </is>
      </c>
      <c r="B214" t="inlineStr">
        <is>
          <t>avverkningsanmälan</t>
        </is>
      </c>
      <c r="C214" t="inlineStr">
        <is>
          <t>Föryngringsavverkning</t>
        </is>
      </c>
      <c r="D214" s="1" t="n">
        <v>45705</v>
      </c>
      <c r="E214" s="1" t="n">
        <v>46220</v>
      </c>
      <c r="F214" t="inlineStr">
        <is>
          <t>DALARNAS LÄN</t>
        </is>
      </c>
      <c r="G214" t="inlineStr">
        <is>
          <t>MORA</t>
        </is>
      </c>
      <c r="I214" t="n">
        <v>3</v>
      </c>
      <c r="J214" t="n">
        <v>0</v>
      </c>
      <c r="K214" t="n">
        <v>0</v>
      </c>
      <c r="L214" t="n">
        <v>0</v>
      </c>
      <c r="M214" t="n">
        <v>0</v>
      </c>
      <c r="N214" t="n">
        <v>0</v>
      </c>
      <c r="O214" t="n">
        <v>0</v>
      </c>
      <c r="P214" t="n">
        <v>0</v>
      </c>
      <c r="Q214" t="n">
        <v>0</v>
      </c>
      <c r="R214" t="n">
        <v>0</v>
      </c>
      <c r="S214" t="n">
        <v>0</v>
      </c>
      <c r="T214" t="n">
        <v>0</v>
      </c>
      <c r="U214" s="2" t="inlineStr"/>
    </row>
    <row r="215" ht="15" customHeight="1">
      <c r="A215" t="inlineStr">
        <is>
          <t>A 26647-2025</t>
        </is>
      </c>
      <c r="B215" t="inlineStr">
        <is>
          <t>avverkningsanmälan</t>
        </is>
      </c>
      <c r="C215" t="inlineStr">
        <is>
          <t>Föryngringsavverkning</t>
        </is>
      </c>
      <c r="D215" s="1" t="n">
        <v>45810</v>
      </c>
      <c r="E215" s="1" t="n">
        <v>46220</v>
      </c>
      <c r="F215" t="inlineStr">
        <is>
          <t>DALARNAS LÄN</t>
        </is>
      </c>
      <c r="G215" t="inlineStr">
        <is>
          <t>MORA</t>
        </is>
      </c>
      <c r="I215" t="n">
        <v>7.9</v>
      </c>
      <c r="J215" t="n">
        <v>0</v>
      </c>
      <c r="K215" t="n">
        <v>0</v>
      </c>
      <c r="L215" t="n">
        <v>0</v>
      </c>
      <c r="M215" t="n">
        <v>0</v>
      </c>
      <c r="N215" t="n">
        <v>0</v>
      </c>
      <c r="O215" t="n">
        <v>0</v>
      </c>
      <c r="P215" t="n">
        <v>0</v>
      </c>
      <c r="Q215" t="n">
        <v>0</v>
      </c>
      <c r="R215" t="n">
        <v>0</v>
      </c>
      <c r="S215" t="n">
        <v>0</v>
      </c>
      <c r="T215" t="n">
        <v>0</v>
      </c>
      <c r="U215" s="2" t="inlineStr"/>
    </row>
    <row r="216" ht="15" customHeight="1">
      <c r="A216" t="inlineStr">
        <is>
          <t>A 39824-2025</t>
        </is>
      </c>
      <c r="B216" t="inlineStr">
        <is>
          <t>avverkningsanmälan</t>
        </is>
      </c>
      <c r="C216" t="inlineStr">
        <is>
          <t>Föryngringsavverkning</t>
        </is>
      </c>
      <c r="D216" s="1" t="n">
        <v>45891</v>
      </c>
      <c r="E216" s="1" t="n">
        <v>46220</v>
      </c>
      <c r="F216" t="inlineStr">
        <is>
          <t>DALARNAS LÄN</t>
        </is>
      </c>
      <c r="G216" t="inlineStr">
        <is>
          <t>MORA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39787-2025</t>
        </is>
      </c>
      <c r="B217" t="inlineStr">
        <is>
          <t>avverkningsanmälan</t>
        </is>
      </c>
      <c r="C217" t="inlineStr">
        <is>
          <t>Föryngringsavverkning</t>
        </is>
      </c>
      <c r="D217" s="1" t="n">
        <v>45891</v>
      </c>
      <c r="E217" s="1" t="n">
        <v>46220</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25737-2025</t>
        </is>
      </c>
      <c r="B218" t="inlineStr">
        <is>
          <t>avverkningsanmälan</t>
        </is>
      </c>
      <c r="C218" t="inlineStr">
        <is>
          <t>Föryngringsavverkning</t>
        </is>
      </c>
      <c r="D218" s="1" t="n">
        <v>45800</v>
      </c>
      <c r="E218" s="1" t="n">
        <v>46220</v>
      </c>
      <c r="F218" t="inlineStr">
        <is>
          <t>DALARNAS LÄN</t>
        </is>
      </c>
      <c r="G218" t="inlineStr">
        <is>
          <t>MORA</t>
        </is>
      </c>
      <c r="I218" t="n">
        <v>9.6</v>
      </c>
      <c r="J218" t="n">
        <v>0</v>
      </c>
      <c r="K218" t="n">
        <v>0</v>
      </c>
      <c r="L218" t="n">
        <v>0</v>
      </c>
      <c r="M218" t="n">
        <v>0</v>
      </c>
      <c r="N218" t="n">
        <v>0</v>
      </c>
      <c r="O218" t="n">
        <v>0</v>
      </c>
      <c r="P218" t="n">
        <v>0</v>
      </c>
      <c r="Q218" t="n">
        <v>0</v>
      </c>
      <c r="R218" t="n">
        <v>0</v>
      </c>
      <c r="S218" t="n">
        <v>0</v>
      </c>
      <c r="T218" t="n">
        <v>0</v>
      </c>
      <c r="U218" s="2" t="inlineStr"/>
    </row>
    <row r="219" ht="15" customHeight="1">
      <c r="A219" t="inlineStr">
        <is>
          <t>A 66232-2021</t>
        </is>
      </c>
      <c r="B219" t="inlineStr">
        <is>
          <t>avverkningsanmälan</t>
        </is>
      </c>
      <c r="C219" t="inlineStr">
        <is>
          <t>Föryngringsavverkning</t>
        </is>
      </c>
      <c r="D219" s="1" t="n">
        <v>44518</v>
      </c>
      <c r="E219" s="1" t="n">
        <v>46220</v>
      </c>
      <c r="F219" t="inlineStr">
        <is>
          <t>DALARNAS LÄN</t>
        </is>
      </c>
      <c r="G219" t="inlineStr">
        <is>
          <t>MORA</t>
        </is>
      </c>
      <c r="I219" t="n">
        <v>8.300000000000001</v>
      </c>
      <c r="J219" t="n">
        <v>0</v>
      </c>
      <c r="K219" t="n">
        <v>0</v>
      </c>
      <c r="L219" t="n">
        <v>0</v>
      </c>
      <c r="M219" t="n">
        <v>0</v>
      </c>
      <c r="N219" t="n">
        <v>0</v>
      </c>
      <c r="O219" t="n">
        <v>0</v>
      </c>
      <c r="P219" t="n">
        <v>0</v>
      </c>
      <c r="Q219" t="n">
        <v>0</v>
      </c>
      <c r="R219" t="n">
        <v>0</v>
      </c>
      <c r="S219" t="n">
        <v>0</v>
      </c>
      <c r="T219" t="n">
        <v>0</v>
      </c>
      <c r="U219" s="2" t="inlineStr"/>
    </row>
    <row r="220" ht="15" customHeight="1">
      <c r="A220" t="inlineStr">
        <is>
          <t>A 40142-2025</t>
        </is>
      </c>
      <c r="B220" t="inlineStr">
        <is>
          <t>avverkningsanmälan</t>
        </is>
      </c>
      <c r="C220" t="inlineStr">
        <is>
          <t>Föryngringsavverkning</t>
        </is>
      </c>
      <c r="D220" s="1" t="n">
        <v>45894</v>
      </c>
      <c r="E220" s="1" t="n">
        <v>46220</v>
      </c>
      <c r="F220" t="inlineStr">
        <is>
          <t>DALARNAS LÄN</t>
        </is>
      </c>
      <c r="G220" t="inlineStr">
        <is>
          <t>MORA</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45562-2023</t>
        </is>
      </c>
      <c r="B221" t="inlineStr">
        <is>
          <t>avverkningsanmälan</t>
        </is>
      </c>
      <c r="C221" t="inlineStr">
        <is>
          <t>Föryngringsavverkning</t>
        </is>
      </c>
      <c r="D221" s="1" t="n">
        <v>45194</v>
      </c>
      <c r="E221" s="1" t="n">
        <v>46220</v>
      </c>
      <c r="F221" t="inlineStr">
        <is>
          <t>DALARNAS LÄN</t>
        </is>
      </c>
      <c r="G221" t="inlineStr">
        <is>
          <t>MORA</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40147-2025</t>
        </is>
      </c>
      <c r="B222" t="inlineStr">
        <is>
          <t>avverkningsanmälan</t>
        </is>
      </c>
      <c r="C222" t="inlineStr">
        <is>
          <t>Föryngringsavverkning</t>
        </is>
      </c>
      <c r="D222" s="1" t="n">
        <v>45894</v>
      </c>
      <c r="E222" s="1" t="n">
        <v>46220</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40660-2025</t>
        </is>
      </c>
      <c r="B223" t="inlineStr">
        <is>
          <t>avverkningsanmälan</t>
        </is>
      </c>
      <c r="C223" t="inlineStr">
        <is>
          <t>Föryngringsavverkning</t>
        </is>
      </c>
      <c r="D223" s="1" t="n">
        <v>45896</v>
      </c>
      <c r="E223" s="1" t="n">
        <v>46220</v>
      </c>
      <c r="F223" t="inlineStr">
        <is>
          <t>DALARNAS LÄN</t>
        </is>
      </c>
      <c r="G223" t="inlineStr">
        <is>
          <t>MORA</t>
        </is>
      </c>
      <c r="H223" t="inlineStr">
        <is>
          <t>Bergvik skog väst AB</t>
        </is>
      </c>
      <c r="I223" t="n">
        <v>5.4</v>
      </c>
      <c r="J223" t="n">
        <v>0</v>
      </c>
      <c r="K223" t="n">
        <v>0</v>
      </c>
      <c r="L223" t="n">
        <v>0</v>
      </c>
      <c r="M223" t="n">
        <v>0</v>
      </c>
      <c r="N223" t="n">
        <v>0</v>
      </c>
      <c r="O223" t="n">
        <v>0</v>
      </c>
      <c r="P223" t="n">
        <v>0</v>
      </c>
      <c r="Q223" t="n">
        <v>0</v>
      </c>
      <c r="R223" t="n">
        <v>0</v>
      </c>
      <c r="S223" t="n">
        <v>0</v>
      </c>
      <c r="T223" t="n">
        <v>0</v>
      </c>
      <c r="U223" s="2" t="inlineStr"/>
    </row>
    <row r="224" ht="15" customHeight="1">
      <c r="A224" t="inlineStr">
        <is>
          <t>A 40805-2025</t>
        </is>
      </c>
      <c r="B224" t="inlineStr">
        <is>
          <t>avverkningsanmälan</t>
        </is>
      </c>
      <c r="C224" t="inlineStr">
        <is>
          <t>Föryngringsavverkning</t>
        </is>
      </c>
      <c r="D224" s="1" t="n">
        <v>45897</v>
      </c>
      <c r="E224" s="1" t="n">
        <v>46220</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27642-2025</t>
        </is>
      </c>
      <c r="B225" t="inlineStr">
        <is>
          <t>avverkningsanmälan</t>
        </is>
      </c>
      <c r="C225" t="inlineStr">
        <is>
          <t>Föryngringsavverkning</t>
        </is>
      </c>
      <c r="D225" s="1" t="n">
        <v>45813</v>
      </c>
      <c r="E225" s="1" t="n">
        <v>46220</v>
      </c>
      <c r="F225" t="inlineStr">
        <is>
          <t>DALARNAS LÄN</t>
        </is>
      </c>
      <c r="G225" t="inlineStr">
        <is>
          <t>MORA</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27184-2025</t>
        </is>
      </c>
      <c r="B226" t="inlineStr">
        <is>
          <t>avverkningsanmälan</t>
        </is>
      </c>
      <c r="C226" t="inlineStr">
        <is>
          <t>Föryngringsavverkning</t>
        </is>
      </c>
      <c r="D226" s="1" t="n">
        <v>45812</v>
      </c>
      <c r="E226" s="1" t="n">
        <v>46220</v>
      </c>
      <c r="F226" t="inlineStr">
        <is>
          <t>DALARNAS LÄN</t>
        </is>
      </c>
      <c r="G226" t="inlineStr">
        <is>
          <t>MORA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25345-2025</t>
        </is>
      </c>
      <c r="B227" t="inlineStr">
        <is>
          <t>avverkningsanmälan</t>
        </is>
      </c>
      <c r="C227" t="inlineStr">
        <is>
          <t>Föryngringsavverkning</t>
        </is>
      </c>
      <c r="D227" s="1" t="n">
        <v>45799</v>
      </c>
      <c r="E227" s="1" t="n">
        <v>46220</v>
      </c>
      <c r="F227" t="inlineStr">
        <is>
          <t>DALARNAS LÄN</t>
        </is>
      </c>
      <c r="G227" t="inlineStr">
        <is>
          <t>MORA</t>
        </is>
      </c>
      <c r="I227" t="n">
        <v>3.1</v>
      </c>
      <c r="J227" t="n">
        <v>0</v>
      </c>
      <c r="K227" t="n">
        <v>0</v>
      </c>
      <c r="L227" t="n">
        <v>0</v>
      </c>
      <c r="M227" t="n">
        <v>0</v>
      </c>
      <c r="N227" t="n">
        <v>0</v>
      </c>
      <c r="O227" t="n">
        <v>0</v>
      </c>
      <c r="P227" t="n">
        <v>0</v>
      </c>
      <c r="Q227" t="n">
        <v>0</v>
      </c>
      <c r="R227" t="n">
        <v>0</v>
      </c>
      <c r="S227" t="n">
        <v>0</v>
      </c>
      <c r="T227" t="n">
        <v>0</v>
      </c>
      <c r="U227" s="2" t="inlineStr"/>
    </row>
    <row r="228" ht="15" customHeight="1">
      <c r="A228" t="inlineStr">
        <is>
          <t>A 5309-2023</t>
        </is>
      </c>
      <c r="B228" t="inlineStr">
        <is>
          <t>avverkningsanmälan</t>
        </is>
      </c>
      <c r="C228" t="inlineStr">
        <is>
          <t>Avverkning för annat ändamål</t>
        </is>
      </c>
      <c r="D228" s="1" t="n">
        <v>44956</v>
      </c>
      <c r="E228" s="1" t="n">
        <v>46220</v>
      </c>
      <c r="F228" t="inlineStr">
        <is>
          <t>DALARNAS LÄN</t>
        </is>
      </c>
      <c r="G228" t="inlineStr">
        <is>
          <t>MORA</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41175-2025</t>
        </is>
      </c>
      <c r="B229" t="inlineStr">
        <is>
          <t>avverkningsanmälan</t>
        </is>
      </c>
      <c r="C229" t="inlineStr">
        <is>
          <t>Föryngringsavverkning</t>
        </is>
      </c>
      <c r="D229" s="1" t="n">
        <v>45898</v>
      </c>
      <c r="E229" s="1" t="n">
        <v>46220</v>
      </c>
      <c r="F229" t="inlineStr">
        <is>
          <t>DALARNAS LÄN</t>
        </is>
      </c>
      <c r="G229" t="inlineStr">
        <is>
          <t>MORA</t>
        </is>
      </c>
      <c r="I229" t="n">
        <v>4.5</v>
      </c>
      <c r="J229" t="n">
        <v>0</v>
      </c>
      <c r="K229" t="n">
        <v>0</v>
      </c>
      <c r="L229" t="n">
        <v>0</v>
      </c>
      <c r="M229" t="n">
        <v>0</v>
      </c>
      <c r="N229" t="n">
        <v>0</v>
      </c>
      <c r="O229" t="n">
        <v>0</v>
      </c>
      <c r="P229" t="n">
        <v>0</v>
      </c>
      <c r="Q229" t="n">
        <v>0</v>
      </c>
      <c r="R229" t="n">
        <v>0</v>
      </c>
      <c r="S229" t="n">
        <v>0</v>
      </c>
      <c r="T229" t="n">
        <v>0</v>
      </c>
      <c r="U229" s="2" t="inlineStr"/>
    </row>
    <row r="230" ht="15" customHeight="1">
      <c r="A230" t="inlineStr">
        <is>
          <t>A 14611-2025</t>
        </is>
      </c>
      <c r="B230" t="inlineStr">
        <is>
          <t>avverkningsanmälan</t>
        </is>
      </c>
      <c r="C230" t="inlineStr">
        <is>
          <t>Föryngringsavverkning</t>
        </is>
      </c>
      <c r="D230" s="1" t="n">
        <v>45742</v>
      </c>
      <c r="E230" s="1" t="n">
        <v>46220</v>
      </c>
      <c r="F230" t="inlineStr">
        <is>
          <t>DALARNAS LÄN</t>
        </is>
      </c>
      <c r="G230" t="inlineStr">
        <is>
          <t>MORA</t>
        </is>
      </c>
      <c r="H230" t="inlineStr">
        <is>
          <t>Bergvik skog väst AB</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41614-2025</t>
        </is>
      </c>
      <c r="B231" t="inlineStr">
        <is>
          <t>avverkningsanmälan</t>
        </is>
      </c>
      <c r="C231" t="inlineStr">
        <is>
          <t>Föryngringsavverkning</t>
        </is>
      </c>
      <c r="D231" s="1" t="n">
        <v>45901</v>
      </c>
      <c r="E231" s="1" t="n">
        <v>46220</v>
      </c>
      <c r="F231" t="inlineStr">
        <is>
          <t>DALARNAS LÄN</t>
        </is>
      </c>
      <c r="G231" t="inlineStr">
        <is>
          <t>MORA</t>
        </is>
      </c>
      <c r="H231" t="inlineStr">
        <is>
          <t>Bergvik skog väst AB</t>
        </is>
      </c>
      <c r="I231" t="n">
        <v>13.8</v>
      </c>
      <c r="J231" t="n">
        <v>0</v>
      </c>
      <c r="K231" t="n">
        <v>0</v>
      </c>
      <c r="L231" t="n">
        <v>0</v>
      </c>
      <c r="M231" t="n">
        <v>0</v>
      </c>
      <c r="N231" t="n">
        <v>0</v>
      </c>
      <c r="O231" t="n">
        <v>0</v>
      </c>
      <c r="P231" t="n">
        <v>0</v>
      </c>
      <c r="Q231" t="n">
        <v>0</v>
      </c>
      <c r="R231" t="n">
        <v>0</v>
      </c>
      <c r="S231" t="n">
        <v>0</v>
      </c>
      <c r="T231" t="n">
        <v>0</v>
      </c>
      <c r="U231" s="2" t="inlineStr"/>
    </row>
    <row r="232" ht="15" customHeight="1">
      <c r="A232" t="inlineStr">
        <is>
          <t>A 2879-2022</t>
        </is>
      </c>
      <c r="B232" t="inlineStr">
        <is>
          <t>avverkningsanmälan</t>
        </is>
      </c>
      <c r="C232" t="inlineStr">
        <is>
          <t>Föryngringsavverkning</t>
        </is>
      </c>
      <c r="D232" s="1" t="n">
        <v>44581</v>
      </c>
      <c r="E232" s="1" t="n">
        <v>46220</v>
      </c>
      <c r="F232" t="inlineStr">
        <is>
          <t>DALARNAS LÄN</t>
        </is>
      </c>
      <c r="G232" t="inlineStr">
        <is>
          <t>MORA</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41783-2025</t>
        </is>
      </c>
      <c r="B233" t="inlineStr">
        <is>
          <t>avverkningsanmälan</t>
        </is>
      </c>
      <c r="C233" t="inlineStr">
        <is>
          <t>Föryngringsavverkning</t>
        </is>
      </c>
      <c r="D233" s="1" t="n">
        <v>45902</v>
      </c>
      <c r="E233" s="1" t="n">
        <v>46220</v>
      </c>
      <c r="F233" t="inlineStr">
        <is>
          <t>DALARNAS LÄN</t>
        </is>
      </c>
      <c r="G233" t="inlineStr">
        <is>
          <t>MORA</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41855-2025</t>
        </is>
      </c>
      <c r="B234" t="inlineStr">
        <is>
          <t>avverkningsanmälan</t>
        </is>
      </c>
      <c r="C234" t="inlineStr">
        <is>
          <t>Föryngringsavverkning</t>
        </is>
      </c>
      <c r="D234" s="1" t="n">
        <v>45902</v>
      </c>
      <c r="E234" s="1" t="n">
        <v>46220</v>
      </c>
      <c r="F234" t="inlineStr">
        <is>
          <t>DALARNAS LÄN</t>
        </is>
      </c>
      <c r="G234" t="inlineStr">
        <is>
          <t>MORA</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28976-2025</t>
        </is>
      </c>
      <c r="B235" t="inlineStr">
        <is>
          <t>avverkningsanmälan</t>
        </is>
      </c>
      <c r="C235" t="inlineStr">
        <is>
          <t>Föryngringsavverkning</t>
        </is>
      </c>
      <c r="D235" s="1" t="n">
        <v>45821</v>
      </c>
      <c r="E235" s="1" t="n">
        <v>46220</v>
      </c>
      <c r="F235" t="inlineStr">
        <is>
          <t>DALARNAS LÄN</t>
        </is>
      </c>
      <c r="G235" t="inlineStr">
        <is>
          <t>MORA</t>
        </is>
      </c>
      <c r="H235" t="inlineStr">
        <is>
          <t>Bergvik skog öst AB</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28927-2025</t>
        </is>
      </c>
      <c r="B236" t="inlineStr">
        <is>
          <t>avverkningsanmälan</t>
        </is>
      </c>
      <c r="C236" t="inlineStr">
        <is>
          <t>Föryngringsavverkning</t>
        </is>
      </c>
      <c r="D236" s="1" t="n">
        <v>45820</v>
      </c>
      <c r="E236" s="1" t="n">
        <v>46220</v>
      </c>
      <c r="F236" t="inlineStr">
        <is>
          <t>DALARNAS LÄN</t>
        </is>
      </c>
      <c r="G236" t="inlineStr">
        <is>
          <t>MORA</t>
        </is>
      </c>
      <c r="I236" t="n">
        <v>0.4</v>
      </c>
      <c r="J236" t="n">
        <v>0</v>
      </c>
      <c r="K236" t="n">
        <v>0</v>
      </c>
      <c r="L236" t="n">
        <v>0</v>
      </c>
      <c r="M236" t="n">
        <v>0</v>
      </c>
      <c r="N236" t="n">
        <v>0</v>
      </c>
      <c r="O236" t="n">
        <v>0</v>
      </c>
      <c r="P236" t="n">
        <v>0</v>
      </c>
      <c r="Q236" t="n">
        <v>0</v>
      </c>
      <c r="R236" t="n">
        <v>0</v>
      </c>
      <c r="S236" t="n">
        <v>0</v>
      </c>
      <c r="T236" t="n">
        <v>0</v>
      </c>
      <c r="U236" s="2" t="inlineStr"/>
    </row>
    <row r="237" ht="15" customHeight="1">
      <c r="A237" t="inlineStr">
        <is>
          <t>A 28924-2025</t>
        </is>
      </c>
      <c r="B237" t="inlineStr">
        <is>
          <t>avverkningsanmälan</t>
        </is>
      </c>
      <c r="C237" t="inlineStr">
        <is>
          <t>Föryngringsavverkning</t>
        </is>
      </c>
      <c r="D237" s="1" t="n">
        <v>45820</v>
      </c>
      <c r="E237" s="1" t="n">
        <v>46220</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28751-2025</t>
        </is>
      </c>
      <c r="B238" t="inlineStr">
        <is>
          <t>avverkningsanmälan</t>
        </is>
      </c>
      <c r="C238" t="inlineStr">
        <is>
          <t>Föryngringsavverkning</t>
        </is>
      </c>
      <c r="D238" s="1" t="n">
        <v>45820</v>
      </c>
      <c r="E238" s="1" t="n">
        <v>46220</v>
      </c>
      <c r="F238" t="inlineStr">
        <is>
          <t>DALARNAS LÄN</t>
        </is>
      </c>
      <c r="G238" t="inlineStr">
        <is>
          <t>MORA</t>
        </is>
      </c>
      <c r="H238" t="inlineStr">
        <is>
          <t>Bergvik skog öst AB</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42112-2025</t>
        </is>
      </c>
      <c r="B239" t="inlineStr">
        <is>
          <t>avverkningsanmälan</t>
        </is>
      </c>
      <c r="C239" t="inlineStr">
        <is>
          <t>Föryngringsavverkning</t>
        </is>
      </c>
      <c r="D239" s="1" t="n">
        <v>45904</v>
      </c>
      <c r="E239" s="1" t="n">
        <v>46220</v>
      </c>
      <c r="F239" t="inlineStr">
        <is>
          <t>DALARNAS LÄN</t>
        </is>
      </c>
      <c r="G239" t="inlineStr">
        <is>
          <t>MORA</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20930-2024</t>
        </is>
      </c>
      <c r="B240" t="inlineStr">
        <is>
          <t>avverkningsanmälan</t>
        </is>
      </c>
      <c r="C240" t="inlineStr">
        <is>
          <t>Föryngringsavverkning</t>
        </is>
      </c>
      <c r="D240" s="1" t="n">
        <v>45439</v>
      </c>
      <c r="E240" s="1" t="n">
        <v>46220</v>
      </c>
      <c r="F240" t="inlineStr">
        <is>
          <t>DALARNAS LÄN</t>
        </is>
      </c>
      <c r="G240" t="inlineStr">
        <is>
          <t>MORA</t>
        </is>
      </c>
      <c r="H240" t="inlineStr">
        <is>
          <t>Bergvik skog väst AB</t>
        </is>
      </c>
      <c r="I240" t="n">
        <v>5.3</v>
      </c>
      <c r="J240" t="n">
        <v>0</v>
      </c>
      <c r="K240" t="n">
        <v>0</v>
      </c>
      <c r="L240" t="n">
        <v>0</v>
      </c>
      <c r="M240" t="n">
        <v>0</v>
      </c>
      <c r="N240" t="n">
        <v>0</v>
      </c>
      <c r="O240" t="n">
        <v>0</v>
      </c>
      <c r="P240" t="n">
        <v>0</v>
      </c>
      <c r="Q240" t="n">
        <v>0</v>
      </c>
      <c r="R240" t="n">
        <v>0</v>
      </c>
      <c r="S240" t="n">
        <v>0</v>
      </c>
      <c r="T240" t="n">
        <v>0</v>
      </c>
      <c r="U240" s="2" t="inlineStr"/>
    </row>
    <row r="241" ht="15" customHeight="1">
      <c r="A241" t="inlineStr">
        <is>
          <t>A 42611-2022</t>
        </is>
      </c>
      <c r="B241" t="inlineStr">
        <is>
          <t>avverkningsanmälan</t>
        </is>
      </c>
      <c r="C241" t="inlineStr">
        <is>
          <t>Föryngringsavverkning</t>
        </is>
      </c>
      <c r="D241" s="1" t="n">
        <v>44831</v>
      </c>
      <c r="E241" s="1" t="n">
        <v>46220</v>
      </c>
      <c r="F241" t="inlineStr">
        <is>
          <t>DALARNAS LÄN</t>
        </is>
      </c>
      <c r="G241" t="inlineStr">
        <is>
          <t>MORA</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29528-2025</t>
        </is>
      </c>
      <c r="B242" t="inlineStr">
        <is>
          <t>avverkningsanmälan</t>
        </is>
      </c>
      <c r="C242" t="inlineStr">
        <is>
          <t>Föryngringsavverkning</t>
        </is>
      </c>
      <c r="D242" s="1" t="n">
        <v>45825</v>
      </c>
      <c r="E242" s="1" t="n">
        <v>46220</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33676-2023</t>
        </is>
      </c>
      <c r="B243" t="inlineStr">
        <is>
          <t>avverkningsanmälan</t>
        </is>
      </c>
      <c r="C243" t="inlineStr">
        <is>
          <t>Föryngringsavverkning</t>
        </is>
      </c>
      <c r="D243" s="1" t="n">
        <v>45132</v>
      </c>
      <c r="E243" s="1" t="n">
        <v>46220</v>
      </c>
      <c r="F243" t="inlineStr">
        <is>
          <t>DALARNAS LÄN</t>
        </is>
      </c>
      <c r="G243" t="inlineStr">
        <is>
          <t>MORA</t>
        </is>
      </c>
      <c r="H243" t="inlineStr">
        <is>
          <t>Bergvik skog öst AB</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61188-2024</t>
        </is>
      </c>
      <c r="B244" t="inlineStr">
        <is>
          <t>avverkningsanmälan</t>
        </is>
      </c>
      <c r="C244" t="inlineStr">
        <is>
          <t>Avverkning för annat ändamål</t>
        </is>
      </c>
      <c r="D244" s="1" t="n">
        <v>45645</v>
      </c>
      <c r="E244" s="1" t="n">
        <v>46220</v>
      </c>
      <c r="F244" t="inlineStr">
        <is>
          <t>DALARNAS LÄN</t>
        </is>
      </c>
      <c r="G244" t="inlineStr">
        <is>
          <t>MORA</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37710-2023</t>
        </is>
      </c>
      <c r="B245" t="inlineStr">
        <is>
          <t>avverkningsanmälan</t>
        </is>
      </c>
      <c r="C245" t="inlineStr">
        <is>
          <t>Föryngringsavverkning</t>
        </is>
      </c>
      <c r="D245" s="1" t="n">
        <v>45159</v>
      </c>
      <c r="E245" s="1" t="n">
        <v>46220</v>
      </c>
      <c r="F245" t="inlineStr">
        <is>
          <t>DALARNAS LÄN</t>
        </is>
      </c>
      <c r="G245" t="inlineStr">
        <is>
          <t>MORA</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29870-2025</t>
        </is>
      </c>
      <c r="B246" t="inlineStr">
        <is>
          <t>avverkningsanmälan</t>
        </is>
      </c>
      <c r="C246" t="inlineStr">
        <is>
          <t>Föryngringsavverkning</t>
        </is>
      </c>
      <c r="D246" s="1" t="n">
        <v>45826</v>
      </c>
      <c r="E246" s="1" t="n">
        <v>46220</v>
      </c>
      <c r="F246" t="inlineStr">
        <is>
          <t>DALARNAS LÄN</t>
        </is>
      </c>
      <c r="G246" t="inlineStr">
        <is>
          <t>MORA</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29873-2025</t>
        </is>
      </c>
      <c r="B247" t="inlineStr">
        <is>
          <t>avverkningsanmälan</t>
        </is>
      </c>
      <c r="C247" t="inlineStr">
        <is>
          <t>Föryngringsavverkning</t>
        </is>
      </c>
      <c r="D247" s="1" t="n">
        <v>45826</v>
      </c>
      <c r="E247" s="1" t="n">
        <v>46220</v>
      </c>
      <c r="F247" t="inlineStr">
        <is>
          <t>DALARNAS LÄN</t>
        </is>
      </c>
      <c r="G247" t="inlineStr">
        <is>
          <t>MORA</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43474-2025</t>
        </is>
      </c>
      <c r="B248" t="inlineStr">
        <is>
          <t>avverkningsanmälan</t>
        </is>
      </c>
      <c r="C248" t="inlineStr">
        <is>
          <t>Föryngringsavverkning</t>
        </is>
      </c>
      <c r="D248" s="1" t="n">
        <v>45911</v>
      </c>
      <c r="E248" s="1" t="n">
        <v>46220</v>
      </c>
      <c r="F248" t="inlineStr">
        <is>
          <t>DALARNAS LÄN</t>
        </is>
      </c>
      <c r="G248" t="inlineStr">
        <is>
          <t>MORA</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28934-2023</t>
        </is>
      </c>
      <c r="B249" t="inlineStr">
        <is>
          <t>avverkningsanmälan</t>
        </is>
      </c>
      <c r="C249" t="inlineStr">
        <is>
          <t>Föryngringsavverkning</t>
        </is>
      </c>
      <c r="D249" s="1" t="n">
        <v>45104</v>
      </c>
      <c r="E249" s="1" t="n">
        <v>46220</v>
      </c>
      <c r="F249" t="inlineStr">
        <is>
          <t>DALARNAS LÄN</t>
        </is>
      </c>
      <c r="G249" t="inlineStr">
        <is>
          <t>MORA</t>
        </is>
      </c>
      <c r="I249" t="n">
        <v>8.800000000000001</v>
      </c>
      <c r="J249" t="n">
        <v>0</v>
      </c>
      <c r="K249" t="n">
        <v>0</v>
      </c>
      <c r="L249" t="n">
        <v>0</v>
      </c>
      <c r="M249" t="n">
        <v>0</v>
      </c>
      <c r="N249" t="n">
        <v>0</v>
      </c>
      <c r="O249" t="n">
        <v>0</v>
      </c>
      <c r="P249" t="n">
        <v>0</v>
      </c>
      <c r="Q249" t="n">
        <v>0</v>
      </c>
      <c r="R249" t="n">
        <v>0</v>
      </c>
      <c r="S249" t="n">
        <v>0</v>
      </c>
      <c r="T249" t="n">
        <v>0</v>
      </c>
      <c r="U249" s="2" t="inlineStr"/>
    </row>
    <row r="250" ht="15" customHeight="1">
      <c r="A250" t="inlineStr">
        <is>
          <t>A 30507-2025</t>
        </is>
      </c>
      <c r="B250" t="inlineStr">
        <is>
          <t>avverkningsanmälan</t>
        </is>
      </c>
      <c r="C250" t="inlineStr">
        <is>
          <t>Föryngringsavverkning</t>
        </is>
      </c>
      <c r="D250" s="1" t="n">
        <v>45831</v>
      </c>
      <c r="E250" s="1" t="n">
        <v>46220</v>
      </c>
      <c r="F250" t="inlineStr">
        <is>
          <t>DALARNAS LÄN</t>
        </is>
      </c>
      <c r="G250" t="inlineStr">
        <is>
          <t>MORA</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30509-2025</t>
        </is>
      </c>
      <c r="B251" t="inlineStr">
        <is>
          <t>avverkningsanmälan</t>
        </is>
      </c>
      <c r="C251" t="inlineStr">
        <is>
          <t>Föryngringsavverkning</t>
        </is>
      </c>
      <c r="D251" s="1" t="n">
        <v>45831</v>
      </c>
      <c r="E251" s="1" t="n">
        <v>46220</v>
      </c>
      <c r="F251" t="inlineStr">
        <is>
          <t>DALARNAS LÄN</t>
        </is>
      </c>
      <c r="G251" t="inlineStr">
        <is>
          <t>MORA</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15416-2023</t>
        </is>
      </c>
      <c r="B252" t="inlineStr">
        <is>
          <t>avverkningsanmälan</t>
        </is>
      </c>
      <c r="C252" t="inlineStr">
        <is>
          <t>Föryngringsavverkning</t>
        </is>
      </c>
      <c r="D252" s="1" t="n">
        <v>45019</v>
      </c>
      <c r="E252" s="1" t="n">
        <v>46220</v>
      </c>
      <c r="F252" t="inlineStr">
        <is>
          <t>DALARNAS LÄN</t>
        </is>
      </c>
      <c r="G252" t="inlineStr">
        <is>
          <t>MORA</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43811-2025</t>
        </is>
      </c>
      <c r="B253" t="inlineStr">
        <is>
          <t>avverkningsanmälan</t>
        </is>
      </c>
      <c r="C253" t="inlineStr">
        <is>
          <t>Föryngringsavverkning</t>
        </is>
      </c>
      <c r="D253" s="1" t="n">
        <v>45912</v>
      </c>
      <c r="E253" s="1" t="n">
        <v>46220</v>
      </c>
      <c r="F253" t="inlineStr">
        <is>
          <t>DALARNAS LÄN</t>
        </is>
      </c>
      <c r="G253" t="inlineStr">
        <is>
          <t>MORA</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673-2026</t>
        </is>
      </c>
      <c r="B254" t="inlineStr">
        <is>
          <t>avverkningsanmälan</t>
        </is>
      </c>
      <c r="C254" t="inlineStr">
        <is>
          <t>Föryngringsavverkning</t>
        </is>
      </c>
      <c r="D254" s="1" t="n">
        <v>46029</v>
      </c>
      <c r="E254" s="1" t="n">
        <v>46220</v>
      </c>
      <c r="F254" t="inlineStr">
        <is>
          <t>DALARNAS LÄN</t>
        </is>
      </c>
      <c r="G254" t="inlineStr">
        <is>
          <t>MORA</t>
        </is>
      </c>
      <c r="H254" t="inlineStr">
        <is>
          <t>Kommuner</t>
        </is>
      </c>
      <c r="I254" t="n">
        <v>25.8</v>
      </c>
      <c r="J254" t="n">
        <v>0</v>
      </c>
      <c r="K254" t="n">
        <v>0</v>
      </c>
      <c r="L254" t="n">
        <v>0</v>
      </c>
      <c r="M254" t="n">
        <v>0</v>
      </c>
      <c r="N254" t="n">
        <v>0</v>
      </c>
      <c r="O254" t="n">
        <v>0</v>
      </c>
      <c r="P254" t="n">
        <v>0</v>
      </c>
      <c r="Q254" t="n">
        <v>0</v>
      </c>
      <c r="R254" t="n">
        <v>0</v>
      </c>
      <c r="S254" t="n">
        <v>0</v>
      </c>
      <c r="T254" t="n">
        <v>0</v>
      </c>
      <c r="U254" s="2" t="inlineStr"/>
    </row>
    <row r="255" ht="15" customHeight="1">
      <c r="A255" t="inlineStr">
        <is>
          <t>A 54253-2023</t>
        </is>
      </c>
      <c r="B255" t="inlineStr">
        <is>
          <t>avverkningsanmälan</t>
        </is>
      </c>
      <c r="C255" t="inlineStr">
        <is>
          <t>Föryngringsavverkning</t>
        </is>
      </c>
      <c r="D255" s="1" t="n">
        <v>45232</v>
      </c>
      <c r="E255" s="1" t="n">
        <v>46220</v>
      </c>
      <c r="F255" t="inlineStr">
        <is>
          <t>DALARNAS LÄN</t>
        </is>
      </c>
      <c r="G255" t="inlineStr">
        <is>
          <t>MORA</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30858-2025</t>
        </is>
      </c>
      <c r="B256" t="inlineStr">
        <is>
          <t>avverkningsanmälan</t>
        </is>
      </c>
      <c r="C256" t="inlineStr">
        <is>
          <t>Föryngringsavverkning</t>
        </is>
      </c>
      <c r="D256" s="1" t="n">
        <v>45831</v>
      </c>
      <c r="E256" s="1" t="n">
        <v>46220</v>
      </c>
      <c r="F256" t="inlineStr">
        <is>
          <t>DALARNAS LÄN</t>
        </is>
      </c>
      <c r="G256" t="inlineStr">
        <is>
          <t>MORA</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30859-2025</t>
        </is>
      </c>
      <c r="B257" t="inlineStr">
        <is>
          <t>avverkningsanmälan</t>
        </is>
      </c>
      <c r="C257" t="inlineStr">
        <is>
          <t>Föryngringsavverkning</t>
        </is>
      </c>
      <c r="D257" s="1" t="n">
        <v>45831</v>
      </c>
      <c r="E257" s="1" t="n">
        <v>46220</v>
      </c>
      <c r="F257" t="inlineStr">
        <is>
          <t>DALARNAS LÄN</t>
        </is>
      </c>
      <c r="G257" t="inlineStr">
        <is>
          <t>MORA</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44384-2025</t>
        </is>
      </c>
      <c r="B258" t="inlineStr">
        <is>
          <t>avverkningsanmälan</t>
        </is>
      </c>
      <c r="C258" t="inlineStr">
        <is>
          <t>Föryngringsavverkning</t>
        </is>
      </c>
      <c r="D258" s="1" t="n">
        <v>45916</v>
      </c>
      <c r="E258" s="1" t="n">
        <v>46220</v>
      </c>
      <c r="F258" t="inlineStr">
        <is>
          <t>DALARNAS LÄN</t>
        </is>
      </c>
      <c r="G258" t="inlineStr">
        <is>
          <t>MORA</t>
        </is>
      </c>
      <c r="H258" t="inlineStr">
        <is>
          <t>Kyrkan</t>
        </is>
      </c>
      <c r="I258" t="n">
        <v>5.1</v>
      </c>
      <c r="J258" t="n">
        <v>0</v>
      </c>
      <c r="K258" t="n">
        <v>0</v>
      </c>
      <c r="L258" t="n">
        <v>0</v>
      </c>
      <c r="M258" t="n">
        <v>0</v>
      </c>
      <c r="N258" t="n">
        <v>0</v>
      </c>
      <c r="O258" t="n">
        <v>0</v>
      </c>
      <c r="P258" t="n">
        <v>0</v>
      </c>
      <c r="Q258" t="n">
        <v>0</v>
      </c>
      <c r="R258" t="n">
        <v>0</v>
      </c>
      <c r="S258" t="n">
        <v>0</v>
      </c>
      <c r="T258" t="n">
        <v>0</v>
      </c>
      <c r="U258" s="2" t="inlineStr"/>
    </row>
    <row r="259" ht="15" customHeight="1">
      <c r="A259" t="inlineStr">
        <is>
          <t>A 57608-2021</t>
        </is>
      </c>
      <c r="B259" t="inlineStr">
        <is>
          <t>avverkningsanmälan</t>
        </is>
      </c>
      <c r="C259" t="inlineStr">
        <is>
          <t>Föryngringsavverkning</t>
        </is>
      </c>
      <c r="D259" s="1" t="n">
        <v>44484</v>
      </c>
      <c r="E259" s="1" t="n">
        <v>46220</v>
      </c>
      <c r="F259" t="inlineStr">
        <is>
          <t>DALARNAS LÄN</t>
        </is>
      </c>
      <c r="G259" t="inlineStr">
        <is>
          <t>MORA</t>
        </is>
      </c>
      <c r="I259" t="n">
        <v>6.3</v>
      </c>
      <c r="J259" t="n">
        <v>0</v>
      </c>
      <c r="K259" t="n">
        <v>0</v>
      </c>
      <c r="L259" t="n">
        <v>0</v>
      </c>
      <c r="M259" t="n">
        <v>0</v>
      </c>
      <c r="N259" t="n">
        <v>0</v>
      </c>
      <c r="O259" t="n">
        <v>0</v>
      </c>
      <c r="P259" t="n">
        <v>0</v>
      </c>
      <c r="Q259" t="n">
        <v>0</v>
      </c>
      <c r="R259" t="n">
        <v>0</v>
      </c>
      <c r="S259" t="n">
        <v>0</v>
      </c>
      <c r="T259" t="n">
        <v>0</v>
      </c>
      <c r="U259" s="2" t="inlineStr"/>
    </row>
    <row r="260" ht="15" customHeight="1">
      <c r="A260" t="inlineStr">
        <is>
          <t>A 44621-2025</t>
        </is>
      </c>
      <c r="B260" t="inlineStr">
        <is>
          <t>avverkningsanmälan</t>
        </is>
      </c>
      <c r="C260" t="inlineStr">
        <is>
          <t>Föryngringsavverkning</t>
        </is>
      </c>
      <c r="D260" s="1" t="n">
        <v>45917</v>
      </c>
      <c r="E260" s="1" t="n">
        <v>46220</v>
      </c>
      <c r="F260" t="inlineStr">
        <is>
          <t>DALARNAS LÄN</t>
        </is>
      </c>
      <c r="G260" t="inlineStr">
        <is>
          <t>MORA</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45191-2025</t>
        </is>
      </c>
      <c r="B261" t="inlineStr">
        <is>
          <t>avverkningsanmälan</t>
        </is>
      </c>
      <c r="C261" t="inlineStr">
        <is>
          <t>Föryngringsavverkning</t>
        </is>
      </c>
      <c r="D261" s="1" t="n">
        <v>45919</v>
      </c>
      <c r="E261" s="1" t="n">
        <v>46220</v>
      </c>
      <c r="F261" t="inlineStr">
        <is>
          <t>DALARNAS LÄN</t>
        </is>
      </c>
      <c r="G261" t="inlineStr">
        <is>
          <t>MORA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25887-2023</t>
        </is>
      </c>
      <c r="B262" t="inlineStr">
        <is>
          <t>avverkningsanmälan</t>
        </is>
      </c>
      <c r="C262" t="inlineStr">
        <is>
          <t>Föryngringsavverkning</t>
        </is>
      </c>
      <c r="D262" s="1" t="n">
        <v>45090</v>
      </c>
      <c r="E262" s="1" t="n">
        <v>46220</v>
      </c>
      <c r="F262" t="inlineStr">
        <is>
          <t>DALARNAS LÄN</t>
        </is>
      </c>
      <c r="G262" t="inlineStr">
        <is>
          <t>MORA</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64099-2023</t>
        </is>
      </c>
      <c r="B263" t="inlineStr">
        <is>
          <t>avverkningsanmälan</t>
        </is>
      </c>
      <c r="C263" t="inlineStr">
        <is>
          <t>Föryngringsavverkning</t>
        </is>
      </c>
      <c r="D263" s="1" t="n">
        <v>45279</v>
      </c>
      <c r="E263" s="1" t="n">
        <v>46220</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19910-2024</t>
        </is>
      </c>
      <c r="B264" t="inlineStr">
        <is>
          <t>avverkningsanmälan</t>
        </is>
      </c>
      <c r="C264" t="inlineStr">
        <is>
          <t>Föryngringsavverkning</t>
        </is>
      </c>
      <c r="D264" s="1" t="n">
        <v>45433</v>
      </c>
      <c r="E264" s="1" t="n">
        <v>46220</v>
      </c>
      <c r="F264" t="inlineStr">
        <is>
          <t>DALARNAS LÄN</t>
        </is>
      </c>
      <c r="G264" t="inlineStr">
        <is>
          <t>MORA</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23300-2024</t>
        </is>
      </c>
      <c r="B265" t="inlineStr">
        <is>
          <t>avverkningsanmälan</t>
        </is>
      </c>
      <c r="C265" t="inlineStr">
        <is>
          <t>Föryngringsavverkning</t>
        </is>
      </c>
      <c r="D265" s="1" t="n">
        <v>45453</v>
      </c>
      <c r="E265" s="1" t="n">
        <v>46220</v>
      </c>
      <c r="F265" t="inlineStr">
        <is>
          <t>DALARNAS LÄN</t>
        </is>
      </c>
      <c r="G265" t="inlineStr">
        <is>
          <t>MORA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46091-2025</t>
        </is>
      </c>
      <c r="B266" t="inlineStr">
        <is>
          <t>avverkningsanmälan</t>
        </is>
      </c>
      <c r="C266" t="inlineStr">
        <is>
          <t>Föryngringsavverkning</t>
        </is>
      </c>
      <c r="D266" s="1" t="n">
        <v>45924</v>
      </c>
      <c r="E266" s="1" t="n">
        <v>46220</v>
      </c>
      <c r="F266" t="inlineStr">
        <is>
          <t>DALARNAS LÄN</t>
        </is>
      </c>
      <c r="G266" t="inlineStr">
        <is>
          <t>MORA</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3247-2026</t>
        </is>
      </c>
      <c r="B267" t="inlineStr">
        <is>
          <t>avverkningsanmälan</t>
        </is>
      </c>
      <c r="C267" t="inlineStr">
        <is>
          <t>Föryngringsavverkning</t>
        </is>
      </c>
      <c r="D267" s="1" t="n">
        <v>46041</v>
      </c>
      <c r="E267" s="1" t="n">
        <v>46220</v>
      </c>
      <c r="F267" t="inlineStr">
        <is>
          <t>DALARNAS LÄN</t>
        </is>
      </c>
      <c r="G267" t="inlineStr">
        <is>
          <t>MORA</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46283-2025</t>
        </is>
      </c>
      <c r="B268" t="inlineStr">
        <is>
          <t>avverkningsanmälan</t>
        </is>
      </c>
      <c r="C268" t="inlineStr">
        <is>
          <t>Föryngringsavverkning</t>
        </is>
      </c>
      <c r="D268" s="1" t="n">
        <v>45925</v>
      </c>
      <c r="E268" s="1" t="n">
        <v>46220</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34382-2025</t>
        </is>
      </c>
      <c r="B269" t="inlineStr">
        <is>
          <t>avverkningsanmälan</t>
        </is>
      </c>
      <c r="C269" t="inlineStr">
        <is>
          <t>Föryngringsavverkning</t>
        </is>
      </c>
      <c r="D269" s="1" t="n">
        <v>45846</v>
      </c>
      <c r="E269" s="1" t="n">
        <v>46220</v>
      </c>
      <c r="F269" t="inlineStr">
        <is>
          <t>DALARNAS LÄN</t>
        </is>
      </c>
      <c r="G269" t="inlineStr">
        <is>
          <t>MORA</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9599-2022</t>
        </is>
      </c>
      <c r="B270" t="inlineStr">
        <is>
          <t>avverkningsanmälan</t>
        </is>
      </c>
      <c r="C270" t="inlineStr">
        <is>
          <t>Föryngringsavverkning</t>
        </is>
      </c>
      <c r="D270" s="1" t="n">
        <v>44617</v>
      </c>
      <c r="E270" s="1" t="n">
        <v>46220</v>
      </c>
      <c r="F270" t="inlineStr">
        <is>
          <t>DALARNAS LÄN</t>
        </is>
      </c>
      <c r="G270" t="inlineStr">
        <is>
          <t>MORA</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54257-2023</t>
        </is>
      </c>
      <c r="B271" t="inlineStr">
        <is>
          <t>avverkningsanmälan</t>
        </is>
      </c>
      <c r="C271" t="inlineStr">
        <is>
          <t>Föryngringsavverkning</t>
        </is>
      </c>
      <c r="D271" s="1" t="n">
        <v>45232</v>
      </c>
      <c r="E271" s="1" t="n">
        <v>46220</v>
      </c>
      <c r="F271" t="inlineStr">
        <is>
          <t>DALARNAS LÄN</t>
        </is>
      </c>
      <c r="G271" t="inlineStr">
        <is>
          <t>MORA</t>
        </is>
      </c>
      <c r="I271" t="n">
        <v>4</v>
      </c>
      <c r="J271" t="n">
        <v>0</v>
      </c>
      <c r="K271" t="n">
        <v>0</v>
      </c>
      <c r="L271" t="n">
        <v>0</v>
      </c>
      <c r="M271" t="n">
        <v>0</v>
      </c>
      <c r="N271" t="n">
        <v>0</v>
      </c>
      <c r="O271" t="n">
        <v>0</v>
      </c>
      <c r="P271" t="n">
        <v>0</v>
      </c>
      <c r="Q271" t="n">
        <v>0</v>
      </c>
      <c r="R271" t="n">
        <v>0</v>
      </c>
      <c r="S271" t="n">
        <v>0</v>
      </c>
      <c r="T271" t="n">
        <v>0</v>
      </c>
      <c r="U271" s="2" t="inlineStr"/>
    </row>
    <row r="272" ht="15" customHeight="1">
      <c r="A272" t="inlineStr">
        <is>
          <t>A 47055-2025</t>
        </is>
      </c>
      <c r="B272" t="inlineStr">
        <is>
          <t>avverkningsanmälan</t>
        </is>
      </c>
      <c r="C272" t="inlineStr">
        <is>
          <t>Föryngringsavverkning</t>
        </is>
      </c>
      <c r="D272" s="1" t="n">
        <v>45929</v>
      </c>
      <c r="E272" s="1" t="n">
        <v>46220</v>
      </c>
      <c r="F272" t="inlineStr">
        <is>
          <t>DALARNAS LÄN</t>
        </is>
      </c>
      <c r="G272" t="inlineStr">
        <is>
          <t>MORA</t>
        </is>
      </c>
      <c r="I272" t="n">
        <v>28.1</v>
      </c>
      <c r="J272" t="n">
        <v>0</v>
      </c>
      <c r="K272" t="n">
        <v>0</v>
      </c>
      <c r="L272" t="n">
        <v>0</v>
      </c>
      <c r="M272" t="n">
        <v>0</v>
      </c>
      <c r="N272" t="n">
        <v>0</v>
      </c>
      <c r="O272" t="n">
        <v>0</v>
      </c>
      <c r="P272" t="n">
        <v>0</v>
      </c>
      <c r="Q272" t="n">
        <v>0</v>
      </c>
      <c r="R272" t="n">
        <v>0</v>
      </c>
      <c r="S272" t="n">
        <v>0</v>
      </c>
      <c r="T272" t="n">
        <v>0</v>
      </c>
      <c r="U272" s="2" t="inlineStr"/>
    </row>
    <row r="273" ht="15" customHeight="1">
      <c r="A273" t="inlineStr">
        <is>
          <t>A 47072-2025</t>
        </is>
      </c>
      <c r="B273" t="inlineStr">
        <is>
          <t>avverkningsanmälan</t>
        </is>
      </c>
      <c r="C273" t="inlineStr">
        <is>
          <t>Föryngringsavverkning</t>
        </is>
      </c>
      <c r="D273" s="1" t="n">
        <v>45929</v>
      </c>
      <c r="E273" s="1" t="n">
        <v>46220</v>
      </c>
      <c r="F273" t="inlineStr">
        <is>
          <t>DALARNAS LÄN</t>
        </is>
      </c>
      <c r="G273" t="inlineStr">
        <is>
          <t>MORA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35407-2025</t>
        </is>
      </c>
      <c r="B274" t="inlineStr">
        <is>
          <t>avverkningsanmälan</t>
        </is>
      </c>
      <c r="C274" t="inlineStr">
        <is>
          <t>Föryngringsavverkning</t>
        </is>
      </c>
      <c r="D274" s="1" t="n">
        <v>45855</v>
      </c>
      <c r="E274" s="1" t="n">
        <v>46220</v>
      </c>
      <c r="F274" t="inlineStr">
        <is>
          <t>DALARNAS LÄN</t>
        </is>
      </c>
      <c r="G274" t="inlineStr">
        <is>
          <t>MORA</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9277-2024</t>
        </is>
      </c>
      <c r="B275" t="inlineStr">
        <is>
          <t>avverkningsanmälan</t>
        </is>
      </c>
      <c r="C275" t="inlineStr">
        <is>
          <t>Föryngringsavverkning</t>
        </is>
      </c>
      <c r="D275" s="1" t="n">
        <v>45358</v>
      </c>
      <c r="E275" s="1" t="n">
        <v>46220</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25499-2024</t>
        </is>
      </c>
      <c r="B276" t="inlineStr">
        <is>
          <t>avverkningsanmälan</t>
        </is>
      </c>
      <c r="C276" t="inlineStr">
        <is>
          <t>Föryngringsavverkning</t>
        </is>
      </c>
      <c r="D276" s="1" t="n">
        <v>45463</v>
      </c>
      <c r="E276" s="1" t="n">
        <v>46220</v>
      </c>
      <c r="F276" t="inlineStr">
        <is>
          <t>DALARNAS LÄN</t>
        </is>
      </c>
      <c r="G276" t="inlineStr">
        <is>
          <t>MORA</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58958-2022</t>
        </is>
      </c>
      <c r="B277" t="inlineStr">
        <is>
          <t>avverkningsanmälan</t>
        </is>
      </c>
      <c r="C277" t="inlineStr">
        <is>
          <t>Föryngringsavverkning</t>
        </is>
      </c>
      <c r="D277" s="1" t="n">
        <v>44903</v>
      </c>
      <c r="E277" s="1" t="n">
        <v>46220</v>
      </c>
      <c r="F277" t="inlineStr">
        <is>
          <t>DALARNAS LÄN</t>
        </is>
      </c>
      <c r="G277" t="inlineStr">
        <is>
          <t>MORA</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47414-2025</t>
        </is>
      </c>
      <c r="B278" t="inlineStr">
        <is>
          <t>avverkningsanmälan</t>
        </is>
      </c>
      <c r="C278" t="inlineStr">
        <is>
          <t>Föryngringsavverkning</t>
        </is>
      </c>
      <c r="D278" s="1" t="n">
        <v>45930</v>
      </c>
      <c r="E278" s="1" t="n">
        <v>46220</v>
      </c>
      <c r="F278" t="inlineStr">
        <is>
          <t>DALARNAS LÄN</t>
        </is>
      </c>
      <c r="G278" t="inlineStr">
        <is>
          <t>MORA</t>
        </is>
      </c>
      <c r="I278" t="n">
        <v>6.1</v>
      </c>
      <c r="J278" t="n">
        <v>0</v>
      </c>
      <c r="K278" t="n">
        <v>0</v>
      </c>
      <c r="L278" t="n">
        <v>0</v>
      </c>
      <c r="M278" t="n">
        <v>0</v>
      </c>
      <c r="N278" t="n">
        <v>0</v>
      </c>
      <c r="O278" t="n">
        <v>0</v>
      </c>
      <c r="P278" t="n">
        <v>0</v>
      </c>
      <c r="Q278" t="n">
        <v>0</v>
      </c>
      <c r="R278" t="n">
        <v>0</v>
      </c>
      <c r="S278" t="n">
        <v>0</v>
      </c>
      <c r="T278" t="n">
        <v>0</v>
      </c>
      <c r="U278" s="2" t="inlineStr"/>
    </row>
    <row r="279" ht="15" customHeight="1">
      <c r="A279" t="inlineStr">
        <is>
          <t>A 47765-2025</t>
        </is>
      </c>
      <c r="B279" t="inlineStr">
        <is>
          <t>avverkningsanmälan</t>
        </is>
      </c>
      <c r="C279" t="inlineStr">
        <is>
          <t>Föryngringsavverkning</t>
        </is>
      </c>
      <c r="D279" s="1" t="n">
        <v>45931</v>
      </c>
      <c r="E279" s="1" t="n">
        <v>46220</v>
      </c>
      <c r="F279" t="inlineStr">
        <is>
          <t>DALARNAS LÄN</t>
        </is>
      </c>
      <c r="G279" t="inlineStr">
        <is>
          <t>MORA</t>
        </is>
      </c>
      <c r="I279" t="n">
        <v>1.7</v>
      </c>
      <c r="J279" t="n">
        <v>0</v>
      </c>
      <c r="K279" t="n">
        <v>0</v>
      </c>
      <c r="L279" t="n">
        <v>0</v>
      </c>
      <c r="M279" t="n">
        <v>0</v>
      </c>
      <c r="N279" t="n">
        <v>0</v>
      </c>
      <c r="O279" t="n">
        <v>0</v>
      </c>
      <c r="P279" t="n">
        <v>0</v>
      </c>
      <c r="Q279" t="n">
        <v>0</v>
      </c>
      <c r="R279" t="n">
        <v>0</v>
      </c>
      <c r="S279" t="n">
        <v>0</v>
      </c>
      <c r="T279" t="n">
        <v>0</v>
      </c>
      <c r="U279" s="2" t="inlineStr"/>
    </row>
    <row r="280" ht="15" customHeight="1">
      <c r="A280" t="inlineStr">
        <is>
          <t>A 18214-2024</t>
        </is>
      </c>
      <c r="B280" t="inlineStr">
        <is>
          <t>avverkningsanmälan</t>
        </is>
      </c>
      <c r="C280" t="inlineStr">
        <is>
          <t>Föryngringsavverkning</t>
        </is>
      </c>
      <c r="D280" s="1" t="n">
        <v>45420</v>
      </c>
      <c r="E280" s="1" t="n">
        <v>46220</v>
      </c>
      <c r="F280" t="inlineStr">
        <is>
          <t>DALARNAS LÄN</t>
        </is>
      </c>
      <c r="G280" t="inlineStr">
        <is>
          <t>MORA</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36041-2025</t>
        </is>
      </c>
      <c r="B281" t="inlineStr">
        <is>
          <t>avverkningsanmälan</t>
        </is>
      </c>
      <c r="C281" t="inlineStr">
        <is>
          <t>Avverkning för annat ändamål</t>
        </is>
      </c>
      <c r="D281" s="1" t="n">
        <v>45866</v>
      </c>
      <c r="E281" s="1" t="n">
        <v>46220</v>
      </c>
      <c r="F281" t="inlineStr">
        <is>
          <t>DALARNAS LÄN</t>
        </is>
      </c>
      <c r="G281" t="inlineStr">
        <is>
          <t>MORA</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60465-2023</t>
        </is>
      </c>
      <c r="B282" t="inlineStr">
        <is>
          <t>avverkningsanmälan</t>
        </is>
      </c>
      <c r="C282" t="inlineStr">
        <is>
          <t>Föryngringsavverkning</t>
        </is>
      </c>
      <c r="D282" s="1" t="n">
        <v>45259</v>
      </c>
      <c r="E282" s="1" t="n">
        <v>46220</v>
      </c>
      <c r="F282" t="inlineStr">
        <is>
          <t>DALARNAS LÄN</t>
        </is>
      </c>
      <c r="G282" t="inlineStr">
        <is>
          <t>MORA</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61654-2024</t>
        </is>
      </c>
      <c r="B283" t="inlineStr">
        <is>
          <t>avverkningsanmälan</t>
        </is>
      </c>
      <c r="C283" t="inlineStr">
        <is>
          <t>Föryngringsavverkning</t>
        </is>
      </c>
      <c r="D283" s="1" t="n">
        <v>45646</v>
      </c>
      <c r="E283" s="1" t="n">
        <v>46220</v>
      </c>
      <c r="F283" t="inlineStr">
        <is>
          <t>DALARNAS LÄN</t>
        </is>
      </c>
      <c r="G283" t="inlineStr">
        <is>
          <t>MORA</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60428-2023</t>
        </is>
      </c>
      <c r="B284" t="inlineStr">
        <is>
          <t>avverkningsanmälan</t>
        </is>
      </c>
      <c r="C284" t="inlineStr">
        <is>
          <t>Föryngringsavverkning</t>
        </is>
      </c>
      <c r="D284" s="1" t="n">
        <v>45259</v>
      </c>
      <c r="E284" s="1" t="n">
        <v>46220</v>
      </c>
      <c r="F284" t="inlineStr">
        <is>
          <t>DALARNAS LÄN</t>
        </is>
      </c>
      <c r="G284" t="inlineStr">
        <is>
          <t>MORA</t>
        </is>
      </c>
      <c r="I284" t="n">
        <v>4.9</v>
      </c>
      <c r="J284" t="n">
        <v>0</v>
      </c>
      <c r="K284" t="n">
        <v>0</v>
      </c>
      <c r="L284" t="n">
        <v>0</v>
      </c>
      <c r="M284" t="n">
        <v>0</v>
      </c>
      <c r="N284" t="n">
        <v>0</v>
      </c>
      <c r="O284" t="n">
        <v>0</v>
      </c>
      <c r="P284" t="n">
        <v>0</v>
      </c>
      <c r="Q284" t="n">
        <v>0</v>
      </c>
      <c r="R284" t="n">
        <v>0</v>
      </c>
      <c r="S284" t="n">
        <v>0</v>
      </c>
      <c r="T284" t="n">
        <v>0</v>
      </c>
      <c r="U284" s="2" t="inlineStr"/>
    </row>
    <row r="285" ht="15" customHeight="1">
      <c r="A285" t="inlineStr">
        <is>
          <t>A 2308-2023</t>
        </is>
      </c>
      <c r="B285" t="inlineStr">
        <is>
          <t>avverkningsanmälan</t>
        </is>
      </c>
      <c r="C285" t="inlineStr">
        <is>
          <t>Föryngringsavverkning</t>
        </is>
      </c>
      <c r="D285" s="1" t="n">
        <v>44942</v>
      </c>
      <c r="E285" s="1" t="n">
        <v>46220</v>
      </c>
      <c r="F285" t="inlineStr">
        <is>
          <t>DALARNAS LÄN</t>
        </is>
      </c>
      <c r="G285" t="inlineStr">
        <is>
          <t>MORA</t>
        </is>
      </c>
      <c r="I285" t="n">
        <v>2.2</v>
      </c>
      <c r="J285" t="n">
        <v>0</v>
      </c>
      <c r="K285" t="n">
        <v>0</v>
      </c>
      <c r="L285" t="n">
        <v>0</v>
      </c>
      <c r="M285" t="n">
        <v>0</v>
      </c>
      <c r="N285" t="n">
        <v>0</v>
      </c>
      <c r="O285" t="n">
        <v>0</v>
      </c>
      <c r="P285" t="n">
        <v>0</v>
      </c>
      <c r="Q285" t="n">
        <v>0</v>
      </c>
      <c r="R285" t="n">
        <v>0</v>
      </c>
      <c r="S285" t="n">
        <v>0</v>
      </c>
      <c r="T285" t="n">
        <v>0</v>
      </c>
      <c r="U285" s="2" t="inlineStr"/>
    </row>
    <row r="286" ht="15" customHeight="1">
      <c r="A286" t="inlineStr">
        <is>
          <t>A 47716-2025</t>
        </is>
      </c>
      <c r="B286" t="inlineStr">
        <is>
          <t>avverkningsanmälan</t>
        </is>
      </c>
      <c r="C286" t="inlineStr">
        <is>
          <t>Föryngringsavverkning</t>
        </is>
      </c>
      <c r="D286" s="1" t="n">
        <v>45931</v>
      </c>
      <c r="E286" s="1" t="n">
        <v>46220</v>
      </c>
      <c r="F286" t="inlineStr">
        <is>
          <t>DALARNAS LÄN</t>
        </is>
      </c>
      <c r="G286" t="inlineStr">
        <is>
          <t>MORA</t>
        </is>
      </c>
      <c r="I286" t="n">
        <v>8.9</v>
      </c>
      <c r="J286" t="n">
        <v>0</v>
      </c>
      <c r="K286" t="n">
        <v>0</v>
      </c>
      <c r="L286" t="n">
        <v>0</v>
      </c>
      <c r="M286" t="n">
        <v>0</v>
      </c>
      <c r="N286" t="n">
        <v>0</v>
      </c>
      <c r="O286" t="n">
        <v>0</v>
      </c>
      <c r="P286" t="n">
        <v>0</v>
      </c>
      <c r="Q286" t="n">
        <v>0</v>
      </c>
      <c r="R286" t="n">
        <v>0</v>
      </c>
      <c r="S286" t="n">
        <v>0</v>
      </c>
      <c r="T286" t="n">
        <v>0</v>
      </c>
      <c r="U286" s="2" t="inlineStr"/>
    </row>
    <row r="287" ht="15" customHeight="1">
      <c r="A287" t="inlineStr">
        <is>
          <t>A 3440-2026</t>
        </is>
      </c>
      <c r="B287" t="inlineStr">
        <is>
          <t>avverkningsanmälan</t>
        </is>
      </c>
      <c r="C287" t="inlineStr">
        <is>
          <t>Föryngringsavverkning</t>
        </is>
      </c>
      <c r="D287" s="1" t="n">
        <v>46042</v>
      </c>
      <c r="E287" s="1" t="n">
        <v>46220</v>
      </c>
      <c r="F287" t="inlineStr">
        <is>
          <t>DALARNAS LÄN</t>
        </is>
      </c>
      <c r="G287" t="inlineStr">
        <is>
          <t>MORA</t>
        </is>
      </c>
      <c r="I287" t="n">
        <v>6.7</v>
      </c>
      <c r="J287" t="n">
        <v>0</v>
      </c>
      <c r="K287" t="n">
        <v>0</v>
      </c>
      <c r="L287" t="n">
        <v>0</v>
      </c>
      <c r="M287" t="n">
        <v>0</v>
      </c>
      <c r="N287" t="n">
        <v>0</v>
      </c>
      <c r="O287" t="n">
        <v>0</v>
      </c>
      <c r="P287" t="n">
        <v>0</v>
      </c>
      <c r="Q287" t="n">
        <v>0</v>
      </c>
      <c r="R287" t="n">
        <v>0</v>
      </c>
      <c r="S287" t="n">
        <v>0</v>
      </c>
      <c r="T287" t="n">
        <v>0</v>
      </c>
      <c r="U287" s="2" t="inlineStr"/>
    </row>
    <row r="288" ht="15" customHeight="1">
      <c r="A288" t="inlineStr">
        <is>
          <t>A 48927-2025</t>
        </is>
      </c>
      <c r="B288" t="inlineStr">
        <is>
          <t>avverkningsanmälan</t>
        </is>
      </c>
      <c r="C288" t="inlineStr">
        <is>
          <t>Föryngringsavverkning</t>
        </is>
      </c>
      <c r="D288" s="1" t="n">
        <v>45931</v>
      </c>
      <c r="E288" s="1" t="n">
        <v>46220</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48926-2025</t>
        </is>
      </c>
      <c r="B289" t="inlineStr">
        <is>
          <t>avverkningsanmälan</t>
        </is>
      </c>
      <c r="C289" t="inlineStr">
        <is>
          <t>Föryngringsavverkning</t>
        </is>
      </c>
      <c r="D289" s="1" t="n">
        <v>45937</v>
      </c>
      <c r="E289" s="1" t="n">
        <v>46220</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48929-2025</t>
        </is>
      </c>
      <c r="B290" t="inlineStr">
        <is>
          <t>avverkningsanmälan</t>
        </is>
      </c>
      <c r="C290" t="inlineStr">
        <is>
          <t>Föryngringsavverkning</t>
        </is>
      </c>
      <c r="D290" s="1" t="n">
        <v>45937</v>
      </c>
      <c r="E290" s="1" t="n">
        <v>46220</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49404-2025</t>
        </is>
      </c>
      <c r="B291" t="inlineStr">
        <is>
          <t>avverkningsanmälan</t>
        </is>
      </c>
      <c r="C291" t="inlineStr">
        <is>
          <t>Föryngringsavverkning</t>
        </is>
      </c>
      <c r="D291" s="1" t="n">
        <v>45938</v>
      </c>
      <c r="E291" s="1" t="n">
        <v>46220</v>
      </c>
      <c r="F291" t="inlineStr">
        <is>
          <t>DALARNAS LÄN</t>
        </is>
      </c>
      <c r="G291" t="inlineStr">
        <is>
          <t>MORA</t>
        </is>
      </c>
      <c r="H291" t="inlineStr">
        <is>
          <t>Bergvik skog väst AB</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49401-2025</t>
        </is>
      </c>
      <c r="B292" t="inlineStr">
        <is>
          <t>avverkningsanmälan</t>
        </is>
      </c>
      <c r="C292" t="inlineStr">
        <is>
          <t>Föryngringsavverkning</t>
        </is>
      </c>
      <c r="D292" s="1" t="n">
        <v>45938</v>
      </c>
      <c r="E292" s="1" t="n">
        <v>46220</v>
      </c>
      <c r="F292" t="inlineStr">
        <is>
          <t>DALARNAS LÄN</t>
        </is>
      </c>
      <c r="G292" t="inlineStr">
        <is>
          <t>MORA</t>
        </is>
      </c>
      <c r="H292" t="inlineStr">
        <is>
          <t>Bergvik skog väst AB</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53159-2024</t>
        </is>
      </c>
      <c r="B293" t="inlineStr">
        <is>
          <t>avverkningsanmälan</t>
        </is>
      </c>
      <c r="C293" t="inlineStr">
        <is>
          <t>Föryngringsavverkning</t>
        </is>
      </c>
      <c r="D293" s="1" t="n">
        <v>45611</v>
      </c>
      <c r="E293" s="1" t="n">
        <v>46220</v>
      </c>
      <c r="F293" t="inlineStr">
        <is>
          <t>DALARNAS LÄN</t>
        </is>
      </c>
      <c r="G293" t="inlineStr">
        <is>
          <t>MORA</t>
        </is>
      </c>
      <c r="I293" t="n">
        <v>3.3</v>
      </c>
      <c r="J293" t="n">
        <v>0</v>
      </c>
      <c r="K293" t="n">
        <v>0</v>
      </c>
      <c r="L293" t="n">
        <v>0</v>
      </c>
      <c r="M293" t="n">
        <v>0</v>
      </c>
      <c r="N293" t="n">
        <v>0</v>
      </c>
      <c r="O293" t="n">
        <v>0</v>
      </c>
      <c r="P293" t="n">
        <v>0</v>
      </c>
      <c r="Q293" t="n">
        <v>0</v>
      </c>
      <c r="R293" t="n">
        <v>0</v>
      </c>
      <c r="S293" t="n">
        <v>0</v>
      </c>
      <c r="T293" t="n">
        <v>0</v>
      </c>
      <c r="U293" s="2" t="inlineStr"/>
    </row>
    <row r="294" ht="15" customHeight="1">
      <c r="A294" t="inlineStr">
        <is>
          <t>A 36846-2025</t>
        </is>
      </c>
      <c r="B294" t="inlineStr">
        <is>
          <t>avverkningsanmälan</t>
        </is>
      </c>
      <c r="C294" t="inlineStr">
        <is>
          <t>Föryngringsavverkning</t>
        </is>
      </c>
      <c r="D294" s="1" t="n">
        <v>45874</v>
      </c>
      <c r="E294" s="1" t="n">
        <v>46220</v>
      </c>
      <c r="F294" t="inlineStr">
        <is>
          <t>DALARNAS LÄN</t>
        </is>
      </c>
      <c r="G294" t="inlineStr">
        <is>
          <t>MORA</t>
        </is>
      </c>
      <c r="I294" t="n">
        <v>10.7</v>
      </c>
      <c r="J294" t="n">
        <v>0</v>
      </c>
      <c r="K294" t="n">
        <v>0</v>
      </c>
      <c r="L294" t="n">
        <v>0</v>
      </c>
      <c r="M294" t="n">
        <v>0</v>
      </c>
      <c r="N294" t="n">
        <v>0</v>
      </c>
      <c r="O294" t="n">
        <v>0</v>
      </c>
      <c r="P294" t="n">
        <v>0</v>
      </c>
      <c r="Q294" t="n">
        <v>0</v>
      </c>
      <c r="R294" t="n">
        <v>0</v>
      </c>
      <c r="S294" t="n">
        <v>0</v>
      </c>
      <c r="T294" t="n">
        <v>0</v>
      </c>
      <c r="U294" s="2" t="inlineStr"/>
    </row>
    <row r="295" ht="15" customHeight="1">
      <c r="A295" t="inlineStr">
        <is>
          <t>A 29754-2022</t>
        </is>
      </c>
      <c r="B295" t="inlineStr">
        <is>
          <t>avverkningsanmälan</t>
        </is>
      </c>
      <c r="C295" t="inlineStr">
        <is>
          <t>Föryngringsavverkning</t>
        </is>
      </c>
      <c r="D295" s="1" t="n">
        <v>44755</v>
      </c>
      <c r="E295" s="1" t="n">
        <v>46220</v>
      </c>
      <c r="F295" t="inlineStr">
        <is>
          <t>DALARNAS LÄN</t>
        </is>
      </c>
      <c r="G295" t="inlineStr">
        <is>
          <t>MORA</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22854-2023</t>
        </is>
      </c>
      <c r="B296" t="inlineStr">
        <is>
          <t>avverkningsanmälan</t>
        </is>
      </c>
      <c r="C296" t="inlineStr">
        <is>
          <t>Föryngringsavverkning</t>
        </is>
      </c>
      <c r="D296" s="1" t="n">
        <v>45072</v>
      </c>
      <c r="E296" s="1" t="n">
        <v>46220</v>
      </c>
      <c r="F296" t="inlineStr">
        <is>
          <t>DALARNAS LÄN</t>
        </is>
      </c>
      <c r="G296" t="inlineStr">
        <is>
          <t>MORA</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37268-2025</t>
        </is>
      </c>
      <c r="B297" t="inlineStr">
        <is>
          <t>avverkningsanmälan</t>
        </is>
      </c>
      <c r="C297" t="inlineStr">
        <is>
          <t>Föryngringsavverkning</t>
        </is>
      </c>
      <c r="D297" s="1" t="n">
        <v>45876</v>
      </c>
      <c r="E297" s="1" t="n">
        <v>46220</v>
      </c>
      <c r="F297" t="inlineStr">
        <is>
          <t>DALARNAS LÄN</t>
        </is>
      </c>
      <c r="G297" t="inlineStr">
        <is>
          <t>MORA</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3669-2026</t>
        </is>
      </c>
      <c r="B298" t="inlineStr">
        <is>
          <t>avverkningsanmälan</t>
        </is>
      </c>
      <c r="C298" t="inlineStr">
        <is>
          <t>Föryngringsavverkning</t>
        </is>
      </c>
      <c r="D298" s="1" t="n">
        <v>46043</v>
      </c>
      <c r="E298" s="1" t="n">
        <v>46220</v>
      </c>
      <c r="F298" t="inlineStr">
        <is>
          <t>DALARNAS LÄN</t>
        </is>
      </c>
      <c r="G298" t="inlineStr">
        <is>
          <t>MORA</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1252-2025</t>
        </is>
      </c>
      <c r="B299" t="inlineStr">
        <is>
          <t>avverkningsanmälan</t>
        </is>
      </c>
      <c r="C299" t="inlineStr">
        <is>
          <t>Föryngringsavverkning</t>
        </is>
      </c>
      <c r="D299" s="1" t="n">
        <v>45667</v>
      </c>
      <c r="E299" s="1" t="n">
        <v>46220</v>
      </c>
      <c r="F299" t="inlineStr">
        <is>
          <t>DALARNAS LÄN</t>
        </is>
      </c>
      <c r="G299" t="inlineStr">
        <is>
          <t>MORA</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37879-2025</t>
        </is>
      </c>
      <c r="B300" t="inlineStr">
        <is>
          <t>avverkningsanmälan</t>
        </is>
      </c>
      <c r="C300" t="inlineStr">
        <is>
          <t>Föryngringsavverkning</t>
        </is>
      </c>
      <c r="D300" s="1" t="n">
        <v>45881</v>
      </c>
      <c r="E300" s="1" t="n">
        <v>46220</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53527-2024</t>
        </is>
      </c>
      <c r="B301" t="inlineStr">
        <is>
          <t>avverkningsanmälan</t>
        </is>
      </c>
      <c r="C301" t="inlineStr">
        <is>
          <t>Föryngringsavverkning</t>
        </is>
      </c>
      <c r="D301" s="1" t="n">
        <v>45614</v>
      </c>
      <c r="E301" s="1" t="n">
        <v>46220</v>
      </c>
      <c r="F301" t="inlineStr">
        <is>
          <t>DALARNAS LÄN</t>
        </is>
      </c>
      <c r="G301" t="inlineStr">
        <is>
          <t>MORA</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16967-2025</t>
        </is>
      </c>
      <c r="B302" t="inlineStr">
        <is>
          <t>avverkningsanmälan</t>
        </is>
      </c>
      <c r="C302" t="inlineStr">
        <is>
          <t>Föryngringsavverkning</t>
        </is>
      </c>
      <c r="D302" s="1" t="n">
        <v>45755</v>
      </c>
      <c r="E302" s="1" t="n">
        <v>46220</v>
      </c>
      <c r="F302" t="inlineStr">
        <is>
          <t>DALARNAS LÄN</t>
        </is>
      </c>
      <c r="G302" t="inlineStr">
        <is>
          <t>MORA</t>
        </is>
      </c>
      <c r="H302" t="inlineStr">
        <is>
          <t>Bergvik skog öst AB</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571-2024</t>
        </is>
      </c>
      <c r="B303" t="inlineStr">
        <is>
          <t>avverkningsanmälan</t>
        </is>
      </c>
      <c r="C303" t="inlineStr">
        <is>
          <t>Föryngringsavverkning</t>
        </is>
      </c>
      <c r="D303" s="1" t="n">
        <v>45299</v>
      </c>
      <c r="E303" s="1" t="n">
        <v>46220</v>
      </c>
      <c r="F303" t="inlineStr">
        <is>
          <t>DALARNAS LÄN</t>
        </is>
      </c>
      <c r="G303" t="inlineStr">
        <is>
          <t>MORA</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61278-2024</t>
        </is>
      </c>
      <c r="B304" t="inlineStr">
        <is>
          <t>avverkningsanmälan</t>
        </is>
      </c>
      <c r="C304" t="inlineStr">
        <is>
          <t>Föryngringsavverkning</t>
        </is>
      </c>
      <c r="D304" s="1" t="n">
        <v>45645</v>
      </c>
      <c r="E304" s="1" t="n">
        <v>46220</v>
      </c>
      <c r="F304" t="inlineStr">
        <is>
          <t>DALARNAS LÄN</t>
        </is>
      </c>
      <c r="G304" t="inlineStr">
        <is>
          <t>MORA</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20549-2025</t>
        </is>
      </c>
      <c r="B305" t="inlineStr">
        <is>
          <t>avverkningsanmälan</t>
        </is>
      </c>
      <c r="C305" t="inlineStr">
        <is>
          <t>Föryngringsavverkning</t>
        </is>
      </c>
      <c r="D305" s="1" t="n">
        <v>45775</v>
      </c>
      <c r="E305" s="1" t="n">
        <v>46220</v>
      </c>
      <c r="F305" t="inlineStr">
        <is>
          <t>DALARNAS LÄN</t>
        </is>
      </c>
      <c r="G305" t="inlineStr">
        <is>
          <t>MORA</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53743-2024</t>
        </is>
      </c>
      <c r="B306" t="inlineStr">
        <is>
          <t>avverkningsanmälan</t>
        </is>
      </c>
      <c r="C306" t="inlineStr">
        <is>
          <t>Föryngringsavverkning</t>
        </is>
      </c>
      <c r="D306" s="1" t="n">
        <v>45615</v>
      </c>
      <c r="E306" s="1" t="n">
        <v>46220</v>
      </c>
      <c r="F306" t="inlineStr">
        <is>
          <t>DALARNAS LÄN</t>
        </is>
      </c>
      <c r="G306" t="inlineStr">
        <is>
          <t>MORA</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4213-2026</t>
        </is>
      </c>
      <c r="B307" t="inlineStr">
        <is>
          <t>avverkningsanmälan</t>
        </is>
      </c>
      <c r="C307" t="inlineStr">
        <is>
          <t>Föryngringsavverkning</t>
        </is>
      </c>
      <c r="D307" s="1" t="n">
        <v>46044</v>
      </c>
      <c r="E307" s="1" t="n">
        <v>46220</v>
      </c>
      <c r="F307" t="inlineStr">
        <is>
          <t>DALARNAS LÄN</t>
        </is>
      </c>
      <c r="G307" t="inlineStr">
        <is>
          <t>MORA</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52110-2025</t>
        </is>
      </c>
      <c r="B308" t="inlineStr">
        <is>
          <t>avverkningsanmälan</t>
        </is>
      </c>
      <c r="C308" t="inlineStr">
        <is>
          <t>Föryngringsavverkning</t>
        </is>
      </c>
      <c r="D308" s="1" t="n">
        <v>45952</v>
      </c>
      <c r="E308" s="1" t="n">
        <v>46220</v>
      </c>
      <c r="F308" t="inlineStr">
        <is>
          <t>DALARNAS LÄN</t>
        </is>
      </c>
      <c r="G308" t="inlineStr">
        <is>
          <t>MORA</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54628-2024</t>
        </is>
      </c>
      <c r="B309" t="inlineStr">
        <is>
          <t>avverkningsanmälan</t>
        </is>
      </c>
      <c r="C309" t="inlineStr">
        <is>
          <t>Föryngringsavverkning</t>
        </is>
      </c>
      <c r="D309" s="1" t="n">
        <v>45617</v>
      </c>
      <c r="E309" s="1" t="n">
        <v>46220</v>
      </c>
      <c r="F309" t="inlineStr">
        <is>
          <t>DALARNAS LÄN</t>
        </is>
      </c>
      <c r="G309" t="inlineStr">
        <is>
          <t>MORA</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59448-2022</t>
        </is>
      </c>
      <c r="B310" t="inlineStr">
        <is>
          <t>avverkningsanmälan</t>
        </is>
      </c>
      <c r="C310" t="inlineStr">
        <is>
          <t>Avverkning för annat ändamål</t>
        </is>
      </c>
      <c r="D310" s="1" t="n">
        <v>44907</v>
      </c>
      <c r="E310" s="1" t="n">
        <v>46220</v>
      </c>
      <c r="F310" t="inlineStr">
        <is>
          <t>DALARNAS LÄN</t>
        </is>
      </c>
      <c r="G310" t="inlineStr">
        <is>
          <t>MORA</t>
        </is>
      </c>
      <c r="I310" t="n">
        <v>35.7</v>
      </c>
      <c r="J310" t="n">
        <v>0</v>
      </c>
      <c r="K310" t="n">
        <v>0</v>
      </c>
      <c r="L310" t="n">
        <v>0</v>
      </c>
      <c r="M310" t="n">
        <v>0</v>
      </c>
      <c r="N310" t="n">
        <v>0</v>
      </c>
      <c r="O310" t="n">
        <v>0</v>
      </c>
      <c r="P310" t="n">
        <v>0</v>
      </c>
      <c r="Q310" t="n">
        <v>0</v>
      </c>
      <c r="R310" t="n">
        <v>0</v>
      </c>
      <c r="S310" t="n">
        <v>0</v>
      </c>
      <c r="T310" t="n">
        <v>0</v>
      </c>
      <c r="U310" s="2" t="inlineStr"/>
    </row>
    <row r="311" ht="15" customHeight="1">
      <c r="A311" t="inlineStr">
        <is>
          <t>A 57319-2023</t>
        </is>
      </c>
      <c r="B311" t="inlineStr">
        <is>
          <t>avverkningsanmälan</t>
        </is>
      </c>
      <c r="C311" t="inlineStr">
        <is>
          <t>Avverkning för att bevara och utveckla /försöksver</t>
        </is>
      </c>
      <c r="D311" s="1" t="n">
        <v>45245</v>
      </c>
      <c r="E311" s="1" t="n">
        <v>46220</v>
      </c>
      <c r="F311" t="inlineStr">
        <is>
          <t>DALARNAS LÄN</t>
        </is>
      </c>
      <c r="G311" t="inlineStr">
        <is>
          <t>MORA</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53151-2025</t>
        </is>
      </c>
      <c r="B312" t="inlineStr">
        <is>
          <t>avverkningsanmälan</t>
        </is>
      </c>
      <c r="C312" t="inlineStr">
        <is>
          <t>Föryngringsavverkning</t>
        </is>
      </c>
      <c r="D312" s="1" t="n">
        <v>45958</v>
      </c>
      <c r="E312" s="1" t="n">
        <v>46220</v>
      </c>
      <c r="F312" t="inlineStr">
        <is>
          <t>DALARNAS LÄN</t>
        </is>
      </c>
      <c r="G312" t="inlineStr">
        <is>
          <t>MORA</t>
        </is>
      </c>
      <c r="H312" t="inlineStr">
        <is>
          <t>Bergvik skog öst AB</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53150-2025</t>
        </is>
      </c>
      <c r="B313" t="inlineStr">
        <is>
          <t>avverkningsanmälan</t>
        </is>
      </c>
      <c r="C313" t="inlineStr">
        <is>
          <t>Föryngringsavverkning</t>
        </is>
      </c>
      <c r="D313" s="1" t="n">
        <v>45958</v>
      </c>
      <c r="E313" s="1" t="n">
        <v>46220</v>
      </c>
      <c r="F313" t="inlineStr">
        <is>
          <t>DALARNAS LÄN</t>
        </is>
      </c>
      <c r="G313" t="inlineStr">
        <is>
          <t>MORA</t>
        </is>
      </c>
      <c r="H313" t="inlineStr">
        <is>
          <t>Bergvik skog öst AB</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32261-2022</t>
        </is>
      </c>
      <c r="B314" t="inlineStr">
        <is>
          <t>avverkningsanmälan</t>
        </is>
      </c>
      <c r="C314" t="inlineStr">
        <is>
          <t>Föryngringsavverkning</t>
        </is>
      </c>
      <c r="D314" s="1" t="n">
        <v>44781</v>
      </c>
      <c r="E314" s="1" t="n">
        <v>46220</v>
      </c>
      <c r="F314" t="inlineStr">
        <is>
          <t>DALARNAS LÄN</t>
        </is>
      </c>
      <c r="G314" t="inlineStr">
        <is>
          <t>MORA</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53982-2025</t>
        </is>
      </c>
      <c r="B315" t="inlineStr">
        <is>
          <t>avverkningsanmälan</t>
        </is>
      </c>
      <c r="C315" t="inlineStr">
        <is>
          <t>Föryngringsavverkning</t>
        </is>
      </c>
      <c r="D315" s="1" t="n">
        <v>45961</v>
      </c>
      <c r="E315" s="1" t="n">
        <v>46220</v>
      </c>
      <c r="F315" t="inlineStr">
        <is>
          <t>DALARNAS LÄN</t>
        </is>
      </c>
      <c r="G315" t="inlineStr">
        <is>
          <t>MORA</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53565-2025</t>
        </is>
      </c>
      <c r="B316" t="inlineStr">
        <is>
          <t>avverkningsanmälan</t>
        </is>
      </c>
      <c r="C316" t="inlineStr">
        <is>
          <t>Föryngringsavverkning</t>
        </is>
      </c>
      <c r="D316" s="1" t="n">
        <v>45960</v>
      </c>
      <c r="E316" s="1" t="n">
        <v>46220</v>
      </c>
      <c r="F316" t="inlineStr">
        <is>
          <t>DALARNAS LÄN</t>
        </is>
      </c>
      <c r="G316" t="inlineStr">
        <is>
          <t>MORA</t>
        </is>
      </c>
      <c r="I316" t="n">
        <v>5.1</v>
      </c>
      <c r="J316" t="n">
        <v>0</v>
      </c>
      <c r="K316" t="n">
        <v>0</v>
      </c>
      <c r="L316" t="n">
        <v>0</v>
      </c>
      <c r="M316" t="n">
        <v>0</v>
      </c>
      <c r="N316" t="n">
        <v>0</v>
      </c>
      <c r="O316" t="n">
        <v>0</v>
      </c>
      <c r="P316" t="n">
        <v>0</v>
      </c>
      <c r="Q316" t="n">
        <v>0</v>
      </c>
      <c r="R316" t="n">
        <v>0</v>
      </c>
      <c r="S316" t="n">
        <v>0</v>
      </c>
      <c r="T316" t="n">
        <v>0</v>
      </c>
      <c r="U316" s="2" t="inlineStr"/>
    </row>
    <row r="317" ht="15" customHeight="1">
      <c r="A317" t="inlineStr">
        <is>
          <t>A 53632-2025</t>
        </is>
      </c>
      <c r="B317" t="inlineStr">
        <is>
          <t>avverkningsanmälan</t>
        </is>
      </c>
      <c r="C317" t="inlineStr">
        <is>
          <t>Föryngringsavverkning</t>
        </is>
      </c>
      <c r="D317" s="1" t="n">
        <v>45960</v>
      </c>
      <c r="E317" s="1" t="n">
        <v>46220</v>
      </c>
      <c r="F317" t="inlineStr">
        <is>
          <t>DALARNAS LÄN</t>
        </is>
      </c>
      <c r="G317" t="inlineStr">
        <is>
          <t>MORA</t>
        </is>
      </c>
      <c r="I317" t="n">
        <v>3.1</v>
      </c>
      <c r="J317" t="n">
        <v>0</v>
      </c>
      <c r="K317" t="n">
        <v>0</v>
      </c>
      <c r="L317" t="n">
        <v>0</v>
      </c>
      <c r="M317" t="n">
        <v>0</v>
      </c>
      <c r="N317" t="n">
        <v>0</v>
      </c>
      <c r="O317" t="n">
        <v>0</v>
      </c>
      <c r="P317" t="n">
        <v>0</v>
      </c>
      <c r="Q317" t="n">
        <v>0</v>
      </c>
      <c r="R317" t="n">
        <v>0</v>
      </c>
      <c r="S317" t="n">
        <v>0</v>
      </c>
      <c r="T317" t="n">
        <v>0</v>
      </c>
      <c r="U317" s="2" t="inlineStr"/>
    </row>
    <row r="318" ht="15" customHeight="1">
      <c r="A318" t="inlineStr">
        <is>
          <t>A 53560-2025</t>
        </is>
      </c>
      <c r="B318" t="inlineStr">
        <is>
          <t>avverkningsanmälan</t>
        </is>
      </c>
      <c r="C318" t="inlineStr">
        <is>
          <t>Föryngringsavverkning</t>
        </is>
      </c>
      <c r="D318" s="1" t="n">
        <v>45960</v>
      </c>
      <c r="E318" s="1" t="n">
        <v>46220</v>
      </c>
      <c r="F318" t="inlineStr">
        <is>
          <t>DALARNAS LÄN</t>
        </is>
      </c>
      <c r="G318" t="inlineStr">
        <is>
          <t>MORA</t>
        </is>
      </c>
      <c r="I318" t="n">
        <v>5.2</v>
      </c>
      <c r="J318" t="n">
        <v>0</v>
      </c>
      <c r="K318" t="n">
        <v>0</v>
      </c>
      <c r="L318" t="n">
        <v>0</v>
      </c>
      <c r="M318" t="n">
        <v>0</v>
      </c>
      <c r="N318" t="n">
        <v>0</v>
      </c>
      <c r="O318" t="n">
        <v>0</v>
      </c>
      <c r="P318" t="n">
        <v>0</v>
      </c>
      <c r="Q318" t="n">
        <v>0</v>
      </c>
      <c r="R318" t="n">
        <v>0</v>
      </c>
      <c r="S318" t="n">
        <v>0</v>
      </c>
      <c r="T318" t="n">
        <v>0</v>
      </c>
      <c r="U318" s="2" t="inlineStr"/>
    </row>
    <row r="319" ht="15" customHeight="1">
      <c r="A319" t="inlineStr">
        <is>
          <t>A 53562-2025</t>
        </is>
      </c>
      <c r="B319" t="inlineStr">
        <is>
          <t>avverkningsanmälan</t>
        </is>
      </c>
      <c r="C319" t="inlineStr">
        <is>
          <t>Föryngringsavverkning</t>
        </is>
      </c>
      <c r="D319" s="1" t="n">
        <v>45960</v>
      </c>
      <c r="E319" s="1" t="n">
        <v>46220</v>
      </c>
      <c r="F319" t="inlineStr">
        <is>
          <t>DALARNAS LÄN</t>
        </is>
      </c>
      <c r="G319" t="inlineStr">
        <is>
          <t>MORA</t>
        </is>
      </c>
      <c r="I319" t="n">
        <v>5.1</v>
      </c>
      <c r="J319" t="n">
        <v>0</v>
      </c>
      <c r="K319" t="n">
        <v>0</v>
      </c>
      <c r="L319" t="n">
        <v>0</v>
      </c>
      <c r="M319" t="n">
        <v>0</v>
      </c>
      <c r="N319" t="n">
        <v>0</v>
      </c>
      <c r="O319" t="n">
        <v>0</v>
      </c>
      <c r="P319" t="n">
        <v>0</v>
      </c>
      <c r="Q319" t="n">
        <v>0</v>
      </c>
      <c r="R319" t="n">
        <v>0</v>
      </c>
      <c r="S319" t="n">
        <v>0</v>
      </c>
      <c r="T319" t="n">
        <v>0</v>
      </c>
      <c r="U319" s="2" t="inlineStr"/>
    </row>
    <row r="320" ht="15" customHeight="1">
      <c r="A320" t="inlineStr">
        <is>
          <t>A 53591-2025</t>
        </is>
      </c>
      <c r="B320" t="inlineStr">
        <is>
          <t>avverkningsanmälan</t>
        </is>
      </c>
      <c r="C320" t="inlineStr">
        <is>
          <t>Föryngringsavverkning</t>
        </is>
      </c>
      <c r="D320" s="1" t="n">
        <v>45960</v>
      </c>
      <c r="E320" s="1" t="n">
        <v>46220</v>
      </c>
      <c r="F320" t="inlineStr">
        <is>
          <t>DALARNAS LÄN</t>
        </is>
      </c>
      <c r="G320" t="inlineStr">
        <is>
          <t>MORA</t>
        </is>
      </c>
      <c r="I320" t="n">
        <v>3.8</v>
      </c>
      <c r="J320" t="n">
        <v>0</v>
      </c>
      <c r="K320" t="n">
        <v>0</v>
      </c>
      <c r="L320" t="n">
        <v>0</v>
      </c>
      <c r="M320" t="n">
        <v>0</v>
      </c>
      <c r="N320" t="n">
        <v>0</v>
      </c>
      <c r="O320" t="n">
        <v>0</v>
      </c>
      <c r="P320" t="n">
        <v>0</v>
      </c>
      <c r="Q320" t="n">
        <v>0</v>
      </c>
      <c r="R320" t="n">
        <v>0</v>
      </c>
      <c r="S320" t="n">
        <v>0</v>
      </c>
      <c r="T320" t="n">
        <v>0</v>
      </c>
      <c r="U320" s="2" t="inlineStr"/>
    </row>
    <row r="321" ht="15" customHeight="1">
      <c r="A321" t="inlineStr">
        <is>
          <t>A 53556-2025</t>
        </is>
      </c>
      <c r="B321" t="inlineStr">
        <is>
          <t>avverkningsanmälan</t>
        </is>
      </c>
      <c r="C321" t="inlineStr">
        <is>
          <t>Föryngringsavverkning</t>
        </is>
      </c>
      <c r="D321" s="1" t="n">
        <v>45960</v>
      </c>
      <c r="E321" s="1" t="n">
        <v>46220</v>
      </c>
      <c r="F321" t="inlineStr">
        <is>
          <t>DALARNAS LÄN</t>
        </is>
      </c>
      <c r="G321" t="inlineStr">
        <is>
          <t>MORA</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54367-2025</t>
        </is>
      </c>
      <c r="B322" t="inlineStr">
        <is>
          <t>avverkningsanmälan</t>
        </is>
      </c>
      <c r="C322" t="inlineStr">
        <is>
          <t>Föryngringsavverkning</t>
        </is>
      </c>
      <c r="D322" s="1" t="n">
        <v>45965</v>
      </c>
      <c r="E322" s="1" t="n">
        <v>46220</v>
      </c>
      <c r="F322" t="inlineStr">
        <is>
          <t>DALARNAS LÄN</t>
        </is>
      </c>
      <c r="G322" t="inlineStr">
        <is>
          <t>MORA</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54504-2025</t>
        </is>
      </c>
      <c r="B323" t="inlineStr">
        <is>
          <t>avverkningsanmälan</t>
        </is>
      </c>
      <c r="C323" t="inlineStr">
        <is>
          <t>Föryngringsavverkning</t>
        </is>
      </c>
      <c r="D323" s="1" t="n">
        <v>45965</v>
      </c>
      <c r="E323" s="1" t="n">
        <v>46220</v>
      </c>
      <c r="F323" t="inlineStr">
        <is>
          <t>DALARNAS LÄN</t>
        </is>
      </c>
      <c r="G323" t="inlineStr">
        <is>
          <t>MORA</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35381-2024</t>
        </is>
      </c>
      <c r="B324" t="inlineStr">
        <is>
          <t>avverkningsanmälan</t>
        </is>
      </c>
      <c r="C324" t="inlineStr">
        <is>
          <t>Föryngringsavverkning</t>
        </is>
      </c>
      <c r="D324" s="1" t="n">
        <v>45531</v>
      </c>
      <c r="E324" s="1" t="n">
        <v>46220</v>
      </c>
      <c r="F324" t="inlineStr">
        <is>
          <t>DALARNAS LÄN</t>
        </is>
      </c>
      <c r="G324" t="inlineStr">
        <is>
          <t>MORA</t>
        </is>
      </c>
      <c r="I324" t="n">
        <v>3.7</v>
      </c>
      <c r="J324" t="n">
        <v>0</v>
      </c>
      <c r="K324" t="n">
        <v>0</v>
      </c>
      <c r="L324" t="n">
        <v>0</v>
      </c>
      <c r="M324" t="n">
        <v>0</v>
      </c>
      <c r="N324" t="n">
        <v>0</v>
      </c>
      <c r="O324" t="n">
        <v>0</v>
      </c>
      <c r="P324" t="n">
        <v>0</v>
      </c>
      <c r="Q324" t="n">
        <v>0</v>
      </c>
      <c r="R324" t="n">
        <v>0</v>
      </c>
      <c r="S324" t="n">
        <v>0</v>
      </c>
      <c r="T324" t="n">
        <v>0</v>
      </c>
      <c r="U324" s="2" t="inlineStr"/>
    </row>
    <row r="325" ht="15" customHeight="1">
      <c r="A325" t="inlineStr">
        <is>
          <t>A 13479-2024</t>
        </is>
      </c>
      <c r="B325" t="inlineStr">
        <is>
          <t>avverkningsanmälan</t>
        </is>
      </c>
      <c r="C325" t="inlineStr">
        <is>
          <t>Föryngringsavverkning</t>
        </is>
      </c>
      <c r="D325" s="1" t="n">
        <v>45387</v>
      </c>
      <c r="E325" s="1" t="n">
        <v>46220</v>
      </c>
      <c r="F325" t="inlineStr">
        <is>
          <t>DALARNAS LÄN</t>
        </is>
      </c>
      <c r="G325" t="inlineStr">
        <is>
          <t>MORA</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54862-2025</t>
        </is>
      </c>
      <c r="B326" t="inlineStr">
        <is>
          <t>avverkningsanmälan</t>
        </is>
      </c>
      <c r="C326" t="inlineStr">
        <is>
          <t>Föryngringsavverkning</t>
        </is>
      </c>
      <c r="D326" s="1" t="n">
        <v>45966</v>
      </c>
      <c r="E326" s="1" t="n">
        <v>46220</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54909-2025</t>
        </is>
      </c>
      <c r="B327" t="inlineStr">
        <is>
          <t>avverkningsanmälan</t>
        </is>
      </c>
      <c r="C327" t="inlineStr">
        <is>
          <t>Föryngringsavverkning</t>
        </is>
      </c>
      <c r="D327" s="1" t="n">
        <v>45967</v>
      </c>
      <c r="E327" s="1" t="n">
        <v>46220</v>
      </c>
      <c r="F327" t="inlineStr">
        <is>
          <t>DALARNAS LÄN</t>
        </is>
      </c>
      <c r="G327" t="inlineStr">
        <is>
          <t>MORA</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6967-2026</t>
        </is>
      </c>
      <c r="B328" t="inlineStr">
        <is>
          <t>avverkningsanmälan</t>
        </is>
      </c>
      <c r="C328" t="inlineStr">
        <is>
          <t>Föryngringsavverkning</t>
        </is>
      </c>
      <c r="D328" s="1" t="n">
        <v>46057</v>
      </c>
      <c r="E328" s="1" t="n">
        <v>46220</v>
      </c>
      <c r="F328" t="inlineStr">
        <is>
          <t>DALARNAS LÄN</t>
        </is>
      </c>
      <c r="G328" t="inlineStr">
        <is>
          <t>MORA</t>
        </is>
      </c>
      <c r="I328" t="n">
        <v>5</v>
      </c>
      <c r="J328" t="n">
        <v>0</v>
      </c>
      <c r="K328" t="n">
        <v>0</v>
      </c>
      <c r="L328" t="n">
        <v>0</v>
      </c>
      <c r="M328" t="n">
        <v>0</v>
      </c>
      <c r="N328" t="n">
        <v>0</v>
      </c>
      <c r="O328" t="n">
        <v>0</v>
      </c>
      <c r="P328" t="n">
        <v>0</v>
      </c>
      <c r="Q328" t="n">
        <v>0</v>
      </c>
      <c r="R328" t="n">
        <v>0</v>
      </c>
      <c r="S328" t="n">
        <v>0</v>
      </c>
      <c r="T328" t="n">
        <v>0</v>
      </c>
      <c r="U328" s="2" t="inlineStr"/>
    </row>
    <row r="329" ht="15" customHeight="1">
      <c r="A329" t="inlineStr">
        <is>
          <t>A 54905-2025</t>
        </is>
      </c>
      <c r="B329" t="inlineStr">
        <is>
          <t>avverkningsanmälan</t>
        </is>
      </c>
      <c r="C329" t="inlineStr">
        <is>
          <t>Föryngringsavverkning</t>
        </is>
      </c>
      <c r="D329" s="1" t="n">
        <v>45967</v>
      </c>
      <c r="E329" s="1" t="n">
        <v>46220</v>
      </c>
      <c r="F329" t="inlineStr">
        <is>
          <t>DALARNAS LÄN</t>
        </is>
      </c>
      <c r="G329" t="inlineStr">
        <is>
          <t>MORA</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6674-2026</t>
        </is>
      </c>
      <c r="B330" t="inlineStr">
        <is>
          <t>avverkningsanmälan</t>
        </is>
      </c>
      <c r="C330" t="inlineStr">
        <is>
          <t>Föryngringsavverkning</t>
        </is>
      </c>
      <c r="D330" s="1" t="n">
        <v>46056</v>
      </c>
      <c r="E330" s="1" t="n">
        <v>46220</v>
      </c>
      <c r="F330" t="inlineStr">
        <is>
          <t>DALARNAS LÄN</t>
        </is>
      </c>
      <c r="G330" t="inlineStr">
        <is>
          <t>MORA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6923-2026</t>
        </is>
      </c>
      <c r="B331" t="inlineStr">
        <is>
          <t>avverkningsanmälan</t>
        </is>
      </c>
      <c r="C331" t="inlineStr">
        <is>
          <t>Föryngringsavverkning</t>
        </is>
      </c>
      <c r="D331" s="1" t="n">
        <v>46057</v>
      </c>
      <c r="E331" s="1" t="n">
        <v>46220</v>
      </c>
      <c r="F331" t="inlineStr">
        <is>
          <t>DALARNAS LÄN</t>
        </is>
      </c>
      <c r="G331" t="inlineStr">
        <is>
          <t>MORA</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55124-2025</t>
        </is>
      </c>
      <c r="B332" t="inlineStr">
        <is>
          <t>avverkningsanmälan</t>
        </is>
      </c>
      <c r="C332" t="inlineStr">
        <is>
          <t>Föryngringsavverkning</t>
        </is>
      </c>
      <c r="D332" s="1" t="n">
        <v>45968</v>
      </c>
      <c r="E332" s="1" t="n">
        <v>46220</v>
      </c>
      <c r="F332" t="inlineStr">
        <is>
          <t>DALARNAS LÄN</t>
        </is>
      </c>
      <c r="G332" t="inlineStr">
        <is>
          <t>MORA</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28487-2024</t>
        </is>
      </c>
      <c r="B333" t="inlineStr">
        <is>
          <t>avverkningsanmälan</t>
        </is>
      </c>
      <c r="C333" t="inlineStr">
        <is>
          <t>Föryngringsavverkning</t>
        </is>
      </c>
      <c r="D333" s="1" t="n">
        <v>45477</v>
      </c>
      <c r="E333" s="1" t="n">
        <v>46220</v>
      </c>
      <c r="F333" t="inlineStr">
        <is>
          <t>DALARNAS LÄN</t>
        </is>
      </c>
      <c r="G333" t="inlineStr">
        <is>
          <t>MORA</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23586-2023</t>
        </is>
      </c>
      <c r="B334" t="inlineStr">
        <is>
          <t>avverkningsanmälan</t>
        </is>
      </c>
      <c r="C334" t="inlineStr">
        <is>
          <t>Föryngringsavverkning</t>
        </is>
      </c>
      <c r="D334" s="1" t="n">
        <v>45077</v>
      </c>
      <c r="E334" s="1" t="n">
        <v>46220</v>
      </c>
      <c r="F334" t="inlineStr">
        <is>
          <t>DALARNAS LÄN</t>
        </is>
      </c>
      <c r="G334" t="inlineStr">
        <is>
          <t>MORA</t>
        </is>
      </c>
      <c r="I334" t="n">
        <v>9.199999999999999</v>
      </c>
      <c r="J334" t="n">
        <v>0</v>
      </c>
      <c r="K334" t="n">
        <v>0</v>
      </c>
      <c r="L334" t="n">
        <v>0</v>
      </c>
      <c r="M334" t="n">
        <v>0</v>
      </c>
      <c r="N334" t="n">
        <v>0</v>
      </c>
      <c r="O334" t="n">
        <v>0</v>
      </c>
      <c r="P334" t="n">
        <v>0</v>
      </c>
      <c r="Q334" t="n">
        <v>0</v>
      </c>
      <c r="R334" t="n">
        <v>0</v>
      </c>
      <c r="S334" t="n">
        <v>0</v>
      </c>
      <c r="T334" t="n">
        <v>0</v>
      </c>
      <c r="U334" s="2" t="inlineStr"/>
    </row>
    <row r="335" ht="15" customHeight="1">
      <c r="A335" t="inlineStr">
        <is>
          <t>A 43569-2025</t>
        </is>
      </c>
      <c r="B335" t="inlineStr">
        <is>
          <t>avverkningsanmälan</t>
        </is>
      </c>
      <c r="C335" t="inlineStr">
        <is>
          <t>Föryngringsavverkning</t>
        </is>
      </c>
      <c r="D335" s="1" t="n">
        <v>45911</v>
      </c>
      <c r="E335" s="1" t="n">
        <v>46220</v>
      </c>
      <c r="F335" t="inlineStr">
        <is>
          <t>DALARNAS LÄN</t>
        </is>
      </c>
      <c r="G335" t="inlineStr">
        <is>
          <t>MORA</t>
        </is>
      </c>
      <c r="I335" t="n">
        <v>4.7</v>
      </c>
      <c r="J335" t="n">
        <v>0</v>
      </c>
      <c r="K335" t="n">
        <v>0</v>
      </c>
      <c r="L335" t="n">
        <v>0</v>
      </c>
      <c r="M335" t="n">
        <v>0</v>
      </c>
      <c r="N335" t="n">
        <v>0</v>
      </c>
      <c r="O335" t="n">
        <v>0</v>
      </c>
      <c r="P335" t="n">
        <v>0</v>
      </c>
      <c r="Q335" t="n">
        <v>0</v>
      </c>
      <c r="R335" t="n">
        <v>0</v>
      </c>
      <c r="S335" t="n">
        <v>0</v>
      </c>
      <c r="T335" t="n">
        <v>0</v>
      </c>
      <c r="U335" s="2" t="inlineStr"/>
    </row>
    <row r="336" ht="15" customHeight="1">
      <c r="A336" t="inlineStr">
        <is>
          <t>A 58972-2023</t>
        </is>
      </c>
      <c r="B336" t="inlineStr">
        <is>
          <t>avverkningsanmälan</t>
        </is>
      </c>
      <c r="C336" t="inlineStr">
        <is>
          <t>Föryngringsavverkning</t>
        </is>
      </c>
      <c r="D336" s="1" t="n">
        <v>45252</v>
      </c>
      <c r="E336" s="1" t="n">
        <v>46220</v>
      </c>
      <c r="F336" t="inlineStr">
        <is>
          <t>DALARNAS LÄN</t>
        </is>
      </c>
      <c r="G336" t="inlineStr">
        <is>
          <t>MORA</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56702-2025</t>
        </is>
      </c>
      <c r="B337" t="inlineStr">
        <is>
          <t>avverkningsanmälan</t>
        </is>
      </c>
      <c r="C337" t="inlineStr">
        <is>
          <t>Föryngringsavverkning</t>
        </is>
      </c>
      <c r="D337" s="1" t="n">
        <v>45977</v>
      </c>
      <c r="E337" s="1" t="n">
        <v>46220</v>
      </c>
      <c r="F337" t="inlineStr">
        <is>
          <t>DALARNAS LÄN</t>
        </is>
      </c>
      <c r="G337" t="inlineStr">
        <is>
          <t>MORA</t>
        </is>
      </c>
      <c r="I337" t="n">
        <v>2.2</v>
      </c>
      <c r="J337" t="n">
        <v>0</v>
      </c>
      <c r="K337" t="n">
        <v>0</v>
      </c>
      <c r="L337" t="n">
        <v>0</v>
      </c>
      <c r="M337" t="n">
        <v>0</v>
      </c>
      <c r="N337" t="n">
        <v>0</v>
      </c>
      <c r="O337" t="n">
        <v>0</v>
      </c>
      <c r="P337" t="n">
        <v>0</v>
      </c>
      <c r="Q337" t="n">
        <v>0</v>
      </c>
      <c r="R337" t="n">
        <v>0</v>
      </c>
      <c r="S337" t="n">
        <v>0</v>
      </c>
      <c r="T337" t="n">
        <v>0</v>
      </c>
      <c r="U337" s="2" t="inlineStr"/>
    </row>
    <row r="338" ht="15" customHeight="1">
      <c r="A338" t="inlineStr">
        <is>
          <t>A 57097-2025</t>
        </is>
      </c>
      <c r="B338" t="inlineStr">
        <is>
          <t>avverkningsanmälan</t>
        </is>
      </c>
      <c r="C338" t="inlineStr">
        <is>
          <t>Föryngringsavverkning</t>
        </is>
      </c>
      <c r="D338" s="1" t="n">
        <v>45979</v>
      </c>
      <c r="E338" s="1" t="n">
        <v>46220</v>
      </c>
      <c r="F338" t="inlineStr">
        <is>
          <t>DALARNAS LÄN</t>
        </is>
      </c>
      <c r="G338" t="inlineStr">
        <is>
          <t>MORA</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57101-2025</t>
        </is>
      </c>
      <c r="B339" t="inlineStr">
        <is>
          <t>avverkningsanmälan</t>
        </is>
      </c>
      <c r="C339" t="inlineStr">
        <is>
          <t>Föryngringsavverkning</t>
        </is>
      </c>
      <c r="D339" s="1" t="n">
        <v>45979</v>
      </c>
      <c r="E339" s="1" t="n">
        <v>46220</v>
      </c>
      <c r="F339" t="inlineStr">
        <is>
          <t>DALARNAS LÄN</t>
        </is>
      </c>
      <c r="G339" t="inlineStr">
        <is>
          <t>MORA</t>
        </is>
      </c>
      <c r="I339" t="n">
        <v>7.5</v>
      </c>
      <c r="J339" t="n">
        <v>0</v>
      </c>
      <c r="K339" t="n">
        <v>0</v>
      </c>
      <c r="L339" t="n">
        <v>0</v>
      </c>
      <c r="M339" t="n">
        <v>0</v>
      </c>
      <c r="N339" t="n">
        <v>0</v>
      </c>
      <c r="O339" t="n">
        <v>0</v>
      </c>
      <c r="P339" t="n">
        <v>0</v>
      </c>
      <c r="Q339" t="n">
        <v>0</v>
      </c>
      <c r="R339" t="n">
        <v>0</v>
      </c>
      <c r="S339" t="n">
        <v>0</v>
      </c>
      <c r="T339" t="n">
        <v>0</v>
      </c>
      <c r="U339" s="2" t="inlineStr"/>
    </row>
    <row r="340" ht="15" customHeight="1">
      <c r="A340" t="inlineStr">
        <is>
          <t>A 7418-2026</t>
        </is>
      </c>
      <c r="B340" t="inlineStr">
        <is>
          <t>avverkningsanmälan</t>
        </is>
      </c>
      <c r="C340" t="inlineStr">
        <is>
          <t>Föryngringsavverkning</t>
        </is>
      </c>
      <c r="D340" s="1" t="n">
        <v>46059</v>
      </c>
      <c r="E340" s="1" t="n">
        <v>46220</v>
      </c>
      <c r="F340" t="inlineStr">
        <is>
          <t>DALARNAS LÄN</t>
        </is>
      </c>
      <c r="G340" t="inlineStr">
        <is>
          <t>MORA</t>
        </is>
      </c>
      <c r="I340" t="n">
        <v>4</v>
      </c>
      <c r="J340" t="n">
        <v>0</v>
      </c>
      <c r="K340" t="n">
        <v>0</v>
      </c>
      <c r="L340" t="n">
        <v>0</v>
      </c>
      <c r="M340" t="n">
        <v>0</v>
      </c>
      <c r="N340" t="n">
        <v>0</v>
      </c>
      <c r="O340" t="n">
        <v>0</v>
      </c>
      <c r="P340" t="n">
        <v>0</v>
      </c>
      <c r="Q340" t="n">
        <v>0</v>
      </c>
      <c r="R340" t="n">
        <v>0</v>
      </c>
      <c r="S340" t="n">
        <v>0</v>
      </c>
      <c r="T340" t="n">
        <v>0</v>
      </c>
      <c r="U340" s="2" t="inlineStr"/>
    </row>
    <row r="341" ht="15" customHeight="1">
      <c r="A341" t="inlineStr">
        <is>
          <t>A 46188-2022</t>
        </is>
      </c>
      <c r="B341" t="inlineStr">
        <is>
          <t>avverkningsanmälan</t>
        </is>
      </c>
      <c r="C341" t="inlineStr">
        <is>
          <t>Föryngringsavverkning</t>
        </is>
      </c>
      <c r="D341" s="1" t="n">
        <v>44847</v>
      </c>
      <c r="E341" s="1" t="n">
        <v>46220</v>
      </c>
      <c r="F341" t="inlineStr">
        <is>
          <t>DALARNAS LÄN</t>
        </is>
      </c>
      <c r="G341" t="inlineStr">
        <is>
          <t>MORA</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57659-2025</t>
        </is>
      </c>
      <c r="B342" t="inlineStr">
        <is>
          <t>avverkningsanmälan</t>
        </is>
      </c>
      <c r="C342" t="inlineStr">
        <is>
          <t>Föryngringsavverkning</t>
        </is>
      </c>
      <c r="D342" s="1" t="n">
        <v>45981</v>
      </c>
      <c r="E342" s="1" t="n">
        <v>46220</v>
      </c>
      <c r="F342" t="inlineStr">
        <is>
          <t>DALARNAS LÄN</t>
        </is>
      </c>
      <c r="G342" t="inlineStr">
        <is>
          <t>MORA</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42035-2022</t>
        </is>
      </c>
      <c r="B343" t="inlineStr">
        <is>
          <t>avverkningsanmälan</t>
        </is>
      </c>
      <c r="C343" t="inlineStr">
        <is>
          <t>Föryngringsavverkning</t>
        </is>
      </c>
      <c r="D343" s="1" t="n">
        <v>44830</v>
      </c>
      <c r="E343" s="1" t="n">
        <v>46220</v>
      </c>
      <c r="F343" t="inlineStr">
        <is>
          <t>DALARNAS LÄN</t>
        </is>
      </c>
      <c r="G343" t="inlineStr">
        <is>
          <t>MORA</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57453-2025</t>
        </is>
      </c>
      <c r="B344" t="inlineStr">
        <is>
          <t>avverkningsanmälan</t>
        </is>
      </c>
      <c r="C344" t="inlineStr">
        <is>
          <t>Föryngringsavverkning</t>
        </is>
      </c>
      <c r="D344" s="1" t="n">
        <v>45980</v>
      </c>
      <c r="E344" s="1" t="n">
        <v>46220</v>
      </c>
      <c r="F344" t="inlineStr">
        <is>
          <t>DALARNAS LÄN</t>
        </is>
      </c>
      <c r="G344" t="inlineStr">
        <is>
          <t>MORA</t>
        </is>
      </c>
      <c r="H344" t="inlineStr">
        <is>
          <t>Allmännings- och besparingsskogar</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57976-2025</t>
        </is>
      </c>
      <c r="B345" t="inlineStr">
        <is>
          <t>avverkningsanmälan</t>
        </is>
      </c>
      <c r="C345" t="inlineStr">
        <is>
          <t>Föryngringsavverkning</t>
        </is>
      </c>
      <c r="D345" s="1" t="n">
        <v>45982</v>
      </c>
      <c r="E345" s="1" t="n">
        <v>46220</v>
      </c>
      <c r="F345" t="inlineStr">
        <is>
          <t>DALARNAS LÄN</t>
        </is>
      </c>
      <c r="G345" t="inlineStr">
        <is>
          <t>MORA</t>
        </is>
      </c>
      <c r="I345" t="n">
        <v>7.4</v>
      </c>
      <c r="J345" t="n">
        <v>0</v>
      </c>
      <c r="K345" t="n">
        <v>0</v>
      </c>
      <c r="L345" t="n">
        <v>0</v>
      </c>
      <c r="M345" t="n">
        <v>0</v>
      </c>
      <c r="N345" t="n">
        <v>0</v>
      </c>
      <c r="O345" t="n">
        <v>0</v>
      </c>
      <c r="P345" t="n">
        <v>0</v>
      </c>
      <c r="Q345" t="n">
        <v>0</v>
      </c>
      <c r="R345" t="n">
        <v>0</v>
      </c>
      <c r="S345" t="n">
        <v>0</v>
      </c>
      <c r="T345" t="n">
        <v>0</v>
      </c>
      <c r="U345" s="2" t="inlineStr"/>
    </row>
    <row r="346" ht="15" customHeight="1">
      <c r="A346" t="inlineStr">
        <is>
          <t>A 8075-2026</t>
        </is>
      </c>
      <c r="B346" t="inlineStr">
        <is>
          <t>avverkningsanmälan</t>
        </is>
      </c>
      <c r="C346" t="inlineStr">
        <is>
          <t>Föryngringsavverkning</t>
        </is>
      </c>
      <c r="D346" s="1" t="n">
        <v>46063</v>
      </c>
      <c r="E346" s="1" t="n">
        <v>46220</v>
      </c>
      <c r="F346" t="inlineStr">
        <is>
          <t>DALARNAS LÄN</t>
        </is>
      </c>
      <c r="G346" t="inlineStr">
        <is>
          <t>MORA</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15817-2024</t>
        </is>
      </c>
      <c r="B347" t="inlineStr">
        <is>
          <t>avverkningsanmälan</t>
        </is>
      </c>
      <c r="C347" t="inlineStr">
        <is>
          <t>Föryngringsavverkning</t>
        </is>
      </c>
      <c r="D347" s="1" t="n">
        <v>45404</v>
      </c>
      <c r="E347" s="1" t="n">
        <v>46220</v>
      </c>
      <c r="F347" t="inlineStr">
        <is>
          <t>DALARNAS LÄN</t>
        </is>
      </c>
      <c r="G347" t="inlineStr">
        <is>
          <t>MORA</t>
        </is>
      </c>
      <c r="I347" t="n">
        <v>8.300000000000001</v>
      </c>
      <c r="J347" t="n">
        <v>0</v>
      </c>
      <c r="K347" t="n">
        <v>0</v>
      </c>
      <c r="L347" t="n">
        <v>0</v>
      </c>
      <c r="M347" t="n">
        <v>0</v>
      </c>
      <c r="N347" t="n">
        <v>0</v>
      </c>
      <c r="O347" t="n">
        <v>0</v>
      </c>
      <c r="P347" t="n">
        <v>0</v>
      </c>
      <c r="Q347" t="n">
        <v>0</v>
      </c>
      <c r="R347" t="n">
        <v>0</v>
      </c>
      <c r="S347" t="n">
        <v>0</v>
      </c>
      <c r="T347" t="n">
        <v>0</v>
      </c>
      <c r="U347" s="2" t="inlineStr"/>
    </row>
    <row r="348" ht="15" customHeight="1">
      <c r="A348" t="inlineStr">
        <is>
          <t>A 58116-2022</t>
        </is>
      </c>
      <c r="B348" t="inlineStr">
        <is>
          <t>avverkningsanmälan</t>
        </is>
      </c>
      <c r="C348" t="inlineStr">
        <is>
          <t>Föryngringsavverkning</t>
        </is>
      </c>
      <c r="D348" s="1" t="n">
        <v>44900</v>
      </c>
      <c r="E348" s="1" t="n">
        <v>46220</v>
      </c>
      <c r="F348" t="inlineStr">
        <is>
          <t>DALARNAS LÄN</t>
        </is>
      </c>
      <c r="G348" t="inlineStr">
        <is>
          <t>MORA</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60647-2022</t>
        </is>
      </c>
      <c r="B349" t="inlineStr">
        <is>
          <t>avverkningsanmälan</t>
        </is>
      </c>
      <c r="C349" t="inlineStr">
        <is>
          <t>Föryngringsavverkning</t>
        </is>
      </c>
      <c r="D349" s="1" t="n">
        <v>44911</v>
      </c>
      <c r="E349" s="1" t="n">
        <v>46220</v>
      </c>
      <c r="F349" t="inlineStr">
        <is>
          <t>DALARNAS LÄN</t>
        </is>
      </c>
      <c r="G349" t="inlineStr">
        <is>
          <t>MORA</t>
        </is>
      </c>
      <c r="I349" t="n">
        <v>4.8</v>
      </c>
      <c r="J349" t="n">
        <v>0</v>
      </c>
      <c r="K349" t="n">
        <v>0</v>
      </c>
      <c r="L349" t="n">
        <v>0</v>
      </c>
      <c r="M349" t="n">
        <v>0</v>
      </c>
      <c r="N349" t="n">
        <v>0</v>
      </c>
      <c r="O349" t="n">
        <v>0</v>
      </c>
      <c r="P349" t="n">
        <v>0</v>
      </c>
      <c r="Q349" t="n">
        <v>0</v>
      </c>
      <c r="R349" t="n">
        <v>0</v>
      </c>
      <c r="S349" t="n">
        <v>0</v>
      </c>
      <c r="T349" t="n">
        <v>0</v>
      </c>
      <c r="U349" s="2" t="inlineStr"/>
    </row>
    <row r="350" ht="15" customHeight="1">
      <c r="A350" t="inlineStr">
        <is>
          <t>A 55135-2025</t>
        </is>
      </c>
      <c r="B350" t="inlineStr">
        <is>
          <t>avverkningsanmälan</t>
        </is>
      </c>
      <c r="C350" t="inlineStr">
        <is>
          <t>Föryngringsavverkning</t>
        </is>
      </c>
      <c r="D350" s="1" t="n">
        <v>45968</v>
      </c>
      <c r="E350" s="1" t="n">
        <v>46220</v>
      </c>
      <c r="F350" t="inlineStr">
        <is>
          <t>DALARNAS LÄN</t>
        </is>
      </c>
      <c r="G350" t="inlineStr">
        <is>
          <t>MORA</t>
        </is>
      </c>
      <c r="I350" t="n">
        <v>5.1</v>
      </c>
      <c r="J350" t="n">
        <v>0</v>
      </c>
      <c r="K350" t="n">
        <v>0</v>
      </c>
      <c r="L350" t="n">
        <v>0</v>
      </c>
      <c r="M350" t="n">
        <v>0</v>
      </c>
      <c r="N350" t="n">
        <v>0</v>
      </c>
      <c r="O350" t="n">
        <v>0</v>
      </c>
      <c r="P350" t="n">
        <v>0</v>
      </c>
      <c r="Q350" t="n">
        <v>0</v>
      </c>
      <c r="R350" t="n">
        <v>0</v>
      </c>
      <c r="S350" t="n">
        <v>0</v>
      </c>
      <c r="T350" t="n">
        <v>0</v>
      </c>
      <c r="U350" s="2" t="inlineStr"/>
    </row>
    <row r="351" ht="15" customHeight="1">
      <c r="A351" t="inlineStr">
        <is>
          <t>A 59094-2025</t>
        </is>
      </c>
      <c r="B351" t="inlineStr">
        <is>
          <t>avverkningsanmälan</t>
        </is>
      </c>
      <c r="C351" t="inlineStr">
        <is>
          <t>Föryngringsavverkning</t>
        </is>
      </c>
      <c r="D351" s="1" t="n">
        <v>45988</v>
      </c>
      <c r="E351" s="1" t="n">
        <v>46220</v>
      </c>
      <c r="F351" t="inlineStr">
        <is>
          <t>DALARNAS LÄN</t>
        </is>
      </c>
      <c r="G351" t="inlineStr">
        <is>
          <t>MORA</t>
        </is>
      </c>
      <c r="I351" t="n">
        <v>10</v>
      </c>
      <c r="J351" t="n">
        <v>0</v>
      </c>
      <c r="K351" t="n">
        <v>0</v>
      </c>
      <c r="L351" t="n">
        <v>0</v>
      </c>
      <c r="M351" t="n">
        <v>0</v>
      </c>
      <c r="N351" t="n">
        <v>0</v>
      </c>
      <c r="O351" t="n">
        <v>0</v>
      </c>
      <c r="P351" t="n">
        <v>0</v>
      </c>
      <c r="Q351" t="n">
        <v>0</v>
      </c>
      <c r="R351" t="n">
        <v>0</v>
      </c>
      <c r="S351" t="n">
        <v>0</v>
      </c>
      <c r="T351" t="n">
        <v>0</v>
      </c>
      <c r="U351" s="2" t="inlineStr"/>
    </row>
    <row r="352" ht="15" customHeight="1">
      <c r="A352" t="inlineStr">
        <is>
          <t>A 59805-2025</t>
        </is>
      </c>
      <c r="B352" t="inlineStr">
        <is>
          <t>avverkningsanmälan</t>
        </is>
      </c>
      <c r="C352" t="inlineStr">
        <is>
          <t>Föryngringsavverkning</t>
        </is>
      </c>
      <c r="D352" s="1" t="n">
        <v>45992</v>
      </c>
      <c r="E352" s="1" t="n">
        <v>46220</v>
      </c>
      <c r="F352" t="inlineStr">
        <is>
          <t>DALARNAS LÄN</t>
        </is>
      </c>
      <c r="G352" t="inlineStr">
        <is>
          <t>MORA</t>
        </is>
      </c>
      <c r="I352" t="n">
        <v>4.2</v>
      </c>
      <c r="J352" t="n">
        <v>0</v>
      </c>
      <c r="K352" t="n">
        <v>0</v>
      </c>
      <c r="L352" t="n">
        <v>0</v>
      </c>
      <c r="M352" t="n">
        <v>0</v>
      </c>
      <c r="N352" t="n">
        <v>0</v>
      </c>
      <c r="O352" t="n">
        <v>0</v>
      </c>
      <c r="P352" t="n">
        <v>0</v>
      </c>
      <c r="Q352" t="n">
        <v>0</v>
      </c>
      <c r="R352" t="n">
        <v>0</v>
      </c>
      <c r="S352" t="n">
        <v>0</v>
      </c>
      <c r="T352" t="n">
        <v>0</v>
      </c>
      <c r="U352" s="2" t="inlineStr"/>
    </row>
    <row r="353" ht="15" customHeight="1">
      <c r="A353" t="inlineStr">
        <is>
          <t>A 8361-2026</t>
        </is>
      </c>
      <c r="B353" t="inlineStr">
        <is>
          <t>avverkningsanmälan</t>
        </is>
      </c>
      <c r="C353" t="inlineStr">
        <is>
          <t>Föryngringsavverkning</t>
        </is>
      </c>
      <c r="D353" s="1" t="n">
        <v>46064</v>
      </c>
      <c r="E353" s="1" t="n">
        <v>46220</v>
      </c>
      <c r="F353" t="inlineStr">
        <is>
          <t>DALARNAS LÄN</t>
        </is>
      </c>
      <c r="G353" t="inlineStr">
        <is>
          <t>MORA</t>
        </is>
      </c>
      <c r="I353" t="n">
        <v>2.7</v>
      </c>
      <c r="J353" t="n">
        <v>0</v>
      </c>
      <c r="K353" t="n">
        <v>0</v>
      </c>
      <c r="L353" t="n">
        <v>0</v>
      </c>
      <c r="M353" t="n">
        <v>0</v>
      </c>
      <c r="N353" t="n">
        <v>0</v>
      </c>
      <c r="O353" t="n">
        <v>0</v>
      </c>
      <c r="P353" t="n">
        <v>0</v>
      </c>
      <c r="Q353" t="n">
        <v>0</v>
      </c>
      <c r="R353" t="n">
        <v>0</v>
      </c>
      <c r="S353" t="n">
        <v>0</v>
      </c>
      <c r="T353" t="n">
        <v>0</v>
      </c>
      <c r="U353" s="2" t="inlineStr"/>
    </row>
    <row r="354" ht="15" customHeight="1">
      <c r="A354" t="inlineStr">
        <is>
          <t>A 59768-2025</t>
        </is>
      </c>
      <c r="B354" t="inlineStr">
        <is>
          <t>avverkningsanmälan</t>
        </is>
      </c>
      <c r="C354" t="inlineStr">
        <is>
          <t>Föryngringsavverkning</t>
        </is>
      </c>
      <c r="D354" s="1" t="n">
        <v>45992</v>
      </c>
      <c r="E354" s="1" t="n">
        <v>46220</v>
      </c>
      <c r="F354" t="inlineStr">
        <is>
          <t>DALARNAS LÄN</t>
        </is>
      </c>
      <c r="G354" t="inlineStr">
        <is>
          <t>MORA</t>
        </is>
      </c>
      <c r="I354" t="n">
        <v>4</v>
      </c>
      <c r="J354" t="n">
        <v>0</v>
      </c>
      <c r="K354" t="n">
        <v>0</v>
      </c>
      <c r="L354" t="n">
        <v>0</v>
      </c>
      <c r="M354" t="n">
        <v>0</v>
      </c>
      <c r="N354" t="n">
        <v>0</v>
      </c>
      <c r="O354" t="n">
        <v>0</v>
      </c>
      <c r="P354" t="n">
        <v>0</v>
      </c>
      <c r="Q354" t="n">
        <v>0</v>
      </c>
      <c r="R354" t="n">
        <v>0</v>
      </c>
      <c r="S354" t="n">
        <v>0</v>
      </c>
      <c r="T354" t="n">
        <v>0</v>
      </c>
      <c r="U354" s="2" t="inlineStr"/>
    </row>
    <row r="355" ht="15" customHeight="1">
      <c r="A355" t="inlineStr">
        <is>
          <t>A 59669-2025</t>
        </is>
      </c>
      <c r="B355" t="inlineStr">
        <is>
          <t>avverkningsanmälan</t>
        </is>
      </c>
      <c r="C355" t="inlineStr">
        <is>
          <t>Föryngringsavverkning</t>
        </is>
      </c>
      <c r="D355" s="1" t="n">
        <v>45992</v>
      </c>
      <c r="E355" s="1" t="n">
        <v>46220</v>
      </c>
      <c r="F355" t="inlineStr">
        <is>
          <t>DALARNAS LÄN</t>
        </is>
      </c>
      <c r="G355" t="inlineStr">
        <is>
          <t>MORA</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437-2024</t>
        </is>
      </c>
      <c r="B356" t="inlineStr">
        <is>
          <t>avverkningsanmälan</t>
        </is>
      </c>
      <c r="C356" t="inlineStr">
        <is>
          <t>Föryngringsavverkning</t>
        </is>
      </c>
      <c r="D356" s="1" t="n">
        <v>45296</v>
      </c>
      <c r="E356" s="1" t="n">
        <v>46220</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8474-2026</t>
        </is>
      </c>
      <c r="B357" t="inlineStr">
        <is>
          <t>avverkningsanmälan</t>
        </is>
      </c>
      <c r="C357" t="inlineStr">
        <is>
          <t>Föryngringsavverkning</t>
        </is>
      </c>
      <c r="D357" s="1" t="n">
        <v>46065</v>
      </c>
      <c r="E357" s="1" t="n">
        <v>46220</v>
      </c>
      <c r="F357" t="inlineStr">
        <is>
          <t>DALARNAS LÄN</t>
        </is>
      </c>
      <c r="G357" t="inlineStr">
        <is>
          <t>MORA</t>
        </is>
      </c>
      <c r="I357" t="n">
        <v>4.7</v>
      </c>
      <c r="J357" t="n">
        <v>0</v>
      </c>
      <c r="K357" t="n">
        <v>0</v>
      </c>
      <c r="L357" t="n">
        <v>0</v>
      </c>
      <c r="M357" t="n">
        <v>0</v>
      </c>
      <c r="N357" t="n">
        <v>0</v>
      </c>
      <c r="O357" t="n">
        <v>0</v>
      </c>
      <c r="P357" t="n">
        <v>0</v>
      </c>
      <c r="Q357" t="n">
        <v>0</v>
      </c>
      <c r="R357" t="n">
        <v>0</v>
      </c>
      <c r="S357" t="n">
        <v>0</v>
      </c>
      <c r="T357" t="n">
        <v>0</v>
      </c>
      <c r="U357" s="2" t="inlineStr"/>
    </row>
    <row r="358" ht="15" customHeight="1">
      <c r="A358" t="inlineStr">
        <is>
          <t>A 31395-2024</t>
        </is>
      </c>
      <c r="B358" t="inlineStr">
        <is>
          <t>avverkningsanmälan</t>
        </is>
      </c>
      <c r="C358" t="inlineStr">
        <is>
          <t>Föryngringsavverkning</t>
        </is>
      </c>
      <c r="D358" s="1" t="n">
        <v>45505</v>
      </c>
      <c r="E358" s="1" t="n">
        <v>46220</v>
      </c>
      <c r="F358" t="inlineStr">
        <is>
          <t>DALARNAS LÄN</t>
        </is>
      </c>
      <c r="G358" t="inlineStr">
        <is>
          <t>MORA</t>
        </is>
      </c>
      <c r="H358" t="inlineStr">
        <is>
          <t>Bergvik skog öst AB</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48522-2024</t>
        </is>
      </c>
      <c r="B359" t="inlineStr">
        <is>
          <t>avverkningsanmälan</t>
        </is>
      </c>
      <c r="C359" t="inlineStr">
        <is>
          <t>Föryngringsavverkning</t>
        </is>
      </c>
      <c r="D359" s="1" t="n">
        <v>45593</v>
      </c>
      <c r="E359" s="1" t="n">
        <v>46220</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48342-2023</t>
        </is>
      </c>
      <c r="B360" t="inlineStr">
        <is>
          <t>avverkningsanmälan</t>
        </is>
      </c>
      <c r="C360" t="inlineStr">
        <is>
          <t>Föryngringsavverkning</t>
        </is>
      </c>
      <c r="D360" s="1" t="n">
        <v>45205</v>
      </c>
      <c r="E360" s="1" t="n">
        <v>46220</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60957-2025</t>
        </is>
      </c>
      <c r="B361" t="inlineStr">
        <is>
          <t>avverkningsanmälan</t>
        </is>
      </c>
      <c r="C361" t="inlineStr">
        <is>
          <t>Föryngringsavverkning</t>
        </is>
      </c>
      <c r="D361" s="1" t="n">
        <v>45999</v>
      </c>
      <c r="E361" s="1" t="n">
        <v>46220</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55691-2023</t>
        </is>
      </c>
      <c r="B362" t="inlineStr">
        <is>
          <t>avverkningsanmälan</t>
        </is>
      </c>
      <c r="C362" t="inlineStr">
        <is>
          <t>Föryngringsavverkning</t>
        </is>
      </c>
      <c r="D362" s="1" t="n">
        <v>45239</v>
      </c>
      <c r="E362" s="1" t="n">
        <v>46220</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63958-2023</t>
        </is>
      </c>
      <c r="B363" t="inlineStr">
        <is>
          <t>avverkningsanmälan</t>
        </is>
      </c>
      <c r="C363" t="inlineStr">
        <is>
          <t>Föryngringsavverkning</t>
        </is>
      </c>
      <c r="D363" s="1" t="n">
        <v>45278</v>
      </c>
      <c r="E363" s="1" t="n">
        <v>46220</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60847-2021</t>
        </is>
      </c>
      <c r="B364" t="inlineStr">
        <is>
          <t>avverkningsanmälan</t>
        </is>
      </c>
      <c r="C364" t="inlineStr">
        <is>
          <t>Föryngringsavverkning</t>
        </is>
      </c>
      <c r="D364" s="1" t="n">
        <v>44497</v>
      </c>
      <c r="E364" s="1" t="n">
        <v>46220</v>
      </c>
      <c r="F364" t="inlineStr">
        <is>
          <t>DALARNAS LÄN</t>
        </is>
      </c>
      <c r="G364" t="inlineStr">
        <is>
          <t>MORA</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25494-2024</t>
        </is>
      </c>
      <c r="B365" t="inlineStr">
        <is>
          <t>avverkningsanmälan</t>
        </is>
      </c>
      <c r="C365" t="inlineStr">
        <is>
          <t>Föryngringsavverkning</t>
        </is>
      </c>
      <c r="D365" s="1" t="n">
        <v>45463</v>
      </c>
      <c r="E365" s="1" t="n">
        <v>46220</v>
      </c>
      <c r="F365" t="inlineStr">
        <is>
          <t>DALARNAS LÄN</t>
        </is>
      </c>
      <c r="G365" t="inlineStr">
        <is>
          <t>MORA</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31085-2024</t>
        </is>
      </c>
      <c r="B366" t="inlineStr">
        <is>
          <t>avverkningsanmälan</t>
        </is>
      </c>
      <c r="C366" t="inlineStr">
        <is>
          <t>Föryngringsavverkning</t>
        </is>
      </c>
      <c r="D366" s="1" t="n">
        <v>45502</v>
      </c>
      <c r="E366" s="1" t="n">
        <v>46220</v>
      </c>
      <c r="F366" t="inlineStr">
        <is>
          <t>DALARNAS LÄN</t>
        </is>
      </c>
      <c r="G366" t="inlineStr">
        <is>
          <t>MORA</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60051-2022</t>
        </is>
      </c>
      <c r="B367" t="inlineStr">
        <is>
          <t>avverkningsanmälan</t>
        </is>
      </c>
      <c r="C367" t="inlineStr">
        <is>
          <t>Föryngringsavverkning</t>
        </is>
      </c>
      <c r="D367" s="1" t="n">
        <v>44909</v>
      </c>
      <c r="E367" s="1" t="n">
        <v>46220</v>
      </c>
      <c r="F367" t="inlineStr">
        <is>
          <t>DALARNAS LÄN</t>
        </is>
      </c>
      <c r="G367" t="inlineStr">
        <is>
          <t>MORA</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13262-2022</t>
        </is>
      </c>
      <c r="B368" t="inlineStr">
        <is>
          <t>avverkningsanmälan</t>
        </is>
      </c>
      <c r="C368" t="inlineStr">
        <is>
          <t>Föryngringsavverkning</t>
        </is>
      </c>
      <c r="D368" s="1" t="n">
        <v>44644</v>
      </c>
      <c r="E368" s="1" t="n">
        <v>46220</v>
      </c>
      <c r="F368" t="inlineStr">
        <is>
          <t>DALARNAS LÄN</t>
        </is>
      </c>
      <c r="G368" t="inlineStr">
        <is>
          <t>MORA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61412-2025</t>
        </is>
      </c>
      <c r="B369" t="inlineStr">
        <is>
          <t>avverkningsanmälan</t>
        </is>
      </c>
      <c r="C369" t="inlineStr">
        <is>
          <t>Föryngringsavverkning</t>
        </is>
      </c>
      <c r="D369" s="1" t="n">
        <v>46001</v>
      </c>
      <c r="E369" s="1" t="n">
        <v>46220</v>
      </c>
      <c r="F369" t="inlineStr">
        <is>
          <t>DALARNAS LÄN</t>
        </is>
      </c>
      <c r="G369" t="inlineStr">
        <is>
          <t>MORA</t>
        </is>
      </c>
      <c r="I369" t="n">
        <v>2.9</v>
      </c>
      <c r="J369" t="n">
        <v>0</v>
      </c>
      <c r="K369" t="n">
        <v>0</v>
      </c>
      <c r="L369" t="n">
        <v>0</v>
      </c>
      <c r="M369" t="n">
        <v>0</v>
      </c>
      <c r="N369" t="n">
        <v>0</v>
      </c>
      <c r="O369" t="n">
        <v>0</v>
      </c>
      <c r="P369" t="n">
        <v>0</v>
      </c>
      <c r="Q369" t="n">
        <v>0</v>
      </c>
      <c r="R369" t="n">
        <v>0</v>
      </c>
      <c r="S369" t="n">
        <v>0</v>
      </c>
      <c r="T369" t="n">
        <v>0</v>
      </c>
      <c r="U369" s="2" t="inlineStr"/>
    </row>
    <row r="370" ht="15" customHeight="1">
      <c r="A370" t="inlineStr">
        <is>
          <t>A 8762-2026</t>
        </is>
      </c>
      <c r="B370" t="inlineStr">
        <is>
          <t>avverkningsanmälan</t>
        </is>
      </c>
      <c r="C370" t="inlineStr">
        <is>
          <t>Föryngringsavverkning</t>
        </is>
      </c>
      <c r="D370" s="1" t="n">
        <v>46066</v>
      </c>
      <c r="E370" s="1" t="n">
        <v>46220</v>
      </c>
      <c r="F370" t="inlineStr">
        <is>
          <t>DALARNAS LÄN</t>
        </is>
      </c>
      <c r="G370" t="inlineStr">
        <is>
          <t>MORA</t>
        </is>
      </c>
      <c r="H370" t="inlineStr">
        <is>
          <t>Bergvik skog väst AB</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50056-2022</t>
        </is>
      </c>
      <c r="B371" t="inlineStr">
        <is>
          <t>avverkningsanmälan</t>
        </is>
      </c>
      <c r="C371" t="inlineStr">
        <is>
          <t>Föryngringsavverkning</t>
        </is>
      </c>
      <c r="D371" s="1" t="n">
        <v>44865</v>
      </c>
      <c r="E371" s="1" t="n">
        <v>46220</v>
      </c>
      <c r="F371" t="inlineStr">
        <is>
          <t>DALARNAS LÄN</t>
        </is>
      </c>
      <c r="G371" t="inlineStr">
        <is>
          <t>MORA</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61455-2025</t>
        </is>
      </c>
      <c r="B372" t="inlineStr">
        <is>
          <t>avverkningsanmälan</t>
        </is>
      </c>
      <c r="C372" t="inlineStr">
        <is>
          <t>Föryngringsavverkning</t>
        </is>
      </c>
      <c r="D372" s="1" t="n">
        <v>46001</v>
      </c>
      <c r="E372" s="1" t="n">
        <v>46220</v>
      </c>
      <c r="F372" t="inlineStr">
        <is>
          <t>DALARNAS LÄN</t>
        </is>
      </c>
      <c r="G372" t="inlineStr">
        <is>
          <t>MORA</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15643-2025</t>
        </is>
      </c>
      <c r="B373" t="inlineStr">
        <is>
          <t>avverkningsanmälan</t>
        </is>
      </c>
      <c r="C373" t="inlineStr">
        <is>
          <t>Föryngringsavverkning</t>
        </is>
      </c>
      <c r="D373" s="1" t="n">
        <v>45748</v>
      </c>
      <c r="E373" s="1" t="n">
        <v>46220</v>
      </c>
      <c r="F373" t="inlineStr">
        <is>
          <t>DALARNAS LÄN</t>
        </is>
      </c>
      <c r="G373" t="inlineStr">
        <is>
          <t>MORA</t>
        </is>
      </c>
      <c r="I373" t="n">
        <v>7.6</v>
      </c>
      <c r="J373" t="n">
        <v>0</v>
      </c>
      <c r="K373" t="n">
        <v>0</v>
      </c>
      <c r="L373" t="n">
        <v>0</v>
      </c>
      <c r="M373" t="n">
        <v>0</v>
      </c>
      <c r="N373" t="n">
        <v>0</v>
      </c>
      <c r="O373" t="n">
        <v>0</v>
      </c>
      <c r="P373" t="n">
        <v>0</v>
      </c>
      <c r="Q373" t="n">
        <v>0</v>
      </c>
      <c r="R373" t="n">
        <v>0</v>
      </c>
      <c r="S373" t="n">
        <v>0</v>
      </c>
      <c r="T373" t="n">
        <v>0</v>
      </c>
      <c r="U373" s="2" t="inlineStr"/>
    </row>
    <row r="374" ht="15" customHeight="1">
      <c r="A374" t="inlineStr">
        <is>
          <t>A 61606-2025</t>
        </is>
      </c>
      <c r="B374" t="inlineStr">
        <is>
          <t>avverkningsanmälan</t>
        </is>
      </c>
      <c r="C374" t="inlineStr">
        <is>
          <t>Föryngringsavverkning</t>
        </is>
      </c>
      <c r="D374" s="1" t="n">
        <v>46002</v>
      </c>
      <c r="E374" s="1" t="n">
        <v>46220</v>
      </c>
      <c r="F374" t="inlineStr">
        <is>
          <t>DALARNAS LÄN</t>
        </is>
      </c>
      <c r="G374" t="inlineStr">
        <is>
          <t>MORA</t>
        </is>
      </c>
      <c r="I374" t="n">
        <v>6.1</v>
      </c>
      <c r="J374" t="n">
        <v>0</v>
      </c>
      <c r="K374" t="n">
        <v>0</v>
      </c>
      <c r="L374" t="n">
        <v>0</v>
      </c>
      <c r="M374" t="n">
        <v>0</v>
      </c>
      <c r="N374" t="n">
        <v>0</v>
      </c>
      <c r="O374" t="n">
        <v>0</v>
      </c>
      <c r="P374" t="n">
        <v>0</v>
      </c>
      <c r="Q374" t="n">
        <v>0</v>
      </c>
      <c r="R374" t="n">
        <v>0</v>
      </c>
      <c r="S374" t="n">
        <v>0</v>
      </c>
      <c r="T374" t="n">
        <v>0</v>
      </c>
      <c r="U374" s="2" t="inlineStr"/>
    </row>
    <row r="375" ht="15" customHeight="1">
      <c r="A375" t="inlineStr">
        <is>
          <t>A 61624-2025</t>
        </is>
      </c>
      <c r="B375" t="inlineStr">
        <is>
          <t>avverkningsanmälan</t>
        </is>
      </c>
      <c r="C375" t="inlineStr">
        <is>
          <t>Föryngringsavverkning</t>
        </is>
      </c>
      <c r="D375" s="1" t="n">
        <v>46002</v>
      </c>
      <c r="E375" s="1" t="n">
        <v>46220</v>
      </c>
      <c r="F375" t="inlineStr">
        <is>
          <t>DALARNAS LÄN</t>
        </is>
      </c>
      <c r="G375" t="inlineStr">
        <is>
          <t>MORA</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61620-2025</t>
        </is>
      </c>
      <c r="B376" t="inlineStr">
        <is>
          <t>avverkningsanmälan</t>
        </is>
      </c>
      <c r="C376" t="inlineStr">
        <is>
          <t>Föryngringsavverkning</t>
        </is>
      </c>
      <c r="D376" s="1" t="n">
        <v>46002</v>
      </c>
      <c r="E376" s="1" t="n">
        <v>46220</v>
      </c>
      <c r="F376" t="inlineStr">
        <is>
          <t>DALARNAS LÄN</t>
        </is>
      </c>
      <c r="G376" t="inlineStr">
        <is>
          <t>MORA</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61995-2025</t>
        </is>
      </c>
      <c r="B377" t="inlineStr">
        <is>
          <t>avverkningsanmälan</t>
        </is>
      </c>
      <c r="C377" t="inlineStr">
        <is>
          <t>Föryngringsavverkning</t>
        </is>
      </c>
      <c r="D377" s="1" t="n">
        <v>46003</v>
      </c>
      <c r="E377" s="1" t="n">
        <v>46220</v>
      </c>
      <c r="F377" t="inlineStr">
        <is>
          <t>DALARNAS LÄN</t>
        </is>
      </c>
      <c r="G377" t="inlineStr">
        <is>
          <t>MORA</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46755-2023</t>
        </is>
      </c>
      <c r="B378" t="inlineStr">
        <is>
          <t>avverkningsanmälan</t>
        </is>
      </c>
      <c r="C378" t="inlineStr">
        <is>
          <t>Föryngringsavverkning</t>
        </is>
      </c>
      <c r="D378" s="1" t="n">
        <v>45198</v>
      </c>
      <c r="E378" s="1" t="n">
        <v>46220</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62055-2025</t>
        </is>
      </c>
      <c r="B379" t="inlineStr">
        <is>
          <t>avverkningsanmälan</t>
        </is>
      </c>
      <c r="C379" t="inlineStr">
        <is>
          <t>Föryngringsavverkning</t>
        </is>
      </c>
      <c r="D379" s="1" t="n">
        <v>46006</v>
      </c>
      <c r="E379" s="1" t="n">
        <v>46220</v>
      </c>
      <c r="F379" t="inlineStr">
        <is>
          <t>DALARNAS LÄN</t>
        </is>
      </c>
      <c r="G379" t="inlineStr">
        <is>
          <t>MORA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62054-2025</t>
        </is>
      </c>
      <c r="B380" t="inlineStr">
        <is>
          <t>avverkningsanmälan</t>
        </is>
      </c>
      <c r="C380" t="inlineStr">
        <is>
          <t>Föryngringsavverkning</t>
        </is>
      </c>
      <c r="D380" s="1" t="n">
        <v>46006</v>
      </c>
      <c r="E380" s="1" t="n">
        <v>46220</v>
      </c>
      <c r="F380" t="inlineStr">
        <is>
          <t>DALARNAS LÄN</t>
        </is>
      </c>
      <c r="G380" t="inlineStr">
        <is>
          <t>MORA</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18122-2025</t>
        </is>
      </c>
      <c r="B381" t="inlineStr">
        <is>
          <t>avverkningsanmälan</t>
        </is>
      </c>
      <c r="C381" t="inlineStr">
        <is>
          <t>Föryngringsavverkning</t>
        </is>
      </c>
      <c r="D381" s="1" t="n">
        <v>45761</v>
      </c>
      <c r="E381" s="1" t="n">
        <v>46220</v>
      </c>
      <c r="F381" t="inlineStr">
        <is>
          <t>DALARNAS LÄN</t>
        </is>
      </c>
      <c r="G381" t="inlineStr">
        <is>
          <t>MORA</t>
        </is>
      </c>
      <c r="H381" t="inlineStr">
        <is>
          <t>Bergvik skog öst AB</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62548-2025</t>
        </is>
      </c>
      <c r="B382" t="inlineStr">
        <is>
          <t>avverkningsanmälan</t>
        </is>
      </c>
      <c r="C382" t="inlineStr">
        <is>
          <t>Föryngringsavverkning</t>
        </is>
      </c>
      <c r="D382" s="1" t="n">
        <v>46007</v>
      </c>
      <c r="E382" s="1" t="n">
        <v>46220</v>
      </c>
      <c r="F382" t="inlineStr">
        <is>
          <t>DALARNAS LÄN</t>
        </is>
      </c>
      <c r="G382" t="inlineStr">
        <is>
          <t>MORA</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62959-2025</t>
        </is>
      </c>
      <c r="B383" t="inlineStr">
        <is>
          <t>avverkningsanmälan</t>
        </is>
      </c>
      <c r="C383" t="inlineStr">
        <is>
          <t>Föryngringsavverkning</t>
        </is>
      </c>
      <c r="D383" s="1" t="n">
        <v>46009</v>
      </c>
      <c r="E383" s="1" t="n">
        <v>46220</v>
      </c>
      <c r="F383" t="inlineStr">
        <is>
          <t>DALARNAS LÄN</t>
        </is>
      </c>
      <c r="G383" t="inlineStr">
        <is>
          <t>MORA</t>
        </is>
      </c>
      <c r="I383" t="n">
        <v>2.6</v>
      </c>
      <c r="J383" t="n">
        <v>0</v>
      </c>
      <c r="K383" t="n">
        <v>0</v>
      </c>
      <c r="L383" t="n">
        <v>0</v>
      </c>
      <c r="M383" t="n">
        <v>0</v>
      </c>
      <c r="N383" t="n">
        <v>0</v>
      </c>
      <c r="O383" t="n">
        <v>0</v>
      </c>
      <c r="P383" t="n">
        <v>0</v>
      </c>
      <c r="Q383" t="n">
        <v>0</v>
      </c>
      <c r="R383" t="n">
        <v>0</v>
      </c>
      <c r="S383" t="n">
        <v>0</v>
      </c>
      <c r="T383" t="n">
        <v>0</v>
      </c>
      <c r="U383" s="2" t="inlineStr"/>
    </row>
    <row r="384" ht="15" customHeight="1">
      <c r="A384" t="inlineStr">
        <is>
          <t>A 62965-2025</t>
        </is>
      </c>
      <c r="B384" t="inlineStr">
        <is>
          <t>avverkningsanmälan</t>
        </is>
      </c>
      <c r="C384" t="inlineStr">
        <is>
          <t>Föryngringsavverkning</t>
        </is>
      </c>
      <c r="D384" s="1" t="n">
        <v>46009</v>
      </c>
      <c r="E384" s="1" t="n">
        <v>46220</v>
      </c>
      <c r="F384" t="inlineStr">
        <is>
          <t>DALARNAS LÄN</t>
        </is>
      </c>
      <c r="G384" t="inlineStr">
        <is>
          <t>MORA</t>
        </is>
      </c>
      <c r="I384" t="n">
        <v>9.1</v>
      </c>
      <c r="J384" t="n">
        <v>0</v>
      </c>
      <c r="K384" t="n">
        <v>0</v>
      </c>
      <c r="L384" t="n">
        <v>0</v>
      </c>
      <c r="M384" t="n">
        <v>0</v>
      </c>
      <c r="N384" t="n">
        <v>0</v>
      </c>
      <c r="O384" t="n">
        <v>0</v>
      </c>
      <c r="P384" t="n">
        <v>0</v>
      </c>
      <c r="Q384" t="n">
        <v>0</v>
      </c>
      <c r="R384" t="n">
        <v>0</v>
      </c>
      <c r="S384" t="n">
        <v>0</v>
      </c>
      <c r="T384" t="n">
        <v>0</v>
      </c>
      <c r="U384" s="2" t="inlineStr"/>
    </row>
    <row r="385" ht="15" customHeight="1">
      <c r="A385" t="inlineStr">
        <is>
          <t>A 62619-2025</t>
        </is>
      </c>
      <c r="B385" t="inlineStr">
        <is>
          <t>avverkningsanmälan</t>
        </is>
      </c>
      <c r="C385" t="inlineStr">
        <is>
          <t>Föryngringsavverkning</t>
        </is>
      </c>
      <c r="D385" s="1" t="n">
        <v>46008</v>
      </c>
      <c r="E385" s="1" t="n">
        <v>46220</v>
      </c>
      <c r="F385" t="inlineStr">
        <is>
          <t>DALARNAS LÄN</t>
        </is>
      </c>
      <c r="G385" t="inlineStr">
        <is>
          <t>MORA</t>
        </is>
      </c>
      <c r="I385" t="n">
        <v>3.3</v>
      </c>
      <c r="J385" t="n">
        <v>0</v>
      </c>
      <c r="K385" t="n">
        <v>0</v>
      </c>
      <c r="L385" t="n">
        <v>0</v>
      </c>
      <c r="M385" t="n">
        <v>0</v>
      </c>
      <c r="N385" t="n">
        <v>0</v>
      </c>
      <c r="O385" t="n">
        <v>0</v>
      </c>
      <c r="P385" t="n">
        <v>0</v>
      </c>
      <c r="Q385" t="n">
        <v>0</v>
      </c>
      <c r="R385" t="n">
        <v>0</v>
      </c>
      <c r="S385" t="n">
        <v>0</v>
      </c>
      <c r="T385" t="n">
        <v>0</v>
      </c>
      <c r="U385" s="2" t="inlineStr"/>
    </row>
    <row r="386" ht="15" customHeight="1">
      <c r="A386" t="inlineStr">
        <is>
          <t>A 44817-2023</t>
        </is>
      </c>
      <c r="B386" t="inlineStr">
        <is>
          <t>avverkningsanmälan</t>
        </is>
      </c>
      <c r="C386" t="inlineStr">
        <is>
          <t>Föryngringsavverkning</t>
        </is>
      </c>
      <c r="D386" s="1" t="n">
        <v>45190</v>
      </c>
      <c r="E386" s="1" t="n">
        <v>46220</v>
      </c>
      <c r="F386" t="inlineStr">
        <is>
          <t>DALARNAS LÄN</t>
        </is>
      </c>
      <c r="G386" t="inlineStr">
        <is>
          <t>MORA</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62853-2025</t>
        </is>
      </c>
      <c r="B387" t="inlineStr">
        <is>
          <t>avverkningsanmälan</t>
        </is>
      </c>
      <c r="C387" t="inlineStr">
        <is>
          <t>Föryngringsavverkning</t>
        </is>
      </c>
      <c r="D387" s="1" t="n">
        <v>46008</v>
      </c>
      <c r="E387" s="1" t="n">
        <v>46220</v>
      </c>
      <c r="F387" t="inlineStr">
        <is>
          <t>DALARNAS LÄN</t>
        </is>
      </c>
      <c r="G387" t="inlineStr">
        <is>
          <t>MORA</t>
        </is>
      </c>
      <c r="I387" t="n">
        <v>9.300000000000001</v>
      </c>
      <c r="J387" t="n">
        <v>0</v>
      </c>
      <c r="K387" t="n">
        <v>0</v>
      </c>
      <c r="L387" t="n">
        <v>0</v>
      </c>
      <c r="M387" t="n">
        <v>0</v>
      </c>
      <c r="N387" t="n">
        <v>0</v>
      </c>
      <c r="O387" t="n">
        <v>0</v>
      </c>
      <c r="P387" t="n">
        <v>0</v>
      </c>
      <c r="Q387" t="n">
        <v>0</v>
      </c>
      <c r="R387" t="n">
        <v>0</v>
      </c>
      <c r="S387" t="n">
        <v>0</v>
      </c>
      <c r="T387" t="n">
        <v>0</v>
      </c>
      <c r="U387" s="2" t="inlineStr"/>
    </row>
    <row r="388" ht="15" customHeight="1">
      <c r="A388" t="inlineStr">
        <is>
          <t>A 62626-2025</t>
        </is>
      </c>
      <c r="B388" t="inlineStr">
        <is>
          <t>avverkningsanmälan</t>
        </is>
      </c>
      <c r="C388" t="inlineStr">
        <is>
          <t>Föryngringsavverkning</t>
        </is>
      </c>
      <c r="D388" s="1" t="n">
        <v>46008</v>
      </c>
      <c r="E388" s="1" t="n">
        <v>46220</v>
      </c>
      <c r="F388" t="inlineStr">
        <is>
          <t>DALARNAS LÄN</t>
        </is>
      </c>
      <c r="G388" t="inlineStr">
        <is>
          <t>MORA</t>
        </is>
      </c>
      <c r="I388" t="n">
        <v>6.7</v>
      </c>
      <c r="J388" t="n">
        <v>0</v>
      </c>
      <c r="K388" t="n">
        <v>0</v>
      </c>
      <c r="L388" t="n">
        <v>0</v>
      </c>
      <c r="M388" t="n">
        <v>0</v>
      </c>
      <c r="N388" t="n">
        <v>0</v>
      </c>
      <c r="O388" t="n">
        <v>0</v>
      </c>
      <c r="P388" t="n">
        <v>0</v>
      </c>
      <c r="Q388" t="n">
        <v>0</v>
      </c>
      <c r="R388" t="n">
        <v>0</v>
      </c>
      <c r="S388" t="n">
        <v>0</v>
      </c>
      <c r="T388" t="n">
        <v>0</v>
      </c>
      <c r="U388" s="2" t="inlineStr"/>
    </row>
    <row r="389" ht="15" customHeight="1">
      <c r="A389" t="inlineStr">
        <is>
          <t>A 39511-2024</t>
        </is>
      </c>
      <c r="B389" t="inlineStr">
        <is>
          <t>avverkningsanmälan</t>
        </is>
      </c>
      <c r="C389" t="inlineStr">
        <is>
          <t>Föryngringsavverkning</t>
        </is>
      </c>
      <c r="D389" s="1" t="n">
        <v>45551</v>
      </c>
      <c r="E389" s="1" t="n">
        <v>46220</v>
      </c>
      <c r="F389" t="inlineStr">
        <is>
          <t>DALARNAS LÄN</t>
        </is>
      </c>
      <c r="G389" t="inlineStr">
        <is>
          <t>MORA</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26546-2025</t>
        </is>
      </c>
      <c r="B390" t="inlineStr">
        <is>
          <t>avverkningsanmälan</t>
        </is>
      </c>
      <c r="C390" t="inlineStr">
        <is>
          <t>Föryngringsavverkning</t>
        </is>
      </c>
      <c r="D390" s="1" t="n">
        <v>45807</v>
      </c>
      <c r="E390" s="1" t="n">
        <v>46220</v>
      </c>
      <c r="F390" t="inlineStr">
        <is>
          <t>DALARNAS LÄN</t>
        </is>
      </c>
      <c r="G390" t="inlineStr">
        <is>
          <t>MORA</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26573-2025</t>
        </is>
      </c>
      <c r="B391" t="inlineStr">
        <is>
          <t>avverkningsanmälan</t>
        </is>
      </c>
      <c r="C391" t="inlineStr">
        <is>
          <t>Föryngringsavverkning</t>
        </is>
      </c>
      <c r="D391" s="1" t="n">
        <v>45807</v>
      </c>
      <c r="E391" s="1" t="n">
        <v>46220</v>
      </c>
      <c r="F391" t="inlineStr">
        <is>
          <t>DALARNAS LÄN</t>
        </is>
      </c>
      <c r="G391" t="inlineStr">
        <is>
          <t>MORA</t>
        </is>
      </c>
      <c r="I391" t="n">
        <v>4.3</v>
      </c>
      <c r="J391" t="n">
        <v>0</v>
      </c>
      <c r="K391" t="n">
        <v>0</v>
      </c>
      <c r="L391" t="n">
        <v>0</v>
      </c>
      <c r="M391" t="n">
        <v>0</v>
      </c>
      <c r="N391" t="n">
        <v>0</v>
      </c>
      <c r="O391" t="n">
        <v>0</v>
      </c>
      <c r="P391" t="n">
        <v>0</v>
      </c>
      <c r="Q391" t="n">
        <v>0</v>
      </c>
      <c r="R391" t="n">
        <v>0</v>
      </c>
      <c r="S391" t="n">
        <v>0</v>
      </c>
      <c r="T391" t="n">
        <v>0</v>
      </c>
      <c r="U391" s="2" t="inlineStr"/>
    </row>
    <row r="392" ht="15" customHeight="1">
      <c r="A392" t="inlineStr">
        <is>
          <t>A 26577-2025</t>
        </is>
      </c>
      <c r="B392" t="inlineStr">
        <is>
          <t>avverkningsanmälan</t>
        </is>
      </c>
      <c r="C392" t="inlineStr">
        <is>
          <t>Föryngringsavverkning</t>
        </is>
      </c>
      <c r="D392" s="1" t="n">
        <v>45807</v>
      </c>
      <c r="E392" s="1" t="n">
        <v>46220</v>
      </c>
      <c r="F392" t="inlineStr">
        <is>
          <t>DALARNAS LÄN</t>
        </is>
      </c>
      <c r="G392" t="inlineStr">
        <is>
          <t>MORA</t>
        </is>
      </c>
      <c r="I392" t="n">
        <v>2.8</v>
      </c>
      <c r="J392" t="n">
        <v>0</v>
      </c>
      <c r="K392" t="n">
        <v>0</v>
      </c>
      <c r="L392" t="n">
        <v>0</v>
      </c>
      <c r="M392" t="n">
        <v>0</v>
      </c>
      <c r="N392" t="n">
        <v>0</v>
      </c>
      <c r="O392" t="n">
        <v>0</v>
      </c>
      <c r="P392" t="n">
        <v>0</v>
      </c>
      <c r="Q392" t="n">
        <v>0</v>
      </c>
      <c r="R392" t="n">
        <v>0</v>
      </c>
      <c r="S392" t="n">
        <v>0</v>
      </c>
      <c r="T392" t="n">
        <v>0</v>
      </c>
      <c r="U392" s="2" t="inlineStr"/>
    </row>
    <row r="393" ht="15" customHeight="1">
      <c r="A393" t="inlineStr">
        <is>
          <t>A 26545-2025</t>
        </is>
      </c>
      <c r="B393" t="inlineStr">
        <is>
          <t>avverkningsanmälan</t>
        </is>
      </c>
      <c r="C393" t="inlineStr">
        <is>
          <t>Föryngringsavverkning</t>
        </is>
      </c>
      <c r="D393" s="1" t="n">
        <v>45807</v>
      </c>
      <c r="E393" s="1" t="n">
        <v>46220</v>
      </c>
      <c r="F393" t="inlineStr">
        <is>
          <t>DALARNAS LÄN</t>
        </is>
      </c>
      <c r="G393" t="inlineStr">
        <is>
          <t>MORA</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57797-2022</t>
        </is>
      </c>
      <c r="B394" t="inlineStr">
        <is>
          <t>avverkningsanmälan</t>
        </is>
      </c>
      <c r="C394" t="inlineStr">
        <is>
          <t>Föryngringsavverkning</t>
        </is>
      </c>
      <c r="D394" s="1" t="n">
        <v>44897</v>
      </c>
      <c r="E394" s="1" t="n">
        <v>46220</v>
      </c>
      <c r="F394" t="inlineStr">
        <is>
          <t>DALARNAS LÄN</t>
        </is>
      </c>
      <c r="G394" t="inlineStr">
        <is>
          <t>MORA</t>
        </is>
      </c>
      <c r="I394" t="n">
        <v>3.1</v>
      </c>
      <c r="J394" t="n">
        <v>0</v>
      </c>
      <c r="K394" t="n">
        <v>0</v>
      </c>
      <c r="L394" t="n">
        <v>0</v>
      </c>
      <c r="M394" t="n">
        <v>0</v>
      </c>
      <c r="N394" t="n">
        <v>0</v>
      </c>
      <c r="O394" t="n">
        <v>0</v>
      </c>
      <c r="P394" t="n">
        <v>0</v>
      </c>
      <c r="Q394" t="n">
        <v>0</v>
      </c>
      <c r="R394" t="n">
        <v>0</v>
      </c>
      <c r="S394" t="n">
        <v>0</v>
      </c>
      <c r="T394" t="n">
        <v>0</v>
      </c>
      <c r="U394" s="2" t="inlineStr"/>
    </row>
    <row r="395" ht="15" customHeight="1">
      <c r="A395" t="inlineStr">
        <is>
          <t>A 63434-2025</t>
        </is>
      </c>
      <c r="B395" t="inlineStr">
        <is>
          <t>avverkningsanmälan</t>
        </is>
      </c>
      <c r="C395" t="inlineStr">
        <is>
          <t>Föryngringsavverkning</t>
        </is>
      </c>
      <c r="D395" s="1" t="n">
        <v>46013</v>
      </c>
      <c r="E395" s="1" t="n">
        <v>46220</v>
      </c>
      <c r="F395" t="inlineStr">
        <is>
          <t>DALARNAS LÄN</t>
        </is>
      </c>
      <c r="G395" t="inlineStr">
        <is>
          <t>MORA</t>
        </is>
      </c>
      <c r="H395" t="inlineStr">
        <is>
          <t>Allmännings- och besparingsskogar</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9788-2026</t>
        </is>
      </c>
      <c r="B396" t="inlineStr">
        <is>
          <t>avverkningsanmälan</t>
        </is>
      </c>
      <c r="C396" t="inlineStr">
        <is>
          <t>Föryngringsavverkning</t>
        </is>
      </c>
      <c r="D396" s="1" t="n">
        <v>46072</v>
      </c>
      <c r="E396" s="1" t="n">
        <v>46220</v>
      </c>
      <c r="F396" t="inlineStr">
        <is>
          <t>DALARNAS LÄN</t>
        </is>
      </c>
      <c r="G396" t="inlineStr">
        <is>
          <t>MORA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63431-2025</t>
        </is>
      </c>
      <c r="B397" t="inlineStr">
        <is>
          <t>avverkningsanmälan</t>
        </is>
      </c>
      <c r="C397" t="inlineStr">
        <is>
          <t>Föryngringsavverkning</t>
        </is>
      </c>
      <c r="D397" s="1" t="n">
        <v>46013</v>
      </c>
      <c r="E397" s="1" t="n">
        <v>46220</v>
      </c>
      <c r="F397" t="inlineStr">
        <is>
          <t>DALARNAS LÄN</t>
        </is>
      </c>
      <c r="G397" t="inlineStr">
        <is>
          <t>MORA</t>
        </is>
      </c>
      <c r="H397" t="inlineStr">
        <is>
          <t>Allmännings- och besparingsskogar</t>
        </is>
      </c>
      <c r="I397" t="n">
        <v>5.7</v>
      </c>
      <c r="J397" t="n">
        <v>0</v>
      </c>
      <c r="K397" t="n">
        <v>0</v>
      </c>
      <c r="L397" t="n">
        <v>0</v>
      </c>
      <c r="M397" t="n">
        <v>0</v>
      </c>
      <c r="N397" t="n">
        <v>0</v>
      </c>
      <c r="O397" t="n">
        <v>0</v>
      </c>
      <c r="P397" t="n">
        <v>0</v>
      </c>
      <c r="Q397" t="n">
        <v>0</v>
      </c>
      <c r="R397" t="n">
        <v>0</v>
      </c>
      <c r="S397" t="n">
        <v>0</v>
      </c>
      <c r="T397" t="n">
        <v>0</v>
      </c>
      <c r="U397" s="2" t="inlineStr"/>
    </row>
    <row r="398" ht="15" customHeight="1">
      <c r="A398" t="inlineStr">
        <is>
          <t>A 10181-2026</t>
        </is>
      </c>
      <c r="B398" t="inlineStr">
        <is>
          <t>avverkningsanmälan</t>
        </is>
      </c>
      <c r="C398" t="inlineStr">
        <is>
          <t>Föryngringsavverkning</t>
        </is>
      </c>
      <c r="D398" s="1" t="n">
        <v>46076</v>
      </c>
      <c r="E398" s="1" t="n">
        <v>46220</v>
      </c>
      <c r="F398" t="inlineStr">
        <is>
          <t>DALARNAS LÄN</t>
        </is>
      </c>
      <c r="G398" t="inlineStr">
        <is>
          <t>MORA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30822-2024</t>
        </is>
      </c>
      <c r="B399" t="inlineStr">
        <is>
          <t>avverkningsanmälan</t>
        </is>
      </c>
      <c r="C399" t="inlineStr">
        <is>
          <t>Föryngringsavverkning</t>
        </is>
      </c>
      <c r="D399" s="1" t="n">
        <v>45497</v>
      </c>
      <c r="E399" s="1" t="n">
        <v>46220</v>
      </c>
      <c r="F399" t="inlineStr">
        <is>
          <t>DALARNAS LÄN</t>
        </is>
      </c>
      <c r="G399" t="inlineStr">
        <is>
          <t>MORA</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52599-2025</t>
        </is>
      </c>
      <c r="B400" t="inlineStr">
        <is>
          <t>avverkningsanmälan</t>
        </is>
      </c>
      <c r="C400" t="inlineStr">
        <is>
          <t>Föryngringsavverkning</t>
        </is>
      </c>
      <c r="D400" s="1" t="n">
        <v>45954</v>
      </c>
      <c r="E400" s="1" t="n">
        <v>46220</v>
      </c>
      <c r="F400" t="inlineStr">
        <is>
          <t>DALARNAS LÄN</t>
        </is>
      </c>
      <c r="G400" t="inlineStr">
        <is>
          <t>MORA</t>
        </is>
      </c>
      <c r="I400" t="n">
        <v>10.8</v>
      </c>
      <c r="J400" t="n">
        <v>0</v>
      </c>
      <c r="K400" t="n">
        <v>0</v>
      </c>
      <c r="L400" t="n">
        <v>0</v>
      </c>
      <c r="M400" t="n">
        <v>0</v>
      </c>
      <c r="N400" t="n">
        <v>0</v>
      </c>
      <c r="O400" t="n">
        <v>0</v>
      </c>
      <c r="P400" t="n">
        <v>0</v>
      </c>
      <c r="Q400" t="n">
        <v>0</v>
      </c>
      <c r="R400" t="n">
        <v>0</v>
      </c>
      <c r="S400" t="n">
        <v>0</v>
      </c>
      <c r="T400" t="n">
        <v>0</v>
      </c>
      <c r="U400" s="2" t="inlineStr"/>
    </row>
    <row r="401" ht="15" customHeight="1">
      <c r="A401" t="inlineStr">
        <is>
          <t>A 63596-2025</t>
        </is>
      </c>
      <c r="B401" t="inlineStr">
        <is>
          <t>avverkningsanmälan</t>
        </is>
      </c>
      <c r="C401" t="inlineStr">
        <is>
          <t>Föryngringsavverkning</t>
        </is>
      </c>
      <c r="D401" s="1" t="n">
        <v>46013</v>
      </c>
      <c r="E401" s="1" t="n">
        <v>46220</v>
      </c>
      <c r="F401" t="inlineStr">
        <is>
          <t>DALARNAS LÄN</t>
        </is>
      </c>
      <c r="G401" t="inlineStr">
        <is>
          <t>MORA</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63692-2025</t>
        </is>
      </c>
      <c r="B402" t="inlineStr">
        <is>
          <t>avverkningsanmälan</t>
        </is>
      </c>
      <c r="C402" t="inlineStr">
        <is>
          <t>Föryngringsavverkning</t>
        </is>
      </c>
      <c r="D402" s="1" t="n">
        <v>46014</v>
      </c>
      <c r="E402" s="1" t="n">
        <v>46220</v>
      </c>
      <c r="F402" t="inlineStr">
        <is>
          <t>DALARNAS LÄN</t>
        </is>
      </c>
      <c r="G402" t="inlineStr">
        <is>
          <t>MORA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6371-2022</t>
        </is>
      </c>
      <c r="B403" t="inlineStr">
        <is>
          <t>avverkningsanmälan</t>
        </is>
      </c>
      <c r="C403" t="inlineStr">
        <is>
          <t>Föryngringsavverkning</t>
        </is>
      </c>
      <c r="D403" s="1" t="n">
        <v>44600</v>
      </c>
      <c r="E403" s="1" t="n">
        <v>46220</v>
      </c>
      <c r="F403" t="inlineStr">
        <is>
          <t>DALARNAS LÄN</t>
        </is>
      </c>
      <c r="G403" t="inlineStr">
        <is>
          <t>MORA</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63689-2025</t>
        </is>
      </c>
      <c r="B404" t="inlineStr">
        <is>
          <t>avverkningsanmälan</t>
        </is>
      </c>
      <c r="C404" t="inlineStr">
        <is>
          <t>Föryngringsavverkning</t>
        </is>
      </c>
      <c r="D404" s="1" t="n">
        <v>46014</v>
      </c>
      <c r="E404" s="1" t="n">
        <v>46220</v>
      </c>
      <c r="F404" t="inlineStr">
        <is>
          <t>DALARNAS LÄN</t>
        </is>
      </c>
      <c r="G404" t="inlineStr">
        <is>
          <t>MORA</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11176-2026</t>
        </is>
      </c>
      <c r="B405" t="inlineStr">
        <is>
          <t>avverkningsanmälan</t>
        </is>
      </c>
      <c r="C405" t="inlineStr">
        <is>
          <t>Föryngringsavverkning</t>
        </is>
      </c>
      <c r="D405" s="1" t="n">
        <v>46080</v>
      </c>
      <c r="E405" s="1" t="n">
        <v>46220</v>
      </c>
      <c r="F405" t="inlineStr">
        <is>
          <t>DALARNAS LÄN</t>
        </is>
      </c>
      <c r="G405" t="inlineStr">
        <is>
          <t>MORA</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27420-2024</t>
        </is>
      </c>
      <c r="B406" t="inlineStr">
        <is>
          <t>avverkningsanmälan</t>
        </is>
      </c>
      <c r="C406" t="inlineStr">
        <is>
          <t>Föryngringsavverkning</t>
        </is>
      </c>
      <c r="D406" s="1" t="n">
        <v>45474</v>
      </c>
      <c r="E406" s="1" t="n">
        <v>46220</v>
      </c>
      <c r="F406" t="inlineStr">
        <is>
          <t>DALARNAS LÄN</t>
        </is>
      </c>
      <c r="G406" t="inlineStr">
        <is>
          <t>MORA</t>
        </is>
      </c>
      <c r="I406" t="n">
        <v>7.3</v>
      </c>
      <c r="J406" t="n">
        <v>0</v>
      </c>
      <c r="K406" t="n">
        <v>0</v>
      </c>
      <c r="L406" t="n">
        <v>0</v>
      </c>
      <c r="M406" t="n">
        <v>0</v>
      </c>
      <c r="N406" t="n">
        <v>0</v>
      </c>
      <c r="O406" t="n">
        <v>0</v>
      </c>
      <c r="P406" t="n">
        <v>0</v>
      </c>
      <c r="Q406" t="n">
        <v>0</v>
      </c>
      <c r="R406" t="n">
        <v>0</v>
      </c>
      <c r="S406" t="n">
        <v>0</v>
      </c>
      <c r="T406" t="n">
        <v>0</v>
      </c>
      <c r="U406" s="2" t="inlineStr"/>
    </row>
    <row r="407" ht="15" customHeight="1">
      <c r="A407" t="inlineStr">
        <is>
          <t>A 11705-2026</t>
        </is>
      </c>
      <c r="B407" t="inlineStr">
        <is>
          <t>avverkningsanmälan</t>
        </is>
      </c>
      <c r="C407" t="inlineStr">
        <is>
          <t>Föryngringsavverkning</t>
        </is>
      </c>
      <c r="D407" s="1" t="n">
        <v>46084</v>
      </c>
      <c r="E407" s="1" t="n">
        <v>46220</v>
      </c>
      <c r="F407" t="inlineStr">
        <is>
          <t>DALARNAS LÄN</t>
        </is>
      </c>
      <c r="G407" t="inlineStr">
        <is>
          <t>MORA</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39344-2024</t>
        </is>
      </c>
      <c r="B408" t="inlineStr">
        <is>
          <t>avverkningsanmälan</t>
        </is>
      </c>
      <c r="C408" t="inlineStr">
        <is>
          <t>Föryngringsavverkning</t>
        </is>
      </c>
      <c r="D408" s="1" t="n">
        <v>45551</v>
      </c>
      <c r="E408" s="1" t="n">
        <v>46220</v>
      </c>
      <c r="F408" t="inlineStr">
        <is>
          <t>DALARNAS LÄN</t>
        </is>
      </c>
      <c r="G408" t="inlineStr">
        <is>
          <t>MORA</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24590-2024</t>
        </is>
      </c>
      <c r="B409" t="inlineStr">
        <is>
          <t>avverkningsanmälan</t>
        </is>
      </c>
      <c r="C409" t="inlineStr">
        <is>
          <t>Avverkning för annat ändamål</t>
        </is>
      </c>
      <c r="D409" s="1" t="n">
        <v>45460</v>
      </c>
      <c r="E409" s="1" t="n">
        <v>46220</v>
      </c>
      <c r="F409" t="inlineStr">
        <is>
          <t>DALARNAS LÄN</t>
        </is>
      </c>
      <c r="G409" t="inlineStr">
        <is>
          <t>MORA</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24169-2022</t>
        </is>
      </c>
      <c r="B410" t="inlineStr">
        <is>
          <t>avverkningsanmälan</t>
        </is>
      </c>
      <c r="C410" t="inlineStr">
        <is>
          <t>Föryngringsavverkning</t>
        </is>
      </c>
      <c r="D410" s="1" t="n">
        <v>44725</v>
      </c>
      <c r="E410" s="1" t="n">
        <v>46220</v>
      </c>
      <c r="F410" t="inlineStr">
        <is>
          <t>DALARNAS LÄN</t>
        </is>
      </c>
      <c r="G410" t="inlineStr">
        <is>
          <t>MORA</t>
        </is>
      </c>
      <c r="H410" t="inlineStr">
        <is>
          <t>Bergvik skog väst AB</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11819-2026</t>
        </is>
      </c>
      <c r="B411" t="inlineStr">
        <is>
          <t>avverkningsanmälan</t>
        </is>
      </c>
      <c r="C411" t="inlineStr">
        <is>
          <t>Föryngringsavverkning</t>
        </is>
      </c>
      <c r="D411" s="1" t="n">
        <v>46085</v>
      </c>
      <c r="E411" s="1" t="n">
        <v>46220</v>
      </c>
      <c r="F411" t="inlineStr">
        <is>
          <t>DALARNAS LÄN</t>
        </is>
      </c>
      <c r="G411" t="inlineStr">
        <is>
          <t>MORA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43641-2022</t>
        </is>
      </c>
      <c r="B412" t="inlineStr">
        <is>
          <t>avverkningsanmälan</t>
        </is>
      </c>
      <c r="C412" t="inlineStr">
        <is>
          <t>Föryngringsavverkning</t>
        </is>
      </c>
      <c r="D412" s="1" t="n">
        <v>44837</v>
      </c>
      <c r="E412" s="1" t="n">
        <v>46220</v>
      </c>
      <c r="F412" t="inlineStr">
        <is>
          <t>DALARNAS LÄN</t>
        </is>
      </c>
      <c r="G412" t="inlineStr">
        <is>
          <t>MORA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53750-2024</t>
        </is>
      </c>
      <c r="B413" t="inlineStr">
        <is>
          <t>avverkningsanmälan</t>
        </is>
      </c>
      <c r="C413" t="inlineStr">
        <is>
          <t>Föryngringsavverkning</t>
        </is>
      </c>
      <c r="D413" s="1" t="n">
        <v>45615</v>
      </c>
      <c r="E413" s="1" t="n">
        <v>46220</v>
      </c>
      <c r="F413" t="inlineStr">
        <is>
          <t>DALARNAS LÄN</t>
        </is>
      </c>
      <c r="G413" t="inlineStr">
        <is>
          <t>MORA</t>
        </is>
      </c>
      <c r="I413" t="n">
        <v>2.3</v>
      </c>
      <c r="J413" t="n">
        <v>0</v>
      </c>
      <c r="K413" t="n">
        <v>0</v>
      </c>
      <c r="L413" t="n">
        <v>0</v>
      </c>
      <c r="M413" t="n">
        <v>0</v>
      </c>
      <c r="N413" t="n">
        <v>0</v>
      </c>
      <c r="O413" t="n">
        <v>0</v>
      </c>
      <c r="P413" t="n">
        <v>0</v>
      </c>
      <c r="Q413" t="n">
        <v>0</v>
      </c>
      <c r="R413" t="n">
        <v>0</v>
      </c>
      <c r="S413" t="n">
        <v>0</v>
      </c>
      <c r="T413" t="n">
        <v>0</v>
      </c>
      <c r="U413" s="2" t="inlineStr"/>
    </row>
    <row r="414" ht="15" customHeight="1">
      <c r="A414" t="inlineStr">
        <is>
          <t>A 11875-2026</t>
        </is>
      </c>
      <c r="B414" t="inlineStr">
        <is>
          <t>avverkningsanmälan</t>
        </is>
      </c>
      <c r="C414" t="inlineStr">
        <is>
          <t>Föryngringsavverkning</t>
        </is>
      </c>
      <c r="D414" s="1" t="n">
        <v>46085</v>
      </c>
      <c r="E414" s="1" t="n">
        <v>46220</v>
      </c>
      <c r="F414" t="inlineStr">
        <is>
          <t>DALARNAS LÄN</t>
        </is>
      </c>
      <c r="G414" t="inlineStr">
        <is>
          <t>MORA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12527-2026</t>
        </is>
      </c>
      <c r="B415" t="inlineStr">
        <is>
          <t>avverkningsanmälan</t>
        </is>
      </c>
      <c r="C415" t="inlineStr">
        <is>
          <t>Föryngringsavverkning</t>
        </is>
      </c>
      <c r="D415" s="1" t="n">
        <v>46090</v>
      </c>
      <c r="E415" s="1" t="n">
        <v>46220</v>
      </c>
      <c r="F415" t="inlineStr">
        <is>
          <t>DALARNAS LÄN</t>
        </is>
      </c>
      <c r="G415" t="inlineStr">
        <is>
          <t>MORA</t>
        </is>
      </c>
      <c r="I415" t="n">
        <v>17.5</v>
      </c>
      <c r="J415" t="n">
        <v>0</v>
      </c>
      <c r="K415" t="n">
        <v>0</v>
      </c>
      <c r="L415" t="n">
        <v>0</v>
      </c>
      <c r="M415" t="n">
        <v>0</v>
      </c>
      <c r="N415" t="n">
        <v>0</v>
      </c>
      <c r="O415" t="n">
        <v>0</v>
      </c>
      <c r="P415" t="n">
        <v>0</v>
      </c>
      <c r="Q415" t="n">
        <v>0</v>
      </c>
      <c r="R415" t="n">
        <v>0</v>
      </c>
      <c r="S415" t="n">
        <v>0</v>
      </c>
      <c r="T415" t="n">
        <v>0</v>
      </c>
      <c r="U415" s="2" t="inlineStr"/>
    </row>
    <row r="416" ht="15" customHeight="1">
      <c r="A416" t="inlineStr">
        <is>
          <t>A 12664-2026</t>
        </is>
      </c>
      <c r="B416" t="inlineStr">
        <is>
          <t>avverkningsanmälan</t>
        </is>
      </c>
      <c r="C416" t="inlineStr">
        <is>
          <t>Föryngringsavverkning</t>
        </is>
      </c>
      <c r="D416" s="1" t="n">
        <v>46091</v>
      </c>
      <c r="E416" s="1" t="n">
        <v>46220</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12610-2026</t>
        </is>
      </c>
      <c r="B417" t="inlineStr">
        <is>
          <t>avverkningsanmälan</t>
        </is>
      </c>
      <c r="C417" t="inlineStr">
        <is>
          <t>Föryngringsavverkning</t>
        </is>
      </c>
      <c r="D417" s="1" t="n">
        <v>46091</v>
      </c>
      <c r="E417" s="1" t="n">
        <v>46220</v>
      </c>
      <c r="F417" t="inlineStr">
        <is>
          <t>DALARNAS LÄN</t>
        </is>
      </c>
      <c r="G417" t="inlineStr">
        <is>
          <t>MORA</t>
        </is>
      </c>
      <c r="I417" t="n">
        <v>8.1</v>
      </c>
      <c r="J417" t="n">
        <v>0</v>
      </c>
      <c r="K417" t="n">
        <v>0</v>
      </c>
      <c r="L417" t="n">
        <v>0</v>
      </c>
      <c r="M417" t="n">
        <v>0</v>
      </c>
      <c r="N417" t="n">
        <v>0</v>
      </c>
      <c r="O417" t="n">
        <v>0</v>
      </c>
      <c r="P417" t="n">
        <v>0</v>
      </c>
      <c r="Q417" t="n">
        <v>0</v>
      </c>
      <c r="R417" t="n">
        <v>0</v>
      </c>
      <c r="S417" t="n">
        <v>0</v>
      </c>
      <c r="T417" t="n">
        <v>0</v>
      </c>
      <c r="U417" s="2" t="inlineStr"/>
    </row>
    <row r="418" ht="15" customHeight="1">
      <c r="A418" t="inlineStr">
        <is>
          <t>A 19842-2025</t>
        </is>
      </c>
      <c r="B418" t="inlineStr">
        <is>
          <t>avverkningsanmälan</t>
        </is>
      </c>
      <c r="C418" t="inlineStr">
        <is>
          <t>Föryngringsavverkning</t>
        </is>
      </c>
      <c r="D418" s="1" t="n">
        <v>45771</v>
      </c>
      <c r="E418" s="1" t="n">
        <v>46220</v>
      </c>
      <c r="F418" t="inlineStr">
        <is>
          <t>DALARNAS LÄN</t>
        </is>
      </c>
      <c r="G418" t="inlineStr">
        <is>
          <t>MORA</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18134-2025</t>
        </is>
      </c>
      <c r="B419" t="inlineStr">
        <is>
          <t>avverkningsanmälan</t>
        </is>
      </c>
      <c r="C419" t="inlineStr">
        <is>
          <t>Föryngringsavverkning</t>
        </is>
      </c>
      <c r="D419" s="1" t="n">
        <v>45761</v>
      </c>
      <c r="E419" s="1" t="n">
        <v>46220</v>
      </c>
      <c r="F419" t="inlineStr">
        <is>
          <t>DALARNAS LÄN</t>
        </is>
      </c>
      <c r="G419" t="inlineStr">
        <is>
          <t>MORA</t>
        </is>
      </c>
      <c r="H419" t="inlineStr">
        <is>
          <t>Bergvik skog öst AB</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5936-2026</t>
        </is>
      </c>
      <c r="B420" t="inlineStr">
        <is>
          <t>avverkningsanmälan</t>
        </is>
      </c>
      <c r="C420" t="inlineStr">
        <is>
          <t>Avverkning för annat ändamål</t>
        </is>
      </c>
      <c r="D420" s="1" t="n">
        <v>46052</v>
      </c>
      <c r="E420" s="1" t="n">
        <v>46220</v>
      </c>
      <c r="F420" t="inlineStr">
        <is>
          <t>DALARNAS LÄN</t>
        </is>
      </c>
      <c r="G420" t="inlineStr">
        <is>
          <t>MORA</t>
        </is>
      </c>
      <c r="I420" t="n">
        <v>11.1</v>
      </c>
      <c r="J420" t="n">
        <v>0</v>
      </c>
      <c r="K420" t="n">
        <v>0</v>
      </c>
      <c r="L420" t="n">
        <v>0</v>
      </c>
      <c r="M420" t="n">
        <v>0</v>
      </c>
      <c r="N420" t="n">
        <v>0</v>
      </c>
      <c r="O420" t="n">
        <v>0</v>
      </c>
      <c r="P420" t="n">
        <v>0</v>
      </c>
      <c r="Q420" t="n">
        <v>0</v>
      </c>
      <c r="R420" t="n">
        <v>0</v>
      </c>
      <c r="S420" t="n">
        <v>0</v>
      </c>
      <c r="T420" t="n">
        <v>0</v>
      </c>
      <c r="U420" s="2" t="inlineStr"/>
    </row>
    <row r="421" ht="15" customHeight="1">
      <c r="A421" t="inlineStr">
        <is>
          <t>A 13853-2026</t>
        </is>
      </c>
      <c r="B421" t="inlineStr">
        <is>
          <t>avverkningsanmälan</t>
        </is>
      </c>
      <c r="C421" t="inlineStr">
        <is>
          <t>Föryngringsavverkning</t>
        </is>
      </c>
      <c r="D421" s="1" t="n">
        <v>46098</v>
      </c>
      <c r="E421" s="1" t="n">
        <v>46220</v>
      </c>
      <c r="F421" t="inlineStr">
        <is>
          <t>DALARNAS LÄN</t>
        </is>
      </c>
      <c r="G421" t="inlineStr">
        <is>
          <t>MORA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13902-2026</t>
        </is>
      </c>
      <c r="B422" t="inlineStr">
        <is>
          <t>avverkningsanmälan</t>
        </is>
      </c>
      <c r="C422" t="inlineStr">
        <is>
          <t>Föryngringsavverkning</t>
        </is>
      </c>
      <c r="D422" s="1" t="n">
        <v>46098</v>
      </c>
      <c r="E422" s="1" t="n">
        <v>46220</v>
      </c>
      <c r="F422" t="inlineStr">
        <is>
          <t>DALARNAS LÄN</t>
        </is>
      </c>
      <c r="G422" t="inlineStr">
        <is>
          <t>MORA</t>
        </is>
      </c>
      <c r="I422" t="n">
        <v>5.3</v>
      </c>
      <c r="J422" t="n">
        <v>0</v>
      </c>
      <c r="K422" t="n">
        <v>0</v>
      </c>
      <c r="L422" t="n">
        <v>0</v>
      </c>
      <c r="M422" t="n">
        <v>0</v>
      </c>
      <c r="N422" t="n">
        <v>0</v>
      </c>
      <c r="O422" t="n">
        <v>0</v>
      </c>
      <c r="P422" t="n">
        <v>0</v>
      </c>
      <c r="Q422" t="n">
        <v>0</v>
      </c>
      <c r="R422" t="n">
        <v>0</v>
      </c>
      <c r="S422" t="n">
        <v>0</v>
      </c>
      <c r="T422" t="n">
        <v>0</v>
      </c>
      <c r="U422" s="2" t="inlineStr"/>
    </row>
    <row r="423" ht="15" customHeight="1">
      <c r="A423" t="inlineStr">
        <is>
          <t>A 31112-2024</t>
        </is>
      </c>
      <c r="B423" t="inlineStr">
        <is>
          <t>avverkningsanmälan</t>
        </is>
      </c>
      <c r="C423" t="inlineStr">
        <is>
          <t>Föryngringsavverkning</t>
        </is>
      </c>
      <c r="D423" s="1" t="n">
        <v>45502</v>
      </c>
      <c r="E423" s="1" t="n">
        <v>46220</v>
      </c>
      <c r="F423" t="inlineStr">
        <is>
          <t>DALARNAS LÄN</t>
        </is>
      </c>
      <c r="G423" t="inlineStr">
        <is>
          <t>MORA</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442-2024</t>
        </is>
      </c>
      <c r="B424" t="inlineStr">
        <is>
          <t>avverkningsanmälan</t>
        </is>
      </c>
      <c r="C424" t="inlineStr">
        <is>
          <t>Föryngringsavverkning</t>
        </is>
      </c>
      <c r="D424" s="1" t="n">
        <v>45296</v>
      </c>
      <c r="E424" s="1" t="n">
        <v>46220</v>
      </c>
      <c r="F424" t="inlineStr">
        <is>
          <t>DALARNAS LÄN</t>
        </is>
      </c>
      <c r="G424" t="inlineStr">
        <is>
          <t>MORA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501-2024</t>
        </is>
      </c>
      <c r="B425" t="inlineStr">
        <is>
          <t>avverkningsanmälan</t>
        </is>
      </c>
      <c r="C425" t="inlineStr">
        <is>
          <t>Föryngringsavverkning</t>
        </is>
      </c>
      <c r="D425" s="1" t="n">
        <v>45299</v>
      </c>
      <c r="E425" s="1" t="n">
        <v>46220</v>
      </c>
      <c r="F425" t="inlineStr">
        <is>
          <t>DALARNAS LÄN</t>
        </is>
      </c>
      <c r="G425" t="inlineStr">
        <is>
          <t>MORA</t>
        </is>
      </c>
      <c r="I425" t="n">
        <v>2.5</v>
      </c>
      <c r="J425" t="n">
        <v>0</v>
      </c>
      <c r="K425" t="n">
        <v>0</v>
      </c>
      <c r="L425" t="n">
        <v>0</v>
      </c>
      <c r="M425" t="n">
        <v>0</v>
      </c>
      <c r="N425" t="n">
        <v>0</v>
      </c>
      <c r="O425" t="n">
        <v>0</v>
      </c>
      <c r="P425" t="n">
        <v>0</v>
      </c>
      <c r="Q425" t="n">
        <v>0</v>
      </c>
      <c r="R425" t="n">
        <v>0</v>
      </c>
      <c r="S425" t="n">
        <v>0</v>
      </c>
      <c r="T425" t="n">
        <v>0</v>
      </c>
      <c r="U425" s="2" t="inlineStr"/>
    </row>
    <row r="426" ht="15" customHeight="1">
      <c r="A426" t="inlineStr">
        <is>
          <t>A 48570-2022</t>
        </is>
      </c>
      <c r="B426" t="inlineStr">
        <is>
          <t>avverkningsanmälan</t>
        </is>
      </c>
      <c r="C426" t="inlineStr">
        <is>
          <t>Föryngringsavverkning</t>
        </is>
      </c>
      <c r="D426" s="1" t="n">
        <v>44859</v>
      </c>
      <c r="E426" s="1" t="n">
        <v>46220</v>
      </c>
      <c r="F426" t="inlineStr">
        <is>
          <t>DALARNAS LÄN</t>
        </is>
      </c>
      <c r="G426" t="inlineStr">
        <is>
          <t>MORA</t>
        </is>
      </c>
      <c r="I426" t="n">
        <v>6.2</v>
      </c>
      <c r="J426" t="n">
        <v>0</v>
      </c>
      <c r="K426" t="n">
        <v>0</v>
      </c>
      <c r="L426" t="n">
        <v>0</v>
      </c>
      <c r="M426" t="n">
        <v>0</v>
      </c>
      <c r="N426" t="n">
        <v>0</v>
      </c>
      <c r="O426" t="n">
        <v>0</v>
      </c>
      <c r="P426" t="n">
        <v>0</v>
      </c>
      <c r="Q426" t="n">
        <v>0</v>
      </c>
      <c r="R426" t="n">
        <v>0</v>
      </c>
      <c r="S426" t="n">
        <v>0</v>
      </c>
      <c r="T426" t="n">
        <v>0</v>
      </c>
      <c r="U426" s="2" t="inlineStr"/>
    </row>
    <row r="427" ht="15" customHeight="1">
      <c r="A427" t="inlineStr">
        <is>
          <t>A 19814-2025</t>
        </is>
      </c>
      <c r="B427" t="inlineStr">
        <is>
          <t>avverkningsanmälan</t>
        </is>
      </c>
      <c r="C427" t="inlineStr">
        <is>
          <t>Föryngringsavverkning</t>
        </is>
      </c>
      <c r="D427" s="1" t="n">
        <v>45771</v>
      </c>
      <c r="E427" s="1" t="n">
        <v>46220</v>
      </c>
      <c r="F427" t="inlineStr">
        <is>
          <t>DALARNAS LÄN</t>
        </is>
      </c>
      <c r="G427" t="inlineStr">
        <is>
          <t>MORA</t>
        </is>
      </c>
      <c r="I427" t="n">
        <v>2.1</v>
      </c>
      <c r="J427" t="n">
        <v>0</v>
      </c>
      <c r="K427" t="n">
        <v>0</v>
      </c>
      <c r="L427" t="n">
        <v>0</v>
      </c>
      <c r="M427" t="n">
        <v>0</v>
      </c>
      <c r="N427" t="n">
        <v>0</v>
      </c>
      <c r="O427" t="n">
        <v>0</v>
      </c>
      <c r="P427" t="n">
        <v>0</v>
      </c>
      <c r="Q427" t="n">
        <v>0</v>
      </c>
      <c r="R427" t="n">
        <v>0</v>
      </c>
      <c r="S427" t="n">
        <v>0</v>
      </c>
      <c r="T427" t="n">
        <v>0</v>
      </c>
      <c r="U427" s="2" t="inlineStr"/>
    </row>
    <row r="428" ht="15" customHeight="1">
      <c r="A428" t="inlineStr">
        <is>
          <t>A 60526-2023</t>
        </is>
      </c>
      <c r="B428" t="inlineStr">
        <is>
          <t>avverkningsanmälan</t>
        </is>
      </c>
      <c r="C428" t="inlineStr">
        <is>
          <t>Föryngringsavverkning</t>
        </is>
      </c>
      <c r="D428" s="1" t="n">
        <v>45259</v>
      </c>
      <c r="E428" s="1" t="n">
        <v>46220</v>
      </c>
      <c r="F428" t="inlineStr">
        <is>
          <t>DALARNAS LÄN</t>
        </is>
      </c>
      <c r="G428" t="inlineStr">
        <is>
          <t>MORA</t>
        </is>
      </c>
      <c r="I428" t="n">
        <v>6.7</v>
      </c>
      <c r="J428" t="n">
        <v>0</v>
      </c>
      <c r="K428" t="n">
        <v>0</v>
      </c>
      <c r="L428" t="n">
        <v>0</v>
      </c>
      <c r="M428" t="n">
        <v>0</v>
      </c>
      <c r="N428" t="n">
        <v>0</v>
      </c>
      <c r="O428" t="n">
        <v>0</v>
      </c>
      <c r="P428" t="n">
        <v>0</v>
      </c>
      <c r="Q428" t="n">
        <v>0</v>
      </c>
      <c r="R428" t="n">
        <v>0</v>
      </c>
      <c r="S428" t="n">
        <v>0</v>
      </c>
      <c r="T428" t="n">
        <v>0</v>
      </c>
      <c r="U428" s="2" t="inlineStr"/>
    </row>
    <row r="429" ht="15" customHeight="1">
      <c r="A429" t="inlineStr">
        <is>
          <t>A 53341-2023</t>
        </is>
      </c>
      <c r="B429" t="inlineStr">
        <is>
          <t>avverkningsanmälan</t>
        </is>
      </c>
      <c r="C429" t="inlineStr">
        <is>
          <t>Föryngringsavverkning</t>
        </is>
      </c>
      <c r="D429" s="1" t="n">
        <v>45229</v>
      </c>
      <c r="E429" s="1" t="n">
        <v>46220</v>
      </c>
      <c r="F429" t="inlineStr">
        <is>
          <t>DALARNAS LÄN</t>
        </is>
      </c>
      <c r="G429" t="inlineStr">
        <is>
          <t>MORA</t>
        </is>
      </c>
      <c r="I429" t="n">
        <v>2.1</v>
      </c>
      <c r="J429" t="n">
        <v>0</v>
      </c>
      <c r="K429" t="n">
        <v>0</v>
      </c>
      <c r="L429" t="n">
        <v>0</v>
      </c>
      <c r="M429" t="n">
        <v>0</v>
      </c>
      <c r="N429" t="n">
        <v>0</v>
      </c>
      <c r="O429" t="n">
        <v>0</v>
      </c>
      <c r="P429" t="n">
        <v>0</v>
      </c>
      <c r="Q429" t="n">
        <v>0</v>
      </c>
      <c r="R429" t="n">
        <v>0</v>
      </c>
      <c r="S429" t="n">
        <v>0</v>
      </c>
      <c r="T429" t="n">
        <v>0</v>
      </c>
      <c r="U429" s="2" t="inlineStr"/>
    </row>
    <row r="430" ht="15" customHeight="1">
      <c r="A430" t="inlineStr">
        <is>
          <t>A 12828-2023</t>
        </is>
      </c>
      <c r="B430" t="inlineStr">
        <is>
          <t>avverkningsanmälan</t>
        </is>
      </c>
      <c r="C430" t="inlineStr">
        <is>
          <t>Föryngringsavverkning</t>
        </is>
      </c>
      <c r="D430" s="1" t="n">
        <v>45001</v>
      </c>
      <c r="E430" s="1" t="n">
        <v>46220</v>
      </c>
      <c r="F430" t="inlineStr">
        <is>
          <t>DALARNAS LÄN</t>
        </is>
      </c>
      <c r="G430" t="inlineStr">
        <is>
          <t>MORA</t>
        </is>
      </c>
      <c r="H430" t="inlineStr">
        <is>
          <t>Bergvik skog väst AB</t>
        </is>
      </c>
      <c r="I430" t="n">
        <v>5.4</v>
      </c>
      <c r="J430" t="n">
        <v>0</v>
      </c>
      <c r="K430" t="n">
        <v>0</v>
      </c>
      <c r="L430" t="n">
        <v>0</v>
      </c>
      <c r="M430" t="n">
        <v>0</v>
      </c>
      <c r="N430" t="n">
        <v>0</v>
      </c>
      <c r="O430" t="n">
        <v>0</v>
      </c>
      <c r="P430" t="n">
        <v>0</v>
      </c>
      <c r="Q430" t="n">
        <v>0</v>
      </c>
      <c r="R430" t="n">
        <v>0</v>
      </c>
      <c r="S430" t="n">
        <v>0</v>
      </c>
      <c r="T430" t="n">
        <v>0</v>
      </c>
      <c r="U430" s="2" t="inlineStr"/>
    </row>
    <row r="431" ht="15" customHeight="1">
      <c r="A431" t="inlineStr">
        <is>
          <t>A 21410-2023</t>
        </is>
      </c>
      <c r="B431" t="inlineStr">
        <is>
          <t>avverkningsanmälan</t>
        </is>
      </c>
      <c r="C431" t="inlineStr">
        <is>
          <t>Föryngringsavverkning</t>
        </is>
      </c>
      <c r="D431" s="1" t="n">
        <v>45063</v>
      </c>
      <c r="E431" s="1" t="n">
        <v>46220</v>
      </c>
      <c r="F431" t="inlineStr">
        <is>
          <t>DALARNAS LÄN</t>
        </is>
      </c>
      <c r="G431" t="inlineStr">
        <is>
          <t>MORA</t>
        </is>
      </c>
      <c r="I431" t="n">
        <v>7</v>
      </c>
      <c r="J431" t="n">
        <v>0</v>
      </c>
      <c r="K431" t="n">
        <v>0</v>
      </c>
      <c r="L431" t="n">
        <v>0</v>
      </c>
      <c r="M431" t="n">
        <v>0</v>
      </c>
      <c r="N431" t="n">
        <v>0</v>
      </c>
      <c r="O431" t="n">
        <v>0</v>
      </c>
      <c r="P431" t="n">
        <v>0</v>
      </c>
      <c r="Q431" t="n">
        <v>0</v>
      </c>
      <c r="R431" t="n">
        <v>0</v>
      </c>
      <c r="S431" t="n">
        <v>0</v>
      </c>
      <c r="T431" t="n">
        <v>0</v>
      </c>
      <c r="U431" s="2" t="inlineStr"/>
    </row>
    <row r="432" ht="15" customHeight="1">
      <c r="A432" t="inlineStr">
        <is>
          <t>A 15343-2026</t>
        </is>
      </c>
      <c r="B432" t="inlineStr">
        <is>
          <t>avverkningsanmälan</t>
        </is>
      </c>
      <c r="C432" t="inlineStr">
        <is>
          <t>Föryngringsavverkning</t>
        </is>
      </c>
      <c r="D432" s="1" t="n">
        <v>46105</v>
      </c>
      <c r="E432" s="1" t="n">
        <v>46220</v>
      </c>
      <c r="F432" t="inlineStr">
        <is>
          <t>DALARNAS LÄN</t>
        </is>
      </c>
      <c r="G432" t="inlineStr">
        <is>
          <t>MORA</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45475-2023</t>
        </is>
      </c>
      <c r="B433" t="inlineStr">
        <is>
          <t>avverkningsanmälan</t>
        </is>
      </c>
      <c r="C433" t="inlineStr">
        <is>
          <t>Föryngringsavverkning</t>
        </is>
      </c>
      <c r="D433" s="1" t="n">
        <v>45188</v>
      </c>
      <c r="E433" s="1" t="n">
        <v>46220</v>
      </c>
      <c r="F433" t="inlineStr">
        <is>
          <t>DALARNAS LÄN</t>
        </is>
      </c>
      <c r="G433" t="inlineStr">
        <is>
          <t>MORA</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44071-2024</t>
        </is>
      </c>
      <c r="B434" t="inlineStr">
        <is>
          <t>avverkningsanmälan</t>
        </is>
      </c>
      <c r="C434" t="inlineStr">
        <is>
          <t>Föryngringsavverkning</t>
        </is>
      </c>
      <c r="D434" s="1" t="n">
        <v>45572</v>
      </c>
      <c r="E434" s="1" t="n">
        <v>46220</v>
      </c>
      <c r="F434" t="inlineStr">
        <is>
          <t>DALARNAS LÄN</t>
        </is>
      </c>
      <c r="G434" t="inlineStr">
        <is>
          <t>MORA</t>
        </is>
      </c>
      <c r="I434" t="n">
        <v>4.5</v>
      </c>
      <c r="J434" t="n">
        <v>0</v>
      </c>
      <c r="K434" t="n">
        <v>0</v>
      </c>
      <c r="L434" t="n">
        <v>0</v>
      </c>
      <c r="M434" t="n">
        <v>0</v>
      </c>
      <c r="N434" t="n">
        <v>0</v>
      </c>
      <c r="O434" t="n">
        <v>0</v>
      </c>
      <c r="P434" t="n">
        <v>0</v>
      </c>
      <c r="Q434" t="n">
        <v>0</v>
      </c>
      <c r="R434" t="n">
        <v>0</v>
      </c>
      <c r="S434" t="n">
        <v>0</v>
      </c>
      <c r="T434" t="n">
        <v>0</v>
      </c>
      <c r="U434" s="2" t="inlineStr"/>
    </row>
    <row r="435" ht="15" customHeight="1">
      <c r="A435" t="inlineStr">
        <is>
          <t>A 57903-2022</t>
        </is>
      </c>
      <c r="B435" t="inlineStr">
        <is>
          <t>avverkningsanmälan</t>
        </is>
      </c>
      <c r="C435" t="inlineStr">
        <is>
          <t>Föryngringsavverkning</t>
        </is>
      </c>
      <c r="D435" s="1" t="n">
        <v>44900</v>
      </c>
      <c r="E435" s="1" t="n">
        <v>46220</v>
      </c>
      <c r="F435" t="inlineStr">
        <is>
          <t>DALARNAS LÄN</t>
        </is>
      </c>
      <c r="G435" t="inlineStr">
        <is>
          <t>MORA</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19193-2025</t>
        </is>
      </c>
      <c r="B436" t="inlineStr">
        <is>
          <t>avverkningsanmälan</t>
        </is>
      </c>
      <c r="C436" t="inlineStr">
        <is>
          <t>Föryngringsavverkning</t>
        </is>
      </c>
      <c r="D436" s="1" t="n">
        <v>45769</v>
      </c>
      <c r="E436" s="1" t="n">
        <v>46220</v>
      </c>
      <c r="F436" t="inlineStr">
        <is>
          <t>DALARNAS LÄN</t>
        </is>
      </c>
      <c r="G436" t="inlineStr">
        <is>
          <t>MORA</t>
        </is>
      </c>
      <c r="H436" t="inlineStr">
        <is>
          <t>Bergvik skog öst AB</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6183-2024</t>
        </is>
      </c>
      <c r="B437" t="inlineStr">
        <is>
          <t>avverkningsanmälan</t>
        </is>
      </c>
      <c r="C437" t="inlineStr">
        <is>
          <t>Föryngringsavverkning</t>
        </is>
      </c>
      <c r="D437" s="1" t="n">
        <v>45337</v>
      </c>
      <c r="E437" s="1" t="n">
        <v>46220</v>
      </c>
      <c r="F437" t="inlineStr">
        <is>
          <t>DALARNAS LÄN</t>
        </is>
      </c>
      <c r="G437" t="inlineStr">
        <is>
          <t>MORA</t>
        </is>
      </c>
      <c r="I437" t="n">
        <v>7.9</v>
      </c>
      <c r="J437" t="n">
        <v>0</v>
      </c>
      <c r="K437" t="n">
        <v>0</v>
      </c>
      <c r="L437" t="n">
        <v>0</v>
      </c>
      <c r="M437" t="n">
        <v>0</v>
      </c>
      <c r="N437" t="n">
        <v>0</v>
      </c>
      <c r="O437" t="n">
        <v>0</v>
      </c>
      <c r="P437" t="n">
        <v>0</v>
      </c>
      <c r="Q437" t="n">
        <v>0</v>
      </c>
      <c r="R437" t="n">
        <v>0</v>
      </c>
      <c r="S437" t="n">
        <v>0</v>
      </c>
      <c r="T437" t="n">
        <v>0</v>
      </c>
      <c r="U437" s="2" t="inlineStr"/>
    </row>
    <row r="438" ht="15" customHeight="1">
      <c r="A438" t="inlineStr">
        <is>
          <t>A 16547-2026</t>
        </is>
      </c>
      <c r="B438" t="inlineStr">
        <is>
          <t>avverkningsanmälan</t>
        </is>
      </c>
      <c r="C438" t="inlineStr">
        <is>
          <t>Föryngringsavverkning</t>
        </is>
      </c>
      <c r="D438" s="1" t="n">
        <v>46112</v>
      </c>
      <c r="E438" s="1" t="n">
        <v>46220</v>
      </c>
      <c r="F438" t="inlineStr">
        <is>
          <t>DALARNAS LÄN</t>
        </is>
      </c>
      <c r="G438" t="inlineStr">
        <is>
          <t>MORA</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46152-2023</t>
        </is>
      </c>
      <c r="B439" t="inlineStr">
        <is>
          <t>avverkningsanmälan</t>
        </is>
      </c>
      <c r="C439" t="inlineStr">
        <is>
          <t>Föryngringsavverkning</t>
        </is>
      </c>
      <c r="D439" s="1" t="n">
        <v>45196</v>
      </c>
      <c r="E439" s="1" t="n">
        <v>46220</v>
      </c>
      <c r="F439" t="inlineStr">
        <is>
          <t>DALARNAS LÄN</t>
        </is>
      </c>
      <c r="G439" t="inlineStr">
        <is>
          <t>MORA</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17393-2026</t>
        </is>
      </c>
      <c r="B440" t="inlineStr">
        <is>
          <t>avverkningsanmälan</t>
        </is>
      </c>
      <c r="C440" t="inlineStr">
        <is>
          <t>Föryngringsavverkning</t>
        </is>
      </c>
      <c r="D440" s="1" t="n">
        <v>46119</v>
      </c>
      <c r="E440" s="1" t="n">
        <v>46220</v>
      </c>
      <c r="F440" t="inlineStr">
        <is>
          <t>DALARNAS LÄN</t>
        </is>
      </c>
      <c r="G440" t="inlineStr">
        <is>
          <t>MORA</t>
        </is>
      </c>
      <c r="H440" t="inlineStr">
        <is>
          <t>Bergvik skog öst AB</t>
        </is>
      </c>
      <c r="I440" t="n">
        <v>2.8</v>
      </c>
      <c r="J440" t="n">
        <v>0</v>
      </c>
      <c r="K440" t="n">
        <v>0</v>
      </c>
      <c r="L440" t="n">
        <v>0</v>
      </c>
      <c r="M440" t="n">
        <v>0</v>
      </c>
      <c r="N440" t="n">
        <v>0</v>
      </c>
      <c r="O440" t="n">
        <v>0</v>
      </c>
      <c r="P440" t="n">
        <v>0</v>
      </c>
      <c r="Q440" t="n">
        <v>0</v>
      </c>
      <c r="R440" t="n">
        <v>0</v>
      </c>
      <c r="S440" t="n">
        <v>0</v>
      </c>
      <c r="T440" t="n">
        <v>0</v>
      </c>
      <c r="U440" s="2" t="inlineStr"/>
    </row>
    <row r="441" ht="15" customHeight="1">
      <c r="A441" t="inlineStr">
        <is>
          <t>A 17394-2026</t>
        </is>
      </c>
      <c r="B441" t="inlineStr">
        <is>
          <t>avverkningsanmälan</t>
        </is>
      </c>
      <c r="C441" t="inlineStr">
        <is>
          <t>Föryngringsavverkning</t>
        </is>
      </c>
      <c r="D441" s="1" t="n">
        <v>46119</v>
      </c>
      <c r="E441" s="1" t="n">
        <v>46220</v>
      </c>
      <c r="F441" t="inlineStr">
        <is>
          <t>DALARNAS LÄN</t>
        </is>
      </c>
      <c r="G441" t="inlineStr">
        <is>
          <t>MORA</t>
        </is>
      </c>
      <c r="H441" t="inlineStr">
        <is>
          <t>Bergvik skog öst AB</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17392-2026</t>
        </is>
      </c>
      <c r="B442" t="inlineStr">
        <is>
          <t>avverkningsanmälan</t>
        </is>
      </c>
      <c r="C442" t="inlineStr">
        <is>
          <t>Föryngringsavverkning</t>
        </is>
      </c>
      <c r="D442" s="1" t="n">
        <v>46119</v>
      </c>
      <c r="E442" s="1" t="n">
        <v>46220</v>
      </c>
      <c r="F442" t="inlineStr">
        <is>
          <t>DALARNAS LÄN</t>
        </is>
      </c>
      <c r="G442" t="inlineStr">
        <is>
          <t>MORA</t>
        </is>
      </c>
      <c r="H442" t="inlineStr">
        <is>
          <t>Bergvik skog öst AB</t>
        </is>
      </c>
      <c r="I442" t="n">
        <v>4</v>
      </c>
      <c r="J442" t="n">
        <v>0</v>
      </c>
      <c r="K442" t="n">
        <v>0</v>
      </c>
      <c r="L442" t="n">
        <v>0</v>
      </c>
      <c r="M442" t="n">
        <v>0</v>
      </c>
      <c r="N442" t="n">
        <v>0</v>
      </c>
      <c r="O442" t="n">
        <v>0</v>
      </c>
      <c r="P442" t="n">
        <v>0</v>
      </c>
      <c r="Q442" t="n">
        <v>0</v>
      </c>
      <c r="R442" t="n">
        <v>0</v>
      </c>
      <c r="S442" t="n">
        <v>0</v>
      </c>
      <c r="T442" t="n">
        <v>0</v>
      </c>
      <c r="U442" s="2" t="inlineStr"/>
    </row>
    <row r="443" ht="15" customHeight="1">
      <c r="A443" t="inlineStr">
        <is>
          <t>A 17805-2026</t>
        </is>
      </c>
      <c r="B443" t="inlineStr">
        <is>
          <t>avverkningsanmälan</t>
        </is>
      </c>
      <c r="C443" t="inlineStr">
        <is>
          <t>Föryngringsavverkning</t>
        </is>
      </c>
      <c r="D443" s="1" t="n">
        <v>46121</v>
      </c>
      <c r="E443" s="1" t="n">
        <v>46220</v>
      </c>
      <c r="F443" t="inlineStr">
        <is>
          <t>DALARNAS LÄN</t>
        </is>
      </c>
      <c r="G443" t="inlineStr">
        <is>
          <t>MORA</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48824-2023</t>
        </is>
      </c>
      <c r="B444" t="inlineStr">
        <is>
          <t>avverkningsanmälan</t>
        </is>
      </c>
      <c r="C444" t="inlineStr">
        <is>
          <t>Föryngringsavverkning</t>
        </is>
      </c>
      <c r="D444" s="1" t="n">
        <v>45203</v>
      </c>
      <c r="E444" s="1" t="n">
        <v>46220</v>
      </c>
      <c r="F444" t="inlineStr">
        <is>
          <t>DALARNAS LÄN</t>
        </is>
      </c>
      <c r="G444" t="inlineStr">
        <is>
          <t>MORA</t>
        </is>
      </c>
      <c r="I444" t="n">
        <v>3.3</v>
      </c>
      <c r="J444" t="n">
        <v>0</v>
      </c>
      <c r="K444" t="n">
        <v>0</v>
      </c>
      <c r="L444" t="n">
        <v>0</v>
      </c>
      <c r="M444" t="n">
        <v>0</v>
      </c>
      <c r="N444" t="n">
        <v>0</v>
      </c>
      <c r="O444" t="n">
        <v>0</v>
      </c>
      <c r="P444" t="n">
        <v>0</v>
      </c>
      <c r="Q444" t="n">
        <v>0</v>
      </c>
      <c r="R444" t="n">
        <v>0</v>
      </c>
      <c r="S444" t="n">
        <v>0</v>
      </c>
      <c r="T444" t="n">
        <v>0</v>
      </c>
      <c r="U444" s="2" t="inlineStr"/>
    </row>
    <row r="445" ht="15" customHeight="1">
      <c r="A445" t="inlineStr">
        <is>
          <t>A 17756-2026</t>
        </is>
      </c>
      <c r="B445" t="inlineStr">
        <is>
          <t>avverkningsanmälan</t>
        </is>
      </c>
      <c r="C445" t="inlineStr">
        <is>
          <t>Föryngringsavverkning</t>
        </is>
      </c>
      <c r="D445" s="1" t="n">
        <v>46122</v>
      </c>
      <c r="E445" s="1" t="n">
        <v>46220</v>
      </c>
      <c r="F445" t="inlineStr">
        <is>
          <t>DALARNAS LÄN</t>
        </is>
      </c>
      <c r="G445" t="inlineStr">
        <is>
          <t>MORA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34272-2024</t>
        </is>
      </c>
      <c r="B446" t="inlineStr">
        <is>
          <t>avverkningsanmälan</t>
        </is>
      </c>
      <c r="C446" t="inlineStr">
        <is>
          <t>Föryngringsavverkning</t>
        </is>
      </c>
      <c r="D446" s="1" t="n">
        <v>45524</v>
      </c>
      <c r="E446" s="1" t="n">
        <v>46220</v>
      </c>
      <c r="F446" t="inlineStr">
        <is>
          <t>DALARNAS LÄN</t>
        </is>
      </c>
      <c r="G446" t="inlineStr">
        <is>
          <t>MORA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18412-2026</t>
        </is>
      </c>
      <c r="B447" t="inlineStr">
        <is>
          <t>avverkningsanmälan</t>
        </is>
      </c>
      <c r="C447" t="inlineStr">
        <is>
          <t>Föryngringsavverkning</t>
        </is>
      </c>
      <c r="D447" s="1" t="n">
        <v>46126</v>
      </c>
      <c r="E447" s="1" t="n">
        <v>46220</v>
      </c>
      <c r="F447" t="inlineStr">
        <is>
          <t>DALARNAS LÄN</t>
        </is>
      </c>
      <c r="G447" t="inlineStr">
        <is>
          <t>MORA</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36579-2022</t>
        </is>
      </c>
      <c r="B448" t="inlineStr">
        <is>
          <t>avverkningsanmälan</t>
        </is>
      </c>
      <c r="C448" t="inlineStr">
        <is>
          <t>Föryngringsavverkning</t>
        </is>
      </c>
      <c r="D448" s="1" t="n">
        <v>44804</v>
      </c>
      <c r="E448" s="1" t="n">
        <v>46220</v>
      </c>
      <c r="F448" t="inlineStr">
        <is>
          <t>DALARNAS LÄN</t>
        </is>
      </c>
      <c r="G448" t="inlineStr">
        <is>
          <t>MORA</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18674-2026</t>
        </is>
      </c>
      <c r="B449" t="inlineStr">
        <is>
          <t>avverkningsanmälan</t>
        </is>
      </c>
      <c r="C449" t="inlineStr">
        <is>
          <t>Föryngringsavverkning</t>
        </is>
      </c>
      <c r="D449" s="1" t="n">
        <v>46128</v>
      </c>
      <c r="E449" s="1" t="n">
        <v>46220</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18626-2026</t>
        </is>
      </c>
      <c r="B450" t="inlineStr">
        <is>
          <t>avverkningsanmälan</t>
        </is>
      </c>
      <c r="C450" t="inlineStr">
        <is>
          <t>Föryngringsavverkning</t>
        </is>
      </c>
      <c r="D450" s="1" t="n">
        <v>46127</v>
      </c>
      <c r="E450" s="1" t="n">
        <v>46220</v>
      </c>
      <c r="F450" t="inlineStr">
        <is>
          <t>DALARNAS LÄN</t>
        </is>
      </c>
      <c r="G450" t="inlineStr">
        <is>
          <t>MORA</t>
        </is>
      </c>
      <c r="I450" t="n">
        <v>3.1</v>
      </c>
      <c r="J450" t="n">
        <v>0</v>
      </c>
      <c r="K450" t="n">
        <v>0</v>
      </c>
      <c r="L450" t="n">
        <v>0</v>
      </c>
      <c r="M450" t="n">
        <v>0</v>
      </c>
      <c r="N450" t="n">
        <v>0</v>
      </c>
      <c r="O450" t="n">
        <v>0</v>
      </c>
      <c r="P450" t="n">
        <v>0</v>
      </c>
      <c r="Q450" t="n">
        <v>0</v>
      </c>
      <c r="R450" t="n">
        <v>0</v>
      </c>
      <c r="S450" t="n">
        <v>0</v>
      </c>
      <c r="T450" t="n">
        <v>0</v>
      </c>
      <c r="U450" s="2" t="inlineStr"/>
    </row>
    <row r="451" ht="15" customHeight="1">
      <c r="A451" t="inlineStr">
        <is>
          <t>A 18514-2026</t>
        </is>
      </c>
      <c r="B451" t="inlineStr">
        <is>
          <t>avverkningsanmälan</t>
        </is>
      </c>
      <c r="C451" t="inlineStr">
        <is>
          <t>Föryngringsavverkning</t>
        </is>
      </c>
      <c r="D451" s="1" t="n">
        <v>46127</v>
      </c>
      <c r="E451" s="1" t="n">
        <v>46220</v>
      </c>
      <c r="F451" t="inlineStr">
        <is>
          <t>DALARNAS LÄN</t>
        </is>
      </c>
      <c r="G451" t="inlineStr">
        <is>
          <t>MORA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51780-2023</t>
        </is>
      </c>
      <c r="B452" t="inlineStr">
        <is>
          <t>avverkningsanmälan</t>
        </is>
      </c>
      <c r="C452" t="inlineStr">
        <is>
          <t>Föryngringsavverkning</t>
        </is>
      </c>
      <c r="D452" s="1" t="n">
        <v>45222</v>
      </c>
      <c r="E452" s="1" t="n">
        <v>46220</v>
      </c>
      <c r="F452" t="inlineStr">
        <is>
          <t>DALARNAS LÄN</t>
        </is>
      </c>
      <c r="G452" t="inlineStr">
        <is>
          <t>MORA</t>
        </is>
      </c>
      <c r="I452" t="n">
        <v>9.9</v>
      </c>
      <c r="J452" t="n">
        <v>0</v>
      </c>
      <c r="K452" t="n">
        <v>0</v>
      </c>
      <c r="L452" t="n">
        <v>0</v>
      </c>
      <c r="M452" t="n">
        <v>0</v>
      </c>
      <c r="N452" t="n">
        <v>0</v>
      </c>
      <c r="O452" t="n">
        <v>0</v>
      </c>
      <c r="P452" t="n">
        <v>0</v>
      </c>
      <c r="Q452" t="n">
        <v>0</v>
      </c>
      <c r="R452" t="n">
        <v>0</v>
      </c>
      <c r="S452" t="n">
        <v>0</v>
      </c>
      <c r="T452" t="n">
        <v>0</v>
      </c>
      <c r="U452" s="2" t="inlineStr"/>
    </row>
    <row r="453" ht="15" customHeight="1">
      <c r="A453" t="inlineStr">
        <is>
          <t>A 15818-2024</t>
        </is>
      </c>
      <c r="B453" t="inlineStr">
        <is>
          <t>avverkningsanmälan</t>
        </is>
      </c>
      <c r="C453" t="inlineStr">
        <is>
          <t>Föryngringsavverkning</t>
        </is>
      </c>
      <c r="D453" s="1" t="n">
        <v>45404</v>
      </c>
      <c r="E453" s="1" t="n">
        <v>46220</v>
      </c>
      <c r="F453" t="inlineStr">
        <is>
          <t>DALARNAS LÄN</t>
        </is>
      </c>
      <c r="G453" t="inlineStr">
        <is>
          <t>MORA</t>
        </is>
      </c>
      <c r="I453" t="n">
        <v>7</v>
      </c>
      <c r="J453" t="n">
        <v>0</v>
      </c>
      <c r="K453" t="n">
        <v>0</v>
      </c>
      <c r="L453" t="n">
        <v>0</v>
      </c>
      <c r="M453" t="n">
        <v>0</v>
      </c>
      <c r="N453" t="n">
        <v>0</v>
      </c>
      <c r="O453" t="n">
        <v>0</v>
      </c>
      <c r="P453" t="n">
        <v>0</v>
      </c>
      <c r="Q453" t="n">
        <v>0</v>
      </c>
      <c r="R453" t="n">
        <v>0</v>
      </c>
      <c r="S453" t="n">
        <v>0</v>
      </c>
      <c r="T453" t="n">
        <v>0</v>
      </c>
      <c r="U453" s="2" t="inlineStr"/>
    </row>
    <row r="454" ht="15" customHeight="1">
      <c r="A454" t="inlineStr">
        <is>
          <t>A 35040-2023</t>
        </is>
      </c>
      <c r="B454" t="inlineStr">
        <is>
          <t>avverkningsanmälan</t>
        </is>
      </c>
      <c r="C454" t="inlineStr">
        <is>
          <t>Föryngringsavverkning</t>
        </is>
      </c>
      <c r="D454" s="1" t="n">
        <v>45145</v>
      </c>
      <c r="E454" s="1" t="n">
        <v>46220</v>
      </c>
      <c r="F454" t="inlineStr">
        <is>
          <t>DALARNAS LÄN</t>
        </is>
      </c>
      <c r="G454" t="inlineStr">
        <is>
          <t>MORA</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19549-2026</t>
        </is>
      </c>
      <c r="B455" t="inlineStr">
        <is>
          <t>avverkningsanmälan</t>
        </is>
      </c>
      <c r="C455" t="inlineStr">
        <is>
          <t>Föryngringsavverkning</t>
        </is>
      </c>
      <c r="D455" s="1" t="n">
        <v>46134</v>
      </c>
      <c r="E455" s="1" t="n">
        <v>46220</v>
      </c>
      <c r="F455" t="inlineStr">
        <is>
          <t>DALARNAS LÄN</t>
        </is>
      </c>
      <c r="G455" t="inlineStr">
        <is>
          <t>MORA</t>
        </is>
      </c>
      <c r="I455" t="n">
        <v>14.9</v>
      </c>
      <c r="J455" t="n">
        <v>0</v>
      </c>
      <c r="K455" t="n">
        <v>0</v>
      </c>
      <c r="L455" t="n">
        <v>0</v>
      </c>
      <c r="M455" t="n">
        <v>0</v>
      </c>
      <c r="N455" t="n">
        <v>0</v>
      </c>
      <c r="O455" t="n">
        <v>0</v>
      </c>
      <c r="P455" t="n">
        <v>0</v>
      </c>
      <c r="Q455" t="n">
        <v>0</v>
      </c>
      <c r="R455" t="n">
        <v>0</v>
      </c>
      <c r="S455" t="n">
        <v>0</v>
      </c>
      <c r="T455" t="n">
        <v>0</v>
      </c>
      <c r="U455" s="2" t="inlineStr"/>
    </row>
    <row r="456" ht="15" customHeight="1">
      <c r="A456" t="inlineStr">
        <is>
          <t>A 20089-2026</t>
        </is>
      </c>
      <c r="B456" t="inlineStr">
        <is>
          <t>avverkningsanmälan</t>
        </is>
      </c>
      <c r="C456" t="inlineStr">
        <is>
          <t>Föryngringsavverkning</t>
        </is>
      </c>
      <c r="D456" s="1" t="n">
        <v>46135</v>
      </c>
      <c r="E456" s="1" t="n">
        <v>46220</v>
      </c>
      <c r="F456" t="inlineStr">
        <is>
          <t>DALARNAS LÄN</t>
        </is>
      </c>
      <c r="G456" t="inlineStr">
        <is>
          <t>MORA</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15552-2026</t>
        </is>
      </c>
      <c r="B457" t="inlineStr">
        <is>
          <t>avverkningsanmälan</t>
        </is>
      </c>
      <c r="C457" t="inlineStr">
        <is>
          <t>Föryngringsavverkning</t>
        </is>
      </c>
      <c r="D457" s="1" t="n">
        <v>46106</v>
      </c>
      <c r="E457" s="1" t="n">
        <v>46220</v>
      </c>
      <c r="F457" t="inlineStr">
        <is>
          <t>DALARNAS LÄN</t>
        </is>
      </c>
      <c r="G457" t="inlineStr">
        <is>
          <t>MORA</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19462-2026</t>
        </is>
      </c>
      <c r="B458" t="inlineStr">
        <is>
          <t>avverkningsanmälan</t>
        </is>
      </c>
      <c r="C458" t="inlineStr">
        <is>
          <t>Föryngringsavverkning</t>
        </is>
      </c>
      <c r="D458" s="1" t="n">
        <v>46133</v>
      </c>
      <c r="E458" s="1" t="n">
        <v>46220</v>
      </c>
      <c r="F458" t="inlineStr">
        <is>
          <t>DALARNAS LÄN</t>
        </is>
      </c>
      <c r="G458" t="inlineStr">
        <is>
          <t>MORA</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15294-2026</t>
        </is>
      </c>
      <c r="B459" t="inlineStr">
        <is>
          <t>avverkningsanmälan</t>
        </is>
      </c>
      <c r="C459" t="inlineStr">
        <is>
          <t>Föryngringsavverkning</t>
        </is>
      </c>
      <c r="D459" s="1" t="n">
        <v>46105</v>
      </c>
      <c r="E459" s="1" t="n">
        <v>46220</v>
      </c>
      <c r="F459" t="inlineStr">
        <is>
          <t>DALARNAS LÄN</t>
        </is>
      </c>
      <c r="G459" t="inlineStr">
        <is>
          <t>MORA</t>
        </is>
      </c>
      <c r="H459" t="inlineStr">
        <is>
          <t>Bergvik skog öst AB</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31842-2025</t>
        </is>
      </c>
      <c r="B460" t="inlineStr">
        <is>
          <t>avverkningsanmälan</t>
        </is>
      </c>
      <c r="C460" t="inlineStr">
        <is>
          <t>Föryngringsavverkning</t>
        </is>
      </c>
      <c r="D460" s="1" t="n">
        <v>45834</v>
      </c>
      <c r="E460" s="1" t="n">
        <v>46220</v>
      </c>
      <c r="F460" t="inlineStr">
        <is>
          <t>DALARNAS LÄN</t>
        </is>
      </c>
      <c r="G460" t="inlineStr">
        <is>
          <t>MORA</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44595-2024</t>
        </is>
      </c>
      <c r="B461" t="inlineStr">
        <is>
          <t>avverkningsanmälan</t>
        </is>
      </c>
      <c r="C461" t="inlineStr">
        <is>
          <t>Föryngringsavverkning</t>
        </is>
      </c>
      <c r="D461" s="1" t="n">
        <v>45574</v>
      </c>
      <c r="E461" s="1" t="n">
        <v>46220</v>
      </c>
      <c r="F461" t="inlineStr">
        <is>
          <t>DALARNAS LÄN</t>
        </is>
      </c>
      <c r="G461" t="inlineStr">
        <is>
          <t>MORA</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26854-2025</t>
        </is>
      </c>
      <c r="B462" t="inlineStr">
        <is>
          <t>avverkningsanmälan</t>
        </is>
      </c>
      <c r="C462" t="inlineStr">
        <is>
          <t>Föryngringsavverkning</t>
        </is>
      </c>
      <c r="D462" s="1" t="n">
        <v>45810</v>
      </c>
      <c r="E462" s="1" t="n">
        <v>46220</v>
      </c>
      <c r="F462" t="inlineStr">
        <is>
          <t>DALARNAS LÄN</t>
        </is>
      </c>
      <c r="G462" t="inlineStr">
        <is>
          <t>MORA</t>
        </is>
      </c>
      <c r="I462" t="n">
        <v>4.4</v>
      </c>
      <c r="J462" t="n">
        <v>0</v>
      </c>
      <c r="K462" t="n">
        <v>0</v>
      </c>
      <c r="L462" t="n">
        <v>0</v>
      </c>
      <c r="M462" t="n">
        <v>0</v>
      </c>
      <c r="N462" t="n">
        <v>0</v>
      </c>
      <c r="O462" t="n">
        <v>0</v>
      </c>
      <c r="P462" t="n">
        <v>0</v>
      </c>
      <c r="Q462" t="n">
        <v>0</v>
      </c>
      <c r="R462" t="n">
        <v>0</v>
      </c>
      <c r="S462" t="n">
        <v>0</v>
      </c>
      <c r="T462" t="n">
        <v>0</v>
      </c>
      <c r="U462" s="2" t="inlineStr"/>
    </row>
    <row r="463" ht="15" customHeight="1">
      <c r="A463" t="inlineStr">
        <is>
          <t>A 61293-2022</t>
        </is>
      </c>
      <c r="B463" t="inlineStr">
        <is>
          <t>avverkningsanmälan</t>
        </is>
      </c>
      <c r="C463" t="inlineStr">
        <is>
          <t>Avverkning för att bevara och utveckla /försöksver</t>
        </is>
      </c>
      <c r="D463" s="1" t="n">
        <v>44915</v>
      </c>
      <c r="E463" s="1" t="n">
        <v>46220</v>
      </c>
      <c r="F463" t="inlineStr">
        <is>
          <t>DALARNAS LÄN</t>
        </is>
      </c>
      <c r="G463" t="inlineStr">
        <is>
          <t>MORA</t>
        </is>
      </c>
      <c r="I463" t="n">
        <v>0.3</v>
      </c>
      <c r="J463" t="n">
        <v>0</v>
      </c>
      <c r="K463" t="n">
        <v>0</v>
      </c>
      <c r="L463" t="n">
        <v>0</v>
      </c>
      <c r="M463" t="n">
        <v>0</v>
      </c>
      <c r="N463" t="n">
        <v>0</v>
      </c>
      <c r="O463" t="n">
        <v>0</v>
      </c>
      <c r="P463" t="n">
        <v>0</v>
      </c>
      <c r="Q463" t="n">
        <v>0</v>
      </c>
      <c r="R463" t="n">
        <v>0</v>
      </c>
      <c r="S463" t="n">
        <v>0</v>
      </c>
      <c r="T463" t="n">
        <v>0</v>
      </c>
      <c r="U463" s="2" t="inlineStr"/>
    </row>
    <row r="464" ht="15" customHeight="1">
      <c r="A464" t="inlineStr">
        <is>
          <t>A 57091-2021</t>
        </is>
      </c>
      <c r="B464" t="inlineStr">
        <is>
          <t>avverkningsanmälan</t>
        </is>
      </c>
      <c r="C464" t="inlineStr">
        <is>
          <t>Föryngringsavverkning</t>
        </is>
      </c>
      <c r="D464" s="1" t="n">
        <v>44482</v>
      </c>
      <c r="E464" s="1" t="n">
        <v>46220</v>
      </c>
      <c r="F464" t="inlineStr">
        <is>
          <t>DALARNAS LÄN</t>
        </is>
      </c>
      <c r="G464" t="inlineStr">
        <is>
          <t>MORA</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50685-2023</t>
        </is>
      </c>
      <c r="B465" t="inlineStr">
        <is>
          <t>avverkningsanmälan</t>
        </is>
      </c>
      <c r="C465" t="inlineStr">
        <is>
          <t>Föryngringsavverkning</t>
        </is>
      </c>
      <c r="D465" s="1" t="n">
        <v>45210</v>
      </c>
      <c r="E465" s="1" t="n">
        <v>46220</v>
      </c>
      <c r="F465" t="inlineStr">
        <is>
          <t>DALARNAS LÄN</t>
        </is>
      </c>
      <c r="G465" t="inlineStr">
        <is>
          <t>MORA</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36740-2023</t>
        </is>
      </c>
      <c r="B466" t="inlineStr">
        <is>
          <t>avverkningsanmälan</t>
        </is>
      </c>
      <c r="C466" t="inlineStr">
        <is>
          <t>Avverkning för annat ändamål</t>
        </is>
      </c>
      <c r="D466" s="1" t="n">
        <v>45153</v>
      </c>
      <c r="E466" s="1" t="n">
        <v>46220</v>
      </c>
      <c r="F466" t="inlineStr">
        <is>
          <t>DALARNAS LÄN</t>
        </is>
      </c>
      <c r="G466" t="inlineStr">
        <is>
          <t>MORA</t>
        </is>
      </c>
      <c r="I466" t="n">
        <v>0.2</v>
      </c>
      <c r="J466" t="n">
        <v>0</v>
      </c>
      <c r="K466" t="n">
        <v>0</v>
      </c>
      <c r="L466" t="n">
        <v>0</v>
      </c>
      <c r="M466" t="n">
        <v>0</v>
      </c>
      <c r="N466" t="n">
        <v>0</v>
      </c>
      <c r="O466" t="n">
        <v>0</v>
      </c>
      <c r="P466" t="n">
        <v>0</v>
      </c>
      <c r="Q466" t="n">
        <v>0</v>
      </c>
      <c r="R466" t="n">
        <v>0</v>
      </c>
      <c r="S466" t="n">
        <v>0</v>
      </c>
      <c r="T466" t="n">
        <v>0</v>
      </c>
      <c r="U466" s="2" t="inlineStr"/>
    </row>
    <row r="467" ht="15" customHeight="1">
      <c r="A467" t="inlineStr">
        <is>
          <t>A 65186-2021</t>
        </is>
      </c>
      <c r="B467" t="inlineStr">
        <is>
          <t>avverkningsanmälan</t>
        </is>
      </c>
      <c r="C467" t="inlineStr">
        <is>
          <t>Föryngringsavverkning</t>
        </is>
      </c>
      <c r="D467" s="1" t="n">
        <v>44515</v>
      </c>
      <c r="E467" s="1" t="n">
        <v>46220</v>
      </c>
      <c r="F467" t="inlineStr">
        <is>
          <t>DALARNAS LÄN</t>
        </is>
      </c>
      <c r="G467" t="inlineStr">
        <is>
          <t>MORA</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57855-2025</t>
        </is>
      </c>
      <c r="B468" t="inlineStr">
        <is>
          <t>avverkningsanmälan</t>
        </is>
      </c>
      <c r="C468" t="inlineStr">
        <is>
          <t>Föryngringsavverkning</t>
        </is>
      </c>
      <c r="D468" s="1" t="n">
        <v>45981</v>
      </c>
      <c r="E468" s="1" t="n">
        <v>46220</v>
      </c>
      <c r="F468" t="inlineStr">
        <is>
          <t>DALARNAS LÄN</t>
        </is>
      </c>
      <c r="G468" t="inlineStr">
        <is>
          <t>MORA</t>
        </is>
      </c>
      <c r="I468" t="n">
        <v>9.9</v>
      </c>
      <c r="J468" t="n">
        <v>0</v>
      </c>
      <c r="K468" t="n">
        <v>0</v>
      </c>
      <c r="L468" t="n">
        <v>0</v>
      </c>
      <c r="M468" t="n">
        <v>0</v>
      </c>
      <c r="N468" t="n">
        <v>0</v>
      </c>
      <c r="O468" t="n">
        <v>0</v>
      </c>
      <c r="P468" t="n">
        <v>0</v>
      </c>
      <c r="Q468" t="n">
        <v>0</v>
      </c>
      <c r="R468" t="n">
        <v>0</v>
      </c>
      <c r="S468" t="n">
        <v>0</v>
      </c>
      <c r="T468" t="n">
        <v>0</v>
      </c>
      <c r="U468" s="2" t="inlineStr"/>
    </row>
    <row r="469" ht="15" customHeight="1">
      <c r="A469" t="inlineStr">
        <is>
          <t>A 7849-2026</t>
        </is>
      </c>
      <c r="B469" t="inlineStr">
        <is>
          <t>avverkningsanmälan</t>
        </is>
      </c>
      <c r="C469" t="inlineStr">
        <is>
          <t>Föryngringsavverkning</t>
        </is>
      </c>
      <c r="D469" s="1" t="n">
        <v>46062</v>
      </c>
      <c r="E469" s="1" t="n">
        <v>46220</v>
      </c>
      <c r="F469" t="inlineStr">
        <is>
          <t>DALARNAS LÄN</t>
        </is>
      </c>
      <c r="G469" t="inlineStr">
        <is>
          <t>MORA</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56767-2024</t>
        </is>
      </c>
      <c r="B470" t="inlineStr">
        <is>
          <t>avverkningsanmälan</t>
        </is>
      </c>
      <c r="C470" t="inlineStr">
        <is>
          <t>Föryngringsavverkning</t>
        </is>
      </c>
      <c r="D470" s="1" t="n">
        <v>45628</v>
      </c>
      <c r="E470" s="1" t="n">
        <v>46220</v>
      </c>
      <c r="F470" t="inlineStr">
        <is>
          <t>DALARNAS LÄN</t>
        </is>
      </c>
      <c r="G470" t="inlineStr">
        <is>
          <t>MORA</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58171-2024</t>
        </is>
      </c>
      <c r="B471" t="inlineStr">
        <is>
          <t>avverkningsanmälan</t>
        </is>
      </c>
      <c r="C471" t="inlineStr">
        <is>
          <t>Föryngringsavverkning</t>
        </is>
      </c>
      <c r="D471" s="1" t="n">
        <v>45632</v>
      </c>
      <c r="E471" s="1" t="n">
        <v>46220</v>
      </c>
      <c r="F471" t="inlineStr">
        <is>
          <t>DALARNAS LÄN</t>
        </is>
      </c>
      <c r="G471" t="inlineStr">
        <is>
          <t>MORA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28925-2025</t>
        </is>
      </c>
      <c r="B472" t="inlineStr">
        <is>
          <t>avverkningsanmälan</t>
        </is>
      </c>
      <c r="C472" t="inlineStr">
        <is>
          <t>Föryngringsavverkning</t>
        </is>
      </c>
      <c r="D472" s="1" t="n">
        <v>45820</v>
      </c>
      <c r="E472" s="1" t="n">
        <v>46220</v>
      </c>
      <c r="F472" t="inlineStr">
        <is>
          <t>DALARNAS LÄN</t>
        </is>
      </c>
      <c r="G472" t="inlineStr">
        <is>
          <t>MORA</t>
        </is>
      </c>
      <c r="I472" t="n">
        <v>3.7</v>
      </c>
      <c r="J472" t="n">
        <v>0</v>
      </c>
      <c r="K472" t="n">
        <v>0</v>
      </c>
      <c r="L472" t="n">
        <v>0</v>
      </c>
      <c r="M472" t="n">
        <v>0</v>
      </c>
      <c r="N472" t="n">
        <v>0</v>
      </c>
      <c r="O472" t="n">
        <v>0</v>
      </c>
      <c r="P472" t="n">
        <v>0</v>
      </c>
      <c r="Q472" t="n">
        <v>0</v>
      </c>
      <c r="R472" t="n">
        <v>0</v>
      </c>
      <c r="S472" t="n">
        <v>0</v>
      </c>
      <c r="T472" t="n">
        <v>0</v>
      </c>
      <c r="U472" s="2" t="inlineStr"/>
    </row>
    <row r="473" ht="15" customHeight="1">
      <c r="A473" t="inlineStr">
        <is>
          <t>A 17167-2025</t>
        </is>
      </c>
      <c r="B473" t="inlineStr">
        <is>
          <t>avverkningsanmälan</t>
        </is>
      </c>
      <c r="C473" t="inlineStr">
        <is>
          <t>Föryngringsavverkning</t>
        </is>
      </c>
      <c r="D473" s="1" t="n">
        <v>45756</v>
      </c>
      <c r="E473" s="1" t="n">
        <v>46220</v>
      </c>
      <c r="F473" t="inlineStr">
        <is>
          <t>DALARNAS LÄN</t>
        </is>
      </c>
      <c r="G473" t="inlineStr">
        <is>
          <t>MORA</t>
        </is>
      </c>
      <c r="H473" t="inlineStr">
        <is>
          <t>Bergvik skog öst AB</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20504-2023</t>
        </is>
      </c>
      <c r="B474" t="inlineStr">
        <is>
          <t>avverkningsanmälan</t>
        </is>
      </c>
      <c r="C474" t="inlineStr">
        <is>
          <t>Föryngringsavverkning</t>
        </is>
      </c>
      <c r="D474" s="1" t="n">
        <v>45057</v>
      </c>
      <c r="E474" s="1" t="n">
        <v>46220</v>
      </c>
      <c r="F474" t="inlineStr">
        <is>
          <t>DALARNAS LÄN</t>
        </is>
      </c>
      <c r="G474" t="inlineStr">
        <is>
          <t>MORA</t>
        </is>
      </c>
      <c r="H474" t="inlineStr">
        <is>
          <t>Bergvik skog väst AB</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58473-2025</t>
        </is>
      </c>
      <c r="B475" t="inlineStr">
        <is>
          <t>avverkningsanmälan</t>
        </is>
      </c>
      <c r="C475" t="inlineStr">
        <is>
          <t>Föryngringsavverkning</t>
        </is>
      </c>
      <c r="D475" s="1" t="n">
        <v>45985</v>
      </c>
      <c r="E475" s="1" t="n">
        <v>46220</v>
      </c>
      <c r="F475" t="inlineStr">
        <is>
          <t>DALARNAS LÄN</t>
        </is>
      </c>
      <c r="G475" t="inlineStr">
        <is>
          <t>MORA</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56268-2024</t>
        </is>
      </c>
      <c r="B476" t="inlineStr">
        <is>
          <t>avverkningsanmälan</t>
        </is>
      </c>
      <c r="C476" t="inlineStr">
        <is>
          <t>Avverkning för att bevara och utveckla /försöksver</t>
        </is>
      </c>
      <c r="D476" s="1" t="n">
        <v>45624</v>
      </c>
      <c r="E476" s="1" t="n">
        <v>46220</v>
      </c>
      <c r="F476" t="inlineStr">
        <is>
          <t>DALARNAS LÄN</t>
        </is>
      </c>
      <c r="G476" t="inlineStr">
        <is>
          <t>MORA</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17529-2023</t>
        </is>
      </c>
      <c r="B477" t="inlineStr">
        <is>
          <t>avverkningsanmälan</t>
        </is>
      </c>
      <c r="C477" t="inlineStr">
        <is>
          <t>Föryngringsavverkning</t>
        </is>
      </c>
      <c r="D477" s="1" t="n">
        <v>45036</v>
      </c>
      <c r="E477" s="1" t="n">
        <v>46220</v>
      </c>
      <c r="F477" t="inlineStr">
        <is>
          <t>DALARNAS LÄN</t>
        </is>
      </c>
      <c r="G477" t="inlineStr">
        <is>
          <t>MORA</t>
        </is>
      </c>
      <c r="I477" t="n">
        <v>6</v>
      </c>
      <c r="J477" t="n">
        <v>0</v>
      </c>
      <c r="K477" t="n">
        <v>0</v>
      </c>
      <c r="L477" t="n">
        <v>0</v>
      </c>
      <c r="M477" t="n">
        <v>0</v>
      </c>
      <c r="N477" t="n">
        <v>0</v>
      </c>
      <c r="O477" t="n">
        <v>0</v>
      </c>
      <c r="P477" t="n">
        <v>0</v>
      </c>
      <c r="Q477" t="n">
        <v>0</v>
      </c>
      <c r="R477" t="n">
        <v>0</v>
      </c>
      <c r="S477" t="n">
        <v>0</v>
      </c>
      <c r="T477" t="n">
        <v>0</v>
      </c>
      <c r="U477" s="2" t="inlineStr"/>
    </row>
    <row r="478" ht="15" customHeight="1">
      <c r="A478" t="inlineStr">
        <is>
          <t>A 44201-2023</t>
        </is>
      </c>
      <c r="B478" t="inlineStr">
        <is>
          <t>avverkningsanmälan</t>
        </is>
      </c>
      <c r="C478" t="inlineStr">
        <is>
          <t>Föryngringsavverkning</t>
        </is>
      </c>
      <c r="D478" s="1" t="n">
        <v>45188</v>
      </c>
      <c r="E478" s="1" t="n">
        <v>46220</v>
      </c>
      <c r="F478" t="inlineStr">
        <is>
          <t>DALARNAS LÄN</t>
        </is>
      </c>
      <c r="G478" t="inlineStr">
        <is>
          <t>MORA</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2865-2022</t>
        </is>
      </c>
      <c r="B479" t="inlineStr">
        <is>
          <t>avverkningsanmälan</t>
        </is>
      </c>
      <c r="C479" t="inlineStr">
        <is>
          <t>Föryngringsavverkning</t>
        </is>
      </c>
      <c r="D479" s="1" t="n">
        <v>44581</v>
      </c>
      <c r="E479" s="1" t="n">
        <v>46220</v>
      </c>
      <c r="F479" t="inlineStr">
        <is>
          <t>DALARNAS LÄN</t>
        </is>
      </c>
      <c r="G479" t="inlineStr">
        <is>
          <t>MORA</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56834-2024</t>
        </is>
      </c>
      <c r="B480" t="inlineStr">
        <is>
          <t>avverkningsanmälan</t>
        </is>
      </c>
      <c r="C480" t="inlineStr">
        <is>
          <t>Avverkning för att bevara och utveckla /försöksver</t>
        </is>
      </c>
      <c r="D480" s="1" t="n">
        <v>45628</v>
      </c>
      <c r="E480" s="1" t="n">
        <v>46220</v>
      </c>
      <c r="F480" t="inlineStr">
        <is>
          <t>DALARNAS LÄN</t>
        </is>
      </c>
      <c r="G480" t="inlineStr">
        <is>
          <t>MORA</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66158-2021</t>
        </is>
      </c>
      <c r="B481" t="inlineStr">
        <is>
          <t>avverkningsanmälan</t>
        </is>
      </c>
      <c r="C481" t="inlineStr">
        <is>
          <t>Föryngringsavverkning</t>
        </is>
      </c>
      <c r="D481" s="1" t="n">
        <v>44517</v>
      </c>
      <c r="E481" s="1" t="n">
        <v>46220</v>
      </c>
      <c r="F481" t="inlineStr">
        <is>
          <t>DALARNAS LÄN</t>
        </is>
      </c>
      <c r="G481" t="inlineStr">
        <is>
          <t>MORA</t>
        </is>
      </c>
      <c r="I481" t="n">
        <v>3.3</v>
      </c>
      <c r="J481" t="n">
        <v>0</v>
      </c>
      <c r="K481" t="n">
        <v>0</v>
      </c>
      <c r="L481" t="n">
        <v>0</v>
      </c>
      <c r="M481" t="n">
        <v>0</v>
      </c>
      <c r="N481" t="n">
        <v>0</v>
      </c>
      <c r="O481" t="n">
        <v>0</v>
      </c>
      <c r="P481" t="n">
        <v>0</v>
      </c>
      <c r="Q481" t="n">
        <v>0</v>
      </c>
      <c r="R481" t="n">
        <v>0</v>
      </c>
      <c r="S481" t="n">
        <v>0</v>
      </c>
      <c r="T481" t="n">
        <v>0</v>
      </c>
      <c r="U481" s="2" t="inlineStr"/>
    </row>
    <row r="482" ht="15" customHeight="1">
      <c r="A482" t="inlineStr">
        <is>
          <t>A 47036-2023</t>
        </is>
      </c>
      <c r="B482" t="inlineStr">
        <is>
          <t>avverkningsanmälan</t>
        </is>
      </c>
      <c r="C482" t="inlineStr">
        <is>
          <t>Föryngringsavverkning</t>
        </is>
      </c>
      <c r="D482" s="1" t="n">
        <v>45196</v>
      </c>
      <c r="E482" s="1" t="n">
        <v>46220</v>
      </c>
      <c r="F482" t="inlineStr">
        <is>
          <t>DALARNAS LÄN</t>
        </is>
      </c>
      <c r="G482" t="inlineStr">
        <is>
          <t>MORA</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37971-2024</t>
        </is>
      </c>
      <c r="B483" t="inlineStr">
        <is>
          <t>avverkningsanmälan</t>
        </is>
      </c>
      <c r="C483" t="inlineStr">
        <is>
          <t>Föryngringsavverkning</t>
        </is>
      </c>
      <c r="D483" s="1" t="n">
        <v>45544</v>
      </c>
      <c r="E483" s="1" t="n">
        <v>46220</v>
      </c>
      <c r="F483" t="inlineStr">
        <is>
          <t>DALARNAS LÄN</t>
        </is>
      </c>
      <c r="G483" t="inlineStr">
        <is>
          <t>MORA</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20544-2025</t>
        </is>
      </c>
      <c r="B484" t="inlineStr">
        <is>
          <t>avverkningsanmälan</t>
        </is>
      </c>
      <c r="C484" t="inlineStr">
        <is>
          <t>Föryngringsavverkning</t>
        </is>
      </c>
      <c r="D484" s="1" t="n">
        <v>45775</v>
      </c>
      <c r="E484" s="1" t="n">
        <v>46220</v>
      </c>
      <c r="F484" t="inlineStr">
        <is>
          <t>DALARNAS LÄN</t>
        </is>
      </c>
      <c r="G484" t="inlineStr">
        <is>
          <t>MORA</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45462-2022</t>
        </is>
      </c>
      <c r="B485" t="inlineStr">
        <is>
          <t>avverkningsanmälan</t>
        </is>
      </c>
      <c r="C485" t="inlineStr">
        <is>
          <t>Föryngringsavverkning</t>
        </is>
      </c>
      <c r="D485" s="1" t="n">
        <v>44845</v>
      </c>
      <c r="E485" s="1" t="n">
        <v>46220</v>
      </c>
      <c r="F485" t="inlineStr">
        <is>
          <t>DALARNAS LÄN</t>
        </is>
      </c>
      <c r="G485" t="inlineStr">
        <is>
          <t>MORA</t>
        </is>
      </c>
      <c r="I485" t="n">
        <v>6.9</v>
      </c>
      <c r="J485" t="n">
        <v>0</v>
      </c>
      <c r="K485" t="n">
        <v>0</v>
      </c>
      <c r="L485" t="n">
        <v>0</v>
      </c>
      <c r="M485" t="n">
        <v>0</v>
      </c>
      <c r="N485" t="n">
        <v>0</v>
      </c>
      <c r="O485" t="n">
        <v>0</v>
      </c>
      <c r="P485" t="n">
        <v>0</v>
      </c>
      <c r="Q485" t="n">
        <v>0</v>
      </c>
      <c r="R485" t="n">
        <v>0</v>
      </c>
      <c r="S485" t="n">
        <v>0</v>
      </c>
      <c r="T485" t="n">
        <v>0</v>
      </c>
      <c r="U485" s="2" t="inlineStr"/>
    </row>
    <row r="486" ht="15" customHeight="1">
      <c r="A486" t="inlineStr">
        <is>
          <t>A 15127-2022</t>
        </is>
      </c>
      <c r="B486" t="inlineStr">
        <is>
          <t>avverkningsanmälan</t>
        </is>
      </c>
      <c r="C486" t="inlineStr">
        <is>
          <t>Föryngringsavverkning</t>
        </is>
      </c>
      <c r="D486" s="1" t="n">
        <v>44658</v>
      </c>
      <c r="E486" s="1" t="n">
        <v>46220</v>
      </c>
      <c r="F486" t="inlineStr">
        <is>
          <t>DALARNAS LÄN</t>
        </is>
      </c>
      <c r="G486" t="inlineStr">
        <is>
          <t>MORA</t>
        </is>
      </c>
      <c r="I486" t="n">
        <v>4.9</v>
      </c>
      <c r="J486" t="n">
        <v>0</v>
      </c>
      <c r="K486" t="n">
        <v>0</v>
      </c>
      <c r="L486" t="n">
        <v>0</v>
      </c>
      <c r="M486" t="n">
        <v>0</v>
      </c>
      <c r="N486" t="n">
        <v>0</v>
      </c>
      <c r="O486" t="n">
        <v>0</v>
      </c>
      <c r="P486" t="n">
        <v>0</v>
      </c>
      <c r="Q486" t="n">
        <v>0</v>
      </c>
      <c r="R486" t="n">
        <v>0</v>
      </c>
      <c r="S486" t="n">
        <v>0</v>
      </c>
      <c r="T486" t="n">
        <v>0</v>
      </c>
      <c r="U486" s="2" t="inlineStr"/>
    </row>
    <row r="487" ht="15" customHeight="1">
      <c r="A487" t="inlineStr">
        <is>
          <t>A 60718-2023</t>
        </is>
      </c>
      <c r="B487" t="inlineStr">
        <is>
          <t>avverkningsanmälan</t>
        </is>
      </c>
      <c r="C487" t="inlineStr">
        <is>
          <t>Föryngringsavverkning</t>
        </is>
      </c>
      <c r="D487" s="1" t="n">
        <v>45260</v>
      </c>
      <c r="E487" s="1" t="n">
        <v>46220</v>
      </c>
      <c r="F487" t="inlineStr">
        <is>
          <t>DALARNAS LÄN</t>
        </is>
      </c>
      <c r="G487" t="inlineStr">
        <is>
          <t>MORA</t>
        </is>
      </c>
      <c r="I487" t="n">
        <v>2.6</v>
      </c>
      <c r="J487" t="n">
        <v>0</v>
      </c>
      <c r="K487" t="n">
        <v>0</v>
      </c>
      <c r="L487" t="n">
        <v>0</v>
      </c>
      <c r="M487" t="n">
        <v>0</v>
      </c>
      <c r="N487" t="n">
        <v>0</v>
      </c>
      <c r="O487" t="n">
        <v>0</v>
      </c>
      <c r="P487" t="n">
        <v>0</v>
      </c>
      <c r="Q487" t="n">
        <v>0</v>
      </c>
      <c r="R487" t="n">
        <v>0</v>
      </c>
      <c r="S487" t="n">
        <v>0</v>
      </c>
      <c r="T487" t="n">
        <v>0</v>
      </c>
      <c r="U487" s="2" t="inlineStr"/>
    </row>
    <row r="488" ht="15" customHeight="1">
      <c r="A488" t="inlineStr">
        <is>
          <t>A 4906-2026</t>
        </is>
      </c>
      <c r="B488" t="inlineStr">
        <is>
          <t>avverkningsanmälan</t>
        </is>
      </c>
      <c r="C488" t="inlineStr">
        <is>
          <t>Föryngringsavverkning</t>
        </is>
      </c>
      <c r="D488" s="1" t="n">
        <v>46048</v>
      </c>
      <c r="E488" s="1" t="n">
        <v>46220</v>
      </c>
      <c r="F488" t="inlineStr">
        <is>
          <t>DALARNAS LÄN</t>
        </is>
      </c>
      <c r="G488" t="inlineStr">
        <is>
          <t>MORA</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17237-2026</t>
        </is>
      </c>
      <c r="B489" t="inlineStr">
        <is>
          <t>avverkningsanmälan</t>
        </is>
      </c>
      <c r="C489" t="inlineStr">
        <is>
          <t>Föryngringsavverkning</t>
        </is>
      </c>
      <c r="D489" s="1" t="n">
        <v>46119</v>
      </c>
      <c r="E489" s="1" t="n">
        <v>46220</v>
      </c>
      <c r="F489" t="inlineStr">
        <is>
          <t>DALARNAS LÄN</t>
        </is>
      </c>
      <c r="G489" t="inlineStr">
        <is>
          <t>MORA</t>
        </is>
      </c>
      <c r="H489" t="inlineStr">
        <is>
          <t>Bergvik skog öst AB</t>
        </is>
      </c>
      <c r="I489" t="n">
        <v>10</v>
      </c>
      <c r="J489" t="n">
        <v>0</v>
      </c>
      <c r="K489" t="n">
        <v>0</v>
      </c>
      <c r="L489" t="n">
        <v>0</v>
      </c>
      <c r="M489" t="n">
        <v>0</v>
      </c>
      <c r="N489" t="n">
        <v>0</v>
      </c>
      <c r="O489" t="n">
        <v>0</v>
      </c>
      <c r="P489" t="n">
        <v>0</v>
      </c>
      <c r="Q489" t="n">
        <v>0</v>
      </c>
      <c r="R489" t="n">
        <v>0</v>
      </c>
      <c r="S489" t="n">
        <v>0</v>
      </c>
      <c r="T489" t="n">
        <v>0</v>
      </c>
      <c r="U489" s="2" t="inlineStr"/>
    </row>
    <row r="490" ht="15" customHeight="1">
      <c r="A490" t="inlineStr">
        <is>
          <t>A 20401-2022</t>
        </is>
      </c>
      <c r="B490" t="inlineStr">
        <is>
          <t>avverkningsanmälan</t>
        </is>
      </c>
      <c r="C490" t="inlineStr">
        <is>
          <t>Föryngringsavverkning</t>
        </is>
      </c>
      <c r="D490" s="1" t="n">
        <v>44699</v>
      </c>
      <c r="E490" s="1" t="n">
        <v>46220</v>
      </c>
      <c r="F490" t="inlineStr">
        <is>
          <t>DALARNAS LÄN</t>
        </is>
      </c>
      <c r="G490" t="inlineStr">
        <is>
          <t>MORA</t>
        </is>
      </c>
      <c r="I490" t="n">
        <v>3.2</v>
      </c>
      <c r="J490" t="n">
        <v>0</v>
      </c>
      <c r="K490" t="n">
        <v>0</v>
      </c>
      <c r="L490" t="n">
        <v>0</v>
      </c>
      <c r="M490" t="n">
        <v>0</v>
      </c>
      <c r="N490" t="n">
        <v>0</v>
      </c>
      <c r="O490" t="n">
        <v>0</v>
      </c>
      <c r="P490" t="n">
        <v>0</v>
      </c>
      <c r="Q490" t="n">
        <v>0</v>
      </c>
      <c r="R490" t="n">
        <v>0</v>
      </c>
      <c r="S490" t="n">
        <v>0</v>
      </c>
      <c r="T490" t="n">
        <v>0</v>
      </c>
      <c r="U490" s="2" t="inlineStr"/>
    </row>
    <row r="491" ht="15" customHeight="1">
      <c r="A491" t="inlineStr">
        <is>
          <t>A 27177-2025</t>
        </is>
      </c>
      <c r="B491" t="inlineStr">
        <is>
          <t>avverkningsanmälan</t>
        </is>
      </c>
      <c r="C491" t="inlineStr">
        <is>
          <t>Föryngringsavverkning</t>
        </is>
      </c>
      <c r="D491" s="1" t="n">
        <v>45812</v>
      </c>
      <c r="E491" s="1" t="n">
        <v>46220</v>
      </c>
      <c r="F491" t="inlineStr">
        <is>
          <t>DALARNAS LÄN</t>
        </is>
      </c>
      <c r="G491" t="inlineStr">
        <is>
          <t>MORA</t>
        </is>
      </c>
      <c r="H491" t="inlineStr">
        <is>
          <t>Bergvik skog öst AB</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58892-2023</t>
        </is>
      </c>
      <c r="B492" t="inlineStr">
        <is>
          <t>avverkningsanmälan</t>
        </is>
      </c>
      <c r="C492" t="inlineStr">
        <is>
          <t>Föryngringsavverkning</t>
        </is>
      </c>
      <c r="D492" s="1" t="n">
        <v>45252</v>
      </c>
      <c r="E492" s="1" t="n">
        <v>46220</v>
      </c>
      <c r="F492" t="inlineStr">
        <is>
          <t>DALARNAS LÄN</t>
        </is>
      </c>
      <c r="G492" t="inlineStr">
        <is>
          <t>MORA</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42085-2024</t>
        </is>
      </c>
      <c r="B493" t="inlineStr">
        <is>
          <t>avverkningsanmälan</t>
        </is>
      </c>
      <c r="C493" t="inlineStr">
        <is>
          <t>Föryngringsavverkning</t>
        </is>
      </c>
      <c r="D493" s="1" t="n">
        <v>45562</v>
      </c>
      <c r="E493" s="1" t="n">
        <v>46220</v>
      </c>
      <c r="F493" t="inlineStr">
        <is>
          <t>DALARNAS LÄN</t>
        </is>
      </c>
      <c r="G493" t="inlineStr">
        <is>
          <t>MORA</t>
        </is>
      </c>
      <c r="I493" t="n">
        <v>4.9</v>
      </c>
      <c r="J493" t="n">
        <v>0</v>
      </c>
      <c r="K493" t="n">
        <v>0</v>
      </c>
      <c r="L493" t="n">
        <v>0</v>
      </c>
      <c r="M493" t="n">
        <v>0</v>
      </c>
      <c r="N493" t="n">
        <v>0</v>
      </c>
      <c r="O493" t="n">
        <v>0</v>
      </c>
      <c r="P493" t="n">
        <v>0</v>
      </c>
      <c r="Q493" t="n">
        <v>0</v>
      </c>
      <c r="R493" t="n">
        <v>0</v>
      </c>
      <c r="S493" t="n">
        <v>0</v>
      </c>
      <c r="T493" t="n">
        <v>0</v>
      </c>
      <c r="U493" s="2" t="inlineStr"/>
    </row>
    <row r="494" ht="15" customHeight="1">
      <c r="A494" t="inlineStr">
        <is>
          <t>A 38627-2023</t>
        </is>
      </c>
      <c r="B494" t="inlineStr">
        <is>
          <t>avverkningsanmälan</t>
        </is>
      </c>
      <c r="C494" t="inlineStr">
        <is>
          <t>Föryngringsavverkning</t>
        </is>
      </c>
      <c r="D494" s="1" t="n">
        <v>45162</v>
      </c>
      <c r="E494" s="1" t="n">
        <v>46220</v>
      </c>
      <c r="F494" t="inlineStr">
        <is>
          <t>DALARNAS LÄN</t>
        </is>
      </c>
      <c r="G494" t="inlineStr">
        <is>
          <t>MORA</t>
        </is>
      </c>
      <c r="I494" t="n">
        <v>6.5</v>
      </c>
      <c r="J494" t="n">
        <v>0</v>
      </c>
      <c r="K494" t="n">
        <v>0</v>
      </c>
      <c r="L494" t="n">
        <v>0</v>
      </c>
      <c r="M494" t="n">
        <v>0</v>
      </c>
      <c r="N494" t="n">
        <v>0</v>
      </c>
      <c r="O494" t="n">
        <v>0</v>
      </c>
      <c r="P494" t="n">
        <v>0</v>
      </c>
      <c r="Q494" t="n">
        <v>0</v>
      </c>
      <c r="R494" t="n">
        <v>0</v>
      </c>
      <c r="S494" t="n">
        <v>0</v>
      </c>
      <c r="T494" t="n">
        <v>0</v>
      </c>
      <c r="U494" s="2" t="inlineStr"/>
    </row>
    <row r="495" ht="15" customHeight="1">
      <c r="A495" t="inlineStr">
        <is>
          <t>A 64088-2023</t>
        </is>
      </c>
      <c r="B495" t="inlineStr">
        <is>
          <t>avverkningsanmälan</t>
        </is>
      </c>
      <c r="C495" t="inlineStr">
        <is>
          <t>Föryngringsavverkning</t>
        </is>
      </c>
      <c r="D495" s="1" t="n">
        <v>45279</v>
      </c>
      <c r="E495" s="1" t="n">
        <v>46220</v>
      </c>
      <c r="F495" t="inlineStr">
        <is>
          <t>DALARNAS LÄN</t>
        </is>
      </c>
      <c r="G495" t="inlineStr">
        <is>
          <t>MORA</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2830-2023</t>
        </is>
      </c>
      <c r="B496" t="inlineStr">
        <is>
          <t>avverkningsanmälan</t>
        </is>
      </c>
      <c r="C496" t="inlineStr">
        <is>
          <t>Föryngringsavverkning</t>
        </is>
      </c>
      <c r="D496" s="1" t="n">
        <v>44945</v>
      </c>
      <c r="E496" s="1" t="n">
        <v>46220</v>
      </c>
      <c r="F496" t="inlineStr">
        <is>
          <t>DALARNAS LÄN</t>
        </is>
      </c>
      <c r="G496" t="inlineStr">
        <is>
          <t>MORA</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43566-2023</t>
        </is>
      </c>
      <c r="B497" t="inlineStr">
        <is>
          <t>avverkningsanmälan</t>
        </is>
      </c>
      <c r="C497" t="inlineStr">
        <is>
          <t>Föryngringsavverkning</t>
        </is>
      </c>
      <c r="D497" s="1" t="n">
        <v>45184</v>
      </c>
      <c r="E497" s="1" t="n">
        <v>46220</v>
      </c>
      <c r="F497" t="inlineStr">
        <is>
          <t>DALARNAS LÄN</t>
        </is>
      </c>
      <c r="G497" t="inlineStr">
        <is>
          <t>MORA</t>
        </is>
      </c>
      <c r="H497" t="inlineStr">
        <is>
          <t>Bergvik skog väst AB</t>
        </is>
      </c>
      <c r="I497" t="n">
        <v>4.3</v>
      </c>
      <c r="J497" t="n">
        <v>0</v>
      </c>
      <c r="K497" t="n">
        <v>0</v>
      </c>
      <c r="L497" t="n">
        <v>0</v>
      </c>
      <c r="M497" t="n">
        <v>0</v>
      </c>
      <c r="N497" t="n">
        <v>0</v>
      </c>
      <c r="O497" t="n">
        <v>0</v>
      </c>
      <c r="P497" t="n">
        <v>0</v>
      </c>
      <c r="Q497" t="n">
        <v>0</v>
      </c>
      <c r="R497" t="n">
        <v>0</v>
      </c>
      <c r="S497" t="n">
        <v>0</v>
      </c>
      <c r="T497" t="n">
        <v>0</v>
      </c>
      <c r="U497" s="2" t="inlineStr"/>
    </row>
    <row r="498" ht="15" customHeight="1">
      <c r="A498" t="inlineStr">
        <is>
          <t>A 20649-2026</t>
        </is>
      </c>
      <c r="B498" t="inlineStr">
        <is>
          <t>avverkningsanmälan</t>
        </is>
      </c>
      <c r="C498" t="inlineStr">
        <is>
          <t>Föryngringsavverkning</t>
        </is>
      </c>
      <c r="D498" s="1" t="n">
        <v>46141</v>
      </c>
      <c r="E498" s="1" t="n">
        <v>46220</v>
      </c>
      <c r="F498" t="inlineStr">
        <is>
          <t>DALARNAS LÄN</t>
        </is>
      </c>
      <c r="G498" t="inlineStr">
        <is>
          <t>MORA</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20655-2026</t>
        </is>
      </c>
      <c r="B499" t="inlineStr">
        <is>
          <t>avverkningsanmälan</t>
        </is>
      </c>
      <c r="C499" t="inlineStr">
        <is>
          <t>Föryngringsavverkning</t>
        </is>
      </c>
      <c r="D499" s="1" t="n">
        <v>46141</v>
      </c>
      <c r="E499" s="1" t="n">
        <v>46220</v>
      </c>
      <c r="F499" t="inlineStr">
        <is>
          <t>DALARNAS LÄN</t>
        </is>
      </c>
      <c r="G499" t="inlineStr">
        <is>
          <t>MORA</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26425-2026</t>
        </is>
      </c>
      <c r="B500" t="inlineStr">
        <is>
          <t>avverkningsanmälan</t>
        </is>
      </c>
      <c r="C500" t="inlineStr">
        <is>
          <t>Föryngringsavverkning</t>
        </is>
      </c>
      <c r="D500" s="1" t="n">
        <v>46183</v>
      </c>
      <c r="E500" s="1" t="n">
        <v>46220</v>
      </c>
      <c r="F500" t="inlineStr">
        <is>
          <t>DALARNAS LÄN</t>
        </is>
      </c>
      <c r="G500" t="inlineStr">
        <is>
          <t>MORA</t>
        </is>
      </c>
      <c r="H500" t="inlineStr">
        <is>
          <t>Bergvik skog väst AB</t>
        </is>
      </c>
      <c r="I500" t="n">
        <v>2.5</v>
      </c>
      <c r="J500" t="n">
        <v>0</v>
      </c>
      <c r="K500" t="n">
        <v>0</v>
      </c>
      <c r="L500" t="n">
        <v>0</v>
      </c>
      <c r="M500" t="n">
        <v>0</v>
      </c>
      <c r="N500" t="n">
        <v>0</v>
      </c>
      <c r="O500" t="n">
        <v>0</v>
      </c>
      <c r="P500" t="n">
        <v>0</v>
      </c>
      <c r="Q500" t="n">
        <v>0</v>
      </c>
      <c r="R500" t="n">
        <v>0</v>
      </c>
      <c r="S500" t="n">
        <v>0</v>
      </c>
      <c r="T500" t="n">
        <v>0</v>
      </c>
      <c r="U500" s="2" t="inlineStr"/>
    </row>
    <row r="501" ht="15" customHeight="1">
      <c r="A501" t="inlineStr">
        <is>
          <t>A 5491-2023</t>
        </is>
      </c>
      <c r="B501" t="inlineStr">
        <is>
          <t>avverkningsanmälan</t>
        </is>
      </c>
      <c r="C501" t="inlineStr">
        <is>
          <t>Föryngringsavverkning</t>
        </is>
      </c>
      <c r="D501" s="1" t="n">
        <v>44957</v>
      </c>
      <c r="E501" s="1" t="n">
        <v>46220</v>
      </c>
      <c r="F501" t="inlineStr">
        <is>
          <t>DALARNAS LÄN</t>
        </is>
      </c>
      <c r="G501" t="inlineStr">
        <is>
          <t>MORA</t>
        </is>
      </c>
      <c r="I501" t="n">
        <v>3.5</v>
      </c>
      <c r="J501" t="n">
        <v>0</v>
      </c>
      <c r="K501" t="n">
        <v>0</v>
      </c>
      <c r="L501" t="n">
        <v>0</v>
      </c>
      <c r="M501" t="n">
        <v>0</v>
      </c>
      <c r="N501" t="n">
        <v>0</v>
      </c>
      <c r="O501" t="n">
        <v>0</v>
      </c>
      <c r="P501" t="n">
        <v>0</v>
      </c>
      <c r="Q501" t="n">
        <v>0</v>
      </c>
      <c r="R501" t="n">
        <v>0</v>
      </c>
      <c r="S501" t="n">
        <v>0</v>
      </c>
      <c r="T501" t="n">
        <v>0</v>
      </c>
      <c r="U501" s="2" t="inlineStr"/>
    </row>
    <row r="502" ht="15" customHeight="1">
      <c r="A502" t="inlineStr">
        <is>
          <t>A 5493-2023</t>
        </is>
      </c>
      <c r="B502" t="inlineStr">
        <is>
          <t>avverkningsanmälan</t>
        </is>
      </c>
      <c r="C502" t="inlineStr">
        <is>
          <t>Föryngringsavverkning</t>
        </is>
      </c>
      <c r="D502" s="1" t="n">
        <v>44957</v>
      </c>
      <c r="E502" s="1" t="n">
        <v>46220</v>
      </c>
      <c r="F502" t="inlineStr">
        <is>
          <t>DALARNAS LÄN</t>
        </is>
      </c>
      <c r="G502" t="inlineStr">
        <is>
          <t>MORA</t>
        </is>
      </c>
      <c r="H502" t="inlineStr">
        <is>
          <t>Allmännings- och besparingsskogar</t>
        </is>
      </c>
      <c r="I502" t="n">
        <v>14.9</v>
      </c>
      <c r="J502" t="n">
        <v>0</v>
      </c>
      <c r="K502" t="n">
        <v>0</v>
      </c>
      <c r="L502" t="n">
        <v>0</v>
      </c>
      <c r="M502" t="n">
        <v>0</v>
      </c>
      <c r="N502" t="n">
        <v>0</v>
      </c>
      <c r="O502" t="n">
        <v>0</v>
      </c>
      <c r="P502" t="n">
        <v>0</v>
      </c>
      <c r="Q502" t="n">
        <v>0</v>
      </c>
      <c r="R502" t="n">
        <v>0</v>
      </c>
      <c r="S502" t="n">
        <v>0</v>
      </c>
      <c r="T502" t="n">
        <v>0</v>
      </c>
      <c r="U502" s="2" t="inlineStr"/>
    </row>
    <row r="503" ht="15" customHeight="1">
      <c r="A503" t="inlineStr">
        <is>
          <t>A 48825-2023</t>
        </is>
      </c>
      <c r="B503" t="inlineStr">
        <is>
          <t>avverkningsanmälan</t>
        </is>
      </c>
      <c r="C503" t="inlineStr">
        <is>
          <t>Föryngringsavverkning</t>
        </is>
      </c>
      <c r="D503" s="1" t="n">
        <v>45203</v>
      </c>
      <c r="E503" s="1" t="n">
        <v>46220</v>
      </c>
      <c r="F503" t="inlineStr">
        <is>
          <t>DALARNAS LÄN</t>
        </is>
      </c>
      <c r="G503" t="inlineStr">
        <is>
          <t>MORA</t>
        </is>
      </c>
      <c r="I503" t="n">
        <v>7.9</v>
      </c>
      <c r="J503" t="n">
        <v>0</v>
      </c>
      <c r="K503" t="n">
        <v>0</v>
      </c>
      <c r="L503" t="n">
        <v>0</v>
      </c>
      <c r="M503" t="n">
        <v>0</v>
      </c>
      <c r="N503" t="n">
        <v>0</v>
      </c>
      <c r="O503" t="n">
        <v>0</v>
      </c>
      <c r="P503" t="n">
        <v>0</v>
      </c>
      <c r="Q503" t="n">
        <v>0</v>
      </c>
      <c r="R503" t="n">
        <v>0</v>
      </c>
      <c r="S503" t="n">
        <v>0</v>
      </c>
      <c r="T503" t="n">
        <v>0</v>
      </c>
      <c r="U503" s="2" t="inlineStr"/>
    </row>
    <row r="504" ht="15" customHeight="1">
      <c r="A504" t="inlineStr">
        <is>
          <t>A 12987-2024</t>
        </is>
      </c>
      <c r="B504" t="inlineStr">
        <is>
          <t>avverkningsanmälan</t>
        </is>
      </c>
      <c r="C504" t="inlineStr">
        <is>
          <t>Föryngringsavverkning</t>
        </is>
      </c>
      <c r="D504" s="1" t="n">
        <v>45385</v>
      </c>
      <c r="E504" s="1" t="n">
        <v>46220</v>
      </c>
      <c r="F504" t="inlineStr">
        <is>
          <t>DALARNAS LÄN</t>
        </is>
      </c>
      <c r="G504" t="inlineStr">
        <is>
          <t>MORA</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20491-2026</t>
        </is>
      </c>
      <c r="B505" t="inlineStr">
        <is>
          <t>avverkningsanmälan</t>
        </is>
      </c>
      <c r="C505" t="inlineStr">
        <is>
          <t>Föryngringsavverkning</t>
        </is>
      </c>
      <c r="D505" s="1" t="n">
        <v>46140</v>
      </c>
      <c r="E505" s="1" t="n">
        <v>46220</v>
      </c>
      <c r="F505" t="inlineStr">
        <is>
          <t>DALARNAS LÄN</t>
        </is>
      </c>
      <c r="G505" t="inlineStr">
        <is>
          <t>MORA</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20652-2026</t>
        </is>
      </c>
      <c r="B506" t="inlineStr">
        <is>
          <t>avverkningsanmälan</t>
        </is>
      </c>
      <c r="C506" t="inlineStr">
        <is>
          <t>Föryngringsavverkning</t>
        </is>
      </c>
      <c r="D506" s="1" t="n">
        <v>46141</v>
      </c>
      <c r="E506" s="1" t="n">
        <v>46220</v>
      </c>
      <c r="F506" t="inlineStr">
        <is>
          <t>DALARNAS LÄN</t>
        </is>
      </c>
      <c r="G506" t="inlineStr">
        <is>
          <t>MORA</t>
        </is>
      </c>
      <c r="I506" t="n">
        <v>3</v>
      </c>
      <c r="J506" t="n">
        <v>0</v>
      </c>
      <c r="K506" t="n">
        <v>0</v>
      </c>
      <c r="L506" t="n">
        <v>0</v>
      </c>
      <c r="M506" t="n">
        <v>0</v>
      </c>
      <c r="N506" t="n">
        <v>0</v>
      </c>
      <c r="O506" t="n">
        <v>0</v>
      </c>
      <c r="P506" t="n">
        <v>0</v>
      </c>
      <c r="Q506" t="n">
        <v>0</v>
      </c>
      <c r="R506" t="n">
        <v>0</v>
      </c>
      <c r="S506" t="n">
        <v>0</v>
      </c>
      <c r="T506" t="n">
        <v>0</v>
      </c>
      <c r="U506" s="2" t="inlineStr"/>
    </row>
    <row r="507" ht="15" customHeight="1">
      <c r="A507" t="inlineStr">
        <is>
          <t>A 29193-2023</t>
        </is>
      </c>
      <c r="B507" t="inlineStr">
        <is>
          <t>avverkningsanmälan</t>
        </is>
      </c>
      <c r="C507" t="inlineStr">
        <is>
          <t>Föryngringsavverkning</t>
        </is>
      </c>
      <c r="D507" s="1" t="n">
        <v>45105</v>
      </c>
      <c r="E507" s="1" t="n">
        <v>46220</v>
      </c>
      <c r="F507" t="inlineStr">
        <is>
          <t>DALARNAS LÄN</t>
        </is>
      </c>
      <c r="G507" t="inlineStr">
        <is>
          <t>MORA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18444-2024</t>
        </is>
      </c>
      <c r="B508" t="inlineStr">
        <is>
          <t>avverkningsanmälan</t>
        </is>
      </c>
      <c r="C508" t="inlineStr">
        <is>
          <t>Föryngringsavverkning</t>
        </is>
      </c>
      <c r="D508" s="1" t="n">
        <v>45425</v>
      </c>
      <c r="E508" s="1" t="n">
        <v>46220</v>
      </c>
      <c r="F508" t="inlineStr">
        <is>
          <t>DALARNAS LÄN</t>
        </is>
      </c>
      <c r="G508" t="inlineStr">
        <is>
          <t>MORA</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20656-2026</t>
        </is>
      </c>
      <c r="B509" t="inlineStr">
        <is>
          <t>avverkningsanmälan</t>
        </is>
      </c>
      <c r="C509" t="inlineStr">
        <is>
          <t>Föryngringsavverkning</t>
        </is>
      </c>
      <c r="D509" s="1" t="n">
        <v>46141</v>
      </c>
      <c r="E509" s="1" t="n">
        <v>46220</v>
      </c>
      <c r="F509" t="inlineStr">
        <is>
          <t>DALARNAS LÄN</t>
        </is>
      </c>
      <c r="G509" t="inlineStr">
        <is>
          <t>MORA</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20650-2026</t>
        </is>
      </c>
      <c r="B510" t="inlineStr">
        <is>
          <t>avverkningsanmälan</t>
        </is>
      </c>
      <c r="C510" t="inlineStr">
        <is>
          <t>Föryngringsavverkning</t>
        </is>
      </c>
      <c r="D510" s="1" t="n">
        <v>46141</v>
      </c>
      <c r="E510" s="1" t="n">
        <v>46220</v>
      </c>
      <c r="F510" t="inlineStr">
        <is>
          <t>DALARNAS LÄN</t>
        </is>
      </c>
      <c r="G510" t="inlineStr">
        <is>
          <t>MORA</t>
        </is>
      </c>
      <c r="I510" t="n">
        <v>9.9</v>
      </c>
      <c r="J510" t="n">
        <v>0</v>
      </c>
      <c r="K510" t="n">
        <v>0</v>
      </c>
      <c r="L510" t="n">
        <v>0</v>
      </c>
      <c r="M510" t="n">
        <v>0</v>
      </c>
      <c r="N510" t="n">
        <v>0</v>
      </c>
      <c r="O510" t="n">
        <v>0</v>
      </c>
      <c r="P510" t="n">
        <v>0</v>
      </c>
      <c r="Q510" t="n">
        <v>0</v>
      </c>
      <c r="R510" t="n">
        <v>0</v>
      </c>
      <c r="S510" t="n">
        <v>0</v>
      </c>
      <c r="T510" t="n">
        <v>0</v>
      </c>
      <c r="U510" s="2" t="inlineStr"/>
    </row>
    <row r="511" ht="15" customHeight="1">
      <c r="A511" t="inlineStr">
        <is>
          <t>A 20677-2026</t>
        </is>
      </c>
      <c r="B511" t="inlineStr">
        <is>
          <t>avverkningsanmälan</t>
        </is>
      </c>
      <c r="C511" t="inlineStr">
        <is>
          <t>Föryngringsavverkning</t>
        </is>
      </c>
      <c r="D511" s="1" t="n">
        <v>46141</v>
      </c>
      <c r="E511" s="1" t="n">
        <v>46220</v>
      </c>
      <c r="F511" t="inlineStr">
        <is>
          <t>DALARNAS LÄN</t>
        </is>
      </c>
      <c r="G511" t="inlineStr">
        <is>
          <t>MORA</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35551-2023</t>
        </is>
      </c>
      <c r="B512" t="inlineStr">
        <is>
          <t>avverkningsanmälan</t>
        </is>
      </c>
      <c r="C512" t="inlineStr">
        <is>
          <t>Föryngringsavverkning</t>
        </is>
      </c>
      <c r="D512" s="1" t="n">
        <v>45147</v>
      </c>
      <c r="E512" s="1" t="n">
        <v>46220</v>
      </c>
      <c r="F512" t="inlineStr">
        <is>
          <t>DALARNAS LÄN</t>
        </is>
      </c>
      <c r="G512" t="inlineStr">
        <is>
          <t>MORA</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59174-2023</t>
        </is>
      </c>
      <c r="B513" t="inlineStr">
        <is>
          <t>avverkningsanmälan</t>
        </is>
      </c>
      <c r="C513" t="inlineStr">
        <is>
          <t>Föryngringsavverkning</t>
        </is>
      </c>
      <c r="D513" s="1" t="n">
        <v>45253</v>
      </c>
      <c r="E513" s="1" t="n">
        <v>46220</v>
      </c>
      <c r="F513" t="inlineStr">
        <is>
          <t>DALARNAS LÄN</t>
        </is>
      </c>
      <c r="G513" t="inlineStr">
        <is>
          <t>MORA</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45355-2024</t>
        </is>
      </c>
      <c r="B514" t="inlineStr">
        <is>
          <t>avverkningsanmälan</t>
        </is>
      </c>
      <c r="C514" t="inlineStr">
        <is>
          <t>Föryngringsavverkning</t>
        </is>
      </c>
      <c r="D514" s="1" t="n">
        <v>45576</v>
      </c>
      <c r="E514" s="1" t="n">
        <v>46220</v>
      </c>
      <c r="F514" t="inlineStr">
        <is>
          <t>DALARNAS LÄN</t>
        </is>
      </c>
      <c r="G514" t="inlineStr">
        <is>
          <t>MORA</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55331-2022</t>
        </is>
      </c>
      <c r="B515" t="inlineStr">
        <is>
          <t>avverkningsanmälan</t>
        </is>
      </c>
      <c r="C515" t="inlineStr">
        <is>
          <t>Föryngringsavverkning</t>
        </is>
      </c>
      <c r="D515" s="1" t="n">
        <v>44887</v>
      </c>
      <c r="E515" s="1" t="n">
        <v>46220</v>
      </c>
      <c r="F515" t="inlineStr">
        <is>
          <t>DALARNAS LÄN</t>
        </is>
      </c>
      <c r="G515" t="inlineStr">
        <is>
          <t>MORA</t>
        </is>
      </c>
      <c r="H515" t="inlineStr">
        <is>
          <t>Bergvik skog väst AB</t>
        </is>
      </c>
      <c r="I515" t="n">
        <v>2.2</v>
      </c>
      <c r="J515" t="n">
        <v>0</v>
      </c>
      <c r="K515" t="n">
        <v>0</v>
      </c>
      <c r="L515" t="n">
        <v>0</v>
      </c>
      <c r="M515" t="n">
        <v>0</v>
      </c>
      <c r="N515" t="n">
        <v>0</v>
      </c>
      <c r="O515" t="n">
        <v>0</v>
      </c>
      <c r="P515" t="n">
        <v>0</v>
      </c>
      <c r="Q515" t="n">
        <v>0</v>
      </c>
      <c r="R515" t="n">
        <v>0</v>
      </c>
      <c r="S515" t="n">
        <v>0</v>
      </c>
      <c r="T515" t="n">
        <v>0</v>
      </c>
      <c r="U515" s="2" t="inlineStr"/>
    </row>
    <row r="516" ht="15" customHeight="1">
      <c r="A516" t="inlineStr">
        <is>
          <t>A 4744-2026</t>
        </is>
      </c>
      <c r="B516" t="inlineStr">
        <is>
          <t>avverkningsanmälan</t>
        </is>
      </c>
      <c r="C516" t="inlineStr">
        <is>
          <t>Föryngringsavverkning</t>
        </is>
      </c>
      <c r="D516" s="1" t="n">
        <v>46048</v>
      </c>
      <c r="E516" s="1" t="n">
        <v>46220</v>
      </c>
      <c r="F516" t="inlineStr">
        <is>
          <t>DALARNAS LÄN</t>
        </is>
      </c>
      <c r="G516" t="inlineStr">
        <is>
          <t>MORA</t>
        </is>
      </c>
      <c r="I516" t="n">
        <v>15.8</v>
      </c>
      <c r="J516" t="n">
        <v>0</v>
      </c>
      <c r="K516" t="n">
        <v>0</v>
      </c>
      <c r="L516" t="n">
        <v>0</v>
      </c>
      <c r="M516" t="n">
        <v>0</v>
      </c>
      <c r="N516" t="n">
        <v>0</v>
      </c>
      <c r="O516" t="n">
        <v>0</v>
      </c>
      <c r="P516" t="n">
        <v>0</v>
      </c>
      <c r="Q516" t="n">
        <v>0</v>
      </c>
      <c r="R516" t="n">
        <v>0</v>
      </c>
      <c r="S516" t="n">
        <v>0</v>
      </c>
      <c r="T516" t="n">
        <v>0</v>
      </c>
      <c r="U516" s="2" t="inlineStr"/>
    </row>
    <row r="517" ht="15" customHeight="1">
      <c r="A517" t="inlineStr">
        <is>
          <t>A 44177-2023</t>
        </is>
      </c>
      <c r="B517" t="inlineStr">
        <is>
          <t>avverkningsanmälan</t>
        </is>
      </c>
      <c r="C517" t="inlineStr">
        <is>
          <t>Föryngringsavverkning</t>
        </is>
      </c>
      <c r="D517" s="1" t="n">
        <v>45188</v>
      </c>
      <c r="E517" s="1" t="n">
        <v>46220</v>
      </c>
      <c r="F517" t="inlineStr">
        <is>
          <t>DALARNAS LÄN</t>
        </is>
      </c>
      <c r="G517" t="inlineStr">
        <is>
          <t>MORA</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40949-2023</t>
        </is>
      </c>
      <c r="B518" t="inlineStr">
        <is>
          <t>avverkningsanmälan</t>
        </is>
      </c>
      <c r="C518" t="inlineStr">
        <is>
          <t>Avverkning för annat ändamål</t>
        </is>
      </c>
      <c r="D518" s="1" t="n">
        <v>45173</v>
      </c>
      <c r="E518" s="1" t="n">
        <v>46220</v>
      </c>
      <c r="F518" t="inlineStr">
        <is>
          <t>DALARNAS LÄN</t>
        </is>
      </c>
      <c r="G518" t="inlineStr">
        <is>
          <t>MORA</t>
        </is>
      </c>
      <c r="H518" t="inlineStr">
        <is>
          <t>Kyrkan</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5216-2025</t>
        </is>
      </c>
      <c r="B519" t="inlineStr">
        <is>
          <t>avverkningsanmälan</t>
        </is>
      </c>
      <c r="C519" t="inlineStr">
        <is>
          <t>Föryngringsavverkning</t>
        </is>
      </c>
      <c r="D519" s="1" t="n">
        <v>45691</v>
      </c>
      <c r="E519" s="1" t="n">
        <v>46220</v>
      </c>
      <c r="F519" t="inlineStr">
        <is>
          <t>DALARNAS LÄN</t>
        </is>
      </c>
      <c r="G519" t="inlineStr">
        <is>
          <t>MORA</t>
        </is>
      </c>
      <c r="I519" t="n">
        <v>2.5</v>
      </c>
      <c r="J519" t="n">
        <v>0</v>
      </c>
      <c r="K519" t="n">
        <v>0</v>
      </c>
      <c r="L519" t="n">
        <v>0</v>
      </c>
      <c r="M519" t="n">
        <v>0</v>
      </c>
      <c r="N519" t="n">
        <v>0</v>
      </c>
      <c r="O519" t="n">
        <v>0</v>
      </c>
      <c r="P519" t="n">
        <v>0</v>
      </c>
      <c r="Q519" t="n">
        <v>0</v>
      </c>
      <c r="R519" t="n">
        <v>0</v>
      </c>
      <c r="S519" t="n">
        <v>0</v>
      </c>
      <c r="T519" t="n">
        <v>0</v>
      </c>
      <c r="U519" s="2" t="inlineStr"/>
    </row>
    <row r="520" ht="15" customHeight="1">
      <c r="A520" t="inlineStr">
        <is>
          <t>A 20594-2025</t>
        </is>
      </c>
      <c r="B520" t="inlineStr">
        <is>
          <t>avverkningsanmälan</t>
        </is>
      </c>
      <c r="C520" t="inlineStr">
        <is>
          <t>Föryngringsavverkning</t>
        </is>
      </c>
      <c r="D520" s="1" t="n">
        <v>45775</v>
      </c>
      <c r="E520" s="1" t="n">
        <v>46220</v>
      </c>
      <c r="F520" t="inlineStr">
        <is>
          <t>DALARNAS LÄN</t>
        </is>
      </c>
      <c r="G520" t="inlineStr">
        <is>
          <t>MORA</t>
        </is>
      </c>
      <c r="I520" t="n">
        <v>8.199999999999999</v>
      </c>
      <c r="J520" t="n">
        <v>0</v>
      </c>
      <c r="K520" t="n">
        <v>0</v>
      </c>
      <c r="L520" t="n">
        <v>0</v>
      </c>
      <c r="M520" t="n">
        <v>0</v>
      </c>
      <c r="N520" t="n">
        <v>0</v>
      </c>
      <c r="O520" t="n">
        <v>0</v>
      </c>
      <c r="P520" t="n">
        <v>0</v>
      </c>
      <c r="Q520" t="n">
        <v>0</v>
      </c>
      <c r="R520" t="n">
        <v>0</v>
      </c>
      <c r="S520" t="n">
        <v>0</v>
      </c>
      <c r="T520" t="n">
        <v>0</v>
      </c>
      <c r="U520" s="2" t="inlineStr"/>
    </row>
    <row r="521" ht="15" customHeight="1">
      <c r="A521" t="inlineStr">
        <is>
          <t>A 45674-2024</t>
        </is>
      </c>
      <c r="B521" t="inlineStr">
        <is>
          <t>avverkningsanmälan</t>
        </is>
      </c>
      <c r="C521" t="inlineStr">
        <is>
          <t>Föryngringsavverkning</t>
        </is>
      </c>
      <c r="D521" s="1" t="n">
        <v>45573</v>
      </c>
      <c r="E521" s="1" t="n">
        <v>46220</v>
      </c>
      <c r="F521" t="inlineStr">
        <is>
          <t>DALARNAS LÄN</t>
        </is>
      </c>
      <c r="G521" t="inlineStr">
        <is>
          <t>MORA</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26761-2026</t>
        </is>
      </c>
      <c r="B522" t="inlineStr">
        <is>
          <t>avverkningsanmälan</t>
        </is>
      </c>
      <c r="C522" t="inlineStr">
        <is>
          <t>Föryngringsavverkning</t>
        </is>
      </c>
      <c r="D522" s="1" t="n">
        <v>46184</v>
      </c>
      <c r="E522" s="1" t="n">
        <v>46220</v>
      </c>
      <c r="F522" t="inlineStr">
        <is>
          <t>DALARNAS LÄN</t>
        </is>
      </c>
      <c r="G522" t="inlineStr">
        <is>
          <t>MORA</t>
        </is>
      </c>
      <c r="I522" t="n">
        <v>3.8</v>
      </c>
      <c r="J522" t="n">
        <v>0</v>
      </c>
      <c r="K522" t="n">
        <v>0</v>
      </c>
      <c r="L522" t="n">
        <v>0</v>
      </c>
      <c r="M522" t="n">
        <v>0</v>
      </c>
      <c r="N522" t="n">
        <v>0</v>
      </c>
      <c r="O522" t="n">
        <v>0</v>
      </c>
      <c r="P522" t="n">
        <v>0</v>
      </c>
      <c r="Q522" t="n">
        <v>0</v>
      </c>
      <c r="R522" t="n">
        <v>0</v>
      </c>
      <c r="S522" t="n">
        <v>0</v>
      </c>
      <c r="T522" t="n">
        <v>0</v>
      </c>
      <c r="U522" s="2" t="inlineStr"/>
    </row>
    <row r="523" ht="15" customHeight="1">
      <c r="A523" t="inlineStr">
        <is>
          <t>A 26827-2026</t>
        </is>
      </c>
      <c r="B523" t="inlineStr">
        <is>
          <t>avverkningsanmälan</t>
        </is>
      </c>
      <c r="C523" t="inlineStr">
        <is>
          <t>Föryngringsavverkning</t>
        </is>
      </c>
      <c r="D523" s="1" t="n">
        <v>46185</v>
      </c>
      <c r="E523" s="1" t="n">
        <v>46220</v>
      </c>
      <c r="F523" t="inlineStr">
        <is>
          <t>DALARNAS LÄN</t>
        </is>
      </c>
      <c r="G523" t="inlineStr">
        <is>
          <t>MORA</t>
        </is>
      </c>
      <c r="H523" t="inlineStr">
        <is>
          <t>Bergvik skog öst AB</t>
        </is>
      </c>
      <c r="I523" t="n">
        <v>2.9</v>
      </c>
      <c r="J523" t="n">
        <v>0</v>
      </c>
      <c r="K523" t="n">
        <v>0</v>
      </c>
      <c r="L523" t="n">
        <v>0</v>
      </c>
      <c r="M523" t="n">
        <v>0</v>
      </c>
      <c r="N523" t="n">
        <v>0</v>
      </c>
      <c r="O523" t="n">
        <v>0</v>
      </c>
      <c r="P523" t="n">
        <v>0</v>
      </c>
      <c r="Q523" t="n">
        <v>0</v>
      </c>
      <c r="R523" t="n">
        <v>0</v>
      </c>
      <c r="S523" t="n">
        <v>0</v>
      </c>
      <c r="T523" t="n">
        <v>0</v>
      </c>
      <c r="U523" s="2" t="inlineStr"/>
    </row>
    <row r="524" ht="15" customHeight="1">
      <c r="A524" t="inlineStr">
        <is>
          <t>A 20972-2026</t>
        </is>
      </c>
      <c r="B524" t="inlineStr">
        <is>
          <t>avverkningsanmälan</t>
        </is>
      </c>
      <c r="C524" t="inlineStr">
        <is>
          <t>Föryngringsavverkning</t>
        </is>
      </c>
      <c r="D524" s="1" t="n">
        <v>46142</v>
      </c>
      <c r="E524" s="1" t="n">
        <v>46220</v>
      </c>
      <c r="F524" t="inlineStr">
        <is>
          <t>DALARNAS LÄN</t>
        </is>
      </c>
      <c r="G524" t="inlineStr">
        <is>
          <t>MORA</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18139-2025</t>
        </is>
      </c>
      <c r="B525" t="inlineStr">
        <is>
          <t>avverkningsanmälan</t>
        </is>
      </c>
      <c r="C525" t="inlineStr">
        <is>
          <t>Föryngringsavverkning</t>
        </is>
      </c>
      <c r="D525" s="1" t="n">
        <v>45761</v>
      </c>
      <c r="E525" s="1" t="n">
        <v>46220</v>
      </c>
      <c r="F525" t="inlineStr">
        <is>
          <t>DALARNAS LÄN</t>
        </is>
      </c>
      <c r="G525" t="inlineStr">
        <is>
          <t>MORA</t>
        </is>
      </c>
      <c r="H525" t="inlineStr">
        <is>
          <t>Bergvik skog öst AB</t>
        </is>
      </c>
      <c r="I525" t="n">
        <v>3</v>
      </c>
      <c r="J525" t="n">
        <v>0</v>
      </c>
      <c r="K525" t="n">
        <v>0</v>
      </c>
      <c r="L525" t="n">
        <v>0</v>
      </c>
      <c r="M525" t="n">
        <v>0</v>
      </c>
      <c r="N525" t="n">
        <v>0</v>
      </c>
      <c r="O525" t="n">
        <v>0</v>
      </c>
      <c r="P525" t="n">
        <v>0</v>
      </c>
      <c r="Q525" t="n">
        <v>0</v>
      </c>
      <c r="R525" t="n">
        <v>0</v>
      </c>
      <c r="S525" t="n">
        <v>0</v>
      </c>
      <c r="T525" t="n">
        <v>0</v>
      </c>
      <c r="U525" s="2" t="inlineStr"/>
    </row>
    <row r="526" ht="15" customHeight="1">
      <c r="A526" t="inlineStr">
        <is>
          <t>A 20978-2026</t>
        </is>
      </c>
      <c r="B526" t="inlineStr">
        <is>
          <t>avverkningsanmälan</t>
        </is>
      </c>
      <c r="C526" t="inlineStr">
        <is>
          <t>Föryngringsavverkning</t>
        </is>
      </c>
      <c r="D526" s="1" t="n">
        <v>46142</v>
      </c>
      <c r="E526" s="1" t="n">
        <v>46220</v>
      </c>
      <c r="F526" t="inlineStr">
        <is>
          <t>DALARNAS LÄN</t>
        </is>
      </c>
      <c r="G526" t="inlineStr">
        <is>
          <t>MORA</t>
        </is>
      </c>
      <c r="H526" t="inlineStr">
        <is>
          <t>Bergvik skog öst AB</t>
        </is>
      </c>
      <c r="I526" t="n">
        <v>5.2</v>
      </c>
      <c r="J526" t="n">
        <v>0</v>
      </c>
      <c r="K526" t="n">
        <v>0</v>
      </c>
      <c r="L526" t="n">
        <v>0</v>
      </c>
      <c r="M526" t="n">
        <v>0</v>
      </c>
      <c r="N526" t="n">
        <v>0</v>
      </c>
      <c r="O526" t="n">
        <v>0</v>
      </c>
      <c r="P526" t="n">
        <v>0</v>
      </c>
      <c r="Q526" t="n">
        <v>0</v>
      </c>
      <c r="R526" t="n">
        <v>0</v>
      </c>
      <c r="S526" t="n">
        <v>0</v>
      </c>
      <c r="T526" t="n">
        <v>0</v>
      </c>
      <c r="U526" s="2" t="inlineStr"/>
    </row>
    <row r="527" ht="15" customHeight="1">
      <c r="A527" t="inlineStr">
        <is>
          <t>A 57999-2023</t>
        </is>
      </c>
      <c r="B527" t="inlineStr">
        <is>
          <t>avverkningsanmälan</t>
        </is>
      </c>
      <c r="C527" t="inlineStr">
        <is>
          <t>Föryngringsavverkning</t>
        </is>
      </c>
      <c r="D527" s="1" t="n">
        <v>45247</v>
      </c>
      <c r="E527" s="1" t="n">
        <v>46220</v>
      </c>
      <c r="F527" t="inlineStr">
        <is>
          <t>DALARNAS LÄN</t>
        </is>
      </c>
      <c r="G527" t="inlineStr">
        <is>
          <t>MORA</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20837-2026</t>
        </is>
      </c>
      <c r="B528" t="inlineStr">
        <is>
          <t>avverkningsanmälan</t>
        </is>
      </c>
      <c r="C528" t="inlineStr">
        <is>
          <t>Föryngringsavverkning</t>
        </is>
      </c>
      <c r="D528" s="1" t="n">
        <v>46142</v>
      </c>
      <c r="E528" s="1" t="n">
        <v>46220</v>
      </c>
      <c r="F528" t="inlineStr">
        <is>
          <t>DALARNAS LÄN</t>
        </is>
      </c>
      <c r="G528" t="inlineStr">
        <is>
          <t>MORA</t>
        </is>
      </c>
      <c r="I528" t="n">
        <v>12.4</v>
      </c>
      <c r="J528" t="n">
        <v>0</v>
      </c>
      <c r="K528" t="n">
        <v>0</v>
      </c>
      <c r="L528" t="n">
        <v>0</v>
      </c>
      <c r="M528" t="n">
        <v>0</v>
      </c>
      <c r="N528" t="n">
        <v>0</v>
      </c>
      <c r="O528" t="n">
        <v>0</v>
      </c>
      <c r="P528" t="n">
        <v>0</v>
      </c>
      <c r="Q528" t="n">
        <v>0</v>
      </c>
      <c r="R528" t="n">
        <v>0</v>
      </c>
      <c r="S528" t="n">
        <v>0</v>
      </c>
      <c r="T528" t="n">
        <v>0</v>
      </c>
      <c r="U528" s="2" t="inlineStr"/>
    </row>
    <row r="529" ht="15" customHeight="1">
      <c r="A529" t="inlineStr">
        <is>
          <t>A 24335-2022</t>
        </is>
      </c>
      <c r="B529" t="inlineStr">
        <is>
          <t>avverkningsanmälan</t>
        </is>
      </c>
      <c r="C529" t="inlineStr">
        <is>
          <t>Föryngringsavverkning</t>
        </is>
      </c>
      <c r="D529" s="1" t="n">
        <v>44725</v>
      </c>
      <c r="E529" s="1" t="n">
        <v>46220</v>
      </c>
      <c r="F529" t="inlineStr">
        <is>
          <t>DALARNAS LÄN</t>
        </is>
      </c>
      <c r="G529" t="inlineStr">
        <is>
          <t>MORA</t>
        </is>
      </c>
      <c r="I529" t="n">
        <v>16</v>
      </c>
      <c r="J529" t="n">
        <v>0</v>
      </c>
      <c r="K529" t="n">
        <v>0</v>
      </c>
      <c r="L529" t="n">
        <v>0</v>
      </c>
      <c r="M529" t="n">
        <v>0</v>
      </c>
      <c r="N529" t="n">
        <v>0</v>
      </c>
      <c r="O529" t="n">
        <v>0</v>
      </c>
      <c r="P529" t="n">
        <v>0</v>
      </c>
      <c r="Q529" t="n">
        <v>0</v>
      </c>
      <c r="R529" t="n">
        <v>0</v>
      </c>
      <c r="S529" t="n">
        <v>0</v>
      </c>
      <c r="T529" t="n">
        <v>0</v>
      </c>
      <c r="U529" s="2" t="inlineStr"/>
    </row>
    <row r="530" ht="15" customHeight="1">
      <c r="A530" t="inlineStr">
        <is>
          <t>A 26774-2026</t>
        </is>
      </c>
      <c r="B530" t="inlineStr">
        <is>
          <t>avverkningsanmälan</t>
        </is>
      </c>
      <c r="C530" t="inlineStr">
        <is>
          <t>Föryngringsavverkning</t>
        </is>
      </c>
      <c r="D530" s="1" t="n">
        <v>46184</v>
      </c>
      <c r="E530" s="1" t="n">
        <v>46220</v>
      </c>
      <c r="F530" t="inlineStr">
        <is>
          <t>DALARNAS LÄN</t>
        </is>
      </c>
      <c r="G530" t="inlineStr">
        <is>
          <t>MORA</t>
        </is>
      </c>
      <c r="H530" t="inlineStr">
        <is>
          <t>Bergvik skog öst AB</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20952-2026</t>
        </is>
      </c>
      <c r="B531" t="inlineStr">
        <is>
          <t>avverkningsanmälan</t>
        </is>
      </c>
      <c r="C531" t="inlineStr">
        <is>
          <t>Föryngringsavverkning</t>
        </is>
      </c>
      <c r="D531" s="1" t="n">
        <v>46142</v>
      </c>
      <c r="E531" s="1" t="n">
        <v>46220</v>
      </c>
      <c r="F531" t="inlineStr">
        <is>
          <t>DALARNAS LÄN</t>
        </is>
      </c>
      <c r="G531" t="inlineStr">
        <is>
          <t>MORA</t>
        </is>
      </c>
      <c r="H531" t="inlineStr">
        <is>
          <t>Bergvik skog öst AB</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42934-2024</t>
        </is>
      </c>
      <c r="B532" t="inlineStr">
        <is>
          <t>avverkningsanmälan</t>
        </is>
      </c>
      <c r="C532" t="inlineStr">
        <is>
          <t>Föryngringsavverkning</t>
        </is>
      </c>
      <c r="D532" s="1" t="n">
        <v>45567</v>
      </c>
      <c r="E532" s="1" t="n">
        <v>46220</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17516-2024</t>
        </is>
      </c>
      <c r="B533" t="inlineStr">
        <is>
          <t>avverkningsanmälan</t>
        </is>
      </c>
      <c r="C533" t="inlineStr">
        <is>
          <t>Föryngringsavverkning</t>
        </is>
      </c>
      <c r="D533" s="1" t="n">
        <v>45415</v>
      </c>
      <c r="E533" s="1" t="n">
        <v>46220</v>
      </c>
      <c r="F533" t="inlineStr">
        <is>
          <t>DALARNAS LÄN</t>
        </is>
      </c>
      <c r="G533" t="inlineStr">
        <is>
          <t>MORA</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49159-2023</t>
        </is>
      </c>
      <c r="B534" t="inlineStr">
        <is>
          <t>avverkningsanmälan</t>
        </is>
      </c>
      <c r="C534" t="inlineStr">
        <is>
          <t>Föryngringsavverkning</t>
        </is>
      </c>
      <c r="D534" s="1" t="n">
        <v>45210</v>
      </c>
      <c r="E534" s="1" t="n">
        <v>46220</v>
      </c>
      <c r="F534" t="inlineStr">
        <is>
          <t>DALARNAS LÄN</t>
        </is>
      </c>
      <c r="G534" t="inlineStr">
        <is>
          <t>MORA</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21391-2026</t>
        </is>
      </c>
      <c r="B535" t="inlineStr">
        <is>
          <t>avverkningsanmälan</t>
        </is>
      </c>
      <c r="C535" t="inlineStr">
        <is>
          <t>Föryngringsavverkning</t>
        </is>
      </c>
      <c r="D535" s="1" t="n">
        <v>46147</v>
      </c>
      <c r="E535" s="1" t="n">
        <v>46220</v>
      </c>
      <c r="F535" t="inlineStr">
        <is>
          <t>DALARNAS LÄN</t>
        </is>
      </c>
      <c r="G535" t="inlineStr">
        <is>
          <t>MORA</t>
        </is>
      </c>
      <c r="H535" t="inlineStr">
        <is>
          <t>Bergvik skog öst AB</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21393-2026</t>
        </is>
      </c>
      <c r="B536" t="inlineStr">
        <is>
          <t>avverkningsanmälan</t>
        </is>
      </c>
      <c r="C536" t="inlineStr">
        <is>
          <t>Föryngringsavverkning</t>
        </is>
      </c>
      <c r="D536" s="1" t="n">
        <v>46147</v>
      </c>
      <c r="E536" s="1" t="n">
        <v>46220</v>
      </c>
      <c r="F536" t="inlineStr">
        <is>
          <t>DALARNAS LÄN</t>
        </is>
      </c>
      <c r="G536" t="inlineStr">
        <is>
          <t>MORA</t>
        </is>
      </c>
      <c r="H536" t="inlineStr">
        <is>
          <t>Bergvik skog öst AB</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29188-2023</t>
        </is>
      </c>
      <c r="B537" t="inlineStr">
        <is>
          <t>avverkningsanmälan</t>
        </is>
      </c>
      <c r="C537" t="inlineStr">
        <is>
          <t>Föryngringsavverkning</t>
        </is>
      </c>
      <c r="D537" s="1" t="n">
        <v>45105</v>
      </c>
      <c r="E537" s="1" t="n">
        <v>46220</v>
      </c>
      <c r="F537" t="inlineStr">
        <is>
          <t>DALARNAS LÄN</t>
        </is>
      </c>
      <c r="G537" t="inlineStr">
        <is>
          <t>MORA</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20634-2026</t>
        </is>
      </c>
      <c r="B538" t="inlineStr">
        <is>
          <t>avverkningsanmälan</t>
        </is>
      </c>
      <c r="C538" t="inlineStr">
        <is>
          <t>Föryngringsavverkning</t>
        </is>
      </c>
      <c r="D538" s="1" t="n">
        <v>46141</v>
      </c>
      <c r="E538" s="1" t="n">
        <v>46220</v>
      </c>
      <c r="F538" t="inlineStr">
        <is>
          <t>DALARNAS LÄN</t>
        </is>
      </c>
      <c r="G538" t="inlineStr">
        <is>
          <t>MORA</t>
        </is>
      </c>
      <c r="H538" t="inlineStr">
        <is>
          <t>Bergvik skog öst AB</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30985-2024</t>
        </is>
      </c>
      <c r="B539" t="inlineStr">
        <is>
          <t>avverkningsanmälan</t>
        </is>
      </c>
      <c r="C539" t="inlineStr">
        <is>
          <t>Föryngringsavverkning</t>
        </is>
      </c>
      <c r="D539" s="1" t="n">
        <v>45499</v>
      </c>
      <c r="E539" s="1" t="n">
        <v>46220</v>
      </c>
      <c r="F539" t="inlineStr">
        <is>
          <t>DALARNAS LÄN</t>
        </is>
      </c>
      <c r="G539" t="inlineStr">
        <is>
          <t>MORA</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21209-2026</t>
        </is>
      </c>
      <c r="B540" t="inlineStr">
        <is>
          <t>avverkningsanmälan</t>
        </is>
      </c>
      <c r="C540" t="inlineStr">
        <is>
          <t>Föryngringsavverkning</t>
        </is>
      </c>
      <c r="D540" s="1" t="n">
        <v>46146</v>
      </c>
      <c r="E540" s="1" t="n">
        <v>46220</v>
      </c>
      <c r="F540" t="inlineStr">
        <is>
          <t>DALARNAS LÄN</t>
        </is>
      </c>
      <c r="G540" t="inlineStr">
        <is>
          <t>MORA</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18202-2024</t>
        </is>
      </c>
      <c r="B541" t="inlineStr">
        <is>
          <t>avverkningsanmälan</t>
        </is>
      </c>
      <c r="C541" t="inlineStr">
        <is>
          <t>Föryngringsavverkning</t>
        </is>
      </c>
      <c r="D541" s="1" t="n">
        <v>45420</v>
      </c>
      <c r="E541" s="1" t="n">
        <v>46220</v>
      </c>
      <c r="F541" t="inlineStr">
        <is>
          <t>DALARNAS LÄN</t>
        </is>
      </c>
      <c r="G541" t="inlineStr">
        <is>
          <t>MORA</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40286-2024</t>
        </is>
      </c>
      <c r="B542" t="inlineStr">
        <is>
          <t>avverkningsanmälan</t>
        </is>
      </c>
      <c r="C542" t="inlineStr">
        <is>
          <t>Föryngringsavverkning</t>
        </is>
      </c>
      <c r="D542" s="1" t="n">
        <v>45554</v>
      </c>
      <c r="E542" s="1" t="n">
        <v>46220</v>
      </c>
      <c r="F542" t="inlineStr">
        <is>
          <t>DALARNAS LÄN</t>
        </is>
      </c>
      <c r="G542" t="inlineStr">
        <is>
          <t>MORA</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27168-2026</t>
        </is>
      </c>
      <c r="B543" t="inlineStr">
        <is>
          <t>avverkningsanmälan</t>
        </is>
      </c>
      <c r="C543" t="inlineStr">
        <is>
          <t>Föryngringsavverkning</t>
        </is>
      </c>
      <c r="D543" s="1" t="n">
        <v>46188</v>
      </c>
      <c r="E543" s="1" t="n">
        <v>46220</v>
      </c>
      <c r="F543" t="inlineStr">
        <is>
          <t>DALARNAS LÄN</t>
        </is>
      </c>
      <c r="G543" t="inlineStr">
        <is>
          <t>MORA</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41169-2023</t>
        </is>
      </c>
      <c r="B544" t="inlineStr">
        <is>
          <t>avverkningsanmälan</t>
        </is>
      </c>
      <c r="C544" t="inlineStr">
        <is>
          <t>Föryngringsavverkning</t>
        </is>
      </c>
      <c r="D544" s="1" t="n">
        <v>45174</v>
      </c>
      <c r="E544" s="1" t="n">
        <v>46220</v>
      </c>
      <c r="F544" t="inlineStr">
        <is>
          <t>DALARNAS LÄN</t>
        </is>
      </c>
      <c r="G544" t="inlineStr">
        <is>
          <t>MORA</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20400-2026</t>
        </is>
      </c>
      <c r="B545" t="inlineStr">
        <is>
          <t>avverkningsanmälan</t>
        </is>
      </c>
      <c r="C545" t="inlineStr">
        <is>
          <t>Föryngringsavverkning</t>
        </is>
      </c>
      <c r="D545" s="1" t="n">
        <v>46139</v>
      </c>
      <c r="E545" s="1" t="n">
        <v>46220</v>
      </c>
      <c r="F545" t="inlineStr">
        <is>
          <t>DALARNAS LÄN</t>
        </is>
      </c>
      <c r="G545" t="inlineStr">
        <is>
          <t>MORA</t>
        </is>
      </c>
      <c r="H545" t="inlineStr">
        <is>
          <t>Bergvik skog öst AB</t>
        </is>
      </c>
      <c r="I545" t="n">
        <v>3.8</v>
      </c>
      <c r="J545" t="n">
        <v>0</v>
      </c>
      <c r="K545" t="n">
        <v>0</v>
      </c>
      <c r="L545" t="n">
        <v>0</v>
      </c>
      <c r="M545" t="n">
        <v>0</v>
      </c>
      <c r="N545" t="n">
        <v>0</v>
      </c>
      <c r="O545" t="n">
        <v>0</v>
      </c>
      <c r="P545" t="n">
        <v>0</v>
      </c>
      <c r="Q545" t="n">
        <v>0</v>
      </c>
      <c r="R545" t="n">
        <v>0</v>
      </c>
      <c r="S545" t="n">
        <v>0</v>
      </c>
      <c r="T545" t="n">
        <v>0</v>
      </c>
      <c r="U545" s="2" t="inlineStr"/>
    </row>
    <row r="546" ht="15" customHeight="1">
      <c r="A546" t="inlineStr">
        <is>
          <t>A 5763-2026</t>
        </is>
      </c>
      <c r="B546" t="inlineStr">
        <is>
          <t>avverkningsanmälan</t>
        </is>
      </c>
      <c r="C546" t="inlineStr">
        <is>
          <t>Föryngringsavverkning</t>
        </is>
      </c>
      <c r="D546" s="1" t="n">
        <v>46051</v>
      </c>
      <c r="E546" s="1" t="n">
        <v>46220</v>
      </c>
      <c r="F546" t="inlineStr">
        <is>
          <t>DALARNAS LÄN</t>
        </is>
      </c>
      <c r="G546" t="inlineStr">
        <is>
          <t>MORA</t>
        </is>
      </c>
      <c r="I546" t="n">
        <v>0.3</v>
      </c>
      <c r="J546" t="n">
        <v>0</v>
      </c>
      <c r="K546" t="n">
        <v>0</v>
      </c>
      <c r="L546" t="n">
        <v>0</v>
      </c>
      <c r="M546" t="n">
        <v>0</v>
      </c>
      <c r="N546" t="n">
        <v>0</v>
      </c>
      <c r="O546" t="n">
        <v>0</v>
      </c>
      <c r="P546" t="n">
        <v>0</v>
      </c>
      <c r="Q546" t="n">
        <v>0</v>
      </c>
      <c r="R546" t="n">
        <v>0</v>
      </c>
      <c r="S546" t="n">
        <v>0</v>
      </c>
      <c r="T546" t="n">
        <v>0</v>
      </c>
      <c r="U546" s="2" t="inlineStr"/>
    </row>
    <row r="547" ht="15" customHeight="1">
      <c r="A547" t="inlineStr">
        <is>
          <t>A 21498-2026</t>
        </is>
      </c>
      <c r="B547" t="inlineStr">
        <is>
          <t>avverkningsanmälan</t>
        </is>
      </c>
      <c r="C547" t="inlineStr">
        <is>
          <t>Föryngringsavverkning</t>
        </is>
      </c>
      <c r="D547" s="1" t="n">
        <v>46148</v>
      </c>
      <c r="E547" s="1" t="n">
        <v>46220</v>
      </c>
      <c r="F547" t="inlineStr">
        <is>
          <t>DALARNAS LÄN</t>
        </is>
      </c>
      <c r="G547" t="inlineStr">
        <is>
          <t>MORA</t>
        </is>
      </c>
      <c r="H547" t="inlineStr">
        <is>
          <t>Bergvik skog öst AB</t>
        </is>
      </c>
      <c r="I547" t="n">
        <v>4</v>
      </c>
      <c r="J547" t="n">
        <v>0</v>
      </c>
      <c r="K547" t="n">
        <v>0</v>
      </c>
      <c r="L547" t="n">
        <v>0</v>
      </c>
      <c r="M547" t="n">
        <v>0</v>
      </c>
      <c r="N547" t="n">
        <v>0</v>
      </c>
      <c r="O547" t="n">
        <v>0</v>
      </c>
      <c r="P547" t="n">
        <v>0</v>
      </c>
      <c r="Q547" t="n">
        <v>0</v>
      </c>
      <c r="R547" t="n">
        <v>0</v>
      </c>
      <c r="S547" t="n">
        <v>0</v>
      </c>
      <c r="T547" t="n">
        <v>0</v>
      </c>
      <c r="U547" s="2" t="inlineStr"/>
    </row>
    <row r="548" ht="15" customHeight="1">
      <c r="A548" t="inlineStr">
        <is>
          <t>A 21480-2026</t>
        </is>
      </c>
      <c r="B548" t="inlineStr">
        <is>
          <t>avverkningsanmälan</t>
        </is>
      </c>
      <c r="C548" t="inlineStr">
        <is>
          <t>Föryngringsavverkning</t>
        </is>
      </c>
      <c r="D548" s="1" t="n">
        <v>46148</v>
      </c>
      <c r="E548" s="1" t="n">
        <v>46220</v>
      </c>
      <c r="F548" t="inlineStr">
        <is>
          <t>DALARNAS LÄN</t>
        </is>
      </c>
      <c r="G548" t="inlineStr">
        <is>
          <t>MORA</t>
        </is>
      </c>
      <c r="I548" t="n">
        <v>12.8</v>
      </c>
      <c r="J548" t="n">
        <v>0</v>
      </c>
      <c r="K548" t="n">
        <v>0</v>
      </c>
      <c r="L548" t="n">
        <v>0</v>
      </c>
      <c r="M548" t="n">
        <v>0</v>
      </c>
      <c r="N548" t="n">
        <v>0</v>
      </c>
      <c r="O548" t="n">
        <v>0</v>
      </c>
      <c r="P548" t="n">
        <v>0</v>
      </c>
      <c r="Q548" t="n">
        <v>0</v>
      </c>
      <c r="R548" t="n">
        <v>0</v>
      </c>
      <c r="S548" t="n">
        <v>0</v>
      </c>
      <c r="T548" t="n">
        <v>0</v>
      </c>
      <c r="U548" s="2" t="inlineStr"/>
    </row>
    <row r="549" ht="15" customHeight="1">
      <c r="A549" t="inlineStr">
        <is>
          <t>A 27696-2026</t>
        </is>
      </c>
      <c r="B549" t="inlineStr">
        <is>
          <t>avverkningsanmälan</t>
        </is>
      </c>
      <c r="C549" t="inlineStr">
        <is>
          <t>Föryngringsavverkning</t>
        </is>
      </c>
      <c r="D549" s="1" t="n">
        <v>46190</v>
      </c>
      <c r="E549" s="1" t="n">
        <v>46220</v>
      </c>
      <c r="F549" t="inlineStr">
        <is>
          <t>DALARNAS LÄN</t>
        </is>
      </c>
      <c r="G549" t="inlineStr">
        <is>
          <t>MORA</t>
        </is>
      </c>
      <c r="H549" t="inlineStr">
        <is>
          <t>Bergvik skog öst AB</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43826-2022</t>
        </is>
      </c>
      <c r="B550" t="inlineStr">
        <is>
          <t>avverkningsanmälan</t>
        </is>
      </c>
      <c r="C550" t="inlineStr">
        <is>
          <t>Föryngringsavverkning</t>
        </is>
      </c>
      <c r="D550" s="1" t="n">
        <v>44838</v>
      </c>
      <c r="E550" s="1" t="n">
        <v>46220</v>
      </c>
      <c r="F550" t="inlineStr">
        <is>
          <t>DALARNAS LÄN</t>
        </is>
      </c>
      <c r="G550" t="inlineStr">
        <is>
          <t>MORA</t>
        </is>
      </c>
      <c r="I550" t="n">
        <v>9.800000000000001</v>
      </c>
      <c r="J550" t="n">
        <v>0</v>
      </c>
      <c r="K550" t="n">
        <v>0</v>
      </c>
      <c r="L550" t="n">
        <v>0</v>
      </c>
      <c r="M550" t="n">
        <v>0</v>
      </c>
      <c r="N550" t="n">
        <v>0</v>
      </c>
      <c r="O550" t="n">
        <v>0</v>
      </c>
      <c r="P550" t="n">
        <v>0</v>
      </c>
      <c r="Q550" t="n">
        <v>0</v>
      </c>
      <c r="R550" t="n">
        <v>0</v>
      </c>
      <c r="S550" t="n">
        <v>0</v>
      </c>
      <c r="T550" t="n">
        <v>0</v>
      </c>
      <c r="U550" s="2" t="inlineStr"/>
    </row>
    <row r="551" ht="15" customHeight="1">
      <c r="A551" t="inlineStr">
        <is>
          <t>A 27901-2026</t>
        </is>
      </c>
      <c r="B551" t="inlineStr">
        <is>
          <t>avverkningsanmälan</t>
        </is>
      </c>
      <c r="C551" t="inlineStr">
        <is>
          <t>Föryngringsavverkning</t>
        </is>
      </c>
      <c r="D551" s="1" t="n">
        <v>46191</v>
      </c>
      <c r="E551" s="1" t="n">
        <v>46220</v>
      </c>
      <c r="F551" t="inlineStr">
        <is>
          <t>DALARNAS LÄN</t>
        </is>
      </c>
      <c r="G551" t="inlineStr">
        <is>
          <t>MORA</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21506-2026</t>
        </is>
      </c>
      <c r="B552" t="inlineStr">
        <is>
          <t>avverkningsanmälan</t>
        </is>
      </c>
      <c r="C552" t="inlineStr">
        <is>
          <t>Föryngringsavverkning</t>
        </is>
      </c>
      <c r="D552" s="1" t="n">
        <v>46148</v>
      </c>
      <c r="E552" s="1" t="n">
        <v>46220</v>
      </c>
      <c r="F552" t="inlineStr">
        <is>
          <t>DALARNAS LÄN</t>
        </is>
      </c>
      <c r="G552" t="inlineStr">
        <is>
          <t>MORA</t>
        </is>
      </c>
      <c r="H552" t="inlineStr">
        <is>
          <t>Bergvik skog öst AB</t>
        </is>
      </c>
      <c r="I552" t="n">
        <v>4.7</v>
      </c>
      <c r="J552" t="n">
        <v>0</v>
      </c>
      <c r="K552" t="n">
        <v>0</v>
      </c>
      <c r="L552" t="n">
        <v>0</v>
      </c>
      <c r="M552" t="n">
        <v>0</v>
      </c>
      <c r="N552" t="n">
        <v>0</v>
      </c>
      <c r="O552" t="n">
        <v>0</v>
      </c>
      <c r="P552" t="n">
        <v>0</v>
      </c>
      <c r="Q552" t="n">
        <v>0</v>
      </c>
      <c r="R552" t="n">
        <v>0</v>
      </c>
      <c r="S552" t="n">
        <v>0</v>
      </c>
      <c r="T552" t="n">
        <v>0</v>
      </c>
      <c r="U552" s="2" t="inlineStr"/>
    </row>
    <row r="553" ht="15" customHeight="1">
      <c r="A553" t="inlineStr">
        <is>
          <t>A 27792-2026</t>
        </is>
      </c>
      <c r="B553" t="inlineStr">
        <is>
          <t>avverkningsanmälan</t>
        </is>
      </c>
      <c r="C553" t="inlineStr">
        <is>
          <t>Föryngringsavverkning</t>
        </is>
      </c>
      <c r="D553" s="1" t="n">
        <v>46191</v>
      </c>
      <c r="E553" s="1" t="n">
        <v>46220</v>
      </c>
      <c r="F553" t="inlineStr">
        <is>
          <t>DALARNAS LÄN</t>
        </is>
      </c>
      <c r="G553" t="inlineStr">
        <is>
          <t>MORA</t>
        </is>
      </c>
      <c r="H553" t="inlineStr">
        <is>
          <t>Bergvik skog väst AB</t>
        </is>
      </c>
      <c r="I553" t="n">
        <v>5.4</v>
      </c>
      <c r="J553" t="n">
        <v>0</v>
      </c>
      <c r="K553" t="n">
        <v>0</v>
      </c>
      <c r="L553" t="n">
        <v>0</v>
      </c>
      <c r="M553" t="n">
        <v>0</v>
      </c>
      <c r="N553" t="n">
        <v>0</v>
      </c>
      <c r="O553" t="n">
        <v>0</v>
      </c>
      <c r="P553" t="n">
        <v>0</v>
      </c>
      <c r="Q553" t="n">
        <v>0</v>
      </c>
      <c r="R553" t="n">
        <v>0</v>
      </c>
      <c r="S553" t="n">
        <v>0</v>
      </c>
      <c r="T553" t="n">
        <v>0</v>
      </c>
      <c r="U553" s="2" t="inlineStr"/>
    </row>
    <row r="554" ht="15" customHeight="1">
      <c r="A554" t="inlineStr">
        <is>
          <t>A 21502-2026</t>
        </is>
      </c>
      <c r="B554" t="inlineStr">
        <is>
          <t>avverkningsanmälan</t>
        </is>
      </c>
      <c r="C554" t="inlineStr">
        <is>
          <t>Föryngringsavverkning</t>
        </is>
      </c>
      <c r="D554" s="1" t="n">
        <v>46148</v>
      </c>
      <c r="E554" s="1" t="n">
        <v>46220</v>
      </c>
      <c r="F554" t="inlineStr">
        <is>
          <t>DALARNAS LÄN</t>
        </is>
      </c>
      <c r="G554" t="inlineStr">
        <is>
          <t>MORA</t>
        </is>
      </c>
      <c r="H554" t="inlineStr">
        <is>
          <t>Bergvik skog öst AB</t>
        </is>
      </c>
      <c r="I554" t="n">
        <v>5.1</v>
      </c>
      <c r="J554" t="n">
        <v>0</v>
      </c>
      <c r="K554" t="n">
        <v>0</v>
      </c>
      <c r="L554" t="n">
        <v>0</v>
      </c>
      <c r="M554" t="n">
        <v>0</v>
      </c>
      <c r="N554" t="n">
        <v>0</v>
      </c>
      <c r="O554" t="n">
        <v>0</v>
      </c>
      <c r="P554" t="n">
        <v>0</v>
      </c>
      <c r="Q554" t="n">
        <v>0</v>
      </c>
      <c r="R554" t="n">
        <v>0</v>
      </c>
      <c r="S554" t="n">
        <v>0</v>
      </c>
      <c r="T554" t="n">
        <v>0</v>
      </c>
      <c r="U554" s="2" t="inlineStr"/>
    </row>
    <row r="555" ht="15" customHeight="1">
      <c r="A555" t="inlineStr">
        <is>
          <t>A 5980-2025</t>
        </is>
      </c>
      <c r="B555" t="inlineStr">
        <is>
          <t>avverkningsanmälan</t>
        </is>
      </c>
      <c r="C555" t="inlineStr">
        <is>
          <t>Föryngringsavverkning</t>
        </is>
      </c>
      <c r="D555" s="1" t="n">
        <v>45695</v>
      </c>
      <c r="E555" s="1" t="n">
        <v>46220</v>
      </c>
      <c r="F555" t="inlineStr">
        <is>
          <t>DALARNAS LÄN</t>
        </is>
      </c>
      <c r="G555" t="inlineStr">
        <is>
          <t>MORA</t>
        </is>
      </c>
      <c r="I555" t="n">
        <v>2.7</v>
      </c>
      <c r="J555" t="n">
        <v>0</v>
      </c>
      <c r="K555" t="n">
        <v>0</v>
      </c>
      <c r="L555" t="n">
        <v>0</v>
      </c>
      <c r="M555" t="n">
        <v>0</v>
      </c>
      <c r="N555" t="n">
        <v>0</v>
      </c>
      <c r="O555" t="n">
        <v>0</v>
      </c>
      <c r="P555" t="n">
        <v>0</v>
      </c>
      <c r="Q555" t="n">
        <v>0</v>
      </c>
      <c r="R555" t="n">
        <v>0</v>
      </c>
      <c r="S555" t="n">
        <v>0</v>
      </c>
      <c r="T555" t="n">
        <v>0</v>
      </c>
      <c r="U555" s="2" t="inlineStr"/>
    </row>
    <row r="556" ht="15" customHeight="1">
      <c r="A556" t="inlineStr">
        <is>
          <t>A 27885-2026</t>
        </is>
      </c>
      <c r="B556" t="inlineStr">
        <is>
          <t>avverkningsanmälan</t>
        </is>
      </c>
      <c r="C556" t="inlineStr">
        <is>
          <t>Föryngringsavverkning</t>
        </is>
      </c>
      <c r="D556" s="1" t="n">
        <v>46191</v>
      </c>
      <c r="E556" s="1" t="n">
        <v>46220</v>
      </c>
      <c r="F556" t="inlineStr">
        <is>
          <t>DALARNAS LÄN</t>
        </is>
      </c>
      <c r="G556" t="inlineStr">
        <is>
          <t>MORA</t>
        </is>
      </c>
      <c r="H556" t="inlineStr">
        <is>
          <t>Bergvik skog väst AB</t>
        </is>
      </c>
      <c r="I556" t="n">
        <v>9.5</v>
      </c>
      <c r="J556" t="n">
        <v>0</v>
      </c>
      <c r="K556" t="n">
        <v>0</v>
      </c>
      <c r="L556" t="n">
        <v>0</v>
      </c>
      <c r="M556" t="n">
        <v>0</v>
      </c>
      <c r="N556" t="n">
        <v>0</v>
      </c>
      <c r="O556" t="n">
        <v>0</v>
      </c>
      <c r="P556" t="n">
        <v>0</v>
      </c>
      <c r="Q556" t="n">
        <v>0</v>
      </c>
      <c r="R556" t="n">
        <v>0</v>
      </c>
      <c r="S556" t="n">
        <v>0</v>
      </c>
      <c r="T556" t="n">
        <v>0</v>
      </c>
      <c r="U556" s="2" t="inlineStr"/>
    </row>
    <row r="557" ht="15" customHeight="1">
      <c r="A557" t="inlineStr">
        <is>
          <t>A 21499-2026</t>
        </is>
      </c>
      <c r="B557" t="inlineStr">
        <is>
          <t>avverkningsanmälan</t>
        </is>
      </c>
      <c r="C557" t="inlineStr">
        <is>
          <t>Föryngringsavverkning</t>
        </is>
      </c>
      <c r="D557" s="1" t="n">
        <v>46148</v>
      </c>
      <c r="E557" s="1" t="n">
        <v>46220</v>
      </c>
      <c r="F557" t="inlineStr">
        <is>
          <t>DALARNAS LÄN</t>
        </is>
      </c>
      <c r="G557" t="inlineStr">
        <is>
          <t>MORA</t>
        </is>
      </c>
      <c r="H557" t="inlineStr">
        <is>
          <t>Bergvik skog öst AB</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27871-2026</t>
        </is>
      </c>
      <c r="B558" t="inlineStr">
        <is>
          <t>avverkningsanmälan</t>
        </is>
      </c>
      <c r="C558" t="inlineStr">
        <is>
          <t>Föryngringsavverkning</t>
        </is>
      </c>
      <c r="D558" s="1" t="n">
        <v>46191</v>
      </c>
      <c r="E558" s="1" t="n">
        <v>46220</v>
      </c>
      <c r="F558" t="inlineStr">
        <is>
          <t>DALARNAS LÄN</t>
        </is>
      </c>
      <c r="G558" t="inlineStr">
        <is>
          <t>MORA</t>
        </is>
      </c>
      <c r="H558" t="inlineStr">
        <is>
          <t>Bergvik skog väst AB</t>
        </is>
      </c>
      <c r="I558" t="n">
        <v>4</v>
      </c>
      <c r="J558" t="n">
        <v>0</v>
      </c>
      <c r="K558" t="n">
        <v>0</v>
      </c>
      <c r="L558" t="n">
        <v>0</v>
      </c>
      <c r="M558" t="n">
        <v>0</v>
      </c>
      <c r="N558" t="n">
        <v>0</v>
      </c>
      <c r="O558" t="n">
        <v>0</v>
      </c>
      <c r="P558" t="n">
        <v>0</v>
      </c>
      <c r="Q558" t="n">
        <v>0</v>
      </c>
      <c r="R558" t="n">
        <v>0</v>
      </c>
      <c r="S558" t="n">
        <v>0</v>
      </c>
      <c r="T558" t="n">
        <v>0</v>
      </c>
      <c r="U558" s="2" t="inlineStr"/>
    </row>
    <row r="559" ht="15" customHeight="1">
      <c r="A559" t="inlineStr">
        <is>
          <t>A 27886-2026</t>
        </is>
      </c>
      <c r="B559" t="inlineStr">
        <is>
          <t>avverkningsanmälan</t>
        </is>
      </c>
      <c r="C559" t="inlineStr">
        <is>
          <t>Föryngringsavverkning</t>
        </is>
      </c>
      <c r="D559" s="1" t="n">
        <v>46191</v>
      </c>
      <c r="E559" s="1" t="n">
        <v>46220</v>
      </c>
      <c r="F559" t="inlineStr">
        <is>
          <t>DALARNAS LÄN</t>
        </is>
      </c>
      <c r="G559" t="inlineStr">
        <is>
          <t>MORA</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27699-2026</t>
        </is>
      </c>
      <c r="B560" t="inlineStr">
        <is>
          <t>avverkningsanmälan</t>
        </is>
      </c>
      <c r="C560" t="inlineStr">
        <is>
          <t>Föryngringsavverkning</t>
        </is>
      </c>
      <c r="D560" s="1" t="n">
        <v>46190</v>
      </c>
      <c r="E560" s="1" t="n">
        <v>46220</v>
      </c>
      <c r="F560" t="inlineStr">
        <is>
          <t>DALARNAS LÄN</t>
        </is>
      </c>
      <c r="G560" t="inlineStr">
        <is>
          <t>MORA</t>
        </is>
      </c>
      <c r="H560" t="inlineStr">
        <is>
          <t>Bergvik skog öst AB</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27938-2026</t>
        </is>
      </c>
      <c r="B561" t="inlineStr">
        <is>
          <t>avverkningsanmälan</t>
        </is>
      </c>
      <c r="C561" t="inlineStr">
        <is>
          <t>Föryngringsavverkning</t>
        </is>
      </c>
      <c r="D561" s="1" t="n">
        <v>46191</v>
      </c>
      <c r="E561" s="1" t="n">
        <v>46220</v>
      </c>
      <c r="F561" t="inlineStr">
        <is>
          <t>DALARNAS LÄN</t>
        </is>
      </c>
      <c r="G561" t="inlineStr">
        <is>
          <t>MORA</t>
        </is>
      </c>
      <c r="H561" t="inlineStr">
        <is>
          <t>Bergvik skog väst AB</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A 27939-2026</t>
        </is>
      </c>
      <c r="B562" t="inlineStr">
        <is>
          <t>avverkningsanmälan</t>
        </is>
      </c>
      <c r="C562" t="inlineStr">
        <is>
          <t>Föryngringsavverkning</t>
        </is>
      </c>
      <c r="D562" s="1" t="n">
        <v>46191</v>
      </c>
      <c r="E562" s="1" t="n">
        <v>46220</v>
      </c>
      <c r="F562" t="inlineStr">
        <is>
          <t>DALARNAS LÄN</t>
        </is>
      </c>
      <c r="G562" t="inlineStr">
        <is>
          <t>MORA</t>
        </is>
      </c>
      <c r="H562" t="inlineStr">
        <is>
          <t>Bergvik skog väst AB</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27936-2026</t>
        </is>
      </c>
      <c r="B563" t="inlineStr">
        <is>
          <t>avverkningsanmälan</t>
        </is>
      </c>
      <c r="C563" t="inlineStr">
        <is>
          <t>Föryngringsavverkning</t>
        </is>
      </c>
      <c r="D563" s="1" t="n">
        <v>46191</v>
      </c>
      <c r="E563" s="1" t="n">
        <v>46220</v>
      </c>
      <c r="F563" t="inlineStr">
        <is>
          <t>DALARNAS LÄN</t>
        </is>
      </c>
      <c r="G563" t="inlineStr">
        <is>
          <t>MORA</t>
        </is>
      </c>
      <c r="H563" t="inlineStr">
        <is>
          <t>Bergvik skog väst AB</t>
        </is>
      </c>
      <c r="I563" t="n">
        <v>10</v>
      </c>
      <c r="J563" t="n">
        <v>0</v>
      </c>
      <c r="K563" t="n">
        <v>0</v>
      </c>
      <c r="L563" t="n">
        <v>0</v>
      </c>
      <c r="M563" t="n">
        <v>0</v>
      </c>
      <c r="N563" t="n">
        <v>0</v>
      </c>
      <c r="O563" t="n">
        <v>0</v>
      </c>
      <c r="P563" t="n">
        <v>0</v>
      </c>
      <c r="Q563" t="n">
        <v>0</v>
      </c>
      <c r="R563" t="n">
        <v>0</v>
      </c>
      <c r="S563" t="n">
        <v>0</v>
      </c>
      <c r="T563" t="n">
        <v>0</v>
      </c>
      <c r="U563" s="2" t="inlineStr"/>
    </row>
    <row r="564" ht="15" customHeight="1">
      <c r="A564" t="inlineStr">
        <is>
          <t>A 5527-2024</t>
        </is>
      </c>
      <c r="B564" t="inlineStr">
        <is>
          <t>avverkningsanmälan</t>
        </is>
      </c>
      <c r="C564" t="inlineStr">
        <is>
          <t>Föryngringsavverkning</t>
        </is>
      </c>
      <c r="D564" s="1" t="n">
        <v>45334</v>
      </c>
      <c r="E564" s="1" t="n">
        <v>46220</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26306-2026</t>
        </is>
      </c>
      <c r="B565" t="inlineStr">
        <is>
          <t>avverkningsanmälan</t>
        </is>
      </c>
      <c r="C565" t="inlineStr">
        <is>
          <t>Föryngringsavverkning</t>
        </is>
      </c>
      <c r="D565" s="1" t="n">
        <v>46182</v>
      </c>
      <c r="E565" s="1" t="n">
        <v>46220</v>
      </c>
      <c r="F565" t="inlineStr">
        <is>
          <t>DALARNAS LÄN</t>
        </is>
      </c>
      <c r="G565" t="inlineStr">
        <is>
          <t>MORA</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22113-2026</t>
        </is>
      </c>
      <c r="B566" t="inlineStr">
        <is>
          <t>avverkningsanmälan</t>
        </is>
      </c>
      <c r="C566" t="inlineStr">
        <is>
          <t>Föryngringsavverkning</t>
        </is>
      </c>
      <c r="D566" s="1" t="n">
        <v>46153</v>
      </c>
      <c r="E566" s="1" t="n">
        <v>46220</v>
      </c>
      <c r="F566" t="inlineStr">
        <is>
          <t>DALARNAS LÄN</t>
        </is>
      </c>
      <c r="G566" t="inlineStr">
        <is>
          <t>MORA</t>
        </is>
      </c>
      <c r="H566" t="inlineStr">
        <is>
          <t>Bergvik skog väst AB</t>
        </is>
      </c>
      <c r="I566" t="n">
        <v>4.6</v>
      </c>
      <c r="J566" t="n">
        <v>0</v>
      </c>
      <c r="K566" t="n">
        <v>0</v>
      </c>
      <c r="L566" t="n">
        <v>0</v>
      </c>
      <c r="M566" t="n">
        <v>0</v>
      </c>
      <c r="N566" t="n">
        <v>0</v>
      </c>
      <c r="O566" t="n">
        <v>0</v>
      </c>
      <c r="P566" t="n">
        <v>0</v>
      </c>
      <c r="Q566" t="n">
        <v>0</v>
      </c>
      <c r="R566" t="n">
        <v>0</v>
      </c>
      <c r="S566" t="n">
        <v>0</v>
      </c>
      <c r="T566" t="n">
        <v>0</v>
      </c>
      <c r="U566" s="2" t="inlineStr"/>
    </row>
    <row r="567" ht="15" customHeight="1">
      <c r="A567" t="inlineStr">
        <is>
          <t>A 35521-2023</t>
        </is>
      </c>
      <c r="B567" t="inlineStr">
        <is>
          <t>avverkningsanmälan</t>
        </is>
      </c>
      <c r="C567" t="inlineStr">
        <is>
          <t>Föryngringsavverkning</t>
        </is>
      </c>
      <c r="D567" s="1" t="n">
        <v>45147</v>
      </c>
      <c r="E567" s="1" t="n">
        <v>46220</v>
      </c>
      <c r="F567" t="inlineStr">
        <is>
          <t>DALARNAS LÄN</t>
        </is>
      </c>
      <c r="G567" t="inlineStr">
        <is>
          <t>MORA</t>
        </is>
      </c>
      <c r="I567" t="n">
        <v>3.7</v>
      </c>
      <c r="J567" t="n">
        <v>0</v>
      </c>
      <c r="K567" t="n">
        <v>0</v>
      </c>
      <c r="L567" t="n">
        <v>0</v>
      </c>
      <c r="M567" t="n">
        <v>0</v>
      </c>
      <c r="N567" t="n">
        <v>0</v>
      </c>
      <c r="O567" t="n">
        <v>0</v>
      </c>
      <c r="P567" t="n">
        <v>0</v>
      </c>
      <c r="Q567" t="n">
        <v>0</v>
      </c>
      <c r="R567" t="n">
        <v>0</v>
      </c>
      <c r="S567" t="n">
        <v>0</v>
      </c>
      <c r="T567" t="n">
        <v>0</v>
      </c>
      <c r="U567" s="2" t="inlineStr"/>
    </row>
    <row r="568" ht="15" customHeight="1">
      <c r="A568" t="inlineStr">
        <is>
          <t>A 43879-2022</t>
        </is>
      </c>
      <c r="B568" t="inlineStr">
        <is>
          <t>avverkningsanmälan</t>
        </is>
      </c>
      <c r="C568" t="inlineStr">
        <is>
          <t>Föryngringsavverkning</t>
        </is>
      </c>
      <c r="D568" s="1" t="n">
        <v>44838</v>
      </c>
      <c r="E568" s="1" t="n">
        <v>46220</v>
      </c>
      <c r="F568" t="inlineStr">
        <is>
          <t>DALARNAS LÄN</t>
        </is>
      </c>
      <c r="G568" t="inlineStr">
        <is>
          <t>MORA</t>
        </is>
      </c>
      <c r="I568" t="n">
        <v>3.4</v>
      </c>
      <c r="J568" t="n">
        <v>0</v>
      </c>
      <c r="K568" t="n">
        <v>0</v>
      </c>
      <c r="L568" t="n">
        <v>0</v>
      </c>
      <c r="M568" t="n">
        <v>0</v>
      </c>
      <c r="N568" t="n">
        <v>0</v>
      </c>
      <c r="O568" t="n">
        <v>0</v>
      </c>
      <c r="P568" t="n">
        <v>0</v>
      </c>
      <c r="Q568" t="n">
        <v>0</v>
      </c>
      <c r="R568" t="n">
        <v>0</v>
      </c>
      <c r="S568" t="n">
        <v>0</v>
      </c>
      <c r="T568" t="n">
        <v>0</v>
      </c>
      <c r="U568" s="2" t="inlineStr"/>
    </row>
    <row r="569" ht="15" customHeight="1">
      <c r="A569" t="inlineStr">
        <is>
          <t>A 28483-2026</t>
        </is>
      </c>
      <c r="B569" t="inlineStr">
        <is>
          <t>avverkningsanmälan</t>
        </is>
      </c>
      <c r="C569" t="inlineStr">
        <is>
          <t>Föryngringsavverkning</t>
        </is>
      </c>
      <c r="D569" s="1" t="n">
        <v>46197</v>
      </c>
      <c r="E569" s="1" t="n">
        <v>46220</v>
      </c>
      <c r="F569" t="inlineStr">
        <is>
          <t>DALARNAS LÄN</t>
        </is>
      </c>
      <c r="G569" t="inlineStr">
        <is>
          <t>MORA</t>
        </is>
      </c>
      <c r="H569" t="inlineStr">
        <is>
          <t>Bergvik skog öst AB</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59995-2023</t>
        </is>
      </c>
      <c r="B570" t="inlineStr">
        <is>
          <t>avverkningsanmälan</t>
        </is>
      </c>
      <c r="C570" t="inlineStr">
        <is>
          <t>Föryngringsavverkning</t>
        </is>
      </c>
      <c r="D570" s="1" t="n">
        <v>45254</v>
      </c>
      <c r="E570" s="1" t="n">
        <v>46220</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12920-2022</t>
        </is>
      </c>
      <c r="B571" t="inlineStr">
        <is>
          <t>avverkningsanmälan</t>
        </is>
      </c>
      <c r="C571" t="inlineStr">
        <is>
          <t>Föryngringsavverkning</t>
        </is>
      </c>
      <c r="D571" s="1" t="n">
        <v>44642</v>
      </c>
      <c r="E571" s="1" t="n">
        <v>46220</v>
      </c>
      <c r="F571" t="inlineStr">
        <is>
          <t>DALARNAS LÄN</t>
        </is>
      </c>
      <c r="G571" t="inlineStr">
        <is>
          <t>MORA</t>
        </is>
      </c>
      <c r="I571" t="n">
        <v>0.8</v>
      </c>
      <c r="J571" t="n">
        <v>0</v>
      </c>
      <c r="K571" t="n">
        <v>0</v>
      </c>
      <c r="L571" t="n">
        <v>0</v>
      </c>
      <c r="M571" t="n">
        <v>0</v>
      </c>
      <c r="N571" t="n">
        <v>0</v>
      </c>
      <c r="O571" t="n">
        <v>0</v>
      </c>
      <c r="P571" t="n">
        <v>0</v>
      </c>
      <c r="Q571" t="n">
        <v>0</v>
      </c>
      <c r="R571" t="n">
        <v>0</v>
      </c>
      <c r="S571" t="n">
        <v>0</v>
      </c>
      <c r="T571" t="n">
        <v>0</v>
      </c>
      <c r="U571" s="2" t="inlineStr"/>
    </row>
    <row r="572" ht="15" customHeight="1">
      <c r="A572" t="inlineStr">
        <is>
          <t>A 22536-2026</t>
        </is>
      </c>
      <c r="B572" t="inlineStr">
        <is>
          <t>avverkningsanmälan</t>
        </is>
      </c>
      <c r="C572" t="inlineStr">
        <is>
          <t>Föryngringsavverkning</t>
        </is>
      </c>
      <c r="D572" s="1" t="n">
        <v>46155</v>
      </c>
      <c r="E572" s="1" t="n">
        <v>46220</v>
      </c>
      <c r="F572" t="inlineStr">
        <is>
          <t>DALARNAS LÄN</t>
        </is>
      </c>
      <c r="G572" t="inlineStr">
        <is>
          <t>MORA</t>
        </is>
      </c>
      <c r="H572" t="inlineStr">
        <is>
          <t>Bergvik skog öst AB</t>
        </is>
      </c>
      <c r="I572" t="n">
        <v>3.3</v>
      </c>
      <c r="J572" t="n">
        <v>0</v>
      </c>
      <c r="K572" t="n">
        <v>0</v>
      </c>
      <c r="L572" t="n">
        <v>0</v>
      </c>
      <c r="M572" t="n">
        <v>0</v>
      </c>
      <c r="N572" t="n">
        <v>0</v>
      </c>
      <c r="O572" t="n">
        <v>0</v>
      </c>
      <c r="P572" t="n">
        <v>0</v>
      </c>
      <c r="Q572" t="n">
        <v>0</v>
      </c>
      <c r="R572" t="n">
        <v>0</v>
      </c>
      <c r="S572" t="n">
        <v>0</v>
      </c>
      <c r="T572" t="n">
        <v>0</v>
      </c>
      <c r="U572" s="2" t="inlineStr"/>
    </row>
    <row r="573" ht="15" customHeight="1">
      <c r="A573" t="inlineStr">
        <is>
          <t>A 14745-2026</t>
        </is>
      </c>
      <c r="B573" t="inlineStr">
        <is>
          <t>avverkningsanmälan</t>
        </is>
      </c>
      <c r="C573" t="inlineStr">
        <is>
          <t>Föryngringsavverkning</t>
        </is>
      </c>
      <c r="D573" s="1" t="n">
        <v>46101</v>
      </c>
      <c r="E573" s="1" t="n">
        <v>46220</v>
      </c>
      <c r="F573" t="inlineStr">
        <is>
          <t>DALARNAS LÄN</t>
        </is>
      </c>
      <c r="G573" t="inlineStr">
        <is>
          <t>MORA</t>
        </is>
      </c>
      <c r="H573" t="inlineStr">
        <is>
          <t>Bergvik skog öst AB</t>
        </is>
      </c>
      <c r="I573" t="n">
        <v>10.9</v>
      </c>
      <c r="J573" t="n">
        <v>0</v>
      </c>
      <c r="K573" t="n">
        <v>0</v>
      </c>
      <c r="L573" t="n">
        <v>0</v>
      </c>
      <c r="M573" t="n">
        <v>0</v>
      </c>
      <c r="N573" t="n">
        <v>0</v>
      </c>
      <c r="O573" t="n">
        <v>0</v>
      </c>
      <c r="P573" t="n">
        <v>0</v>
      </c>
      <c r="Q573" t="n">
        <v>0</v>
      </c>
      <c r="R573" t="n">
        <v>0</v>
      </c>
      <c r="S573" t="n">
        <v>0</v>
      </c>
      <c r="T573" t="n">
        <v>0</v>
      </c>
      <c r="U573" s="2" t="inlineStr"/>
    </row>
    <row r="574" ht="15" customHeight="1">
      <c r="A574" t="inlineStr">
        <is>
          <t>A 17280-2025</t>
        </is>
      </c>
      <c r="B574" t="inlineStr">
        <is>
          <t>avverkningsanmälan</t>
        </is>
      </c>
      <c r="C574" t="inlineStr">
        <is>
          <t>Föryngringsavverkning</t>
        </is>
      </c>
      <c r="D574" s="1" t="n">
        <v>45756</v>
      </c>
      <c r="E574" s="1" t="n">
        <v>46220</v>
      </c>
      <c r="F574" t="inlineStr">
        <is>
          <t>DALARNAS LÄN</t>
        </is>
      </c>
      <c r="G574" t="inlineStr">
        <is>
          <t>MORA</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28236-2026</t>
        </is>
      </c>
      <c r="B575" t="inlineStr">
        <is>
          <t>avverkningsanmälan</t>
        </is>
      </c>
      <c r="C575" t="inlineStr">
        <is>
          <t>Föryngringsavverkning</t>
        </is>
      </c>
      <c r="D575" s="1" t="n">
        <v>46196</v>
      </c>
      <c r="E575" s="1" t="n">
        <v>46220</v>
      </c>
      <c r="F575" t="inlineStr">
        <is>
          <t>DALARNAS LÄN</t>
        </is>
      </c>
      <c r="G575" t="inlineStr">
        <is>
          <t>MORA</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34282-2024</t>
        </is>
      </c>
      <c r="B576" t="inlineStr">
        <is>
          <t>avverkningsanmälan</t>
        </is>
      </c>
      <c r="C576" t="inlineStr">
        <is>
          <t>Föryngringsavverkning</t>
        </is>
      </c>
      <c r="D576" s="1" t="n">
        <v>45524</v>
      </c>
      <c r="E576" s="1" t="n">
        <v>46220</v>
      </c>
      <c r="F576" t="inlineStr">
        <is>
          <t>DALARNAS LÄN</t>
        </is>
      </c>
      <c r="G576" t="inlineStr">
        <is>
          <t>MORA</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22568-2026</t>
        </is>
      </c>
      <c r="B577" t="inlineStr">
        <is>
          <t>avverkningsanmälan</t>
        </is>
      </c>
      <c r="C577" t="inlineStr">
        <is>
          <t>Föryngringsavverkning</t>
        </is>
      </c>
      <c r="D577" s="1" t="n">
        <v>46155</v>
      </c>
      <c r="E577" s="1" t="n">
        <v>46220</v>
      </c>
      <c r="F577" t="inlineStr">
        <is>
          <t>DALARNAS LÄN</t>
        </is>
      </c>
      <c r="G577" t="inlineStr">
        <is>
          <t>MORA</t>
        </is>
      </c>
      <c r="H577" t="inlineStr">
        <is>
          <t>Bergvik skog öst AB</t>
        </is>
      </c>
      <c r="I577" t="n">
        <v>6.7</v>
      </c>
      <c r="J577" t="n">
        <v>0</v>
      </c>
      <c r="K577" t="n">
        <v>0</v>
      </c>
      <c r="L577" t="n">
        <v>0</v>
      </c>
      <c r="M577" t="n">
        <v>0</v>
      </c>
      <c r="N577" t="n">
        <v>0</v>
      </c>
      <c r="O577" t="n">
        <v>0</v>
      </c>
      <c r="P577" t="n">
        <v>0</v>
      </c>
      <c r="Q577" t="n">
        <v>0</v>
      </c>
      <c r="R577" t="n">
        <v>0</v>
      </c>
      <c r="S577" t="n">
        <v>0</v>
      </c>
      <c r="T577" t="n">
        <v>0</v>
      </c>
      <c r="U577" s="2" t="inlineStr"/>
    </row>
    <row r="578" ht="15" customHeight="1">
      <c r="A578" t="inlineStr">
        <is>
          <t>A 38055-2024</t>
        </is>
      </c>
      <c r="B578" t="inlineStr">
        <is>
          <t>avverkningsanmälan</t>
        </is>
      </c>
      <c r="C578" t="inlineStr">
        <is>
          <t>Föryngringsavverkning</t>
        </is>
      </c>
      <c r="D578" s="1" t="n">
        <v>45544</v>
      </c>
      <c r="E578" s="1" t="n">
        <v>46220</v>
      </c>
      <c r="F578" t="inlineStr">
        <is>
          <t>DALARNAS LÄN</t>
        </is>
      </c>
      <c r="G578" t="inlineStr">
        <is>
          <t>MORA</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28478-2026</t>
        </is>
      </c>
      <c r="B579" t="inlineStr">
        <is>
          <t>avverkningsanmälan</t>
        </is>
      </c>
      <c r="C579" t="inlineStr">
        <is>
          <t>Föryngringsavverkning</t>
        </is>
      </c>
      <c r="D579" s="1" t="n">
        <v>46197</v>
      </c>
      <c r="E579" s="1" t="n">
        <v>46220</v>
      </c>
      <c r="F579" t="inlineStr">
        <is>
          <t>DALARNAS LÄN</t>
        </is>
      </c>
      <c r="G579" t="inlineStr">
        <is>
          <t>MORA</t>
        </is>
      </c>
      <c r="H579" t="inlineStr">
        <is>
          <t>Bergvik skog öst AB</t>
        </is>
      </c>
      <c r="I579" t="n">
        <v>3.2</v>
      </c>
      <c r="J579" t="n">
        <v>0</v>
      </c>
      <c r="K579" t="n">
        <v>0</v>
      </c>
      <c r="L579" t="n">
        <v>0</v>
      </c>
      <c r="M579" t="n">
        <v>0</v>
      </c>
      <c r="N579" t="n">
        <v>0</v>
      </c>
      <c r="O579" t="n">
        <v>0</v>
      </c>
      <c r="P579" t="n">
        <v>0</v>
      </c>
      <c r="Q579" t="n">
        <v>0</v>
      </c>
      <c r="R579" t="n">
        <v>0</v>
      </c>
      <c r="S579" t="n">
        <v>0</v>
      </c>
      <c r="T579" t="n">
        <v>0</v>
      </c>
      <c r="U579" s="2" t="inlineStr"/>
    </row>
    <row r="580" ht="15" customHeight="1">
      <c r="A580" t="inlineStr">
        <is>
          <t>A 7116-2024</t>
        </is>
      </c>
      <c r="B580" t="inlineStr">
        <is>
          <t>avverkningsanmälan</t>
        </is>
      </c>
      <c r="C580" t="inlineStr">
        <is>
          <t>Avverkning för annat ändamål</t>
        </is>
      </c>
      <c r="D580" s="1" t="n">
        <v>45343</v>
      </c>
      <c r="E580" s="1" t="n">
        <v>46220</v>
      </c>
      <c r="F580" t="inlineStr">
        <is>
          <t>DALARNAS LÄN</t>
        </is>
      </c>
      <c r="G580" t="inlineStr">
        <is>
          <t>MORA</t>
        </is>
      </c>
      <c r="I580" t="n">
        <v>0.3</v>
      </c>
      <c r="J580" t="n">
        <v>0</v>
      </c>
      <c r="K580" t="n">
        <v>0</v>
      </c>
      <c r="L580" t="n">
        <v>0</v>
      </c>
      <c r="M580" t="n">
        <v>0</v>
      </c>
      <c r="N580" t="n">
        <v>0</v>
      </c>
      <c r="O580" t="n">
        <v>0</v>
      </c>
      <c r="P580" t="n">
        <v>0</v>
      </c>
      <c r="Q580" t="n">
        <v>0</v>
      </c>
      <c r="R580" t="n">
        <v>0</v>
      </c>
      <c r="S580" t="n">
        <v>0</v>
      </c>
      <c r="T580" t="n">
        <v>0</v>
      </c>
      <c r="U580" s="2" t="inlineStr"/>
    </row>
    <row r="581" ht="15" customHeight="1">
      <c r="A581" t="inlineStr">
        <is>
          <t>A 22785-2023</t>
        </is>
      </c>
      <c r="B581" t="inlineStr">
        <is>
          <t>avverkningsanmälan</t>
        </is>
      </c>
      <c r="C581" t="inlineStr">
        <is>
          <t>Föryngringsavverkning</t>
        </is>
      </c>
      <c r="D581" s="1" t="n">
        <v>45072</v>
      </c>
      <c r="E581" s="1" t="n">
        <v>46220</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28471-2026</t>
        </is>
      </c>
      <c r="B582" t="inlineStr">
        <is>
          <t>avverkningsanmälan</t>
        </is>
      </c>
      <c r="C582" t="inlineStr">
        <is>
          <t>Föryngringsavverkning</t>
        </is>
      </c>
      <c r="D582" s="1" t="n">
        <v>46197</v>
      </c>
      <c r="E582" s="1" t="n">
        <v>46220</v>
      </c>
      <c r="F582" t="inlineStr">
        <is>
          <t>DALARNAS LÄN</t>
        </is>
      </c>
      <c r="G582" t="inlineStr">
        <is>
          <t>MORA</t>
        </is>
      </c>
      <c r="H582" t="inlineStr">
        <is>
          <t>Bergvik skog öst AB</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16637-2025</t>
        </is>
      </c>
      <c r="B583" t="inlineStr">
        <is>
          <t>avverkningsanmälan</t>
        </is>
      </c>
      <c r="C583" t="inlineStr">
        <is>
          <t>Föryngringsavverkning</t>
        </is>
      </c>
      <c r="D583" s="1" t="n">
        <v>45754</v>
      </c>
      <c r="E583" s="1" t="n">
        <v>46220</v>
      </c>
      <c r="F583" t="inlineStr">
        <is>
          <t>DALARNAS LÄN</t>
        </is>
      </c>
      <c r="G583" t="inlineStr">
        <is>
          <t>MORA</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28834-2026</t>
        </is>
      </c>
      <c r="B584" t="inlineStr">
        <is>
          <t>avverkningsanmälan</t>
        </is>
      </c>
      <c r="C584" t="inlineStr">
        <is>
          <t>Föryngringsavverkning</t>
        </is>
      </c>
      <c r="D584" s="1" t="n">
        <v>46198</v>
      </c>
      <c r="E584" s="1" t="n">
        <v>46220</v>
      </c>
      <c r="F584" t="inlineStr">
        <is>
          <t>DALARNAS LÄN</t>
        </is>
      </c>
      <c r="G584" t="inlineStr">
        <is>
          <t>MORA</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49991-2023</t>
        </is>
      </c>
      <c r="B585" t="inlineStr">
        <is>
          <t>avverkningsanmälan</t>
        </is>
      </c>
      <c r="C585" t="inlineStr">
        <is>
          <t>Föryngringsavverkning</t>
        </is>
      </c>
      <c r="D585" s="1" t="n">
        <v>45215</v>
      </c>
      <c r="E585" s="1" t="n">
        <v>46220</v>
      </c>
      <c r="F585" t="inlineStr">
        <is>
          <t>DALARNAS LÄN</t>
        </is>
      </c>
      <c r="G585" t="inlineStr">
        <is>
          <t>MORA</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28131-2024</t>
        </is>
      </c>
      <c r="B586" t="inlineStr">
        <is>
          <t>avverkningsanmälan</t>
        </is>
      </c>
      <c r="C586" t="inlineStr">
        <is>
          <t>Föryngringsavverkning</t>
        </is>
      </c>
      <c r="D586" s="1" t="n">
        <v>45476</v>
      </c>
      <c r="E586" s="1" t="n">
        <v>46220</v>
      </c>
      <c r="F586" t="inlineStr">
        <is>
          <t>DALARNAS LÄN</t>
        </is>
      </c>
      <c r="G586" t="inlineStr">
        <is>
          <t>MORA</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28132-2024</t>
        </is>
      </c>
      <c r="B587" t="inlineStr">
        <is>
          <t>avverkningsanmälan</t>
        </is>
      </c>
      <c r="C587" t="inlineStr">
        <is>
          <t>Föryngringsavverkning</t>
        </is>
      </c>
      <c r="D587" s="1" t="n">
        <v>45476</v>
      </c>
      <c r="E587" s="1" t="n">
        <v>46220</v>
      </c>
      <c r="F587" t="inlineStr">
        <is>
          <t>DALARNAS LÄN</t>
        </is>
      </c>
      <c r="G587" t="inlineStr">
        <is>
          <t>MORA</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23122-2026</t>
        </is>
      </c>
      <c r="B588" t="inlineStr">
        <is>
          <t>avverkningsanmälan</t>
        </is>
      </c>
      <c r="C588" t="inlineStr">
        <is>
          <t>Föryngringsavverkning</t>
        </is>
      </c>
      <c r="D588" s="1" t="n">
        <v>46161</v>
      </c>
      <c r="E588" s="1" t="n">
        <v>46220</v>
      </c>
      <c r="F588" t="inlineStr">
        <is>
          <t>DALARNAS LÄN</t>
        </is>
      </c>
      <c r="G588" t="inlineStr">
        <is>
          <t>MORA</t>
        </is>
      </c>
      <c r="H588" t="inlineStr">
        <is>
          <t>Bergvik skog öst AB</t>
        </is>
      </c>
      <c r="I588" t="n">
        <v>1.3</v>
      </c>
      <c r="J588" t="n">
        <v>0</v>
      </c>
      <c r="K588" t="n">
        <v>0</v>
      </c>
      <c r="L588" t="n">
        <v>0</v>
      </c>
      <c r="M588" t="n">
        <v>0</v>
      </c>
      <c r="N588" t="n">
        <v>0</v>
      </c>
      <c r="O588" t="n">
        <v>0</v>
      </c>
      <c r="P588" t="n">
        <v>0</v>
      </c>
      <c r="Q588" t="n">
        <v>0</v>
      </c>
      <c r="R588" t="n">
        <v>0</v>
      </c>
      <c r="S588" t="n">
        <v>0</v>
      </c>
      <c r="T588" t="n">
        <v>0</v>
      </c>
      <c r="U588" s="2" t="inlineStr"/>
    </row>
    <row r="589" ht="15" customHeight="1">
      <c r="A589" t="inlineStr">
        <is>
          <t>A 22909-2026</t>
        </is>
      </c>
      <c r="B589" t="inlineStr">
        <is>
          <t>avverkningsanmälan</t>
        </is>
      </c>
      <c r="C589" t="inlineStr">
        <is>
          <t>Föryngringsavverkning</t>
        </is>
      </c>
      <c r="D589" s="1" t="n">
        <v>46160</v>
      </c>
      <c r="E589" s="1" t="n">
        <v>46220</v>
      </c>
      <c r="F589" t="inlineStr">
        <is>
          <t>DALARNAS LÄN</t>
        </is>
      </c>
      <c r="G589" t="inlineStr">
        <is>
          <t>MORA</t>
        </is>
      </c>
      <c r="I589" t="n">
        <v>3.5</v>
      </c>
      <c r="J589" t="n">
        <v>0</v>
      </c>
      <c r="K589" t="n">
        <v>0</v>
      </c>
      <c r="L589" t="n">
        <v>0</v>
      </c>
      <c r="M589" t="n">
        <v>0</v>
      </c>
      <c r="N589" t="n">
        <v>0</v>
      </c>
      <c r="O589" t="n">
        <v>0</v>
      </c>
      <c r="P589" t="n">
        <v>0</v>
      </c>
      <c r="Q589" t="n">
        <v>0</v>
      </c>
      <c r="R589" t="n">
        <v>0</v>
      </c>
      <c r="S589" t="n">
        <v>0</v>
      </c>
      <c r="T589" t="n">
        <v>0</v>
      </c>
      <c r="U589" s="2" t="inlineStr"/>
    </row>
    <row r="590" ht="15" customHeight="1">
      <c r="A590" t="inlineStr">
        <is>
          <t>A 24772-2024</t>
        </is>
      </c>
      <c r="B590" t="inlineStr">
        <is>
          <t>avverkningsanmälan</t>
        </is>
      </c>
      <c r="C590" t="inlineStr">
        <is>
          <t>Föryngringsavverkning</t>
        </is>
      </c>
      <c r="D590" s="1" t="n">
        <v>45460</v>
      </c>
      <c r="E590" s="1" t="n">
        <v>46220</v>
      </c>
      <c r="F590" t="inlineStr">
        <is>
          <t>DALARNAS LÄN</t>
        </is>
      </c>
      <c r="G590" t="inlineStr">
        <is>
          <t>MORA</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5486-2023</t>
        </is>
      </c>
      <c r="B591" t="inlineStr">
        <is>
          <t>avverkningsanmälan</t>
        </is>
      </c>
      <c r="C591" t="inlineStr">
        <is>
          <t>Föryngringsavverkning</t>
        </is>
      </c>
      <c r="D591" s="1" t="n">
        <v>44957</v>
      </c>
      <c r="E591" s="1" t="n">
        <v>46220</v>
      </c>
      <c r="F591" t="inlineStr">
        <is>
          <t>DALARNAS LÄN</t>
        </is>
      </c>
      <c r="G591" t="inlineStr">
        <is>
          <t>MORA</t>
        </is>
      </c>
      <c r="I591" t="n">
        <v>3.2</v>
      </c>
      <c r="J591" t="n">
        <v>0</v>
      </c>
      <c r="K591" t="n">
        <v>0</v>
      </c>
      <c r="L591" t="n">
        <v>0</v>
      </c>
      <c r="M591" t="n">
        <v>0</v>
      </c>
      <c r="N591" t="n">
        <v>0</v>
      </c>
      <c r="O591" t="n">
        <v>0</v>
      </c>
      <c r="P591" t="n">
        <v>0</v>
      </c>
      <c r="Q591" t="n">
        <v>0</v>
      </c>
      <c r="R591" t="n">
        <v>0</v>
      </c>
      <c r="S591" t="n">
        <v>0</v>
      </c>
      <c r="T591" t="n">
        <v>0</v>
      </c>
      <c r="U591" s="2" t="inlineStr"/>
    </row>
    <row r="592" ht="15" customHeight="1">
      <c r="A592" t="inlineStr">
        <is>
          <t>A 42943-2024</t>
        </is>
      </c>
      <c r="B592" t="inlineStr">
        <is>
          <t>avverkningsanmälan</t>
        </is>
      </c>
      <c r="C592" t="inlineStr">
        <is>
          <t>Föryngringsavverkning</t>
        </is>
      </c>
      <c r="D592" s="1" t="n">
        <v>45567</v>
      </c>
      <c r="E592" s="1" t="n">
        <v>46220</v>
      </c>
      <c r="F592" t="inlineStr">
        <is>
          <t>DALARNAS LÄN</t>
        </is>
      </c>
      <c r="G592" t="inlineStr">
        <is>
          <t>MORA</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29252-2026</t>
        </is>
      </c>
      <c r="B593" t="inlineStr">
        <is>
          <t>avverkningsanmälan</t>
        </is>
      </c>
      <c r="C593" t="inlineStr">
        <is>
          <t>Föryngringsavverkning</t>
        </is>
      </c>
      <c r="D593" s="1" t="n">
        <v>46202</v>
      </c>
      <c r="E593" s="1" t="n">
        <v>46220</v>
      </c>
      <c r="F593" t="inlineStr">
        <is>
          <t>DALARNAS LÄN</t>
        </is>
      </c>
      <c r="G593" t="inlineStr">
        <is>
          <t>MORA</t>
        </is>
      </c>
      <c r="I593" t="n">
        <v>6.8</v>
      </c>
      <c r="J593" t="n">
        <v>0</v>
      </c>
      <c r="K593" t="n">
        <v>0</v>
      </c>
      <c r="L593" t="n">
        <v>0</v>
      </c>
      <c r="M593" t="n">
        <v>0</v>
      </c>
      <c r="N593" t="n">
        <v>0</v>
      </c>
      <c r="O593" t="n">
        <v>0</v>
      </c>
      <c r="P593" t="n">
        <v>0</v>
      </c>
      <c r="Q593" t="n">
        <v>0</v>
      </c>
      <c r="R593" t="n">
        <v>0</v>
      </c>
      <c r="S593" t="n">
        <v>0</v>
      </c>
      <c r="T593" t="n">
        <v>0</v>
      </c>
      <c r="U593" s="2" t="inlineStr"/>
    </row>
    <row r="594" ht="15" customHeight="1">
      <c r="A594" t="inlineStr">
        <is>
          <t>A 23139-2026</t>
        </is>
      </c>
      <c r="B594" t="inlineStr">
        <is>
          <t>avverkningsanmälan</t>
        </is>
      </c>
      <c r="C594" t="inlineStr">
        <is>
          <t>Föryngringsavverkning</t>
        </is>
      </c>
      <c r="D594" s="1" t="n">
        <v>46161</v>
      </c>
      <c r="E594" s="1" t="n">
        <v>46220</v>
      </c>
      <c r="F594" t="inlineStr">
        <is>
          <t>DALARNAS LÄN</t>
        </is>
      </c>
      <c r="G594" t="inlineStr">
        <is>
          <t>MORA</t>
        </is>
      </c>
      <c r="H594" t="inlineStr">
        <is>
          <t>Bergvik skog öst AB</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9855-2024</t>
        </is>
      </c>
      <c r="B595" t="inlineStr">
        <is>
          <t>avverkningsanmälan</t>
        </is>
      </c>
      <c r="C595" t="inlineStr">
        <is>
          <t>Föryngringsavverkning</t>
        </is>
      </c>
      <c r="D595" s="1" t="n">
        <v>45363</v>
      </c>
      <c r="E595" s="1" t="n">
        <v>46220</v>
      </c>
      <c r="F595" t="inlineStr">
        <is>
          <t>DALARNAS LÄN</t>
        </is>
      </c>
      <c r="G595" t="inlineStr">
        <is>
          <t>MORA</t>
        </is>
      </c>
      <c r="I595" t="n">
        <v>8.6</v>
      </c>
      <c r="J595" t="n">
        <v>0</v>
      </c>
      <c r="K595" t="n">
        <v>0</v>
      </c>
      <c r="L595" t="n">
        <v>0</v>
      </c>
      <c r="M595" t="n">
        <v>0</v>
      </c>
      <c r="N595" t="n">
        <v>0</v>
      </c>
      <c r="O595" t="n">
        <v>0</v>
      </c>
      <c r="P595" t="n">
        <v>0</v>
      </c>
      <c r="Q595" t="n">
        <v>0</v>
      </c>
      <c r="R595" t="n">
        <v>0</v>
      </c>
      <c r="S595" t="n">
        <v>0</v>
      </c>
      <c r="T595" t="n">
        <v>0</v>
      </c>
      <c r="U595" s="2" t="inlineStr"/>
    </row>
    <row r="596" ht="15" customHeight="1">
      <c r="A596" t="inlineStr">
        <is>
          <t>A 22962-2026</t>
        </is>
      </c>
      <c r="B596" t="inlineStr">
        <is>
          <t>avverkningsanmälan</t>
        </is>
      </c>
      <c r="C596" t="inlineStr">
        <is>
          <t>Föryngringsavverkning</t>
        </is>
      </c>
      <c r="D596" s="1" t="n">
        <v>46160</v>
      </c>
      <c r="E596" s="1" t="n">
        <v>46220</v>
      </c>
      <c r="F596" t="inlineStr">
        <is>
          <t>DALARNAS LÄN</t>
        </is>
      </c>
      <c r="G596" t="inlineStr">
        <is>
          <t>MORA</t>
        </is>
      </c>
      <c r="H596" t="inlineStr">
        <is>
          <t>Bergvik skog öst AB</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29120-2026</t>
        </is>
      </c>
      <c r="B597" t="inlineStr">
        <is>
          <t>avverkningsanmälan</t>
        </is>
      </c>
      <c r="C597" t="inlineStr">
        <is>
          <t>Föryngringsavverkning</t>
        </is>
      </c>
      <c r="D597" s="1" t="n">
        <v>46201</v>
      </c>
      <c r="E597" s="1" t="n">
        <v>46220</v>
      </c>
      <c r="F597" t="inlineStr">
        <is>
          <t>DALARNAS LÄN</t>
        </is>
      </c>
      <c r="G597" t="inlineStr">
        <is>
          <t>MORA</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22953-2026</t>
        </is>
      </c>
      <c r="B598" t="inlineStr">
        <is>
          <t>avverkningsanmälan</t>
        </is>
      </c>
      <c r="C598" t="inlineStr">
        <is>
          <t>Föryngringsavverkning</t>
        </is>
      </c>
      <c r="D598" s="1" t="n">
        <v>46160</v>
      </c>
      <c r="E598" s="1" t="n">
        <v>46220</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21244-2024</t>
        </is>
      </c>
      <c r="B599" t="inlineStr">
        <is>
          <t>avverkningsanmälan</t>
        </is>
      </c>
      <c r="C599" t="inlineStr">
        <is>
          <t>Föryngringsavverkning</t>
        </is>
      </c>
      <c r="D599" s="1" t="n">
        <v>45440</v>
      </c>
      <c r="E599" s="1" t="n">
        <v>46220</v>
      </c>
      <c r="F599" t="inlineStr">
        <is>
          <t>DALARNAS LÄN</t>
        </is>
      </c>
      <c r="G599" t="inlineStr">
        <is>
          <t>MORA</t>
        </is>
      </c>
      <c r="I599" t="n">
        <v>8.800000000000001</v>
      </c>
      <c r="J599" t="n">
        <v>0</v>
      </c>
      <c r="K599" t="n">
        <v>0</v>
      </c>
      <c r="L599" t="n">
        <v>0</v>
      </c>
      <c r="M599" t="n">
        <v>0</v>
      </c>
      <c r="N599" t="n">
        <v>0</v>
      </c>
      <c r="O599" t="n">
        <v>0</v>
      </c>
      <c r="P599" t="n">
        <v>0</v>
      </c>
      <c r="Q599" t="n">
        <v>0</v>
      </c>
      <c r="R599" t="n">
        <v>0</v>
      </c>
      <c r="S599" t="n">
        <v>0</v>
      </c>
      <c r="T599" t="n">
        <v>0</v>
      </c>
      <c r="U599" s="2" t="inlineStr"/>
    </row>
    <row r="600" ht="15" customHeight="1">
      <c r="A600" t="inlineStr">
        <is>
          <t>A 23442-2026</t>
        </is>
      </c>
      <c r="B600" t="inlineStr">
        <is>
          <t>avverkningsanmälan</t>
        </is>
      </c>
      <c r="C600" t="inlineStr">
        <is>
          <t>Föryngringsavverkning</t>
        </is>
      </c>
      <c r="D600" s="1" t="n">
        <v>46163</v>
      </c>
      <c r="E600" s="1" t="n">
        <v>46220</v>
      </c>
      <c r="F600" t="inlineStr">
        <is>
          <t>DALARNAS LÄN</t>
        </is>
      </c>
      <c r="G600" t="inlineStr">
        <is>
          <t>MORA</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58177-2024</t>
        </is>
      </c>
      <c r="B601" t="inlineStr">
        <is>
          <t>avverkningsanmälan</t>
        </is>
      </c>
      <c r="C601" t="inlineStr">
        <is>
          <t>Föryngringsavverkning</t>
        </is>
      </c>
      <c r="D601" s="1" t="n">
        <v>45632</v>
      </c>
      <c r="E601" s="1" t="n">
        <v>46220</v>
      </c>
      <c r="F601" t="inlineStr">
        <is>
          <t>DALARNAS LÄN</t>
        </is>
      </c>
      <c r="G601" t="inlineStr">
        <is>
          <t>MORA</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23437-2026</t>
        </is>
      </c>
      <c r="B602" t="inlineStr">
        <is>
          <t>avverkningsanmälan</t>
        </is>
      </c>
      <c r="C602" t="inlineStr">
        <is>
          <t>Föryngringsavverkning</t>
        </is>
      </c>
      <c r="D602" s="1" t="n">
        <v>46163</v>
      </c>
      <c r="E602" s="1" t="n">
        <v>46220</v>
      </c>
      <c r="F602" t="inlineStr">
        <is>
          <t>DALARNAS LÄN</t>
        </is>
      </c>
      <c r="G602" t="inlineStr">
        <is>
          <t>MORA</t>
        </is>
      </c>
      <c r="I602" t="n">
        <v>15.5</v>
      </c>
      <c r="J602" t="n">
        <v>0</v>
      </c>
      <c r="K602" t="n">
        <v>0</v>
      </c>
      <c r="L602" t="n">
        <v>0</v>
      </c>
      <c r="M602" t="n">
        <v>0</v>
      </c>
      <c r="N602" t="n">
        <v>0</v>
      </c>
      <c r="O602" t="n">
        <v>0</v>
      </c>
      <c r="P602" t="n">
        <v>0</v>
      </c>
      <c r="Q602" t="n">
        <v>0</v>
      </c>
      <c r="R602" t="n">
        <v>0</v>
      </c>
      <c r="S602" t="n">
        <v>0</v>
      </c>
      <c r="T602" t="n">
        <v>0</v>
      </c>
      <c r="U602" s="2" t="inlineStr"/>
    </row>
    <row r="603" ht="15" customHeight="1">
      <c r="A603" t="inlineStr">
        <is>
          <t>A 28087-2026</t>
        </is>
      </c>
      <c r="B603" t="inlineStr">
        <is>
          <t>avverkningsanmälan</t>
        </is>
      </c>
      <c r="C603" t="inlineStr">
        <is>
          <t>Föryngringsavverkning</t>
        </is>
      </c>
      <c r="D603" s="1" t="n">
        <v>46195</v>
      </c>
      <c r="E603" s="1" t="n">
        <v>46220</v>
      </c>
      <c r="F603" t="inlineStr">
        <is>
          <t>DALARNAS LÄN</t>
        </is>
      </c>
      <c r="G603" t="inlineStr">
        <is>
          <t>MORA</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45390-2024</t>
        </is>
      </c>
      <c r="B604" t="inlineStr">
        <is>
          <t>avverkningsanmälan</t>
        </is>
      </c>
      <c r="C604" t="inlineStr">
        <is>
          <t>Föryngringsavverkning</t>
        </is>
      </c>
      <c r="D604" s="1" t="n">
        <v>45576</v>
      </c>
      <c r="E604" s="1" t="n">
        <v>46220</v>
      </c>
      <c r="F604" t="inlineStr">
        <is>
          <t>DALARNAS LÄN</t>
        </is>
      </c>
      <c r="G604" t="inlineStr">
        <is>
          <t>MORA</t>
        </is>
      </c>
      <c r="H604" t="inlineStr">
        <is>
          <t>Bergvik skog väst AB</t>
        </is>
      </c>
      <c r="I604" t="n">
        <v>5.6</v>
      </c>
      <c r="J604" t="n">
        <v>0</v>
      </c>
      <c r="K604" t="n">
        <v>0</v>
      </c>
      <c r="L604" t="n">
        <v>0</v>
      </c>
      <c r="M604" t="n">
        <v>0</v>
      </c>
      <c r="N604" t="n">
        <v>0</v>
      </c>
      <c r="O604" t="n">
        <v>0</v>
      </c>
      <c r="P604" t="n">
        <v>0</v>
      </c>
      <c r="Q604" t="n">
        <v>0</v>
      </c>
      <c r="R604" t="n">
        <v>0</v>
      </c>
      <c r="S604" t="n">
        <v>0</v>
      </c>
      <c r="T604" t="n">
        <v>0</v>
      </c>
      <c r="U604" s="2" t="inlineStr"/>
    </row>
    <row r="605" ht="15" customHeight="1">
      <c r="A605" t="inlineStr">
        <is>
          <t>A 23267-2026</t>
        </is>
      </c>
      <c r="B605" t="inlineStr">
        <is>
          <t>avverkningsanmälan</t>
        </is>
      </c>
      <c r="C605" t="inlineStr">
        <is>
          <t>Föryngringsavverkning</t>
        </is>
      </c>
      <c r="D605" s="1" t="n">
        <v>46162</v>
      </c>
      <c r="E605" s="1" t="n">
        <v>46220</v>
      </c>
      <c r="F605" t="inlineStr">
        <is>
          <t>DALARNAS LÄN</t>
        </is>
      </c>
      <c r="G605" t="inlineStr">
        <is>
          <t>MORA</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58089-2024</t>
        </is>
      </c>
      <c r="B606" t="inlineStr">
        <is>
          <t>avverkningsanmälan</t>
        </is>
      </c>
      <c r="C606" t="inlineStr">
        <is>
          <t>Föryngringsavverkning</t>
        </is>
      </c>
      <c r="D606" s="1" t="n">
        <v>45632</v>
      </c>
      <c r="E606" s="1" t="n">
        <v>46220</v>
      </c>
      <c r="F606" t="inlineStr">
        <is>
          <t>DALARNAS LÄN</t>
        </is>
      </c>
      <c r="G606" t="inlineStr">
        <is>
          <t>MORA</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29869-2026</t>
        </is>
      </c>
      <c r="B607" t="inlineStr">
        <is>
          <t>avverkningsanmälan</t>
        </is>
      </c>
      <c r="C607" t="inlineStr">
        <is>
          <t>Föryngringsavverkning</t>
        </is>
      </c>
      <c r="D607" s="1" t="n">
        <v>46205</v>
      </c>
      <c r="E607" s="1" t="n">
        <v>46220</v>
      </c>
      <c r="F607" t="inlineStr">
        <is>
          <t>DALARNAS LÄN</t>
        </is>
      </c>
      <c r="G607" t="inlineStr">
        <is>
          <t>MORA</t>
        </is>
      </c>
      <c r="I607" t="n">
        <v>5</v>
      </c>
      <c r="J607" t="n">
        <v>0</v>
      </c>
      <c r="K607" t="n">
        <v>0</v>
      </c>
      <c r="L607" t="n">
        <v>0</v>
      </c>
      <c r="M607" t="n">
        <v>0</v>
      </c>
      <c r="N607" t="n">
        <v>0</v>
      </c>
      <c r="O607" t="n">
        <v>0</v>
      </c>
      <c r="P607" t="n">
        <v>0</v>
      </c>
      <c r="Q607" t="n">
        <v>0</v>
      </c>
      <c r="R607" t="n">
        <v>0</v>
      </c>
      <c r="S607" t="n">
        <v>0</v>
      </c>
      <c r="T607" t="n">
        <v>0</v>
      </c>
      <c r="U607" s="2" t="inlineStr"/>
    </row>
    <row r="608" ht="15" customHeight="1">
      <c r="A608" t="inlineStr">
        <is>
          <t>A 4208-2023</t>
        </is>
      </c>
      <c r="B608" t="inlineStr">
        <is>
          <t>avverkningsanmälan</t>
        </is>
      </c>
      <c r="C608" t="inlineStr">
        <is>
          <t>Föryngringsavverkning</t>
        </is>
      </c>
      <c r="D608" s="1" t="n">
        <v>44953</v>
      </c>
      <c r="E608" s="1" t="n">
        <v>46220</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4210-2023</t>
        </is>
      </c>
      <c r="B609" t="inlineStr">
        <is>
          <t>avverkningsanmälan</t>
        </is>
      </c>
      <c r="C609" t="inlineStr">
        <is>
          <t>Föryngringsavverkning</t>
        </is>
      </c>
      <c r="D609" s="1" t="n">
        <v>44953</v>
      </c>
      <c r="E609" s="1" t="n">
        <v>46220</v>
      </c>
      <c r="F609" t="inlineStr">
        <is>
          <t>DALARNAS LÄN</t>
        </is>
      </c>
      <c r="G609" t="inlineStr">
        <is>
          <t>MORA</t>
        </is>
      </c>
      <c r="I609" t="n">
        <v>0.9</v>
      </c>
      <c r="J609" t="n">
        <v>0</v>
      </c>
      <c r="K609" t="n">
        <v>0</v>
      </c>
      <c r="L609" t="n">
        <v>0</v>
      </c>
      <c r="M609" t="n">
        <v>0</v>
      </c>
      <c r="N609" t="n">
        <v>0</v>
      </c>
      <c r="O609" t="n">
        <v>0</v>
      </c>
      <c r="P609" t="n">
        <v>0</v>
      </c>
      <c r="Q609" t="n">
        <v>0</v>
      </c>
      <c r="R609" t="n">
        <v>0</v>
      </c>
      <c r="S609" t="n">
        <v>0</v>
      </c>
      <c r="T609" t="n">
        <v>0</v>
      </c>
      <c r="U609" s="2" t="inlineStr"/>
    </row>
    <row r="610" ht="15" customHeight="1">
      <c r="A610" t="inlineStr">
        <is>
          <t>A 29865-2026</t>
        </is>
      </c>
      <c r="B610" t="inlineStr">
        <is>
          <t>avverkningsanmälan</t>
        </is>
      </c>
      <c r="C610" t="inlineStr">
        <is>
          <t>Föryngringsavverkning</t>
        </is>
      </c>
      <c r="D610" s="1" t="n">
        <v>46205</v>
      </c>
      <c r="E610" s="1" t="n">
        <v>46220</v>
      </c>
      <c r="F610" t="inlineStr">
        <is>
          <t>DALARNAS LÄN</t>
        </is>
      </c>
      <c r="G610" t="inlineStr">
        <is>
          <t>MORA</t>
        </is>
      </c>
      <c r="I610" t="n">
        <v>5.5</v>
      </c>
      <c r="J610" t="n">
        <v>0</v>
      </c>
      <c r="K610" t="n">
        <v>0</v>
      </c>
      <c r="L610" t="n">
        <v>0</v>
      </c>
      <c r="M610" t="n">
        <v>0</v>
      </c>
      <c r="N610" t="n">
        <v>0</v>
      </c>
      <c r="O610" t="n">
        <v>0</v>
      </c>
      <c r="P610" t="n">
        <v>0</v>
      </c>
      <c r="Q610" t="n">
        <v>0</v>
      </c>
      <c r="R610" t="n">
        <v>0</v>
      </c>
      <c r="S610" t="n">
        <v>0</v>
      </c>
      <c r="T610" t="n">
        <v>0</v>
      </c>
      <c r="U610" s="2" t="inlineStr"/>
    </row>
    <row r="611" ht="15" customHeight="1">
      <c r="A611" t="inlineStr">
        <is>
          <t>A 44769-2021</t>
        </is>
      </c>
      <c r="B611" t="inlineStr">
        <is>
          <t>avverkningsanmälan</t>
        </is>
      </c>
      <c r="C611" t="inlineStr">
        <is>
          <t>Föryngringsavverkning</t>
        </is>
      </c>
      <c r="D611" s="1" t="n">
        <v>44438</v>
      </c>
      <c r="E611" s="1" t="n">
        <v>46220</v>
      </c>
      <c r="F611" t="inlineStr">
        <is>
          <t>DALARNAS LÄN</t>
        </is>
      </c>
      <c r="G611" t="inlineStr">
        <is>
          <t>MORA</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58036-2024</t>
        </is>
      </c>
      <c r="B612" t="inlineStr">
        <is>
          <t>avverkningsanmälan</t>
        </is>
      </c>
      <c r="C612" t="inlineStr">
        <is>
          <t>Föryngringsavverkning</t>
        </is>
      </c>
      <c r="D612" s="1" t="n">
        <v>45631</v>
      </c>
      <c r="E612" s="1" t="n">
        <v>46220</v>
      </c>
      <c r="F612" t="inlineStr">
        <is>
          <t>DALARNAS LÄN</t>
        </is>
      </c>
      <c r="G612" t="inlineStr">
        <is>
          <t>MORA</t>
        </is>
      </c>
      <c r="I612" t="n">
        <v>1.6</v>
      </c>
      <c r="J612" t="n">
        <v>0</v>
      </c>
      <c r="K612" t="n">
        <v>0</v>
      </c>
      <c r="L612" t="n">
        <v>0</v>
      </c>
      <c r="M612" t="n">
        <v>0</v>
      </c>
      <c r="N612" t="n">
        <v>0</v>
      </c>
      <c r="O612" t="n">
        <v>0</v>
      </c>
      <c r="P612" t="n">
        <v>0</v>
      </c>
      <c r="Q612" t="n">
        <v>0</v>
      </c>
      <c r="R612" t="n">
        <v>0</v>
      </c>
      <c r="S612" t="n">
        <v>0</v>
      </c>
      <c r="T612" t="n">
        <v>0</v>
      </c>
      <c r="U612" s="2" t="inlineStr"/>
    </row>
    <row r="613" ht="15" customHeight="1">
      <c r="A613" t="inlineStr">
        <is>
          <t>A 23435-2026</t>
        </is>
      </c>
      <c r="B613" t="inlineStr">
        <is>
          <t>avverkningsanmälan</t>
        </is>
      </c>
      <c r="C613" t="inlineStr">
        <is>
          <t>Föryngringsavverkning</t>
        </is>
      </c>
      <c r="D613" s="1" t="n">
        <v>46163</v>
      </c>
      <c r="E613" s="1" t="n">
        <v>46220</v>
      </c>
      <c r="F613" t="inlineStr">
        <is>
          <t>DALARNAS LÄN</t>
        </is>
      </c>
      <c r="G613" t="inlineStr">
        <is>
          <t>MORA</t>
        </is>
      </c>
      <c r="I613" t="n">
        <v>2.9</v>
      </c>
      <c r="J613" t="n">
        <v>0</v>
      </c>
      <c r="K613" t="n">
        <v>0</v>
      </c>
      <c r="L613" t="n">
        <v>0</v>
      </c>
      <c r="M613" t="n">
        <v>0</v>
      </c>
      <c r="N613" t="n">
        <v>0</v>
      </c>
      <c r="O613" t="n">
        <v>0</v>
      </c>
      <c r="P613" t="n">
        <v>0</v>
      </c>
      <c r="Q613" t="n">
        <v>0</v>
      </c>
      <c r="R613" t="n">
        <v>0</v>
      </c>
      <c r="S613" t="n">
        <v>0</v>
      </c>
      <c r="T613" t="n">
        <v>0</v>
      </c>
      <c r="U613" s="2" t="inlineStr"/>
    </row>
    <row r="614" ht="15" customHeight="1">
      <c r="A614" t="inlineStr">
        <is>
          <t>A 30257-2026</t>
        </is>
      </c>
      <c r="B614" t="inlineStr">
        <is>
          <t>avverkningsanmälan</t>
        </is>
      </c>
      <c r="C614" t="inlineStr">
        <is>
          <t>Föryngringsavverkning</t>
        </is>
      </c>
      <c r="D614" s="1" t="n">
        <v>46206</v>
      </c>
      <c r="E614" s="1" t="n">
        <v>46220</v>
      </c>
      <c r="F614" t="inlineStr">
        <is>
          <t>DALARNAS LÄN</t>
        </is>
      </c>
      <c r="G614" t="inlineStr">
        <is>
          <t>MORA</t>
        </is>
      </c>
      <c r="H614" t="inlineStr">
        <is>
          <t>Bergvik skog väst AB</t>
        </is>
      </c>
      <c r="I614" t="n">
        <v>32.8</v>
      </c>
      <c r="J614" t="n">
        <v>0</v>
      </c>
      <c r="K614" t="n">
        <v>0</v>
      </c>
      <c r="L614" t="n">
        <v>0</v>
      </c>
      <c r="M614" t="n">
        <v>0</v>
      </c>
      <c r="N614" t="n">
        <v>0</v>
      </c>
      <c r="O614" t="n">
        <v>0</v>
      </c>
      <c r="P614" t="n">
        <v>0</v>
      </c>
      <c r="Q614" t="n">
        <v>0</v>
      </c>
      <c r="R614" t="n">
        <v>0</v>
      </c>
      <c r="S614" t="n">
        <v>0</v>
      </c>
      <c r="T614" t="n">
        <v>0</v>
      </c>
      <c r="U614" s="2" t="inlineStr"/>
    </row>
    <row r="615" ht="15" customHeight="1">
      <c r="A615" t="inlineStr">
        <is>
          <t>A 29281-2026</t>
        </is>
      </c>
      <c r="B615" t="inlineStr">
        <is>
          <t>avverkningsanmälan</t>
        </is>
      </c>
      <c r="C615" t="inlineStr">
        <is>
          <t>Föryngringsavverkning</t>
        </is>
      </c>
      <c r="D615" s="1" t="n">
        <v>46202</v>
      </c>
      <c r="E615" s="1" t="n">
        <v>46220</v>
      </c>
      <c r="F615" t="inlineStr">
        <is>
          <t>DALARNAS LÄN</t>
        </is>
      </c>
      <c r="G615" t="inlineStr">
        <is>
          <t>MORA</t>
        </is>
      </c>
      <c r="I615" t="n">
        <v>0.7</v>
      </c>
      <c r="J615" t="n">
        <v>0</v>
      </c>
      <c r="K615" t="n">
        <v>0</v>
      </c>
      <c r="L615" t="n">
        <v>0</v>
      </c>
      <c r="M615" t="n">
        <v>0</v>
      </c>
      <c r="N615" t="n">
        <v>0</v>
      </c>
      <c r="O615" t="n">
        <v>0</v>
      </c>
      <c r="P615" t="n">
        <v>0</v>
      </c>
      <c r="Q615" t="n">
        <v>0</v>
      </c>
      <c r="R615" t="n">
        <v>0</v>
      </c>
      <c r="S615" t="n">
        <v>0</v>
      </c>
      <c r="T615" t="n">
        <v>0</v>
      </c>
      <c r="U615" s="2" t="inlineStr"/>
    </row>
    <row r="616" ht="15" customHeight="1">
      <c r="A616" t="inlineStr">
        <is>
          <t>A 39897-2022</t>
        </is>
      </c>
      <c r="B616" t="inlineStr">
        <is>
          <t>avverkningsanmälan</t>
        </is>
      </c>
      <c r="C616" t="inlineStr">
        <is>
          <t>Föryngringsavverkning</t>
        </is>
      </c>
      <c r="D616" s="1" t="n">
        <v>44819</v>
      </c>
      <c r="E616" s="1" t="n">
        <v>46220</v>
      </c>
      <c r="F616" t="inlineStr">
        <is>
          <t>DALARNAS LÄN</t>
        </is>
      </c>
      <c r="G616" t="inlineStr">
        <is>
          <t>MORA</t>
        </is>
      </c>
      <c r="I616" t="n">
        <v>15.8</v>
      </c>
      <c r="J616" t="n">
        <v>0</v>
      </c>
      <c r="K616" t="n">
        <v>0</v>
      </c>
      <c r="L616" t="n">
        <v>0</v>
      </c>
      <c r="M616" t="n">
        <v>0</v>
      </c>
      <c r="N616" t="n">
        <v>0</v>
      </c>
      <c r="O616" t="n">
        <v>0</v>
      </c>
      <c r="P616" t="n">
        <v>0</v>
      </c>
      <c r="Q616" t="n">
        <v>0</v>
      </c>
      <c r="R616" t="n">
        <v>0</v>
      </c>
      <c r="S616" t="n">
        <v>0</v>
      </c>
      <c r="T616" t="n">
        <v>0</v>
      </c>
      <c r="U616" s="2" t="inlineStr"/>
    </row>
    <row r="617" ht="15" customHeight="1">
      <c r="A617" t="inlineStr">
        <is>
          <t>A 30185-2026</t>
        </is>
      </c>
      <c r="B617" t="inlineStr">
        <is>
          <t>avverkningsanmälan</t>
        </is>
      </c>
      <c r="C617" t="inlineStr">
        <is>
          <t>Föryngringsavverkning</t>
        </is>
      </c>
      <c r="D617" s="1" t="n">
        <v>46206</v>
      </c>
      <c r="E617" s="1" t="n">
        <v>46220</v>
      </c>
      <c r="F617" t="inlineStr">
        <is>
          <t>DALARNAS LÄN</t>
        </is>
      </c>
      <c r="G617" t="inlineStr">
        <is>
          <t>MORA</t>
        </is>
      </c>
      <c r="I617" t="n">
        <v>7.7</v>
      </c>
      <c r="J617" t="n">
        <v>0</v>
      </c>
      <c r="K617" t="n">
        <v>0</v>
      </c>
      <c r="L617" t="n">
        <v>0</v>
      </c>
      <c r="M617" t="n">
        <v>0</v>
      </c>
      <c r="N617" t="n">
        <v>0</v>
      </c>
      <c r="O617" t="n">
        <v>0</v>
      </c>
      <c r="P617" t="n">
        <v>0</v>
      </c>
      <c r="Q617" t="n">
        <v>0</v>
      </c>
      <c r="R617" t="n">
        <v>0</v>
      </c>
      <c r="S617" t="n">
        <v>0</v>
      </c>
      <c r="T617" t="n">
        <v>0</v>
      </c>
      <c r="U617" s="2" t="inlineStr"/>
    </row>
    <row r="618" ht="15" customHeight="1">
      <c r="A618" t="inlineStr">
        <is>
          <t>A 29276-2026</t>
        </is>
      </c>
      <c r="B618" t="inlineStr">
        <is>
          <t>avverkningsanmälan</t>
        </is>
      </c>
      <c r="C618" t="inlineStr">
        <is>
          <t>Föryngringsavverkning</t>
        </is>
      </c>
      <c r="D618" s="1" t="n">
        <v>46202</v>
      </c>
      <c r="E618" s="1" t="n">
        <v>46220</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62853-2023</t>
        </is>
      </c>
      <c r="B619" t="inlineStr">
        <is>
          <t>avverkningsanmälan</t>
        </is>
      </c>
      <c r="C619" t="inlineStr">
        <is>
          <t>Avverkning för annat ändamål</t>
        </is>
      </c>
      <c r="D619" s="1" t="n">
        <v>45272</v>
      </c>
      <c r="E619" s="1" t="n">
        <v>46220</v>
      </c>
      <c r="F619" t="inlineStr">
        <is>
          <t>DALARNAS LÄN</t>
        </is>
      </c>
      <c r="G619" t="inlineStr">
        <is>
          <t>MORA</t>
        </is>
      </c>
      <c r="I619" t="n">
        <v>13.6</v>
      </c>
      <c r="J619" t="n">
        <v>0</v>
      </c>
      <c r="K619" t="n">
        <v>0</v>
      </c>
      <c r="L619" t="n">
        <v>0</v>
      </c>
      <c r="M619" t="n">
        <v>0</v>
      </c>
      <c r="N619" t="n">
        <v>0</v>
      </c>
      <c r="O619" t="n">
        <v>0</v>
      </c>
      <c r="P619" t="n">
        <v>0</v>
      </c>
      <c r="Q619" t="n">
        <v>0</v>
      </c>
      <c r="R619" t="n">
        <v>0</v>
      </c>
      <c r="S619" t="n">
        <v>0</v>
      </c>
      <c r="T619" t="n">
        <v>0</v>
      </c>
      <c r="U619" s="2" t="inlineStr"/>
    </row>
    <row r="620" ht="15" customHeight="1">
      <c r="A620" t="inlineStr">
        <is>
          <t>A 23690-2026</t>
        </is>
      </c>
      <c r="B620" t="inlineStr">
        <is>
          <t>avverkningsanmälan</t>
        </is>
      </c>
      <c r="C620" t="inlineStr">
        <is>
          <t>Föryngringsavverkning</t>
        </is>
      </c>
      <c r="D620" s="1" t="n">
        <v>46164</v>
      </c>
      <c r="E620" s="1" t="n">
        <v>46220</v>
      </c>
      <c r="F620" t="inlineStr">
        <is>
          <t>DALARNAS LÄN</t>
        </is>
      </c>
      <c r="G620" t="inlineStr">
        <is>
          <t>MORA</t>
        </is>
      </c>
      <c r="H620" t="inlineStr">
        <is>
          <t>Bergvik skog öst AB</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11919-2024</t>
        </is>
      </c>
      <c r="B621" t="inlineStr">
        <is>
          <t>avverkningsanmälan</t>
        </is>
      </c>
      <c r="C621" t="inlineStr">
        <is>
          <t>Föryngringsavverkning</t>
        </is>
      </c>
      <c r="D621" s="1" t="n">
        <v>45376</v>
      </c>
      <c r="E621" s="1" t="n">
        <v>46220</v>
      </c>
      <c r="F621" t="inlineStr">
        <is>
          <t>DALARNAS LÄN</t>
        </is>
      </c>
      <c r="G621" t="inlineStr">
        <is>
          <t>MORA</t>
        </is>
      </c>
      <c r="I621" t="n">
        <v>3.5</v>
      </c>
      <c r="J621" t="n">
        <v>0</v>
      </c>
      <c r="K621" t="n">
        <v>0</v>
      </c>
      <c r="L621" t="n">
        <v>0</v>
      </c>
      <c r="M621" t="n">
        <v>0</v>
      </c>
      <c r="N621" t="n">
        <v>0</v>
      </c>
      <c r="O621" t="n">
        <v>0</v>
      </c>
      <c r="P621" t="n">
        <v>0</v>
      </c>
      <c r="Q621" t="n">
        <v>0</v>
      </c>
      <c r="R621" t="n">
        <v>0</v>
      </c>
      <c r="S621" t="n">
        <v>0</v>
      </c>
      <c r="T621" t="n">
        <v>0</v>
      </c>
      <c r="U621" s="2" t="inlineStr"/>
    </row>
    <row r="622" ht="15" customHeight="1">
      <c r="A622" t="inlineStr">
        <is>
          <t>A 1897-2023</t>
        </is>
      </c>
      <c r="B622" t="inlineStr">
        <is>
          <t>avverkningsanmälan</t>
        </is>
      </c>
      <c r="C622" t="inlineStr">
        <is>
          <t>Föryngringsavverkning</t>
        </is>
      </c>
      <c r="D622" s="1" t="n">
        <v>44937</v>
      </c>
      <c r="E622" s="1" t="n">
        <v>46220</v>
      </c>
      <c r="F622" t="inlineStr">
        <is>
          <t>DALARNAS LÄN</t>
        </is>
      </c>
      <c r="G622" t="inlineStr">
        <is>
          <t>MORA</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37385-2022</t>
        </is>
      </c>
      <c r="B623" t="inlineStr">
        <is>
          <t>avverkningsanmälan</t>
        </is>
      </c>
      <c r="C623" t="inlineStr">
        <is>
          <t>Föryngringsavverkning</t>
        </is>
      </c>
      <c r="D623" s="1" t="n">
        <v>44806</v>
      </c>
      <c r="E623" s="1" t="n">
        <v>46220</v>
      </c>
      <c r="F623" t="inlineStr">
        <is>
          <t>DALARNAS LÄN</t>
        </is>
      </c>
      <c r="G623" t="inlineStr">
        <is>
          <t>MORA</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70141-2021</t>
        </is>
      </c>
      <c r="B624" t="inlineStr">
        <is>
          <t>avverkningsanmälan</t>
        </is>
      </c>
      <c r="C624" t="inlineStr">
        <is>
          <t>Föryngringsavverkning</t>
        </is>
      </c>
      <c r="D624" s="1" t="n">
        <v>44533</v>
      </c>
      <c r="E624" s="1" t="n">
        <v>46220</v>
      </c>
      <c r="F624" t="inlineStr">
        <is>
          <t>DALARNAS LÄN</t>
        </is>
      </c>
      <c r="G624" t="inlineStr">
        <is>
          <t>MORA</t>
        </is>
      </c>
      <c r="I624" t="n">
        <v>4.1</v>
      </c>
      <c r="J624" t="n">
        <v>0</v>
      </c>
      <c r="K624" t="n">
        <v>0</v>
      </c>
      <c r="L624" t="n">
        <v>0</v>
      </c>
      <c r="M624" t="n">
        <v>0</v>
      </c>
      <c r="N624" t="n">
        <v>0</v>
      </c>
      <c r="O624" t="n">
        <v>0</v>
      </c>
      <c r="P624" t="n">
        <v>0</v>
      </c>
      <c r="Q624" t="n">
        <v>0</v>
      </c>
      <c r="R624" t="n">
        <v>0</v>
      </c>
      <c r="S624" t="n">
        <v>0</v>
      </c>
      <c r="T624" t="n">
        <v>0</v>
      </c>
      <c r="U624" s="2" t="inlineStr"/>
    </row>
    <row r="625" ht="15" customHeight="1">
      <c r="A625" t="inlineStr">
        <is>
          <t>A 64093-2023</t>
        </is>
      </c>
      <c r="B625" t="inlineStr">
        <is>
          <t>avverkningsanmälan</t>
        </is>
      </c>
      <c r="C625" t="inlineStr">
        <is>
          <t>Föryngringsavverkning</t>
        </is>
      </c>
      <c r="D625" s="1" t="n">
        <v>45279</v>
      </c>
      <c r="E625" s="1" t="n">
        <v>46220</v>
      </c>
      <c r="F625" t="inlineStr">
        <is>
          <t>DALARNAS LÄN</t>
        </is>
      </c>
      <c r="G625" t="inlineStr">
        <is>
          <t>MORA</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13543-2026</t>
        </is>
      </c>
      <c r="B626" t="inlineStr">
        <is>
          <t>avverkningsanmälan</t>
        </is>
      </c>
      <c r="C626" t="inlineStr">
        <is>
          <t>Föryngringsavverkning</t>
        </is>
      </c>
      <c r="D626" s="1" t="n">
        <v>46094</v>
      </c>
      <c r="E626" s="1" t="n">
        <v>46220</v>
      </c>
      <c r="F626" t="inlineStr">
        <is>
          <t>DALARNAS LÄN</t>
        </is>
      </c>
      <c r="G626" t="inlineStr">
        <is>
          <t>MORA</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24043-2026</t>
        </is>
      </c>
      <c r="B627" t="inlineStr">
        <is>
          <t>avverkningsanmälan</t>
        </is>
      </c>
      <c r="C627" t="inlineStr">
        <is>
          <t>Föryngringsavverkning</t>
        </is>
      </c>
      <c r="D627" s="1" t="n">
        <v>46168</v>
      </c>
      <c r="E627" s="1" t="n">
        <v>46220</v>
      </c>
      <c r="F627" t="inlineStr">
        <is>
          <t>DALARNAS LÄN</t>
        </is>
      </c>
      <c r="G627" t="inlineStr">
        <is>
          <t>MORA</t>
        </is>
      </c>
      <c r="H627" t="inlineStr">
        <is>
          <t>Bergvik skog öst AB</t>
        </is>
      </c>
      <c r="I627" t="n">
        <v>0.3</v>
      </c>
      <c r="J627" t="n">
        <v>0</v>
      </c>
      <c r="K627" t="n">
        <v>0</v>
      </c>
      <c r="L627" t="n">
        <v>0</v>
      </c>
      <c r="M627" t="n">
        <v>0</v>
      </c>
      <c r="N627" t="n">
        <v>0</v>
      </c>
      <c r="O627" t="n">
        <v>0</v>
      </c>
      <c r="P627" t="n">
        <v>0</v>
      </c>
      <c r="Q627" t="n">
        <v>0</v>
      </c>
      <c r="R627" t="n">
        <v>0</v>
      </c>
      <c r="S627" t="n">
        <v>0</v>
      </c>
      <c r="T627" t="n">
        <v>0</v>
      </c>
      <c r="U627" s="2" t="inlineStr"/>
    </row>
    <row r="628" ht="15" customHeight="1">
      <c r="A628" t="inlineStr">
        <is>
          <t>A 53344-2023</t>
        </is>
      </c>
      <c r="B628" t="inlineStr">
        <is>
          <t>avverkningsanmälan</t>
        </is>
      </c>
      <c r="C628" t="inlineStr">
        <is>
          <t>Föryngringsavverkning</t>
        </is>
      </c>
      <c r="D628" s="1" t="n">
        <v>45229</v>
      </c>
      <c r="E628" s="1" t="n">
        <v>46220</v>
      </c>
      <c r="F628" t="inlineStr">
        <is>
          <t>DALARNAS LÄN</t>
        </is>
      </c>
      <c r="G628" t="inlineStr">
        <is>
          <t>MORA</t>
        </is>
      </c>
      <c r="I628" t="n">
        <v>2.4</v>
      </c>
      <c r="J628" t="n">
        <v>0</v>
      </c>
      <c r="K628" t="n">
        <v>0</v>
      </c>
      <c r="L628" t="n">
        <v>0</v>
      </c>
      <c r="M628" t="n">
        <v>0</v>
      </c>
      <c r="N628" t="n">
        <v>0</v>
      </c>
      <c r="O628" t="n">
        <v>0</v>
      </c>
      <c r="P628" t="n">
        <v>0</v>
      </c>
      <c r="Q628" t="n">
        <v>0</v>
      </c>
      <c r="R628" t="n">
        <v>0</v>
      </c>
      <c r="S628" t="n">
        <v>0</v>
      </c>
      <c r="T628" t="n">
        <v>0</v>
      </c>
      <c r="U628" s="2" t="inlineStr"/>
    </row>
    <row r="629" ht="15" customHeight="1">
      <c r="A629" t="inlineStr">
        <is>
          <t>A 30699-2026</t>
        </is>
      </c>
      <c r="B629" t="inlineStr">
        <is>
          <t>avverkningsanmälan</t>
        </is>
      </c>
      <c r="C629" t="inlineStr">
        <is>
          <t>Föryngringsavverkning</t>
        </is>
      </c>
      <c r="D629" s="1" t="n">
        <v>46211</v>
      </c>
      <c r="E629" s="1" t="n">
        <v>46220</v>
      </c>
      <c r="F629" t="inlineStr">
        <is>
          <t>DALARNAS LÄN</t>
        </is>
      </c>
      <c r="G629" t="inlineStr">
        <is>
          <t>MORA</t>
        </is>
      </c>
      <c r="I629" t="n">
        <v>13.2</v>
      </c>
      <c r="J629" t="n">
        <v>0</v>
      </c>
      <c r="K629" t="n">
        <v>0</v>
      </c>
      <c r="L629" t="n">
        <v>0</v>
      </c>
      <c r="M629" t="n">
        <v>0</v>
      </c>
      <c r="N629" t="n">
        <v>0</v>
      </c>
      <c r="O629" t="n">
        <v>0</v>
      </c>
      <c r="P629" t="n">
        <v>0</v>
      </c>
      <c r="Q629" t="n">
        <v>0</v>
      </c>
      <c r="R629" t="n">
        <v>0</v>
      </c>
      <c r="S629" t="n">
        <v>0</v>
      </c>
      <c r="T629" t="n">
        <v>0</v>
      </c>
      <c r="U629" s="2" t="inlineStr"/>
    </row>
    <row r="630" ht="15" customHeight="1">
      <c r="A630" t="inlineStr">
        <is>
          <t>A 53754-2024</t>
        </is>
      </c>
      <c r="B630" t="inlineStr">
        <is>
          <t>avverkningsanmälan</t>
        </is>
      </c>
      <c r="C630" t="inlineStr">
        <is>
          <t>Föryngringsavverkning</t>
        </is>
      </c>
      <c r="D630" s="1" t="n">
        <v>45615</v>
      </c>
      <c r="E630" s="1" t="n">
        <v>46220</v>
      </c>
      <c r="F630" t="inlineStr">
        <is>
          <t>DALARNAS LÄN</t>
        </is>
      </c>
      <c r="G630" t="inlineStr">
        <is>
          <t>MORA</t>
        </is>
      </c>
      <c r="I630" t="n">
        <v>4.8</v>
      </c>
      <c r="J630" t="n">
        <v>0</v>
      </c>
      <c r="K630" t="n">
        <v>0</v>
      </c>
      <c r="L630" t="n">
        <v>0</v>
      </c>
      <c r="M630" t="n">
        <v>0</v>
      </c>
      <c r="N630" t="n">
        <v>0</v>
      </c>
      <c r="O630" t="n">
        <v>0</v>
      </c>
      <c r="P630" t="n">
        <v>0</v>
      </c>
      <c r="Q630" t="n">
        <v>0</v>
      </c>
      <c r="R630" t="n">
        <v>0</v>
      </c>
      <c r="S630" t="n">
        <v>0</v>
      </c>
      <c r="T630" t="n">
        <v>0</v>
      </c>
      <c r="U630" s="2" t="inlineStr"/>
    </row>
    <row r="631" ht="15" customHeight="1">
      <c r="A631" t="inlineStr">
        <is>
          <t>A 14040-2023</t>
        </is>
      </c>
      <c r="B631" t="inlineStr">
        <is>
          <t>avverkningsanmälan</t>
        </is>
      </c>
      <c r="C631" t="inlineStr">
        <is>
          <t>Föryngringsavverkning</t>
        </is>
      </c>
      <c r="D631" s="1" t="n">
        <v>45008</v>
      </c>
      <c r="E631" s="1" t="n">
        <v>46220</v>
      </c>
      <c r="F631" t="inlineStr">
        <is>
          <t>DALARNAS LÄN</t>
        </is>
      </c>
      <c r="G631" t="inlineStr">
        <is>
          <t>MORA</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57647-2025</t>
        </is>
      </c>
      <c r="B632" t="inlineStr">
        <is>
          <t>avverkningsanmälan</t>
        </is>
      </c>
      <c r="C632" t="inlineStr">
        <is>
          <t>Föryngringsavverkning</t>
        </is>
      </c>
      <c r="D632" s="1" t="n">
        <v>45981</v>
      </c>
      <c r="E632" s="1" t="n">
        <v>46220</v>
      </c>
      <c r="F632" t="inlineStr">
        <is>
          <t>DALARNAS LÄN</t>
        </is>
      </c>
      <c r="G632" t="inlineStr">
        <is>
          <t>MORA</t>
        </is>
      </c>
      <c r="I632" t="n">
        <v>3.9</v>
      </c>
      <c r="J632" t="n">
        <v>0</v>
      </c>
      <c r="K632" t="n">
        <v>0</v>
      </c>
      <c r="L632" t="n">
        <v>0</v>
      </c>
      <c r="M632" t="n">
        <v>0</v>
      </c>
      <c r="N632" t="n">
        <v>0</v>
      </c>
      <c r="O632" t="n">
        <v>0</v>
      </c>
      <c r="P632" t="n">
        <v>0</v>
      </c>
      <c r="Q632" t="n">
        <v>0</v>
      </c>
      <c r="R632" t="n">
        <v>0</v>
      </c>
      <c r="S632" t="n">
        <v>0</v>
      </c>
      <c r="T632" t="n">
        <v>0</v>
      </c>
      <c r="U632" s="2" t="inlineStr"/>
    </row>
    <row r="633" ht="15" customHeight="1">
      <c r="A633" t="inlineStr">
        <is>
          <t>A 24048-2026</t>
        </is>
      </c>
      <c r="B633" t="inlineStr">
        <is>
          <t>avverkningsanmälan</t>
        </is>
      </c>
      <c r="C633" t="inlineStr">
        <is>
          <t>Föryngringsavverkning</t>
        </is>
      </c>
      <c r="D633" s="1" t="n">
        <v>46168</v>
      </c>
      <c r="E633" s="1" t="n">
        <v>46220</v>
      </c>
      <c r="F633" t="inlineStr">
        <is>
          <t>DALARNAS LÄN</t>
        </is>
      </c>
      <c r="G633" t="inlineStr">
        <is>
          <t>MORA</t>
        </is>
      </c>
      <c r="H633" t="inlineStr">
        <is>
          <t>Bergvik skog öst AB</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18120-2025</t>
        </is>
      </c>
      <c r="B634" t="inlineStr">
        <is>
          <t>avverkningsanmälan</t>
        </is>
      </c>
      <c r="C634" t="inlineStr">
        <is>
          <t>Föryngringsavverkning</t>
        </is>
      </c>
      <c r="D634" s="1" t="n">
        <v>45761</v>
      </c>
      <c r="E634" s="1" t="n">
        <v>46220</v>
      </c>
      <c r="F634" t="inlineStr">
        <is>
          <t>DALARNAS LÄN</t>
        </is>
      </c>
      <c r="G634" t="inlineStr">
        <is>
          <t>MORA</t>
        </is>
      </c>
      <c r="H634" t="inlineStr">
        <is>
          <t>Bergvik skog väst AB</t>
        </is>
      </c>
      <c r="I634" t="n">
        <v>6.4</v>
      </c>
      <c r="J634" t="n">
        <v>0</v>
      </c>
      <c r="K634" t="n">
        <v>0</v>
      </c>
      <c r="L634" t="n">
        <v>0</v>
      </c>
      <c r="M634" t="n">
        <v>0</v>
      </c>
      <c r="N634" t="n">
        <v>0</v>
      </c>
      <c r="O634" t="n">
        <v>0</v>
      </c>
      <c r="P634" t="n">
        <v>0</v>
      </c>
      <c r="Q634" t="n">
        <v>0</v>
      </c>
      <c r="R634" t="n">
        <v>0</v>
      </c>
      <c r="S634" t="n">
        <v>0</v>
      </c>
      <c r="T634" t="n">
        <v>0</v>
      </c>
      <c r="U634" s="2" t="inlineStr"/>
    </row>
    <row r="635" ht="15" customHeight="1">
      <c r="A635" t="inlineStr">
        <is>
          <t>A 18127-2025</t>
        </is>
      </c>
      <c r="B635" t="inlineStr">
        <is>
          <t>avverkningsanmälan</t>
        </is>
      </c>
      <c r="C635" t="inlineStr">
        <is>
          <t>Föryngringsavverkning</t>
        </is>
      </c>
      <c r="D635" s="1" t="n">
        <v>45761</v>
      </c>
      <c r="E635" s="1" t="n">
        <v>46220</v>
      </c>
      <c r="F635" t="inlineStr">
        <is>
          <t>DALARNAS LÄN</t>
        </is>
      </c>
      <c r="G635" t="inlineStr">
        <is>
          <t>MORA</t>
        </is>
      </c>
      <c r="H635" t="inlineStr">
        <is>
          <t>Bergvik skog öst AB</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4489-2022</t>
        </is>
      </c>
      <c r="B636" t="inlineStr">
        <is>
          <t>avverkningsanmälan</t>
        </is>
      </c>
      <c r="C636" t="inlineStr">
        <is>
          <t>Föryngringsavverkning</t>
        </is>
      </c>
      <c r="D636" s="1" t="n">
        <v>44589</v>
      </c>
      <c r="E636" s="1" t="n">
        <v>46220</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45574-2023</t>
        </is>
      </c>
      <c r="B637" t="inlineStr">
        <is>
          <t>avverkningsanmälan</t>
        </is>
      </c>
      <c r="C637" t="inlineStr">
        <is>
          <t>Föryngringsavverkning</t>
        </is>
      </c>
      <c r="D637" s="1" t="n">
        <v>45194</v>
      </c>
      <c r="E637" s="1" t="n">
        <v>46220</v>
      </c>
      <c r="F637" t="inlineStr">
        <is>
          <t>DALARNAS LÄN</t>
        </is>
      </c>
      <c r="G637" t="inlineStr">
        <is>
          <t>MORA</t>
        </is>
      </c>
      <c r="I637" t="n">
        <v>6.3</v>
      </c>
      <c r="J637" t="n">
        <v>0</v>
      </c>
      <c r="K637" t="n">
        <v>0</v>
      </c>
      <c r="L637" t="n">
        <v>0</v>
      </c>
      <c r="M637" t="n">
        <v>0</v>
      </c>
      <c r="N637" t="n">
        <v>0</v>
      </c>
      <c r="O637" t="n">
        <v>0</v>
      </c>
      <c r="P637" t="n">
        <v>0</v>
      </c>
      <c r="Q637" t="n">
        <v>0</v>
      </c>
      <c r="R637" t="n">
        <v>0</v>
      </c>
      <c r="S637" t="n">
        <v>0</v>
      </c>
      <c r="T637" t="n">
        <v>0</v>
      </c>
      <c r="U637" s="2" t="inlineStr"/>
    </row>
    <row r="638" ht="15" customHeight="1">
      <c r="A638" t="inlineStr">
        <is>
          <t>A 24526-2026</t>
        </is>
      </c>
      <c r="B638" t="inlineStr">
        <is>
          <t>avverkningsanmälan</t>
        </is>
      </c>
      <c r="C638" t="inlineStr">
        <is>
          <t>Föryngringsavverkning</t>
        </is>
      </c>
      <c r="D638" s="1" t="n">
        <v>46170</v>
      </c>
      <c r="E638" s="1" t="n">
        <v>46220</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s="2" t="inlineStr"/>
    </row>
    <row r="639" ht="15" customHeight="1">
      <c r="A639" t="inlineStr">
        <is>
          <t>A 24571-2026</t>
        </is>
      </c>
      <c r="B639" t="inlineStr">
        <is>
          <t>avverkningsanmälan</t>
        </is>
      </c>
      <c r="C639" t="inlineStr">
        <is>
          <t>Föryngringsavverkning</t>
        </is>
      </c>
      <c r="D639" s="1" t="n">
        <v>46170</v>
      </c>
      <c r="E639" s="1" t="n">
        <v>46220</v>
      </c>
      <c r="F639" t="inlineStr">
        <is>
          <t>DALARNAS LÄN</t>
        </is>
      </c>
      <c r="G639" t="inlineStr">
        <is>
          <t>MORA</t>
        </is>
      </c>
      <c r="H639" t="inlineStr">
        <is>
          <t>Bergvik skog öst AB</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17172-2025</t>
        </is>
      </c>
      <c r="B640" t="inlineStr">
        <is>
          <t>avverkningsanmälan</t>
        </is>
      </c>
      <c r="C640" t="inlineStr">
        <is>
          <t>Föryngringsavverkning</t>
        </is>
      </c>
      <c r="D640" s="1" t="n">
        <v>45756</v>
      </c>
      <c r="E640" s="1" t="n">
        <v>46220</v>
      </c>
      <c r="F640" t="inlineStr">
        <is>
          <t>DALARNAS LÄN</t>
        </is>
      </c>
      <c r="G640" t="inlineStr">
        <is>
          <t>MORA</t>
        </is>
      </c>
      <c r="H640" t="inlineStr">
        <is>
          <t>Bergvik skog öst AB</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39009-2023</t>
        </is>
      </c>
      <c r="B641" t="inlineStr">
        <is>
          <t>avverkningsanmälan</t>
        </is>
      </c>
      <c r="C641" t="inlineStr">
        <is>
          <t>Avverkning för att bevara och utveckla /försöksver</t>
        </is>
      </c>
      <c r="D641" s="1" t="n">
        <v>45162</v>
      </c>
      <c r="E641" s="1" t="n">
        <v>46220</v>
      </c>
      <c r="F641" t="inlineStr">
        <is>
          <t>DALARNAS LÄN</t>
        </is>
      </c>
      <c r="G641" t="inlineStr">
        <is>
          <t>MORA</t>
        </is>
      </c>
      <c r="I641" t="n">
        <v>1.9</v>
      </c>
      <c r="J641" t="n">
        <v>0</v>
      </c>
      <c r="K641" t="n">
        <v>0</v>
      </c>
      <c r="L641" t="n">
        <v>0</v>
      </c>
      <c r="M641" t="n">
        <v>0</v>
      </c>
      <c r="N641" t="n">
        <v>0</v>
      </c>
      <c r="O641" t="n">
        <v>0</v>
      </c>
      <c r="P641" t="n">
        <v>0</v>
      </c>
      <c r="Q641" t="n">
        <v>0</v>
      </c>
      <c r="R641" t="n">
        <v>0</v>
      </c>
      <c r="S641" t="n">
        <v>0</v>
      </c>
      <c r="T641" t="n">
        <v>0</v>
      </c>
      <c r="U641" s="2" t="inlineStr"/>
    </row>
    <row r="642" ht="15" customHeight="1">
      <c r="A642" t="inlineStr">
        <is>
          <t>A 24525-2026</t>
        </is>
      </c>
      <c r="B642" t="inlineStr">
        <is>
          <t>avverkningsanmälan</t>
        </is>
      </c>
      <c r="C642" t="inlineStr">
        <is>
          <t>Föryngringsavverkning</t>
        </is>
      </c>
      <c r="D642" s="1" t="n">
        <v>46170</v>
      </c>
      <c r="E642" s="1" t="n">
        <v>46220</v>
      </c>
      <c r="F642" t="inlineStr">
        <is>
          <t>DALARNAS LÄN</t>
        </is>
      </c>
      <c r="G642" t="inlineStr">
        <is>
          <t>MORA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31007-2026</t>
        </is>
      </c>
      <c r="B643" t="inlineStr">
        <is>
          <t>avverkningsanmälan</t>
        </is>
      </c>
      <c r="C643" t="inlineStr">
        <is>
          <t>Föryngringsavverkning</t>
        </is>
      </c>
      <c r="D643" s="1" t="n">
        <v>46213</v>
      </c>
      <c r="E643" s="1" t="n">
        <v>46220</v>
      </c>
      <c r="F643" t="inlineStr">
        <is>
          <t>DALARNAS LÄN</t>
        </is>
      </c>
      <c r="G643" t="inlineStr">
        <is>
          <t>MORA</t>
        </is>
      </c>
      <c r="I643" t="n">
        <v>31.5</v>
      </c>
      <c r="J643" t="n">
        <v>0</v>
      </c>
      <c r="K643" t="n">
        <v>0</v>
      </c>
      <c r="L643" t="n">
        <v>0</v>
      </c>
      <c r="M643" t="n">
        <v>0</v>
      </c>
      <c r="N643" t="n">
        <v>0</v>
      </c>
      <c r="O643" t="n">
        <v>0</v>
      </c>
      <c r="P643" t="n">
        <v>0</v>
      </c>
      <c r="Q643" t="n">
        <v>0</v>
      </c>
      <c r="R643" t="n">
        <v>0</v>
      </c>
      <c r="S643" t="n">
        <v>0</v>
      </c>
      <c r="T643" t="n">
        <v>0</v>
      </c>
      <c r="U643" s="2" t="inlineStr"/>
    </row>
    <row r="644" ht="15" customHeight="1">
      <c r="A644" t="inlineStr">
        <is>
          <t>A 60360-2023</t>
        </is>
      </c>
      <c r="B644" t="inlineStr">
        <is>
          <t>avverkningsanmälan</t>
        </is>
      </c>
      <c r="C644" t="inlineStr">
        <is>
          <t>Föryngringsavverkning</t>
        </is>
      </c>
      <c r="D644" s="1" t="n">
        <v>45259</v>
      </c>
      <c r="E644" s="1" t="n">
        <v>46220</v>
      </c>
      <c r="F644" t="inlineStr">
        <is>
          <t>DALARNAS LÄN</t>
        </is>
      </c>
      <c r="G644" t="inlineStr">
        <is>
          <t>MORA</t>
        </is>
      </c>
      <c r="I644" t="n">
        <v>2.9</v>
      </c>
      <c r="J644" t="n">
        <v>0</v>
      </c>
      <c r="K644" t="n">
        <v>0</v>
      </c>
      <c r="L644" t="n">
        <v>0</v>
      </c>
      <c r="M644" t="n">
        <v>0</v>
      </c>
      <c r="N644" t="n">
        <v>0</v>
      </c>
      <c r="O644" t="n">
        <v>0</v>
      </c>
      <c r="P644" t="n">
        <v>0</v>
      </c>
      <c r="Q644" t="n">
        <v>0</v>
      </c>
      <c r="R644" t="n">
        <v>0</v>
      </c>
      <c r="S644" t="n">
        <v>0</v>
      </c>
      <c r="T644" t="n">
        <v>0</v>
      </c>
      <c r="U644" s="2" t="inlineStr"/>
    </row>
    <row r="645" ht="15" customHeight="1">
      <c r="A645" t="inlineStr">
        <is>
          <t>A 17164-2025</t>
        </is>
      </c>
      <c r="B645" t="inlineStr">
        <is>
          <t>avverkningsanmälan</t>
        </is>
      </c>
      <c r="C645" t="inlineStr">
        <is>
          <t>Föryngringsavverkning</t>
        </is>
      </c>
      <c r="D645" s="1" t="n">
        <v>45756</v>
      </c>
      <c r="E645" s="1" t="n">
        <v>46220</v>
      </c>
      <c r="F645" t="inlineStr">
        <is>
          <t>DALARNAS LÄN</t>
        </is>
      </c>
      <c r="G645" t="inlineStr">
        <is>
          <t>MORA</t>
        </is>
      </c>
      <c r="H645" t="inlineStr">
        <is>
          <t>Bergvik skog öst AB</t>
        </is>
      </c>
      <c r="I645" t="n">
        <v>0.3</v>
      </c>
      <c r="J645" t="n">
        <v>0</v>
      </c>
      <c r="K645" t="n">
        <v>0</v>
      </c>
      <c r="L645" t="n">
        <v>0</v>
      </c>
      <c r="M645" t="n">
        <v>0</v>
      </c>
      <c r="N645" t="n">
        <v>0</v>
      </c>
      <c r="O645" t="n">
        <v>0</v>
      </c>
      <c r="P645" t="n">
        <v>0</v>
      </c>
      <c r="Q645" t="n">
        <v>0</v>
      </c>
      <c r="R645" t="n">
        <v>0</v>
      </c>
      <c r="S645" t="n">
        <v>0</v>
      </c>
      <c r="T645" t="n">
        <v>0</v>
      </c>
      <c r="U645" s="2" t="inlineStr"/>
    </row>
    <row r="646" ht="15" customHeight="1">
      <c r="A646" t="inlineStr">
        <is>
          <t>A 24899-2026</t>
        </is>
      </c>
      <c r="B646" t="inlineStr">
        <is>
          <t>avverkningsanmälan</t>
        </is>
      </c>
      <c r="C646" t="inlineStr">
        <is>
          <t>Föryngringsavverkning</t>
        </is>
      </c>
      <c r="D646" s="1" t="n">
        <v>46174</v>
      </c>
      <c r="E646" s="1" t="n">
        <v>46220</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44205-2023</t>
        </is>
      </c>
      <c r="B647" t="inlineStr">
        <is>
          <t>avverkningsanmälan</t>
        </is>
      </c>
      <c r="C647" t="inlineStr">
        <is>
          <t>Föryngringsavverkning</t>
        </is>
      </c>
      <c r="D647" s="1" t="n">
        <v>45188</v>
      </c>
      <c r="E647" s="1" t="n">
        <v>46220</v>
      </c>
      <c r="F647" t="inlineStr">
        <is>
          <t>DALARNAS LÄN</t>
        </is>
      </c>
      <c r="G647" t="inlineStr">
        <is>
          <t>MORA</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22732-2024</t>
        </is>
      </c>
      <c r="B648" t="inlineStr">
        <is>
          <t>avverkningsanmälan</t>
        </is>
      </c>
      <c r="C648" t="inlineStr">
        <is>
          <t>Föryngringsavverkning</t>
        </is>
      </c>
      <c r="D648" s="1" t="n">
        <v>45448</v>
      </c>
      <c r="E648" s="1" t="n">
        <v>46220</v>
      </c>
      <c r="F648" t="inlineStr">
        <is>
          <t>DALARNAS LÄN</t>
        </is>
      </c>
      <c r="G648" t="inlineStr">
        <is>
          <t>MORA</t>
        </is>
      </c>
      <c r="I648" t="n">
        <v>3.6</v>
      </c>
      <c r="J648" t="n">
        <v>0</v>
      </c>
      <c r="K648" t="n">
        <v>0</v>
      </c>
      <c r="L648" t="n">
        <v>0</v>
      </c>
      <c r="M648" t="n">
        <v>0</v>
      </c>
      <c r="N648" t="n">
        <v>0</v>
      </c>
      <c r="O648" t="n">
        <v>0</v>
      </c>
      <c r="P648" t="n">
        <v>0</v>
      </c>
      <c r="Q648" t="n">
        <v>0</v>
      </c>
      <c r="R648" t="n">
        <v>0</v>
      </c>
      <c r="S648" t="n">
        <v>0</v>
      </c>
      <c r="T648" t="n">
        <v>0</v>
      </c>
      <c r="U648" s="2" t="inlineStr"/>
    </row>
    <row r="649" ht="15" customHeight="1">
      <c r="A649" t="inlineStr">
        <is>
          <t>A 29815-2026</t>
        </is>
      </c>
      <c r="B649" t="inlineStr">
        <is>
          <t>avverkningsanmälan</t>
        </is>
      </c>
      <c r="C649" t="inlineStr">
        <is>
          <t>Föryngringsavverkning</t>
        </is>
      </c>
      <c r="D649" s="1" t="n">
        <v>46205</v>
      </c>
      <c r="E649" s="1" t="n">
        <v>46220</v>
      </c>
      <c r="F649" t="inlineStr">
        <is>
          <t>DALARNAS LÄN</t>
        </is>
      </c>
      <c r="G649" t="inlineStr">
        <is>
          <t>MORA</t>
        </is>
      </c>
      <c r="I649" t="n">
        <v>7.4</v>
      </c>
      <c r="J649" t="n">
        <v>0</v>
      </c>
      <c r="K649" t="n">
        <v>0</v>
      </c>
      <c r="L649" t="n">
        <v>0</v>
      </c>
      <c r="M649" t="n">
        <v>0</v>
      </c>
      <c r="N649" t="n">
        <v>0</v>
      </c>
      <c r="O649" t="n">
        <v>0</v>
      </c>
      <c r="P649" t="n">
        <v>0</v>
      </c>
      <c r="Q649" t="n">
        <v>0</v>
      </c>
      <c r="R649" t="n">
        <v>0</v>
      </c>
      <c r="S649" t="n">
        <v>0</v>
      </c>
      <c r="T649" t="n">
        <v>0</v>
      </c>
      <c r="U649" s="2" t="inlineStr"/>
    </row>
    <row r="650" ht="15" customHeight="1">
      <c r="A650" t="inlineStr">
        <is>
          <t>A 19756-2022</t>
        </is>
      </c>
      <c r="B650" t="inlineStr">
        <is>
          <t>avverkningsanmälan</t>
        </is>
      </c>
      <c r="C650" t="inlineStr">
        <is>
          <t>Föryngringsavverkning</t>
        </is>
      </c>
      <c r="D650" s="1" t="n">
        <v>44694</v>
      </c>
      <c r="E650" s="1" t="n">
        <v>46220</v>
      </c>
      <c r="F650" t="inlineStr">
        <is>
          <t>DALARNAS LÄN</t>
        </is>
      </c>
      <c r="G650" t="inlineStr">
        <is>
          <t>MORA</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46801-2022</t>
        </is>
      </c>
      <c r="B651" t="inlineStr">
        <is>
          <t>avverkningsanmälan</t>
        </is>
      </c>
      <c r="C651" t="inlineStr">
        <is>
          <t>Föryngringsavverkning</t>
        </is>
      </c>
      <c r="D651" s="1" t="n">
        <v>44851</v>
      </c>
      <c r="E651" s="1" t="n">
        <v>46220</v>
      </c>
      <c r="F651" t="inlineStr">
        <is>
          <t>DALARNAS LÄN</t>
        </is>
      </c>
      <c r="G651" t="inlineStr">
        <is>
          <t>MORA</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5644-2024</t>
        </is>
      </c>
      <c r="B652" t="inlineStr">
        <is>
          <t>avverkningsanmälan</t>
        </is>
      </c>
      <c r="C652" t="inlineStr">
        <is>
          <t>Avverkning för att bevara och utveckla /försöksver</t>
        </is>
      </c>
      <c r="D652" s="1" t="n">
        <v>45334</v>
      </c>
      <c r="E652" s="1" t="n">
        <v>46220</v>
      </c>
      <c r="F652" t="inlineStr">
        <is>
          <t>DALARNAS LÄN</t>
        </is>
      </c>
      <c r="G652" t="inlineStr">
        <is>
          <t>MORA</t>
        </is>
      </c>
      <c r="H652" t="inlineStr">
        <is>
          <t>Bergvik skog väst AB</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33627-2024</t>
        </is>
      </c>
      <c r="B653" t="inlineStr">
        <is>
          <t>avverkningsanmälan</t>
        </is>
      </c>
      <c r="C653" t="inlineStr">
        <is>
          <t>Föryngringsavverkning</t>
        </is>
      </c>
      <c r="D653" s="1" t="n">
        <v>45520</v>
      </c>
      <c r="E653" s="1" t="n">
        <v>46220</v>
      </c>
      <c r="F653" t="inlineStr">
        <is>
          <t>DALARNAS LÄN</t>
        </is>
      </c>
      <c r="G653" t="inlineStr">
        <is>
          <t>MORA</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33666-2024</t>
        </is>
      </c>
      <c r="B654" t="inlineStr">
        <is>
          <t>avverkningsanmälan</t>
        </is>
      </c>
      <c r="C654" t="inlineStr">
        <is>
          <t>Föryngringsavverkning</t>
        </is>
      </c>
      <c r="D654" s="1" t="n">
        <v>45520</v>
      </c>
      <c r="E654" s="1" t="n">
        <v>46220</v>
      </c>
      <c r="F654" t="inlineStr">
        <is>
          <t>DALARNAS LÄN</t>
        </is>
      </c>
      <c r="G654" t="inlineStr">
        <is>
          <t>MORA</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41812-2024</t>
        </is>
      </c>
      <c r="B655" t="inlineStr">
        <is>
          <t>avverkningsanmälan</t>
        </is>
      </c>
      <c r="C655" t="inlineStr">
        <is>
          <t>Föryngringsavverkning</t>
        </is>
      </c>
      <c r="D655" s="1" t="n">
        <v>45561</v>
      </c>
      <c r="E655" s="1" t="n">
        <v>46220</v>
      </c>
      <c r="F655" t="inlineStr">
        <is>
          <t>DALARNAS LÄN</t>
        </is>
      </c>
      <c r="G655" t="inlineStr">
        <is>
          <t>MORA</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43964-2024</t>
        </is>
      </c>
      <c r="B656" t="inlineStr">
        <is>
          <t>avverkningsanmälan</t>
        </is>
      </c>
      <c r="C656" t="inlineStr">
        <is>
          <t>Föryngringsavverkning</t>
        </is>
      </c>
      <c r="D656" s="1" t="n">
        <v>45572</v>
      </c>
      <c r="E656" s="1" t="n">
        <v>46220</v>
      </c>
      <c r="F656" t="inlineStr">
        <is>
          <t>DALARNAS LÄN</t>
        </is>
      </c>
      <c r="G656" t="inlineStr">
        <is>
          <t>MORA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51883-2024</t>
        </is>
      </c>
      <c r="B657" t="inlineStr">
        <is>
          <t>avverkningsanmälan</t>
        </is>
      </c>
      <c r="C657" t="inlineStr">
        <is>
          <t>Föryngringsavverkning</t>
        </is>
      </c>
      <c r="D657" s="1" t="n">
        <v>45607</v>
      </c>
      <c r="E657" s="1" t="n">
        <v>46220</v>
      </c>
      <c r="F657" t="inlineStr">
        <is>
          <t>DALARNAS LÄN</t>
        </is>
      </c>
      <c r="G657" t="inlineStr">
        <is>
          <t>MORA</t>
        </is>
      </c>
      <c r="I657" t="n">
        <v>0.2</v>
      </c>
      <c r="J657" t="n">
        <v>0</v>
      </c>
      <c r="K657" t="n">
        <v>0</v>
      </c>
      <c r="L657" t="n">
        <v>0</v>
      </c>
      <c r="M657" t="n">
        <v>0</v>
      </c>
      <c r="N657" t="n">
        <v>0</v>
      </c>
      <c r="O657" t="n">
        <v>0</v>
      </c>
      <c r="P657" t="n">
        <v>0</v>
      </c>
      <c r="Q657" t="n">
        <v>0</v>
      </c>
      <c r="R657" t="n">
        <v>0</v>
      </c>
      <c r="S657" t="n">
        <v>0</v>
      </c>
      <c r="T657" t="n">
        <v>0</v>
      </c>
      <c r="U657" s="2" t="inlineStr"/>
    </row>
    <row r="658" ht="15" customHeight="1">
      <c r="A658" t="inlineStr">
        <is>
          <t>A 42941-2024</t>
        </is>
      </c>
      <c r="B658" t="inlineStr">
        <is>
          <t>avverkningsanmälan</t>
        </is>
      </c>
      <c r="C658" t="inlineStr">
        <is>
          <t>Föryngringsavverkning</t>
        </is>
      </c>
      <c r="D658" s="1" t="n">
        <v>45567</v>
      </c>
      <c r="E658" s="1" t="n">
        <v>46220</v>
      </c>
      <c r="F658" t="inlineStr">
        <is>
          <t>DALARNAS LÄN</t>
        </is>
      </c>
      <c r="G658" t="inlineStr">
        <is>
          <t>MORA</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16733-2024</t>
        </is>
      </c>
      <c r="B659" t="inlineStr">
        <is>
          <t>avverkningsanmälan</t>
        </is>
      </c>
      <c r="C659" t="inlineStr">
        <is>
          <t>Föryngringsavverkning</t>
        </is>
      </c>
      <c r="D659" s="1" t="n">
        <v>45410</v>
      </c>
      <c r="E659" s="1" t="n">
        <v>46220</v>
      </c>
      <c r="F659" t="inlineStr">
        <is>
          <t>DALARNAS LÄN</t>
        </is>
      </c>
      <c r="G659" t="inlineStr">
        <is>
          <t>MORA</t>
        </is>
      </c>
      <c r="I659" t="n">
        <v>6.3</v>
      </c>
      <c r="J659" t="n">
        <v>0</v>
      </c>
      <c r="K659" t="n">
        <v>0</v>
      </c>
      <c r="L659" t="n">
        <v>0</v>
      </c>
      <c r="M659" t="n">
        <v>0</v>
      </c>
      <c r="N659" t="n">
        <v>0</v>
      </c>
      <c r="O659" t="n">
        <v>0</v>
      </c>
      <c r="P659" t="n">
        <v>0</v>
      </c>
      <c r="Q659" t="n">
        <v>0</v>
      </c>
      <c r="R659" t="n">
        <v>0</v>
      </c>
      <c r="S659" t="n">
        <v>0</v>
      </c>
      <c r="T659" t="n">
        <v>0</v>
      </c>
      <c r="U659" s="2" t="inlineStr"/>
    </row>
    <row r="660" ht="15" customHeight="1">
      <c r="A660" t="inlineStr">
        <is>
          <t>A 61217-2023</t>
        </is>
      </c>
      <c r="B660" t="inlineStr">
        <is>
          <t>avverkningsanmälan</t>
        </is>
      </c>
      <c r="C660" t="inlineStr">
        <is>
          <t>Föryngringsavverkning</t>
        </is>
      </c>
      <c r="D660" s="1" t="n">
        <v>45264</v>
      </c>
      <c r="E660" s="1" t="n">
        <v>46220</v>
      </c>
      <c r="F660" t="inlineStr">
        <is>
          <t>DALARNAS LÄN</t>
        </is>
      </c>
      <c r="G660" t="inlineStr">
        <is>
          <t>MORA</t>
        </is>
      </c>
      <c r="H660" t="inlineStr">
        <is>
          <t>Allmännings- och besparingsskogar</t>
        </is>
      </c>
      <c r="I660" t="n">
        <v>2</v>
      </c>
      <c r="J660" t="n">
        <v>0</v>
      </c>
      <c r="K660" t="n">
        <v>0</v>
      </c>
      <c r="L660" t="n">
        <v>0</v>
      </c>
      <c r="M660" t="n">
        <v>0</v>
      </c>
      <c r="N660" t="n">
        <v>0</v>
      </c>
      <c r="O660" t="n">
        <v>0</v>
      </c>
      <c r="P660" t="n">
        <v>0</v>
      </c>
      <c r="Q660" t="n">
        <v>0</v>
      </c>
      <c r="R660" t="n">
        <v>0</v>
      </c>
      <c r="S660" t="n">
        <v>0</v>
      </c>
      <c r="T660" t="n">
        <v>0</v>
      </c>
      <c r="U660" s="2" t="inlineStr"/>
    </row>
    <row r="661" ht="15" customHeight="1">
      <c r="A661" t="inlineStr">
        <is>
          <t>A 61218-2023</t>
        </is>
      </c>
      <c r="B661" t="inlineStr">
        <is>
          <t>avverkningsanmälan</t>
        </is>
      </c>
      <c r="C661" t="inlineStr">
        <is>
          <t>Föryngringsavverkning</t>
        </is>
      </c>
      <c r="D661" s="1" t="n">
        <v>45264</v>
      </c>
      <c r="E661" s="1" t="n">
        <v>46220</v>
      </c>
      <c r="F661" t="inlineStr">
        <is>
          <t>DALARNAS LÄN</t>
        </is>
      </c>
      <c r="G661" t="inlineStr">
        <is>
          <t>MORA</t>
        </is>
      </c>
      <c r="H661" t="inlineStr">
        <is>
          <t>Allmännings- och besparingsskogar</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39348-2024</t>
        </is>
      </c>
      <c r="B662" t="inlineStr">
        <is>
          <t>avverkningsanmälan</t>
        </is>
      </c>
      <c r="C662" t="inlineStr">
        <is>
          <t>Föryngringsavverkning</t>
        </is>
      </c>
      <c r="D662" s="1" t="n">
        <v>45551</v>
      </c>
      <c r="E662" s="1" t="n">
        <v>46220</v>
      </c>
      <c r="F662" t="inlineStr">
        <is>
          <t>DALARNAS LÄN</t>
        </is>
      </c>
      <c r="G662" t="inlineStr">
        <is>
          <t>MORA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16573-2024</t>
        </is>
      </c>
      <c r="B663" t="inlineStr">
        <is>
          <t>avverkningsanmälan</t>
        </is>
      </c>
      <c r="C663" t="inlineStr">
        <is>
          <t>Föryngringsavverkning</t>
        </is>
      </c>
      <c r="D663" s="1" t="n">
        <v>45408</v>
      </c>
      <c r="E663" s="1" t="n">
        <v>46220</v>
      </c>
      <c r="F663" t="inlineStr">
        <is>
          <t>DALARNAS LÄN</t>
        </is>
      </c>
      <c r="G663" t="inlineStr">
        <is>
          <t>MORA</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21895-2025</t>
        </is>
      </c>
      <c r="B664" t="inlineStr">
        <is>
          <t>avverkningsanmälan</t>
        </is>
      </c>
      <c r="C664" t="inlineStr">
        <is>
          <t>Föryngringsavverkning</t>
        </is>
      </c>
      <c r="D664" s="1" t="n">
        <v>45784</v>
      </c>
      <c r="E664" s="1" t="n">
        <v>46220</v>
      </c>
      <c r="F664" t="inlineStr">
        <is>
          <t>DALARNAS LÄN</t>
        </is>
      </c>
      <c r="G664" t="inlineStr">
        <is>
          <t>MORA</t>
        </is>
      </c>
      <c r="I664" t="n">
        <v>0.4</v>
      </c>
      <c r="J664" t="n">
        <v>0</v>
      </c>
      <c r="K664" t="n">
        <v>0</v>
      </c>
      <c r="L664" t="n">
        <v>0</v>
      </c>
      <c r="M664" t="n">
        <v>0</v>
      </c>
      <c r="N664" t="n">
        <v>0</v>
      </c>
      <c r="O664" t="n">
        <v>0</v>
      </c>
      <c r="P664" t="n">
        <v>0</v>
      </c>
      <c r="Q664" t="n">
        <v>0</v>
      </c>
      <c r="R664" t="n">
        <v>0</v>
      </c>
      <c r="S664" t="n">
        <v>0</v>
      </c>
      <c r="T664" t="n">
        <v>0</v>
      </c>
      <c r="U664" s="2" t="inlineStr"/>
    </row>
    <row r="665" ht="15" customHeight="1">
      <c r="A665" t="inlineStr">
        <is>
          <t>A 56935-2024</t>
        </is>
      </c>
      <c r="B665" t="inlineStr">
        <is>
          <t>avverkningsanmälan</t>
        </is>
      </c>
      <c r="C665" t="inlineStr">
        <is>
          <t>Föryngringsavverkning</t>
        </is>
      </c>
      <c r="D665" s="1" t="n">
        <v>45625</v>
      </c>
      <c r="E665" s="1" t="n">
        <v>46220</v>
      </c>
      <c r="F665" t="inlineStr">
        <is>
          <t>DALARNAS LÄN</t>
        </is>
      </c>
      <c r="G665" t="inlineStr">
        <is>
          <t>MORA</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56927-2024</t>
        </is>
      </c>
      <c r="B666" t="inlineStr">
        <is>
          <t>avverkningsanmälan</t>
        </is>
      </c>
      <c r="C666" t="inlineStr">
        <is>
          <t>Föryngringsavverkning</t>
        </is>
      </c>
      <c r="D666" s="1" t="n">
        <v>45625</v>
      </c>
      <c r="E666" s="1" t="n">
        <v>46220</v>
      </c>
      <c r="F666" t="inlineStr">
        <is>
          <t>DALARNAS LÄN</t>
        </is>
      </c>
      <c r="G666" t="inlineStr">
        <is>
          <t>MORA</t>
        </is>
      </c>
      <c r="I666" t="n">
        <v>2.8</v>
      </c>
      <c r="J666" t="n">
        <v>0</v>
      </c>
      <c r="K666" t="n">
        <v>0</v>
      </c>
      <c r="L666" t="n">
        <v>0</v>
      </c>
      <c r="M666" t="n">
        <v>0</v>
      </c>
      <c r="N666" t="n">
        <v>0</v>
      </c>
      <c r="O666" t="n">
        <v>0</v>
      </c>
      <c r="P666" t="n">
        <v>0</v>
      </c>
      <c r="Q666" t="n">
        <v>0</v>
      </c>
      <c r="R666" t="n">
        <v>0</v>
      </c>
      <c r="S666" t="n">
        <v>0</v>
      </c>
      <c r="T666" t="n">
        <v>0</v>
      </c>
      <c r="U666" s="2" t="inlineStr"/>
    </row>
    <row r="667" ht="15" customHeight="1">
      <c r="A667" t="inlineStr">
        <is>
          <t>A 22185-2025</t>
        </is>
      </c>
      <c r="B667" t="inlineStr">
        <is>
          <t>avverkningsanmälan</t>
        </is>
      </c>
      <c r="C667" t="inlineStr">
        <is>
          <t>Föryngringsavverkning</t>
        </is>
      </c>
      <c r="D667" s="1" t="n">
        <v>45785</v>
      </c>
      <c r="E667" s="1" t="n">
        <v>46220</v>
      </c>
      <c r="F667" t="inlineStr">
        <is>
          <t>DALARNAS LÄN</t>
        </is>
      </c>
      <c r="G667" t="inlineStr">
        <is>
          <t>MORA</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59404-2024</t>
        </is>
      </c>
      <c r="B668" t="inlineStr">
        <is>
          <t>avverkningsanmälan</t>
        </is>
      </c>
      <c r="C668" t="inlineStr">
        <is>
          <t>Föryngringsavverkning</t>
        </is>
      </c>
      <c r="D668" s="1" t="n">
        <v>45638</v>
      </c>
      <c r="E668" s="1" t="n">
        <v>46220</v>
      </c>
      <c r="F668" t="inlineStr">
        <is>
          <t>DALARNAS LÄN</t>
        </is>
      </c>
      <c r="G668" t="inlineStr">
        <is>
          <t>MORA</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11193-2025</t>
        </is>
      </c>
      <c r="B669" t="inlineStr">
        <is>
          <t>avverkningsanmälan</t>
        </is>
      </c>
      <c r="C669" t="inlineStr">
        <is>
          <t>Föryngringsavverkning</t>
        </is>
      </c>
      <c r="D669" s="1" t="n">
        <v>45725</v>
      </c>
      <c r="E669" s="1" t="n">
        <v>46220</v>
      </c>
      <c r="F669" t="inlineStr">
        <is>
          <t>DALARNAS LÄN</t>
        </is>
      </c>
      <c r="G669" t="inlineStr">
        <is>
          <t>MORA</t>
        </is>
      </c>
      <c r="I669" t="n">
        <v>4.1</v>
      </c>
      <c r="J669" t="n">
        <v>0</v>
      </c>
      <c r="K669" t="n">
        <v>0</v>
      </c>
      <c r="L669" t="n">
        <v>0</v>
      </c>
      <c r="M669" t="n">
        <v>0</v>
      </c>
      <c r="N669" t="n">
        <v>0</v>
      </c>
      <c r="O669" t="n">
        <v>0</v>
      </c>
      <c r="P669" t="n">
        <v>0</v>
      </c>
      <c r="Q669" t="n">
        <v>0</v>
      </c>
      <c r="R669" t="n">
        <v>0</v>
      </c>
      <c r="S669" t="n">
        <v>0</v>
      </c>
      <c r="T669" t="n">
        <v>0</v>
      </c>
      <c r="U669" s="2" t="inlineStr"/>
    </row>
    <row r="670" ht="15" customHeight="1">
      <c r="A670" t="inlineStr">
        <is>
          <t>A 56900-2024</t>
        </is>
      </c>
      <c r="B670" t="inlineStr">
        <is>
          <t>avverkningsanmälan</t>
        </is>
      </c>
      <c r="C670" t="inlineStr">
        <is>
          <t>Föryngringsavverkning</t>
        </is>
      </c>
      <c r="D670" s="1" t="n">
        <v>45625</v>
      </c>
      <c r="E670" s="1" t="n">
        <v>46220</v>
      </c>
      <c r="F670" t="inlineStr">
        <is>
          <t>DALARNAS LÄN</t>
        </is>
      </c>
      <c r="G670" t="inlineStr">
        <is>
          <t>MORA</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23354-2022</t>
        </is>
      </c>
      <c r="B671" t="inlineStr">
        <is>
          <t>avverkningsanmälan</t>
        </is>
      </c>
      <c r="C671" t="inlineStr">
        <is>
          <t>Föryngringsavverkning</t>
        </is>
      </c>
      <c r="D671" s="1" t="n">
        <v>44720</v>
      </c>
      <c r="E671" s="1" t="n">
        <v>46220</v>
      </c>
      <c r="F671" t="inlineStr">
        <is>
          <t>DALARNAS LÄN</t>
        </is>
      </c>
      <c r="G671" t="inlineStr">
        <is>
          <t>MORA</t>
        </is>
      </c>
      <c r="I671" t="n">
        <v>5.2</v>
      </c>
      <c r="J671" t="n">
        <v>0</v>
      </c>
      <c r="K671" t="n">
        <v>0</v>
      </c>
      <c r="L671" t="n">
        <v>0</v>
      </c>
      <c r="M671" t="n">
        <v>0</v>
      </c>
      <c r="N671" t="n">
        <v>0</v>
      </c>
      <c r="O671" t="n">
        <v>0</v>
      </c>
      <c r="P671" t="n">
        <v>0</v>
      </c>
      <c r="Q671" t="n">
        <v>0</v>
      </c>
      <c r="R671" t="n">
        <v>0</v>
      </c>
      <c r="S671" t="n">
        <v>0</v>
      </c>
      <c r="T671" t="n">
        <v>0</v>
      </c>
      <c r="U671" s="2" t="inlineStr"/>
    </row>
    <row r="672" ht="15" customHeight="1">
      <c r="A672" t="inlineStr">
        <is>
          <t>A 54192-2023</t>
        </is>
      </c>
      <c r="B672" t="inlineStr">
        <is>
          <t>avverkningsanmälan</t>
        </is>
      </c>
      <c r="C672" t="inlineStr">
        <is>
          <t>Föryngringsavverkning</t>
        </is>
      </c>
      <c r="D672" s="1" t="n">
        <v>45232</v>
      </c>
      <c r="E672" s="1" t="n">
        <v>46220</v>
      </c>
      <c r="F672" t="inlineStr">
        <is>
          <t>DALARNAS LÄN</t>
        </is>
      </c>
      <c r="G672" t="inlineStr">
        <is>
          <t>MORA</t>
        </is>
      </c>
      <c r="I672" t="n">
        <v>3.4</v>
      </c>
      <c r="J672" t="n">
        <v>0</v>
      </c>
      <c r="K672" t="n">
        <v>0</v>
      </c>
      <c r="L672" t="n">
        <v>0</v>
      </c>
      <c r="M672" t="n">
        <v>0</v>
      </c>
      <c r="N672" t="n">
        <v>0</v>
      </c>
      <c r="O672" t="n">
        <v>0</v>
      </c>
      <c r="P672" t="n">
        <v>0</v>
      </c>
      <c r="Q672" t="n">
        <v>0</v>
      </c>
      <c r="R672" t="n">
        <v>0</v>
      </c>
      <c r="S672" t="n">
        <v>0</v>
      </c>
      <c r="T672" t="n">
        <v>0</v>
      </c>
      <c r="U672" s="2" t="inlineStr"/>
    </row>
    <row r="673" ht="15" customHeight="1">
      <c r="A673" t="inlineStr">
        <is>
          <t>A 23229-2025</t>
        </is>
      </c>
      <c r="B673" t="inlineStr">
        <is>
          <t>avverkningsanmälan</t>
        </is>
      </c>
      <c r="C673" t="inlineStr">
        <is>
          <t>Föryngringsavverkning</t>
        </is>
      </c>
      <c r="D673" s="1" t="n">
        <v>45791</v>
      </c>
      <c r="E673" s="1" t="n">
        <v>46220</v>
      </c>
      <c r="F673" t="inlineStr">
        <is>
          <t>DALARNAS LÄN</t>
        </is>
      </c>
      <c r="G673" t="inlineStr">
        <is>
          <t>MORA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S 773-2025</t>
        </is>
      </c>
      <c r="B674" t="inlineStr">
        <is>
          <t>samrådsanmälan</t>
        </is>
      </c>
      <c r="C674" t="inlineStr">
        <is>
          <t>Annan skogsbruksåtgärd</t>
        </is>
      </c>
      <c r="D674" s="1" t="n">
        <v>45728</v>
      </c>
      <c r="E674" s="1" t="n">
        <v>46220</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S 461-2024</t>
        </is>
      </c>
      <c r="B675" t="inlineStr">
        <is>
          <t>samrådsanmälan</t>
        </is>
      </c>
      <c r="C675" t="inlineStr">
        <is>
          <t>Skogsgödsling</t>
        </is>
      </c>
      <c r="D675" s="1" t="n">
        <v>45341</v>
      </c>
      <c r="E675" s="1" t="n">
        <v>46220</v>
      </c>
      <c r="F675" t="inlineStr">
        <is>
          <t>DALARNAS LÄN</t>
        </is>
      </c>
      <c r="G675" t="inlineStr">
        <is>
          <t>MORA</t>
        </is>
      </c>
      <c r="I675" t="n">
        <v>32.7</v>
      </c>
      <c r="J675" t="n">
        <v>0</v>
      </c>
      <c r="K675" t="n">
        <v>0</v>
      </c>
      <c r="L675" t="n">
        <v>0</v>
      </c>
      <c r="M675" t="n">
        <v>0</v>
      </c>
      <c r="N675" t="n">
        <v>0</v>
      </c>
      <c r="O675" t="n">
        <v>0</v>
      </c>
      <c r="P675" t="n">
        <v>0</v>
      </c>
      <c r="Q675" t="n">
        <v>0</v>
      </c>
      <c r="R675" t="n">
        <v>0</v>
      </c>
      <c r="S675" t="n">
        <v>0</v>
      </c>
      <c r="T675" t="n">
        <v>0</v>
      </c>
      <c r="U675" s="2" t="inlineStr"/>
    </row>
    <row r="676" ht="15" customHeight="1">
      <c r="A676" t="inlineStr">
        <is>
          <t>S 200-2024</t>
        </is>
      </c>
      <c r="B676" t="inlineStr">
        <is>
          <t>samrådsanmälan</t>
        </is>
      </c>
      <c r="C676" t="inlineStr">
        <is>
          <t>Skogsgödsling</t>
        </is>
      </c>
      <c r="D676" s="1" t="n">
        <v>45315</v>
      </c>
      <c r="E676" s="1" t="n">
        <v>46220</v>
      </c>
      <c r="F676" t="inlineStr">
        <is>
          <t>DALARNAS LÄN</t>
        </is>
      </c>
      <c r="G676" t="inlineStr">
        <is>
          <t>MORA</t>
        </is>
      </c>
      <c r="H676" t="inlineStr">
        <is>
          <t>Bergvik skog öst AB</t>
        </is>
      </c>
      <c r="I676" t="n">
        <v>69.40000000000001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S 6779-2022</t>
        </is>
      </c>
      <c r="B677" t="inlineStr">
        <is>
          <t>samrådsanmälan</t>
        </is>
      </c>
      <c r="C677" t="inlineStr">
        <is>
          <t>Annan skogsbruksåtgärd</t>
        </is>
      </c>
      <c r="D677" s="1" t="n">
        <v>44893</v>
      </c>
      <c r="E677" s="1" t="n">
        <v>46220</v>
      </c>
      <c r="F677" t="inlineStr">
        <is>
          <t>DALARNAS LÄN</t>
        </is>
      </c>
      <c r="G677" t="inlineStr">
        <is>
          <t>MORA</t>
        </is>
      </c>
      <c r="H677" t="inlineStr">
        <is>
          <t>Bergvik skog öst AB</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S 9437-2021</t>
        </is>
      </c>
      <c r="B678" t="inlineStr">
        <is>
          <t>samrådsanmälan</t>
        </is>
      </c>
      <c r="C678" t="inlineStr">
        <is>
          <t>Annan skogsbruksåtgärd</t>
        </is>
      </c>
      <c r="D678" s="1" t="n">
        <v>44522</v>
      </c>
      <c r="E678" s="1" t="n">
        <v>46220</v>
      </c>
      <c r="F678" t="inlineStr">
        <is>
          <t>DALARNAS LÄN</t>
        </is>
      </c>
      <c r="G678" t="inlineStr">
        <is>
          <t>MORA</t>
        </is>
      </c>
      <c r="H678" t="inlineStr">
        <is>
          <t>Bergvik skog öst AB</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S 10383-2021</t>
        </is>
      </c>
      <c r="B679" t="inlineStr">
        <is>
          <t>samrådsanmälan</t>
        </is>
      </c>
      <c r="C679" t="inlineStr">
        <is>
          <t>Annan skogsbruksåtgärd</t>
        </is>
      </c>
      <c r="D679" s="1" t="n">
        <v>44550</v>
      </c>
      <c r="E679" s="1" t="n">
        <v>46220</v>
      </c>
      <c r="F679" t="inlineStr">
        <is>
          <t>DALARNAS LÄN</t>
        </is>
      </c>
      <c r="G679" t="inlineStr">
        <is>
          <t>MORA</t>
        </is>
      </c>
      <c r="H679" t="inlineStr">
        <is>
          <t>Bergvik skog öst AB</t>
        </is>
      </c>
      <c r="I679" t="n">
        <v>5.3</v>
      </c>
      <c r="J679" t="n">
        <v>0</v>
      </c>
      <c r="K679" t="n">
        <v>0</v>
      </c>
      <c r="L679" t="n">
        <v>0</v>
      </c>
      <c r="M679" t="n">
        <v>0</v>
      </c>
      <c r="N679" t="n">
        <v>0</v>
      </c>
      <c r="O679" t="n">
        <v>0</v>
      </c>
      <c r="P679" t="n">
        <v>0</v>
      </c>
      <c r="Q679" t="n">
        <v>0</v>
      </c>
      <c r="R679" t="n">
        <v>0</v>
      </c>
      <c r="S679" t="n">
        <v>0</v>
      </c>
      <c r="T679" t="n">
        <v>0</v>
      </c>
      <c r="U679" s="2" t="inlineStr"/>
    </row>
    <row r="680" ht="15" customHeight="1">
      <c r="A680" t="inlineStr">
        <is>
          <t>S 4288-2023</t>
        </is>
      </c>
      <c r="B680" t="inlineStr">
        <is>
          <t>samrådsanmälan</t>
        </is>
      </c>
      <c r="C680" t="inlineStr">
        <is>
          <t>Annan skogsbruksåtgärd</t>
        </is>
      </c>
      <c r="D680" s="1" t="n">
        <v>45258</v>
      </c>
      <c r="E680" s="1" t="n">
        <v>46220</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S 822-2022</t>
        </is>
      </c>
      <c r="B681" t="inlineStr">
        <is>
          <t>samrådsanmälan</t>
        </is>
      </c>
      <c r="C681" t="inlineStr">
        <is>
          <t>Skogsgödsling</t>
        </is>
      </c>
      <c r="D681" s="1" t="n">
        <v>44602</v>
      </c>
      <c r="E681" s="1" t="n">
        <v>46220</v>
      </c>
      <c r="F681" t="inlineStr">
        <is>
          <t>DALARNAS LÄN</t>
        </is>
      </c>
      <c r="G681" t="inlineStr">
        <is>
          <t>MORA</t>
        </is>
      </c>
      <c r="H681" t="inlineStr">
        <is>
          <t>Bergvik skog väst AB</t>
        </is>
      </c>
      <c r="I681" t="n">
        <v>107.6</v>
      </c>
      <c r="J681" t="n">
        <v>0</v>
      </c>
      <c r="K681" t="n">
        <v>0</v>
      </c>
      <c r="L681" t="n">
        <v>0</v>
      </c>
      <c r="M681" t="n">
        <v>0</v>
      </c>
      <c r="N681" t="n">
        <v>0</v>
      </c>
      <c r="O681" t="n">
        <v>0</v>
      </c>
      <c r="P681" t="n">
        <v>0</v>
      </c>
      <c r="Q681" t="n">
        <v>0</v>
      </c>
      <c r="R681" t="n">
        <v>0</v>
      </c>
      <c r="S681" t="n">
        <v>0</v>
      </c>
      <c r="T681" t="n">
        <v>0</v>
      </c>
      <c r="U681" s="2" t="inlineStr"/>
    </row>
    <row r="682" ht="15" customHeight="1">
      <c r="A682" t="inlineStr">
        <is>
          <t>S 4852-2024</t>
        </is>
      </c>
      <c r="B682" t="inlineStr">
        <is>
          <t>samrådsanmälan</t>
        </is>
      </c>
      <c r="C682" t="inlineStr">
        <is>
          <t>Annan skogsbruksåtgärd</t>
        </is>
      </c>
      <c r="D682" s="1" t="n">
        <v>45616</v>
      </c>
      <c r="E682" s="1" t="n">
        <v>46220</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s="2" t="inlineStr"/>
    </row>
    <row r="683" ht="15" customHeight="1">
      <c r="A683" t="inlineStr">
        <is>
          <t>S 2303-2025</t>
        </is>
      </c>
      <c r="B683" t="inlineStr">
        <is>
          <t>samrådsanmälan</t>
        </is>
      </c>
      <c r="C683" t="inlineStr">
        <is>
          <t>Annan skogsbruksåtgärd</t>
        </is>
      </c>
      <c r="D683" s="1" t="n">
        <v>45881</v>
      </c>
      <c r="E683" s="1" t="n">
        <v>46220</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2586-2025</t>
        </is>
      </c>
      <c r="B684" t="inlineStr">
        <is>
          <t>samrådsanmälan</t>
        </is>
      </c>
      <c r="C684" t="inlineStr">
        <is>
          <t>Annan skogsbruksåtgärd</t>
        </is>
      </c>
      <c r="D684" s="1" t="n">
        <v>45915</v>
      </c>
      <c r="E684" s="1" t="n">
        <v>46220</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S 208-2025</t>
        </is>
      </c>
      <c r="B685" t="inlineStr">
        <is>
          <t>samrådsanmälan</t>
        </is>
      </c>
      <c r="C685" t="inlineStr">
        <is>
          <t>Skogsgödsling</t>
        </is>
      </c>
      <c r="D685" s="1" t="n">
        <v>45679</v>
      </c>
      <c r="E685" s="1" t="n">
        <v>46220</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s="2" t="inlineStr"/>
    </row>
    <row r="686" ht="15" customHeight="1">
      <c r="A686" t="inlineStr">
        <is>
          <t>S 3587-2025</t>
        </is>
      </c>
      <c r="B686" t="inlineStr">
        <is>
          <t>samrådsanmälan</t>
        </is>
      </c>
      <c r="C686" t="inlineStr">
        <is>
          <t>Annan skogsbruksåtgärd</t>
        </is>
      </c>
      <c r="D686" s="1" t="n">
        <v>46021</v>
      </c>
      <c r="E686" s="1" t="n">
        <v>46220</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S 93-2026</t>
        </is>
      </c>
      <c r="B687" t="inlineStr">
        <is>
          <t>samrådsanmälan</t>
        </is>
      </c>
      <c r="C687" t="inlineStr">
        <is>
          <t>Skogsgödsling</t>
        </is>
      </c>
      <c r="D687" s="1" t="n">
        <v>46035</v>
      </c>
      <c r="E687" s="1" t="n">
        <v>46220</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s="2" t="inlineStr"/>
    </row>
    <row r="688" ht="15" customHeight="1">
      <c r="A688" t="inlineStr">
        <is>
          <t>S 92-2026</t>
        </is>
      </c>
      <c r="B688" t="inlineStr">
        <is>
          <t>samrådsanmälan</t>
        </is>
      </c>
      <c r="C688" t="inlineStr">
        <is>
          <t>Skogsgödsling</t>
        </is>
      </c>
      <c r="D688" s="1" t="n">
        <v>46035</v>
      </c>
      <c r="E688" s="1" t="n">
        <v>46220</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S 156-2026</t>
        </is>
      </c>
      <c r="B689" t="inlineStr">
        <is>
          <t>samrådsanmälan</t>
        </is>
      </c>
      <c r="C689" t="inlineStr">
        <is>
          <t>Skogsgödsling</t>
        </is>
      </c>
      <c r="D689" s="1" t="n">
        <v>46043</v>
      </c>
      <c r="E689" s="1" t="n">
        <v>46220</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s="2" t="inlineStr"/>
    </row>
    <row r="690">
      <c r="A690" t="inlineStr">
        <is>
          <t>S 1044-2026</t>
        </is>
      </c>
      <c r="B690" t="inlineStr">
        <is>
          <t>samrådsanmälan</t>
        </is>
      </c>
      <c r="C690" t="inlineStr">
        <is>
          <t>Annan skogsbruksåtgärd</t>
        </is>
      </c>
      <c r="D690" s="1" t="n">
        <v>46125</v>
      </c>
      <c r="E690" s="1" t="n">
        <v>46220</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2026-07-17T01:42:23Z</dcterms:created>
  <dcterms:modified xmlns:dcterms="http://purl.org/dc/terms/" xmlns:xsi="http://www.w3.org/2001/XMLSchema-instance" xsi:type="dcterms:W3CDTF">2026-07-17T01:42:25Z</dcterms:modified>
</cp:coreProperties>
</file>