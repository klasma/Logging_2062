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45692</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45692</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45692</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45692</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45692</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45692</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45692</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45692</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45692</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1551-2025</t>
        </is>
      </c>
      <c r="B11" s="1" t="n">
        <v>45670</v>
      </c>
      <c r="C11" s="1" t="n">
        <v>45692</v>
      </c>
      <c r="D11" t="inlineStr">
        <is>
          <t>DALARNAS LÄN</t>
        </is>
      </c>
      <c r="E11" t="inlineStr">
        <is>
          <t>MORA</t>
        </is>
      </c>
      <c r="G11" t="n">
        <v>8.6</v>
      </c>
      <c r="H11" t="n">
        <v>0</v>
      </c>
      <c r="I11" t="n">
        <v>3</v>
      </c>
      <c r="J11" t="n">
        <v>4</v>
      </c>
      <c r="K11" t="n">
        <v>4</v>
      </c>
      <c r="L11" t="n">
        <v>0</v>
      </c>
      <c r="M11" t="n">
        <v>0</v>
      </c>
      <c r="N11" t="n">
        <v>0</v>
      </c>
      <c r="O11" t="n">
        <v>8</v>
      </c>
      <c r="P11" t="n">
        <v>4</v>
      </c>
      <c r="Q11" t="n">
        <v>11</v>
      </c>
      <c r="R11" s="2" t="inlineStr">
        <is>
          <t>Goliatmusseron
Jättemusseron
Rotfingersvamp
Smalfotad taggsvamp
Garnlav
Motaggsvamp
Orange taggsvamp
Skrovlig taggsvamp
Dropptaggsvamp
Mindre märgborre
Tallfingersvamp</t>
        </is>
      </c>
      <c r="S11">
        <f>HYPERLINK("https://klasma.github.io/Logging_2062/artfynd/A 1551-2025 artfynd.xlsx", "A 1551-2025")</f>
        <v/>
      </c>
      <c r="T11">
        <f>HYPERLINK("https://klasma.github.io/Logging_2062/kartor/A 1551-2025 karta.png", "A 1551-2025")</f>
        <v/>
      </c>
      <c r="V11">
        <f>HYPERLINK("https://klasma.github.io/Logging_2062/klagomål/A 1551-2025 FSC-klagomål.docx", "A 1551-2025")</f>
        <v/>
      </c>
      <c r="W11">
        <f>HYPERLINK("https://klasma.github.io/Logging_2062/klagomålsmail/A 1551-2025 FSC-klagomål mail.docx", "A 1551-2025")</f>
        <v/>
      </c>
      <c r="X11">
        <f>HYPERLINK("https://klasma.github.io/Logging_2062/tillsyn/A 1551-2025 tillsynsbegäran.docx", "A 1551-2025")</f>
        <v/>
      </c>
      <c r="Y11">
        <f>HYPERLINK("https://klasma.github.io/Logging_2062/tillsynsmail/A 1551-2025 tillsynsbegäran mail.docx", "A 1551-2025")</f>
        <v/>
      </c>
    </row>
    <row r="12" ht="15" customHeight="1">
      <c r="A12" t="inlineStr">
        <is>
          <t>A 64406-2023</t>
        </is>
      </c>
      <c r="B12" s="1" t="n">
        <v>45280</v>
      </c>
      <c r="C12" s="1" t="n">
        <v>45692</v>
      </c>
      <c r="D12" t="inlineStr">
        <is>
          <t>DALARNAS LÄN</t>
        </is>
      </c>
      <c r="E12" t="inlineStr">
        <is>
          <t>MORA</t>
        </is>
      </c>
      <c r="G12" t="n">
        <v>2.2</v>
      </c>
      <c r="H12" t="n">
        <v>2</v>
      </c>
      <c r="I12" t="n">
        <v>0</v>
      </c>
      <c r="J12" t="n">
        <v>8</v>
      </c>
      <c r="K12" t="n">
        <v>1</v>
      </c>
      <c r="L12" t="n">
        <v>0</v>
      </c>
      <c r="M12" t="n">
        <v>0</v>
      </c>
      <c r="N12" t="n">
        <v>0</v>
      </c>
      <c r="O12" t="n">
        <v>9</v>
      </c>
      <c r="P12" t="n">
        <v>1</v>
      </c>
      <c r="Q12" t="n">
        <v>10</v>
      </c>
      <c r="R12" s="2" t="inlineStr">
        <is>
          <t>Gräddporing
Doftskinn
Garnlav
Mörk kolflarnlav
Spillkråka
Vedflamlav
Vedskivlav
Violettgrå tagellav
Vitgrynig nållav
Fläcknycklar</t>
        </is>
      </c>
      <c r="S12">
        <f>HYPERLINK("https://klasma.github.io/Logging_2062/artfynd/A 64406-2023 artfynd.xlsx", "A 64406-2023")</f>
        <v/>
      </c>
      <c r="T12">
        <f>HYPERLINK("https://klasma.github.io/Logging_2062/kartor/A 64406-2023 karta.png", "A 64406-2023")</f>
        <v/>
      </c>
      <c r="V12">
        <f>HYPERLINK("https://klasma.github.io/Logging_2062/klagomål/A 64406-2023 FSC-klagomål.docx", "A 64406-2023")</f>
        <v/>
      </c>
      <c r="W12">
        <f>HYPERLINK("https://klasma.github.io/Logging_2062/klagomålsmail/A 64406-2023 FSC-klagomål mail.docx", "A 64406-2023")</f>
        <v/>
      </c>
      <c r="X12">
        <f>HYPERLINK("https://klasma.github.io/Logging_2062/tillsyn/A 64406-2023 tillsynsbegäran.docx", "A 64406-2023")</f>
        <v/>
      </c>
      <c r="Y12">
        <f>HYPERLINK("https://klasma.github.io/Logging_2062/tillsynsmail/A 64406-2023 tillsynsbegäran mail.docx", "A 64406-2023")</f>
        <v/>
      </c>
      <c r="Z12">
        <f>HYPERLINK("https://klasma.github.io/Logging_2062/fåglar/A 64406-2023 prioriterade fågelarter.docx", "A 64406-2023")</f>
        <v/>
      </c>
    </row>
    <row r="13" ht="15" customHeight="1">
      <c r="A13" t="inlineStr">
        <is>
          <t>A 35944-2024</t>
        </is>
      </c>
      <c r="B13" s="1" t="n">
        <v>45533</v>
      </c>
      <c r="C13" s="1" t="n">
        <v>45692</v>
      </c>
      <c r="D13" t="inlineStr">
        <is>
          <t>DALARNAS LÄN</t>
        </is>
      </c>
      <c r="E13" t="inlineStr">
        <is>
          <t>MORA</t>
        </is>
      </c>
      <c r="G13" t="n">
        <v>1.7</v>
      </c>
      <c r="H13" t="n">
        <v>2</v>
      </c>
      <c r="I13" t="n">
        <v>4</v>
      </c>
      <c r="J13" t="n">
        <v>6</v>
      </c>
      <c r="K13" t="n">
        <v>0</v>
      </c>
      <c r="L13" t="n">
        <v>0</v>
      </c>
      <c r="M13" t="n">
        <v>0</v>
      </c>
      <c r="N13" t="n">
        <v>0</v>
      </c>
      <c r="O13" t="n">
        <v>6</v>
      </c>
      <c r="P13" t="n">
        <v>0</v>
      </c>
      <c r="Q13" t="n">
        <v>10</v>
      </c>
      <c r="R13" s="2" t="inlineStr">
        <is>
          <t>Garnlav
Kortskaftad ärgspik
Spillkråka
Talltita
Ullticka
Vedtrappmossa
Bronshjon
Mindre märgborre
Thomsons trägnagare
Vedticka</t>
        </is>
      </c>
      <c r="S13">
        <f>HYPERLINK("https://klasma.github.io/Logging_2062/artfynd/A 35944-2024 artfynd.xlsx", "A 35944-2024")</f>
        <v/>
      </c>
      <c r="T13">
        <f>HYPERLINK("https://klasma.github.io/Logging_2062/kartor/A 35944-2024 karta.png", "A 35944-2024")</f>
        <v/>
      </c>
      <c r="V13">
        <f>HYPERLINK("https://klasma.github.io/Logging_2062/klagomål/A 35944-2024 FSC-klagomål.docx", "A 35944-2024")</f>
        <v/>
      </c>
      <c r="W13">
        <f>HYPERLINK("https://klasma.github.io/Logging_2062/klagomålsmail/A 35944-2024 FSC-klagomål mail.docx", "A 35944-2024")</f>
        <v/>
      </c>
      <c r="X13">
        <f>HYPERLINK("https://klasma.github.io/Logging_2062/tillsyn/A 35944-2024 tillsynsbegäran.docx", "A 35944-2024")</f>
        <v/>
      </c>
      <c r="Y13">
        <f>HYPERLINK("https://klasma.github.io/Logging_2062/tillsynsmail/A 35944-2024 tillsynsbegäran mail.docx", "A 35944-2024")</f>
        <v/>
      </c>
      <c r="Z13">
        <f>HYPERLINK("https://klasma.github.io/Logging_2062/fåglar/A 35944-2024 prioriterade fågelarter.docx", "A 35944-2024")</f>
        <v/>
      </c>
    </row>
    <row r="14" ht="15" customHeight="1">
      <c r="A14" t="inlineStr">
        <is>
          <t>A 21041-2023</t>
        </is>
      </c>
      <c r="B14" s="1" t="n">
        <v>45061</v>
      </c>
      <c r="C14" s="1" t="n">
        <v>45692</v>
      </c>
      <c r="D14" t="inlineStr">
        <is>
          <t>DALARNAS LÄN</t>
        </is>
      </c>
      <c r="E14" t="inlineStr">
        <is>
          <t>MORA</t>
        </is>
      </c>
      <c r="F14" t="inlineStr">
        <is>
          <t>Bergvik skog öst AB</t>
        </is>
      </c>
      <c r="G14" t="n">
        <v>9.9</v>
      </c>
      <c r="H14" t="n">
        <v>0</v>
      </c>
      <c r="I14" t="n">
        <v>1</v>
      </c>
      <c r="J14" t="n">
        <v>8</v>
      </c>
      <c r="K14" t="n">
        <v>0</v>
      </c>
      <c r="L14" t="n">
        <v>0</v>
      </c>
      <c r="M14" t="n">
        <v>0</v>
      </c>
      <c r="N14" t="n">
        <v>0</v>
      </c>
      <c r="O14" t="n">
        <v>8</v>
      </c>
      <c r="P14" t="n">
        <v>0</v>
      </c>
      <c r="Q14" t="n">
        <v>9</v>
      </c>
      <c r="R14" s="2" t="inlineStr">
        <is>
          <t>Dvärgbägarlav
Garnlav
Kolflarnlav
Kortskaftad ärgspik
Mörk kolflarnlav
Vedflamlav
Vedskivlav
Violettgrå tagellav
Mindre märgborre</t>
        </is>
      </c>
      <c r="S14">
        <f>HYPERLINK("https://klasma.github.io/Logging_2062/artfynd/A 21041-2023 artfynd.xlsx", "A 21041-2023")</f>
        <v/>
      </c>
      <c r="T14">
        <f>HYPERLINK("https://klasma.github.io/Logging_2062/kartor/A 21041-2023 karta.png", "A 21041-2023")</f>
        <v/>
      </c>
      <c r="V14">
        <f>HYPERLINK("https://klasma.github.io/Logging_2062/klagomål/A 21041-2023 FSC-klagomål.docx", "A 21041-2023")</f>
        <v/>
      </c>
      <c r="W14">
        <f>HYPERLINK("https://klasma.github.io/Logging_2062/klagomålsmail/A 21041-2023 FSC-klagomål mail.docx", "A 21041-2023")</f>
        <v/>
      </c>
      <c r="X14">
        <f>HYPERLINK("https://klasma.github.io/Logging_2062/tillsyn/A 21041-2023 tillsynsbegäran.docx", "A 21041-2023")</f>
        <v/>
      </c>
      <c r="Y14">
        <f>HYPERLINK("https://klasma.github.io/Logging_2062/tillsynsmail/A 21041-2023 tillsynsbegäran mail.docx", "A 21041-2023")</f>
        <v/>
      </c>
    </row>
    <row r="15" ht="15" customHeight="1">
      <c r="A15" t="inlineStr">
        <is>
          <t>A 5134-2024</t>
        </is>
      </c>
      <c r="B15" s="1" t="n">
        <v>45330</v>
      </c>
      <c r="C15" s="1" t="n">
        <v>45692</v>
      </c>
      <c r="D15" t="inlineStr">
        <is>
          <t>DALARNAS LÄN</t>
        </is>
      </c>
      <c r="E15" t="inlineStr">
        <is>
          <t>MORA</t>
        </is>
      </c>
      <c r="G15" t="n">
        <v>2</v>
      </c>
      <c r="H15" t="n">
        <v>1</v>
      </c>
      <c r="I15" t="n">
        <v>2</v>
      </c>
      <c r="J15" t="n">
        <v>7</v>
      </c>
      <c r="K15" t="n">
        <v>0</v>
      </c>
      <c r="L15" t="n">
        <v>0</v>
      </c>
      <c r="M15" t="n">
        <v>0</v>
      </c>
      <c r="N15" t="n">
        <v>0</v>
      </c>
      <c r="O15" t="n">
        <v>7</v>
      </c>
      <c r="P15" t="n">
        <v>0</v>
      </c>
      <c r="Q15" t="n">
        <v>9</v>
      </c>
      <c r="R15" s="2" t="inlineStr">
        <is>
          <t>Blå taggsvamp
Dvärgbägarlav
Garnlav
Reliktbock
Tretåig hackspett
Vedskivlav
Vitgrynig nållav
Dropptaggsvamp
Mindre märgborre</t>
        </is>
      </c>
      <c r="S15">
        <f>HYPERLINK("https://klasma.github.io/Logging_2062/artfynd/A 5134-2024 artfynd.xlsx", "A 5134-2024")</f>
        <v/>
      </c>
      <c r="T15">
        <f>HYPERLINK("https://klasma.github.io/Logging_2062/kartor/A 5134-2024 karta.png", "A 5134-2024")</f>
        <v/>
      </c>
      <c r="V15">
        <f>HYPERLINK("https://klasma.github.io/Logging_2062/klagomål/A 5134-2024 FSC-klagomål.docx", "A 5134-2024")</f>
        <v/>
      </c>
      <c r="W15">
        <f>HYPERLINK("https://klasma.github.io/Logging_2062/klagomålsmail/A 5134-2024 FSC-klagomål mail.docx", "A 5134-2024")</f>
        <v/>
      </c>
      <c r="X15">
        <f>HYPERLINK("https://klasma.github.io/Logging_2062/tillsyn/A 5134-2024 tillsynsbegäran.docx", "A 5134-2024")</f>
        <v/>
      </c>
      <c r="Y15">
        <f>HYPERLINK("https://klasma.github.io/Logging_2062/tillsynsmail/A 5134-2024 tillsynsbegäran mail.docx", "A 5134-2024")</f>
        <v/>
      </c>
      <c r="Z15">
        <f>HYPERLINK("https://klasma.github.io/Logging_2062/fåglar/A 5134-2024 prioriterade fågelarter.docx", "A 5134-2024")</f>
        <v/>
      </c>
    </row>
    <row r="16" ht="15" customHeight="1">
      <c r="A16" t="inlineStr">
        <is>
          <t>A 54028-2020</t>
        </is>
      </c>
      <c r="B16" s="1" t="n">
        <v>44125</v>
      </c>
      <c r="C16" s="1" t="n">
        <v>45692</v>
      </c>
      <c r="D16" t="inlineStr">
        <is>
          <t>DALARNAS LÄN</t>
        </is>
      </c>
      <c r="E16" t="inlineStr">
        <is>
          <t>MORA</t>
        </is>
      </c>
      <c r="G16" t="n">
        <v>10.9</v>
      </c>
      <c r="H16" t="n">
        <v>1</v>
      </c>
      <c r="I16" t="n">
        <v>1</v>
      </c>
      <c r="J16" t="n">
        <v>5</v>
      </c>
      <c r="K16" t="n">
        <v>1</v>
      </c>
      <c r="L16" t="n">
        <v>0</v>
      </c>
      <c r="M16" t="n">
        <v>0</v>
      </c>
      <c r="N16" t="n">
        <v>0</v>
      </c>
      <c r="O16" t="n">
        <v>6</v>
      </c>
      <c r="P16" t="n">
        <v>1</v>
      </c>
      <c r="Q16" t="n">
        <v>7</v>
      </c>
      <c r="R16" s="2" t="inlineStr">
        <is>
          <t>Gräddporing
Kolflarnlav
Kortskaftad ärgspik
Nordtagging
Tretåig hackspett
Vedskivlav
Mindre märgborre</t>
        </is>
      </c>
      <c r="S16">
        <f>HYPERLINK("https://klasma.github.io/Logging_2062/artfynd/A 54028-2020 artfynd.xlsx", "A 54028-2020")</f>
        <v/>
      </c>
      <c r="T16">
        <f>HYPERLINK("https://klasma.github.io/Logging_2062/kartor/A 54028-2020 karta.png", "A 54028-2020")</f>
        <v/>
      </c>
      <c r="V16">
        <f>HYPERLINK("https://klasma.github.io/Logging_2062/klagomål/A 54028-2020 FSC-klagomål.docx", "A 54028-2020")</f>
        <v/>
      </c>
      <c r="W16">
        <f>HYPERLINK("https://klasma.github.io/Logging_2062/klagomålsmail/A 54028-2020 FSC-klagomål mail.docx", "A 54028-2020")</f>
        <v/>
      </c>
      <c r="X16">
        <f>HYPERLINK("https://klasma.github.io/Logging_2062/tillsyn/A 54028-2020 tillsynsbegäran.docx", "A 54028-2020")</f>
        <v/>
      </c>
      <c r="Y16">
        <f>HYPERLINK("https://klasma.github.io/Logging_2062/tillsynsmail/A 54028-2020 tillsynsbegäran mail.docx", "A 54028-2020")</f>
        <v/>
      </c>
      <c r="Z16">
        <f>HYPERLINK("https://klasma.github.io/Logging_2062/fåglar/A 54028-2020 prioriterade fågelarter.docx", "A 54028-2020")</f>
        <v/>
      </c>
    </row>
    <row r="17" ht="15" customHeight="1">
      <c r="A17" t="inlineStr">
        <is>
          <t>A 61259-2023</t>
        </is>
      </c>
      <c r="B17" s="1" t="n">
        <v>45264</v>
      </c>
      <c r="C17" s="1" t="n">
        <v>45692</v>
      </c>
      <c r="D17" t="inlineStr">
        <is>
          <t>DALARNAS LÄN</t>
        </is>
      </c>
      <c r="E17" t="inlineStr">
        <is>
          <t>MORA</t>
        </is>
      </c>
      <c r="F17" t="inlineStr">
        <is>
          <t>Allmännings- och besparingsskogar</t>
        </is>
      </c>
      <c r="G17" t="n">
        <v>1</v>
      </c>
      <c r="H17" t="n">
        <v>1</v>
      </c>
      <c r="I17" t="n">
        <v>3</v>
      </c>
      <c r="J17" t="n">
        <v>3</v>
      </c>
      <c r="K17" t="n">
        <v>1</v>
      </c>
      <c r="L17" t="n">
        <v>0</v>
      </c>
      <c r="M17" t="n">
        <v>0</v>
      </c>
      <c r="N17" t="n">
        <v>0</v>
      </c>
      <c r="O17" t="n">
        <v>4</v>
      </c>
      <c r="P17" t="n">
        <v>1</v>
      </c>
      <c r="Q17" t="n">
        <v>7</v>
      </c>
      <c r="R17" s="2" t="inlineStr">
        <is>
          <t>Knärot
Brunpudrad nållav
Garnlav
Vitgrynig nållav
Bronshjon
Thomsons trägnagare
Vågbandad barkbock</t>
        </is>
      </c>
      <c r="S17">
        <f>HYPERLINK("https://klasma.github.io/Logging_2062/artfynd/A 61259-2023 artfynd.xlsx", "A 61259-2023")</f>
        <v/>
      </c>
      <c r="T17">
        <f>HYPERLINK("https://klasma.github.io/Logging_2062/kartor/A 61259-2023 karta.png", "A 61259-2023")</f>
        <v/>
      </c>
      <c r="U17">
        <f>HYPERLINK("https://klasma.github.io/Logging_2062/knärot/A 61259-2023 karta knärot.png", "A 61259-2023")</f>
        <v/>
      </c>
      <c r="V17">
        <f>HYPERLINK("https://klasma.github.io/Logging_2062/klagomål/A 61259-2023 FSC-klagomål.docx", "A 61259-2023")</f>
        <v/>
      </c>
      <c r="W17">
        <f>HYPERLINK("https://klasma.github.io/Logging_2062/klagomålsmail/A 61259-2023 FSC-klagomål mail.docx", "A 61259-2023")</f>
        <v/>
      </c>
      <c r="X17">
        <f>HYPERLINK("https://klasma.github.io/Logging_2062/tillsyn/A 61259-2023 tillsynsbegäran.docx", "A 61259-2023")</f>
        <v/>
      </c>
      <c r="Y17">
        <f>HYPERLINK("https://klasma.github.io/Logging_2062/tillsynsmail/A 61259-2023 tillsynsbegäran mail.docx", "A 61259-2023")</f>
        <v/>
      </c>
    </row>
    <row r="18" ht="15" customHeight="1">
      <c r="A18" t="inlineStr">
        <is>
          <t>A 61782-2024</t>
        </is>
      </c>
      <c r="B18" s="1" t="n">
        <v>45649</v>
      </c>
      <c r="C18" s="1" t="n">
        <v>45692</v>
      </c>
      <c r="D18" t="inlineStr">
        <is>
          <t>DALARNAS LÄN</t>
        </is>
      </c>
      <c r="E18" t="inlineStr">
        <is>
          <t>MORA</t>
        </is>
      </c>
      <c r="F18" t="inlineStr">
        <is>
          <t>Allmännings- och besparingsskogar</t>
        </is>
      </c>
      <c r="G18" t="n">
        <v>17.2</v>
      </c>
      <c r="H18" t="n">
        <v>0</v>
      </c>
      <c r="I18" t="n">
        <v>0</v>
      </c>
      <c r="J18" t="n">
        <v>7</v>
      </c>
      <c r="K18" t="n">
        <v>0</v>
      </c>
      <c r="L18" t="n">
        <v>0</v>
      </c>
      <c r="M18" t="n">
        <v>0</v>
      </c>
      <c r="N18" t="n">
        <v>0</v>
      </c>
      <c r="O18" t="n">
        <v>7</v>
      </c>
      <c r="P18" t="n">
        <v>0</v>
      </c>
      <c r="Q18" t="n">
        <v>7</v>
      </c>
      <c r="R18" s="2" t="inlineStr">
        <is>
          <t>Blanksvart spiklav
Garnlav
Kolflarnlav
Mörk kolflarnlav
Vedflamlav
Vedskivlav
Violettgrå tagellav</t>
        </is>
      </c>
      <c r="S18">
        <f>HYPERLINK("https://klasma.github.io/Logging_2062/artfynd/A 61782-2024 artfynd.xlsx", "A 61782-2024")</f>
        <v/>
      </c>
      <c r="T18">
        <f>HYPERLINK("https://klasma.github.io/Logging_2062/kartor/A 61782-2024 karta.png", "A 61782-2024")</f>
        <v/>
      </c>
      <c r="V18">
        <f>HYPERLINK("https://klasma.github.io/Logging_2062/klagomål/A 61782-2024 FSC-klagomål.docx", "A 61782-2024")</f>
        <v/>
      </c>
      <c r="W18">
        <f>HYPERLINK("https://klasma.github.io/Logging_2062/klagomålsmail/A 61782-2024 FSC-klagomål mail.docx", "A 61782-2024")</f>
        <v/>
      </c>
      <c r="X18">
        <f>HYPERLINK("https://klasma.github.io/Logging_2062/tillsyn/A 61782-2024 tillsynsbegäran.docx", "A 61782-2024")</f>
        <v/>
      </c>
      <c r="Y18">
        <f>HYPERLINK("https://klasma.github.io/Logging_2062/tillsynsmail/A 61782-2024 tillsynsbegäran mail.docx", "A 61782-2024")</f>
        <v/>
      </c>
    </row>
    <row r="19" ht="15" customHeight="1">
      <c r="A19" t="inlineStr">
        <is>
          <t>A 25094-2020</t>
        </is>
      </c>
      <c r="B19" s="1" t="n">
        <v>43979</v>
      </c>
      <c r="C19" s="1" t="n">
        <v>45692</v>
      </c>
      <c r="D19" t="inlineStr">
        <is>
          <t>DALARNAS LÄN</t>
        </is>
      </c>
      <c r="E19" t="inlineStr">
        <is>
          <t>MORA</t>
        </is>
      </c>
      <c r="G19" t="n">
        <v>1.2</v>
      </c>
      <c r="H19" t="n">
        <v>4</v>
      </c>
      <c r="I19" t="n">
        <v>0</v>
      </c>
      <c r="J19" t="n">
        <v>3</v>
      </c>
      <c r="K19" t="n">
        <v>0</v>
      </c>
      <c r="L19" t="n">
        <v>0</v>
      </c>
      <c r="M19" t="n">
        <v>0</v>
      </c>
      <c r="N19" t="n">
        <v>0</v>
      </c>
      <c r="O19" t="n">
        <v>3</v>
      </c>
      <c r="P19" t="n">
        <v>0</v>
      </c>
      <c r="Q19" t="n">
        <v>6</v>
      </c>
      <c r="R19" s="2" t="inlineStr">
        <is>
          <t>Brunag
Riddarsporre
Strandlummer
Fläcknycklar
Ängsnycklar
Revlummer</t>
        </is>
      </c>
      <c r="S19">
        <f>HYPERLINK("https://klasma.github.io/Logging_2062/artfynd/A 25094-2020 artfynd.xlsx", "A 25094-2020")</f>
        <v/>
      </c>
      <c r="T19">
        <f>HYPERLINK("https://klasma.github.io/Logging_2062/kartor/A 25094-2020 karta.png", "A 25094-2020")</f>
        <v/>
      </c>
      <c r="V19">
        <f>HYPERLINK("https://klasma.github.io/Logging_2062/klagomål/A 25094-2020 FSC-klagomål.docx", "A 25094-2020")</f>
        <v/>
      </c>
      <c r="W19">
        <f>HYPERLINK("https://klasma.github.io/Logging_2062/klagomålsmail/A 25094-2020 FSC-klagomål mail.docx", "A 25094-2020")</f>
        <v/>
      </c>
      <c r="X19">
        <f>HYPERLINK("https://klasma.github.io/Logging_2062/tillsyn/A 25094-2020 tillsynsbegäran.docx", "A 25094-2020")</f>
        <v/>
      </c>
      <c r="Y19">
        <f>HYPERLINK("https://klasma.github.io/Logging_2062/tillsynsmail/A 25094-2020 tillsynsbegäran mail.docx", "A 25094-2020")</f>
        <v/>
      </c>
    </row>
    <row r="20" ht="15" customHeight="1">
      <c r="A20" t="inlineStr">
        <is>
          <t>A 34447-2024</t>
        </is>
      </c>
      <c r="B20" s="1" t="n">
        <v>45525</v>
      </c>
      <c r="C20" s="1" t="n">
        <v>45692</v>
      </c>
      <c r="D20" t="inlineStr">
        <is>
          <t>DALARNAS LÄN</t>
        </is>
      </c>
      <c r="E20" t="inlineStr">
        <is>
          <t>MORA</t>
        </is>
      </c>
      <c r="G20" t="n">
        <v>8.300000000000001</v>
      </c>
      <c r="H20" t="n">
        <v>0</v>
      </c>
      <c r="I20" t="n">
        <v>0</v>
      </c>
      <c r="J20" t="n">
        <v>6</v>
      </c>
      <c r="K20" t="n">
        <v>0</v>
      </c>
      <c r="L20" t="n">
        <v>0</v>
      </c>
      <c r="M20" t="n">
        <v>0</v>
      </c>
      <c r="N20" t="n">
        <v>0</v>
      </c>
      <c r="O20" t="n">
        <v>6</v>
      </c>
      <c r="P20" t="n">
        <v>0</v>
      </c>
      <c r="Q20" t="n">
        <v>6</v>
      </c>
      <c r="R20" s="2" t="inlineStr">
        <is>
          <t>Dvärgbägarlav
Garnlav
Kolflarnlav
Mörk kolflarnlav
Vedflamlav
Vedskivlav</t>
        </is>
      </c>
      <c r="S20">
        <f>HYPERLINK("https://klasma.github.io/Logging_2062/artfynd/A 34447-2024 artfynd.xlsx", "A 34447-2024")</f>
        <v/>
      </c>
      <c r="T20">
        <f>HYPERLINK("https://klasma.github.io/Logging_2062/kartor/A 34447-2024 karta.png", "A 34447-2024")</f>
        <v/>
      </c>
      <c r="V20">
        <f>HYPERLINK("https://klasma.github.io/Logging_2062/klagomål/A 34447-2024 FSC-klagomål.docx", "A 34447-2024")</f>
        <v/>
      </c>
      <c r="W20">
        <f>HYPERLINK("https://klasma.github.io/Logging_2062/klagomålsmail/A 34447-2024 FSC-klagomål mail.docx", "A 34447-2024")</f>
        <v/>
      </c>
      <c r="X20">
        <f>HYPERLINK("https://klasma.github.io/Logging_2062/tillsyn/A 34447-2024 tillsynsbegäran.docx", "A 34447-2024")</f>
        <v/>
      </c>
      <c r="Y20">
        <f>HYPERLINK("https://klasma.github.io/Logging_2062/tillsynsmail/A 34447-2024 tillsynsbegäran mail.docx", "A 34447-2024")</f>
        <v/>
      </c>
    </row>
    <row r="21" ht="15" customHeight="1">
      <c r="A21" t="inlineStr">
        <is>
          <t>A 43194-2024</t>
        </is>
      </c>
      <c r="B21" s="1" t="n">
        <v>45567</v>
      </c>
      <c r="C21" s="1" t="n">
        <v>45692</v>
      </c>
      <c r="D21" t="inlineStr">
        <is>
          <t>DALARNAS LÄN</t>
        </is>
      </c>
      <c r="E21" t="inlineStr">
        <is>
          <t>MORA</t>
        </is>
      </c>
      <c r="G21" t="n">
        <v>6.8</v>
      </c>
      <c r="H21" t="n">
        <v>0</v>
      </c>
      <c r="I21" t="n">
        <v>2</v>
      </c>
      <c r="J21" t="n">
        <v>4</v>
      </c>
      <c r="K21" t="n">
        <v>0</v>
      </c>
      <c r="L21" t="n">
        <v>0</v>
      </c>
      <c r="M21" t="n">
        <v>0</v>
      </c>
      <c r="N21" t="n">
        <v>0</v>
      </c>
      <c r="O21" t="n">
        <v>4</v>
      </c>
      <c r="P21" t="n">
        <v>0</v>
      </c>
      <c r="Q21" t="n">
        <v>6</v>
      </c>
      <c r="R21" s="2" t="inlineStr">
        <is>
          <t>Dvärgbägarlav
Garnlav
Vedskivlav
Violettgrå tagellav
Dropptaggsvamp
Mindre märgborre</t>
        </is>
      </c>
      <c r="S21">
        <f>HYPERLINK("https://klasma.github.io/Logging_2062/artfynd/A 43194-2024 artfynd.xlsx", "A 43194-2024")</f>
        <v/>
      </c>
      <c r="T21">
        <f>HYPERLINK("https://klasma.github.io/Logging_2062/kartor/A 43194-2024 karta.png", "A 43194-2024")</f>
        <v/>
      </c>
      <c r="V21">
        <f>HYPERLINK("https://klasma.github.io/Logging_2062/klagomål/A 43194-2024 FSC-klagomål.docx", "A 43194-2024")</f>
        <v/>
      </c>
      <c r="W21">
        <f>HYPERLINK("https://klasma.github.io/Logging_2062/klagomålsmail/A 43194-2024 FSC-klagomål mail.docx", "A 43194-2024")</f>
        <v/>
      </c>
      <c r="X21">
        <f>HYPERLINK("https://klasma.github.io/Logging_2062/tillsyn/A 43194-2024 tillsynsbegäran.docx", "A 43194-2024")</f>
        <v/>
      </c>
      <c r="Y21">
        <f>HYPERLINK("https://klasma.github.io/Logging_2062/tillsynsmail/A 43194-2024 tillsynsbegäran mail.docx", "A 43194-2024")</f>
        <v/>
      </c>
    </row>
    <row r="22" ht="15" customHeight="1">
      <c r="A22" t="inlineStr">
        <is>
          <t>A 29386-2019</t>
        </is>
      </c>
      <c r="B22" s="1" t="n">
        <v>43629</v>
      </c>
      <c r="C22" s="1" t="n">
        <v>45692</v>
      </c>
      <c r="D22" t="inlineStr">
        <is>
          <t>DALARNAS LÄN</t>
        </is>
      </c>
      <c r="E22" t="inlineStr">
        <is>
          <t>MORA</t>
        </is>
      </c>
      <c r="G22" t="n">
        <v>1.8</v>
      </c>
      <c r="H22" t="n">
        <v>1</v>
      </c>
      <c r="I22" t="n">
        <v>1</v>
      </c>
      <c r="J22" t="n">
        <v>2</v>
      </c>
      <c r="K22" t="n">
        <v>0</v>
      </c>
      <c r="L22" t="n">
        <v>0</v>
      </c>
      <c r="M22" t="n">
        <v>0</v>
      </c>
      <c r="N22" t="n">
        <v>0</v>
      </c>
      <c r="O22" t="n">
        <v>2</v>
      </c>
      <c r="P22" t="n">
        <v>0</v>
      </c>
      <c r="Q22" t="n">
        <v>4</v>
      </c>
      <c r="R22" s="2" t="inlineStr">
        <is>
          <t>Garnlav
Mörk kolflarnlav
Mindre märgborre
Kungsfågel</t>
        </is>
      </c>
      <c r="S22">
        <f>HYPERLINK("https://klasma.github.io/Logging_2062/artfynd/A 29386-2019 artfynd.xlsx", "A 29386-2019")</f>
        <v/>
      </c>
      <c r="T22">
        <f>HYPERLINK("https://klasma.github.io/Logging_2062/kartor/A 29386-2019 karta.png", "A 29386-2019")</f>
        <v/>
      </c>
      <c r="V22">
        <f>HYPERLINK("https://klasma.github.io/Logging_2062/klagomål/A 29386-2019 FSC-klagomål.docx", "A 29386-2019")</f>
        <v/>
      </c>
      <c r="W22">
        <f>HYPERLINK("https://klasma.github.io/Logging_2062/klagomålsmail/A 29386-2019 FSC-klagomål mail.docx", "A 29386-2019")</f>
        <v/>
      </c>
      <c r="X22">
        <f>HYPERLINK("https://klasma.github.io/Logging_2062/tillsyn/A 29386-2019 tillsynsbegäran.docx", "A 29386-2019")</f>
        <v/>
      </c>
      <c r="Y22">
        <f>HYPERLINK("https://klasma.github.io/Logging_2062/tillsynsmail/A 29386-2019 tillsynsbegäran mail.docx", "A 29386-2019")</f>
        <v/>
      </c>
      <c r="Z22">
        <f>HYPERLINK("https://klasma.github.io/Logging_2062/fåglar/A 29386-2019 prioriterade fågelarter.docx", "A 29386-2019")</f>
        <v/>
      </c>
    </row>
    <row r="23" ht="15" customHeight="1">
      <c r="A23" t="inlineStr">
        <is>
          <t>A 60365-2023</t>
        </is>
      </c>
      <c r="B23" s="1" t="n">
        <v>45259</v>
      </c>
      <c r="C23" s="1" t="n">
        <v>45692</v>
      </c>
      <c r="D23" t="inlineStr">
        <is>
          <t>DALARNAS LÄN</t>
        </is>
      </c>
      <c r="E23" t="inlineStr">
        <is>
          <t>MORA</t>
        </is>
      </c>
      <c r="G23" t="n">
        <v>7.5</v>
      </c>
      <c r="H23" t="n">
        <v>4</v>
      </c>
      <c r="I23" t="n">
        <v>0</v>
      </c>
      <c r="J23" t="n">
        <v>3</v>
      </c>
      <c r="K23" t="n">
        <v>0</v>
      </c>
      <c r="L23" t="n">
        <v>0</v>
      </c>
      <c r="M23" t="n">
        <v>0</v>
      </c>
      <c r="N23" t="n">
        <v>0</v>
      </c>
      <c r="O23" t="n">
        <v>3</v>
      </c>
      <c r="P23" t="n">
        <v>0</v>
      </c>
      <c r="Q23" t="n">
        <v>4</v>
      </c>
      <c r="R23" s="2" t="inlineStr">
        <is>
          <t>Grönsångare
Rödvingetrast
Slaguggla
Nattviol</t>
        </is>
      </c>
      <c r="S23">
        <f>HYPERLINK("https://klasma.github.io/Logging_2062/artfynd/A 60365-2023 artfynd.xlsx", "A 60365-2023")</f>
        <v/>
      </c>
      <c r="T23">
        <f>HYPERLINK("https://klasma.github.io/Logging_2062/kartor/A 60365-2023 karta.png", "A 60365-2023")</f>
        <v/>
      </c>
      <c r="V23">
        <f>HYPERLINK("https://klasma.github.io/Logging_2062/klagomål/A 60365-2023 FSC-klagomål.docx", "A 60365-2023")</f>
        <v/>
      </c>
      <c r="W23">
        <f>HYPERLINK("https://klasma.github.io/Logging_2062/klagomålsmail/A 60365-2023 FSC-klagomål mail.docx", "A 60365-2023")</f>
        <v/>
      </c>
      <c r="X23">
        <f>HYPERLINK("https://klasma.github.io/Logging_2062/tillsyn/A 60365-2023 tillsynsbegäran.docx", "A 60365-2023")</f>
        <v/>
      </c>
      <c r="Y23">
        <f>HYPERLINK("https://klasma.github.io/Logging_2062/tillsynsmail/A 60365-2023 tillsynsbegäran mail.docx", "A 60365-2023")</f>
        <v/>
      </c>
      <c r="Z23">
        <f>HYPERLINK("https://klasma.github.io/Logging_2062/fåglar/A 60365-2023 prioriterade fågelarter.docx", "A 60365-2023")</f>
        <v/>
      </c>
    </row>
    <row r="24" ht="15" customHeight="1">
      <c r="A24" t="inlineStr">
        <is>
          <t>A 14293-2024</t>
        </is>
      </c>
      <c r="B24" s="1" t="n">
        <v>45393</v>
      </c>
      <c r="C24" s="1" t="n">
        <v>45692</v>
      </c>
      <c r="D24" t="inlineStr">
        <is>
          <t>DALARNAS LÄN</t>
        </is>
      </c>
      <c r="E24" t="inlineStr">
        <is>
          <t>MORA</t>
        </is>
      </c>
      <c r="G24" t="n">
        <v>7.4</v>
      </c>
      <c r="H24" t="n">
        <v>2</v>
      </c>
      <c r="I24" t="n">
        <v>1</v>
      </c>
      <c r="J24" t="n">
        <v>2</v>
      </c>
      <c r="K24" t="n">
        <v>0</v>
      </c>
      <c r="L24" t="n">
        <v>0</v>
      </c>
      <c r="M24" t="n">
        <v>0</v>
      </c>
      <c r="N24" t="n">
        <v>0</v>
      </c>
      <c r="O24" t="n">
        <v>2</v>
      </c>
      <c r="P24" t="n">
        <v>0</v>
      </c>
      <c r="Q24" t="n">
        <v>4</v>
      </c>
      <c r="R24" s="2" t="inlineStr">
        <is>
          <t>Garnlav
Talltita
Dropptaggsvamp
Tjäder</t>
        </is>
      </c>
      <c r="S24">
        <f>HYPERLINK("https://klasma.github.io/Logging_2062/artfynd/A 14293-2024 artfynd.xlsx", "A 14293-2024")</f>
        <v/>
      </c>
      <c r="T24">
        <f>HYPERLINK("https://klasma.github.io/Logging_2062/kartor/A 14293-2024 karta.png", "A 14293-2024")</f>
        <v/>
      </c>
      <c r="V24">
        <f>HYPERLINK("https://klasma.github.io/Logging_2062/klagomål/A 14293-2024 FSC-klagomål.docx", "A 14293-2024")</f>
        <v/>
      </c>
      <c r="W24">
        <f>HYPERLINK("https://klasma.github.io/Logging_2062/klagomålsmail/A 14293-2024 FSC-klagomål mail.docx", "A 14293-2024")</f>
        <v/>
      </c>
      <c r="X24">
        <f>HYPERLINK("https://klasma.github.io/Logging_2062/tillsyn/A 14293-2024 tillsynsbegäran.docx", "A 14293-2024")</f>
        <v/>
      </c>
      <c r="Y24">
        <f>HYPERLINK("https://klasma.github.io/Logging_2062/tillsynsmail/A 14293-2024 tillsynsbegäran mail.docx", "A 14293-2024")</f>
        <v/>
      </c>
      <c r="Z24">
        <f>HYPERLINK("https://klasma.github.io/Logging_2062/fåglar/A 14293-2024 prioriterade fågelarter.docx", "A 14293-2024")</f>
        <v/>
      </c>
    </row>
    <row r="25" ht="15" customHeight="1">
      <c r="A25" t="inlineStr">
        <is>
          <t>A 17648-2024</t>
        </is>
      </c>
      <c r="B25" s="1" t="n">
        <v>45418</v>
      </c>
      <c r="C25" s="1" t="n">
        <v>45692</v>
      </c>
      <c r="D25" t="inlineStr">
        <is>
          <t>DALARNAS LÄN</t>
        </is>
      </c>
      <c r="E25" t="inlineStr">
        <is>
          <t>MORA</t>
        </is>
      </c>
      <c r="G25" t="n">
        <v>1.7</v>
      </c>
      <c r="H25" t="n">
        <v>4</v>
      </c>
      <c r="I25" t="n">
        <v>0</v>
      </c>
      <c r="J25" t="n">
        <v>2</v>
      </c>
      <c r="K25" t="n">
        <v>0</v>
      </c>
      <c r="L25" t="n">
        <v>0</v>
      </c>
      <c r="M25" t="n">
        <v>0</v>
      </c>
      <c r="N25" t="n">
        <v>0</v>
      </c>
      <c r="O25" t="n">
        <v>2</v>
      </c>
      <c r="P25" t="n">
        <v>0</v>
      </c>
      <c r="Q25" t="n">
        <v>4</v>
      </c>
      <c r="R25" s="2" t="inlineStr">
        <is>
          <t>Brunlångöra
Nordfladdermus
Dvärgpipistrell
Vattenfladdermus</t>
        </is>
      </c>
      <c r="S25">
        <f>HYPERLINK("https://klasma.github.io/Logging_2062/artfynd/A 17648-2024 artfynd.xlsx", "A 17648-2024")</f>
        <v/>
      </c>
      <c r="T25">
        <f>HYPERLINK("https://klasma.github.io/Logging_2062/kartor/A 17648-2024 karta.png", "A 17648-2024")</f>
        <v/>
      </c>
      <c r="V25">
        <f>HYPERLINK("https://klasma.github.io/Logging_2062/klagomål/A 17648-2024 FSC-klagomål.docx", "A 17648-2024")</f>
        <v/>
      </c>
      <c r="W25">
        <f>HYPERLINK("https://klasma.github.io/Logging_2062/klagomålsmail/A 17648-2024 FSC-klagomål mail.docx", "A 17648-2024")</f>
        <v/>
      </c>
      <c r="X25">
        <f>HYPERLINK("https://klasma.github.io/Logging_2062/tillsyn/A 17648-2024 tillsynsbegäran.docx", "A 17648-2024")</f>
        <v/>
      </c>
      <c r="Y25">
        <f>HYPERLINK("https://klasma.github.io/Logging_2062/tillsynsmail/A 17648-2024 tillsynsbegäran mail.docx", "A 17648-2024")</f>
        <v/>
      </c>
    </row>
    <row r="26" ht="15" customHeight="1">
      <c r="A26" t="inlineStr">
        <is>
          <t>A 18954-2024</t>
        </is>
      </c>
      <c r="B26" s="1" t="n">
        <v>45427</v>
      </c>
      <c r="C26" s="1" t="n">
        <v>45692</v>
      </c>
      <c r="D26" t="inlineStr">
        <is>
          <t>DALARNAS LÄN</t>
        </is>
      </c>
      <c r="E26" t="inlineStr">
        <is>
          <t>MORA</t>
        </is>
      </c>
      <c r="G26" t="n">
        <v>17.5</v>
      </c>
      <c r="H26" t="n">
        <v>0</v>
      </c>
      <c r="I26" t="n">
        <v>1</v>
      </c>
      <c r="J26" t="n">
        <v>3</v>
      </c>
      <c r="K26" t="n">
        <v>0</v>
      </c>
      <c r="L26" t="n">
        <v>0</v>
      </c>
      <c r="M26" t="n">
        <v>0</v>
      </c>
      <c r="N26" t="n">
        <v>0</v>
      </c>
      <c r="O26" t="n">
        <v>3</v>
      </c>
      <c r="P26" t="n">
        <v>0</v>
      </c>
      <c r="Q26" t="n">
        <v>4</v>
      </c>
      <c r="R26" s="2" t="inlineStr">
        <is>
          <t>Furustumpbagge
Mörksömmad barksvartbagge
Tallstumpbagge
Mindre märgborre</t>
        </is>
      </c>
      <c r="S26">
        <f>HYPERLINK("https://klasma.github.io/Logging_2062/artfynd/A 18954-2024 artfynd.xlsx", "A 18954-2024")</f>
        <v/>
      </c>
      <c r="T26">
        <f>HYPERLINK("https://klasma.github.io/Logging_2062/kartor/A 18954-2024 karta.png", "A 18954-2024")</f>
        <v/>
      </c>
      <c r="V26">
        <f>HYPERLINK("https://klasma.github.io/Logging_2062/klagomål/A 18954-2024 FSC-klagomål.docx", "A 18954-2024")</f>
        <v/>
      </c>
      <c r="W26">
        <f>HYPERLINK("https://klasma.github.io/Logging_2062/klagomålsmail/A 18954-2024 FSC-klagomål mail.docx", "A 18954-2024")</f>
        <v/>
      </c>
      <c r="X26">
        <f>HYPERLINK("https://klasma.github.io/Logging_2062/tillsyn/A 18954-2024 tillsynsbegäran.docx", "A 18954-2024")</f>
        <v/>
      </c>
      <c r="Y26">
        <f>HYPERLINK("https://klasma.github.io/Logging_2062/tillsynsmail/A 18954-2024 tillsynsbegäran mail.docx", "A 18954-2024")</f>
        <v/>
      </c>
    </row>
    <row r="27" ht="15" customHeight="1">
      <c r="A27" t="inlineStr">
        <is>
          <t>A 20098-2024</t>
        </is>
      </c>
      <c r="B27" s="1" t="n">
        <v>45434</v>
      </c>
      <c r="C27" s="1" t="n">
        <v>45692</v>
      </c>
      <c r="D27" t="inlineStr">
        <is>
          <t>DALARNAS LÄN</t>
        </is>
      </c>
      <c r="E27" t="inlineStr">
        <is>
          <t>MORA</t>
        </is>
      </c>
      <c r="F27" t="inlineStr">
        <is>
          <t>Allmännings- och besparingsskogar</t>
        </is>
      </c>
      <c r="G27" t="n">
        <v>7.3</v>
      </c>
      <c r="H27" t="n">
        <v>0</v>
      </c>
      <c r="I27" t="n">
        <v>0</v>
      </c>
      <c r="J27" t="n">
        <v>4</v>
      </c>
      <c r="K27" t="n">
        <v>0</v>
      </c>
      <c r="L27" t="n">
        <v>0</v>
      </c>
      <c r="M27" t="n">
        <v>0</v>
      </c>
      <c r="N27" t="n">
        <v>0</v>
      </c>
      <c r="O27" t="n">
        <v>4</v>
      </c>
      <c r="P27" t="n">
        <v>0</v>
      </c>
      <c r="Q27" t="n">
        <v>4</v>
      </c>
      <c r="R27" s="2" t="inlineStr">
        <is>
          <t>Dvärgbägarlav
Garnlav
Ullticka
Vedflamlav</t>
        </is>
      </c>
      <c r="S27">
        <f>HYPERLINK("https://klasma.github.io/Logging_2062/artfynd/A 20098-2024 artfynd.xlsx", "A 20098-2024")</f>
        <v/>
      </c>
      <c r="T27">
        <f>HYPERLINK("https://klasma.github.io/Logging_2062/kartor/A 20098-2024 karta.png", "A 20098-2024")</f>
        <v/>
      </c>
      <c r="V27">
        <f>HYPERLINK("https://klasma.github.io/Logging_2062/klagomål/A 20098-2024 FSC-klagomål.docx", "A 20098-2024")</f>
        <v/>
      </c>
      <c r="W27">
        <f>HYPERLINK("https://klasma.github.io/Logging_2062/klagomålsmail/A 20098-2024 FSC-klagomål mail.docx", "A 20098-2024")</f>
        <v/>
      </c>
      <c r="X27">
        <f>HYPERLINK("https://klasma.github.io/Logging_2062/tillsyn/A 20098-2024 tillsynsbegäran.docx", "A 20098-2024")</f>
        <v/>
      </c>
      <c r="Y27">
        <f>HYPERLINK("https://klasma.github.io/Logging_2062/tillsynsmail/A 20098-2024 tillsynsbegäran mail.docx", "A 20098-2024")</f>
        <v/>
      </c>
    </row>
    <row r="28" ht="15" customHeight="1">
      <c r="A28" t="inlineStr">
        <is>
          <t>A 55418-2024</t>
        </is>
      </c>
      <c r="B28" s="1" t="n">
        <v>45622</v>
      </c>
      <c r="C28" s="1" t="n">
        <v>45692</v>
      </c>
      <c r="D28" t="inlineStr">
        <is>
          <t>DALARNAS LÄN</t>
        </is>
      </c>
      <c r="E28" t="inlineStr">
        <is>
          <t>MORA</t>
        </is>
      </c>
      <c r="G28" t="n">
        <v>1</v>
      </c>
      <c r="H28" t="n">
        <v>0</v>
      </c>
      <c r="I28" t="n">
        <v>2</v>
      </c>
      <c r="J28" t="n">
        <v>1</v>
      </c>
      <c r="K28" t="n">
        <v>1</v>
      </c>
      <c r="L28" t="n">
        <v>0</v>
      </c>
      <c r="M28" t="n">
        <v>0</v>
      </c>
      <c r="N28" t="n">
        <v>0</v>
      </c>
      <c r="O28" t="n">
        <v>2</v>
      </c>
      <c r="P28" t="n">
        <v>1</v>
      </c>
      <c r="Q28" t="n">
        <v>4</v>
      </c>
      <c r="R28" s="2" t="inlineStr">
        <is>
          <t>Rotfingersvamp
Druvfingersvamp
Dropptaggsvamp
Tallfingersvamp</t>
        </is>
      </c>
      <c r="S28">
        <f>HYPERLINK("https://klasma.github.io/Logging_2062/artfynd/A 55418-2024 artfynd.xlsx", "A 55418-2024")</f>
        <v/>
      </c>
      <c r="T28">
        <f>HYPERLINK("https://klasma.github.io/Logging_2062/kartor/A 55418-2024 karta.png", "A 55418-2024")</f>
        <v/>
      </c>
      <c r="V28">
        <f>HYPERLINK("https://klasma.github.io/Logging_2062/klagomål/A 55418-2024 FSC-klagomål.docx", "A 55418-2024")</f>
        <v/>
      </c>
      <c r="W28">
        <f>HYPERLINK("https://klasma.github.io/Logging_2062/klagomålsmail/A 55418-2024 FSC-klagomål mail.docx", "A 55418-2024")</f>
        <v/>
      </c>
      <c r="X28">
        <f>HYPERLINK("https://klasma.github.io/Logging_2062/tillsyn/A 55418-2024 tillsynsbegäran.docx", "A 55418-2024")</f>
        <v/>
      </c>
      <c r="Y28">
        <f>HYPERLINK("https://klasma.github.io/Logging_2062/tillsynsmail/A 55418-2024 tillsynsbegäran mail.docx", "A 55418-2024")</f>
        <v/>
      </c>
    </row>
    <row r="29" ht="15" customHeight="1">
      <c r="A29" t="inlineStr">
        <is>
          <t>A 55467-2024</t>
        </is>
      </c>
      <c r="B29" s="1" t="n">
        <v>45622</v>
      </c>
      <c r="C29" s="1" t="n">
        <v>45692</v>
      </c>
      <c r="D29" t="inlineStr">
        <is>
          <t>DALARNAS LÄN</t>
        </is>
      </c>
      <c r="E29" t="inlineStr">
        <is>
          <t>MORA</t>
        </is>
      </c>
      <c r="G29" t="n">
        <v>1.8</v>
      </c>
      <c r="H29" t="n">
        <v>0</v>
      </c>
      <c r="I29" t="n">
        <v>2</v>
      </c>
      <c r="J29" t="n">
        <v>1</v>
      </c>
      <c r="K29" t="n">
        <v>1</v>
      </c>
      <c r="L29" t="n">
        <v>0</v>
      </c>
      <c r="M29" t="n">
        <v>0</v>
      </c>
      <c r="N29" t="n">
        <v>0</v>
      </c>
      <c r="O29" t="n">
        <v>2</v>
      </c>
      <c r="P29" t="n">
        <v>1</v>
      </c>
      <c r="Q29" t="n">
        <v>4</v>
      </c>
      <c r="R29" s="2" t="inlineStr">
        <is>
          <t>Rotfingersvamp
Skrovlig taggsvamp
Dropptaggsvamp
Tallfingersvamp</t>
        </is>
      </c>
      <c r="S29">
        <f>HYPERLINK("https://klasma.github.io/Logging_2062/artfynd/A 55467-2024 artfynd.xlsx", "A 55467-2024")</f>
        <v/>
      </c>
      <c r="T29">
        <f>HYPERLINK("https://klasma.github.io/Logging_2062/kartor/A 55467-2024 karta.png", "A 55467-2024")</f>
        <v/>
      </c>
      <c r="V29">
        <f>HYPERLINK("https://klasma.github.io/Logging_2062/klagomål/A 55467-2024 FSC-klagomål.docx", "A 55467-2024")</f>
        <v/>
      </c>
      <c r="W29">
        <f>HYPERLINK("https://klasma.github.io/Logging_2062/klagomålsmail/A 55467-2024 FSC-klagomål mail.docx", "A 55467-2024")</f>
        <v/>
      </c>
      <c r="X29">
        <f>HYPERLINK("https://klasma.github.io/Logging_2062/tillsyn/A 55467-2024 tillsynsbegäran.docx", "A 55467-2024")</f>
        <v/>
      </c>
      <c r="Y29">
        <f>HYPERLINK("https://klasma.github.io/Logging_2062/tillsynsmail/A 55467-2024 tillsynsbegäran mail.docx", "A 55467-2024")</f>
        <v/>
      </c>
    </row>
    <row r="30" ht="15" customHeight="1">
      <c r="A30" t="inlineStr">
        <is>
          <t>A 61224-2024</t>
        </is>
      </c>
      <c r="B30" s="1" t="n">
        <v>45645</v>
      </c>
      <c r="C30" s="1" t="n">
        <v>45692</v>
      </c>
      <c r="D30" t="inlineStr">
        <is>
          <t>DALARNAS LÄN</t>
        </is>
      </c>
      <c r="E30" t="inlineStr">
        <is>
          <t>MORA</t>
        </is>
      </c>
      <c r="F30" t="inlineStr">
        <is>
          <t>Allmännings- och besparingsskogar</t>
        </is>
      </c>
      <c r="G30" t="n">
        <v>3.7</v>
      </c>
      <c r="H30" t="n">
        <v>0</v>
      </c>
      <c r="I30" t="n">
        <v>0</v>
      </c>
      <c r="J30" t="n">
        <v>4</v>
      </c>
      <c r="K30" t="n">
        <v>0</v>
      </c>
      <c r="L30" t="n">
        <v>0</v>
      </c>
      <c r="M30" t="n">
        <v>0</v>
      </c>
      <c r="N30" t="n">
        <v>0</v>
      </c>
      <c r="O30" t="n">
        <v>4</v>
      </c>
      <c r="P30" t="n">
        <v>0</v>
      </c>
      <c r="Q30" t="n">
        <v>4</v>
      </c>
      <c r="R30" s="2" t="inlineStr">
        <is>
          <t>Garnlav
Mörk kolflarnlav
Vedskivlav
Violettgrå tagellav</t>
        </is>
      </c>
      <c r="S30">
        <f>HYPERLINK("https://klasma.github.io/Logging_2062/artfynd/A 61224-2024 artfynd.xlsx", "A 61224-2024")</f>
        <v/>
      </c>
      <c r="T30">
        <f>HYPERLINK("https://klasma.github.io/Logging_2062/kartor/A 61224-2024 karta.png", "A 61224-2024")</f>
        <v/>
      </c>
      <c r="V30">
        <f>HYPERLINK("https://klasma.github.io/Logging_2062/klagomål/A 61224-2024 FSC-klagomål.docx", "A 61224-2024")</f>
        <v/>
      </c>
      <c r="W30">
        <f>HYPERLINK("https://klasma.github.io/Logging_2062/klagomålsmail/A 61224-2024 FSC-klagomål mail.docx", "A 61224-2024")</f>
        <v/>
      </c>
      <c r="X30">
        <f>HYPERLINK("https://klasma.github.io/Logging_2062/tillsyn/A 61224-2024 tillsynsbegäran.docx", "A 61224-2024")</f>
        <v/>
      </c>
      <c r="Y30">
        <f>HYPERLINK("https://klasma.github.io/Logging_2062/tillsynsmail/A 61224-2024 tillsynsbegäran mail.docx", "A 61224-2024")</f>
        <v/>
      </c>
    </row>
    <row r="31" ht="15" customHeight="1">
      <c r="A31" t="inlineStr">
        <is>
          <t>A 894-2025</t>
        </is>
      </c>
      <c r="B31" s="1" t="n">
        <v>45665</v>
      </c>
      <c r="C31" s="1" t="n">
        <v>45692</v>
      </c>
      <c r="D31" t="inlineStr">
        <is>
          <t>DALARNAS LÄN</t>
        </is>
      </c>
      <c r="E31" t="inlineStr">
        <is>
          <t>MORA</t>
        </is>
      </c>
      <c r="G31" t="n">
        <v>8.1</v>
      </c>
      <c r="H31" t="n">
        <v>2</v>
      </c>
      <c r="I31" t="n">
        <v>0</v>
      </c>
      <c r="J31" t="n">
        <v>3</v>
      </c>
      <c r="K31" t="n">
        <v>0</v>
      </c>
      <c r="L31" t="n">
        <v>0</v>
      </c>
      <c r="M31" t="n">
        <v>0</v>
      </c>
      <c r="N31" t="n">
        <v>0</v>
      </c>
      <c r="O31" t="n">
        <v>3</v>
      </c>
      <c r="P31" t="n">
        <v>0</v>
      </c>
      <c r="Q31" t="n">
        <v>4</v>
      </c>
      <c r="R31" s="2" t="inlineStr">
        <is>
          <t>Garnlav
Lunglav
Tretåig hackspett
Tjäder</t>
        </is>
      </c>
      <c r="S31">
        <f>HYPERLINK("https://klasma.github.io/Logging_2062/artfynd/A 894-2025 artfynd.xlsx", "A 894-2025")</f>
        <v/>
      </c>
      <c r="T31">
        <f>HYPERLINK("https://klasma.github.io/Logging_2062/kartor/A 894-2025 karta.png", "A 894-2025")</f>
        <v/>
      </c>
      <c r="V31">
        <f>HYPERLINK("https://klasma.github.io/Logging_2062/klagomål/A 894-2025 FSC-klagomål.docx", "A 894-2025")</f>
        <v/>
      </c>
      <c r="W31">
        <f>HYPERLINK("https://klasma.github.io/Logging_2062/klagomålsmail/A 894-2025 FSC-klagomål mail.docx", "A 894-2025")</f>
        <v/>
      </c>
      <c r="X31">
        <f>HYPERLINK("https://klasma.github.io/Logging_2062/tillsyn/A 894-2025 tillsynsbegäran.docx", "A 894-2025")</f>
        <v/>
      </c>
      <c r="Y31">
        <f>HYPERLINK("https://klasma.github.io/Logging_2062/tillsynsmail/A 894-2025 tillsynsbegäran mail.docx", "A 894-2025")</f>
        <v/>
      </c>
      <c r="Z31">
        <f>HYPERLINK("https://klasma.github.io/Logging_2062/fåglar/A 894-2025 prioriterade fågelarter.docx", "A 894-2025")</f>
        <v/>
      </c>
    </row>
    <row r="32" ht="15" customHeight="1">
      <c r="A32" t="inlineStr">
        <is>
          <t>A 5484-2023</t>
        </is>
      </c>
      <c r="B32" s="1" t="n">
        <v>44957</v>
      </c>
      <c r="C32" s="1" t="n">
        <v>45692</v>
      </c>
      <c r="D32" t="inlineStr">
        <is>
          <t>DALARNAS LÄN</t>
        </is>
      </c>
      <c r="E32" t="inlineStr">
        <is>
          <t>MORA</t>
        </is>
      </c>
      <c r="F32" t="inlineStr">
        <is>
          <t>Allmännings- och besparingsskogar</t>
        </is>
      </c>
      <c r="G32" t="n">
        <v>14.9</v>
      </c>
      <c r="H32" t="n">
        <v>0</v>
      </c>
      <c r="I32" t="n">
        <v>1</v>
      </c>
      <c r="J32" t="n">
        <v>0</v>
      </c>
      <c r="K32" t="n">
        <v>2</v>
      </c>
      <c r="L32" t="n">
        <v>0</v>
      </c>
      <c r="M32" t="n">
        <v>0</v>
      </c>
      <c r="N32" t="n">
        <v>0</v>
      </c>
      <c r="O32" t="n">
        <v>2</v>
      </c>
      <c r="P32" t="n">
        <v>2</v>
      </c>
      <c r="Q32" t="n">
        <v>3</v>
      </c>
      <c r="R32" s="2" t="inlineStr">
        <is>
          <t>Raggbock
Tallbarksvartbagge
Mindre märgborre</t>
        </is>
      </c>
      <c r="S32">
        <f>HYPERLINK("https://klasma.github.io/Logging_2062/artfynd/A 5484-2023 artfynd.xlsx", "A 5484-2023")</f>
        <v/>
      </c>
      <c r="T32">
        <f>HYPERLINK("https://klasma.github.io/Logging_2062/kartor/A 5484-2023 karta.png", "A 5484-2023")</f>
        <v/>
      </c>
      <c r="V32">
        <f>HYPERLINK("https://klasma.github.io/Logging_2062/klagomål/A 5484-2023 FSC-klagomål.docx", "A 5484-2023")</f>
        <v/>
      </c>
      <c r="W32">
        <f>HYPERLINK("https://klasma.github.io/Logging_2062/klagomålsmail/A 5484-2023 FSC-klagomål mail.docx", "A 5484-2023")</f>
        <v/>
      </c>
      <c r="X32">
        <f>HYPERLINK("https://klasma.github.io/Logging_2062/tillsyn/A 5484-2023 tillsynsbegäran.docx", "A 5484-2023")</f>
        <v/>
      </c>
      <c r="Y32">
        <f>HYPERLINK("https://klasma.github.io/Logging_2062/tillsynsmail/A 5484-2023 tillsynsbegäran mail.docx", "A 5484-2023")</f>
        <v/>
      </c>
    </row>
    <row r="33" ht="15" customHeight="1">
      <c r="A33" t="inlineStr">
        <is>
          <t>A 33185-2019</t>
        </is>
      </c>
      <c r="B33" s="1" t="n">
        <v>43649</v>
      </c>
      <c r="C33" s="1" t="n">
        <v>45692</v>
      </c>
      <c r="D33" t="inlineStr">
        <is>
          <t>DALARNAS LÄN</t>
        </is>
      </c>
      <c r="E33" t="inlineStr">
        <is>
          <t>MORA</t>
        </is>
      </c>
      <c r="G33" t="n">
        <v>8</v>
      </c>
      <c r="H33" t="n">
        <v>0</v>
      </c>
      <c r="I33" t="n">
        <v>0</v>
      </c>
      <c r="J33" t="n">
        <v>2</v>
      </c>
      <c r="K33" t="n">
        <v>0</v>
      </c>
      <c r="L33" t="n">
        <v>0</v>
      </c>
      <c r="M33" t="n">
        <v>0</v>
      </c>
      <c r="N33" t="n">
        <v>0</v>
      </c>
      <c r="O33" t="n">
        <v>2</v>
      </c>
      <c r="P33" t="n">
        <v>0</v>
      </c>
      <c r="Q33" t="n">
        <v>2</v>
      </c>
      <c r="R33" s="2" t="inlineStr">
        <is>
          <t>Mörk kolflarnlav
Vedskivlav</t>
        </is>
      </c>
      <c r="S33">
        <f>HYPERLINK("https://klasma.github.io/Logging_2062/artfynd/A 33185-2019 artfynd.xlsx", "A 33185-2019")</f>
        <v/>
      </c>
      <c r="T33">
        <f>HYPERLINK("https://klasma.github.io/Logging_2062/kartor/A 33185-2019 karta.png", "A 33185-2019")</f>
        <v/>
      </c>
      <c r="V33">
        <f>HYPERLINK("https://klasma.github.io/Logging_2062/klagomål/A 33185-2019 FSC-klagomål.docx", "A 33185-2019")</f>
        <v/>
      </c>
      <c r="W33">
        <f>HYPERLINK("https://klasma.github.io/Logging_2062/klagomålsmail/A 33185-2019 FSC-klagomål mail.docx", "A 33185-2019")</f>
        <v/>
      </c>
      <c r="X33">
        <f>HYPERLINK("https://klasma.github.io/Logging_2062/tillsyn/A 33185-2019 tillsynsbegäran.docx", "A 33185-2019")</f>
        <v/>
      </c>
      <c r="Y33">
        <f>HYPERLINK("https://klasma.github.io/Logging_2062/tillsynsmail/A 33185-2019 tillsynsbegäran mail.docx", "A 33185-2019")</f>
        <v/>
      </c>
    </row>
    <row r="34" ht="15" customHeight="1">
      <c r="A34" t="inlineStr">
        <is>
          <t>A 64812-2019</t>
        </is>
      </c>
      <c r="B34" s="1" t="n">
        <v>43801</v>
      </c>
      <c r="C34" s="1" t="n">
        <v>45692</v>
      </c>
      <c r="D34" t="inlineStr">
        <is>
          <t>DALARNAS LÄN</t>
        </is>
      </c>
      <c r="E34" t="inlineStr">
        <is>
          <t>MORA</t>
        </is>
      </c>
      <c r="G34" t="n">
        <v>5.6</v>
      </c>
      <c r="H34" t="n">
        <v>0</v>
      </c>
      <c r="I34" t="n">
        <v>0</v>
      </c>
      <c r="J34" t="n">
        <v>2</v>
      </c>
      <c r="K34" t="n">
        <v>0</v>
      </c>
      <c r="L34" t="n">
        <v>0</v>
      </c>
      <c r="M34" t="n">
        <v>0</v>
      </c>
      <c r="N34" t="n">
        <v>0</v>
      </c>
      <c r="O34" t="n">
        <v>2</v>
      </c>
      <c r="P34" t="n">
        <v>0</v>
      </c>
      <c r="Q34" t="n">
        <v>2</v>
      </c>
      <c r="R34" s="2" t="inlineStr">
        <is>
          <t>Rosenticka
Ullticka</t>
        </is>
      </c>
      <c r="S34">
        <f>HYPERLINK("https://klasma.github.io/Logging_2062/artfynd/A 64812-2019 artfynd.xlsx", "A 64812-2019")</f>
        <v/>
      </c>
      <c r="T34">
        <f>HYPERLINK("https://klasma.github.io/Logging_2062/kartor/A 64812-2019 karta.png", "A 64812-2019")</f>
        <v/>
      </c>
      <c r="V34">
        <f>HYPERLINK("https://klasma.github.io/Logging_2062/klagomål/A 64812-2019 FSC-klagomål.docx", "A 64812-2019")</f>
        <v/>
      </c>
      <c r="W34">
        <f>HYPERLINK("https://klasma.github.io/Logging_2062/klagomålsmail/A 64812-2019 FSC-klagomål mail.docx", "A 64812-2019")</f>
        <v/>
      </c>
      <c r="X34">
        <f>HYPERLINK("https://klasma.github.io/Logging_2062/tillsyn/A 64812-2019 tillsynsbegäran.docx", "A 64812-2019")</f>
        <v/>
      </c>
      <c r="Y34">
        <f>HYPERLINK("https://klasma.github.io/Logging_2062/tillsynsmail/A 64812-2019 tillsynsbegäran mail.docx", "A 64812-2019")</f>
        <v/>
      </c>
    </row>
    <row r="35" ht="15" customHeight="1">
      <c r="A35" t="inlineStr">
        <is>
          <t>A 59626-2020</t>
        </is>
      </c>
      <c r="B35" s="1" t="n">
        <v>44150</v>
      </c>
      <c r="C35" s="1" t="n">
        <v>45692</v>
      </c>
      <c r="D35" t="inlineStr">
        <is>
          <t>DALARNAS LÄN</t>
        </is>
      </c>
      <c r="E35" t="inlineStr">
        <is>
          <t>MORA</t>
        </is>
      </c>
      <c r="F35" t="inlineStr">
        <is>
          <t>Bergvik skog öst AB</t>
        </is>
      </c>
      <c r="G35" t="n">
        <v>3.8</v>
      </c>
      <c r="H35" t="n">
        <v>0</v>
      </c>
      <c r="I35" t="n">
        <v>1</v>
      </c>
      <c r="J35" t="n">
        <v>1</v>
      </c>
      <c r="K35" t="n">
        <v>0</v>
      </c>
      <c r="L35" t="n">
        <v>0</v>
      </c>
      <c r="M35" t="n">
        <v>0</v>
      </c>
      <c r="N35" t="n">
        <v>0</v>
      </c>
      <c r="O35" t="n">
        <v>1</v>
      </c>
      <c r="P35" t="n">
        <v>0</v>
      </c>
      <c r="Q35" t="n">
        <v>2</v>
      </c>
      <c r="R35" s="2" t="inlineStr">
        <is>
          <t>Motaggsvamp
Dropptaggsvamp</t>
        </is>
      </c>
      <c r="S35">
        <f>HYPERLINK("https://klasma.github.io/Logging_2062/artfynd/A 59626-2020 artfynd.xlsx", "A 59626-2020")</f>
        <v/>
      </c>
      <c r="T35">
        <f>HYPERLINK("https://klasma.github.io/Logging_2062/kartor/A 59626-2020 karta.png", "A 59626-2020")</f>
        <v/>
      </c>
      <c r="V35">
        <f>HYPERLINK("https://klasma.github.io/Logging_2062/klagomål/A 59626-2020 FSC-klagomål.docx", "A 59626-2020")</f>
        <v/>
      </c>
      <c r="W35">
        <f>HYPERLINK("https://klasma.github.io/Logging_2062/klagomålsmail/A 59626-2020 FSC-klagomål mail.docx", "A 59626-2020")</f>
        <v/>
      </c>
      <c r="X35">
        <f>HYPERLINK("https://klasma.github.io/Logging_2062/tillsyn/A 59626-2020 tillsynsbegäran.docx", "A 59626-2020")</f>
        <v/>
      </c>
      <c r="Y35">
        <f>HYPERLINK("https://klasma.github.io/Logging_2062/tillsynsmail/A 59626-2020 tillsynsbegäran mail.docx", "A 59626-2020")</f>
        <v/>
      </c>
    </row>
    <row r="36" ht="15" customHeight="1">
      <c r="A36" t="inlineStr">
        <is>
          <t>A 62286-2020</t>
        </is>
      </c>
      <c r="B36" s="1" t="n">
        <v>44160</v>
      </c>
      <c r="C36" s="1" t="n">
        <v>45692</v>
      </c>
      <c r="D36" t="inlineStr">
        <is>
          <t>DALARNAS LÄN</t>
        </is>
      </c>
      <c r="E36" t="inlineStr">
        <is>
          <t>MORA</t>
        </is>
      </c>
      <c r="G36" t="n">
        <v>0.6</v>
      </c>
      <c r="H36" t="n">
        <v>1</v>
      </c>
      <c r="I36" t="n">
        <v>1</v>
      </c>
      <c r="J36" t="n">
        <v>1</v>
      </c>
      <c r="K36" t="n">
        <v>0</v>
      </c>
      <c r="L36" t="n">
        <v>0</v>
      </c>
      <c r="M36" t="n">
        <v>0</v>
      </c>
      <c r="N36" t="n">
        <v>0</v>
      </c>
      <c r="O36" t="n">
        <v>1</v>
      </c>
      <c r="P36" t="n">
        <v>0</v>
      </c>
      <c r="Q36" t="n">
        <v>2</v>
      </c>
      <c r="R36" s="2" t="inlineStr">
        <is>
          <t>Brun gräsfjäril
Traslav</t>
        </is>
      </c>
      <c r="S36">
        <f>HYPERLINK("https://klasma.github.io/Logging_2062/artfynd/A 62286-2020 artfynd.xlsx", "A 62286-2020")</f>
        <v/>
      </c>
      <c r="T36">
        <f>HYPERLINK("https://klasma.github.io/Logging_2062/kartor/A 62286-2020 karta.png", "A 62286-2020")</f>
        <v/>
      </c>
      <c r="V36">
        <f>HYPERLINK("https://klasma.github.io/Logging_2062/klagomål/A 62286-2020 FSC-klagomål.docx", "A 62286-2020")</f>
        <v/>
      </c>
      <c r="W36">
        <f>HYPERLINK("https://klasma.github.io/Logging_2062/klagomålsmail/A 62286-2020 FSC-klagomål mail.docx", "A 62286-2020")</f>
        <v/>
      </c>
      <c r="X36">
        <f>HYPERLINK("https://klasma.github.io/Logging_2062/tillsyn/A 62286-2020 tillsynsbegäran.docx", "A 62286-2020")</f>
        <v/>
      </c>
      <c r="Y36">
        <f>HYPERLINK("https://klasma.github.io/Logging_2062/tillsynsmail/A 62286-2020 tillsynsbegäran mail.docx", "A 62286-2020")</f>
        <v/>
      </c>
    </row>
    <row r="37" ht="15" customHeight="1">
      <c r="A37" t="inlineStr">
        <is>
          <t>A 26587-2023</t>
        </is>
      </c>
      <c r="B37" s="1" t="n">
        <v>45092</v>
      </c>
      <c r="C37" s="1" t="n">
        <v>45692</v>
      </c>
      <c r="D37" t="inlineStr">
        <is>
          <t>DALARNAS LÄN</t>
        </is>
      </c>
      <c r="E37" t="inlineStr">
        <is>
          <t>MORA</t>
        </is>
      </c>
      <c r="G37" t="n">
        <v>2.1</v>
      </c>
      <c r="H37" t="n">
        <v>0</v>
      </c>
      <c r="I37" t="n">
        <v>1</v>
      </c>
      <c r="J37" t="n">
        <v>1</v>
      </c>
      <c r="K37" t="n">
        <v>0</v>
      </c>
      <c r="L37" t="n">
        <v>0</v>
      </c>
      <c r="M37" t="n">
        <v>0</v>
      </c>
      <c r="N37" t="n">
        <v>0</v>
      </c>
      <c r="O37" t="n">
        <v>1</v>
      </c>
      <c r="P37" t="n">
        <v>0</v>
      </c>
      <c r="Q37" t="n">
        <v>2</v>
      </c>
      <c r="R37" s="2" t="inlineStr">
        <is>
          <t>Motaggsvamp
Mindre märgborre</t>
        </is>
      </c>
      <c r="S37">
        <f>HYPERLINK("https://klasma.github.io/Logging_2062/artfynd/A 26587-2023 artfynd.xlsx", "A 26587-2023")</f>
        <v/>
      </c>
      <c r="T37">
        <f>HYPERLINK("https://klasma.github.io/Logging_2062/kartor/A 26587-2023 karta.png", "A 26587-2023")</f>
        <v/>
      </c>
      <c r="V37">
        <f>HYPERLINK("https://klasma.github.io/Logging_2062/klagomål/A 26587-2023 FSC-klagomål.docx", "A 26587-2023")</f>
        <v/>
      </c>
      <c r="W37">
        <f>HYPERLINK("https://klasma.github.io/Logging_2062/klagomålsmail/A 26587-2023 FSC-klagomål mail.docx", "A 26587-2023")</f>
        <v/>
      </c>
      <c r="X37">
        <f>HYPERLINK("https://klasma.github.io/Logging_2062/tillsyn/A 26587-2023 tillsynsbegäran.docx", "A 26587-2023")</f>
        <v/>
      </c>
      <c r="Y37">
        <f>HYPERLINK("https://klasma.github.io/Logging_2062/tillsynsmail/A 26587-2023 tillsynsbegäran mail.docx", "A 26587-2023")</f>
        <v/>
      </c>
    </row>
    <row r="38" ht="15" customHeight="1">
      <c r="A38" t="inlineStr">
        <is>
          <t>A 30278-2023</t>
        </is>
      </c>
      <c r="B38" s="1" t="n">
        <v>45110</v>
      </c>
      <c r="C38" s="1" t="n">
        <v>45692</v>
      </c>
      <c r="D38" t="inlineStr">
        <is>
          <t>DALARNAS LÄN</t>
        </is>
      </c>
      <c r="E38" t="inlineStr">
        <is>
          <t>MORA</t>
        </is>
      </c>
      <c r="G38" t="n">
        <v>16</v>
      </c>
      <c r="H38" t="n">
        <v>0</v>
      </c>
      <c r="I38" t="n">
        <v>1</v>
      </c>
      <c r="J38" t="n">
        <v>0</v>
      </c>
      <c r="K38" t="n">
        <v>1</v>
      </c>
      <c r="L38" t="n">
        <v>0</v>
      </c>
      <c r="M38" t="n">
        <v>0</v>
      </c>
      <c r="N38" t="n">
        <v>0</v>
      </c>
      <c r="O38" t="n">
        <v>1</v>
      </c>
      <c r="P38" t="n">
        <v>1</v>
      </c>
      <c r="Q38" t="n">
        <v>2</v>
      </c>
      <c r="R38" s="2" t="inlineStr">
        <is>
          <t>Tallbarksvartbagge
Mindre märgborre</t>
        </is>
      </c>
      <c r="S38">
        <f>HYPERLINK("https://klasma.github.io/Logging_2062/artfynd/A 30278-2023 artfynd.xlsx", "A 30278-2023")</f>
        <v/>
      </c>
      <c r="T38">
        <f>HYPERLINK("https://klasma.github.io/Logging_2062/kartor/A 30278-2023 karta.png", "A 30278-2023")</f>
        <v/>
      </c>
      <c r="V38">
        <f>HYPERLINK("https://klasma.github.io/Logging_2062/klagomål/A 30278-2023 FSC-klagomål.docx", "A 30278-2023")</f>
        <v/>
      </c>
      <c r="W38">
        <f>HYPERLINK("https://klasma.github.io/Logging_2062/klagomålsmail/A 30278-2023 FSC-klagomål mail.docx", "A 30278-2023")</f>
        <v/>
      </c>
      <c r="X38">
        <f>HYPERLINK("https://klasma.github.io/Logging_2062/tillsyn/A 30278-2023 tillsynsbegäran.docx", "A 30278-2023")</f>
        <v/>
      </c>
      <c r="Y38">
        <f>HYPERLINK("https://klasma.github.io/Logging_2062/tillsynsmail/A 30278-2023 tillsynsbegäran mail.docx", "A 30278-2023")</f>
        <v/>
      </c>
    </row>
    <row r="39" ht="15" customHeight="1">
      <c r="A39" t="inlineStr">
        <is>
          <t>A 42028-2023</t>
        </is>
      </c>
      <c r="B39" s="1" t="n">
        <v>45177</v>
      </c>
      <c r="C39" s="1" t="n">
        <v>45692</v>
      </c>
      <c r="D39" t="inlineStr">
        <is>
          <t>DALARNAS LÄN</t>
        </is>
      </c>
      <c r="E39" t="inlineStr">
        <is>
          <t>MORA</t>
        </is>
      </c>
      <c r="F39" t="inlineStr">
        <is>
          <t>Allmännings- och besparingsskogar</t>
        </is>
      </c>
      <c r="G39" t="n">
        <v>6.5</v>
      </c>
      <c r="H39" t="n">
        <v>0</v>
      </c>
      <c r="I39" t="n">
        <v>0</v>
      </c>
      <c r="J39" t="n">
        <v>2</v>
      </c>
      <c r="K39" t="n">
        <v>0</v>
      </c>
      <c r="L39" t="n">
        <v>0</v>
      </c>
      <c r="M39" t="n">
        <v>0</v>
      </c>
      <c r="N39" t="n">
        <v>0</v>
      </c>
      <c r="O39" t="n">
        <v>2</v>
      </c>
      <c r="P39" t="n">
        <v>0</v>
      </c>
      <c r="Q39" t="n">
        <v>2</v>
      </c>
      <c r="R39" s="2" t="inlineStr">
        <is>
          <t>Dvärgbägarlav
Vedskivlav</t>
        </is>
      </c>
      <c r="S39">
        <f>HYPERLINK("https://klasma.github.io/Logging_2062/artfynd/A 42028-2023 artfynd.xlsx", "A 42028-2023")</f>
        <v/>
      </c>
      <c r="T39">
        <f>HYPERLINK("https://klasma.github.io/Logging_2062/kartor/A 42028-2023 karta.png", "A 42028-2023")</f>
        <v/>
      </c>
      <c r="V39">
        <f>HYPERLINK("https://klasma.github.io/Logging_2062/klagomål/A 42028-2023 FSC-klagomål.docx", "A 42028-2023")</f>
        <v/>
      </c>
      <c r="W39">
        <f>HYPERLINK("https://klasma.github.io/Logging_2062/klagomålsmail/A 42028-2023 FSC-klagomål mail.docx", "A 42028-2023")</f>
        <v/>
      </c>
      <c r="X39">
        <f>HYPERLINK("https://klasma.github.io/Logging_2062/tillsyn/A 42028-2023 tillsynsbegäran.docx", "A 42028-2023")</f>
        <v/>
      </c>
      <c r="Y39">
        <f>HYPERLINK("https://klasma.github.io/Logging_2062/tillsynsmail/A 42028-2023 tillsynsbegäran mail.docx", "A 42028-2023")</f>
        <v/>
      </c>
    </row>
    <row r="40" ht="15" customHeight="1">
      <c r="A40" t="inlineStr">
        <is>
          <t>A 33968-2020</t>
        </is>
      </c>
      <c r="B40" s="1" t="n">
        <v>44028</v>
      </c>
      <c r="C40" s="1" t="n">
        <v>45692</v>
      </c>
      <c r="D40" t="inlineStr">
        <is>
          <t>DALARNAS LÄN</t>
        </is>
      </c>
      <c r="E40" t="inlineStr">
        <is>
          <t>MORA</t>
        </is>
      </c>
      <c r="G40" t="n">
        <v>0.5</v>
      </c>
      <c r="H40" t="n">
        <v>1</v>
      </c>
      <c r="I40" t="n">
        <v>0</v>
      </c>
      <c r="J40" t="n">
        <v>1</v>
      </c>
      <c r="K40" t="n">
        <v>0</v>
      </c>
      <c r="L40" t="n">
        <v>0</v>
      </c>
      <c r="M40" t="n">
        <v>0</v>
      </c>
      <c r="N40" t="n">
        <v>0</v>
      </c>
      <c r="O40" t="n">
        <v>1</v>
      </c>
      <c r="P40" t="n">
        <v>0</v>
      </c>
      <c r="Q40" t="n">
        <v>1</v>
      </c>
      <c r="R40" s="2" t="inlineStr">
        <is>
          <t>Spillkråka</t>
        </is>
      </c>
      <c r="S40">
        <f>HYPERLINK("https://klasma.github.io/Logging_2062/artfynd/A 33968-2020 artfynd.xlsx", "A 33968-2020")</f>
        <v/>
      </c>
      <c r="T40">
        <f>HYPERLINK("https://klasma.github.io/Logging_2062/kartor/A 33968-2020 karta.png", "A 33968-2020")</f>
        <v/>
      </c>
      <c r="V40">
        <f>HYPERLINK("https://klasma.github.io/Logging_2062/klagomål/A 33968-2020 FSC-klagomål.docx", "A 33968-2020")</f>
        <v/>
      </c>
      <c r="W40">
        <f>HYPERLINK("https://klasma.github.io/Logging_2062/klagomålsmail/A 33968-2020 FSC-klagomål mail.docx", "A 33968-2020")</f>
        <v/>
      </c>
      <c r="X40">
        <f>HYPERLINK("https://klasma.github.io/Logging_2062/tillsyn/A 33968-2020 tillsynsbegäran.docx", "A 33968-2020")</f>
        <v/>
      </c>
      <c r="Y40">
        <f>HYPERLINK("https://klasma.github.io/Logging_2062/tillsynsmail/A 33968-2020 tillsynsbegäran mail.docx", "A 33968-2020")</f>
        <v/>
      </c>
      <c r="Z40">
        <f>HYPERLINK("https://klasma.github.io/Logging_2062/fåglar/A 33968-2020 prioriterade fågelarter.docx", "A 33968-2020")</f>
        <v/>
      </c>
    </row>
    <row r="41" ht="15" customHeight="1">
      <c r="A41" t="inlineStr">
        <is>
          <t>A 30328-2021</t>
        </is>
      </c>
      <c r="B41" s="1" t="n">
        <v>44364</v>
      </c>
      <c r="C41" s="1" t="n">
        <v>45692</v>
      </c>
      <c r="D41" t="inlineStr">
        <is>
          <t>DALARNAS LÄN</t>
        </is>
      </c>
      <c r="E41" t="inlineStr">
        <is>
          <t>MORA</t>
        </is>
      </c>
      <c r="F41" t="inlineStr">
        <is>
          <t>Bergvik skog öst AB</t>
        </is>
      </c>
      <c r="G41" t="n">
        <v>1.1</v>
      </c>
      <c r="H41" t="n">
        <v>1</v>
      </c>
      <c r="I41" t="n">
        <v>0</v>
      </c>
      <c r="J41" t="n">
        <v>1</v>
      </c>
      <c r="K41" t="n">
        <v>0</v>
      </c>
      <c r="L41" t="n">
        <v>0</v>
      </c>
      <c r="M41" t="n">
        <v>0</v>
      </c>
      <c r="N41" t="n">
        <v>0</v>
      </c>
      <c r="O41" t="n">
        <v>1</v>
      </c>
      <c r="P41" t="n">
        <v>0</v>
      </c>
      <c r="Q41" t="n">
        <v>1</v>
      </c>
      <c r="R41" s="2" t="inlineStr">
        <is>
          <t>Fjällvråk</t>
        </is>
      </c>
      <c r="S41">
        <f>HYPERLINK("https://klasma.github.io/Logging_2062/artfynd/A 30328-2021 artfynd.xlsx", "A 30328-2021")</f>
        <v/>
      </c>
      <c r="T41">
        <f>HYPERLINK("https://klasma.github.io/Logging_2062/kartor/A 30328-2021 karta.png", "A 30328-2021")</f>
        <v/>
      </c>
      <c r="V41">
        <f>HYPERLINK("https://klasma.github.io/Logging_2062/klagomål/A 30328-2021 FSC-klagomål.docx", "A 30328-2021")</f>
        <v/>
      </c>
      <c r="W41">
        <f>HYPERLINK("https://klasma.github.io/Logging_2062/klagomålsmail/A 30328-2021 FSC-klagomål mail.docx", "A 30328-2021")</f>
        <v/>
      </c>
      <c r="X41">
        <f>HYPERLINK("https://klasma.github.io/Logging_2062/tillsyn/A 30328-2021 tillsynsbegäran.docx", "A 30328-2021")</f>
        <v/>
      </c>
      <c r="Y41">
        <f>HYPERLINK("https://klasma.github.io/Logging_2062/tillsynsmail/A 30328-2021 tillsynsbegäran mail.docx", "A 30328-2021")</f>
        <v/>
      </c>
      <c r="Z41">
        <f>HYPERLINK("https://klasma.github.io/Logging_2062/fåglar/A 30328-2021 prioriterade fågelarter.docx", "A 30328-2021")</f>
        <v/>
      </c>
    </row>
    <row r="42" ht="15" customHeight="1">
      <c r="A42" t="inlineStr">
        <is>
          <t>A 57669-2022</t>
        </is>
      </c>
      <c r="B42" s="1" t="n">
        <v>44897</v>
      </c>
      <c r="C42" s="1" t="n">
        <v>45692</v>
      </c>
      <c r="D42" t="inlineStr">
        <is>
          <t>DALARNAS LÄN</t>
        </is>
      </c>
      <c r="E42" t="inlineStr">
        <is>
          <t>MORA</t>
        </is>
      </c>
      <c r="G42" t="n">
        <v>4.1</v>
      </c>
      <c r="H42" t="n">
        <v>0</v>
      </c>
      <c r="I42" t="n">
        <v>0</v>
      </c>
      <c r="J42" t="n">
        <v>1</v>
      </c>
      <c r="K42" t="n">
        <v>0</v>
      </c>
      <c r="L42" t="n">
        <v>0</v>
      </c>
      <c r="M42" t="n">
        <v>0</v>
      </c>
      <c r="N42" t="n">
        <v>0</v>
      </c>
      <c r="O42" t="n">
        <v>1</v>
      </c>
      <c r="P42" t="n">
        <v>0</v>
      </c>
      <c r="Q42" t="n">
        <v>1</v>
      </c>
      <c r="R42" s="2" t="inlineStr">
        <is>
          <t>Igelkott</t>
        </is>
      </c>
      <c r="S42">
        <f>HYPERLINK("https://klasma.github.io/Logging_2062/artfynd/A 57669-2022 artfynd.xlsx", "A 57669-2022")</f>
        <v/>
      </c>
      <c r="T42">
        <f>HYPERLINK("https://klasma.github.io/Logging_2062/kartor/A 57669-2022 karta.png", "A 57669-2022")</f>
        <v/>
      </c>
      <c r="V42">
        <f>HYPERLINK("https://klasma.github.io/Logging_2062/klagomål/A 57669-2022 FSC-klagomål.docx", "A 57669-2022")</f>
        <v/>
      </c>
      <c r="W42">
        <f>HYPERLINK("https://klasma.github.io/Logging_2062/klagomålsmail/A 57669-2022 FSC-klagomål mail.docx", "A 57669-2022")</f>
        <v/>
      </c>
      <c r="X42">
        <f>HYPERLINK("https://klasma.github.io/Logging_2062/tillsyn/A 57669-2022 tillsynsbegäran.docx", "A 57669-2022")</f>
        <v/>
      </c>
      <c r="Y42">
        <f>HYPERLINK("https://klasma.github.io/Logging_2062/tillsynsmail/A 57669-2022 tillsynsbegäran mail.docx", "A 57669-2022")</f>
        <v/>
      </c>
    </row>
    <row r="43" ht="15" customHeight="1">
      <c r="A43" t="inlineStr">
        <is>
          <t>A 61324-2022</t>
        </is>
      </c>
      <c r="B43" s="1" t="n">
        <v>44915</v>
      </c>
      <c r="C43" s="1" t="n">
        <v>45692</v>
      </c>
      <c r="D43" t="inlineStr">
        <is>
          <t>DALARNAS LÄN</t>
        </is>
      </c>
      <c r="E43" t="inlineStr">
        <is>
          <t>MORA</t>
        </is>
      </c>
      <c r="G43" t="n">
        <v>54.4</v>
      </c>
      <c r="H43" t="n">
        <v>0</v>
      </c>
      <c r="I43" t="n">
        <v>0</v>
      </c>
      <c r="J43" t="n">
        <v>0</v>
      </c>
      <c r="K43" t="n">
        <v>1</v>
      </c>
      <c r="L43" t="n">
        <v>0</v>
      </c>
      <c r="M43" t="n">
        <v>0</v>
      </c>
      <c r="N43" t="n">
        <v>0</v>
      </c>
      <c r="O43" t="n">
        <v>1</v>
      </c>
      <c r="P43" t="n">
        <v>1</v>
      </c>
      <c r="Q43" t="n">
        <v>1</v>
      </c>
      <c r="R43" s="2" t="inlineStr">
        <is>
          <t>Smalfotad taggsvamp</t>
        </is>
      </c>
      <c r="S43">
        <f>HYPERLINK("https://klasma.github.io/Logging_2062/artfynd/A 61324-2022 artfynd.xlsx", "A 61324-2022")</f>
        <v/>
      </c>
      <c r="T43">
        <f>HYPERLINK("https://klasma.github.io/Logging_2062/kartor/A 61324-2022 karta.png", "A 61324-2022")</f>
        <v/>
      </c>
      <c r="V43">
        <f>HYPERLINK("https://klasma.github.io/Logging_2062/klagomål/A 61324-2022 FSC-klagomål.docx", "A 61324-2022")</f>
        <v/>
      </c>
      <c r="W43">
        <f>HYPERLINK("https://klasma.github.io/Logging_2062/klagomålsmail/A 61324-2022 FSC-klagomål mail.docx", "A 61324-2022")</f>
        <v/>
      </c>
      <c r="X43">
        <f>HYPERLINK("https://klasma.github.io/Logging_2062/tillsyn/A 61324-2022 tillsynsbegäran.docx", "A 61324-2022")</f>
        <v/>
      </c>
      <c r="Y43">
        <f>HYPERLINK("https://klasma.github.io/Logging_2062/tillsynsmail/A 61324-2022 tillsynsbegäran mail.docx", "A 61324-2022")</f>
        <v/>
      </c>
    </row>
    <row r="44" ht="15" customHeight="1">
      <c r="A44" t="inlineStr">
        <is>
          <t>A 5304-2023</t>
        </is>
      </c>
      <c r="B44" s="1" t="n">
        <v>44959</v>
      </c>
      <c r="C44" s="1" t="n">
        <v>45692</v>
      </c>
      <c r="D44" t="inlineStr">
        <is>
          <t>DALARNAS LÄN</t>
        </is>
      </c>
      <c r="E44" t="inlineStr">
        <is>
          <t>MORA</t>
        </is>
      </c>
      <c r="F44" t="inlineStr">
        <is>
          <t>Bergvik skog väst AB</t>
        </is>
      </c>
      <c r="G44" t="n">
        <v>7.3</v>
      </c>
      <c r="H44" t="n">
        <v>0</v>
      </c>
      <c r="I44" t="n">
        <v>0</v>
      </c>
      <c r="J44" t="n">
        <v>1</v>
      </c>
      <c r="K44" t="n">
        <v>0</v>
      </c>
      <c r="L44" t="n">
        <v>0</v>
      </c>
      <c r="M44" t="n">
        <v>0</v>
      </c>
      <c r="N44" t="n">
        <v>0</v>
      </c>
      <c r="O44" t="n">
        <v>1</v>
      </c>
      <c r="P44" t="n">
        <v>0</v>
      </c>
      <c r="Q44" t="n">
        <v>1</v>
      </c>
      <c r="R44" s="2" t="inlineStr">
        <is>
          <t>Backruta</t>
        </is>
      </c>
      <c r="S44">
        <f>HYPERLINK("https://klasma.github.io/Logging_2062/artfynd/A 5304-2023 artfynd.xlsx", "A 5304-2023")</f>
        <v/>
      </c>
      <c r="T44">
        <f>HYPERLINK("https://klasma.github.io/Logging_2062/kartor/A 5304-2023 karta.png", "A 5304-2023")</f>
        <v/>
      </c>
      <c r="V44">
        <f>HYPERLINK("https://klasma.github.io/Logging_2062/klagomål/A 5304-2023 FSC-klagomål.docx", "A 5304-2023")</f>
        <v/>
      </c>
      <c r="W44">
        <f>HYPERLINK("https://klasma.github.io/Logging_2062/klagomålsmail/A 5304-2023 FSC-klagomål mail.docx", "A 5304-2023")</f>
        <v/>
      </c>
      <c r="X44">
        <f>HYPERLINK("https://klasma.github.io/Logging_2062/tillsyn/A 5304-2023 tillsynsbegäran.docx", "A 5304-2023")</f>
        <v/>
      </c>
      <c r="Y44">
        <f>HYPERLINK("https://klasma.github.io/Logging_2062/tillsynsmail/A 5304-2023 tillsynsbegäran mail.docx", "A 5304-2023")</f>
        <v/>
      </c>
    </row>
    <row r="45" ht="15" customHeight="1">
      <c r="A45" t="inlineStr">
        <is>
          <t>A 23736-2023</t>
        </is>
      </c>
      <c r="B45" s="1" t="n">
        <v>45077</v>
      </c>
      <c r="C45" s="1" t="n">
        <v>45692</v>
      </c>
      <c r="D45" t="inlineStr">
        <is>
          <t>DALARNAS LÄN</t>
        </is>
      </c>
      <c r="E45" t="inlineStr">
        <is>
          <t>MORA</t>
        </is>
      </c>
      <c r="G45" t="n">
        <v>7.2</v>
      </c>
      <c r="H45" t="n">
        <v>0</v>
      </c>
      <c r="I45" t="n">
        <v>0</v>
      </c>
      <c r="J45" t="n">
        <v>1</v>
      </c>
      <c r="K45" t="n">
        <v>0</v>
      </c>
      <c r="L45" t="n">
        <v>0</v>
      </c>
      <c r="M45" t="n">
        <v>0</v>
      </c>
      <c r="N45" t="n">
        <v>0</v>
      </c>
      <c r="O45" t="n">
        <v>1</v>
      </c>
      <c r="P45" t="n">
        <v>0</v>
      </c>
      <c r="Q45" t="n">
        <v>1</v>
      </c>
      <c r="R45" s="2" t="inlineStr">
        <is>
          <t>Reliktbock</t>
        </is>
      </c>
      <c r="S45">
        <f>HYPERLINK("https://klasma.github.io/Logging_2062/artfynd/A 23736-2023 artfynd.xlsx", "A 23736-2023")</f>
        <v/>
      </c>
      <c r="T45">
        <f>HYPERLINK("https://klasma.github.io/Logging_2062/kartor/A 23736-2023 karta.png", "A 23736-2023")</f>
        <v/>
      </c>
      <c r="V45">
        <f>HYPERLINK("https://klasma.github.io/Logging_2062/klagomål/A 23736-2023 FSC-klagomål.docx", "A 23736-2023")</f>
        <v/>
      </c>
      <c r="W45">
        <f>HYPERLINK("https://klasma.github.io/Logging_2062/klagomålsmail/A 23736-2023 FSC-klagomål mail.docx", "A 23736-2023")</f>
        <v/>
      </c>
      <c r="X45">
        <f>HYPERLINK("https://klasma.github.io/Logging_2062/tillsyn/A 23736-2023 tillsynsbegäran.docx", "A 23736-2023")</f>
        <v/>
      </c>
      <c r="Y45">
        <f>HYPERLINK("https://klasma.github.io/Logging_2062/tillsynsmail/A 23736-2023 tillsynsbegäran mail.docx", "A 23736-2023")</f>
        <v/>
      </c>
    </row>
    <row r="46" ht="15" customHeight="1">
      <c r="A46" t="inlineStr">
        <is>
          <t>A 24681-2023</t>
        </is>
      </c>
      <c r="B46" s="1" t="n">
        <v>45084</v>
      </c>
      <c r="C46" s="1" t="n">
        <v>45692</v>
      </c>
      <c r="D46" t="inlineStr">
        <is>
          <t>DALARNAS LÄN</t>
        </is>
      </c>
      <c r="E46" t="inlineStr">
        <is>
          <t>MORA</t>
        </is>
      </c>
      <c r="G46" t="n">
        <v>8.199999999999999</v>
      </c>
      <c r="H46" t="n">
        <v>0</v>
      </c>
      <c r="I46" t="n">
        <v>0</v>
      </c>
      <c r="J46" t="n">
        <v>1</v>
      </c>
      <c r="K46" t="n">
        <v>0</v>
      </c>
      <c r="L46" t="n">
        <v>0</v>
      </c>
      <c r="M46" t="n">
        <v>0</v>
      </c>
      <c r="N46" t="n">
        <v>0</v>
      </c>
      <c r="O46" t="n">
        <v>1</v>
      </c>
      <c r="P46" t="n">
        <v>0</v>
      </c>
      <c r="Q46" t="n">
        <v>1</v>
      </c>
      <c r="R46" s="2" t="inlineStr">
        <is>
          <t>Dvärgbägarlav</t>
        </is>
      </c>
      <c r="S46">
        <f>HYPERLINK("https://klasma.github.io/Logging_2062/artfynd/A 24681-2023 artfynd.xlsx", "A 24681-2023")</f>
        <v/>
      </c>
      <c r="T46">
        <f>HYPERLINK("https://klasma.github.io/Logging_2062/kartor/A 24681-2023 karta.png", "A 24681-2023")</f>
        <v/>
      </c>
      <c r="V46">
        <f>HYPERLINK("https://klasma.github.io/Logging_2062/klagomål/A 24681-2023 FSC-klagomål.docx", "A 24681-2023")</f>
        <v/>
      </c>
      <c r="W46">
        <f>HYPERLINK("https://klasma.github.io/Logging_2062/klagomålsmail/A 24681-2023 FSC-klagomål mail.docx", "A 24681-2023")</f>
        <v/>
      </c>
      <c r="X46">
        <f>HYPERLINK("https://klasma.github.io/Logging_2062/tillsyn/A 24681-2023 tillsynsbegäran.docx", "A 24681-2023")</f>
        <v/>
      </c>
      <c r="Y46">
        <f>HYPERLINK("https://klasma.github.io/Logging_2062/tillsynsmail/A 24681-2023 tillsynsbegäran mail.docx", "A 24681-2023")</f>
        <v/>
      </c>
    </row>
    <row r="47" ht="15" customHeight="1">
      <c r="A47" t="inlineStr">
        <is>
          <t>A 30906-2023</t>
        </is>
      </c>
      <c r="B47" s="1" t="n">
        <v>45113</v>
      </c>
      <c r="C47" s="1" t="n">
        <v>45692</v>
      </c>
      <c r="D47" t="inlineStr">
        <is>
          <t>DALARNAS LÄN</t>
        </is>
      </c>
      <c r="E47" t="inlineStr">
        <is>
          <t>MORA</t>
        </is>
      </c>
      <c r="G47" t="n">
        <v>3.1</v>
      </c>
      <c r="H47" t="n">
        <v>0</v>
      </c>
      <c r="I47" t="n">
        <v>0</v>
      </c>
      <c r="J47" t="n">
        <v>0</v>
      </c>
      <c r="K47" t="n">
        <v>1</v>
      </c>
      <c r="L47" t="n">
        <v>0</v>
      </c>
      <c r="M47" t="n">
        <v>0</v>
      </c>
      <c r="N47" t="n">
        <v>0</v>
      </c>
      <c r="O47" t="n">
        <v>1</v>
      </c>
      <c r="P47" t="n">
        <v>1</v>
      </c>
      <c r="Q47" t="n">
        <v>1</v>
      </c>
      <c r="R47" s="2" t="inlineStr">
        <is>
          <t>Jättemusseron</t>
        </is>
      </c>
      <c r="S47">
        <f>HYPERLINK("https://klasma.github.io/Logging_2062/artfynd/A 30906-2023 artfynd.xlsx", "A 30906-2023")</f>
        <v/>
      </c>
      <c r="T47">
        <f>HYPERLINK("https://klasma.github.io/Logging_2062/kartor/A 30906-2023 karta.png", "A 30906-2023")</f>
        <v/>
      </c>
      <c r="V47">
        <f>HYPERLINK("https://klasma.github.io/Logging_2062/klagomål/A 30906-2023 FSC-klagomål.docx", "A 30906-2023")</f>
        <v/>
      </c>
      <c r="W47">
        <f>HYPERLINK("https://klasma.github.io/Logging_2062/klagomålsmail/A 30906-2023 FSC-klagomål mail.docx", "A 30906-2023")</f>
        <v/>
      </c>
      <c r="X47">
        <f>HYPERLINK("https://klasma.github.io/Logging_2062/tillsyn/A 30906-2023 tillsynsbegäran.docx", "A 30906-2023")</f>
        <v/>
      </c>
      <c r="Y47">
        <f>HYPERLINK("https://klasma.github.io/Logging_2062/tillsynsmail/A 30906-2023 tillsynsbegäran mail.docx", "A 30906-2023")</f>
        <v/>
      </c>
    </row>
    <row r="48" ht="15" customHeight="1">
      <c r="A48" t="inlineStr">
        <is>
          <t>A 34194-2023</t>
        </is>
      </c>
      <c r="B48" s="1" t="n">
        <v>45138</v>
      </c>
      <c r="C48" s="1" t="n">
        <v>45692</v>
      </c>
      <c r="D48" t="inlineStr">
        <is>
          <t>DALARNAS LÄN</t>
        </is>
      </c>
      <c r="E48" t="inlineStr">
        <is>
          <t>MORA</t>
        </is>
      </c>
      <c r="G48" t="n">
        <v>8.699999999999999</v>
      </c>
      <c r="H48" t="n">
        <v>0</v>
      </c>
      <c r="I48" t="n">
        <v>0</v>
      </c>
      <c r="J48" t="n">
        <v>1</v>
      </c>
      <c r="K48" t="n">
        <v>0</v>
      </c>
      <c r="L48" t="n">
        <v>0</v>
      </c>
      <c r="M48" t="n">
        <v>0</v>
      </c>
      <c r="N48" t="n">
        <v>0</v>
      </c>
      <c r="O48" t="n">
        <v>1</v>
      </c>
      <c r="P48" t="n">
        <v>0</v>
      </c>
      <c r="Q48" t="n">
        <v>1</v>
      </c>
      <c r="R48" s="2" t="inlineStr">
        <is>
          <t>Motaggsvamp</t>
        </is>
      </c>
      <c r="S48">
        <f>HYPERLINK("https://klasma.github.io/Logging_2062/artfynd/A 34194-2023 artfynd.xlsx", "A 34194-2023")</f>
        <v/>
      </c>
      <c r="T48">
        <f>HYPERLINK("https://klasma.github.io/Logging_2062/kartor/A 34194-2023 karta.png", "A 34194-2023")</f>
        <v/>
      </c>
      <c r="V48">
        <f>HYPERLINK("https://klasma.github.io/Logging_2062/klagomål/A 34194-2023 FSC-klagomål.docx", "A 34194-2023")</f>
        <v/>
      </c>
      <c r="W48">
        <f>HYPERLINK("https://klasma.github.io/Logging_2062/klagomålsmail/A 34194-2023 FSC-klagomål mail.docx", "A 34194-2023")</f>
        <v/>
      </c>
      <c r="X48">
        <f>HYPERLINK("https://klasma.github.io/Logging_2062/tillsyn/A 34194-2023 tillsynsbegäran.docx", "A 34194-2023")</f>
        <v/>
      </c>
      <c r="Y48">
        <f>HYPERLINK("https://klasma.github.io/Logging_2062/tillsynsmail/A 34194-2023 tillsynsbegäran mail.docx", "A 34194-2023")</f>
        <v/>
      </c>
    </row>
    <row r="49" ht="15" customHeight="1">
      <c r="A49" t="inlineStr">
        <is>
          <t>A 54132-2023</t>
        </is>
      </c>
      <c r="B49" s="1" t="n">
        <v>45232</v>
      </c>
      <c r="C49" s="1" t="n">
        <v>45692</v>
      </c>
      <c r="D49" t="inlineStr">
        <is>
          <t>DALARNAS LÄN</t>
        </is>
      </c>
      <c r="E49" t="inlineStr">
        <is>
          <t>MORA</t>
        </is>
      </c>
      <c r="G49" t="n">
        <v>0.9</v>
      </c>
      <c r="H49" t="n">
        <v>0</v>
      </c>
      <c r="I49" t="n">
        <v>0</v>
      </c>
      <c r="J49" t="n">
        <v>0</v>
      </c>
      <c r="K49" t="n">
        <v>1</v>
      </c>
      <c r="L49" t="n">
        <v>0</v>
      </c>
      <c r="M49" t="n">
        <v>0</v>
      </c>
      <c r="N49" t="n">
        <v>0</v>
      </c>
      <c r="O49" t="n">
        <v>1</v>
      </c>
      <c r="P49" t="n">
        <v>1</v>
      </c>
      <c r="Q49" t="n">
        <v>1</v>
      </c>
      <c r="R49" s="2" t="inlineStr">
        <is>
          <t>Jättemusseron</t>
        </is>
      </c>
      <c r="S49">
        <f>HYPERLINK("https://klasma.github.io/Logging_2062/artfynd/A 54132-2023 artfynd.xlsx", "A 54132-2023")</f>
        <v/>
      </c>
      <c r="T49">
        <f>HYPERLINK("https://klasma.github.io/Logging_2062/kartor/A 54132-2023 karta.png", "A 54132-2023")</f>
        <v/>
      </c>
      <c r="V49">
        <f>HYPERLINK("https://klasma.github.io/Logging_2062/klagomål/A 54132-2023 FSC-klagomål.docx", "A 54132-2023")</f>
        <v/>
      </c>
      <c r="W49">
        <f>HYPERLINK("https://klasma.github.io/Logging_2062/klagomålsmail/A 54132-2023 FSC-klagomål mail.docx", "A 54132-2023")</f>
        <v/>
      </c>
      <c r="X49">
        <f>HYPERLINK("https://klasma.github.io/Logging_2062/tillsyn/A 54132-2023 tillsynsbegäran.docx", "A 54132-2023")</f>
        <v/>
      </c>
      <c r="Y49">
        <f>HYPERLINK("https://klasma.github.io/Logging_2062/tillsynsmail/A 54132-2023 tillsynsbegäran mail.docx", "A 54132-2023")</f>
        <v/>
      </c>
    </row>
    <row r="50" ht="15" customHeight="1">
      <c r="A50" t="inlineStr">
        <is>
          <t>A 5691-2024</t>
        </is>
      </c>
      <c r="B50" s="1" t="n">
        <v>45334</v>
      </c>
      <c r="C50" s="1" t="n">
        <v>45692</v>
      </c>
      <c r="D50" t="inlineStr">
        <is>
          <t>DALARNAS LÄN</t>
        </is>
      </c>
      <c r="E50" t="inlineStr">
        <is>
          <t>MORA</t>
        </is>
      </c>
      <c r="G50" t="n">
        <v>3.7</v>
      </c>
      <c r="H50" t="n">
        <v>1</v>
      </c>
      <c r="I50" t="n">
        <v>0</v>
      </c>
      <c r="J50" t="n">
        <v>0</v>
      </c>
      <c r="K50" t="n">
        <v>0</v>
      </c>
      <c r="L50" t="n">
        <v>0</v>
      </c>
      <c r="M50" t="n">
        <v>0</v>
      </c>
      <c r="N50" t="n">
        <v>0</v>
      </c>
      <c r="O50" t="n">
        <v>0</v>
      </c>
      <c r="P50" t="n">
        <v>0</v>
      </c>
      <c r="Q50" t="n">
        <v>1</v>
      </c>
      <c r="R50" s="2" t="inlineStr">
        <is>
          <t>Blåsippa</t>
        </is>
      </c>
      <c r="S50">
        <f>HYPERLINK("https://klasma.github.io/Logging_2062/artfynd/A 5691-2024 artfynd.xlsx", "A 5691-2024")</f>
        <v/>
      </c>
      <c r="T50">
        <f>HYPERLINK("https://klasma.github.io/Logging_2062/kartor/A 5691-2024 karta.png", "A 5691-2024")</f>
        <v/>
      </c>
      <c r="V50">
        <f>HYPERLINK("https://klasma.github.io/Logging_2062/klagomål/A 5691-2024 FSC-klagomål.docx", "A 5691-2024")</f>
        <v/>
      </c>
      <c r="W50">
        <f>HYPERLINK("https://klasma.github.io/Logging_2062/klagomålsmail/A 5691-2024 FSC-klagomål mail.docx", "A 5691-2024")</f>
        <v/>
      </c>
      <c r="X50">
        <f>HYPERLINK("https://klasma.github.io/Logging_2062/tillsyn/A 5691-2024 tillsynsbegäran.docx", "A 5691-2024")</f>
        <v/>
      </c>
      <c r="Y50">
        <f>HYPERLINK("https://klasma.github.io/Logging_2062/tillsynsmail/A 5691-2024 tillsynsbegäran mail.docx", "A 5691-2024")</f>
        <v/>
      </c>
    </row>
    <row r="51" ht="15" customHeight="1">
      <c r="A51" t="inlineStr">
        <is>
          <t>A 15820-2024</t>
        </is>
      </c>
      <c r="B51" s="1" t="n">
        <v>45404</v>
      </c>
      <c r="C51" s="1" t="n">
        <v>45692</v>
      </c>
      <c r="D51" t="inlineStr">
        <is>
          <t>DALARNAS LÄN</t>
        </is>
      </c>
      <c r="E51" t="inlineStr">
        <is>
          <t>MORA</t>
        </is>
      </c>
      <c r="G51" t="n">
        <v>3</v>
      </c>
      <c r="H51" t="n">
        <v>1</v>
      </c>
      <c r="I51" t="n">
        <v>0</v>
      </c>
      <c r="J51" t="n">
        <v>1</v>
      </c>
      <c r="K51" t="n">
        <v>0</v>
      </c>
      <c r="L51" t="n">
        <v>0</v>
      </c>
      <c r="M51" t="n">
        <v>0</v>
      </c>
      <c r="N51" t="n">
        <v>0</v>
      </c>
      <c r="O51" t="n">
        <v>1</v>
      </c>
      <c r="P51" t="n">
        <v>0</v>
      </c>
      <c r="Q51" t="n">
        <v>1</v>
      </c>
      <c r="R51" s="2" t="inlineStr">
        <is>
          <t>Slaguggla</t>
        </is>
      </c>
      <c r="S51">
        <f>HYPERLINK("https://klasma.github.io/Logging_2062/artfynd/A 15820-2024 artfynd.xlsx", "A 15820-2024")</f>
        <v/>
      </c>
      <c r="T51">
        <f>HYPERLINK("https://klasma.github.io/Logging_2062/kartor/A 15820-2024 karta.png", "A 15820-2024")</f>
        <v/>
      </c>
      <c r="V51">
        <f>HYPERLINK("https://klasma.github.io/Logging_2062/klagomål/A 15820-2024 FSC-klagomål.docx", "A 15820-2024")</f>
        <v/>
      </c>
      <c r="W51">
        <f>HYPERLINK("https://klasma.github.io/Logging_2062/klagomålsmail/A 15820-2024 FSC-klagomål mail.docx", "A 15820-2024")</f>
        <v/>
      </c>
      <c r="X51">
        <f>HYPERLINK("https://klasma.github.io/Logging_2062/tillsyn/A 15820-2024 tillsynsbegäran.docx", "A 15820-2024")</f>
        <v/>
      </c>
      <c r="Y51">
        <f>HYPERLINK("https://klasma.github.io/Logging_2062/tillsynsmail/A 15820-2024 tillsynsbegäran mail.docx", "A 15820-2024")</f>
        <v/>
      </c>
      <c r="Z51">
        <f>HYPERLINK("https://klasma.github.io/Logging_2062/fåglar/A 15820-2024 prioriterade fågelarter.docx", "A 15820-2024")</f>
        <v/>
      </c>
    </row>
    <row r="52" ht="15" customHeight="1">
      <c r="A52" t="inlineStr">
        <is>
          <t>A 16094-2024</t>
        </is>
      </c>
      <c r="B52" s="1" t="n">
        <v>45406</v>
      </c>
      <c r="C52" s="1" t="n">
        <v>45692</v>
      </c>
      <c r="D52" t="inlineStr">
        <is>
          <t>DALARNAS LÄN</t>
        </is>
      </c>
      <c r="E52" t="inlineStr">
        <is>
          <t>MORA</t>
        </is>
      </c>
      <c r="F52" t="inlineStr">
        <is>
          <t>Bergvik skog väst AB</t>
        </is>
      </c>
      <c r="G52" t="n">
        <v>22.6</v>
      </c>
      <c r="H52" t="n">
        <v>0</v>
      </c>
      <c r="I52" t="n">
        <v>0</v>
      </c>
      <c r="J52" t="n">
        <v>1</v>
      </c>
      <c r="K52" t="n">
        <v>0</v>
      </c>
      <c r="L52" t="n">
        <v>0</v>
      </c>
      <c r="M52" t="n">
        <v>0</v>
      </c>
      <c r="N52" t="n">
        <v>0</v>
      </c>
      <c r="O52" t="n">
        <v>1</v>
      </c>
      <c r="P52" t="n">
        <v>0</v>
      </c>
      <c r="Q52" t="n">
        <v>1</v>
      </c>
      <c r="R52" s="2" t="inlineStr">
        <is>
          <t>Reliktbock</t>
        </is>
      </c>
      <c r="S52">
        <f>HYPERLINK("https://klasma.github.io/Logging_2062/artfynd/A 16094-2024 artfynd.xlsx", "A 16094-2024")</f>
        <v/>
      </c>
      <c r="T52">
        <f>HYPERLINK("https://klasma.github.io/Logging_2062/kartor/A 16094-2024 karta.png", "A 16094-2024")</f>
        <v/>
      </c>
      <c r="V52">
        <f>HYPERLINK("https://klasma.github.io/Logging_2062/klagomål/A 16094-2024 FSC-klagomål.docx", "A 16094-2024")</f>
        <v/>
      </c>
      <c r="W52">
        <f>HYPERLINK("https://klasma.github.io/Logging_2062/klagomålsmail/A 16094-2024 FSC-klagomål mail.docx", "A 16094-2024")</f>
        <v/>
      </c>
      <c r="X52">
        <f>HYPERLINK("https://klasma.github.io/Logging_2062/tillsyn/A 16094-2024 tillsynsbegäran.docx", "A 16094-2024")</f>
        <v/>
      </c>
      <c r="Y52">
        <f>HYPERLINK("https://klasma.github.io/Logging_2062/tillsynsmail/A 16094-2024 tillsynsbegäran mail.docx", "A 16094-2024")</f>
        <v/>
      </c>
    </row>
    <row r="53" ht="15" customHeight="1">
      <c r="A53" t="inlineStr">
        <is>
          <t>A 27113-2024</t>
        </is>
      </c>
      <c r="B53" s="1" t="n">
        <v>45471</v>
      </c>
      <c r="C53" s="1" t="n">
        <v>45692</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45410-2024</t>
        </is>
      </c>
      <c r="B54" s="1" t="n">
        <v>45576</v>
      </c>
      <c r="C54" s="1" t="n">
        <v>45692</v>
      </c>
      <c r="D54" t="inlineStr">
        <is>
          <t>DALARNAS LÄN</t>
        </is>
      </c>
      <c r="E54" t="inlineStr">
        <is>
          <t>MORA</t>
        </is>
      </c>
      <c r="G54" t="n">
        <v>1.1</v>
      </c>
      <c r="H54" t="n">
        <v>0</v>
      </c>
      <c r="I54" t="n">
        <v>0</v>
      </c>
      <c r="J54" t="n">
        <v>1</v>
      </c>
      <c r="K54" t="n">
        <v>0</v>
      </c>
      <c r="L54" t="n">
        <v>0</v>
      </c>
      <c r="M54" t="n">
        <v>0</v>
      </c>
      <c r="N54" t="n">
        <v>0</v>
      </c>
      <c r="O54" t="n">
        <v>1</v>
      </c>
      <c r="P54" t="n">
        <v>0</v>
      </c>
      <c r="Q54" t="n">
        <v>1</v>
      </c>
      <c r="R54" s="2" t="inlineStr">
        <is>
          <t>Tallticka</t>
        </is>
      </c>
      <c r="S54">
        <f>HYPERLINK("https://klasma.github.io/Logging_2062/artfynd/A 45410-2024 artfynd.xlsx", "A 45410-2024")</f>
        <v/>
      </c>
      <c r="T54">
        <f>HYPERLINK("https://klasma.github.io/Logging_2062/kartor/A 45410-2024 karta.png", "A 45410-2024")</f>
        <v/>
      </c>
      <c r="V54">
        <f>HYPERLINK("https://klasma.github.io/Logging_2062/klagomål/A 45410-2024 FSC-klagomål.docx", "A 45410-2024")</f>
        <v/>
      </c>
      <c r="W54">
        <f>HYPERLINK("https://klasma.github.io/Logging_2062/klagomålsmail/A 45410-2024 FSC-klagomål mail.docx", "A 45410-2024")</f>
        <v/>
      </c>
      <c r="X54">
        <f>HYPERLINK("https://klasma.github.io/Logging_2062/tillsyn/A 45410-2024 tillsynsbegäran.docx", "A 45410-2024")</f>
        <v/>
      </c>
      <c r="Y54">
        <f>HYPERLINK("https://klasma.github.io/Logging_2062/tillsynsmail/A 45410-2024 tillsynsbegäran mail.docx", "A 45410-2024")</f>
        <v/>
      </c>
    </row>
    <row r="55" ht="15" customHeight="1">
      <c r="A55" t="inlineStr">
        <is>
          <t>A 45344-2024</t>
        </is>
      </c>
      <c r="B55" s="1" t="n">
        <v>45576</v>
      </c>
      <c r="C55" s="1" t="n">
        <v>45692</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51213-2024</t>
        </is>
      </c>
      <c r="B56" s="1" t="n">
        <v>45603</v>
      </c>
      <c r="C56" s="1" t="n">
        <v>45692</v>
      </c>
      <c r="D56" t="inlineStr">
        <is>
          <t>DALARNAS LÄN</t>
        </is>
      </c>
      <c r="E56" t="inlineStr">
        <is>
          <t>MORA</t>
        </is>
      </c>
      <c r="G56" t="n">
        <v>0.5</v>
      </c>
      <c r="H56" t="n">
        <v>1</v>
      </c>
      <c r="I56" t="n">
        <v>0</v>
      </c>
      <c r="J56" t="n">
        <v>0</v>
      </c>
      <c r="K56" t="n">
        <v>1</v>
      </c>
      <c r="L56" t="n">
        <v>0</v>
      </c>
      <c r="M56" t="n">
        <v>0</v>
      </c>
      <c r="N56" t="n">
        <v>0</v>
      </c>
      <c r="O56" t="n">
        <v>1</v>
      </c>
      <c r="P56" t="n">
        <v>1</v>
      </c>
      <c r="Q56" t="n">
        <v>1</v>
      </c>
      <c r="R56" s="2" t="inlineStr">
        <is>
          <t>Knärot</t>
        </is>
      </c>
      <c r="S56">
        <f>HYPERLINK("https://klasma.github.io/Logging_2062/artfynd/A 51213-2024 artfynd.xlsx", "A 51213-2024")</f>
        <v/>
      </c>
      <c r="T56">
        <f>HYPERLINK("https://klasma.github.io/Logging_2062/kartor/A 51213-2024 karta.png", "A 51213-2024")</f>
        <v/>
      </c>
      <c r="U56">
        <f>HYPERLINK("https://klasma.github.io/Logging_2062/knärot/A 51213-2024 karta knärot.png", "A 51213-2024")</f>
        <v/>
      </c>
      <c r="V56">
        <f>HYPERLINK("https://klasma.github.io/Logging_2062/klagomål/A 51213-2024 FSC-klagomål.docx", "A 51213-2024")</f>
        <v/>
      </c>
      <c r="W56">
        <f>HYPERLINK("https://klasma.github.io/Logging_2062/klagomålsmail/A 51213-2024 FSC-klagomål mail.docx", "A 51213-2024")</f>
        <v/>
      </c>
      <c r="X56">
        <f>HYPERLINK("https://klasma.github.io/Logging_2062/tillsyn/A 51213-2024 tillsynsbegäran.docx", "A 51213-2024")</f>
        <v/>
      </c>
      <c r="Y56">
        <f>HYPERLINK("https://klasma.github.io/Logging_2062/tillsynsmail/A 51213-2024 tillsynsbegäran mail.docx", "A 51213-2024")</f>
        <v/>
      </c>
    </row>
    <row r="57" ht="15" customHeight="1">
      <c r="A57" t="inlineStr">
        <is>
          <t>A 831-2025</t>
        </is>
      </c>
      <c r="B57" s="1" t="n">
        <v>45665</v>
      </c>
      <c r="C57" s="1" t="n">
        <v>45692</v>
      </c>
      <c r="D57" t="inlineStr">
        <is>
          <t>DALARNAS LÄN</t>
        </is>
      </c>
      <c r="E57" t="inlineStr">
        <is>
          <t>MORA</t>
        </is>
      </c>
      <c r="G57" t="n">
        <v>2.5</v>
      </c>
      <c r="H57" t="n">
        <v>0</v>
      </c>
      <c r="I57" t="n">
        <v>1</v>
      </c>
      <c r="J57" t="n">
        <v>0</v>
      </c>
      <c r="K57" t="n">
        <v>0</v>
      </c>
      <c r="L57" t="n">
        <v>0</v>
      </c>
      <c r="M57" t="n">
        <v>0</v>
      </c>
      <c r="N57" t="n">
        <v>0</v>
      </c>
      <c r="O57" t="n">
        <v>0</v>
      </c>
      <c r="P57" t="n">
        <v>0</v>
      </c>
      <c r="Q57" t="n">
        <v>1</v>
      </c>
      <c r="R57" s="2" t="inlineStr">
        <is>
          <t>Stekelbock</t>
        </is>
      </c>
      <c r="S57">
        <f>HYPERLINK("https://klasma.github.io/Logging_2062/artfynd/A 831-2025 artfynd.xlsx", "A 831-2025")</f>
        <v/>
      </c>
      <c r="T57">
        <f>HYPERLINK("https://klasma.github.io/Logging_2062/kartor/A 831-2025 karta.png", "A 831-2025")</f>
        <v/>
      </c>
      <c r="V57">
        <f>HYPERLINK("https://klasma.github.io/Logging_2062/klagomål/A 831-2025 FSC-klagomål.docx", "A 831-2025")</f>
        <v/>
      </c>
      <c r="W57">
        <f>HYPERLINK("https://klasma.github.io/Logging_2062/klagomålsmail/A 831-2025 FSC-klagomål mail.docx", "A 831-2025")</f>
        <v/>
      </c>
      <c r="X57">
        <f>HYPERLINK("https://klasma.github.io/Logging_2062/tillsyn/A 831-2025 tillsynsbegäran.docx", "A 831-2025")</f>
        <v/>
      </c>
      <c r="Y57">
        <f>HYPERLINK("https://klasma.github.io/Logging_2062/tillsynsmail/A 831-2025 tillsynsbegäran mail.docx", "A 831-2025")</f>
        <v/>
      </c>
    </row>
    <row r="58" ht="15" customHeight="1">
      <c r="A58" t="inlineStr">
        <is>
          <t>A 20226-2019</t>
        </is>
      </c>
      <c r="B58" s="1" t="n">
        <v>43570</v>
      </c>
      <c r="C58" s="1" t="n">
        <v>45692</v>
      </c>
      <c r="D58" t="inlineStr">
        <is>
          <t>DALARNAS LÄN</t>
        </is>
      </c>
      <c r="E58" t="inlineStr">
        <is>
          <t>MORA</t>
        </is>
      </c>
      <c r="G58" t="n">
        <v>4.2</v>
      </c>
      <c r="H58" t="n">
        <v>0</v>
      </c>
      <c r="I58" t="n">
        <v>0</v>
      </c>
      <c r="J58" t="n">
        <v>0</v>
      </c>
      <c r="K58" t="n">
        <v>0</v>
      </c>
      <c r="L58" t="n">
        <v>0</v>
      </c>
      <c r="M58" t="n">
        <v>0</v>
      </c>
      <c r="N58" t="n">
        <v>0</v>
      </c>
      <c r="O58" t="n">
        <v>0</v>
      </c>
      <c r="P58" t="n">
        <v>0</v>
      </c>
      <c r="Q58" t="n">
        <v>0</v>
      </c>
      <c r="R58" s="2" t="inlineStr"/>
    </row>
    <row r="59" ht="15" customHeight="1">
      <c r="A59" t="inlineStr">
        <is>
          <t>A 20464-2019</t>
        </is>
      </c>
      <c r="B59" s="1" t="n">
        <v>43572</v>
      </c>
      <c r="C59" s="1" t="n">
        <v>45692</v>
      </c>
      <c r="D59" t="inlineStr">
        <is>
          <t>DALARNAS LÄN</t>
        </is>
      </c>
      <c r="E59" t="inlineStr">
        <is>
          <t>MORA</t>
        </is>
      </c>
      <c r="G59" t="n">
        <v>12.1</v>
      </c>
      <c r="H59" t="n">
        <v>0</v>
      </c>
      <c r="I59" t="n">
        <v>0</v>
      </c>
      <c r="J59" t="n">
        <v>0</v>
      </c>
      <c r="K59" t="n">
        <v>0</v>
      </c>
      <c r="L59" t="n">
        <v>0</v>
      </c>
      <c r="M59" t="n">
        <v>0</v>
      </c>
      <c r="N59" t="n">
        <v>0</v>
      </c>
      <c r="O59" t="n">
        <v>0</v>
      </c>
      <c r="P59" t="n">
        <v>0</v>
      </c>
      <c r="Q59" t="n">
        <v>0</v>
      </c>
      <c r="R59" s="2" t="inlineStr"/>
    </row>
    <row r="60" ht="15" customHeight="1">
      <c r="A60" t="inlineStr">
        <is>
          <t>A 22970-2019</t>
        </is>
      </c>
      <c r="B60" s="1" t="n">
        <v>43591</v>
      </c>
      <c r="C60" s="1" t="n">
        <v>45692</v>
      </c>
      <c r="D60" t="inlineStr">
        <is>
          <t>DALARNAS LÄN</t>
        </is>
      </c>
      <c r="E60" t="inlineStr">
        <is>
          <t>MORA</t>
        </is>
      </c>
      <c r="G60" t="n">
        <v>1.5</v>
      </c>
      <c r="H60" t="n">
        <v>0</v>
      </c>
      <c r="I60" t="n">
        <v>0</v>
      </c>
      <c r="J60" t="n">
        <v>0</v>
      </c>
      <c r="K60" t="n">
        <v>0</v>
      </c>
      <c r="L60" t="n">
        <v>0</v>
      </c>
      <c r="M60" t="n">
        <v>0</v>
      </c>
      <c r="N60" t="n">
        <v>0</v>
      </c>
      <c r="O60" t="n">
        <v>0</v>
      </c>
      <c r="P60" t="n">
        <v>0</v>
      </c>
      <c r="Q60" t="n">
        <v>0</v>
      </c>
      <c r="R60" s="2" t="inlineStr"/>
    </row>
    <row r="61" ht="15" customHeight="1">
      <c r="A61" t="inlineStr">
        <is>
          <t>A 23665-2019</t>
        </is>
      </c>
      <c r="B61" s="1" t="n">
        <v>43594</v>
      </c>
      <c r="C61" s="1" t="n">
        <v>45692</v>
      </c>
      <c r="D61" t="inlineStr">
        <is>
          <t>DALARNAS LÄN</t>
        </is>
      </c>
      <c r="E61" t="inlineStr">
        <is>
          <t>MORA</t>
        </is>
      </c>
      <c r="G61" t="n">
        <v>1.1</v>
      </c>
      <c r="H61" t="n">
        <v>0</v>
      </c>
      <c r="I61" t="n">
        <v>0</v>
      </c>
      <c r="J61" t="n">
        <v>0</v>
      </c>
      <c r="K61" t="n">
        <v>0</v>
      </c>
      <c r="L61" t="n">
        <v>0</v>
      </c>
      <c r="M61" t="n">
        <v>0</v>
      </c>
      <c r="N61" t="n">
        <v>0</v>
      </c>
      <c r="O61" t="n">
        <v>0</v>
      </c>
      <c r="P61" t="n">
        <v>0</v>
      </c>
      <c r="Q61" t="n">
        <v>0</v>
      </c>
      <c r="R61" s="2" t="inlineStr"/>
    </row>
    <row r="62" ht="15" customHeight="1">
      <c r="A62" t="inlineStr">
        <is>
          <t>A 23636-2019</t>
        </is>
      </c>
      <c r="B62" s="1" t="n">
        <v>43594</v>
      </c>
      <c r="C62" s="1" t="n">
        <v>45692</v>
      </c>
      <c r="D62" t="inlineStr">
        <is>
          <t>DALARNAS LÄN</t>
        </is>
      </c>
      <c r="E62" t="inlineStr">
        <is>
          <t>MORA</t>
        </is>
      </c>
      <c r="G62" t="n">
        <v>1.5</v>
      </c>
      <c r="H62" t="n">
        <v>0</v>
      </c>
      <c r="I62" t="n">
        <v>0</v>
      </c>
      <c r="J62" t="n">
        <v>0</v>
      </c>
      <c r="K62" t="n">
        <v>0</v>
      </c>
      <c r="L62" t="n">
        <v>0</v>
      </c>
      <c r="M62" t="n">
        <v>0</v>
      </c>
      <c r="N62" t="n">
        <v>0</v>
      </c>
      <c r="O62" t="n">
        <v>0</v>
      </c>
      <c r="P62" t="n">
        <v>0</v>
      </c>
      <c r="Q62" t="n">
        <v>0</v>
      </c>
      <c r="R62" s="2" t="inlineStr"/>
    </row>
    <row r="63" ht="15" customHeight="1">
      <c r="A63" t="inlineStr">
        <is>
          <t>A 24630-2019</t>
        </is>
      </c>
      <c r="B63" s="1" t="n">
        <v>43601</v>
      </c>
      <c r="C63" s="1" t="n">
        <v>45692</v>
      </c>
      <c r="D63" t="inlineStr">
        <is>
          <t>DALARNAS LÄN</t>
        </is>
      </c>
      <c r="E63" t="inlineStr">
        <is>
          <t>MORA</t>
        </is>
      </c>
      <c r="G63" t="n">
        <v>5.8</v>
      </c>
      <c r="H63" t="n">
        <v>0</v>
      </c>
      <c r="I63" t="n">
        <v>0</v>
      </c>
      <c r="J63" t="n">
        <v>0</v>
      </c>
      <c r="K63" t="n">
        <v>0</v>
      </c>
      <c r="L63" t="n">
        <v>0</v>
      </c>
      <c r="M63" t="n">
        <v>0</v>
      </c>
      <c r="N63" t="n">
        <v>0</v>
      </c>
      <c r="O63" t="n">
        <v>0</v>
      </c>
      <c r="P63" t="n">
        <v>0</v>
      </c>
      <c r="Q63" t="n">
        <v>0</v>
      </c>
      <c r="R63" s="2" t="inlineStr"/>
    </row>
    <row r="64" ht="15" customHeight="1">
      <c r="A64" t="inlineStr">
        <is>
          <t>A 25235-2019</t>
        </is>
      </c>
      <c r="B64" s="1" t="n">
        <v>43601</v>
      </c>
      <c r="C64" s="1" t="n">
        <v>45692</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24960-2019</t>
        </is>
      </c>
      <c r="B65" s="1" t="n">
        <v>43602</v>
      </c>
      <c r="C65" s="1" t="n">
        <v>45692</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28917-2019</t>
        </is>
      </c>
      <c r="B66" s="1" t="n">
        <v>43612</v>
      </c>
      <c r="C66" s="1" t="n">
        <v>45692</v>
      </c>
      <c r="D66" t="inlineStr">
        <is>
          <t>DALARNAS LÄN</t>
        </is>
      </c>
      <c r="E66" t="inlineStr">
        <is>
          <t>MORA</t>
        </is>
      </c>
      <c r="G66" t="n">
        <v>0.6</v>
      </c>
      <c r="H66" t="n">
        <v>0</v>
      </c>
      <c r="I66" t="n">
        <v>0</v>
      </c>
      <c r="J66" t="n">
        <v>0</v>
      </c>
      <c r="K66" t="n">
        <v>0</v>
      </c>
      <c r="L66" t="n">
        <v>0</v>
      </c>
      <c r="M66" t="n">
        <v>0</v>
      </c>
      <c r="N66" t="n">
        <v>0</v>
      </c>
      <c r="O66" t="n">
        <v>0</v>
      </c>
      <c r="P66" t="n">
        <v>0</v>
      </c>
      <c r="Q66" t="n">
        <v>0</v>
      </c>
      <c r="R66" s="2" t="inlineStr"/>
    </row>
    <row r="67" ht="15" customHeight="1">
      <c r="A67" t="inlineStr">
        <is>
          <t>A 26405-2019</t>
        </is>
      </c>
      <c r="B67" s="1" t="n">
        <v>43612</v>
      </c>
      <c r="C67" s="1" t="n">
        <v>45692</v>
      </c>
      <c r="D67" t="inlineStr">
        <is>
          <t>DALARNAS LÄN</t>
        </is>
      </c>
      <c r="E67" t="inlineStr">
        <is>
          <t>MORA</t>
        </is>
      </c>
      <c r="G67" t="n">
        <v>3.2</v>
      </c>
      <c r="H67" t="n">
        <v>0</v>
      </c>
      <c r="I67" t="n">
        <v>0</v>
      </c>
      <c r="J67" t="n">
        <v>0</v>
      </c>
      <c r="K67" t="n">
        <v>0</v>
      </c>
      <c r="L67" t="n">
        <v>0</v>
      </c>
      <c r="M67" t="n">
        <v>0</v>
      </c>
      <c r="N67" t="n">
        <v>0</v>
      </c>
      <c r="O67" t="n">
        <v>0</v>
      </c>
      <c r="P67" t="n">
        <v>0</v>
      </c>
      <c r="Q67" t="n">
        <v>0</v>
      </c>
      <c r="R67" s="2" t="inlineStr"/>
    </row>
    <row r="68" ht="15" customHeight="1">
      <c r="A68" t="inlineStr">
        <is>
          <t>A 29231-2019</t>
        </is>
      </c>
      <c r="B68" s="1" t="n">
        <v>43623</v>
      </c>
      <c r="C68" s="1" t="n">
        <v>45692</v>
      </c>
      <c r="D68" t="inlineStr">
        <is>
          <t>DALARNAS LÄN</t>
        </is>
      </c>
      <c r="E68" t="inlineStr">
        <is>
          <t>MORA</t>
        </is>
      </c>
      <c r="G68" t="n">
        <v>24.2</v>
      </c>
      <c r="H68" t="n">
        <v>0</v>
      </c>
      <c r="I68" t="n">
        <v>0</v>
      </c>
      <c r="J68" t="n">
        <v>0</v>
      </c>
      <c r="K68" t="n">
        <v>0</v>
      </c>
      <c r="L68" t="n">
        <v>0</v>
      </c>
      <c r="M68" t="n">
        <v>0</v>
      </c>
      <c r="N68" t="n">
        <v>0</v>
      </c>
      <c r="O68" t="n">
        <v>0</v>
      </c>
      <c r="P68" t="n">
        <v>0</v>
      </c>
      <c r="Q68" t="n">
        <v>0</v>
      </c>
      <c r="R68" s="2" t="inlineStr"/>
    </row>
    <row r="69" ht="15" customHeight="1">
      <c r="A69" t="inlineStr">
        <is>
          <t>A 29370-2019</t>
        </is>
      </c>
      <c r="B69" s="1" t="n">
        <v>43629</v>
      </c>
      <c r="C69" s="1" t="n">
        <v>45692</v>
      </c>
      <c r="D69" t="inlineStr">
        <is>
          <t>DALARNAS LÄN</t>
        </is>
      </c>
      <c r="E69" t="inlineStr">
        <is>
          <t>MORA</t>
        </is>
      </c>
      <c r="G69" t="n">
        <v>2.4</v>
      </c>
      <c r="H69" t="n">
        <v>0</v>
      </c>
      <c r="I69" t="n">
        <v>0</v>
      </c>
      <c r="J69" t="n">
        <v>0</v>
      </c>
      <c r="K69" t="n">
        <v>0</v>
      </c>
      <c r="L69" t="n">
        <v>0</v>
      </c>
      <c r="M69" t="n">
        <v>0</v>
      </c>
      <c r="N69" t="n">
        <v>0</v>
      </c>
      <c r="O69" t="n">
        <v>0</v>
      </c>
      <c r="P69" t="n">
        <v>0</v>
      </c>
      <c r="Q69" t="n">
        <v>0</v>
      </c>
      <c r="R69" s="2" t="inlineStr"/>
    </row>
    <row r="70" ht="15" customHeight="1">
      <c r="A70" t="inlineStr">
        <is>
          <t>A 29395-2019</t>
        </is>
      </c>
      <c r="B70" s="1" t="n">
        <v>43629</v>
      </c>
      <c r="C70" s="1" t="n">
        <v>45692</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30487-2019</t>
        </is>
      </c>
      <c r="B71" s="1" t="n">
        <v>43635</v>
      </c>
      <c r="C71" s="1" t="n">
        <v>45692</v>
      </c>
      <c r="D71" t="inlineStr">
        <is>
          <t>DALARNAS LÄN</t>
        </is>
      </c>
      <c r="E71" t="inlineStr">
        <is>
          <t>MORA</t>
        </is>
      </c>
      <c r="G71" t="n">
        <v>11.5</v>
      </c>
      <c r="H71" t="n">
        <v>0</v>
      </c>
      <c r="I71" t="n">
        <v>0</v>
      </c>
      <c r="J71" t="n">
        <v>0</v>
      </c>
      <c r="K71" t="n">
        <v>0</v>
      </c>
      <c r="L71" t="n">
        <v>0</v>
      </c>
      <c r="M71" t="n">
        <v>0</v>
      </c>
      <c r="N71" t="n">
        <v>0</v>
      </c>
      <c r="O71" t="n">
        <v>0</v>
      </c>
      <c r="P71" t="n">
        <v>0</v>
      </c>
      <c r="Q71" t="n">
        <v>0</v>
      </c>
      <c r="R71" s="2" t="inlineStr"/>
    </row>
    <row r="72" ht="15" customHeight="1">
      <c r="A72" t="inlineStr">
        <is>
          <t>A 30558-2019</t>
        </is>
      </c>
      <c r="B72" s="1" t="n">
        <v>43635</v>
      </c>
      <c r="C72" s="1" t="n">
        <v>45692</v>
      </c>
      <c r="D72" t="inlineStr">
        <is>
          <t>DALARNAS LÄN</t>
        </is>
      </c>
      <c r="E72" t="inlineStr">
        <is>
          <t>MORA</t>
        </is>
      </c>
      <c r="G72" t="n">
        <v>0.8</v>
      </c>
      <c r="H72" t="n">
        <v>0</v>
      </c>
      <c r="I72" t="n">
        <v>0</v>
      </c>
      <c r="J72" t="n">
        <v>0</v>
      </c>
      <c r="K72" t="n">
        <v>0</v>
      </c>
      <c r="L72" t="n">
        <v>0</v>
      </c>
      <c r="M72" t="n">
        <v>0</v>
      </c>
      <c r="N72" t="n">
        <v>0</v>
      </c>
      <c r="O72" t="n">
        <v>0</v>
      </c>
      <c r="P72" t="n">
        <v>0</v>
      </c>
      <c r="Q72" t="n">
        <v>0</v>
      </c>
      <c r="R72" s="2" t="inlineStr"/>
    </row>
    <row r="73" ht="15" customHeight="1">
      <c r="A73" t="inlineStr">
        <is>
          <t>A 30585-2019</t>
        </is>
      </c>
      <c r="B73" s="1" t="n">
        <v>43635</v>
      </c>
      <c r="C73" s="1" t="n">
        <v>45692</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30665-2019</t>
        </is>
      </c>
      <c r="B74" s="1" t="n">
        <v>43636</v>
      </c>
      <c r="C74" s="1" t="n">
        <v>45692</v>
      </c>
      <c r="D74" t="inlineStr">
        <is>
          <t>DALARNAS LÄN</t>
        </is>
      </c>
      <c r="E74" t="inlineStr">
        <is>
          <t>MORA</t>
        </is>
      </c>
      <c r="F74" t="inlineStr">
        <is>
          <t>Kyrkan</t>
        </is>
      </c>
      <c r="G74" t="n">
        <v>1.3</v>
      </c>
      <c r="H74" t="n">
        <v>0</v>
      </c>
      <c r="I74" t="n">
        <v>0</v>
      </c>
      <c r="J74" t="n">
        <v>0</v>
      </c>
      <c r="K74" t="n">
        <v>0</v>
      </c>
      <c r="L74" t="n">
        <v>0</v>
      </c>
      <c r="M74" t="n">
        <v>0</v>
      </c>
      <c r="N74" t="n">
        <v>0</v>
      </c>
      <c r="O74" t="n">
        <v>0</v>
      </c>
      <c r="P74" t="n">
        <v>0</v>
      </c>
      <c r="Q74" t="n">
        <v>0</v>
      </c>
      <c r="R74" s="2" t="inlineStr"/>
    </row>
    <row r="75" ht="15" customHeight="1">
      <c r="A75" t="inlineStr">
        <is>
          <t>A 30674-2019</t>
        </is>
      </c>
      <c r="B75" s="1" t="n">
        <v>43636</v>
      </c>
      <c r="C75" s="1" t="n">
        <v>45692</v>
      </c>
      <c r="D75" t="inlineStr">
        <is>
          <t>DALARNAS LÄN</t>
        </is>
      </c>
      <c r="E75" t="inlineStr">
        <is>
          <t>MORA</t>
        </is>
      </c>
      <c r="F75" t="inlineStr">
        <is>
          <t>Kyrkan</t>
        </is>
      </c>
      <c r="G75" t="n">
        <v>1.4</v>
      </c>
      <c r="H75" t="n">
        <v>0</v>
      </c>
      <c r="I75" t="n">
        <v>0</v>
      </c>
      <c r="J75" t="n">
        <v>0</v>
      </c>
      <c r="K75" t="n">
        <v>0</v>
      </c>
      <c r="L75" t="n">
        <v>0</v>
      </c>
      <c r="M75" t="n">
        <v>0</v>
      </c>
      <c r="N75" t="n">
        <v>0</v>
      </c>
      <c r="O75" t="n">
        <v>0</v>
      </c>
      <c r="P75" t="n">
        <v>0</v>
      </c>
      <c r="Q75" t="n">
        <v>0</v>
      </c>
      <c r="R75" s="2" t="inlineStr"/>
    </row>
    <row r="76" ht="15" customHeight="1">
      <c r="A76" t="inlineStr">
        <is>
          <t>A 31007-2019</t>
        </is>
      </c>
      <c r="B76" s="1" t="n">
        <v>43640</v>
      </c>
      <c r="C76" s="1" t="n">
        <v>45692</v>
      </c>
      <c r="D76" t="inlineStr">
        <is>
          <t>DALARNAS LÄN</t>
        </is>
      </c>
      <c r="E76" t="inlineStr">
        <is>
          <t>MORA</t>
        </is>
      </c>
      <c r="G76" t="n">
        <v>15.2</v>
      </c>
      <c r="H76" t="n">
        <v>0</v>
      </c>
      <c r="I76" t="n">
        <v>0</v>
      </c>
      <c r="J76" t="n">
        <v>0</v>
      </c>
      <c r="K76" t="n">
        <v>0</v>
      </c>
      <c r="L76" t="n">
        <v>0</v>
      </c>
      <c r="M76" t="n">
        <v>0</v>
      </c>
      <c r="N76" t="n">
        <v>0</v>
      </c>
      <c r="O76" t="n">
        <v>0</v>
      </c>
      <c r="P76" t="n">
        <v>0</v>
      </c>
      <c r="Q76" t="n">
        <v>0</v>
      </c>
      <c r="R76" s="2" t="inlineStr"/>
    </row>
    <row r="77" ht="15" customHeight="1">
      <c r="A77" t="inlineStr">
        <is>
          <t>A 31786-2019</t>
        </is>
      </c>
      <c r="B77" s="1" t="n">
        <v>43642</v>
      </c>
      <c r="C77" s="1" t="n">
        <v>45692</v>
      </c>
      <c r="D77" t="inlineStr">
        <is>
          <t>DALARNAS LÄN</t>
        </is>
      </c>
      <c r="E77" t="inlineStr">
        <is>
          <t>MORA</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32085-2019</t>
        </is>
      </c>
      <c r="B78" s="1" t="n">
        <v>43643</v>
      </c>
      <c r="C78" s="1" t="n">
        <v>45692</v>
      </c>
      <c r="D78" t="inlineStr">
        <is>
          <t>DALARNAS LÄN</t>
        </is>
      </c>
      <c r="E78" t="inlineStr">
        <is>
          <t>MORA</t>
        </is>
      </c>
      <c r="G78" t="n">
        <v>4.6</v>
      </c>
      <c r="H78" t="n">
        <v>0</v>
      </c>
      <c r="I78" t="n">
        <v>0</v>
      </c>
      <c r="J78" t="n">
        <v>0</v>
      </c>
      <c r="K78" t="n">
        <v>0</v>
      </c>
      <c r="L78" t="n">
        <v>0</v>
      </c>
      <c r="M78" t="n">
        <v>0</v>
      </c>
      <c r="N78" t="n">
        <v>0</v>
      </c>
      <c r="O78" t="n">
        <v>0</v>
      </c>
      <c r="P78" t="n">
        <v>0</v>
      </c>
      <c r="Q78" t="n">
        <v>0</v>
      </c>
      <c r="R78" s="2" t="inlineStr"/>
    </row>
    <row r="79" ht="15" customHeight="1">
      <c r="A79" t="inlineStr">
        <is>
          <t>A 33184-2019</t>
        </is>
      </c>
      <c r="B79" s="1" t="n">
        <v>43649</v>
      </c>
      <c r="C79" s="1" t="n">
        <v>45692</v>
      </c>
      <c r="D79" t="inlineStr">
        <is>
          <t>DALARNAS LÄN</t>
        </is>
      </c>
      <c r="E79" t="inlineStr">
        <is>
          <t>MORA</t>
        </is>
      </c>
      <c r="G79" t="n">
        <v>8.1</v>
      </c>
      <c r="H79" t="n">
        <v>0</v>
      </c>
      <c r="I79" t="n">
        <v>0</v>
      </c>
      <c r="J79" t="n">
        <v>0</v>
      </c>
      <c r="K79" t="n">
        <v>0</v>
      </c>
      <c r="L79" t="n">
        <v>0</v>
      </c>
      <c r="M79" t="n">
        <v>0</v>
      </c>
      <c r="N79" t="n">
        <v>0</v>
      </c>
      <c r="O79" t="n">
        <v>0</v>
      </c>
      <c r="P79" t="n">
        <v>0</v>
      </c>
      <c r="Q79" t="n">
        <v>0</v>
      </c>
      <c r="R79" s="2" t="inlineStr"/>
    </row>
    <row r="80" ht="15" customHeight="1">
      <c r="A80" t="inlineStr">
        <is>
          <t>A 33187-2019</t>
        </is>
      </c>
      <c r="B80" s="1" t="n">
        <v>43649</v>
      </c>
      <c r="C80" s="1" t="n">
        <v>45692</v>
      </c>
      <c r="D80" t="inlineStr">
        <is>
          <t>DALARNAS LÄN</t>
        </is>
      </c>
      <c r="E80" t="inlineStr">
        <is>
          <t>MORA</t>
        </is>
      </c>
      <c r="G80" t="n">
        <v>7.1</v>
      </c>
      <c r="H80" t="n">
        <v>0</v>
      </c>
      <c r="I80" t="n">
        <v>0</v>
      </c>
      <c r="J80" t="n">
        <v>0</v>
      </c>
      <c r="K80" t="n">
        <v>0</v>
      </c>
      <c r="L80" t="n">
        <v>0</v>
      </c>
      <c r="M80" t="n">
        <v>0</v>
      </c>
      <c r="N80" t="n">
        <v>0</v>
      </c>
      <c r="O80" t="n">
        <v>0</v>
      </c>
      <c r="P80" t="n">
        <v>0</v>
      </c>
      <c r="Q80" t="n">
        <v>0</v>
      </c>
      <c r="R80" s="2" t="inlineStr"/>
    </row>
    <row r="81" ht="15" customHeight="1">
      <c r="A81" t="inlineStr">
        <is>
          <t>A 33188-2019</t>
        </is>
      </c>
      <c r="B81" s="1" t="n">
        <v>43649</v>
      </c>
      <c r="C81" s="1" t="n">
        <v>45692</v>
      </c>
      <c r="D81" t="inlineStr">
        <is>
          <t>DALARNAS LÄN</t>
        </is>
      </c>
      <c r="E81" t="inlineStr">
        <is>
          <t>MORA</t>
        </is>
      </c>
      <c r="G81" t="n">
        <v>3.9</v>
      </c>
      <c r="H81" t="n">
        <v>0</v>
      </c>
      <c r="I81" t="n">
        <v>0</v>
      </c>
      <c r="J81" t="n">
        <v>0</v>
      </c>
      <c r="K81" t="n">
        <v>0</v>
      </c>
      <c r="L81" t="n">
        <v>0</v>
      </c>
      <c r="M81" t="n">
        <v>0</v>
      </c>
      <c r="N81" t="n">
        <v>0</v>
      </c>
      <c r="O81" t="n">
        <v>0</v>
      </c>
      <c r="P81" t="n">
        <v>0</v>
      </c>
      <c r="Q81" t="n">
        <v>0</v>
      </c>
      <c r="R81" s="2" t="inlineStr"/>
    </row>
    <row r="82" ht="15" customHeight="1">
      <c r="A82" t="inlineStr">
        <is>
          <t>A 33183-2019</t>
        </is>
      </c>
      <c r="B82" s="1" t="n">
        <v>43649</v>
      </c>
      <c r="C82" s="1" t="n">
        <v>45692</v>
      </c>
      <c r="D82" t="inlineStr">
        <is>
          <t>DALARNAS LÄN</t>
        </is>
      </c>
      <c r="E82" t="inlineStr">
        <is>
          <t>MORA</t>
        </is>
      </c>
      <c r="G82" t="n">
        <v>20.1</v>
      </c>
      <c r="H82" t="n">
        <v>0</v>
      </c>
      <c r="I82" t="n">
        <v>0</v>
      </c>
      <c r="J82" t="n">
        <v>0</v>
      </c>
      <c r="K82" t="n">
        <v>0</v>
      </c>
      <c r="L82" t="n">
        <v>0</v>
      </c>
      <c r="M82" t="n">
        <v>0</v>
      </c>
      <c r="N82" t="n">
        <v>0</v>
      </c>
      <c r="O82" t="n">
        <v>0</v>
      </c>
      <c r="P82" t="n">
        <v>0</v>
      </c>
      <c r="Q82" t="n">
        <v>0</v>
      </c>
      <c r="R82" s="2" t="inlineStr"/>
    </row>
    <row r="83" ht="15" customHeight="1">
      <c r="A83" t="inlineStr">
        <is>
          <t>A 33318-2019</t>
        </is>
      </c>
      <c r="B83" s="1" t="n">
        <v>43650</v>
      </c>
      <c r="C83" s="1" t="n">
        <v>45692</v>
      </c>
      <c r="D83" t="inlineStr">
        <is>
          <t>DALARNAS LÄN</t>
        </is>
      </c>
      <c r="E83" t="inlineStr">
        <is>
          <t>MORA</t>
        </is>
      </c>
      <c r="G83" t="n">
        <v>11.8</v>
      </c>
      <c r="H83" t="n">
        <v>0</v>
      </c>
      <c r="I83" t="n">
        <v>0</v>
      </c>
      <c r="J83" t="n">
        <v>0</v>
      </c>
      <c r="K83" t="n">
        <v>0</v>
      </c>
      <c r="L83" t="n">
        <v>0</v>
      </c>
      <c r="M83" t="n">
        <v>0</v>
      </c>
      <c r="N83" t="n">
        <v>0</v>
      </c>
      <c r="O83" t="n">
        <v>0</v>
      </c>
      <c r="P83" t="n">
        <v>0</v>
      </c>
      <c r="Q83" t="n">
        <v>0</v>
      </c>
      <c r="R83" s="2" t="inlineStr"/>
    </row>
    <row r="84" ht="15" customHeight="1">
      <c r="A84" t="inlineStr">
        <is>
          <t>A 35360-2019</t>
        </is>
      </c>
      <c r="B84" s="1" t="n">
        <v>43651</v>
      </c>
      <c r="C84" s="1" t="n">
        <v>45692</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34330-2019</t>
        </is>
      </c>
      <c r="B85" s="1" t="n">
        <v>43656</v>
      </c>
      <c r="C85" s="1" t="n">
        <v>45692</v>
      </c>
      <c r="D85" t="inlineStr">
        <is>
          <t>DALARNAS LÄN</t>
        </is>
      </c>
      <c r="E85" t="inlineStr">
        <is>
          <t>MORA</t>
        </is>
      </c>
      <c r="G85" t="n">
        <v>2.6</v>
      </c>
      <c r="H85" t="n">
        <v>0</v>
      </c>
      <c r="I85" t="n">
        <v>0</v>
      </c>
      <c r="J85" t="n">
        <v>0</v>
      </c>
      <c r="K85" t="n">
        <v>0</v>
      </c>
      <c r="L85" t="n">
        <v>0</v>
      </c>
      <c r="M85" t="n">
        <v>0</v>
      </c>
      <c r="N85" t="n">
        <v>0</v>
      </c>
      <c r="O85" t="n">
        <v>0</v>
      </c>
      <c r="P85" t="n">
        <v>0</v>
      </c>
      <c r="Q85" t="n">
        <v>0</v>
      </c>
      <c r="R85" s="2" t="inlineStr"/>
    </row>
    <row r="86" ht="15" customHeight="1">
      <c r="A86" t="inlineStr">
        <is>
          <t>A 36275-2019</t>
        </is>
      </c>
      <c r="B86" s="1" t="n">
        <v>43661</v>
      </c>
      <c r="C86" s="1" t="n">
        <v>45692</v>
      </c>
      <c r="D86" t="inlineStr">
        <is>
          <t>DALARNAS LÄN</t>
        </is>
      </c>
      <c r="E86" t="inlineStr">
        <is>
          <t>MORA</t>
        </is>
      </c>
      <c r="G86" t="n">
        <v>7.3</v>
      </c>
      <c r="H86" t="n">
        <v>0</v>
      </c>
      <c r="I86" t="n">
        <v>0</v>
      </c>
      <c r="J86" t="n">
        <v>0</v>
      </c>
      <c r="K86" t="n">
        <v>0</v>
      </c>
      <c r="L86" t="n">
        <v>0</v>
      </c>
      <c r="M86" t="n">
        <v>0</v>
      </c>
      <c r="N86" t="n">
        <v>0</v>
      </c>
      <c r="O86" t="n">
        <v>0</v>
      </c>
      <c r="P86" t="n">
        <v>0</v>
      </c>
      <c r="Q86" t="n">
        <v>0</v>
      </c>
      <c r="R86" s="2" t="inlineStr"/>
    </row>
    <row r="87" ht="15" customHeight="1">
      <c r="A87" t="inlineStr">
        <is>
          <t>A 36440-2019</t>
        </is>
      </c>
      <c r="B87" s="1" t="n">
        <v>43664</v>
      </c>
      <c r="C87" s="1" t="n">
        <v>45692</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37801-2019</t>
        </is>
      </c>
      <c r="B88" s="1" t="n">
        <v>43675</v>
      </c>
      <c r="C88" s="1" t="n">
        <v>45692</v>
      </c>
      <c r="D88" t="inlineStr">
        <is>
          <t>DALARNAS LÄN</t>
        </is>
      </c>
      <c r="E88" t="inlineStr">
        <is>
          <t>MORA</t>
        </is>
      </c>
      <c r="F88" t="inlineStr">
        <is>
          <t>Allmännings- och besparingsskogar</t>
        </is>
      </c>
      <c r="G88" t="n">
        <v>6.2</v>
      </c>
      <c r="H88" t="n">
        <v>0</v>
      </c>
      <c r="I88" t="n">
        <v>0</v>
      </c>
      <c r="J88" t="n">
        <v>0</v>
      </c>
      <c r="K88" t="n">
        <v>0</v>
      </c>
      <c r="L88" t="n">
        <v>0</v>
      </c>
      <c r="M88" t="n">
        <v>0</v>
      </c>
      <c r="N88" t="n">
        <v>0</v>
      </c>
      <c r="O88" t="n">
        <v>0</v>
      </c>
      <c r="P88" t="n">
        <v>0</v>
      </c>
      <c r="Q88" t="n">
        <v>0</v>
      </c>
      <c r="R88" s="2" t="inlineStr"/>
    </row>
    <row r="89" ht="15" customHeight="1">
      <c r="A89" t="inlineStr">
        <is>
          <t>A 37816-2019</t>
        </is>
      </c>
      <c r="B89" s="1" t="n">
        <v>43675</v>
      </c>
      <c r="C89" s="1" t="n">
        <v>45692</v>
      </c>
      <c r="D89" t="inlineStr">
        <is>
          <t>DALARNAS LÄN</t>
        </is>
      </c>
      <c r="E89" t="inlineStr">
        <is>
          <t>MORA</t>
        </is>
      </c>
      <c r="F89" t="inlineStr">
        <is>
          <t>Allmännings- och besparingsskogar</t>
        </is>
      </c>
      <c r="G89" t="n">
        <v>29.9</v>
      </c>
      <c r="H89" t="n">
        <v>0</v>
      </c>
      <c r="I89" t="n">
        <v>0</v>
      </c>
      <c r="J89" t="n">
        <v>0</v>
      </c>
      <c r="K89" t="n">
        <v>0</v>
      </c>
      <c r="L89" t="n">
        <v>0</v>
      </c>
      <c r="M89" t="n">
        <v>0</v>
      </c>
      <c r="N89" t="n">
        <v>0</v>
      </c>
      <c r="O89" t="n">
        <v>0</v>
      </c>
      <c r="P89" t="n">
        <v>0</v>
      </c>
      <c r="Q89" t="n">
        <v>0</v>
      </c>
      <c r="R89" s="2" t="inlineStr"/>
    </row>
    <row r="90" ht="15" customHeight="1">
      <c r="A90" t="inlineStr">
        <is>
          <t>A 36991-2019</t>
        </is>
      </c>
      <c r="B90" s="1" t="n">
        <v>43676</v>
      </c>
      <c r="C90" s="1" t="n">
        <v>45692</v>
      </c>
      <c r="D90" t="inlineStr">
        <is>
          <t>DALARNAS LÄN</t>
        </is>
      </c>
      <c r="E90" t="inlineStr">
        <is>
          <t>MORA</t>
        </is>
      </c>
      <c r="G90" t="n">
        <v>2.7</v>
      </c>
      <c r="H90" t="n">
        <v>0</v>
      </c>
      <c r="I90" t="n">
        <v>0</v>
      </c>
      <c r="J90" t="n">
        <v>0</v>
      </c>
      <c r="K90" t="n">
        <v>0</v>
      </c>
      <c r="L90" t="n">
        <v>0</v>
      </c>
      <c r="M90" t="n">
        <v>0</v>
      </c>
      <c r="N90" t="n">
        <v>0</v>
      </c>
      <c r="O90" t="n">
        <v>0</v>
      </c>
      <c r="P90" t="n">
        <v>0</v>
      </c>
      <c r="Q90" t="n">
        <v>0</v>
      </c>
      <c r="R90" s="2" t="inlineStr"/>
    </row>
    <row r="91" ht="15" customHeight="1">
      <c r="A91" t="inlineStr">
        <is>
          <t>A 38821-2019</t>
        </is>
      </c>
      <c r="B91" s="1" t="n">
        <v>43682</v>
      </c>
      <c r="C91" s="1" t="n">
        <v>45692</v>
      </c>
      <c r="D91" t="inlineStr">
        <is>
          <t>DALARNAS LÄN</t>
        </is>
      </c>
      <c r="E91" t="inlineStr">
        <is>
          <t>MORA</t>
        </is>
      </c>
      <c r="F91" t="inlineStr">
        <is>
          <t>Allmännings- och besparingsskogar</t>
        </is>
      </c>
      <c r="G91" t="n">
        <v>7.1</v>
      </c>
      <c r="H91" t="n">
        <v>0</v>
      </c>
      <c r="I91" t="n">
        <v>0</v>
      </c>
      <c r="J91" t="n">
        <v>0</v>
      </c>
      <c r="K91" t="n">
        <v>0</v>
      </c>
      <c r="L91" t="n">
        <v>0</v>
      </c>
      <c r="M91" t="n">
        <v>0</v>
      </c>
      <c r="N91" t="n">
        <v>0</v>
      </c>
      <c r="O91" t="n">
        <v>0</v>
      </c>
      <c r="P91" t="n">
        <v>0</v>
      </c>
      <c r="Q91" t="n">
        <v>0</v>
      </c>
      <c r="R91" s="2" t="inlineStr"/>
    </row>
    <row r="92" ht="15" customHeight="1">
      <c r="A92" t="inlineStr">
        <is>
          <t>A 38514-2019</t>
        </is>
      </c>
      <c r="B92" s="1" t="n">
        <v>43685</v>
      </c>
      <c r="C92" s="1" t="n">
        <v>45692</v>
      </c>
      <c r="D92" t="inlineStr">
        <is>
          <t>DALARNAS LÄN</t>
        </is>
      </c>
      <c r="E92" t="inlineStr">
        <is>
          <t>MORA</t>
        </is>
      </c>
      <c r="F92" t="inlineStr">
        <is>
          <t>Bergvik skog öst AB</t>
        </is>
      </c>
      <c r="G92" t="n">
        <v>7.4</v>
      </c>
      <c r="H92" t="n">
        <v>0</v>
      </c>
      <c r="I92" t="n">
        <v>0</v>
      </c>
      <c r="J92" t="n">
        <v>0</v>
      </c>
      <c r="K92" t="n">
        <v>0</v>
      </c>
      <c r="L92" t="n">
        <v>0</v>
      </c>
      <c r="M92" t="n">
        <v>0</v>
      </c>
      <c r="N92" t="n">
        <v>0</v>
      </c>
      <c r="O92" t="n">
        <v>0</v>
      </c>
      <c r="P92" t="n">
        <v>0</v>
      </c>
      <c r="Q92" t="n">
        <v>0</v>
      </c>
      <c r="R92" s="2" t="inlineStr"/>
    </row>
    <row r="93" ht="15" customHeight="1">
      <c r="A93" t="inlineStr">
        <is>
          <t>A 39809-2019</t>
        </is>
      </c>
      <c r="B93" s="1" t="n">
        <v>43692</v>
      </c>
      <c r="C93" s="1" t="n">
        <v>45692</v>
      </c>
      <c r="D93" t="inlineStr">
        <is>
          <t>DALARNAS LÄN</t>
        </is>
      </c>
      <c r="E93" t="inlineStr">
        <is>
          <t>MORA</t>
        </is>
      </c>
      <c r="F93" t="inlineStr">
        <is>
          <t>Bergvik skog öst AB</t>
        </is>
      </c>
      <c r="G93" t="n">
        <v>1.4</v>
      </c>
      <c r="H93" t="n">
        <v>0</v>
      </c>
      <c r="I93" t="n">
        <v>0</v>
      </c>
      <c r="J93" t="n">
        <v>0</v>
      </c>
      <c r="K93" t="n">
        <v>0</v>
      </c>
      <c r="L93" t="n">
        <v>0</v>
      </c>
      <c r="M93" t="n">
        <v>0</v>
      </c>
      <c r="N93" t="n">
        <v>0</v>
      </c>
      <c r="O93" t="n">
        <v>0</v>
      </c>
      <c r="P93" t="n">
        <v>0</v>
      </c>
      <c r="Q93" t="n">
        <v>0</v>
      </c>
      <c r="R93" s="2" t="inlineStr"/>
    </row>
    <row r="94" ht="15" customHeight="1">
      <c r="A94" t="inlineStr">
        <is>
          <t>A 39811-2019</t>
        </is>
      </c>
      <c r="B94" s="1" t="n">
        <v>43692</v>
      </c>
      <c r="C94" s="1" t="n">
        <v>45692</v>
      </c>
      <c r="D94" t="inlineStr">
        <is>
          <t>DALARNAS LÄN</t>
        </is>
      </c>
      <c r="E94" t="inlineStr">
        <is>
          <t>MORA</t>
        </is>
      </c>
      <c r="F94" t="inlineStr">
        <is>
          <t>Bergvik skog öst AB</t>
        </is>
      </c>
      <c r="G94" t="n">
        <v>0.4</v>
      </c>
      <c r="H94" t="n">
        <v>0</v>
      </c>
      <c r="I94" t="n">
        <v>0</v>
      </c>
      <c r="J94" t="n">
        <v>0</v>
      </c>
      <c r="K94" t="n">
        <v>0</v>
      </c>
      <c r="L94" t="n">
        <v>0</v>
      </c>
      <c r="M94" t="n">
        <v>0</v>
      </c>
      <c r="N94" t="n">
        <v>0</v>
      </c>
      <c r="O94" t="n">
        <v>0</v>
      </c>
      <c r="P94" t="n">
        <v>0</v>
      </c>
      <c r="Q94" t="n">
        <v>0</v>
      </c>
      <c r="R94" s="2" t="inlineStr"/>
    </row>
    <row r="95" ht="15" customHeight="1">
      <c r="A95" t="inlineStr">
        <is>
          <t>A 40910-2019</t>
        </is>
      </c>
      <c r="B95" s="1" t="n">
        <v>43693</v>
      </c>
      <c r="C95" s="1" t="n">
        <v>45692</v>
      </c>
      <c r="D95" t="inlineStr">
        <is>
          <t>DALARNAS LÄN</t>
        </is>
      </c>
      <c r="E95" t="inlineStr">
        <is>
          <t>MORA</t>
        </is>
      </c>
      <c r="G95" t="n">
        <v>4.2</v>
      </c>
      <c r="H95" t="n">
        <v>0</v>
      </c>
      <c r="I95" t="n">
        <v>0</v>
      </c>
      <c r="J95" t="n">
        <v>0</v>
      </c>
      <c r="K95" t="n">
        <v>0</v>
      </c>
      <c r="L95" t="n">
        <v>0</v>
      </c>
      <c r="M95" t="n">
        <v>0</v>
      </c>
      <c r="N95" t="n">
        <v>0</v>
      </c>
      <c r="O95" t="n">
        <v>0</v>
      </c>
      <c r="P95" t="n">
        <v>0</v>
      </c>
      <c r="Q95" t="n">
        <v>0</v>
      </c>
      <c r="R95" s="2" t="inlineStr"/>
    </row>
    <row r="96" ht="15" customHeight="1">
      <c r="A96" t="inlineStr">
        <is>
          <t>A 42530-2019</t>
        </is>
      </c>
      <c r="B96" s="1" t="n">
        <v>43698</v>
      </c>
      <c r="C96" s="1" t="n">
        <v>45692</v>
      </c>
      <c r="D96" t="inlineStr">
        <is>
          <t>DALARNAS LÄN</t>
        </is>
      </c>
      <c r="E96" t="inlineStr">
        <is>
          <t>MORA</t>
        </is>
      </c>
      <c r="G96" t="n">
        <v>4.7</v>
      </c>
      <c r="H96" t="n">
        <v>0</v>
      </c>
      <c r="I96" t="n">
        <v>0</v>
      </c>
      <c r="J96" t="n">
        <v>0</v>
      </c>
      <c r="K96" t="n">
        <v>0</v>
      </c>
      <c r="L96" t="n">
        <v>0</v>
      </c>
      <c r="M96" t="n">
        <v>0</v>
      </c>
      <c r="N96" t="n">
        <v>0</v>
      </c>
      <c r="O96" t="n">
        <v>0</v>
      </c>
      <c r="P96" t="n">
        <v>0</v>
      </c>
      <c r="Q96" t="n">
        <v>0</v>
      </c>
      <c r="R96" s="2" t="inlineStr"/>
    </row>
    <row r="97" ht="15" customHeight="1">
      <c r="A97" t="inlineStr">
        <is>
          <t>A 43396-2019</t>
        </is>
      </c>
      <c r="B97" s="1" t="n">
        <v>43703</v>
      </c>
      <c r="C97" s="1" t="n">
        <v>45692</v>
      </c>
      <c r="D97" t="inlineStr">
        <is>
          <t>DALARNAS LÄN</t>
        </is>
      </c>
      <c r="E97" t="inlineStr">
        <is>
          <t>MORA</t>
        </is>
      </c>
      <c r="G97" t="n">
        <v>1.1</v>
      </c>
      <c r="H97" t="n">
        <v>0</v>
      </c>
      <c r="I97" t="n">
        <v>0</v>
      </c>
      <c r="J97" t="n">
        <v>0</v>
      </c>
      <c r="K97" t="n">
        <v>0</v>
      </c>
      <c r="L97" t="n">
        <v>0</v>
      </c>
      <c r="M97" t="n">
        <v>0</v>
      </c>
      <c r="N97" t="n">
        <v>0</v>
      </c>
      <c r="O97" t="n">
        <v>0</v>
      </c>
      <c r="P97" t="n">
        <v>0</v>
      </c>
      <c r="Q97" t="n">
        <v>0</v>
      </c>
      <c r="R97" s="2" t="inlineStr"/>
    </row>
    <row r="98" ht="15" customHeight="1">
      <c r="A98" t="inlineStr">
        <is>
          <t>A 43744-2019</t>
        </is>
      </c>
      <c r="B98" s="1" t="n">
        <v>43707</v>
      </c>
      <c r="C98" s="1" t="n">
        <v>45692</v>
      </c>
      <c r="D98" t="inlineStr">
        <is>
          <t>DALARNAS LÄN</t>
        </is>
      </c>
      <c r="E98" t="inlineStr">
        <is>
          <t>MORA</t>
        </is>
      </c>
      <c r="G98" t="n">
        <v>1.3</v>
      </c>
      <c r="H98" t="n">
        <v>0</v>
      </c>
      <c r="I98" t="n">
        <v>0</v>
      </c>
      <c r="J98" t="n">
        <v>0</v>
      </c>
      <c r="K98" t="n">
        <v>0</v>
      </c>
      <c r="L98" t="n">
        <v>0</v>
      </c>
      <c r="M98" t="n">
        <v>0</v>
      </c>
      <c r="N98" t="n">
        <v>0</v>
      </c>
      <c r="O98" t="n">
        <v>0</v>
      </c>
      <c r="P98" t="n">
        <v>0</v>
      </c>
      <c r="Q98" t="n">
        <v>0</v>
      </c>
      <c r="R98" s="2" t="inlineStr"/>
    </row>
    <row r="99" ht="15" customHeight="1">
      <c r="A99" t="inlineStr">
        <is>
          <t>A 43718-2019</t>
        </is>
      </c>
      <c r="B99" s="1" t="n">
        <v>43707</v>
      </c>
      <c r="C99" s="1" t="n">
        <v>45692</v>
      </c>
      <c r="D99" t="inlineStr">
        <is>
          <t>DALARNAS LÄN</t>
        </is>
      </c>
      <c r="E99" t="inlineStr">
        <is>
          <t>MORA</t>
        </is>
      </c>
      <c r="G99" t="n">
        <v>10.7</v>
      </c>
      <c r="H99" t="n">
        <v>0</v>
      </c>
      <c r="I99" t="n">
        <v>0</v>
      </c>
      <c r="J99" t="n">
        <v>0</v>
      </c>
      <c r="K99" t="n">
        <v>0</v>
      </c>
      <c r="L99" t="n">
        <v>0</v>
      </c>
      <c r="M99" t="n">
        <v>0</v>
      </c>
      <c r="N99" t="n">
        <v>0</v>
      </c>
      <c r="O99" t="n">
        <v>0</v>
      </c>
      <c r="P99" t="n">
        <v>0</v>
      </c>
      <c r="Q99" t="n">
        <v>0</v>
      </c>
      <c r="R99" s="2" t="inlineStr"/>
    </row>
    <row r="100" ht="15" customHeight="1">
      <c r="A100" t="inlineStr">
        <is>
          <t>A 44759-2019</t>
        </is>
      </c>
      <c r="B100" s="1" t="n">
        <v>43707</v>
      </c>
      <c r="C100" s="1" t="n">
        <v>45692</v>
      </c>
      <c r="D100" t="inlineStr">
        <is>
          <t>DALARNAS LÄN</t>
        </is>
      </c>
      <c r="E100" t="inlineStr">
        <is>
          <t>MORA</t>
        </is>
      </c>
      <c r="F100" t="inlineStr">
        <is>
          <t>Allmännings- och besparingsskogar</t>
        </is>
      </c>
      <c r="G100" t="n">
        <v>6.8</v>
      </c>
      <c r="H100" t="n">
        <v>0</v>
      </c>
      <c r="I100" t="n">
        <v>0</v>
      </c>
      <c r="J100" t="n">
        <v>0</v>
      </c>
      <c r="K100" t="n">
        <v>0</v>
      </c>
      <c r="L100" t="n">
        <v>0</v>
      </c>
      <c r="M100" t="n">
        <v>0</v>
      </c>
      <c r="N100" t="n">
        <v>0</v>
      </c>
      <c r="O100" t="n">
        <v>0</v>
      </c>
      <c r="P100" t="n">
        <v>0</v>
      </c>
      <c r="Q100" t="n">
        <v>0</v>
      </c>
      <c r="R100" s="2" t="inlineStr"/>
    </row>
    <row r="101" ht="15" customHeight="1">
      <c r="A101" t="inlineStr">
        <is>
          <t>A 44766-2019</t>
        </is>
      </c>
      <c r="B101" s="1" t="n">
        <v>43707</v>
      </c>
      <c r="C101" s="1" t="n">
        <v>45692</v>
      </c>
      <c r="D101" t="inlineStr">
        <is>
          <t>DALARNAS LÄN</t>
        </is>
      </c>
      <c r="E101" t="inlineStr">
        <is>
          <t>MORA</t>
        </is>
      </c>
      <c r="F101" t="inlineStr">
        <is>
          <t>Allmännings- och besparingsskogar</t>
        </is>
      </c>
      <c r="G101" t="n">
        <v>32.2</v>
      </c>
      <c r="H101" t="n">
        <v>0</v>
      </c>
      <c r="I101" t="n">
        <v>0</v>
      </c>
      <c r="J101" t="n">
        <v>0</v>
      </c>
      <c r="K101" t="n">
        <v>0</v>
      </c>
      <c r="L101" t="n">
        <v>0</v>
      </c>
      <c r="M101" t="n">
        <v>0</v>
      </c>
      <c r="N101" t="n">
        <v>0</v>
      </c>
      <c r="O101" t="n">
        <v>0</v>
      </c>
      <c r="P101" t="n">
        <v>0</v>
      </c>
      <c r="Q101" t="n">
        <v>0</v>
      </c>
      <c r="R101" s="2" t="inlineStr"/>
    </row>
    <row r="102" ht="15" customHeight="1">
      <c r="A102" t="inlineStr">
        <is>
          <t>A 45989-2019</t>
        </is>
      </c>
      <c r="B102" s="1" t="n">
        <v>43718</v>
      </c>
      <c r="C102" s="1" t="n">
        <v>45692</v>
      </c>
      <c r="D102" t="inlineStr">
        <is>
          <t>DALARNAS LÄN</t>
        </is>
      </c>
      <c r="E102" t="inlineStr">
        <is>
          <t>MORA</t>
        </is>
      </c>
      <c r="G102" t="n">
        <v>12.9</v>
      </c>
      <c r="H102" t="n">
        <v>0</v>
      </c>
      <c r="I102" t="n">
        <v>0</v>
      </c>
      <c r="J102" t="n">
        <v>0</v>
      </c>
      <c r="K102" t="n">
        <v>0</v>
      </c>
      <c r="L102" t="n">
        <v>0</v>
      </c>
      <c r="M102" t="n">
        <v>0</v>
      </c>
      <c r="N102" t="n">
        <v>0</v>
      </c>
      <c r="O102" t="n">
        <v>0</v>
      </c>
      <c r="P102" t="n">
        <v>0</v>
      </c>
      <c r="Q102" t="n">
        <v>0</v>
      </c>
      <c r="R102" s="2" t="inlineStr"/>
    </row>
    <row r="103" ht="15" customHeight="1">
      <c r="A103" t="inlineStr">
        <is>
          <t>A 46119-2019</t>
        </is>
      </c>
      <c r="B103" s="1" t="n">
        <v>43718</v>
      </c>
      <c r="C103" s="1" t="n">
        <v>45692</v>
      </c>
      <c r="D103" t="inlineStr">
        <is>
          <t>DALARNAS LÄN</t>
        </is>
      </c>
      <c r="E103" t="inlineStr">
        <is>
          <t>MORA</t>
        </is>
      </c>
      <c r="G103" t="n">
        <v>3.2</v>
      </c>
      <c r="H103" t="n">
        <v>0</v>
      </c>
      <c r="I103" t="n">
        <v>0</v>
      </c>
      <c r="J103" t="n">
        <v>0</v>
      </c>
      <c r="K103" t="n">
        <v>0</v>
      </c>
      <c r="L103" t="n">
        <v>0</v>
      </c>
      <c r="M103" t="n">
        <v>0</v>
      </c>
      <c r="N103" t="n">
        <v>0</v>
      </c>
      <c r="O103" t="n">
        <v>0</v>
      </c>
      <c r="P103" t="n">
        <v>0</v>
      </c>
      <c r="Q103" t="n">
        <v>0</v>
      </c>
      <c r="R103" s="2" t="inlineStr"/>
    </row>
    <row r="104" ht="15" customHeight="1">
      <c r="A104" t="inlineStr">
        <is>
          <t>A 46171-2019</t>
        </is>
      </c>
      <c r="B104" s="1" t="n">
        <v>43718</v>
      </c>
      <c r="C104" s="1" t="n">
        <v>45692</v>
      </c>
      <c r="D104" t="inlineStr">
        <is>
          <t>DALARNAS LÄN</t>
        </is>
      </c>
      <c r="E104" t="inlineStr">
        <is>
          <t>MORA</t>
        </is>
      </c>
      <c r="G104" t="n">
        <v>6.1</v>
      </c>
      <c r="H104" t="n">
        <v>0</v>
      </c>
      <c r="I104" t="n">
        <v>0</v>
      </c>
      <c r="J104" t="n">
        <v>0</v>
      </c>
      <c r="K104" t="n">
        <v>0</v>
      </c>
      <c r="L104" t="n">
        <v>0</v>
      </c>
      <c r="M104" t="n">
        <v>0</v>
      </c>
      <c r="N104" t="n">
        <v>0</v>
      </c>
      <c r="O104" t="n">
        <v>0</v>
      </c>
      <c r="P104" t="n">
        <v>0</v>
      </c>
      <c r="Q104" t="n">
        <v>0</v>
      </c>
      <c r="R104" s="2" t="inlineStr"/>
    </row>
    <row r="105" ht="15" customHeight="1">
      <c r="A105" t="inlineStr">
        <is>
          <t>A 47713-2019</t>
        </is>
      </c>
      <c r="B105" s="1" t="n">
        <v>43724</v>
      </c>
      <c r="C105" s="1" t="n">
        <v>45692</v>
      </c>
      <c r="D105" t="inlineStr">
        <is>
          <t>DALARNAS LÄN</t>
        </is>
      </c>
      <c r="E105" t="inlineStr">
        <is>
          <t>MORA</t>
        </is>
      </c>
      <c r="G105" t="n">
        <v>11.4</v>
      </c>
      <c r="H105" t="n">
        <v>0</v>
      </c>
      <c r="I105" t="n">
        <v>0</v>
      </c>
      <c r="J105" t="n">
        <v>0</v>
      </c>
      <c r="K105" t="n">
        <v>0</v>
      </c>
      <c r="L105" t="n">
        <v>0</v>
      </c>
      <c r="M105" t="n">
        <v>0</v>
      </c>
      <c r="N105" t="n">
        <v>0</v>
      </c>
      <c r="O105" t="n">
        <v>0</v>
      </c>
      <c r="P105" t="n">
        <v>0</v>
      </c>
      <c r="Q105" t="n">
        <v>0</v>
      </c>
      <c r="R105" s="2" t="inlineStr"/>
    </row>
    <row r="106" ht="15" customHeight="1">
      <c r="A106" t="inlineStr">
        <is>
          <t>A 49193-2019</t>
        </is>
      </c>
      <c r="B106" s="1" t="n">
        <v>43724</v>
      </c>
      <c r="C106" s="1" t="n">
        <v>45692</v>
      </c>
      <c r="D106" t="inlineStr">
        <is>
          <t>DALARNAS LÄN</t>
        </is>
      </c>
      <c r="E106" t="inlineStr">
        <is>
          <t>MORA</t>
        </is>
      </c>
      <c r="G106" t="n">
        <v>4.3</v>
      </c>
      <c r="H106" t="n">
        <v>0</v>
      </c>
      <c r="I106" t="n">
        <v>0</v>
      </c>
      <c r="J106" t="n">
        <v>0</v>
      </c>
      <c r="K106" t="n">
        <v>0</v>
      </c>
      <c r="L106" t="n">
        <v>0</v>
      </c>
      <c r="M106" t="n">
        <v>0</v>
      </c>
      <c r="N106" t="n">
        <v>0</v>
      </c>
      <c r="O106" t="n">
        <v>0</v>
      </c>
      <c r="P106" t="n">
        <v>0</v>
      </c>
      <c r="Q106" t="n">
        <v>0</v>
      </c>
      <c r="R106" s="2" t="inlineStr"/>
    </row>
    <row r="107" ht="15" customHeight="1">
      <c r="A107" t="inlineStr">
        <is>
          <t>A 48445-2019</t>
        </is>
      </c>
      <c r="B107" s="1" t="n">
        <v>43727</v>
      </c>
      <c r="C107" s="1" t="n">
        <v>45692</v>
      </c>
      <c r="D107" t="inlineStr">
        <is>
          <t>DALARNAS LÄN</t>
        </is>
      </c>
      <c r="E107" t="inlineStr">
        <is>
          <t>MORA</t>
        </is>
      </c>
      <c r="G107" t="n">
        <v>2.8</v>
      </c>
      <c r="H107" t="n">
        <v>0</v>
      </c>
      <c r="I107" t="n">
        <v>0</v>
      </c>
      <c r="J107" t="n">
        <v>0</v>
      </c>
      <c r="K107" t="n">
        <v>0</v>
      </c>
      <c r="L107" t="n">
        <v>0</v>
      </c>
      <c r="M107" t="n">
        <v>0</v>
      </c>
      <c r="N107" t="n">
        <v>0</v>
      </c>
      <c r="O107" t="n">
        <v>0</v>
      </c>
      <c r="P107" t="n">
        <v>0</v>
      </c>
      <c r="Q107" t="n">
        <v>0</v>
      </c>
      <c r="R107" s="2" t="inlineStr"/>
    </row>
    <row r="108" ht="15" customHeight="1">
      <c r="A108" t="inlineStr">
        <is>
          <t>A 48460-2019</t>
        </is>
      </c>
      <c r="B108" s="1" t="n">
        <v>43727</v>
      </c>
      <c r="C108" s="1" t="n">
        <v>45692</v>
      </c>
      <c r="D108" t="inlineStr">
        <is>
          <t>DALARNAS LÄN</t>
        </is>
      </c>
      <c r="E108" t="inlineStr">
        <is>
          <t>MORA</t>
        </is>
      </c>
      <c r="G108" t="n">
        <v>1.2</v>
      </c>
      <c r="H108" t="n">
        <v>0</v>
      </c>
      <c r="I108" t="n">
        <v>0</v>
      </c>
      <c r="J108" t="n">
        <v>0</v>
      </c>
      <c r="K108" t="n">
        <v>0</v>
      </c>
      <c r="L108" t="n">
        <v>0</v>
      </c>
      <c r="M108" t="n">
        <v>0</v>
      </c>
      <c r="N108" t="n">
        <v>0</v>
      </c>
      <c r="O108" t="n">
        <v>0</v>
      </c>
      <c r="P108" t="n">
        <v>0</v>
      </c>
      <c r="Q108" t="n">
        <v>0</v>
      </c>
      <c r="R108" s="2" t="inlineStr"/>
    </row>
    <row r="109" ht="15" customHeight="1">
      <c r="A109" t="inlineStr">
        <is>
          <t>A 49051-2019</t>
        </is>
      </c>
      <c r="B109" s="1" t="n">
        <v>43731</v>
      </c>
      <c r="C109" s="1" t="n">
        <v>45692</v>
      </c>
      <c r="D109" t="inlineStr">
        <is>
          <t>DALARNAS LÄN</t>
        </is>
      </c>
      <c r="E109" t="inlineStr">
        <is>
          <t>MORA</t>
        </is>
      </c>
      <c r="G109" t="n">
        <v>16</v>
      </c>
      <c r="H109" t="n">
        <v>0</v>
      </c>
      <c r="I109" t="n">
        <v>0</v>
      </c>
      <c r="J109" t="n">
        <v>0</v>
      </c>
      <c r="K109" t="n">
        <v>0</v>
      </c>
      <c r="L109" t="n">
        <v>0</v>
      </c>
      <c r="M109" t="n">
        <v>0</v>
      </c>
      <c r="N109" t="n">
        <v>0</v>
      </c>
      <c r="O109" t="n">
        <v>0</v>
      </c>
      <c r="P109" t="n">
        <v>0</v>
      </c>
      <c r="Q109" t="n">
        <v>0</v>
      </c>
      <c r="R109" s="2" t="inlineStr"/>
    </row>
    <row r="110" ht="15" customHeight="1">
      <c r="A110" t="inlineStr">
        <is>
          <t>A 49290-2019</t>
        </is>
      </c>
      <c r="B110" s="1" t="n">
        <v>43731</v>
      </c>
      <c r="C110" s="1" t="n">
        <v>45692</v>
      </c>
      <c r="D110" t="inlineStr">
        <is>
          <t>DALARNAS LÄN</t>
        </is>
      </c>
      <c r="E110" t="inlineStr">
        <is>
          <t>MORA</t>
        </is>
      </c>
      <c r="G110" t="n">
        <v>0.8</v>
      </c>
      <c r="H110" t="n">
        <v>0</v>
      </c>
      <c r="I110" t="n">
        <v>0</v>
      </c>
      <c r="J110" t="n">
        <v>0</v>
      </c>
      <c r="K110" t="n">
        <v>0</v>
      </c>
      <c r="L110" t="n">
        <v>0</v>
      </c>
      <c r="M110" t="n">
        <v>0</v>
      </c>
      <c r="N110" t="n">
        <v>0</v>
      </c>
      <c r="O110" t="n">
        <v>0</v>
      </c>
      <c r="P110" t="n">
        <v>0</v>
      </c>
      <c r="Q110" t="n">
        <v>0</v>
      </c>
      <c r="R110" s="2" t="inlineStr"/>
    </row>
    <row r="111" ht="15" customHeight="1">
      <c r="A111" t="inlineStr">
        <is>
          <t>A 49765-2019</t>
        </is>
      </c>
      <c r="B111" s="1" t="n">
        <v>43733</v>
      </c>
      <c r="C111" s="1" t="n">
        <v>45692</v>
      </c>
      <c r="D111" t="inlineStr">
        <is>
          <t>DALARNAS LÄN</t>
        </is>
      </c>
      <c r="E111" t="inlineStr">
        <is>
          <t>MORA</t>
        </is>
      </c>
      <c r="F111" t="inlineStr">
        <is>
          <t>Bergvik skog väst AB</t>
        </is>
      </c>
      <c r="G111" t="n">
        <v>9.6</v>
      </c>
      <c r="H111" t="n">
        <v>0</v>
      </c>
      <c r="I111" t="n">
        <v>0</v>
      </c>
      <c r="J111" t="n">
        <v>0</v>
      </c>
      <c r="K111" t="n">
        <v>0</v>
      </c>
      <c r="L111" t="n">
        <v>0</v>
      </c>
      <c r="M111" t="n">
        <v>0</v>
      </c>
      <c r="N111" t="n">
        <v>0</v>
      </c>
      <c r="O111" t="n">
        <v>0</v>
      </c>
      <c r="P111" t="n">
        <v>0</v>
      </c>
      <c r="Q111" t="n">
        <v>0</v>
      </c>
      <c r="R111" s="2" t="inlineStr"/>
    </row>
    <row r="112" ht="15" customHeight="1">
      <c r="A112" t="inlineStr">
        <is>
          <t>A 52958-2019</t>
        </is>
      </c>
      <c r="B112" s="1" t="n">
        <v>43747</v>
      </c>
      <c r="C112" s="1" t="n">
        <v>45692</v>
      </c>
      <c r="D112" t="inlineStr">
        <is>
          <t>DALARNAS LÄN</t>
        </is>
      </c>
      <c r="E112" t="inlineStr">
        <is>
          <t>MORA</t>
        </is>
      </c>
      <c r="G112" t="n">
        <v>6.8</v>
      </c>
      <c r="H112" t="n">
        <v>0</v>
      </c>
      <c r="I112" t="n">
        <v>0</v>
      </c>
      <c r="J112" t="n">
        <v>0</v>
      </c>
      <c r="K112" t="n">
        <v>0</v>
      </c>
      <c r="L112" t="n">
        <v>0</v>
      </c>
      <c r="M112" t="n">
        <v>0</v>
      </c>
      <c r="N112" t="n">
        <v>0</v>
      </c>
      <c r="O112" t="n">
        <v>0</v>
      </c>
      <c r="P112" t="n">
        <v>0</v>
      </c>
      <c r="Q112" t="n">
        <v>0</v>
      </c>
      <c r="R112" s="2" t="inlineStr"/>
    </row>
    <row r="113" ht="15" customHeight="1">
      <c r="A113" t="inlineStr">
        <is>
          <t>A 53336-2019</t>
        </is>
      </c>
      <c r="B113" s="1" t="n">
        <v>43748</v>
      </c>
      <c r="C113" s="1" t="n">
        <v>45692</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54605-2019</t>
        </is>
      </c>
      <c r="B114" s="1" t="n">
        <v>43754</v>
      </c>
      <c r="C114" s="1" t="n">
        <v>45692</v>
      </c>
      <c r="D114" t="inlineStr">
        <is>
          <t>DALARNAS LÄN</t>
        </is>
      </c>
      <c r="E114" t="inlineStr">
        <is>
          <t>MORA</t>
        </is>
      </c>
      <c r="F114" t="inlineStr">
        <is>
          <t>Övriga Aktiebolag</t>
        </is>
      </c>
      <c r="G114" t="n">
        <v>12.7</v>
      </c>
      <c r="H114" t="n">
        <v>0</v>
      </c>
      <c r="I114" t="n">
        <v>0</v>
      </c>
      <c r="J114" t="n">
        <v>0</v>
      </c>
      <c r="K114" t="n">
        <v>0</v>
      </c>
      <c r="L114" t="n">
        <v>0</v>
      </c>
      <c r="M114" t="n">
        <v>0</v>
      </c>
      <c r="N114" t="n">
        <v>0</v>
      </c>
      <c r="O114" t="n">
        <v>0</v>
      </c>
      <c r="P114" t="n">
        <v>0</v>
      </c>
      <c r="Q114" t="n">
        <v>0</v>
      </c>
      <c r="R114" s="2" t="inlineStr"/>
    </row>
    <row r="115" ht="15" customHeight="1">
      <c r="A115" t="inlineStr">
        <is>
          <t>A 56145-2019</t>
        </is>
      </c>
      <c r="B115" s="1" t="n">
        <v>43761</v>
      </c>
      <c r="C115" s="1" t="n">
        <v>45692</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57254-2019</t>
        </is>
      </c>
      <c r="B116" s="1" t="n">
        <v>43767</v>
      </c>
      <c r="C116" s="1" t="n">
        <v>45692</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57640-2019</t>
        </is>
      </c>
      <c r="B117" s="1" t="n">
        <v>43768</v>
      </c>
      <c r="C117" s="1" t="n">
        <v>45692</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57989-2019</t>
        </is>
      </c>
      <c r="B118" s="1" t="n">
        <v>43769</v>
      </c>
      <c r="C118" s="1" t="n">
        <v>45692</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57984-2019</t>
        </is>
      </c>
      <c r="B119" s="1" t="n">
        <v>43769</v>
      </c>
      <c r="C119" s="1" t="n">
        <v>45692</v>
      </c>
      <c r="D119" t="inlineStr">
        <is>
          <t>DALARNAS LÄN</t>
        </is>
      </c>
      <c r="E119" t="inlineStr">
        <is>
          <t>MORA</t>
        </is>
      </c>
      <c r="G119" t="n">
        <v>1</v>
      </c>
      <c r="H119" t="n">
        <v>0</v>
      </c>
      <c r="I119" t="n">
        <v>0</v>
      </c>
      <c r="J119" t="n">
        <v>0</v>
      </c>
      <c r="K119" t="n">
        <v>0</v>
      </c>
      <c r="L119" t="n">
        <v>0</v>
      </c>
      <c r="M119" t="n">
        <v>0</v>
      </c>
      <c r="N119" t="n">
        <v>0</v>
      </c>
      <c r="O119" t="n">
        <v>0</v>
      </c>
      <c r="P119" t="n">
        <v>0</v>
      </c>
      <c r="Q119" t="n">
        <v>0</v>
      </c>
      <c r="R119" s="2" t="inlineStr"/>
    </row>
    <row r="120" ht="15" customHeight="1">
      <c r="A120" t="inlineStr">
        <is>
          <t>A 58335-2019</t>
        </is>
      </c>
      <c r="B120" s="1" t="n">
        <v>43770</v>
      </c>
      <c r="C120" s="1" t="n">
        <v>45692</v>
      </c>
      <c r="D120" t="inlineStr">
        <is>
          <t>DALARNAS LÄN</t>
        </is>
      </c>
      <c r="E120" t="inlineStr">
        <is>
          <t>MORA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61077-2019</t>
        </is>
      </c>
      <c r="B121" s="1" t="n">
        <v>43782</v>
      </c>
      <c r="C121" s="1" t="n">
        <v>45692</v>
      </c>
      <c r="D121" t="inlineStr">
        <is>
          <t>DALARNAS LÄN</t>
        </is>
      </c>
      <c r="E121" t="inlineStr">
        <is>
          <t>MORA</t>
        </is>
      </c>
      <c r="F121" t="inlineStr">
        <is>
          <t>Bergvik skog öst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61063-2019</t>
        </is>
      </c>
      <c r="B122" s="1" t="n">
        <v>43782</v>
      </c>
      <c r="C122" s="1" t="n">
        <v>45692</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61324-2019</t>
        </is>
      </c>
      <c r="B123" s="1" t="n">
        <v>43783</v>
      </c>
      <c r="C123" s="1" t="n">
        <v>45692</v>
      </c>
      <c r="D123" t="inlineStr">
        <is>
          <t>DALARNAS LÄN</t>
        </is>
      </c>
      <c r="E123" t="inlineStr">
        <is>
          <t>MORA</t>
        </is>
      </c>
      <c r="F123" t="inlineStr">
        <is>
          <t>Bergvik skog väst AB</t>
        </is>
      </c>
      <c r="G123" t="n">
        <v>5.9</v>
      </c>
      <c r="H123" t="n">
        <v>0</v>
      </c>
      <c r="I123" t="n">
        <v>0</v>
      </c>
      <c r="J123" t="n">
        <v>0</v>
      </c>
      <c r="K123" t="n">
        <v>0</v>
      </c>
      <c r="L123" t="n">
        <v>0</v>
      </c>
      <c r="M123" t="n">
        <v>0</v>
      </c>
      <c r="N123" t="n">
        <v>0</v>
      </c>
      <c r="O123" t="n">
        <v>0</v>
      </c>
      <c r="P123" t="n">
        <v>0</v>
      </c>
      <c r="Q123" t="n">
        <v>0</v>
      </c>
      <c r="R123" s="2" t="inlineStr"/>
    </row>
    <row r="124" ht="15" customHeight="1">
      <c r="A124" t="inlineStr">
        <is>
          <t>A 61646-2019</t>
        </is>
      </c>
      <c r="B124" s="1" t="n">
        <v>43784</v>
      </c>
      <c r="C124" s="1" t="n">
        <v>45692</v>
      </c>
      <c r="D124" t="inlineStr">
        <is>
          <t>DALARNAS LÄN</t>
        </is>
      </c>
      <c r="E124" t="inlineStr">
        <is>
          <t>MORA</t>
        </is>
      </c>
      <c r="G124" t="n">
        <v>1.2</v>
      </c>
      <c r="H124" t="n">
        <v>0</v>
      </c>
      <c r="I124" t="n">
        <v>0</v>
      </c>
      <c r="J124" t="n">
        <v>0</v>
      </c>
      <c r="K124" t="n">
        <v>0</v>
      </c>
      <c r="L124" t="n">
        <v>0</v>
      </c>
      <c r="M124" t="n">
        <v>0</v>
      </c>
      <c r="N124" t="n">
        <v>0</v>
      </c>
      <c r="O124" t="n">
        <v>0</v>
      </c>
      <c r="P124" t="n">
        <v>0</v>
      </c>
      <c r="Q124" t="n">
        <v>0</v>
      </c>
      <c r="R124" s="2" t="inlineStr"/>
    </row>
    <row r="125" ht="15" customHeight="1">
      <c r="A125" t="inlineStr">
        <is>
          <t>A 62001-2019</t>
        </is>
      </c>
      <c r="B125" s="1" t="n">
        <v>43787</v>
      </c>
      <c r="C125" s="1" t="n">
        <v>45692</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63093-2019</t>
        </is>
      </c>
      <c r="B126" s="1" t="n">
        <v>43791</v>
      </c>
      <c r="C126" s="1" t="n">
        <v>45692</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63072-2019</t>
        </is>
      </c>
      <c r="B127" s="1" t="n">
        <v>43791</v>
      </c>
      <c r="C127" s="1" t="n">
        <v>45692</v>
      </c>
      <c r="D127" t="inlineStr">
        <is>
          <t>DALARNAS LÄN</t>
        </is>
      </c>
      <c r="E127" t="inlineStr">
        <is>
          <t>MORA</t>
        </is>
      </c>
      <c r="G127" t="n">
        <v>1</v>
      </c>
      <c r="H127" t="n">
        <v>0</v>
      </c>
      <c r="I127" t="n">
        <v>0</v>
      </c>
      <c r="J127" t="n">
        <v>0</v>
      </c>
      <c r="K127" t="n">
        <v>0</v>
      </c>
      <c r="L127" t="n">
        <v>0</v>
      </c>
      <c r="M127" t="n">
        <v>0</v>
      </c>
      <c r="N127" t="n">
        <v>0</v>
      </c>
      <c r="O127" t="n">
        <v>0</v>
      </c>
      <c r="P127" t="n">
        <v>0</v>
      </c>
      <c r="Q127" t="n">
        <v>0</v>
      </c>
      <c r="R127" s="2" t="inlineStr"/>
    </row>
    <row r="128" ht="15" customHeight="1">
      <c r="A128" t="inlineStr">
        <is>
          <t>A 63655-2019</t>
        </is>
      </c>
      <c r="B128" s="1" t="n">
        <v>43795</v>
      </c>
      <c r="C128" s="1" t="n">
        <v>45692</v>
      </c>
      <c r="D128" t="inlineStr">
        <is>
          <t>DALARNAS LÄN</t>
        </is>
      </c>
      <c r="E128" t="inlineStr">
        <is>
          <t>MORA</t>
        </is>
      </c>
      <c r="F128" t="inlineStr">
        <is>
          <t>Bergvik skog väst AB</t>
        </is>
      </c>
      <c r="G128" t="n">
        <v>1.5</v>
      </c>
      <c r="H128" t="n">
        <v>0</v>
      </c>
      <c r="I128" t="n">
        <v>0</v>
      </c>
      <c r="J128" t="n">
        <v>0</v>
      </c>
      <c r="K128" t="n">
        <v>0</v>
      </c>
      <c r="L128" t="n">
        <v>0</v>
      </c>
      <c r="M128" t="n">
        <v>0</v>
      </c>
      <c r="N128" t="n">
        <v>0</v>
      </c>
      <c r="O128" t="n">
        <v>0</v>
      </c>
      <c r="P128" t="n">
        <v>0</v>
      </c>
      <c r="Q128" t="n">
        <v>0</v>
      </c>
      <c r="R128" s="2" t="inlineStr"/>
    </row>
    <row r="129" ht="15" customHeight="1">
      <c r="A129" t="inlineStr">
        <is>
          <t>A 65090-2019</t>
        </is>
      </c>
      <c r="B129" s="1" t="n">
        <v>43802</v>
      </c>
      <c r="C129" s="1" t="n">
        <v>45692</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65460-2019</t>
        </is>
      </c>
      <c r="B130" s="1" t="n">
        <v>43803</v>
      </c>
      <c r="C130" s="1" t="n">
        <v>45692</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65633-2019</t>
        </is>
      </c>
      <c r="B131" s="1" t="n">
        <v>43804</v>
      </c>
      <c r="C131" s="1" t="n">
        <v>45692</v>
      </c>
      <c r="D131" t="inlineStr">
        <is>
          <t>DALARNAS LÄN</t>
        </is>
      </c>
      <c r="E131" t="inlineStr">
        <is>
          <t>MORA</t>
        </is>
      </c>
      <c r="G131" t="n">
        <v>2.7</v>
      </c>
      <c r="H131" t="n">
        <v>0</v>
      </c>
      <c r="I131" t="n">
        <v>0</v>
      </c>
      <c r="J131" t="n">
        <v>0</v>
      </c>
      <c r="K131" t="n">
        <v>0</v>
      </c>
      <c r="L131" t="n">
        <v>0</v>
      </c>
      <c r="M131" t="n">
        <v>0</v>
      </c>
      <c r="N131" t="n">
        <v>0</v>
      </c>
      <c r="O131" t="n">
        <v>0</v>
      </c>
      <c r="P131" t="n">
        <v>0</v>
      </c>
      <c r="Q131" t="n">
        <v>0</v>
      </c>
      <c r="R131" s="2" t="inlineStr"/>
    </row>
    <row r="132" ht="15" customHeight="1">
      <c r="A132" t="inlineStr">
        <is>
          <t>A 66214-2019</t>
        </is>
      </c>
      <c r="B132" s="1" t="n">
        <v>43808</v>
      </c>
      <c r="C132" s="1" t="n">
        <v>45692</v>
      </c>
      <c r="D132" t="inlineStr">
        <is>
          <t>DALARNAS LÄN</t>
        </is>
      </c>
      <c r="E132" t="inlineStr">
        <is>
          <t>MORA</t>
        </is>
      </c>
      <c r="G132" t="n">
        <v>5.8</v>
      </c>
      <c r="H132" t="n">
        <v>0</v>
      </c>
      <c r="I132" t="n">
        <v>0</v>
      </c>
      <c r="J132" t="n">
        <v>0</v>
      </c>
      <c r="K132" t="n">
        <v>0</v>
      </c>
      <c r="L132" t="n">
        <v>0</v>
      </c>
      <c r="M132" t="n">
        <v>0</v>
      </c>
      <c r="N132" t="n">
        <v>0</v>
      </c>
      <c r="O132" t="n">
        <v>0</v>
      </c>
      <c r="P132" t="n">
        <v>0</v>
      </c>
      <c r="Q132" t="n">
        <v>0</v>
      </c>
      <c r="R132" s="2" t="inlineStr"/>
    </row>
    <row r="133" ht="15" customHeight="1">
      <c r="A133" t="inlineStr">
        <is>
          <t>A 66873-2019</t>
        </is>
      </c>
      <c r="B133" s="1" t="n">
        <v>43810</v>
      </c>
      <c r="C133" s="1" t="n">
        <v>45692</v>
      </c>
      <c r="D133" t="inlineStr">
        <is>
          <t>DALARNAS LÄN</t>
        </is>
      </c>
      <c r="E133" t="inlineStr">
        <is>
          <t>MORA</t>
        </is>
      </c>
      <c r="F133" t="inlineStr">
        <is>
          <t>Bergvik skog väst AB</t>
        </is>
      </c>
      <c r="G133" t="n">
        <v>4.4</v>
      </c>
      <c r="H133" t="n">
        <v>0</v>
      </c>
      <c r="I133" t="n">
        <v>0</v>
      </c>
      <c r="J133" t="n">
        <v>0</v>
      </c>
      <c r="K133" t="n">
        <v>0</v>
      </c>
      <c r="L133" t="n">
        <v>0</v>
      </c>
      <c r="M133" t="n">
        <v>0</v>
      </c>
      <c r="N133" t="n">
        <v>0</v>
      </c>
      <c r="O133" t="n">
        <v>0</v>
      </c>
      <c r="P133" t="n">
        <v>0</v>
      </c>
      <c r="Q133" t="n">
        <v>0</v>
      </c>
      <c r="R133" s="2" t="inlineStr"/>
    </row>
    <row r="134" ht="15" customHeight="1">
      <c r="A134" t="inlineStr">
        <is>
          <t>A 66868-2019</t>
        </is>
      </c>
      <c r="B134" s="1" t="n">
        <v>43810</v>
      </c>
      <c r="C134" s="1" t="n">
        <v>45692</v>
      </c>
      <c r="D134" t="inlineStr">
        <is>
          <t>DALARNAS LÄN</t>
        </is>
      </c>
      <c r="E134" t="inlineStr">
        <is>
          <t>MORA</t>
        </is>
      </c>
      <c r="G134" t="n">
        <v>3.3</v>
      </c>
      <c r="H134" t="n">
        <v>0</v>
      </c>
      <c r="I134" t="n">
        <v>0</v>
      </c>
      <c r="J134" t="n">
        <v>0</v>
      </c>
      <c r="K134" t="n">
        <v>0</v>
      </c>
      <c r="L134" t="n">
        <v>0</v>
      </c>
      <c r="M134" t="n">
        <v>0</v>
      </c>
      <c r="N134" t="n">
        <v>0</v>
      </c>
      <c r="O134" t="n">
        <v>0</v>
      </c>
      <c r="P134" t="n">
        <v>0</v>
      </c>
      <c r="Q134" t="n">
        <v>0</v>
      </c>
      <c r="R134" s="2" t="inlineStr"/>
    </row>
    <row r="135" ht="15" customHeight="1">
      <c r="A135" t="inlineStr">
        <is>
          <t>A 66878-2019</t>
        </is>
      </c>
      <c r="B135" s="1" t="n">
        <v>43810</v>
      </c>
      <c r="C135" s="1" t="n">
        <v>45692</v>
      </c>
      <c r="D135" t="inlineStr">
        <is>
          <t>DALARNAS LÄN</t>
        </is>
      </c>
      <c r="E135" t="inlineStr">
        <is>
          <t>MORA</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67986-2019</t>
        </is>
      </c>
      <c r="B136" s="1" t="n">
        <v>43811</v>
      </c>
      <c r="C136" s="1" t="n">
        <v>45692</v>
      </c>
      <c r="D136" t="inlineStr">
        <is>
          <t>DALARNAS LÄN</t>
        </is>
      </c>
      <c r="E136" t="inlineStr">
        <is>
          <t>MORA</t>
        </is>
      </c>
      <c r="G136" t="n">
        <v>3.8</v>
      </c>
      <c r="H136" t="n">
        <v>0</v>
      </c>
      <c r="I136" t="n">
        <v>0</v>
      </c>
      <c r="J136" t="n">
        <v>0</v>
      </c>
      <c r="K136" t="n">
        <v>0</v>
      </c>
      <c r="L136" t="n">
        <v>0</v>
      </c>
      <c r="M136" t="n">
        <v>0</v>
      </c>
      <c r="N136" t="n">
        <v>0</v>
      </c>
      <c r="O136" t="n">
        <v>0</v>
      </c>
      <c r="P136" t="n">
        <v>0</v>
      </c>
      <c r="Q136" t="n">
        <v>0</v>
      </c>
      <c r="R136" s="2" t="inlineStr"/>
    </row>
    <row r="137" ht="15" customHeight="1">
      <c r="A137" t="inlineStr">
        <is>
          <t>A 67633-2019</t>
        </is>
      </c>
      <c r="B137" s="1" t="n">
        <v>43815</v>
      </c>
      <c r="C137" s="1" t="n">
        <v>45692</v>
      </c>
      <c r="D137" t="inlineStr">
        <is>
          <t>DALARNAS LÄN</t>
        </is>
      </c>
      <c r="E137" t="inlineStr">
        <is>
          <t>MORA</t>
        </is>
      </c>
      <c r="G137" t="n">
        <v>4.7</v>
      </c>
      <c r="H137" t="n">
        <v>0</v>
      </c>
      <c r="I137" t="n">
        <v>0</v>
      </c>
      <c r="J137" t="n">
        <v>0</v>
      </c>
      <c r="K137" t="n">
        <v>0</v>
      </c>
      <c r="L137" t="n">
        <v>0</v>
      </c>
      <c r="M137" t="n">
        <v>0</v>
      </c>
      <c r="N137" t="n">
        <v>0</v>
      </c>
      <c r="O137" t="n">
        <v>0</v>
      </c>
      <c r="P137" t="n">
        <v>0</v>
      </c>
      <c r="Q137" t="n">
        <v>0</v>
      </c>
      <c r="R137" s="2" t="inlineStr"/>
    </row>
    <row r="138" ht="15" customHeight="1">
      <c r="A138" t="inlineStr">
        <is>
          <t>A 564-2020</t>
        </is>
      </c>
      <c r="B138" s="1" t="n">
        <v>43817</v>
      </c>
      <c r="C138" s="1" t="n">
        <v>45692</v>
      </c>
      <c r="D138" t="inlineStr">
        <is>
          <t>DALARNAS LÄN</t>
        </is>
      </c>
      <c r="E138" t="inlineStr">
        <is>
          <t>MORA</t>
        </is>
      </c>
      <c r="F138" t="inlineStr">
        <is>
          <t>Kommuner</t>
        </is>
      </c>
      <c r="G138" t="n">
        <v>56.1</v>
      </c>
      <c r="H138" t="n">
        <v>0</v>
      </c>
      <c r="I138" t="n">
        <v>0</v>
      </c>
      <c r="J138" t="n">
        <v>0</v>
      </c>
      <c r="K138" t="n">
        <v>0</v>
      </c>
      <c r="L138" t="n">
        <v>0</v>
      </c>
      <c r="M138" t="n">
        <v>0</v>
      </c>
      <c r="N138" t="n">
        <v>0</v>
      </c>
      <c r="O138" t="n">
        <v>0</v>
      </c>
      <c r="P138" t="n">
        <v>0</v>
      </c>
      <c r="Q138" t="n">
        <v>0</v>
      </c>
      <c r="R138" s="2" t="inlineStr"/>
    </row>
    <row r="139" ht="15" customHeight="1">
      <c r="A139" t="inlineStr">
        <is>
          <t>A 68092-2019</t>
        </is>
      </c>
      <c r="B139" s="1" t="n">
        <v>43817</v>
      </c>
      <c r="C139" s="1" t="n">
        <v>45692</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1506-2020</t>
        </is>
      </c>
      <c r="B140" s="1" t="n">
        <v>43826</v>
      </c>
      <c r="C140" s="1" t="n">
        <v>45692</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472-2020</t>
        </is>
      </c>
      <c r="B141" s="1" t="n">
        <v>43837</v>
      </c>
      <c r="C141" s="1" t="n">
        <v>45692</v>
      </c>
      <c r="D141" t="inlineStr">
        <is>
          <t>DALARNAS LÄN</t>
        </is>
      </c>
      <c r="E141" t="inlineStr">
        <is>
          <t>MORA</t>
        </is>
      </c>
      <c r="G141" t="n">
        <v>1.3</v>
      </c>
      <c r="H141" t="n">
        <v>0</v>
      </c>
      <c r="I141" t="n">
        <v>0</v>
      </c>
      <c r="J141" t="n">
        <v>0</v>
      </c>
      <c r="K141" t="n">
        <v>0</v>
      </c>
      <c r="L141" t="n">
        <v>0</v>
      </c>
      <c r="M141" t="n">
        <v>0</v>
      </c>
      <c r="N141" t="n">
        <v>0</v>
      </c>
      <c r="O141" t="n">
        <v>0</v>
      </c>
      <c r="P141" t="n">
        <v>0</v>
      </c>
      <c r="Q141" t="n">
        <v>0</v>
      </c>
      <c r="R141" s="2" t="inlineStr"/>
    </row>
    <row r="142" ht="15" customHeight="1">
      <c r="A142" t="inlineStr">
        <is>
          <t>A 1841-2020</t>
        </is>
      </c>
      <c r="B142" s="1" t="n">
        <v>43844</v>
      </c>
      <c r="C142" s="1" t="n">
        <v>45692</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3588-2020</t>
        </is>
      </c>
      <c r="B143" s="1" t="n">
        <v>43845</v>
      </c>
      <c r="C143" s="1" t="n">
        <v>45692</v>
      </c>
      <c r="D143" t="inlineStr">
        <is>
          <t>DALARNAS LÄN</t>
        </is>
      </c>
      <c r="E143" t="inlineStr">
        <is>
          <t>MORA</t>
        </is>
      </c>
      <c r="G143" t="n">
        <v>3</v>
      </c>
      <c r="H143" t="n">
        <v>0</v>
      </c>
      <c r="I143" t="n">
        <v>0</v>
      </c>
      <c r="J143" t="n">
        <v>0</v>
      </c>
      <c r="K143" t="n">
        <v>0</v>
      </c>
      <c r="L143" t="n">
        <v>0</v>
      </c>
      <c r="M143" t="n">
        <v>0</v>
      </c>
      <c r="N143" t="n">
        <v>0</v>
      </c>
      <c r="O143" t="n">
        <v>0</v>
      </c>
      <c r="P143" t="n">
        <v>0</v>
      </c>
      <c r="Q143" t="n">
        <v>0</v>
      </c>
      <c r="R143" s="2" t="inlineStr"/>
    </row>
    <row r="144" ht="15" customHeight="1">
      <c r="A144" t="inlineStr">
        <is>
          <t>A 4106-2020</t>
        </is>
      </c>
      <c r="B144" s="1" t="n">
        <v>43857</v>
      </c>
      <c r="C144" s="1" t="n">
        <v>45692</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4818-2020</t>
        </is>
      </c>
      <c r="B145" s="1" t="n">
        <v>43859</v>
      </c>
      <c r="C145" s="1" t="n">
        <v>45692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6012-2020</t>
        </is>
      </c>
      <c r="B146" s="1" t="n">
        <v>43865</v>
      </c>
      <c r="C146" s="1" t="n">
        <v>45692</v>
      </c>
      <c r="D146" t="inlineStr">
        <is>
          <t>DALARNAS LÄN</t>
        </is>
      </c>
      <c r="E146" t="inlineStr">
        <is>
          <t>MORA</t>
        </is>
      </c>
      <c r="G146" t="n">
        <v>2.7</v>
      </c>
      <c r="H146" t="n">
        <v>0</v>
      </c>
      <c r="I146" t="n">
        <v>0</v>
      </c>
      <c r="J146" t="n">
        <v>0</v>
      </c>
      <c r="K146" t="n">
        <v>0</v>
      </c>
      <c r="L146" t="n">
        <v>0</v>
      </c>
      <c r="M146" t="n">
        <v>0</v>
      </c>
      <c r="N146" t="n">
        <v>0</v>
      </c>
      <c r="O146" t="n">
        <v>0</v>
      </c>
      <c r="P146" t="n">
        <v>0</v>
      </c>
      <c r="Q146" t="n">
        <v>0</v>
      </c>
      <c r="R146" s="2" t="inlineStr"/>
    </row>
    <row r="147" ht="15" customHeight="1">
      <c r="A147" t="inlineStr">
        <is>
          <t>A 7093-2020</t>
        </is>
      </c>
      <c r="B147" s="1" t="n">
        <v>43868</v>
      </c>
      <c r="C147" s="1" t="n">
        <v>45692</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7382-2020</t>
        </is>
      </c>
      <c r="B148" s="1" t="n">
        <v>43871</v>
      </c>
      <c r="C148" s="1" t="n">
        <v>45692</v>
      </c>
      <c r="D148" t="inlineStr">
        <is>
          <t>DALARNAS LÄN</t>
        </is>
      </c>
      <c r="E148" t="inlineStr">
        <is>
          <t>MORA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10704-2020</t>
        </is>
      </c>
      <c r="B149" s="1" t="n">
        <v>43888</v>
      </c>
      <c r="C149" s="1" t="n">
        <v>45692</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12360-2020</t>
        </is>
      </c>
      <c r="B150" s="1" t="n">
        <v>43896</v>
      </c>
      <c r="C150" s="1" t="n">
        <v>45692</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12723-2020</t>
        </is>
      </c>
      <c r="B151" s="1" t="n">
        <v>43899</v>
      </c>
      <c r="C151" s="1" t="n">
        <v>45692</v>
      </c>
      <c r="D151" t="inlineStr">
        <is>
          <t>DALARNAS LÄN</t>
        </is>
      </c>
      <c r="E151" t="inlineStr">
        <is>
          <t>MORA</t>
        </is>
      </c>
      <c r="G151" t="n">
        <v>0.5</v>
      </c>
      <c r="H151" t="n">
        <v>0</v>
      </c>
      <c r="I151" t="n">
        <v>0</v>
      </c>
      <c r="J151" t="n">
        <v>0</v>
      </c>
      <c r="K151" t="n">
        <v>0</v>
      </c>
      <c r="L151" t="n">
        <v>0</v>
      </c>
      <c r="M151" t="n">
        <v>0</v>
      </c>
      <c r="N151" t="n">
        <v>0</v>
      </c>
      <c r="O151" t="n">
        <v>0</v>
      </c>
      <c r="P151" t="n">
        <v>0</v>
      </c>
      <c r="Q151" t="n">
        <v>0</v>
      </c>
      <c r="R151" s="2" t="inlineStr"/>
    </row>
    <row r="152" ht="15" customHeight="1">
      <c r="A152" t="inlineStr">
        <is>
          <t>A 13943-2020</t>
        </is>
      </c>
      <c r="B152" s="1" t="n">
        <v>43906</v>
      </c>
      <c r="C152" s="1" t="n">
        <v>45692</v>
      </c>
      <c r="D152" t="inlineStr">
        <is>
          <t>DALARNAS LÄN</t>
        </is>
      </c>
      <c r="E152" t="inlineStr">
        <is>
          <t>MORA</t>
        </is>
      </c>
      <c r="G152" t="n">
        <v>1.3</v>
      </c>
      <c r="H152" t="n">
        <v>0</v>
      </c>
      <c r="I152" t="n">
        <v>0</v>
      </c>
      <c r="J152" t="n">
        <v>0</v>
      </c>
      <c r="K152" t="n">
        <v>0</v>
      </c>
      <c r="L152" t="n">
        <v>0</v>
      </c>
      <c r="M152" t="n">
        <v>0</v>
      </c>
      <c r="N152" t="n">
        <v>0</v>
      </c>
      <c r="O152" t="n">
        <v>0</v>
      </c>
      <c r="P152" t="n">
        <v>0</v>
      </c>
      <c r="Q152" t="n">
        <v>0</v>
      </c>
      <c r="R152" s="2" t="inlineStr"/>
    </row>
    <row r="153" ht="15" customHeight="1">
      <c r="A153" t="inlineStr">
        <is>
          <t>A 16636-2020</t>
        </is>
      </c>
      <c r="B153" s="1" t="n">
        <v>43910</v>
      </c>
      <c r="C153" s="1" t="n">
        <v>45692</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16194-2020</t>
        </is>
      </c>
      <c r="B154" s="1" t="n">
        <v>43917</v>
      </c>
      <c r="C154" s="1" t="n">
        <v>45692</v>
      </c>
      <c r="D154" t="inlineStr">
        <is>
          <t>DALARNAS LÄN</t>
        </is>
      </c>
      <c r="E154" t="inlineStr">
        <is>
          <t>MORA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16195-2020</t>
        </is>
      </c>
      <c r="B155" s="1" t="n">
        <v>43917</v>
      </c>
      <c r="C155" s="1" t="n">
        <v>45692</v>
      </c>
      <c r="D155" t="inlineStr">
        <is>
          <t>DALARNAS LÄN</t>
        </is>
      </c>
      <c r="E155" t="inlineStr">
        <is>
          <t>MORA</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18989-2020</t>
        </is>
      </c>
      <c r="B156" s="1" t="n">
        <v>43935</v>
      </c>
      <c r="C156" s="1" t="n">
        <v>45692</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18978-2020</t>
        </is>
      </c>
      <c r="B157" s="1" t="n">
        <v>43935</v>
      </c>
      <c r="C157" s="1" t="n">
        <v>45692</v>
      </c>
      <c r="D157" t="inlineStr">
        <is>
          <t>DALARNAS LÄN</t>
        </is>
      </c>
      <c r="E157" t="inlineStr">
        <is>
          <t>MORA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19507-2020</t>
        </is>
      </c>
      <c r="B158" s="1" t="n">
        <v>43938</v>
      </c>
      <c r="C158" s="1" t="n">
        <v>45692</v>
      </c>
      <c r="D158" t="inlineStr">
        <is>
          <t>DALARNAS LÄN</t>
        </is>
      </c>
      <c r="E158" t="inlineStr">
        <is>
          <t>MORA</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21122-2020</t>
        </is>
      </c>
      <c r="B159" s="1" t="n">
        <v>43951</v>
      </c>
      <c r="C159" s="1" t="n">
        <v>45692</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21951-2020</t>
        </is>
      </c>
      <c r="B160" s="1" t="n">
        <v>43958</v>
      </c>
      <c r="C160" s="1" t="n">
        <v>45692</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24719-2020</t>
        </is>
      </c>
      <c r="B161" s="1" t="n">
        <v>43978</v>
      </c>
      <c r="C161" s="1" t="n">
        <v>45692</v>
      </c>
      <c r="D161" t="inlineStr">
        <is>
          <t>DALARNAS LÄN</t>
        </is>
      </c>
      <c r="E161" t="inlineStr">
        <is>
          <t>MORA</t>
        </is>
      </c>
      <c r="F161" t="inlineStr">
        <is>
          <t>Allmännings- och besparingsskogar</t>
        </is>
      </c>
      <c r="G161" t="n">
        <v>0.8</v>
      </c>
      <c r="H161" t="n">
        <v>0</v>
      </c>
      <c r="I161" t="n">
        <v>0</v>
      </c>
      <c r="J161" t="n">
        <v>0</v>
      </c>
      <c r="K161" t="n">
        <v>0</v>
      </c>
      <c r="L161" t="n">
        <v>0</v>
      </c>
      <c r="M161" t="n">
        <v>0</v>
      </c>
      <c r="N161" t="n">
        <v>0</v>
      </c>
      <c r="O161" t="n">
        <v>0</v>
      </c>
      <c r="P161" t="n">
        <v>0</v>
      </c>
      <c r="Q161" t="n">
        <v>0</v>
      </c>
      <c r="R161" s="2" t="inlineStr"/>
    </row>
    <row r="162" ht="15" customHeight="1">
      <c r="A162" t="inlineStr">
        <is>
          <t>A 25852-2020</t>
        </is>
      </c>
      <c r="B162" s="1" t="n">
        <v>43984</v>
      </c>
      <c r="C162" s="1" t="n">
        <v>45692</v>
      </c>
      <c r="D162" t="inlineStr">
        <is>
          <t>DALARNAS LÄN</t>
        </is>
      </c>
      <c r="E162" t="inlineStr">
        <is>
          <t>MORA</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26454-2020</t>
        </is>
      </c>
      <c r="B163" s="1" t="n">
        <v>43987</v>
      </c>
      <c r="C163" s="1" t="n">
        <v>45692</v>
      </c>
      <c r="D163" t="inlineStr">
        <is>
          <t>DALARNAS LÄN</t>
        </is>
      </c>
      <c r="E163" t="inlineStr">
        <is>
          <t>MORA</t>
        </is>
      </c>
      <c r="G163" t="n">
        <v>1.5</v>
      </c>
      <c r="H163" t="n">
        <v>0</v>
      </c>
      <c r="I163" t="n">
        <v>0</v>
      </c>
      <c r="J163" t="n">
        <v>0</v>
      </c>
      <c r="K163" t="n">
        <v>0</v>
      </c>
      <c r="L163" t="n">
        <v>0</v>
      </c>
      <c r="M163" t="n">
        <v>0</v>
      </c>
      <c r="N163" t="n">
        <v>0</v>
      </c>
      <c r="O163" t="n">
        <v>0</v>
      </c>
      <c r="P163" t="n">
        <v>0</v>
      </c>
      <c r="Q163" t="n">
        <v>0</v>
      </c>
      <c r="R163" s="2" t="inlineStr"/>
    </row>
    <row r="164" ht="15" customHeight="1">
      <c r="A164" t="inlineStr">
        <is>
          <t>A 26460-2020</t>
        </is>
      </c>
      <c r="B164" s="1" t="n">
        <v>43987</v>
      </c>
      <c r="C164" s="1" t="n">
        <v>45692</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29751-2020</t>
        </is>
      </c>
      <c r="B165" s="1" t="n">
        <v>44005</v>
      </c>
      <c r="C165" s="1" t="n">
        <v>45692</v>
      </c>
      <c r="D165" t="inlineStr">
        <is>
          <t>DALARNAS LÄN</t>
        </is>
      </c>
      <c r="E165" t="inlineStr">
        <is>
          <t>MORA</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29881-2020</t>
        </is>
      </c>
      <c r="B166" s="1" t="n">
        <v>44006</v>
      </c>
      <c r="C166" s="1" t="n">
        <v>45692</v>
      </c>
      <c r="D166" t="inlineStr">
        <is>
          <t>DALARNAS LÄN</t>
        </is>
      </c>
      <c r="E166" t="inlineStr">
        <is>
          <t>MORA</t>
        </is>
      </c>
      <c r="G166" t="n">
        <v>3.7</v>
      </c>
      <c r="H166" t="n">
        <v>0</v>
      </c>
      <c r="I166" t="n">
        <v>0</v>
      </c>
      <c r="J166" t="n">
        <v>0</v>
      </c>
      <c r="K166" t="n">
        <v>0</v>
      </c>
      <c r="L166" t="n">
        <v>0</v>
      </c>
      <c r="M166" t="n">
        <v>0</v>
      </c>
      <c r="N166" t="n">
        <v>0</v>
      </c>
      <c r="O166" t="n">
        <v>0</v>
      </c>
      <c r="P166" t="n">
        <v>0</v>
      </c>
      <c r="Q166" t="n">
        <v>0</v>
      </c>
      <c r="R166" s="2" t="inlineStr"/>
    </row>
    <row r="167" ht="15" customHeight="1">
      <c r="A167" t="inlineStr">
        <is>
          <t>A 29960-2020</t>
        </is>
      </c>
      <c r="B167" s="1" t="n">
        <v>44006</v>
      </c>
      <c r="C167" s="1" t="n">
        <v>45692</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33581-2020</t>
        </is>
      </c>
      <c r="B168" s="1" t="n">
        <v>44022</v>
      </c>
      <c r="C168" s="1" t="n">
        <v>45692</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34455-2020</t>
        </is>
      </c>
      <c r="B169" s="1" t="n">
        <v>44032</v>
      </c>
      <c r="C169" s="1" t="n">
        <v>45692</v>
      </c>
      <c r="D169" t="inlineStr">
        <is>
          <t>DALARNAS LÄN</t>
        </is>
      </c>
      <c r="E169" t="inlineStr">
        <is>
          <t>MORA</t>
        </is>
      </c>
      <c r="G169" t="n">
        <v>1.7</v>
      </c>
      <c r="H169" t="n">
        <v>0</v>
      </c>
      <c r="I169" t="n">
        <v>0</v>
      </c>
      <c r="J169" t="n">
        <v>0</v>
      </c>
      <c r="K169" t="n">
        <v>0</v>
      </c>
      <c r="L169" t="n">
        <v>0</v>
      </c>
      <c r="M169" t="n">
        <v>0</v>
      </c>
      <c r="N169" t="n">
        <v>0</v>
      </c>
      <c r="O169" t="n">
        <v>0</v>
      </c>
      <c r="P169" t="n">
        <v>0</v>
      </c>
      <c r="Q169" t="n">
        <v>0</v>
      </c>
      <c r="R169" s="2" t="inlineStr"/>
    </row>
    <row r="170" ht="15" customHeight="1">
      <c r="A170" t="inlineStr">
        <is>
          <t>A 34454-2020</t>
        </is>
      </c>
      <c r="B170" s="1" t="n">
        <v>44032</v>
      </c>
      <c r="C170" s="1" t="n">
        <v>45692</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34446-2020</t>
        </is>
      </c>
      <c r="B171" s="1" t="n">
        <v>44032</v>
      </c>
      <c r="C171" s="1" t="n">
        <v>45692</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35976-2020</t>
        </is>
      </c>
      <c r="B172" s="1" t="n">
        <v>44047</v>
      </c>
      <c r="C172" s="1" t="n">
        <v>45692</v>
      </c>
      <c r="D172" t="inlineStr">
        <is>
          <t>DALARNAS LÄN</t>
        </is>
      </c>
      <c r="E172" t="inlineStr">
        <is>
          <t>MORA</t>
        </is>
      </c>
      <c r="G172" t="n">
        <v>6.7</v>
      </c>
      <c r="H172" t="n">
        <v>0</v>
      </c>
      <c r="I172" t="n">
        <v>0</v>
      </c>
      <c r="J172" t="n">
        <v>0</v>
      </c>
      <c r="K172" t="n">
        <v>0</v>
      </c>
      <c r="L172" t="n">
        <v>0</v>
      </c>
      <c r="M172" t="n">
        <v>0</v>
      </c>
      <c r="N172" t="n">
        <v>0</v>
      </c>
      <c r="O172" t="n">
        <v>0</v>
      </c>
      <c r="P172" t="n">
        <v>0</v>
      </c>
      <c r="Q172" t="n">
        <v>0</v>
      </c>
      <c r="R172" s="2" t="inlineStr"/>
    </row>
    <row r="173" ht="15" customHeight="1">
      <c r="A173" t="inlineStr">
        <is>
          <t>A 37403-2020</t>
        </is>
      </c>
      <c r="B173" s="1" t="n">
        <v>44055</v>
      </c>
      <c r="C173" s="1" t="n">
        <v>45692</v>
      </c>
      <c r="D173" t="inlineStr">
        <is>
          <t>DALARNAS LÄN</t>
        </is>
      </c>
      <c r="E173" t="inlineStr">
        <is>
          <t>MORA</t>
        </is>
      </c>
      <c r="G173" t="n">
        <v>0.8</v>
      </c>
      <c r="H173" t="n">
        <v>0</v>
      </c>
      <c r="I173" t="n">
        <v>0</v>
      </c>
      <c r="J173" t="n">
        <v>0</v>
      </c>
      <c r="K173" t="n">
        <v>0</v>
      </c>
      <c r="L173" t="n">
        <v>0</v>
      </c>
      <c r="M173" t="n">
        <v>0</v>
      </c>
      <c r="N173" t="n">
        <v>0</v>
      </c>
      <c r="O173" t="n">
        <v>0</v>
      </c>
      <c r="P173" t="n">
        <v>0</v>
      </c>
      <c r="Q173" t="n">
        <v>0</v>
      </c>
      <c r="R173" s="2" t="inlineStr"/>
    </row>
    <row r="174" ht="15" customHeight="1">
      <c r="A174" t="inlineStr">
        <is>
          <t>A 37840-2020</t>
        </is>
      </c>
      <c r="B174" s="1" t="n">
        <v>44057</v>
      </c>
      <c r="C174" s="1" t="n">
        <v>45692</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38910-2020</t>
        </is>
      </c>
      <c r="B175" s="1" t="n">
        <v>44062</v>
      </c>
      <c r="C175" s="1" t="n">
        <v>45692</v>
      </c>
      <c r="D175" t="inlineStr">
        <is>
          <t>DALARNAS LÄN</t>
        </is>
      </c>
      <c r="E175" t="inlineStr">
        <is>
          <t>MORA</t>
        </is>
      </c>
      <c r="G175" t="n">
        <v>7.8</v>
      </c>
      <c r="H175" t="n">
        <v>0</v>
      </c>
      <c r="I175" t="n">
        <v>0</v>
      </c>
      <c r="J175" t="n">
        <v>0</v>
      </c>
      <c r="K175" t="n">
        <v>0</v>
      </c>
      <c r="L175" t="n">
        <v>0</v>
      </c>
      <c r="M175" t="n">
        <v>0</v>
      </c>
      <c r="N175" t="n">
        <v>0</v>
      </c>
      <c r="O175" t="n">
        <v>0</v>
      </c>
      <c r="P175" t="n">
        <v>0</v>
      </c>
      <c r="Q175" t="n">
        <v>0</v>
      </c>
      <c r="R175" s="2" t="inlineStr"/>
    </row>
    <row r="176" ht="15" customHeight="1">
      <c r="A176" t="inlineStr">
        <is>
          <t>A 39585-2020</t>
        </is>
      </c>
      <c r="B176" s="1" t="n">
        <v>44064</v>
      </c>
      <c r="C176" s="1" t="n">
        <v>45692</v>
      </c>
      <c r="D176" t="inlineStr">
        <is>
          <t>DALARNAS LÄN</t>
        </is>
      </c>
      <c r="E176" t="inlineStr">
        <is>
          <t>MORA</t>
        </is>
      </c>
      <c r="G176" t="n">
        <v>6.5</v>
      </c>
      <c r="H176" t="n">
        <v>0</v>
      </c>
      <c r="I176" t="n">
        <v>0</v>
      </c>
      <c r="J176" t="n">
        <v>0</v>
      </c>
      <c r="K176" t="n">
        <v>0</v>
      </c>
      <c r="L176" t="n">
        <v>0</v>
      </c>
      <c r="M176" t="n">
        <v>0</v>
      </c>
      <c r="N176" t="n">
        <v>0</v>
      </c>
      <c r="O176" t="n">
        <v>0</v>
      </c>
      <c r="P176" t="n">
        <v>0</v>
      </c>
      <c r="Q176" t="n">
        <v>0</v>
      </c>
      <c r="R176" s="2" t="inlineStr"/>
    </row>
    <row r="177" ht="15" customHeight="1">
      <c r="A177" t="inlineStr">
        <is>
          <t>A 39959-2020</t>
        </is>
      </c>
      <c r="B177" s="1" t="n">
        <v>44067</v>
      </c>
      <c r="C177" s="1" t="n">
        <v>45692</v>
      </c>
      <c r="D177" t="inlineStr">
        <is>
          <t>DALARNAS LÄN</t>
        </is>
      </c>
      <c r="E177" t="inlineStr">
        <is>
          <t>MORA</t>
        </is>
      </c>
      <c r="G177" t="n">
        <v>25.7</v>
      </c>
      <c r="H177" t="n">
        <v>0</v>
      </c>
      <c r="I177" t="n">
        <v>0</v>
      </c>
      <c r="J177" t="n">
        <v>0</v>
      </c>
      <c r="K177" t="n">
        <v>0</v>
      </c>
      <c r="L177" t="n">
        <v>0</v>
      </c>
      <c r="M177" t="n">
        <v>0</v>
      </c>
      <c r="N177" t="n">
        <v>0</v>
      </c>
      <c r="O177" t="n">
        <v>0</v>
      </c>
      <c r="P177" t="n">
        <v>0</v>
      </c>
      <c r="Q177" t="n">
        <v>0</v>
      </c>
      <c r="R177" s="2" t="inlineStr"/>
    </row>
    <row r="178" ht="15" customHeight="1">
      <c r="A178" t="inlineStr">
        <is>
          <t>A 41768-2020</t>
        </is>
      </c>
      <c r="B178" s="1" t="n">
        <v>44074</v>
      </c>
      <c r="C178" s="1" t="n">
        <v>45692</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42362-2020</t>
        </is>
      </c>
      <c r="B179" s="1" t="n">
        <v>44074</v>
      </c>
      <c r="C179" s="1" t="n">
        <v>45692</v>
      </c>
      <c r="D179" t="inlineStr">
        <is>
          <t>DALARNAS LÄN</t>
        </is>
      </c>
      <c r="E179" t="inlineStr">
        <is>
          <t>MORA</t>
        </is>
      </c>
      <c r="G179" t="n">
        <v>4.5</v>
      </c>
      <c r="H179" t="n">
        <v>0</v>
      </c>
      <c r="I179" t="n">
        <v>0</v>
      </c>
      <c r="J179" t="n">
        <v>0</v>
      </c>
      <c r="K179" t="n">
        <v>0</v>
      </c>
      <c r="L179" t="n">
        <v>0</v>
      </c>
      <c r="M179" t="n">
        <v>0</v>
      </c>
      <c r="N179" t="n">
        <v>0</v>
      </c>
      <c r="O179" t="n">
        <v>0</v>
      </c>
      <c r="P179" t="n">
        <v>0</v>
      </c>
      <c r="Q179" t="n">
        <v>0</v>
      </c>
      <c r="R179" s="2" t="inlineStr"/>
    </row>
    <row r="180" ht="15" customHeight="1">
      <c r="A180" t="inlineStr">
        <is>
          <t>A 42377-2020</t>
        </is>
      </c>
      <c r="B180" s="1" t="n">
        <v>44076</v>
      </c>
      <c r="C180" s="1" t="n">
        <v>45692</v>
      </c>
      <c r="D180" t="inlineStr">
        <is>
          <t>DALARNAS LÄN</t>
        </is>
      </c>
      <c r="E180" t="inlineStr">
        <is>
          <t>MORA</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43284-2020</t>
        </is>
      </c>
      <c r="B181" s="1" t="n">
        <v>44081</v>
      </c>
      <c r="C181" s="1" t="n">
        <v>45692</v>
      </c>
      <c r="D181" t="inlineStr">
        <is>
          <t>DALARNAS LÄN</t>
        </is>
      </c>
      <c r="E181" t="inlineStr">
        <is>
          <t>MORA</t>
        </is>
      </c>
      <c r="G181" t="n">
        <v>2</v>
      </c>
      <c r="H181" t="n">
        <v>0</v>
      </c>
      <c r="I181" t="n">
        <v>0</v>
      </c>
      <c r="J181" t="n">
        <v>0</v>
      </c>
      <c r="K181" t="n">
        <v>0</v>
      </c>
      <c r="L181" t="n">
        <v>0</v>
      </c>
      <c r="M181" t="n">
        <v>0</v>
      </c>
      <c r="N181" t="n">
        <v>0</v>
      </c>
      <c r="O181" t="n">
        <v>0</v>
      </c>
      <c r="P181" t="n">
        <v>0</v>
      </c>
      <c r="Q181" t="n">
        <v>0</v>
      </c>
      <c r="R181" s="2" t="inlineStr"/>
    </row>
    <row r="182" ht="15" customHeight="1">
      <c r="A182" t="inlineStr">
        <is>
          <t>A 48065-2020</t>
        </is>
      </c>
      <c r="B182" s="1" t="n">
        <v>44100</v>
      </c>
      <c r="C182" s="1" t="n">
        <v>45692</v>
      </c>
      <c r="D182" t="inlineStr">
        <is>
          <t>DALARNAS LÄN</t>
        </is>
      </c>
      <c r="E182" t="inlineStr">
        <is>
          <t>MORA</t>
        </is>
      </c>
      <c r="G182" t="n">
        <v>8.6</v>
      </c>
      <c r="H182" t="n">
        <v>0</v>
      </c>
      <c r="I182" t="n">
        <v>0</v>
      </c>
      <c r="J182" t="n">
        <v>0</v>
      </c>
      <c r="K182" t="n">
        <v>0</v>
      </c>
      <c r="L182" t="n">
        <v>0</v>
      </c>
      <c r="M182" t="n">
        <v>0</v>
      </c>
      <c r="N182" t="n">
        <v>0</v>
      </c>
      <c r="O182" t="n">
        <v>0</v>
      </c>
      <c r="P182" t="n">
        <v>0</v>
      </c>
      <c r="Q182" t="n">
        <v>0</v>
      </c>
      <c r="R182" s="2" t="inlineStr"/>
    </row>
    <row r="183" ht="15" customHeight="1">
      <c r="A183" t="inlineStr">
        <is>
          <t>A 51621-2020</t>
        </is>
      </c>
      <c r="B183" s="1" t="n">
        <v>44109</v>
      </c>
      <c r="C183" s="1" t="n">
        <v>45692</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51608-2020</t>
        </is>
      </c>
      <c r="B184" s="1" t="n">
        <v>44109</v>
      </c>
      <c r="C184" s="1" t="n">
        <v>45692</v>
      </c>
      <c r="D184" t="inlineStr">
        <is>
          <t>DALARNAS LÄN</t>
        </is>
      </c>
      <c r="E184" t="inlineStr">
        <is>
          <t>MORA</t>
        </is>
      </c>
      <c r="G184" t="n">
        <v>4.6</v>
      </c>
      <c r="H184" t="n">
        <v>0</v>
      </c>
      <c r="I184" t="n">
        <v>0</v>
      </c>
      <c r="J184" t="n">
        <v>0</v>
      </c>
      <c r="K184" t="n">
        <v>0</v>
      </c>
      <c r="L184" t="n">
        <v>0</v>
      </c>
      <c r="M184" t="n">
        <v>0</v>
      </c>
      <c r="N184" t="n">
        <v>0</v>
      </c>
      <c r="O184" t="n">
        <v>0</v>
      </c>
      <c r="P184" t="n">
        <v>0</v>
      </c>
      <c r="Q184" t="n">
        <v>0</v>
      </c>
      <c r="R184" s="2" t="inlineStr"/>
    </row>
    <row r="185" ht="15" customHeight="1">
      <c r="A185" t="inlineStr">
        <is>
          <t>A 52732-2020</t>
        </is>
      </c>
      <c r="B185" s="1" t="n">
        <v>44118</v>
      </c>
      <c r="C185" s="1" t="n">
        <v>45692</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55249-2020</t>
        </is>
      </c>
      <c r="B186" s="1" t="n">
        <v>44130</v>
      </c>
      <c r="C186" s="1" t="n">
        <v>45692</v>
      </c>
      <c r="D186" t="inlineStr">
        <is>
          <t>DALARNAS LÄN</t>
        </is>
      </c>
      <c r="E186" t="inlineStr">
        <is>
          <t>MORA</t>
        </is>
      </c>
      <c r="G186" t="n">
        <v>2.7</v>
      </c>
      <c r="H186" t="n">
        <v>0</v>
      </c>
      <c r="I186" t="n">
        <v>0</v>
      </c>
      <c r="J186" t="n">
        <v>0</v>
      </c>
      <c r="K186" t="n">
        <v>0</v>
      </c>
      <c r="L186" t="n">
        <v>0</v>
      </c>
      <c r="M186" t="n">
        <v>0</v>
      </c>
      <c r="N186" t="n">
        <v>0</v>
      </c>
      <c r="O186" t="n">
        <v>0</v>
      </c>
      <c r="P186" t="n">
        <v>0</v>
      </c>
      <c r="Q186" t="n">
        <v>0</v>
      </c>
      <c r="R186" s="2" t="inlineStr"/>
    </row>
    <row r="187" ht="15" customHeight="1">
      <c r="A187" t="inlineStr">
        <is>
          <t>A 56071-2020</t>
        </is>
      </c>
      <c r="B187" s="1" t="n">
        <v>44133</v>
      </c>
      <c r="C187" s="1" t="n">
        <v>45692</v>
      </c>
      <c r="D187" t="inlineStr">
        <is>
          <t>DALARNAS LÄN</t>
        </is>
      </c>
      <c r="E187" t="inlineStr">
        <is>
          <t>MORA</t>
        </is>
      </c>
      <c r="G187" t="n">
        <v>6.6</v>
      </c>
      <c r="H187" t="n">
        <v>0</v>
      </c>
      <c r="I187" t="n">
        <v>0</v>
      </c>
      <c r="J187" t="n">
        <v>0</v>
      </c>
      <c r="K187" t="n">
        <v>0</v>
      </c>
      <c r="L187" t="n">
        <v>0</v>
      </c>
      <c r="M187" t="n">
        <v>0</v>
      </c>
      <c r="N187" t="n">
        <v>0</v>
      </c>
      <c r="O187" t="n">
        <v>0</v>
      </c>
      <c r="P187" t="n">
        <v>0</v>
      </c>
      <c r="Q187" t="n">
        <v>0</v>
      </c>
      <c r="R187" s="2" t="inlineStr"/>
    </row>
    <row r="188" ht="15" customHeight="1">
      <c r="A188" t="inlineStr">
        <is>
          <t>A 56501-2020</t>
        </is>
      </c>
      <c r="B188" s="1" t="n">
        <v>44137</v>
      </c>
      <c r="C188" s="1" t="n">
        <v>45692</v>
      </c>
      <c r="D188" t="inlineStr">
        <is>
          <t>DALARNAS LÄN</t>
        </is>
      </c>
      <c r="E188" t="inlineStr">
        <is>
          <t>MORA</t>
        </is>
      </c>
      <c r="F188" t="inlineStr">
        <is>
          <t>Allmännings- och besparingsskogar</t>
        </is>
      </c>
      <c r="G188" t="n">
        <v>11</v>
      </c>
      <c r="H188" t="n">
        <v>0</v>
      </c>
      <c r="I188" t="n">
        <v>0</v>
      </c>
      <c r="J188" t="n">
        <v>0</v>
      </c>
      <c r="K188" t="n">
        <v>0</v>
      </c>
      <c r="L188" t="n">
        <v>0</v>
      </c>
      <c r="M188" t="n">
        <v>0</v>
      </c>
      <c r="N188" t="n">
        <v>0</v>
      </c>
      <c r="O188" t="n">
        <v>0</v>
      </c>
      <c r="P188" t="n">
        <v>0</v>
      </c>
      <c r="Q188" t="n">
        <v>0</v>
      </c>
      <c r="R188" s="2" t="inlineStr"/>
    </row>
    <row r="189" ht="15" customHeight="1">
      <c r="A189" t="inlineStr">
        <is>
          <t>A 56976-2020</t>
        </is>
      </c>
      <c r="B189" s="1" t="n">
        <v>44138</v>
      </c>
      <c r="C189" s="1" t="n">
        <v>45692</v>
      </c>
      <c r="D189" t="inlineStr">
        <is>
          <t>DALARNAS LÄN</t>
        </is>
      </c>
      <c r="E189" t="inlineStr">
        <is>
          <t>MORA</t>
        </is>
      </c>
      <c r="F189" t="inlineStr">
        <is>
          <t>Allmännings- och besparingsskogar</t>
        </is>
      </c>
      <c r="G189" t="n">
        <v>0.8</v>
      </c>
      <c r="H189" t="n">
        <v>0</v>
      </c>
      <c r="I189" t="n">
        <v>0</v>
      </c>
      <c r="J189" t="n">
        <v>0</v>
      </c>
      <c r="K189" t="n">
        <v>0</v>
      </c>
      <c r="L189" t="n">
        <v>0</v>
      </c>
      <c r="M189" t="n">
        <v>0</v>
      </c>
      <c r="N189" t="n">
        <v>0</v>
      </c>
      <c r="O189" t="n">
        <v>0</v>
      </c>
      <c r="P189" t="n">
        <v>0</v>
      </c>
      <c r="Q189" t="n">
        <v>0</v>
      </c>
      <c r="R189" s="2" t="inlineStr"/>
    </row>
    <row r="190" ht="15" customHeight="1">
      <c r="A190" t="inlineStr">
        <is>
          <t>A 56974-2020</t>
        </is>
      </c>
      <c r="B190" s="1" t="n">
        <v>44138</v>
      </c>
      <c r="C190" s="1" t="n">
        <v>45692</v>
      </c>
      <c r="D190" t="inlineStr">
        <is>
          <t>DALARNAS LÄN</t>
        </is>
      </c>
      <c r="E190" t="inlineStr">
        <is>
          <t>MORA</t>
        </is>
      </c>
      <c r="F190" t="inlineStr">
        <is>
          <t>Allmännings- och besparingsskogar</t>
        </is>
      </c>
      <c r="G190" t="n">
        <v>5.1</v>
      </c>
      <c r="H190" t="n">
        <v>0</v>
      </c>
      <c r="I190" t="n">
        <v>0</v>
      </c>
      <c r="J190" t="n">
        <v>0</v>
      </c>
      <c r="K190" t="n">
        <v>0</v>
      </c>
      <c r="L190" t="n">
        <v>0</v>
      </c>
      <c r="M190" t="n">
        <v>0</v>
      </c>
      <c r="N190" t="n">
        <v>0</v>
      </c>
      <c r="O190" t="n">
        <v>0</v>
      </c>
      <c r="P190" t="n">
        <v>0</v>
      </c>
      <c r="Q190" t="n">
        <v>0</v>
      </c>
      <c r="R190" s="2" t="inlineStr"/>
    </row>
    <row r="191" ht="15" customHeight="1">
      <c r="A191" t="inlineStr">
        <is>
          <t>A 57268-2020</t>
        </is>
      </c>
      <c r="B191" s="1" t="n">
        <v>44139</v>
      </c>
      <c r="C191" s="1" t="n">
        <v>45692</v>
      </c>
      <c r="D191" t="inlineStr">
        <is>
          <t>DALARNAS LÄN</t>
        </is>
      </c>
      <c r="E191" t="inlineStr">
        <is>
          <t>MORA</t>
        </is>
      </c>
      <c r="G191" t="n">
        <v>1.1</v>
      </c>
      <c r="H191" t="n">
        <v>0</v>
      </c>
      <c r="I191" t="n">
        <v>0</v>
      </c>
      <c r="J191" t="n">
        <v>0</v>
      </c>
      <c r="K191" t="n">
        <v>0</v>
      </c>
      <c r="L191" t="n">
        <v>0</v>
      </c>
      <c r="M191" t="n">
        <v>0</v>
      </c>
      <c r="N191" t="n">
        <v>0</v>
      </c>
      <c r="O191" t="n">
        <v>0</v>
      </c>
      <c r="P191" t="n">
        <v>0</v>
      </c>
      <c r="Q191" t="n">
        <v>0</v>
      </c>
      <c r="R191" s="2" t="inlineStr"/>
    </row>
    <row r="192" ht="15" customHeight="1">
      <c r="A192" t="inlineStr">
        <is>
          <t>A 57848-2020</t>
        </is>
      </c>
      <c r="B192" s="1" t="n">
        <v>44141</v>
      </c>
      <c r="C192" s="1" t="n">
        <v>45692</v>
      </c>
      <c r="D192" t="inlineStr">
        <is>
          <t>DALARNAS LÄN</t>
        </is>
      </c>
      <c r="E192" t="inlineStr">
        <is>
          <t>MORA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57926-2020</t>
        </is>
      </c>
      <c r="B193" s="1" t="n">
        <v>44141</v>
      </c>
      <c r="C193" s="1" t="n">
        <v>45692</v>
      </c>
      <c r="D193" t="inlineStr">
        <is>
          <t>DALARNAS LÄN</t>
        </is>
      </c>
      <c r="E193" t="inlineStr">
        <is>
          <t>MORA</t>
        </is>
      </c>
      <c r="F193" t="inlineStr">
        <is>
          <t>Bergvik skog väst AB</t>
        </is>
      </c>
      <c r="G193" t="n">
        <v>13.1</v>
      </c>
      <c r="H193" t="n">
        <v>0</v>
      </c>
      <c r="I193" t="n">
        <v>0</v>
      </c>
      <c r="J193" t="n">
        <v>0</v>
      </c>
      <c r="K193" t="n">
        <v>0</v>
      </c>
      <c r="L193" t="n">
        <v>0</v>
      </c>
      <c r="M193" t="n">
        <v>0</v>
      </c>
      <c r="N193" t="n">
        <v>0</v>
      </c>
      <c r="O193" t="n">
        <v>0</v>
      </c>
      <c r="P193" t="n">
        <v>0</v>
      </c>
      <c r="Q193" t="n">
        <v>0</v>
      </c>
      <c r="R193" s="2" t="inlineStr"/>
    </row>
    <row r="194" ht="15" customHeight="1">
      <c r="A194" t="inlineStr">
        <is>
          <t>A 60250-2020</t>
        </is>
      </c>
      <c r="B194" s="1" t="n">
        <v>44152</v>
      </c>
      <c r="C194" s="1" t="n">
        <v>45692</v>
      </c>
      <c r="D194" t="inlineStr">
        <is>
          <t>DALARNAS LÄN</t>
        </is>
      </c>
      <c r="E194" t="inlineStr">
        <is>
          <t>MORA</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61338-2020</t>
        </is>
      </c>
      <c r="B195" s="1" t="n">
        <v>44155</v>
      </c>
      <c r="C195" s="1" t="n">
        <v>45692</v>
      </c>
      <c r="D195" t="inlineStr">
        <is>
          <t>DALARNAS LÄN</t>
        </is>
      </c>
      <c r="E195" t="inlineStr">
        <is>
          <t>MORA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62301-2020</t>
        </is>
      </c>
      <c r="B196" s="1" t="n">
        <v>44160</v>
      </c>
      <c r="C196" s="1" t="n">
        <v>45692</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62266-2020</t>
        </is>
      </c>
      <c r="B197" s="1" t="n">
        <v>44160</v>
      </c>
      <c r="C197" s="1" t="n">
        <v>45692</v>
      </c>
      <c r="D197" t="inlineStr">
        <is>
          <t>DALARNAS LÄN</t>
        </is>
      </c>
      <c r="E197" t="inlineStr">
        <is>
          <t>MORA</t>
        </is>
      </c>
      <c r="F197" t="inlineStr">
        <is>
          <t>Bergvik skog väst AB</t>
        </is>
      </c>
      <c r="G197" t="n">
        <v>5.9</v>
      </c>
      <c r="H197" t="n">
        <v>0</v>
      </c>
      <c r="I197" t="n">
        <v>0</v>
      </c>
      <c r="J197" t="n">
        <v>0</v>
      </c>
      <c r="K197" t="n">
        <v>0</v>
      </c>
      <c r="L197" t="n">
        <v>0</v>
      </c>
      <c r="M197" t="n">
        <v>0</v>
      </c>
      <c r="N197" t="n">
        <v>0</v>
      </c>
      <c r="O197" t="n">
        <v>0</v>
      </c>
      <c r="P197" t="n">
        <v>0</v>
      </c>
      <c r="Q197" t="n">
        <v>0</v>
      </c>
      <c r="R197" s="2" t="inlineStr"/>
    </row>
    <row r="198" ht="15" customHeight="1">
      <c r="A198" t="inlineStr">
        <is>
          <t>A 62268-2020</t>
        </is>
      </c>
      <c r="B198" s="1" t="n">
        <v>44160</v>
      </c>
      <c r="C198" s="1" t="n">
        <v>45692</v>
      </c>
      <c r="D198" t="inlineStr">
        <is>
          <t>DALARNAS LÄN</t>
        </is>
      </c>
      <c r="E198" t="inlineStr">
        <is>
          <t>MORA</t>
        </is>
      </c>
      <c r="F198" t="inlineStr">
        <is>
          <t>Bergvik skog väst AB</t>
        </is>
      </c>
      <c r="G198" t="n">
        <v>3.5</v>
      </c>
      <c r="H198" t="n">
        <v>0</v>
      </c>
      <c r="I198" t="n">
        <v>0</v>
      </c>
      <c r="J198" t="n">
        <v>0</v>
      </c>
      <c r="K198" t="n">
        <v>0</v>
      </c>
      <c r="L198" t="n">
        <v>0</v>
      </c>
      <c r="M198" t="n">
        <v>0</v>
      </c>
      <c r="N198" t="n">
        <v>0</v>
      </c>
      <c r="O198" t="n">
        <v>0</v>
      </c>
      <c r="P198" t="n">
        <v>0</v>
      </c>
      <c r="Q198" t="n">
        <v>0</v>
      </c>
      <c r="R198" s="2" t="inlineStr"/>
    </row>
    <row r="199" ht="15" customHeight="1">
      <c r="A199" t="inlineStr">
        <is>
          <t>A 65301-2020</t>
        </is>
      </c>
      <c r="B199" s="1" t="n">
        <v>44169</v>
      </c>
      <c r="C199" s="1" t="n">
        <v>45692</v>
      </c>
      <c r="D199" t="inlineStr">
        <is>
          <t>DALARNAS LÄN</t>
        </is>
      </c>
      <c r="E199" t="inlineStr">
        <is>
          <t>MORA</t>
        </is>
      </c>
      <c r="G199" t="n">
        <v>2.9</v>
      </c>
      <c r="H199" t="n">
        <v>0</v>
      </c>
      <c r="I199" t="n">
        <v>0</v>
      </c>
      <c r="J199" t="n">
        <v>0</v>
      </c>
      <c r="K199" t="n">
        <v>0</v>
      </c>
      <c r="L199" t="n">
        <v>0</v>
      </c>
      <c r="M199" t="n">
        <v>0</v>
      </c>
      <c r="N199" t="n">
        <v>0</v>
      </c>
      <c r="O199" t="n">
        <v>0</v>
      </c>
      <c r="P199" t="n">
        <v>0</v>
      </c>
      <c r="Q199" t="n">
        <v>0</v>
      </c>
      <c r="R199" s="2" t="inlineStr"/>
    </row>
    <row r="200" ht="15" customHeight="1">
      <c r="A200" t="inlineStr">
        <is>
          <t>A 67028-2020</t>
        </is>
      </c>
      <c r="B200" s="1" t="n">
        <v>44180</v>
      </c>
      <c r="C200" s="1" t="n">
        <v>45692</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66990-2020</t>
        </is>
      </c>
      <c r="B201" s="1" t="n">
        <v>44180</v>
      </c>
      <c r="C201" s="1" t="n">
        <v>45692</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68468-2020</t>
        </is>
      </c>
      <c r="B202" s="1" t="n">
        <v>44186</v>
      </c>
      <c r="C202" s="1" t="n">
        <v>45692</v>
      </c>
      <c r="D202" t="inlineStr">
        <is>
          <t>DALARNAS LÄN</t>
        </is>
      </c>
      <c r="E202" t="inlineStr">
        <is>
          <t>MORA</t>
        </is>
      </c>
      <c r="F202" t="inlineStr">
        <is>
          <t>Bergvik skog öst AB</t>
        </is>
      </c>
      <c r="G202" t="n">
        <v>6.5</v>
      </c>
      <c r="H202" t="n">
        <v>0</v>
      </c>
      <c r="I202" t="n">
        <v>0</v>
      </c>
      <c r="J202" t="n">
        <v>0</v>
      </c>
      <c r="K202" t="n">
        <v>0</v>
      </c>
      <c r="L202" t="n">
        <v>0</v>
      </c>
      <c r="M202" t="n">
        <v>0</v>
      </c>
      <c r="N202" t="n">
        <v>0</v>
      </c>
      <c r="O202" t="n">
        <v>0</v>
      </c>
      <c r="P202" t="n">
        <v>0</v>
      </c>
      <c r="Q202" t="n">
        <v>0</v>
      </c>
      <c r="R202" s="2" t="inlineStr"/>
    </row>
    <row r="203" ht="15" customHeight="1">
      <c r="A203" t="inlineStr">
        <is>
          <t>A 68832-2020</t>
        </is>
      </c>
      <c r="B203" s="1" t="n">
        <v>44187</v>
      </c>
      <c r="C203" s="1" t="n">
        <v>45692</v>
      </c>
      <c r="D203" t="inlineStr">
        <is>
          <t>DALARNAS LÄN</t>
        </is>
      </c>
      <c r="E203" t="inlineStr">
        <is>
          <t>MORA</t>
        </is>
      </c>
      <c r="G203" t="n">
        <v>7.7</v>
      </c>
      <c r="H203" t="n">
        <v>0</v>
      </c>
      <c r="I203" t="n">
        <v>0</v>
      </c>
      <c r="J203" t="n">
        <v>0</v>
      </c>
      <c r="K203" t="n">
        <v>0</v>
      </c>
      <c r="L203" t="n">
        <v>0</v>
      </c>
      <c r="M203" t="n">
        <v>0</v>
      </c>
      <c r="N203" t="n">
        <v>0</v>
      </c>
      <c r="O203" t="n">
        <v>0</v>
      </c>
      <c r="P203" t="n">
        <v>0</v>
      </c>
      <c r="Q203" t="n">
        <v>0</v>
      </c>
      <c r="R203" s="2" t="inlineStr"/>
    </row>
    <row r="204" ht="15" customHeight="1">
      <c r="A204" t="inlineStr">
        <is>
          <t>A 69517-2020</t>
        </is>
      </c>
      <c r="B204" s="1" t="n">
        <v>44194</v>
      </c>
      <c r="C204" s="1" t="n">
        <v>45692</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69519-2020</t>
        </is>
      </c>
      <c r="B205" s="1" t="n">
        <v>44194</v>
      </c>
      <c r="C205" s="1" t="n">
        <v>45692</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655-2021</t>
        </is>
      </c>
      <c r="B206" s="1" t="n">
        <v>44203</v>
      </c>
      <c r="C206" s="1" t="n">
        <v>45692</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768-2021</t>
        </is>
      </c>
      <c r="B207" s="1" t="n">
        <v>44203</v>
      </c>
      <c r="C207" s="1" t="n">
        <v>45692</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770-2021</t>
        </is>
      </c>
      <c r="B208" s="1" t="n">
        <v>44203</v>
      </c>
      <c r="C208" s="1" t="n">
        <v>45692</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782-2021</t>
        </is>
      </c>
      <c r="B209" s="1" t="n">
        <v>44203</v>
      </c>
      <c r="C209" s="1" t="n">
        <v>45692</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787-2021</t>
        </is>
      </c>
      <c r="B210" s="1" t="n">
        <v>44203</v>
      </c>
      <c r="C210" s="1" t="n">
        <v>45692</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657-2021</t>
        </is>
      </c>
      <c r="B211" s="1" t="n">
        <v>44203</v>
      </c>
      <c r="C211" s="1" t="n">
        <v>45692</v>
      </c>
      <c r="D211" t="inlineStr">
        <is>
          <t>DALARNAS LÄN</t>
        </is>
      </c>
      <c r="E211" t="inlineStr">
        <is>
          <t>MORA</t>
        </is>
      </c>
      <c r="G211" t="n">
        <v>1.8</v>
      </c>
      <c r="H211" t="n">
        <v>0</v>
      </c>
      <c r="I211" t="n">
        <v>0</v>
      </c>
      <c r="J211" t="n">
        <v>0</v>
      </c>
      <c r="K211" t="n">
        <v>0</v>
      </c>
      <c r="L211" t="n">
        <v>0</v>
      </c>
      <c r="M211" t="n">
        <v>0</v>
      </c>
      <c r="N211" t="n">
        <v>0</v>
      </c>
      <c r="O211" t="n">
        <v>0</v>
      </c>
      <c r="P211" t="n">
        <v>0</v>
      </c>
      <c r="Q211" t="n">
        <v>0</v>
      </c>
      <c r="R211" s="2" t="inlineStr"/>
    </row>
    <row r="212" ht="15" customHeight="1">
      <c r="A212" t="inlineStr">
        <is>
          <t>A 769-2021</t>
        </is>
      </c>
      <c r="B212" s="1" t="n">
        <v>44203</v>
      </c>
      <c r="C212" s="1" t="n">
        <v>45692</v>
      </c>
      <c r="D212" t="inlineStr">
        <is>
          <t>DALARNAS LÄN</t>
        </is>
      </c>
      <c r="E212" t="inlineStr">
        <is>
          <t>MORA</t>
        </is>
      </c>
      <c r="G212" t="n">
        <v>2.1</v>
      </c>
      <c r="H212" t="n">
        <v>0</v>
      </c>
      <c r="I212" t="n">
        <v>0</v>
      </c>
      <c r="J212" t="n">
        <v>0</v>
      </c>
      <c r="K212" t="n">
        <v>0</v>
      </c>
      <c r="L212" t="n">
        <v>0</v>
      </c>
      <c r="M212" t="n">
        <v>0</v>
      </c>
      <c r="N212" t="n">
        <v>0</v>
      </c>
      <c r="O212" t="n">
        <v>0</v>
      </c>
      <c r="P212" t="n">
        <v>0</v>
      </c>
      <c r="Q212" t="n">
        <v>0</v>
      </c>
      <c r="R212" s="2" t="inlineStr"/>
    </row>
    <row r="213" ht="15" customHeight="1">
      <c r="A213" t="inlineStr">
        <is>
          <t>A 790-2021</t>
        </is>
      </c>
      <c r="B213" s="1" t="n">
        <v>44203</v>
      </c>
      <c r="C213" s="1" t="n">
        <v>45692</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837-2021</t>
        </is>
      </c>
      <c r="B214" s="1" t="n">
        <v>44204</v>
      </c>
      <c r="C214" s="1" t="n">
        <v>45692</v>
      </c>
      <c r="D214" t="inlineStr">
        <is>
          <t>DALARNAS LÄN</t>
        </is>
      </c>
      <c r="E214" t="inlineStr">
        <is>
          <t>MORA</t>
        </is>
      </c>
      <c r="G214" t="n">
        <v>10.4</v>
      </c>
      <c r="H214" t="n">
        <v>0</v>
      </c>
      <c r="I214" t="n">
        <v>0</v>
      </c>
      <c r="J214" t="n">
        <v>0</v>
      </c>
      <c r="K214" t="n">
        <v>0</v>
      </c>
      <c r="L214" t="n">
        <v>0</v>
      </c>
      <c r="M214" t="n">
        <v>0</v>
      </c>
      <c r="N214" t="n">
        <v>0</v>
      </c>
      <c r="O214" t="n">
        <v>0</v>
      </c>
      <c r="P214" t="n">
        <v>0</v>
      </c>
      <c r="Q214" t="n">
        <v>0</v>
      </c>
      <c r="R214" s="2" t="inlineStr"/>
    </row>
    <row r="215" ht="15" customHeight="1">
      <c r="A215" t="inlineStr">
        <is>
          <t>A 1951-2021</t>
        </is>
      </c>
      <c r="B215" s="1" t="n">
        <v>44210</v>
      </c>
      <c r="C215" s="1" t="n">
        <v>45692</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8064-2021</t>
        </is>
      </c>
      <c r="B216" s="1" t="n">
        <v>44243</v>
      </c>
      <c r="C216" s="1" t="n">
        <v>45692</v>
      </c>
      <c r="D216" t="inlineStr">
        <is>
          <t>DALARNAS LÄN</t>
        </is>
      </c>
      <c r="E216" t="inlineStr">
        <is>
          <t>MORA</t>
        </is>
      </c>
      <c r="G216" t="n">
        <v>4</v>
      </c>
      <c r="H216" t="n">
        <v>0</v>
      </c>
      <c r="I216" t="n">
        <v>0</v>
      </c>
      <c r="J216" t="n">
        <v>0</v>
      </c>
      <c r="K216" t="n">
        <v>0</v>
      </c>
      <c r="L216" t="n">
        <v>0</v>
      </c>
      <c r="M216" t="n">
        <v>0</v>
      </c>
      <c r="N216" t="n">
        <v>0</v>
      </c>
      <c r="O216" t="n">
        <v>0</v>
      </c>
      <c r="P216" t="n">
        <v>0</v>
      </c>
      <c r="Q216" t="n">
        <v>0</v>
      </c>
      <c r="R216" s="2" t="inlineStr"/>
    </row>
    <row r="217" ht="15" customHeight="1">
      <c r="A217" t="inlineStr">
        <is>
          <t>A 8146-2021</t>
        </is>
      </c>
      <c r="B217" s="1" t="n">
        <v>44244</v>
      </c>
      <c r="C217" s="1" t="n">
        <v>45692</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8153-2021</t>
        </is>
      </c>
      <c r="B218" s="1" t="n">
        <v>44244</v>
      </c>
      <c r="C218" s="1" t="n">
        <v>45692</v>
      </c>
      <c r="D218" t="inlineStr">
        <is>
          <t>DALARNAS LÄN</t>
        </is>
      </c>
      <c r="E218" t="inlineStr">
        <is>
          <t>MORA</t>
        </is>
      </c>
      <c r="G218" t="n">
        <v>2.5</v>
      </c>
      <c r="H218" t="n">
        <v>0</v>
      </c>
      <c r="I218" t="n">
        <v>0</v>
      </c>
      <c r="J218" t="n">
        <v>0</v>
      </c>
      <c r="K218" t="n">
        <v>0</v>
      </c>
      <c r="L218" t="n">
        <v>0</v>
      </c>
      <c r="M218" t="n">
        <v>0</v>
      </c>
      <c r="N218" t="n">
        <v>0</v>
      </c>
      <c r="O218" t="n">
        <v>0</v>
      </c>
      <c r="P218" t="n">
        <v>0</v>
      </c>
      <c r="Q218" t="n">
        <v>0</v>
      </c>
      <c r="R218" s="2" t="inlineStr"/>
    </row>
    <row r="219" ht="15" customHeight="1">
      <c r="A219" t="inlineStr">
        <is>
          <t>A 12151-2021</t>
        </is>
      </c>
      <c r="B219" s="1" t="n">
        <v>44266</v>
      </c>
      <c r="C219" s="1" t="n">
        <v>45692</v>
      </c>
      <c r="D219" t="inlineStr">
        <is>
          <t>DALARNAS LÄN</t>
        </is>
      </c>
      <c r="E219" t="inlineStr">
        <is>
          <t>MORA</t>
        </is>
      </c>
      <c r="G219" t="n">
        <v>0.5</v>
      </c>
      <c r="H219" t="n">
        <v>0</v>
      </c>
      <c r="I219" t="n">
        <v>0</v>
      </c>
      <c r="J219" t="n">
        <v>0</v>
      </c>
      <c r="K219" t="n">
        <v>0</v>
      </c>
      <c r="L219" t="n">
        <v>0</v>
      </c>
      <c r="M219" t="n">
        <v>0</v>
      </c>
      <c r="N219" t="n">
        <v>0</v>
      </c>
      <c r="O219" t="n">
        <v>0</v>
      </c>
      <c r="P219" t="n">
        <v>0</v>
      </c>
      <c r="Q219" t="n">
        <v>0</v>
      </c>
      <c r="R219" s="2" t="inlineStr"/>
    </row>
    <row r="220" ht="15" customHeight="1">
      <c r="A220" t="inlineStr">
        <is>
          <t>A 16840-2021</t>
        </is>
      </c>
      <c r="B220" s="1" t="n">
        <v>44295</v>
      </c>
      <c r="C220" s="1" t="n">
        <v>45692</v>
      </c>
      <c r="D220" t="inlineStr">
        <is>
          <t>DALARNAS LÄN</t>
        </is>
      </c>
      <c r="E220" t="inlineStr">
        <is>
          <t>MORA</t>
        </is>
      </c>
      <c r="G220" t="n">
        <v>11.5</v>
      </c>
      <c r="H220" t="n">
        <v>0</v>
      </c>
      <c r="I220" t="n">
        <v>0</v>
      </c>
      <c r="J220" t="n">
        <v>0</v>
      </c>
      <c r="K220" t="n">
        <v>0</v>
      </c>
      <c r="L220" t="n">
        <v>0</v>
      </c>
      <c r="M220" t="n">
        <v>0</v>
      </c>
      <c r="N220" t="n">
        <v>0</v>
      </c>
      <c r="O220" t="n">
        <v>0</v>
      </c>
      <c r="P220" t="n">
        <v>0</v>
      </c>
      <c r="Q220" t="n">
        <v>0</v>
      </c>
      <c r="R220" s="2" t="inlineStr"/>
    </row>
    <row r="221" ht="15" customHeight="1">
      <c r="A221" t="inlineStr">
        <is>
          <t>A 17915-2021</t>
        </is>
      </c>
      <c r="B221" s="1" t="n">
        <v>44301</v>
      </c>
      <c r="C221" s="1" t="n">
        <v>45692</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17904-2021</t>
        </is>
      </c>
      <c r="B222" s="1" t="n">
        <v>44301</v>
      </c>
      <c r="C222" s="1" t="n">
        <v>45692</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19383-2021</t>
        </is>
      </c>
      <c r="B223" s="1" t="n">
        <v>44309</v>
      </c>
      <c r="C223" s="1" t="n">
        <v>45692</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19896-2021</t>
        </is>
      </c>
      <c r="B224" s="1" t="n">
        <v>44313</v>
      </c>
      <c r="C224" s="1" t="n">
        <v>45692</v>
      </c>
      <c r="D224" t="inlineStr">
        <is>
          <t>DALARNAS LÄN</t>
        </is>
      </c>
      <c r="E224" t="inlineStr">
        <is>
          <t>MORA</t>
        </is>
      </c>
      <c r="G224" t="n">
        <v>1.8</v>
      </c>
      <c r="H224" t="n">
        <v>0</v>
      </c>
      <c r="I224" t="n">
        <v>0</v>
      </c>
      <c r="J224" t="n">
        <v>0</v>
      </c>
      <c r="K224" t="n">
        <v>0</v>
      </c>
      <c r="L224" t="n">
        <v>0</v>
      </c>
      <c r="M224" t="n">
        <v>0</v>
      </c>
      <c r="N224" t="n">
        <v>0</v>
      </c>
      <c r="O224" t="n">
        <v>0</v>
      </c>
      <c r="P224" t="n">
        <v>0</v>
      </c>
      <c r="Q224" t="n">
        <v>0</v>
      </c>
      <c r="R224" s="2" t="inlineStr"/>
    </row>
    <row r="225" ht="15" customHeight="1">
      <c r="A225" t="inlineStr">
        <is>
          <t>A 20125-2021</t>
        </is>
      </c>
      <c r="B225" s="1" t="n">
        <v>44314</v>
      </c>
      <c r="C225" s="1" t="n">
        <v>45692</v>
      </c>
      <c r="D225" t="inlineStr">
        <is>
          <t>DALARNAS LÄN</t>
        </is>
      </c>
      <c r="E225" t="inlineStr">
        <is>
          <t>MORA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22931-2021</t>
        </is>
      </c>
      <c r="B226" s="1" t="n">
        <v>44326</v>
      </c>
      <c r="C226" s="1" t="n">
        <v>45692</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24465-2021</t>
        </is>
      </c>
      <c r="B227" s="1" t="n">
        <v>44337</v>
      </c>
      <c r="C227" s="1" t="n">
        <v>45692</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25750-2021</t>
        </is>
      </c>
      <c r="B228" s="1" t="n">
        <v>44343</v>
      </c>
      <c r="C228" s="1" t="n">
        <v>45692</v>
      </c>
      <c r="D228" t="inlineStr">
        <is>
          <t>DALARNAS LÄN</t>
        </is>
      </c>
      <c r="E228" t="inlineStr">
        <is>
          <t>MORA</t>
        </is>
      </c>
      <c r="G228" t="n">
        <v>3.4</v>
      </c>
      <c r="H228" t="n">
        <v>0</v>
      </c>
      <c r="I228" t="n">
        <v>0</v>
      </c>
      <c r="J228" t="n">
        <v>0</v>
      </c>
      <c r="K228" t="n">
        <v>0</v>
      </c>
      <c r="L228" t="n">
        <v>0</v>
      </c>
      <c r="M228" t="n">
        <v>0</v>
      </c>
      <c r="N228" t="n">
        <v>0</v>
      </c>
      <c r="O228" t="n">
        <v>0</v>
      </c>
      <c r="P228" t="n">
        <v>0</v>
      </c>
      <c r="Q228" t="n">
        <v>0</v>
      </c>
      <c r="R228" s="2" t="inlineStr"/>
    </row>
    <row r="229" ht="15" customHeight="1">
      <c r="A229" t="inlineStr">
        <is>
          <t>A 26314-2021</t>
        </is>
      </c>
      <c r="B229" s="1" t="n">
        <v>44347</v>
      </c>
      <c r="C229" s="1" t="n">
        <v>45692</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29697-2021</t>
        </is>
      </c>
      <c r="B230" s="1" t="n">
        <v>44362</v>
      </c>
      <c r="C230" s="1" t="n">
        <v>45692</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30030-2021</t>
        </is>
      </c>
      <c r="B231" s="1" t="n">
        <v>44363</v>
      </c>
      <c r="C231" s="1" t="n">
        <v>45692</v>
      </c>
      <c r="D231" t="inlineStr">
        <is>
          <t>DALARNAS LÄN</t>
        </is>
      </c>
      <c r="E231" t="inlineStr">
        <is>
          <t>MORA</t>
        </is>
      </c>
      <c r="G231" t="n">
        <v>7.1</v>
      </c>
      <c r="H231" t="n">
        <v>0</v>
      </c>
      <c r="I231" t="n">
        <v>0</v>
      </c>
      <c r="J231" t="n">
        <v>0</v>
      </c>
      <c r="K231" t="n">
        <v>0</v>
      </c>
      <c r="L231" t="n">
        <v>0</v>
      </c>
      <c r="M231" t="n">
        <v>0</v>
      </c>
      <c r="N231" t="n">
        <v>0</v>
      </c>
      <c r="O231" t="n">
        <v>0</v>
      </c>
      <c r="P231" t="n">
        <v>0</v>
      </c>
      <c r="Q231" t="n">
        <v>0</v>
      </c>
      <c r="R231" s="2" t="inlineStr"/>
    </row>
    <row r="232" ht="15" customHeight="1">
      <c r="A232" t="inlineStr">
        <is>
          <t>A 30895-2021</t>
        </is>
      </c>
      <c r="B232" s="1" t="n">
        <v>44365</v>
      </c>
      <c r="C232" s="1" t="n">
        <v>45692</v>
      </c>
      <c r="D232" t="inlineStr">
        <is>
          <t>DALARNAS LÄN</t>
        </is>
      </c>
      <c r="E232" t="inlineStr">
        <is>
          <t>MORA</t>
        </is>
      </c>
      <c r="G232" t="n">
        <v>2.8</v>
      </c>
      <c r="H232" t="n">
        <v>0</v>
      </c>
      <c r="I232" t="n">
        <v>0</v>
      </c>
      <c r="J232" t="n">
        <v>0</v>
      </c>
      <c r="K232" t="n">
        <v>0</v>
      </c>
      <c r="L232" t="n">
        <v>0</v>
      </c>
      <c r="M232" t="n">
        <v>0</v>
      </c>
      <c r="N232" t="n">
        <v>0</v>
      </c>
      <c r="O232" t="n">
        <v>0</v>
      </c>
      <c r="P232" t="n">
        <v>0</v>
      </c>
      <c r="Q232" t="n">
        <v>0</v>
      </c>
      <c r="R232" s="2" t="inlineStr"/>
    </row>
    <row r="233" ht="15" customHeight="1">
      <c r="A233" t="inlineStr">
        <is>
          <t>A 30888-2021</t>
        </is>
      </c>
      <c r="B233" s="1" t="n">
        <v>44365</v>
      </c>
      <c r="C233" s="1" t="n">
        <v>45692</v>
      </c>
      <c r="D233" t="inlineStr">
        <is>
          <t>DALARNAS LÄN</t>
        </is>
      </c>
      <c r="E233" t="inlineStr">
        <is>
          <t>MORA</t>
        </is>
      </c>
      <c r="G233" t="n">
        <v>0.4</v>
      </c>
      <c r="H233" t="n">
        <v>0</v>
      </c>
      <c r="I233" t="n">
        <v>0</v>
      </c>
      <c r="J233" t="n">
        <v>0</v>
      </c>
      <c r="K233" t="n">
        <v>0</v>
      </c>
      <c r="L233" t="n">
        <v>0</v>
      </c>
      <c r="M233" t="n">
        <v>0</v>
      </c>
      <c r="N233" t="n">
        <v>0</v>
      </c>
      <c r="O233" t="n">
        <v>0</v>
      </c>
      <c r="P233" t="n">
        <v>0</v>
      </c>
      <c r="Q233" t="n">
        <v>0</v>
      </c>
      <c r="R233" s="2" t="inlineStr"/>
    </row>
    <row r="234" ht="15" customHeight="1">
      <c r="A234" t="inlineStr">
        <is>
          <t>A 30905-2021</t>
        </is>
      </c>
      <c r="B234" s="1" t="n">
        <v>44365</v>
      </c>
      <c r="C234" s="1" t="n">
        <v>45692</v>
      </c>
      <c r="D234" t="inlineStr">
        <is>
          <t>DALARNAS LÄN</t>
        </is>
      </c>
      <c r="E234" t="inlineStr">
        <is>
          <t>MORA</t>
        </is>
      </c>
      <c r="G234" t="n">
        <v>2.6</v>
      </c>
      <c r="H234" t="n">
        <v>0</v>
      </c>
      <c r="I234" t="n">
        <v>0</v>
      </c>
      <c r="J234" t="n">
        <v>0</v>
      </c>
      <c r="K234" t="n">
        <v>0</v>
      </c>
      <c r="L234" t="n">
        <v>0</v>
      </c>
      <c r="M234" t="n">
        <v>0</v>
      </c>
      <c r="N234" t="n">
        <v>0</v>
      </c>
      <c r="O234" t="n">
        <v>0</v>
      </c>
      <c r="P234" t="n">
        <v>0</v>
      </c>
      <c r="Q234" t="n">
        <v>0</v>
      </c>
      <c r="R234" s="2" t="inlineStr"/>
    </row>
    <row r="235" ht="15" customHeight="1">
      <c r="A235" t="inlineStr">
        <is>
          <t>A 31169-2021</t>
        </is>
      </c>
      <c r="B235" s="1" t="n">
        <v>44368</v>
      </c>
      <c r="C235" s="1" t="n">
        <v>45692</v>
      </c>
      <c r="D235" t="inlineStr">
        <is>
          <t>DALARNAS LÄN</t>
        </is>
      </c>
      <c r="E235" t="inlineStr">
        <is>
          <t>MORA</t>
        </is>
      </c>
      <c r="G235" t="n">
        <v>1.1</v>
      </c>
      <c r="H235" t="n">
        <v>0</v>
      </c>
      <c r="I235" t="n">
        <v>0</v>
      </c>
      <c r="J235" t="n">
        <v>0</v>
      </c>
      <c r="K235" t="n">
        <v>0</v>
      </c>
      <c r="L235" t="n">
        <v>0</v>
      </c>
      <c r="M235" t="n">
        <v>0</v>
      </c>
      <c r="N235" t="n">
        <v>0</v>
      </c>
      <c r="O235" t="n">
        <v>0</v>
      </c>
      <c r="P235" t="n">
        <v>0</v>
      </c>
      <c r="Q235" t="n">
        <v>0</v>
      </c>
      <c r="R235" s="2" t="inlineStr"/>
    </row>
    <row r="236" ht="15" customHeight="1">
      <c r="A236" t="inlineStr">
        <is>
          <t>A 31177-2021</t>
        </is>
      </c>
      <c r="B236" s="1" t="n">
        <v>44368</v>
      </c>
      <c r="C236" s="1" t="n">
        <v>45692</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31689-2021</t>
        </is>
      </c>
      <c r="B237" s="1" t="n">
        <v>44369</v>
      </c>
      <c r="C237" s="1" t="n">
        <v>45692</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31705-2021</t>
        </is>
      </c>
      <c r="B238" s="1" t="n">
        <v>44369</v>
      </c>
      <c r="C238" s="1" t="n">
        <v>45692</v>
      </c>
      <c r="D238" t="inlineStr">
        <is>
          <t>DALARNAS LÄN</t>
        </is>
      </c>
      <c r="E238" t="inlineStr">
        <is>
          <t>MORA</t>
        </is>
      </c>
      <c r="G238" t="n">
        <v>0.2</v>
      </c>
      <c r="H238" t="n">
        <v>0</v>
      </c>
      <c r="I238" t="n">
        <v>0</v>
      </c>
      <c r="J238" t="n">
        <v>0</v>
      </c>
      <c r="K238" t="n">
        <v>0</v>
      </c>
      <c r="L238" t="n">
        <v>0</v>
      </c>
      <c r="M238" t="n">
        <v>0</v>
      </c>
      <c r="N238" t="n">
        <v>0</v>
      </c>
      <c r="O238" t="n">
        <v>0</v>
      </c>
      <c r="P238" t="n">
        <v>0</v>
      </c>
      <c r="Q238" t="n">
        <v>0</v>
      </c>
      <c r="R238" s="2" t="inlineStr"/>
    </row>
    <row r="239" ht="15" customHeight="1">
      <c r="A239" t="inlineStr">
        <is>
          <t>A 34018-2021</t>
        </is>
      </c>
      <c r="B239" s="1" t="n">
        <v>44379</v>
      </c>
      <c r="C239" s="1" t="n">
        <v>45692</v>
      </c>
      <c r="D239" t="inlineStr">
        <is>
          <t>DALARNAS LÄN</t>
        </is>
      </c>
      <c r="E239" t="inlineStr">
        <is>
          <t>MORA</t>
        </is>
      </c>
      <c r="G239" t="n">
        <v>5.7</v>
      </c>
      <c r="H239" t="n">
        <v>0</v>
      </c>
      <c r="I239" t="n">
        <v>0</v>
      </c>
      <c r="J239" t="n">
        <v>0</v>
      </c>
      <c r="K239" t="n">
        <v>0</v>
      </c>
      <c r="L239" t="n">
        <v>0</v>
      </c>
      <c r="M239" t="n">
        <v>0</v>
      </c>
      <c r="N239" t="n">
        <v>0</v>
      </c>
      <c r="O239" t="n">
        <v>0</v>
      </c>
      <c r="P239" t="n">
        <v>0</v>
      </c>
      <c r="Q239" t="n">
        <v>0</v>
      </c>
      <c r="R239" s="2" t="inlineStr"/>
    </row>
    <row r="240" ht="15" customHeight="1">
      <c r="A240" t="inlineStr">
        <is>
          <t>A 34660-2021</t>
        </is>
      </c>
      <c r="B240" s="1" t="n">
        <v>44382</v>
      </c>
      <c r="C240" s="1" t="n">
        <v>45692</v>
      </c>
      <c r="D240" t="inlineStr">
        <is>
          <t>DALARNAS LÄN</t>
        </is>
      </c>
      <c r="E240" t="inlineStr">
        <is>
          <t>MORA</t>
        </is>
      </c>
      <c r="G240" t="n">
        <v>7.5</v>
      </c>
      <c r="H240" t="n">
        <v>0</v>
      </c>
      <c r="I240" t="n">
        <v>0</v>
      </c>
      <c r="J240" t="n">
        <v>0</v>
      </c>
      <c r="K240" t="n">
        <v>0</v>
      </c>
      <c r="L240" t="n">
        <v>0</v>
      </c>
      <c r="M240" t="n">
        <v>0</v>
      </c>
      <c r="N240" t="n">
        <v>0</v>
      </c>
      <c r="O240" t="n">
        <v>0</v>
      </c>
      <c r="P240" t="n">
        <v>0</v>
      </c>
      <c r="Q240" t="n">
        <v>0</v>
      </c>
      <c r="R240" s="2" t="inlineStr"/>
    </row>
    <row r="241" ht="15" customHeight="1">
      <c r="A241" t="inlineStr">
        <is>
          <t>A 34715-2021</t>
        </is>
      </c>
      <c r="B241" s="1" t="n">
        <v>44382</v>
      </c>
      <c r="C241" s="1" t="n">
        <v>45692</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34875-2021</t>
        </is>
      </c>
      <c r="B242" s="1" t="n">
        <v>44383</v>
      </c>
      <c r="C242" s="1" t="n">
        <v>45692</v>
      </c>
      <c r="D242" t="inlineStr">
        <is>
          <t>DALARNAS LÄN</t>
        </is>
      </c>
      <c r="E242" t="inlineStr">
        <is>
          <t>MORA</t>
        </is>
      </c>
      <c r="G242" t="n">
        <v>5.2</v>
      </c>
      <c r="H242" t="n">
        <v>0</v>
      </c>
      <c r="I242" t="n">
        <v>0</v>
      </c>
      <c r="J242" t="n">
        <v>0</v>
      </c>
      <c r="K242" t="n">
        <v>0</v>
      </c>
      <c r="L242" t="n">
        <v>0</v>
      </c>
      <c r="M242" t="n">
        <v>0</v>
      </c>
      <c r="N242" t="n">
        <v>0</v>
      </c>
      <c r="O242" t="n">
        <v>0</v>
      </c>
      <c r="P242" t="n">
        <v>0</v>
      </c>
      <c r="Q242" t="n">
        <v>0</v>
      </c>
      <c r="R242" s="2" t="inlineStr"/>
    </row>
    <row r="243" ht="15" customHeight="1">
      <c r="A243" t="inlineStr">
        <is>
          <t>A 35005-2021</t>
        </is>
      </c>
      <c r="B243" s="1" t="n">
        <v>44383</v>
      </c>
      <c r="C243" s="1" t="n">
        <v>45692</v>
      </c>
      <c r="D243" t="inlineStr">
        <is>
          <t>DALARNAS LÄN</t>
        </is>
      </c>
      <c r="E243" t="inlineStr">
        <is>
          <t>MORA</t>
        </is>
      </c>
      <c r="G243" t="n">
        <v>1.3</v>
      </c>
      <c r="H243" t="n">
        <v>0</v>
      </c>
      <c r="I243" t="n">
        <v>0</v>
      </c>
      <c r="J243" t="n">
        <v>0</v>
      </c>
      <c r="K243" t="n">
        <v>0</v>
      </c>
      <c r="L243" t="n">
        <v>0</v>
      </c>
      <c r="M243" t="n">
        <v>0</v>
      </c>
      <c r="N243" t="n">
        <v>0</v>
      </c>
      <c r="O243" t="n">
        <v>0</v>
      </c>
      <c r="P243" t="n">
        <v>0</v>
      </c>
      <c r="Q243" t="n">
        <v>0</v>
      </c>
      <c r="R243" s="2" t="inlineStr"/>
    </row>
    <row r="244" ht="15" customHeight="1">
      <c r="A244" t="inlineStr">
        <is>
          <t>A 36168-2021</t>
        </is>
      </c>
      <c r="B244" s="1" t="n">
        <v>44389</v>
      </c>
      <c r="C244" s="1" t="n">
        <v>45692</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36184-2021</t>
        </is>
      </c>
      <c r="B245" s="1" t="n">
        <v>44389</v>
      </c>
      <c r="C245" s="1" t="n">
        <v>45692</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36173-2021</t>
        </is>
      </c>
      <c r="B246" s="1" t="n">
        <v>44389</v>
      </c>
      <c r="C246" s="1" t="n">
        <v>45692</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38769-2021</t>
        </is>
      </c>
      <c r="B247" s="1" t="n">
        <v>44410</v>
      </c>
      <c r="C247" s="1" t="n">
        <v>45692</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39227-2021</t>
        </is>
      </c>
      <c r="B248" s="1" t="n">
        <v>44413</v>
      </c>
      <c r="C248" s="1" t="n">
        <v>45692</v>
      </c>
      <c r="D248" t="inlineStr">
        <is>
          <t>DALARNAS LÄN</t>
        </is>
      </c>
      <c r="E248" t="inlineStr">
        <is>
          <t>MORA</t>
        </is>
      </c>
      <c r="G248" t="n">
        <v>3.3</v>
      </c>
      <c r="H248" t="n">
        <v>0</v>
      </c>
      <c r="I248" t="n">
        <v>0</v>
      </c>
      <c r="J248" t="n">
        <v>0</v>
      </c>
      <c r="K248" t="n">
        <v>0</v>
      </c>
      <c r="L248" t="n">
        <v>0</v>
      </c>
      <c r="M248" t="n">
        <v>0</v>
      </c>
      <c r="N248" t="n">
        <v>0</v>
      </c>
      <c r="O248" t="n">
        <v>0</v>
      </c>
      <c r="P248" t="n">
        <v>0</v>
      </c>
      <c r="Q248" t="n">
        <v>0</v>
      </c>
      <c r="R248" s="2" t="inlineStr"/>
    </row>
    <row r="249" ht="15" customHeight="1">
      <c r="A249" t="inlineStr">
        <is>
          <t>A 39198-2021</t>
        </is>
      </c>
      <c r="B249" s="1" t="n">
        <v>44413</v>
      </c>
      <c r="C249" s="1" t="n">
        <v>45692</v>
      </c>
      <c r="D249" t="inlineStr">
        <is>
          <t>DALARNAS LÄN</t>
        </is>
      </c>
      <c r="E249" t="inlineStr">
        <is>
          <t>MORA</t>
        </is>
      </c>
      <c r="G249" t="n">
        <v>4.6</v>
      </c>
      <c r="H249" t="n">
        <v>0</v>
      </c>
      <c r="I249" t="n">
        <v>0</v>
      </c>
      <c r="J249" t="n">
        <v>0</v>
      </c>
      <c r="K249" t="n">
        <v>0</v>
      </c>
      <c r="L249" t="n">
        <v>0</v>
      </c>
      <c r="M249" t="n">
        <v>0</v>
      </c>
      <c r="N249" t="n">
        <v>0</v>
      </c>
      <c r="O249" t="n">
        <v>0</v>
      </c>
      <c r="P249" t="n">
        <v>0</v>
      </c>
      <c r="Q249" t="n">
        <v>0</v>
      </c>
      <c r="R249" s="2" t="inlineStr"/>
    </row>
    <row r="250" ht="15" customHeight="1">
      <c r="A250" t="inlineStr">
        <is>
          <t>A 39672-2021</t>
        </is>
      </c>
      <c r="B250" s="1" t="n">
        <v>44417</v>
      </c>
      <c r="C250" s="1" t="n">
        <v>45692</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41022-2021</t>
        </is>
      </c>
      <c r="B251" s="1" t="n">
        <v>44421</v>
      </c>
      <c r="C251" s="1" t="n">
        <v>45692</v>
      </c>
      <c r="D251" t="inlineStr">
        <is>
          <t>DALARNAS LÄN</t>
        </is>
      </c>
      <c r="E251" t="inlineStr">
        <is>
          <t>MORA</t>
        </is>
      </c>
      <c r="G251" t="n">
        <v>11.9</v>
      </c>
      <c r="H251" t="n">
        <v>0</v>
      </c>
      <c r="I251" t="n">
        <v>0</v>
      </c>
      <c r="J251" t="n">
        <v>0</v>
      </c>
      <c r="K251" t="n">
        <v>0</v>
      </c>
      <c r="L251" t="n">
        <v>0</v>
      </c>
      <c r="M251" t="n">
        <v>0</v>
      </c>
      <c r="N251" t="n">
        <v>0</v>
      </c>
      <c r="O251" t="n">
        <v>0</v>
      </c>
      <c r="P251" t="n">
        <v>0</v>
      </c>
      <c r="Q251" t="n">
        <v>0</v>
      </c>
      <c r="R251" s="2" t="inlineStr"/>
    </row>
    <row r="252" ht="15" customHeight="1">
      <c r="A252" t="inlineStr">
        <is>
          <t>A 41028-2021</t>
        </is>
      </c>
      <c r="B252" s="1" t="n">
        <v>44421</v>
      </c>
      <c r="C252" s="1" t="n">
        <v>45692</v>
      </c>
      <c r="D252" t="inlineStr">
        <is>
          <t>DALARNAS LÄN</t>
        </is>
      </c>
      <c r="E252" t="inlineStr">
        <is>
          <t>MORA</t>
        </is>
      </c>
      <c r="G252" t="n">
        <v>7.2</v>
      </c>
      <c r="H252" t="n">
        <v>0</v>
      </c>
      <c r="I252" t="n">
        <v>0</v>
      </c>
      <c r="J252" t="n">
        <v>0</v>
      </c>
      <c r="K252" t="n">
        <v>0</v>
      </c>
      <c r="L252" t="n">
        <v>0</v>
      </c>
      <c r="M252" t="n">
        <v>0</v>
      </c>
      <c r="N252" t="n">
        <v>0</v>
      </c>
      <c r="O252" t="n">
        <v>0</v>
      </c>
      <c r="P252" t="n">
        <v>0</v>
      </c>
      <c r="Q252" t="n">
        <v>0</v>
      </c>
      <c r="R252" s="2" t="inlineStr"/>
    </row>
    <row r="253" ht="15" customHeight="1">
      <c r="A253" t="inlineStr">
        <is>
          <t>A 41032-2021</t>
        </is>
      </c>
      <c r="B253" s="1" t="n">
        <v>44421</v>
      </c>
      <c r="C253" s="1" t="n">
        <v>45692</v>
      </c>
      <c r="D253" t="inlineStr">
        <is>
          <t>DALARNAS LÄN</t>
        </is>
      </c>
      <c r="E253" t="inlineStr">
        <is>
          <t>MORA</t>
        </is>
      </c>
      <c r="G253" t="n">
        <v>4.1</v>
      </c>
      <c r="H253" t="n">
        <v>0</v>
      </c>
      <c r="I253" t="n">
        <v>0</v>
      </c>
      <c r="J253" t="n">
        <v>0</v>
      </c>
      <c r="K253" t="n">
        <v>0</v>
      </c>
      <c r="L253" t="n">
        <v>0</v>
      </c>
      <c r="M253" t="n">
        <v>0</v>
      </c>
      <c r="N253" t="n">
        <v>0</v>
      </c>
      <c r="O253" t="n">
        <v>0</v>
      </c>
      <c r="P253" t="n">
        <v>0</v>
      </c>
      <c r="Q253" t="n">
        <v>0</v>
      </c>
      <c r="R253" s="2" t="inlineStr"/>
    </row>
    <row r="254" ht="15" customHeight="1">
      <c r="A254" t="inlineStr">
        <is>
          <t>A 41121-2021</t>
        </is>
      </c>
      <c r="B254" s="1" t="n">
        <v>44423</v>
      </c>
      <c r="C254" s="1" t="n">
        <v>45692</v>
      </c>
      <c r="D254" t="inlineStr">
        <is>
          <t>DALARNAS LÄN</t>
        </is>
      </c>
      <c r="E254" t="inlineStr">
        <is>
          <t>MORA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42508-2021</t>
        </is>
      </c>
      <c r="B255" s="1" t="n">
        <v>44427</v>
      </c>
      <c r="C255" s="1" t="n">
        <v>45692</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42505-2021</t>
        </is>
      </c>
      <c r="B256" s="1" t="n">
        <v>44427</v>
      </c>
      <c r="C256" s="1" t="n">
        <v>45692</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43458-2021</t>
        </is>
      </c>
      <c r="B257" s="1" t="n">
        <v>44432</v>
      </c>
      <c r="C257" s="1" t="n">
        <v>45692</v>
      </c>
      <c r="D257" t="inlineStr">
        <is>
          <t>DALARNAS LÄN</t>
        </is>
      </c>
      <c r="E257" t="inlineStr">
        <is>
          <t>MORA</t>
        </is>
      </c>
      <c r="G257" t="n">
        <v>2.4</v>
      </c>
      <c r="H257" t="n">
        <v>0</v>
      </c>
      <c r="I257" t="n">
        <v>0</v>
      </c>
      <c r="J257" t="n">
        <v>0</v>
      </c>
      <c r="K257" t="n">
        <v>0</v>
      </c>
      <c r="L257" t="n">
        <v>0</v>
      </c>
      <c r="M257" t="n">
        <v>0</v>
      </c>
      <c r="N257" t="n">
        <v>0</v>
      </c>
      <c r="O257" t="n">
        <v>0</v>
      </c>
      <c r="P257" t="n">
        <v>0</v>
      </c>
      <c r="Q257" t="n">
        <v>0</v>
      </c>
      <c r="R257" s="2" t="inlineStr"/>
    </row>
    <row r="258" ht="15" customHeight="1">
      <c r="A258" t="inlineStr">
        <is>
          <t>A 44307-2021</t>
        </is>
      </c>
      <c r="B258" s="1" t="n">
        <v>44435</v>
      </c>
      <c r="C258" s="1" t="n">
        <v>45692</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44426-2021</t>
        </is>
      </c>
      <c r="B259" s="1" t="n">
        <v>44435</v>
      </c>
      <c r="C259" s="1" t="n">
        <v>45692</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44756-2021</t>
        </is>
      </c>
      <c r="B260" s="1" t="n">
        <v>44438</v>
      </c>
      <c r="C260" s="1" t="n">
        <v>45692</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44769-2021</t>
        </is>
      </c>
      <c r="B261" s="1" t="n">
        <v>44438</v>
      </c>
      <c r="C261" s="1" t="n">
        <v>45692</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44765-2021</t>
        </is>
      </c>
      <c r="B262" s="1" t="n">
        <v>44438</v>
      </c>
      <c r="C262" s="1" t="n">
        <v>45692</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45453-2021</t>
        </is>
      </c>
      <c r="B263" s="1" t="n">
        <v>44440</v>
      </c>
      <c r="C263" s="1" t="n">
        <v>45692</v>
      </c>
      <c r="D263" t="inlineStr">
        <is>
          <t>DALARNAS LÄN</t>
        </is>
      </c>
      <c r="E263" t="inlineStr">
        <is>
          <t>MORA</t>
        </is>
      </c>
      <c r="G263" t="n">
        <v>2.7</v>
      </c>
      <c r="H263" t="n">
        <v>0</v>
      </c>
      <c r="I263" t="n">
        <v>0</v>
      </c>
      <c r="J263" t="n">
        <v>0</v>
      </c>
      <c r="K263" t="n">
        <v>0</v>
      </c>
      <c r="L263" t="n">
        <v>0</v>
      </c>
      <c r="M263" t="n">
        <v>0</v>
      </c>
      <c r="N263" t="n">
        <v>0</v>
      </c>
      <c r="O263" t="n">
        <v>0</v>
      </c>
      <c r="P263" t="n">
        <v>0</v>
      </c>
      <c r="Q263" t="n">
        <v>0</v>
      </c>
      <c r="R263" s="2" t="inlineStr"/>
    </row>
    <row r="264" ht="15" customHeight="1">
      <c r="A264" t="inlineStr">
        <is>
          <t>A 45765-2021</t>
        </is>
      </c>
      <c r="B264" s="1" t="n">
        <v>44441</v>
      </c>
      <c r="C264" s="1" t="n">
        <v>45692</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45770-2021</t>
        </is>
      </c>
      <c r="B265" s="1" t="n">
        <v>44441</v>
      </c>
      <c r="C265" s="1" t="n">
        <v>45692</v>
      </c>
      <c r="D265" t="inlineStr">
        <is>
          <t>DALARNAS LÄN</t>
        </is>
      </c>
      <c r="E265" t="inlineStr">
        <is>
          <t>MORA</t>
        </is>
      </c>
      <c r="G265" t="n">
        <v>23.1</v>
      </c>
      <c r="H265" t="n">
        <v>0</v>
      </c>
      <c r="I265" t="n">
        <v>0</v>
      </c>
      <c r="J265" t="n">
        <v>0</v>
      </c>
      <c r="K265" t="n">
        <v>0</v>
      </c>
      <c r="L265" t="n">
        <v>0</v>
      </c>
      <c r="M265" t="n">
        <v>0</v>
      </c>
      <c r="N265" t="n">
        <v>0</v>
      </c>
      <c r="O265" t="n">
        <v>0</v>
      </c>
      <c r="P265" t="n">
        <v>0</v>
      </c>
      <c r="Q265" t="n">
        <v>0</v>
      </c>
      <c r="R265" s="2" t="inlineStr"/>
    </row>
    <row r="266" ht="15" customHeight="1">
      <c r="A266" t="inlineStr">
        <is>
          <t>A 47477-2021</t>
        </is>
      </c>
      <c r="B266" s="1" t="n">
        <v>44447</v>
      </c>
      <c r="C266" s="1" t="n">
        <v>45692</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48000-2021</t>
        </is>
      </c>
      <c r="B267" s="1" t="n">
        <v>44449</v>
      </c>
      <c r="C267" s="1" t="n">
        <v>45692</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48354-2021</t>
        </is>
      </c>
      <c r="B268" s="1" t="n">
        <v>44451</v>
      </c>
      <c r="C268" s="1" t="n">
        <v>45692</v>
      </c>
      <c r="D268" t="inlineStr">
        <is>
          <t>DALARNAS LÄN</t>
        </is>
      </c>
      <c r="E268" t="inlineStr">
        <is>
          <t>MORA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49572-2021</t>
        </is>
      </c>
      <c r="B269" s="1" t="n">
        <v>44455</v>
      </c>
      <c r="C269" s="1" t="n">
        <v>45692</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49583-2021</t>
        </is>
      </c>
      <c r="B270" s="1" t="n">
        <v>44455</v>
      </c>
      <c r="C270" s="1" t="n">
        <v>45692</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49578-2021</t>
        </is>
      </c>
      <c r="B271" s="1" t="n">
        <v>44455</v>
      </c>
      <c r="C271" s="1" t="n">
        <v>45692</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50255-2021</t>
        </is>
      </c>
      <c r="B272" s="1" t="n">
        <v>44458</v>
      </c>
      <c r="C272" s="1" t="n">
        <v>45692</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50620-2021</t>
        </is>
      </c>
      <c r="B273" s="1" t="n">
        <v>44459</v>
      </c>
      <c r="C273" s="1" t="n">
        <v>45692</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51850-2021</t>
        </is>
      </c>
      <c r="B274" s="1" t="n">
        <v>44462</v>
      </c>
      <c r="C274" s="1" t="n">
        <v>45692</v>
      </c>
      <c r="D274" t="inlineStr">
        <is>
          <t>DALARNAS LÄN</t>
        </is>
      </c>
      <c r="E274" t="inlineStr">
        <is>
          <t>MORA</t>
        </is>
      </c>
      <c r="F274" t="inlineStr">
        <is>
          <t>Bergvik skog väst AB</t>
        </is>
      </c>
      <c r="G274" t="n">
        <v>6.1</v>
      </c>
      <c r="H274" t="n">
        <v>0</v>
      </c>
      <c r="I274" t="n">
        <v>0</v>
      </c>
      <c r="J274" t="n">
        <v>0</v>
      </c>
      <c r="K274" t="n">
        <v>0</v>
      </c>
      <c r="L274" t="n">
        <v>0</v>
      </c>
      <c r="M274" t="n">
        <v>0</v>
      </c>
      <c r="N274" t="n">
        <v>0</v>
      </c>
      <c r="O274" t="n">
        <v>0</v>
      </c>
      <c r="P274" t="n">
        <v>0</v>
      </c>
      <c r="Q274" t="n">
        <v>0</v>
      </c>
      <c r="R274" s="2" t="inlineStr"/>
    </row>
    <row r="275" ht="15" customHeight="1">
      <c r="A275" t="inlineStr">
        <is>
          <t>A 52573-2021</t>
        </is>
      </c>
      <c r="B275" s="1" t="n">
        <v>44466</v>
      </c>
      <c r="C275" s="1" t="n">
        <v>45692</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54239-2021</t>
        </is>
      </c>
      <c r="B276" s="1" t="n">
        <v>44470</v>
      </c>
      <c r="C276" s="1" t="n">
        <v>45692</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54398-2021</t>
        </is>
      </c>
      <c r="B277" s="1" t="n">
        <v>44473</v>
      </c>
      <c r="C277" s="1" t="n">
        <v>45692</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54409-2021</t>
        </is>
      </c>
      <c r="B278" s="1" t="n">
        <v>44473</v>
      </c>
      <c r="C278" s="1" t="n">
        <v>45692</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56501-2021</t>
        </is>
      </c>
      <c r="B279" s="1" t="n">
        <v>44480</v>
      </c>
      <c r="C279" s="1" t="n">
        <v>45692</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57091-2021</t>
        </is>
      </c>
      <c r="B280" s="1" t="n">
        <v>44482</v>
      </c>
      <c r="C280" s="1" t="n">
        <v>45692</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57088-2021</t>
        </is>
      </c>
      <c r="B281" s="1" t="n">
        <v>44482</v>
      </c>
      <c r="C281" s="1" t="n">
        <v>45692</v>
      </c>
      <c r="D281" t="inlineStr">
        <is>
          <t>DALARNAS LÄN</t>
        </is>
      </c>
      <c r="E281" t="inlineStr">
        <is>
          <t>MORA</t>
        </is>
      </c>
      <c r="G281" t="n">
        <v>2.2</v>
      </c>
      <c r="H281" t="n">
        <v>0</v>
      </c>
      <c r="I281" t="n">
        <v>0</v>
      </c>
      <c r="J281" t="n">
        <v>0</v>
      </c>
      <c r="K281" t="n">
        <v>0</v>
      </c>
      <c r="L281" t="n">
        <v>0</v>
      </c>
      <c r="M281" t="n">
        <v>0</v>
      </c>
      <c r="N281" t="n">
        <v>0</v>
      </c>
      <c r="O281" t="n">
        <v>0</v>
      </c>
      <c r="P281" t="n">
        <v>0</v>
      </c>
      <c r="Q281" t="n">
        <v>0</v>
      </c>
      <c r="R281" s="2" t="inlineStr"/>
    </row>
    <row r="282" ht="15" customHeight="1">
      <c r="A282" t="inlineStr">
        <is>
          <t>A 57110-2021</t>
        </is>
      </c>
      <c r="B282" s="1" t="n">
        <v>44482</v>
      </c>
      <c r="C282" s="1" t="n">
        <v>45692</v>
      </c>
      <c r="D282" t="inlineStr">
        <is>
          <t>DALARNAS LÄN</t>
        </is>
      </c>
      <c r="E282" t="inlineStr">
        <is>
          <t>MORA</t>
        </is>
      </c>
      <c r="G282" t="n">
        <v>5.4</v>
      </c>
      <c r="H282" t="n">
        <v>0</v>
      </c>
      <c r="I282" t="n">
        <v>0</v>
      </c>
      <c r="J282" t="n">
        <v>0</v>
      </c>
      <c r="K282" t="n">
        <v>0</v>
      </c>
      <c r="L282" t="n">
        <v>0</v>
      </c>
      <c r="M282" t="n">
        <v>0</v>
      </c>
      <c r="N282" t="n">
        <v>0</v>
      </c>
      <c r="O282" t="n">
        <v>0</v>
      </c>
      <c r="P282" t="n">
        <v>0</v>
      </c>
      <c r="Q282" t="n">
        <v>0</v>
      </c>
      <c r="R282" s="2" t="inlineStr"/>
    </row>
    <row r="283" ht="15" customHeight="1">
      <c r="A283" t="inlineStr">
        <is>
          <t>A 57608-2021</t>
        </is>
      </c>
      <c r="B283" s="1" t="n">
        <v>44484</v>
      </c>
      <c r="C283" s="1" t="n">
        <v>45692</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58057-2021</t>
        </is>
      </c>
      <c r="B284" s="1" t="n">
        <v>44487</v>
      </c>
      <c r="C284" s="1" t="n">
        <v>45692</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58413-2021</t>
        </is>
      </c>
      <c r="B285" s="1" t="n">
        <v>44488</v>
      </c>
      <c r="C285" s="1" t="n">
        <v>45692</v>
      </c>
      <c r="D285" t="inlineStr">
        <is>
          <t>DALARNAS LÄN</t>
        </is>
      </c>
      <c r="E285" t="inlineStr">
        <is>
          <t>MORA</t>
        </is>
      </c>
      <c r="F285" t="inlineStr">
        <is>
          <t>Bergvik skog öst AB</t>
        </is>
      </c>
      <c r="G285" t="n">
        <v>5.3</v>
      </c>
      <c r="H285" t="n">
        <v>0</v>
      </c>
      <c r="I285" t="n">
        <v>0</v>
      </c>
      <c r="J285" t="n">
        <v>0</v>
      </c>
      <c r="K285" t="n">
        <v>0</v>
      </c>
      <c r="L285" t="n">
        <v>0</v>
      </c>
      <c r="M285" t="n">
        <v>0</v>
      </c>
      <c r="N285" t="n">
        <v>0</v>
      </c>
      <c r="O285" t="n">
        <v>0</v>
      </c>
      <c r="P285" t="n">
        <v>0</v>
      </c>
      <c r="Q285" t="n">
        <v>0</v>
      </c>
      <c r="R285" s="2" t="inlineStr"/>
    </row>
    <row r="286" ht="15" customHeight="1">
      <c r="A286" t="inlineStr">
        <is>
          <t>A 60150-2021</t>
        </is>
      </c>
      <c r="B286" s="1" t="n">
        <v>44488</v>
      </c>
      <c r="C286" s="1" t="n">
        <v>45692</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58690-2021</t>
        </is>
      </c>
      <c r="B287" s="1" t="n">
        <v>44489</v>
      </c>
      <c r="C287" s="1" t="n">
        <v>45692</v>
      </c>
      <c r="D287" t="inlineStr">
        <is>
          <t>DALARNAS LÄN</t>
        </is>
      </c>
      <c r="E287" t="inlineStr">
        <is>
          <t>MORA</t>
        </is>
      </c>
      <c r="F287" t="inlineStr">
        <is>
          <t>Bergvik skog öst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58961-2021</t>
        </is>
      </c>
      <c r="B288" s="1" t="n">
        <v>44490</v>
      </c>
      <c r="C288" s="1" t="n">
        <v>45692</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59899-2021</t>
        </is>
      </c>
      <c r="B289" s="1" t="n">
        <v>44494</v>
      </c>
      <c r="C289" s="1" t="n">
        <v>45692</v>
      </c>
      <c r="D289" t="inlineStr">
        <is>
          <t>DALARNAS LÄN</t>
        </is>
      </c>
      <c r="E289" t="inlineStr">
        <is>
          <t>MORA</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60847-2021</t>
        </is>
      </c>
      <c r="B290" s="1" t="n">
        <v>44497</v>
      </c>
      <c r="C290" s="1" t="n">
        <v>45692</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63089-2021</t>
        </is>
      </c>
      <c r="B291" s="1" t="n">
        <v>44505</v>
      </c>
      <c r="C291" s="1" t="n">
        <v>45692</v>
      </c>
      <c r="D291" t="inlineStr">
        <is>
          <t>DALARNAS LÄN</t>
        </is>
      </c>
      <c r="E291" t="inlineStr">
        <is>
          <t>MORA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63088-2021</t>
        </is>
      </c>
      <c r="B292" s="1" t="n">
        <v>44505</v>
      </c>
      <c r="C292" s="1" t="n">
        <v>45692</v>
      </c>
      <c r="D292" t="inlineStr">
        <is>
          <t>DALARNAS LÄN</t>
        </is>
      </c>
      <c r="E292" t="inlineStr">
        <is>
          <t>MORA</t>
        </is>
      </c>
      <c r="F292" t="inlineStr">
        <is>
          <t>Bergvik skog väst AB</t>
        </is>
      </c>
      <c r="G292" t="n">
        <v>6.8</v>
      </c>
      <c r="H292" t="n">
        <v>0</v>
      </c>
      <c r="I292" t="n">
        <v>0</v>
      </c>
      <c r="J292" t="n">
        <v>0</v>
      </c>
      <c r="K292" t="n">
        <v>0</v>
      </c>
      <c r="L292" t="n">
        <v>0</v>
      </c>
      <c r="M292" t="n">
        <v>0</v>
      </c>
      <c r="N292" t="n">
        <v>0</v>
      </c>
      <c r="O292" t="n">
        <v>0</v>
      </c>
      <c r="P292" t="n">
        <v>0</v>
      </c>
      <c r="Q292" t="n">
        <v>0</v>
      </c>
      <c r="R292" s="2" t="inlineStr"/>
    </row>
    <row r="293" ht="15" customHeight="1">
      <c r="A293" t="inlineStr">
        <is>
          <t>A 63000-2021</t>
        </is>
      </c>
      <c r="B293" s="1" t="n">
        <v>44505</v>
      </c>
      <c r="C293" s="1" t="n">
        <v>45692</v>
      </c>
      <c r="D293" t="inlineStr">
        <is>
          <t>DALARNAS LÄN</t>
        </is>
      </c>
      <c r="E293" t="inlineStr">
        <is>
          <t>MORA</t>
        </is>
      </c>
      <c r="F293" t="inlineStr">
        <is>
          <t>Bergvik skog väst AB</t>
        </is>
      </c>
      <c r="G293" t="n">
        <v>7.3</v>
      </c>
      <c r="H293" t="n">
        <v>0</v>
      </c>
      <c r="I293" t="n">
        <v>0</v>
      </c>
      <c r="J293" t="n">
        <v>0</v>
      </c>
      <c r="K293" t="n">
        <v>0</v>
      </c>
      <c r="L293" t="n">
        <v>0</v>
      </c>
      <c r="M293" t="n">
        <v>0</v>
      </c>
      <c r="N293" t="n">
        <v>0</v>
      </c>
      <c r="O293" t="n">
        <v>0</v>
      </c>
      <c r="P293" t="n">
        <v>0</v>
      </c>
      <c r="Q293" t="n">
        <v>0</v>
      </c>
      <c r="R293" s="2" t="inlineStr"/>
    </row>
    <row r="294" ht="15" customHeight="1">
      <c r="A294" t="inlineStr">
        <is>
          <t>A 63552-2021</t>
        </is>
      </c>
      <c r="B294" s="1" t="n">
        <v>44508</v>
      </c>
      <c r="C294" s="1" t="n">
        <v>45692</v>
      </c>
      <c r="D294" t="inlineStr">
        <is>
          <t>DALARNAS LÄN</t>
        </is>
      </c>
      <c r="E294" t="inlineStr">
        <is>
          <t>MORA</t>
        </is>
      </c>
      <c r="F294" t="inlineStr">
        <is>
          <t>Bergvik skog väst AB</t>
        </is>
      </c>
      <c r="G294" t="n">
        <v>17.1</v>
      </c>
      <c r="H294" t="n">
        <v>0</v>
      </c>
      <c r="I294" t="n">
        <v>0</v>
      </c>
      <c r="J294" t="n">
        <v>0</v>
      </c>
      <c r="K294" t="n">
        <v>0</v>
      </c>
      <c r="L294" t="n">
        <v>0</v>
      </c>
      <c r="M294" t="n">
        <v>0</v>
      </c>
      <c r="N294" t="n">
        <v>0</v>
      </c>
      <c r="O294" t="n">
        <v>0</v>
      </c>
      <c r="P294" t="n">
        <v>0</v>
      </c>
      <c r="Q294" t="n">
        <v>0</v>
      </c>
      <c r="R294" s="2" t="inlineStr"/>
    </row>
    <row r="295" ht="15" customHeight="1">
      <c r="A295" t="inlineStr">
        <is>
          <t>A 63690-2021</t>
        </is>
      </c>
      <c r="B295" s="1" t="n">
        <v>44509</v>
      </c>
      <c r="C295" s="1" t="n">
        <v>45692</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65262-2021</t>
        </is>
      </c>
      <c r="B296" s="1" t="n">
        <v>44515</v>
      </c>
      <c r="C296" s="1" t="n">
        <v>45692</v>
      </c>
      <c r="D296" t="inlineStr">
        <is>
          <t>DALARNAS LÄN</t>
        </is>
      </c>
      <c r="E296" t="inlineStr">
        <is>
          <t>MORA</t>
        </is>
      </c>
      <c r="F296" t="inlineStr">
        <is>
          <t>Bergvik skog väst AB</t>
        </is>
      </c>
      <c r="G296" t="n">
        <v>2</v>
      </c>
      <c r="H296" t="n">
        <v>0</v>
      </c>
      <c r="I296" t="n">
        <v>0</v>
      </c>
      <c r="J296" t="n">
        <v>0</v>
      </c>
      <c r="K296" t="n">
        <v>0</v>
      </c>
      <c r="L296" t="n">
        <v>0</v>
      </c>
      <c r="M296" t="n">
        <v>0</v>
      </c>
      <c r="N296" t="n">
        <v>0</v>
      </c>
      <c r="O296" t="n">
        <v>0</v>
      </c>
      <c r="P296" t="n">
        <v>0</v>
      </c>
      <c r="Q296" t="n">
        <v>0</v>
      </c>
      <c r="R296" s="2" t="inlineStr"/>
    </row>
    <row r="297" ht="15" customHeight="1">
      <c r="A297" t="inlineStr">
        <is>
          <t>A 65186-2021</t>
        </is>
      </c>
      <c r="B297" s="1" t="n">
        <v>44515</v>
      </c>
      <c r="C297" s="1" t="n">
        <v>45692</v>
      </c>
      <c r="D297" t="inlineStr">
        <is>
          <t>DALARNAS LÄN</t>
        </is>
      </c>
      <c r="E297" t="inlineStr">
        <is>
          <t>MORA</t>
        </is>
      </c>
      <c r="G297" t="n">
        <v>1.4</v>
      </c>
      <c r="H297" t="n">
        <v>0</v>
      </c>
      <c r="I297" t="n">
        <v>0</v>
      </c>
      <c r="J297" t="n">
        <v>0</v>
      </c>
      <c r="K297" t="n">
        <v>0</v>
      </c>
      <c r="L297" t="n">
        <v>0</v>
      </c>
      <c r="M297" t="n">
        <v>0</v>
      </c>
      <c r="N297" t="n">
        <v>0</v>
      </c>
      <c r="O297" t="n">
        <v>0</v>
      </c>
      <c r="P297" t="n">
        <v>0</v>
      </c>
      <c r="Q297" t="n">
        <v>0</v>
      </c>
      <c r="R297" s="2" t="inlineStr"/>
    </row>
    <row r="298" ht="15" customHeight="1">
      <c r="A298" t="inlineStr">
        <is>
          <t>A 65258-2021</t>
        </is>
      </c>
      <c r="B298" s="1" t="n">
        <v>44515</v>
      </c>
      <c r="C298" s="1" t="n">
        <v>45692</v>
      </c>
      <c r="D298" t="inlineStr">
        <is>
          <t>DALARNAS LÄN</t>
        </is>
      </c>
      <c r="E298" t="inlineStr">
        <is>
          <t>MORA</t>
        </is>
      </c>
      <c r="F298" t="inlineStr">
        <is>
          <t>Bergvik skog väst AB</t>
        </is>
      </c>
      <c r="G298" t="n">
        <v>8.4</v>
      </c>
      <c r="H298" t="n">
        <v>0</v>
      </c>
      <c r="I298" t="n">
        <v>0</v>
      </c>
      <c r="J298" t="n">
        <v>0</v>
      </c>
      <c r="K298" t="n">
        <v>0</v>
      </c>
      <c r="L298" t="n">
        <v>0</v>
      </c>
      <c r="M298" t="n">
        <v>0</v>
      </c>
      <c r="N298" t="n">
        <v>0</v>
      </c>
      <c r="O298" t="n">
        <v>0</v>
      </c>
      <c r="P298" t="n">
        <v>0</v>
      </c>
      <c r="Q298" t="n">
        <v>0</v>
      </c>
      <c r="R298" s="2" t="inlineStr"/>
    </row>
    <row r="299" ht="15" customHeight="1">
      <c r="A299" t="inlineStr">
        <is>
          <t>A 65253-2021</t>
        </is>
      </c>
      <c r="B299" s="1" t="n">
        <v>44515</v>
      </c>
      <c r="C299" s="1" t="n">
        <v>45692</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65527-2021</t>
        </is>
      </c>
      <c r="B300" s="1" t="n">
        <v>44516</v>
      </c>
      <c r="C300" s="1" t="n">
        <v>45692</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65727-2021</t>
        </is>
      </c>
      <c r="B301" s="1" t="n">
        <v>44516</v>
      </c>
      <c r="C301" s="1" t="n">
        <v>45692</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66157-2021</t>
        </is>
      </c>
      <c r="B302" s="1" t="n">
        <v>44517</v>
      </c>
      <c r="C302" s="1" t="n">
        <v>45692</v>
      </c>
      <c r="D302" t="inlineStr">
        <is>
          <t>DALARNAS LÄN</t>
        </is>
      </c>
      <c r="E302" t="inlineStr">
        <is>
          <t>MORA</t>
        </is>
      </c>
      <c r="G302" t="n">
        <v>2.9</v>
      </c>
      <c r="H302" t="n">
        <v>0</v>
      </c>
      <c r="I302" t="n">
        <v>0</v>
      </c>
      <c r="J302" t="n">
        <v>0</v>
      </c>
      <c r="K302" t="n">
        <v>0</v>
      </c>
      <c r="L302" t="n">
        <v>0</v>
      </c>
      <c r="M302" t="n">
        <v>0</v>
      </c>
      <c r="N302" t="n">
        <v>0</v>
      </c>
      <c r="O302" t="n">
        <v>0</v>
      </c>
      <c r="P302" t="n">
        <v>0</v>
      </c>
      <c r="Q302" t="n">
        <v>0</v>
      </c>
      <c r="R302" s="2" t="inlineStr"/>
    </row>
    <row r="303" ht="15" customHeight="1">
      <c r="A303" t="inlineStr">
        <is>
          <t>A 66158-2021</t>
        </is>
      </c>
      <c r="B303" s="1" t="n">
        <v>44517</v>
      </c>
      <c r="C303" s="1" t="n">
        <v>45692</v>
      </c>
      <c r="D303" t="inlineStr">
        <is>
          <t>DALARNAS LÄN</t>
        </is>
      </c>
      <c r="E303" t="inlineStr">
        <is>
          <t>MORA</t>
        </is>
      </c>
      <c r="G303" t="n">
        <v>3.3</v>
      </c>
      <c r="H303" t="n">
        <v>0</v>
      </c>
      <c r="I303" t="n">
        <v>0</v>
      </c>
      <c r="J303" t="n">
        <v>0</v>
      </c>
      <c r="K303" t="n">
        <v>0</v>
      </c>
      <c r="L303" t="n">
        <v>0</v>
      </c>
      <c r="M303" t="n">
        <v>0</v>
      </c>
      <c r="N303" t="n">
        <v>0</v>
      </c>
      <c r="O303" t="n">
        <v>0</v>
      </c>
      <c r="P303" t="n">
        <v>0</v>
      </c>
      <c r="Q303" t="n">
        <v>0</v>
      </c>
      <c r="R303" s="2" t="inlineStr"/>
    </row>
    <row r="304" ht="15" customHeight="1">
      <c r="A304" t="inlineStr">
        <is>
          <t>A 66232-2021</t>
        </is>
      </c>
      <c r="B304" s="1" t="n">
        <v>44518</v>
      </c>
      <c r="C304" s="1" t="n">
        <v>45692</v>
      </c>
      <c r="D304" t="inlineStr">
        <is>
          <t>DALARNAS LÄN</t>
        </is>
      </c>
      <c r="E304" t="inlineStr">
        <is>
          <t>MORA</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66639-2021</t>
        </is>
      </c>
      <c r="B305" s="1" t="n">
        <v>44519</v>
      </c>
      <c r="C305" s="1" t="n">
        <v>45692</v>
      </c>
      <c r="D305" t="inlineStr">
        <is>
          <t>DALARNAS LÄN</t>
        </is>
      </c>
      <c r="E305" t="inlineStr">
        <is>
          <t>MORA</t>
        </is>
      </c>
      <c r="G305" t="n">
        <v>10</v>
      </c>
      <c r="H305" t="n">
        <v>0</v>
      </c>
      <c r="I305" t="n">
        <v>0</v>
      </c>
      <c r="J305" t="n">
        <v>0</v>
      </c>
      <c r="K305" t="n">
        <v>0</v>
      </c>
      <c r="L305" t="n">
        <v>0</v>
      </c>
      <c r="M305" t="n">
        <v>0</v>
      </c>
      <c r="N305" t="n">
        <v>0</v>
      </c>
      <c r="O305" t="n">
        <v>0</v>
      </c>
      <c r="P305" t="n">
        <v>0</v>
      </c>
      <c r="Q305" t="n">
        <v>0</v>
      </c>
      <c r="R305" s="2" t="inlineStr"/>
    </row>
    <row r="306" ht="15" customHeight="1">
      <c r="A306" t="inlineStr">
        <is>
          <t>A 67045-2021</t>
        </is>
      </c>
      <c r="B306" s="1" t="n">
        <v>44522</v>
      </c>
      <c r="C306" s="1" t="n">
        <v>45692</v>
      </c>
      <c r="D306" t="inlineStr">
        <is>
          <t>DALARNAS LÄN</t>
        </is>
      </c>
      <c r="E306" t="inlineStr">
        <is>
          <t>MORA</t>
        </is>
      </c>
      <c r="G306" t="n">
        <v>0.2</v>
      </c>
      <c r="H306" t="n">
        <v>0</v>
      </c>
      <c r="I306" t="n">
        <v>0</v>
      </c>
      <c r="J306" t="n">
        <v>0</v>
      </c>
      <c r="K306" t="n">
        <v>0</v>
      </c>
      <c r="L306" t="n">
        <v>0</v>
      </c>
      <c r="M306" t="n">
        <v>0</v>
      </c>
      <c r="N306" t="n">
        <v>0</v>
      </c>
      <c r="O306" t="n">
        <v>0</v>
      </c>
      <c r="P306" t="n">
        <v>0</v>
      </c>
      <c r="Q306" t="n">
        <v>0</v>
      </c>
      <c r="R306" s="2" t="inlineStr"/>
    </row>
    <row r="307" ht="15" customHeight="1">
      <c r="A307" t="inlineStr">
        <is>
          <t>A 67125-2021</t>
        </is>
      </c>
      <c r="B307" s="1" t="n">
        <v>44523</v>
      </c>
      <c r="C307" s="1" t="n">
        <v>45692</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67316-2021</t>
        </is>
      </c>
      <c r="B308" s="1" t="n">
        <v>44523</v>
      </c>
      <c r="C308" s="1" t="n">
        <v>45692</v>
      </c>
      <c r="D308" t="inlineStr">
        <is>
          <t>DALARNAS LÄN</t>
        </is>
      </c>
      <c r="E308" t="inlineStr">
        <is>
          <t>MORA</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67318-2021</t>
        </is>
      </c>
      <c r="B309" s="1" t="n">
        <v>44523</v>
      </c>
      <c r="C309" s="1" t="n">
        <v>45692</v>
      </c>
      <c r="D309" t="inlineStr">
        <is>
          <t>DALARNAS LÄN</t>
        </is>
      </c>
      <c r="E309" t="inlineStr">
        <is>
          <t>MORA</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67932-2021</t>
        </is>
      </c>
      <c r="B310" s="1" t="n">
        <v>44525</v>
      </c>
      <c r="C310" s="1" t="n">
        <v>45692</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68415-2021</t>
        </is>
      </c>
      <c r="B311" s="1" t="n">
        <v>44529</v>
      </c>
      <c r="C311" s="1" t="n">
        <v>45692</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68966-2021</t>
        </is>
      </c>
      <c r="B312" s="1" t="n">
        <v>44530</v>
      </c>
      <c r="C312" s="1" t="n">
        <v>45692</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69483-2021</t>
        </is>
      </c>
      <c r="B313" s="1" t="n">
        <v>44531</v>
      </c>
      <c r="C313" s="1" t="n">
        <v>45692</v>
      </c>
      <c r="D313" t="inlineStr">
        <is>
          <t>DALARNAS LÄN</t>
        </is>
      </c>
      <c r="E313" t="inlineStr">
        <is>
          <t>MORA</t>
        </is>
      </c>
      <c r="G313" t="n">
        <v>1.5</v>
      </c>
      <c r="H313" t="n">
        <v>0</v>
      </c>
      <c r="I313" t="n">
        <v>0</v>
      </c>
      <c r="J313" t="n">
        <v>0</v>
      </c>
      <c r="K313" t="n">
        <v>0</v>
      </c>
      <c r="L313" t="n">
        <v>0</v>
      </c>
      <c r="M313" t="n">
        <v>0</v>
      </c>
      <c r="N313" t="n">
        <v>0</v>
      </c>
      <c r="O313" t="n">
        <v>0</v>
      </c>
      <c r="P313" t="n">
        <v>0</v>
      </c>
      <c r="Q313" t="n">
        <v>0</v>
      </c>
      <c r="R313" s="2" t="inlineStr"/>
    </row>
    <row r="314" ht="15" customHeight="1">
      <c r="A314" t="inlineStr">
        <is>
          <t>A 70065-2021</t>
        </is>
      </c>
      <c r="B314" s="1" t="n">
        <v>44533</v>
      </c>
      <c r="C314" s="1" t="n">
        <v>45692</v>
      </c>
      <c r="D314" t="inlineStr">
        <is>
          <t>DALARNAS LÄN</t>
        </is>
      </c>
      <c r="E314" t="inlineStr">
        <is>
          <t>MORA</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70141-2021</t>
        </is>
      </c>
      <c r="B315" s="1" t="n">
        <v>44533</v>
      </c>
      <c r="C315" s="1" t="n">
        <v>45692</v>
      </c>
      <c r="D315" t="inlineStr">
        <is>
          <t>DALARNAS LÄN</t>
        </is>
      </c>
      <c r="E315" t="inlineStr">
        <is>
          <t>MORA</t>
        </is>
      </c>
      <c r="G315" t="n">
        <v>4.1</v>
      </c>
      <c r="H315" t="n">
        <v>0</v>
      </c>
      <c r="I315" t="n">
        <v>0</v>
      </c>
      <c r="J315" t="n">
        <v>0</v>
      </c>
      <c r="K315" t="n">
        <v>0</v>
      </c>
      <c r="L315" t="n">
        <v>0</v>
      </c>
      <c r="M315" t="n">
        <v>0</v>
      </c>
      <c r="N315" t="n">
        <v>0</v>
      </c>
      <c r="O315" t="n">
        <v>0</v>
      </c>
      <c r="P315" t="n">
        <v>0</v>
      </c>
      <c r="Q315" t="n">
        <v>0</v>
      </c>
      <c r="R315" s="2" t="inlineStr"/>
    </row>
    <row r="316" ht="15" customHeight="1">
      <c r="A316" t="inlineStr">
        <is>
          <t>A 71702-2021</t>
        </is>
      </c>
      <c r="B316" s="1" t="n">
        <v>44543</v>
      </c>
      <c r="C316" s="1" t="n">
        <v>45692</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72333-2021</t>
        </is>
      </c>
      <c r="B317" s="1" t="n">
        <v>44545</v>
      </c>
      <c r="C317" s="1" t="n">
        <v>45692</v>
      </c>
      <c r="D317" t="inlineStr">
        <is>
          <t>DALARNAS LÄN</t>
        </is>
      </c>
      <c r="E317" t="inlineStr">
        <is>
          <t>MORA</t>
        </is>
      </c>
      <c r="F317" t="inlineStr">
        <is>
          <t>Allmännings- och besparingsskogar</t>
        </is>
      </c>
      <c r="G317" t="n">
        <v>0.6</v>
      </c>
      <c r="H317" t="n">
        <v>0</v>
      </c>
      <c r="I317" t="n">
        <v>0</v>
      </c>
      <c r="J317" t="n">
        <v>0</v>
      </c>
      <c r="K317" t="n">
        <v>0</v>
      </c>
      <c r="L317" t="n">
        <v>0</v>
      </c>
      <c r="M317" t="n">
        <v>0</v>
      </c>
      <c r="N317" t="n">
        <v>0</v>
      </c>
      <c r="O317" t="n">
        <v>0</v>
      </c>
      <c r="P317" t="n">
        <v>0</v>
      </c>
      <c r="Q317" t="n">
        <v>0</v>
      </c>
      <c r="R317" s="2" t="inlineStr"/>
    </row>
    <row r="318" ht="15" customHeight="1">
      <c r="A318" t="inlineStr">
        <is>
          <t>A 72439-2021</t>
        </is>
      </c>
      <c r="B318" s="1" t="n">
        <v>44545</v>
      </c>
      <c r="C318" s="1" t="n">
        <v>45692</v>
      </c>
      <c r="D318" t="inlineStr">
        <is>
          <t>DALARNAS LÄN</t>
        </is>
      </c>
      <c r="E318" t="inlineStr">
        <is>
          <t>MORA</t>
        </is>
      </c>
      <c r="F318" t="inlineStr">
        <is>
          <t>Allmännings- och besparingsskogar</t>
        </is>
      </c>
      <c r="G318" t="n">
        <v>8.5</v>
      </c>
      <c r="H318" t="n">
        <v>0</v>
      </c>
      <c r="I318" t="n">
        <v>0</v>
      </c>
      <c r="J318" t="n">
        <v>0</v>
      </c>
      <c r="K318" t="n">
        <v>0</v>
      </c>
      <c r="L318" t="n">
        <v>0</v>
      </c>
      <c r="M318" t="n">
        <v>0</v>
      </c>
      <c r="N318" t="n">
        <v>0</v>
      </c>
      <c r="O318" t="n">
        <v>0</v>
      </c>
      <c r="P318" t="n">
        <v>0</v>
      </c>
      <c r="Q318" t="n">
        <v>0</v>
      </c>
      <c r="R318" s="2" t="inlineStr"/>
    </row>
    <row r="319" ht="15" customHeight="1">
      <c r="A319" t="inlineStr">
        <is>
          <t>A 72780-2021</t>
        </is>
      </c>
      <c r="B319" s="1" t="n">
        <v>44545</v>
      </c>
      <c r="C319" s="1" t="n">
        <v>45692</v>
      </c>
      <c r="D319" t="inlineStr">
        <is>
          <t>DALARNAS LÄN</t>
        </is>
      </c>
      <c r="E319" t="inlineStr">
        <is>
          <t>MORA</t>
        </is>
      </c>
      <c r="F319" t="inlineStr">
        <is>
          <t>Allmännings- och besparingsskogar</t>
        </is>
      </c>
      <c r="G319" t="n">
        <v>1</v>
      </c>
      <c r="H319" t="n">
        <v>0</v>
      </c>
      <c r="I319" t="n">
        <v>0</v>
      </c>
      <c r="J319" t="n">
        <v>0</v>
      </c>
      <c r="K319" t="n">
        <v>0</v>
      </c>
      <c r="L319" t="n">
        <v>0</v>
      </c>
      <c r="M319" t="n">
        <v>0</v>
      </c>
      <c r="N319" t="n">
        <v>0</v>
      </c>
      <c r="O319" t="n">
        <v>0</v>
      </c>
      <c r="P319" t="n">
        <v>0</v>
      </c>
      <c r="Q319" t="n">
        <v>0</v>
      </c>
      <c r="R319" s="2" t="inlineStr"/>
    </row>
    <row r="320" ht="15" customHeight="1">
      <c r="A320" t="inlineStr">
        <is>
          <t>A 72659-2021</t>
        </is>
      </c>
      <c r="B320" s="1" t="n">
        <v>44546</v>
      </c>
      <c r="C320" s="1" t="n">
        <v>45692</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72648-2021</t>
        </is>
      </c>
      <c r="B321" s="1" t="n">
        <v>44546</v>
      </c>
      <c r="C321" s="1" t="n">
        <v>45692</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72915-2021</t>
        </is>
      </c>
      <c r="B322" s="1" t="n">
        <v>44547</v>
      </c>
      <c r="C322" s="1" t="n">
        <v>45692</v>
      </c>
      <c r="D322" t="inlineStr">
        <is>
          <t>DALARNAS LÄN</t>
        </is>
      </c>
      <c r="E322" t="inlineStr">
        <is>
          <t>MORA</t>
        </is>
      </c>
      <c r="F322" t="inlineStr">
        <is>
          <t>Allmännings- och besparingsskogar</t>
        </is>
      </c>
      <c r="G322" t="n">
        <v>38.5</v>
      </c>
      <c r="H322" t="n">
        <v>0</v>
      </c>
      <c r="I322" t="n">
        <v>0</v>
      </c>
      <c r="J322" t="n">
        <v>0</v>
      </c>
      <c r="K322" t="n">
        <v>0</v>
      </c>
      <c r="L322" t="n">
        <v>0</v>
      </c>
      <c r="M322" t="n">
        <v>0</v>
      </c>
      <c r="N322" t="n">
        <v>0</v>
      </c>
      <c r="O322" t="n">
        <v>0</v>
      </c>
      <c r="P322" t="n">
        <v>0</v>
      </c>
      <c r="Q322" t="n">
        <v>0</v>
      </c>
      <c r="R322" s="2" t="inlineStr"/>
    </row>
    <row r="323" ht="15" customHeight="1">
      <c r="A323" t="inlineStr">
        <is>
          <t>A 73930-2021</t>
        </is>
      </c>
      <c r="B323" s="1" t="n">
        <v>44553</v>
      </c>
      <c r="C323" s="1" t="n">
        <v>45692</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111-2022</t>
        </is>
      </c>
      <c r="B324" s="1" t="n">
        <v>44564</v>
      </c>
      <c r="C324" s="1" t="n">
        <v>45692</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2277-2022</t>
        </is>
      </c>
      <c r="B325" s="1" t="n">
        <v>44578</v>
      </c>
      <c r="C325" s="1" t="n">
        <v>45692</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2247-2022</t>
        </is>
      </c>
      <c r="B326" s="1" t="n">
        <v>44578</v>
      </c>
      <c r="C326" s="1" t="n">
        <v>45692</v>
      </c>
      <c r="D326" t="inlineStr">
        <is>
          <t>DALARNAS LÄN</t>
        </is>
      </c>
      <c r="E326" t="inlineStr">
        <is>
          <t>MORA</t>
        </is>
      </c>
      <c r="G326" t="n">
        <v>1.8</v>
      </c>
      <c r="H326" t="n">
        <v>0</v>
      </c>
      <c r="I326" t="n">
        <v>0</v>
      </c>
      <c r="J326" t="n">
        <v>0</v>
      </c>
      <c r="K326" t="n">
        <v>0</v>
      </c>
      <c r="L326" t="n">
        <v>0</v>
      </c>
      <c r="M326" t="n">
        <v>0</v>
      </c>
      <c r="N326" t="n">
        <v>0</v>
      </c>
      <c r="O326" t="n">
        <v>0</v>
      </c>
      <c r="P326" t="n">
        <v>0</v>
      </c>
      <c r="Q326" t="n">
        <v>0</v>
      </c>
      <c r="R326" s="2" t="inlineStr"/>
    </row>
    <row r="327" ht="15" customHeight="1">
      <c r="A327" t="inlineStr">
        <is>
          <t>A 2865-2022</t>
        </is>
      </c>
      <c r="B327" s="1" t="n">
        <v>44581</v>
      </c>
      <c r="C327" s="1" t="n">
        <v>45692</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2879-2022</t>
        </is>
      </c>
      <c r="B328" s="1" t="n">
        <v>44581</v>
      </c>
      <c r="C328" s="1" t="n">
        <v>45692</v>
      </c>
      <c r="D328" t="inlineStr">
        <is>
          <t>DALARNAS LÄN</t>
        </is>
      </c>
      <c r="E328" t="inlineStr">
        <is>
          <t>MORA</t>
        </is>
      </c>
      <c r="G328" t="n">
        <v>2.3</v>
      </c>
      <c r="H328" t="n">
        <v>0</v>
      </c>
      <c r="I328" t="n">
        <v>0</v>
      </c>
      <c r="J328" t="n">
        <v>0</v>
      </c>
      <c r="K328" t="n">
        <v>0</v>
      </c>
      <c r="L328" t="n">
        <v>0</v>
      </c>
      <c r="M328" t="n">
        <v>0</v>
      </c>
      <c r="N328" t="n">
        <v>0</v>
      </c>
      <c r="O328" t="n">
        <v>0</v>
      </c>
      <c r="P328" t="n">
        <v>0</v>
      </c>
      <c r="Q328" t="n">
        <v>0</v>
      </c>
      <c r="R328" s="2" t="inlineStr"/>
    </row>
    <row r="329" ht="15" customHeight="1">
      <c r="A329" t="inlineStr">
        <is>
          <t>A 4489-2022</t>
        </is>
      </c>
      <c r="B329" s="1" t="n">
        <v>44589</v>
      </c>
      <c r="C329" s="1" t="n">
        <v>45692</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4488-2022</t>
        </is>
      </c>
      <c r="B330" s="1" t="n">
        <v>44589</v>
      </c>
      <c r="C330" s="1" t="n">
        <v>45692</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6371-2022</t>
        </is>
      </c>
      <c r="B331" s="1" t="n">
        <v>44600</v>
      </c>
      <c r="C331" s="1" t="n">
        <v>45692</v>
      </c>
      <c r="D331" t="inlineStr">
        <is>
          <t>DALARNAS LÄN</t>
        </is>
      </c>
      <c r="E331" t="inlineStr">
        <is>
          <t>MORA</t>
        </is>
      </c>
      <c r="G331" t="n">
        <v>4.6</v>
      </c>
      <c r="H331" t="n">
        <v>0</v>
      </c>
      <c r="I331" t="n">
        <v>0</v>
      </c>
      <c r="J331" t="n">
        <v>0</v>
      </c>
      <c r="K331" t="n">
        <v>0</v>
      </c>
      <c r="L331" t="n">
        <v>0</v>
      </c>
      <c r="M331" t="n">
        <v>0</v>
      </c>
      <c r="N331" t="n">
        <v>0</v>
      </c>
      <c r="O331" t="n">
        <v>0</v>
      </c>
      <c r="P331" t="n">
        <v>0</v>
      </c>
      <c r="Q331" t="n">
        <v>0</v>
      </c>
      <c r="R331" s="2" t="inlineStr"/>
    </row>
    <row r="332" ht="15" customHeight="1">
      <c r="A332" t="inlineStr">
        <is>
          <t>A 6574-2022</t>
        </is>
      </c>
      <c r="B332" s="1" t="n">
        <v>44601</v>
      </c>
      <c r="C332" s="1" t="n">
        <v>45692</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6572-2022</t>
        </is>
      </c>
      <c r="B333" s="1" t="n">
        <v>44601</v>
      </c>
      <c r="C333" s="1" t="n">
        <v>45692</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8051-2022</t>
        </is>
      </c>
      <c r="B334" s="1" t="n">
        <v>44608</v>
      </c>
      <c r="C334" s="1" t="n">
        <v>45692</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8138-2022</t>
        </is>
      </c>
      <c r="B335" s="1" t="n">
        <v>44609</v>
      </c>
      <c r="C335" s="1" t="n">
        <v>45692</v>
      </c>
      <c r="D335" t="inlineStr">
        <is>
          <t>DALARNAS LÄN</t>
        </is>
      </c>
      <c r="E335" t="inlineStr">
        <is>
          <t>MORA</t>
        </is>
      </c>
      <c r="G335" t="n">
        <v>5</v>
      </c>
      <c r="H335" t="n">
        <v>0</v>
      </c>
      <c r="I335" t="n">
        <v>0</v>
      </c>
      <c r="J335" t="n">
        <v>0</v>
      </c>
      <c r="K335" t="n">
        <v>0</v>
      </c>
      <c r="L335" t="n">
        <v>0</v>
      </c>
      <c r="M335" t="n">
        <v>0</v>
      </c>
      <c r="N335" t="n">
        <v>0</v>
      </c>
      <c r="O335" t="n">
        <v>0</v>
      </c>
      <c r="P335" t="n">
        <v>0</v>
      </c>
      <c r="Q335" t="n">
        <v>0</v>
      </c>
      <c r="R335" s="2" t="inlineStr"/>
    </row>
    <row r="336" ht="15" customHeight="1">
      <c r="A336" t="inlineStr">
        <is>
          <t>A 8145-2022</t>
        </is>
      </c>
      <c r="B336" s="1" t="n">
        <v>44609</v>
      </c>
      <c r="C336" s="1" t="n">
        <v>45692</v>
      </c>
      <c r="D336" t="inlineStr">
        <is>
          <t>DALARNAS LÄN</t>
        </is>
      </c>
      <c r="E336" t="inlineStr">
        <is>
          <t>MORA</t>
        </is>
      </c>
      <c r="G336" t="n">
        <v>7.3</v>
      </c>
      <c r="H336" t="n">
        <v>0</v>
      </c>
      <c r="I336" t="n">
        <v>0</v>
      </c>
      <c r="J336" t="n">
        <v>0</v>
      </c>
      <c r="K336" t="n">
        <v>0</v>
      </c>
      <c r="L336" t="n">
        <v>0</v>
      </c>
      <c r="M336" t="n">
        <v>0</v>
      </c>
      <c r="N336" t="n">
        <v>0</v>
      </c>
      <c r="O336" t="n">
        <v>0</v>
      </c>
      <c r="P336" t="n">
        <v>0</v>
      </c>
      <c r="Q336" t="n">
        <v>0</v>
      </c>
      <c r="R336" s="2" t="inlineStr"/>
    </row>
    <row r="337" ht="15" customHeight="1">
      <c r="A337" t="inlineStr">
        <is>
          <t>A 8546-2022</t>
        </is>
      </c>
      <c r="B337" s="1" t="n">
        <v>44613</v>
      </c>
      <c r="C337" s="1" t="n">
        <v>45692</v>
      </c>
      <c r="D337" t="inlineStr">
        <is>
          <t>DALARNAS LÄN</t>
        </is>
      </c>
      <c r="E337" t="inlineStr">
        <is>
          <t>MORA</t>
        </is>
      </c>
      <c r="G337" t="n">
        <v>2.6</v>
      </c>
      <c r="H337" t="n">
        <v>0</v>
      </c>
      <c r="I337" t="n">
        <v>0</v>
      </c>
      <c r="J337" t="n">
        <v>0</v>
      </c>
      <c r="K337" t="n">
        <v>0</v>
      </c>
      <c r="L337" t="n">
        <v>0</v>
      </c>
      <c r="M337" t="n">
        <v>0</v>
      </c>
      <c r="N337" t="n">
        <v>0</v>
      </c>
      <c r="O337" t="n">
        <v>0</v>
      </c>
      <c r="P337" t="n">
        <v>0</v>
      </c>
      <c r="Q337" t="n">
        <v>0</v>
      </c>
      <c r="R337" s="2" t="inlineStr"/>
    </row>
    <row r="338" ht="15" customHeight="1">
      <c r="A338" t="inlineStr">
        <is>
          <t>A 9034-2022</t>
        </is>
      </c>
      <c r="B338" s="1" t="n">
        <v>44615</v>
      </c>
      <c r="C338" s="1" t="n">
        <v>45692</v>
      </c>
      <c r="D338" t="inlineStr">
        <is>
          <t>DALARNAS LÄN</t>
        </is>
      </c>
      <c r="E338" t="inlineStr">
        <is>
          <t>MORA</t>
        </is>
      </c>
      <c r="G338" t="n">
        <v>3.5</v>
      </c>
      <c r="H338" t="n">
        <v>0</v>
      </c>
      <c r="I338" t="n">
        <v>0</v>
      </c>
      <c r="J338" t="n">
        <v>0</v>
      </c>
      <c r="K338" t="n">
        <v>0</v>
      </c>
      <c r="L338" t="n">
        <v>0</v>
      </c>
      <c r="M338" t="n">
        <v>0</v>
      </c>
      <c r="N338" t="n">
        <v>0</v>
      </c>
      <c r="O338" t="n">
        <v>0</v>
      </c>
      <c r="P338" t="n">
        <v>0</v>
      </c>
      <c r="Q338" t="n">
        <v>0</v>
      </c>
      <c r="R338" s="2" t="inlineStr"/>
    </row>
    <row r="339" ht="15" customHeight="1">
      <c r="A339" t="inlineStr">
        <is>
          <t>A 9599-2022</t>
        </is>
      </c>
      <c r="B339" s="1" t="n">
        <v>44617</v>
      </c>
      <c r="C339" s="1" t="n">
        <v>45692</v>
      </c>
      <c r="D339" t="inlineStr">
        <is>
          <t>DALARNAS LÄN</t>
        </is>
      </c>
      <c r="E339" t="inlineStr">
        <is>
          <t>MORA</t>
        </is>
      </c>
      <c r="G339" t="n">
        <v>2.1</v>
      </c>
      <c r="H339" t="n">
        <v>0</v>
      </c>
      <c r="I339" t="n">
        <v>0</v>
      </c>
      <c r="J339" t="n">
        <v>0</v>
      </c>
      <c r="K339" t="n">
        <v>0</v>
      </c>
      <c r="L339" t="n">
        <v>0</v>
      </c>
      <c r="M339" t="n">
        <v>0</v>
      </c>
      <c r="N339" t="n">
        <v>0</v>
      </c>
      <c r="O339" t="n">
        <v>0</v>
      </c>
      <c r="P339" t="n">
        <v>0</v>
      </c>
      <c r="Q339" t="n">
        <v>0</v>
      </c>
      <c r="R339" s="2" t="inlineStr"/>
    </row>
    <row r="340" ht="15" customHeight="1">
      <c r="A340" t="inlineStr">
        <is>
          <t>A 9843-2022</t>
        </is>
      </c>
      <c r="B340" s="1" t="n">
        <v>44620</v>
      </c>
      <c r="C340" s="1" t="n">
        <v>45692</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11337-2022</t>
        </is>
      </c>
      <c r="B341" s="1" t="n">
        <v>44630</v>
      </c>
      <c r="C341" s="1" t="n">
        <v>45692</v>
      </c>
      <c r="D341" t="inlineStr">
        <is>
          <t>DALARNAS LÄN</t>
        </is>
      </c>
      <c r="E341" t="inlineStr">
        <is>
          <t>MORA</t>
        </is>
      </c>
      <c r="G341" t="n">
        <v>6.6</v>
      </c>
      <c r="H341" t="n">
        <v>0</v>
      </c>
      <c r="I341" t="n">
        <v>0</v>
      </c>
      <c r="J341" t="n">
        <v>0</v>
      </c>
      <c r="K341" t="n">
        <v>0</v>
      </c>
      <c r="L341" t="n">
        <v>0</v>
      </c>
      <c r="M341" t="n">
        <v>0</v>
      </c>
      <c r="N341" t="n">
        <v>0</v>
      </c>
      <c r="O341" t="n">
        <v>0</v>
      </c>
      <c r="P341" t="n">
        <v>0</v>
      </c>
      <c r="Q341" t="n">
        <v>0</v>
      </c>
      <c r="R341" s="2" t="inlineStr"/>
    </row>
    <row r="342" ht="15" customHeight="1">
      <c r="A342" t="inlineStr">
        <is>
          <t>A 11442-2022</t>
        </is>
      </c>
      <c r="B342" s="1" t="n">
        <v>44630</v>
      </c>
      <c r="C342" s="1" t="n">
        <v>45692</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12096-2022</t>
        </is>
      </c>
      <c r="B343" s="1" t="n">
        <v>44636</v>
      </c>
      <c r="C343" s="1" t="n">
        <v>45692</v>
      </c>
      <c r="D343" t="inlineStr">
        <is>
          <t>DALARNAS LÄN</t>
        </is>
      </c>
      <c r="E343" t="inlineStr">
        <is>
          <t>MORA</t>
        </is>
      </c>
      <c r="G343" t="n">
        <v>9</v>
      </c>
      <c r="H343" t="n">
        <v>0</v>
      </c>
      <c r="I343" t="n">
        <v>0</v>
      </c>
      <c r="J343" t="n">
        <v>0</v>
      </c>
      <c r="K343" t="n">
        <v>0</v>
      </c>
      <c r="L343" t="n">
        <v>0</v>
      </c>
      <c r="M343" t="n">
        <v>0</v>
      </c>
      <c r="N343" t="n">
        <v>0</v>
      </c>
      <c r="O343" t="n">
        <v>0</v>
      </c>
      <c r="P343" t="n">
        <v>0</v>
      </c>
      <c r="Q343" t="n">
        <v>0</v>
      </c>
      <c r="R343" s="2" t="inlineStr"/>
    </row>
    <row r="344" ht="15" customHeight="1">
      <c r="A344" t="inlineStr">
        <is>
          <t>A 12920-2022</t>
        </is>
      </c>
      <c r="B344" s="1" t="n">
        <v>44642</v>
      </c>
      <c r="C344" s="1" t="n">
        <v>45692</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13262-2022</t>
        </is>
      </c>
      <c r="B345" s="1" t="n">
        <v>44644</v>
      </c>
      <c r="C345" s="1" t="n">
        <v>45692</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13350-2022</t>
        </is>
      </c>
      <c r="B346" s="1" t="n">
        <v>44645</v>
      </c>
      <c r="C346" s="1" t="n">
        <v>45692</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14738-2022</t>
        </is>
      </c>
      <c r="B347" s="1" t="n">
        <v>44656</v>
      </c>
      <c r="C347" s="1" t="n">
        <v>45692</v>
      </c>
      <c r="D347" t="inlineStr">
        <is>
          <t>DALARNAS LÄN</t>
        </is>
      </c>
      <c r="E347" t="inlineStr">
        <is>
          <t>MORA</t>
        </is>
      </c>
      <c r="G347" t="n">
        <v>5.6</v>
      </c>
      <c r="H347" t="n">
        <v>0</v>
      </c>
      <c r="I347" t="n">
        <v>0</v>
      </c>
      <c r="J347" t="n">
        <v>0</v>
      </c>
      <c r="K347" t="n">
        <v>0</v>
      </c>
      <c r="L347" t="n">
        <v>0</v>
      </c>
      <c r="M347" t="n">
        <v>0</v>
      </c>
      <c r="N347" t="n">
        <v>0</v>
      </c>
      <c r="O347" t="n">
        <v>0</v>
      </c>
      <c r="P347" t="n">
        <v>0</v>
      </c>
      <c r="Q347" t="n">
        <v>0</v>
      </c>
      <c r="R347" s="2" t="inlineStr"/>
    </row>
    <row r="348" ht="15" customHeight="1">
      <c r="A348" t="inlineStr">
        <is>
          <t>A 14744-2022</t>
        </is>
      </c>
      <c r="B348" s="1" t="n">
        <v>44656</v>
      </c>
      <c r="C348" s="1" t="n">
        <v>45692</v>
      </c>
      <c r="D348" t="inlineStr">
        <is>
          <t>DALARNAS LÄN</t>
        </is>
      </c>
      <c r="E348" t="inlineStr">
        <is>
          <t>MORA</t>
        </is>
      </c>
      <c r="G348" t="n">
        <v>1.9</v>
      </c>
      <c r="H348" t="n">
        <v>0</v>
      </c>
      <c r="I348" t="n">
        <v>0</v>
      </c>
      <c r="J348" t="n">
        <v>0</v>
      </c>
      <c r="K348" t="n">
        <v>0</v>
      </c>
      <c r="L348" t="n">
        <v>0</v>
      </c>
      <c r="M348" t="n">
        <v>0</v>
      </c>
      <c r="N348" t="n">
        <v>0</v>
      </c>
      <c r="O348" t="n">
        <v>0</v>
      </c>
      <c r="P348" t="n">
        <v>0</v>
      </c>
      <c r="Q348" t="n">
        <v>0</v>
      </c>
      <c r="R348" s="2" t="inlineStr"/>
    </row>
    <row r="349" ht="15" customHeight="1">
      <c r="A349" t="inlineStr">
        <is>
          <t>A 15128-2022</t>
        </is>
      </c>
      <c r="B349" s="1" t="n">
        <v>44658</v>
      </c>
      <c r="C349" s="1" t="n">
        <v>45692</v>
      </c>
      <c r="D349" t="inlineStr">
        <is>
          <t>DALARNAS LÄN</t>
        </is>
      </c>
      <c r="E349" t="inlineStr">
        <is>
          <t>MORA</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15127-2022</t>
        </is>
      </c>
      <c r="B350" s="1" t="n">
        <v>44658</v>
      </c>
      <c r="C350" s="1" t="n">
        <v>45692</v>
      </c>
      <c r="D350" t="inlineStr">
        <is>
          <t>DALARNAS LÄN</t>
        </is>
      </c>
      <c r="E350" t="inlineStr">
        <is>
          <t>MORA</t>
        </is>
      </c>
      <c r="G350" t="n">
        <v>4.9</v>
      </c>
      <c r="H350" t="n">
        <v>0</v>
      </c>
      <c r="I350" t="n">
        <v>0</v>
      </c>
      <c r="J350" t="n">
        <v>0</v>
      </c>
      <c r="K350" t="n">
        <v>0</v>
      </c>
      <c r="L350" t="n">
        <v>0</v>
      </c>
      <c r="M350" t="n">
        <v>0</v>
      </c>
      <c r="N350" t="n">
        <v>0</v>
      </c>
      <c r="O350" t="n">
        <v>0</v>
      </c>
      <c r="P350" t="n">
        <v>0</v>
      </c>
      <c r="Q350" t="n">
        <v>0</v>
      </c>
      <c r="R350" s="2" t="inlineStr"/>
    </row>
    <row r="351" ht="15" customHeight="1">
      <c r="A351" t="inlineStr">
        <is>
          <t>A 15393-2022</t>
        </is>
      </c>
      <c r="B351" s="1" t="n">
        <v>44659</v>
      </c>
      <c r="C351" s="1" t="n">
        <v>45692</v>
      </c>
      <c r="D351" t="inlineStr">
        <is>
          <t>DALARNAS LÄN</t>
        </is>
      </c>
      <c r="E351" t="inlineStr">
        <is>
          <t>MORA</t>
        </is>
      </c>
      <c r="G351" t="n">
        <v>2.5</v>
      </c>
      <c r="H351" t="n">
        <v>0</v>
      </c>
      <c r="I351" t="n">
        <v>0</v>
      </c>
      <c r="J351" t="n">
        <v>0</v>
      </c>
      <c r="K351" t="n">
        <v>0</v>
      </c>
      <c r="L351" t="n">
        <v>0</v>
      </c>
      <c r="M351" t="n">
        <v>0</v>
      </c>
      <c r="N351" t="n">
        <v>0</v>
      </c>
      <c r="O351" t="n">
        <v>0</v>
      </c>
      <c r="P351" t="n">
        <v>0</v>
      </c>
      <c r="Q351" t="n">
        <v>0</v>
      </c>
      <c r="R351" s="2" t="inlineStr"/>
    </row>
    <row r="352" ht="15" customHeight="1">
      <c r="A352" t="inlineStr">
        <is>
          <t>A 15594-2022</t>
        </is>
      </c>
      <c r="B352" s="1" t="n">
        <v>44662</v>
      </c>
      <c r="C352" s="1" t="n">
        <v>45692</v>
      </c>
      <c r="D352" t="inlineStr">
        <is>
          <t>DALARNAS LÄN</t>
        </is>
      </c>
      <c r="E352" t="inlineStr">
        <is>
          <t>MORA</t>
        </is>
      </c>
      <c r="F352" t="inlineStr">
        <is>
          <t>Bergvik skog öst AB</t>
        </is>
      </c>
      <c r="G352" t="n">
        <v>1</v>
      </c>
      <c r="H352" t="n">
        <v>0</v>
      </c>
      <c r="I352" t="n">
        <v>0</v>
      </c>
      <c r="J352" t="n">
        <v>0</v>
      </c>
      <c r="K352" t="n">
        <v>0</v>
      </c>
      <c r="L352" t="n">
        <v>0</v>
      </c>
      <c r="M352" t="n">
        <v>0</v>
      </c>
      <c r="N352" t="n">
        <v>0</v>
      </c>
      <c r="O352" t="n">
        <v>0</v>
      </c>
      <c r="P352" t="n">
        <v>0</v>
      </c>
      <c r="Q352" t="n">
        <v>0</v>
      </c>
      <c r="R352" s="2" t="inlineStr"/>
    </row>
    <row r="353" ht="15" customHeight="1">
      <c r="A353" t="inlineStr">
        <is>
          <t>A 16706-2022</t>
        </is>
      </c>
      <c r="B353" s="1" t="n">
        <v>44673</v>
      </c>
      <c r="C353" s="1" t="n">
        <v>45692</v>
      </c>
      <c r="D353" t="inlineStr">
        <is>
          <t>DALARNAS LÄN</t>
        </is>
      </c>
      <c r="E353" t="inlineStr">
        <is>
          <t>MORA</t>
        </is>
      </c>
      <c r="G353" t="n">
        <v>9.1</v>
      </c>
      <c r="H353" t="n">
        <v>0</v>
      </c>
      <c r="I353" t="n">
        <v>0</v>
      </c>
      <c r="J353" t="n">
        <v>0</v>
      </c>
      <c r="K353" t="n">
        <v>0</v>
      </c>
      <c r="L353" t="n">
        <v>0</v>
      </c>
      <c r="M353" t="n">
        <v>0</v>
      </c>
      <c r="N353" t="n">
        <v>0</v>
      </c>
      <c r="O353" t="n">
        <v>0</v>
      </c>
      <c r="P353" t="n">
        <v>0</v>
      </c>
      <c r="Q353" t="n">
        <v>0</v>
      </c>
      <c r="R353" s="2" t="inlineStr"/>
    </row>
    <row r="354" ht="15" customHeight="1">
      <c r="A354" t="inlineStr">
        <is>
          <t>A 16700-2022</t>
        </is>
      </c>
      <c r="B354" s="1" t="n">
        <v>44673</v>
      </c>
      <c r="C354" s="1" t="n">
        <v>45692</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17272-2022</t>
        </is>
      </c>
      <c r="B355" s="1" t="n">
        <v>44678</v>
      </c>
      <c r="C355" s="1" t="n">
        <v>45692</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17622-2022</t>
        </is>
      </c>
      <c r="B356" s="1" t="n">
        <v>44680</v>
      </c>
      <c r="C356" s="1" t="n">
        <v>45692</v>
      </c>
      <c r="D356" t="inlineStr">
        <is>
          <t>DALARNAS LÄN</t>
        </is>
      </c>
      <c r="E356" t="inlineStr">
        <is>
          <t>MORA</t>
        </is>
      </c>
      <c r="G356" t="n">
        <v>1.5</v>
      </c>
      <c r="H356" t="n">
        <v>0</v>
      </c>
      <c r="I356" t="n">
        <v>0</v>
      </c>
      <c r="J356" t="n">
        <v>0</v>
      </c>
      <c r="K356" t="n">
        <v>0</v>
      </c>
      <c r="L356" t="n">
        <v>0</v>
      </c>
      <c r="M356" t="n">
        <v>0</v>
      </c>
      <c r="N356" t="n">
        <v>0</v>
      </c>
      <c r="O356" t="n">
        <v>0</v>
      </c>
      <c r="P356" t="n">
        <v>0</v>
      </c>
      <c r="Q356" t="n">
        <v>0</v>
      </c>
      <c r="R356" s="2" t="inlineStr"/>
    </row>
    <row r="357" ht="15" customHeight="1">
      <c r="A357" t="inlineStr">
        <is>
          <t>A 19372-2022</t>
        </is>
      </c>
      <c r="B357" s="1" t="n">
        <v>44692</v>
      </c>
      <c r="C357" s="1" t="n">
        <v>45692</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19756-2022</t>
        </is>
      </c>
      <c r="B358" s="1" t="n">
        <v>44694</v>
      </c>
      <c r="C358" s="1" t="n">
        <v>45692</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20401-2022</t>
        </is>
      </c>
      <c r="B359" s="1" t="n">
        <v>44699</v>
      </c>
      <c r="C359" s="1" t="n">
        <v>45692</v>
      </c>
      <c r="D359" t="inlineStr">
        <is>
          <t>DALARNAS LÄN</t>
        </is>
      </c>
      <c r="E359" t="inlineStr">
        <is>
          <t>MORA</t>
        </is>
      </c>
      <c r="G359" t="n">
        <v>3.2</v>
      </c>
      <c r="H359" t="n">
        <v>0</v>
      </c>
      <c r="I359" t="n">
        <v>0</v>
      </c>
      <c r="J359" t="n">
        <v>0</v>
      </c>
      <c r="K359" t="n">
        <v>0</v>
      </c>
      <c r="L359" t="n">
        <v>0</v>
      </c>
      <c r="M359" t="n">
        <v>0</v>
      </c>
      <c r="N359" t="n">
        <v>0</v>
      </c>
      <c r="O359" t="n">
        <v>0</v>
      </c>
      <c r="P359" t="n">
        <v>0</v>
      </c>
      <c r="Q359" t="n">
        <v>0</v>
      </c>
      <c r="R359" s="2" t="inlineStr"/>
    </row>
    <row r="360" ht="15" customHeight="1">
      <c r="A360" t="inlineStr">
        <is>
          <t>A 21273-2022</t>
        </is>
      </c>
      <c r="B360" s="1" t="n">
        <v>44705</v>
      </c>
      <c r="C360" s="1" t="n">
        <v>45692</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23354-2022</t>
        </is>
      </c>
      <c r="B361" s="1" t="n">
        <v>44720</v>
      </c>
      <c r="C361" s="1" t="n">
        <v>45692</v>
      </c>
      <c r="D361" t="inlineStr">
        <is>
          <t>DALARNAS LÄN</t>
        </is>
      </c>
      <c r="E361" t="inlineStr">
        <is>
          <t>MORA</t>
        </is>
      </c>
      <c r="G361" t="n">
        <v>5.2</v>
      </c>
      <c r="H361" t="n">
        <v>0</v>
      </c>
      <c r="I361" t="n">
        <v>0</v>
      </c>
      <c r="J361" t="n">
        <v>0</v>
      </c>
      <c r="K361" t="n">
        <v>0</v>
      </c>
      <c r="L361" t="n">
        <v>0</v>
      </c>
      <c r="M361" t="n">
        <v>0</v>
      </c>
      <c r="N361" t="n">
        <v>0</v>
      </c>
      <c r="O361" t="n">
        <v>0</v>
      </c>
      <c r="P361" t="n">
        <v>0</v>
      </c>
      <c r="Q361" t="n">
        <v>0</v>
      </c>
      <c r="R361" s="2" t="inlineStr"/>
    </row>
    <row r="362" ht="15" customHeight="1">
      <c r="A362" t="inlineStr">
        <is>
          <t>A 23655-2022</t>
        </is>
      </c>
      <c r="B362" s="1" t="n">
        <v>44721</v>
      </c>
      <c r="C362" s="1" t="n">
        <v>45692</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23795-2022</t>
        </is>
      </c>
      <c r="B363" s="1" t="n">
        <v>44722</v>
      </c>
      <c r="C363" s="1" t="n">
        <v>45692</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23798-2022</t>
        </is>
      </c>
      <c r="B364" s="1" t="n">
        <v>44722</v>
      </c>
      <c r="C364" s="1" t="n">
        <v>45692</v>
      </c>
      <c r="D364" t="inlineStr">
        <is>
          <t>DALARNAS LÄN</t>
        </is>
      </c>
      <c r="E364" t="inlineStr">
        <is>
          <t>MORA</t>
        </is>
      </c>
      <c r="G364" t="n">
        <v>2.6</v>
      </c>
      <c r="H364" t="n">
        <v>0</v>
      </c>
      <c r="I364" t="n">
        <v>0</v>
      </c>
      <c r="J364" t="n">
        <v>0</v>
      </c>
      <c r="K364" t="n">
        <v>0</v>
      </c>
      <c r="L364" t="n">
        <v>0</v>
      </c>
      <c r="M364" t="n">
        <v>0</v>
      </c>
      <c r="N364" t="n">
        <v>0</v>
      </c>
      <c r="O364" t="n">
        <v>0</v>
      </c>
      <c r="P364" t="n">
        <v>0</v>
      </c>
      <c r="Q364" t="n">
        <v>0</v>
      </c>
      <c r="R364" s="2" t="inlineStr"/>
    </row>
    <row r="365" ht="15" customHeight="1">
      <c r="A365" t="inlineStr">
        <is>
          <t>A 24171-2022</t>
        </is>
      </c>
      <c r="B365" s="1" t="n">
        <v>44725</v>
      </c>
      <c r="C365" s="1" t="n">
        <v>45692</v>
      </c>
      <c r="D365" t="inlineStr">
        <is>
          <t>DALARNAS LÄN</t>
        </is>
      </c>
      <c r="E365" t="inlineStr">
        <is>
          <t>MORA</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24170-2022</t>
        </is>
      </c>
      <c r="B366" s="1" t="n">
        <v>44725</v>
      </c>
      <c r="C366" s="1" t="n">
        <v>45692</v>
      </c>
      <c r="D366" t="inlineStr">
        <is>
          <t>DALARNAS LÄN</t>
        </is>
      </c>
      <c r="E366" t="inlineStr">
        <is>
          <t>MORA</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24169-2022</t>
        </is>
      </c>
      <c r="B367" s="1" t="n">
        <v>44725</v>
      </c>
      <c r="C367" s="1" t="n">
        <v>45692</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24335-2022</t>
        </is>
      </c>
      <c r="B368" s="1" t="n">
        <v>44725</v>
      </c>
      <c r="C368" s="1" t="n">
        <v>45692</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24366-2022</t>
        </is>
      </c>
      <c r="B369" s="1" t="n">
        <v>44726</v>
      </c>
      <c r="C369" s="1" t="n">
        <v>45692</v>
      </c>
      <c r="D369" t="inlineStr">
        <is>
          <t>DALARNAS LÄN</t>
        </is>
      </c>
      <c r="E369" t="inlineStr">
        <is>
          <t>MORA</t>
        </is>
      </c>
      <c r="G369" t="n">
        <v>2.2</v>
      </c>
      <c r="H369" t="n">
        <v>0</v>
      </c>
      <c r="I369" t="n">
        <v>0</v>
      </c>
      <c r="J369" t="n">
        <v>0</v>
      </c>
      <c r="K369" t="n">
        <v>0</v>
      </c>
      <c r="L369" t="n">
        <v>0</v>
      </c>
      <c r="M369" t="n">
        <v>0</v>
      </c>
      <c r="N369" t="n">
        <v>0</v>
      </c>
      <c r="O369" t="n">
        <v>0</v>
      </c>
      <c r="P369" t="n">
        <v>0</v>
      </c>
      <c r="Q369" t="n">
        <v>0</v>
      </c>
      <c r="R369" s="2" t="inlineStr"/>
    </row>
    <row r="370" ht="15" customHeight="1">
      <c r="A370" t="inlineStr">
        <is>
          <t>A 24393-2022</t>
        </is>
      </c>
      <c r="B370" s="1" t="n">
        <v>44726</v>
      </c>
      <c r="C370" s="1" t="n">
        <v>45692</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25451-2022</t>
        </is>
      </c>
      <c r="B371" s="1" t="n">
        <v>44732</v>
      </c>
      <c r="C371" s="1" t="n">
        <v>45692</v>
      </c>
      <c r="D371" t="inlineStr">
        <is>
          <t>DALARNAS LÄN</t>
        </is>
      </c>
      <c r="E371" t="inlineStr">
        <is>
          <t>MORA</t>
        </is>
      </c>
      <c r="F371" t="inlineStr">
        <is>
          <t>Bergvik skog väst AB</t>
        </is>
      </c>
      <c r="G371" t="n">
        <v>1.8</v>
      </c>
      <c r="H371" t="n">
        <v>0</v>
      </c>
      <c r="I371" t="n">
        <v>0</v>
      </c>
      <c r="J371" t="n">
        <v>0</v>
      </c>
      <c r="K371" t="n">
        <v>0</v>
      </c>
      <c r="L371" t="n">
        <v>0</v>
      </c>
      <c r="M371" t="n">
        <v>0</v>
      </c>
      <c r="N371" t="n">
        <v>0</v>
      </c>
      <c r="O371" t="n">
        <v>0</v>
      </c>
      <c r="P371" t="n">
        <v>0</v>
      </c>
      <c r="Q371" t="n">
        <v>0</v>
      </c>
      <c r="R371" s="2" t="inlineStr"/>
    </row>
    <row r="372" ht="15" customHeight="1">
      <c r="A372" t="inlineStr">
        <is>
          <t>A 27438-2022</t>
        </is>
      </c>
      <c r="B372" s="1" t="n">
        <v>44742</v>
      </c>
      <c r="C372" s="1" t="n">
        <v>45692</v>
      </c>
      <c r="D372" t="inlineStr">
        <is>
          <t>DALARNAS LÄN</t>
        </is>
      </c>
      <c r="E372" t="inlineStr">
        <is>
          <t>MORA</t>
        </is>
      </c>
      <c r="G372" t="n">
        <v>7</v>
      </c>
      <c r="H372" t="n">
        <v>0</v>
      </c>
      <c r="I372" t="n">
        <v>0</v>
      </c>
      <c r="J372" t="n">
        <v>0</v>
      </c>
      <c r="K372" t="n">
        <v>0</v>
      </c>
      <c r="L372" t="n">
        <v>0</v>
      </c>
      <c r="M372" t="n">
        <v>0</v>
      </c>
      <c r="N372" t="n">
        <v>0</v>
      </c>
      <c r="O372" t="n">
        <v>0</v>
      </c>
      <c r="P372" t="n">
        <v>0</v>
      </c>
      <c r="Q372" t="n">
        <v>0</v>
      </c>
      <c r="R372" s="2" t="inlineStr"/>
    </row>
    <row r="373" ht="15" customHeight="1">
      <c r="A373" t="inlineStr">
        <is>
          <t>A 27461-2022</t>
        </is>
      </c>
      <c r="B373" s="1" t="n">
        <v>44742</v>
      </c>
      <c r="C373" s="1" t="n">
        <v>45692</v>
      </c>
      <c r="D373" t="inlineStr">
        <is>
          <t>DALARNAS LÄN</t>
        </is>
      </c>
      <c r="E373" t="inlineStr">
        <is>
          <t>MORA</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28344-2022</t>
        </is>
      </c>
      <c r="B374" s="1" t="n">
        <v>44747</v>
      </c>
      <c r="C374" s="1" t="n">
        <v>45692</v>
      </c>
      <c r="D374" t="inlineStr">
        <is>
          <t>DALARNAS LÄN</t>
        </is>
      </c>
      <c r="E374" t="inlineStr">
        <is>
          <t>MORA</t>
        </is>
      </c>
      <c r="F374" t="inlineStr">
        <is>
          <t>Kyrkan</t>
        </is>
      </c>
      <c r="G374" t="n">
        <v>6.4</v>
      </c>
      <c r="H374" t="n">
        <v>0</v>
      </c>
      <c r="I374" t="n">
        <v>0</v>
      </c>
      <c r="J374" t="n">
        <v>0</v>
      </c>
      <c r="K374" t="n">
        <v>0</v>
      </c>
      <c r="L374" t="n">
        <v>0</v>
      </c>
      <c r="M374" t="n">
        <v>0</v>
      </c>
      <c r="N374" t="n">
        <v>0</v>
      </c>
      <c r="O374" t="n">
        <v>0</v>
      </c>
      <c r="P374" t="n">
        <v>0</v>
      </c>
      <c r="Q374" t="n">
        <v>0</v>
      </c>
      <c r="R374" s="2" t="inlineStr"/>
    </row>
    <row r="375" ht="15" customHeight="1">
      <c r="A375" t="inlineStr">
        <is>
          <t>A 28914-2022</t>
        </is>
      </c>
      <c r="B375" s="1" t="n">
        <v>44749</v>
      </c>
      <c r="C375" s="1" t="n">
        <v>45692</v>
      </c>
      <c r="D375" t="inlineStr">
        <is>
          <t>DALARNAS LÄN</t>
        </is>
      </c>
      <c r="E375" t="inlineStr">
        <is>
          <t>MORA</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29754-2022</t>
        </is>
      </c>
      <c r="B376" s="1" t="n">
        <v>44755</v>
      </c>
      <c r="C376" s="1" t="n">
        <v>45692</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30998-2022</t>
        </is>
      </c>
      <c r="B377" s="1" t="n">
        <v>44768</v>
      </c>
      <c r="C377" s="1" t="n">
        <v>45692</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31304-2022</t>
        </is>
      </c>
      <c r="B378" s="1" t="n">
        <v>44773</v>
      </c>
      <c r="C378" s="1" t="n">
        <v>45692</v>
      </c>
      <c r="D378" t="inlineStr">
        <is>
          <t>DALARNAS LÄN</t>
        </is>
      </c>
      <c r="E378" t="inlineStr">
        <is>
          <t>MORA</t>
        </is>
      </c>
      <c r="G378" t="n">
        <v>20.6</v>
      </c>
      <c r="H378" t="n">
        <v>0</v>
      </c>
      <c r="I378" t="n">
        <v>0</v>
      </c>
      <c r="J378" t="n">
        <v>0</v>
      </c>
      <c r="K378" t="n">
        <v>0</v>
      </c>
      <c r="L378" t="n">
        <v>0</v>
      </c>
      <c r="M378" t="n">
        <v>0</v>
      </c>
      <c r="N378" t="n">
        <v>0</v>
      </c>
      <c r="O378" t="n">
        <v>0</v>
      </c>
      <c r="P378" t="n">
        <v>0</v>
      </c>
      <c r="Q378" t="n">
        <v>0</v>
      </c>
      <c r="R378" s="2" t="inlineStr"/>
    </row>
    <row r="379" ht="15" customHeight="1">
      <c r="A379" t="inlineStr">
        <is>
          <t>A 31582-2022</t>
        </is>
      </c>
      <c r="B379" s="1" t="n">
        <v>44775</v>
      </c>
      <c r="C379" s="1" t="n">
        <v>45692</v>
      </c>
      <c r="D379" t="inlineStr">
        <is>
          <t>DALARNAS LÄN</t>
        </is>
      </c>
      <c r="E379" t="inlineStr">
        <is>
          <t>MORA</t>
        </is>
      </c>
      <c r="G379" t="n">
        <v>3.5</v>
      </c>
      <c r="H379" t="n">
        <v>0</v>
      </c>
      <c r="I379" t="n">
        <v>0</v>
      </c>
      <c r="J379" t="n">
        <v>0</v>
      </c>
      <c r="K379" t="n">
        <v>0</v>
      </c>
      <c r="L379" t="n">
        <v>0</v>
      </c>
      <c r="M379" t="n">
        <v>0</v>
      </c>
      <c r="N379" t="n">
        <v>0</v>
      </c>
      <c r="O379" t="n">
        <v>0</v>
      </c>
      <c r="P379" t="n">
        <v>0</v>
      </c>
      <c r="Q379" t="n">
        <v>0</v>
      </c>
      <c r="R379" s="2" t="inlineStr"/>
    </row>
    <row r="380" ht="15" customHeight="1">
      <c r="A380" t="inlineStr">
        <is>
          <t>A 32265-2022</t>
        </is>
      </c>
      <c r="B380" s="1" t="n">
        <v>44781</v>
      </c>
      <c r="C380" s="1" t="n">
        <v>45692</v>
      </c>
      <c r="D380" t="inlineStr">
        <is>
          <t>DALARNAS LÄN</t>
        </is>
      </c>
      <c r="E380" t="inlineStr">
        <is>
          <t>MORA</t>
        </is>
      </c>
      <c r="G380" t="n">
        <v>4</v>
      </c>
      <c r="H380" t="n">
        <v>0</v>
      </c>
      <c r="I380" t="n">
        <v>0</v>
      </c>
      <c r="J380" t="n">
        <v>0</v>
      </c>
      <c r="K380" t="n">
        <v>0</v>
      </c>
      <c r="L380" t="n">
        <v>0</v>
      </c>
      <c r="M380" t="n">
        <v>0</v>
      </c>
      <c r="N380" t="n">
        <v>0</v>
      </c>
      <c r="O380" t="n">
        <v>0</v>
      </c>
      <c r="P380" t="n">
        <v>0</v>
      </c>
      <c r="Q380" t="n">
        <v>0</v>
      </c>
      <c r="R380" s="2" t="inlineStr"/>
    </row>
    <row r="381" ht="15" customHeight="1">
      <c r="A381" t="inlineStr">
        <is>
          <t>A 32261-2022</t>
        </is>
      </c>
      <c r="B381" s="1" t="n">
        <v>44781</v>
      </c>
      <c r="C381" s="1" t="n">
        <v>45692</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32474-2022</t>
        </is>
      </c>
      <c r="B382" s="1" t="n">
        <v>44782</v>
      </c>
      <c r="C382" s="1" t="n">
        <v>45692</v>
      </c>
      <c r="D382" t="inlineStr">
        <is>
          <t>DALARNAS LÄN</t>
        </is>
      </c>
      <c r="E382" t="inlineStr">
        <is>
          <t>MORA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32643-2022</t>
        </is>
      </c>
      <c r="B383" s="1" t="n">
        <v>44783</v>
      </c>
      <c r="C383" s="1" t="n">
        <v>45692</v>
      </c>
      <c r="D383" t="inlineStr">
        <is>
          <t>DALARNAS LÄN</t>
        </is>
      </c>
      <c r="E383" t="inlineStr">
        <is>
          <t>MORA</t>
        </is>
      </c>
      <c r="G383" t="n">
        <v>3.4</v>
      </c>
      <c r="H383" t="n">
        <v>0</v>
      </c>
      <c r="I383" t="n">
        <v>0</v>
      </c>
      <c r="J383" t="n">
        <v>0</v>
      </c>
      <c r="K383" t="n">
        <v>0</v>
      </c>
      <c r="L383" t="n">
        <v>0</v>
      </c>
      <c r="M383" t="n">
        <v>0</v>
      </c>
      <c r="N383" t="n">
        <v>0</v>
      </c>
      <c r="O383" t="n">
        <v>0</v>
      </c>
      <c r="P383" t="n">
        <v>0</v>
      </c>
      <c r="Q383" t="n">
        <v>0</v>
      </c>
      <c r="R383" s="2" t="inlineStr"/>
    </row>
    <row r="384" ht="15" customHeight="1">
      <c r="A384" t="inlineStr">
        <is>
          <t>A 33272-2022</t>
        </is>
      </c>
      <c r="B384" s="1" t="n">
        <v>44788</v>
      </c>
      <c r="C384" s="1" t="n">
        <v>45692</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33262-2022</t>
        </is>
      </c>
      <c r="B385" s="1" t="n">
        <v>44788</v>
      </c>
      <c r="C385" s="1" t="n">
        <v>45692</v>
      </c>
      <c r="D385" t="inlineStr">
        <is>
          <t>DALARNAS LÄN</t>
        </is>
      </c>
      <c r="E385" t="inlineStr">
        <is>
          <t>MORA</t>
        </is>
      </c>
      <c r="G385" t="n">
        <v>6.5</v>
      </c>
      <c r="H385" t="n">
        <v>0</v>
      </c>
      <c r="I385" t="n">
        <v>0</v>
      </c>
      <c r="J385" t="n">
        <v>0</v>
      </c>
      <c r="K385" t="n">
        <v>0</v>
      </c>
      <c r="L385" t="n">
        <v>0</v>
      </c>
      <c r="M385" t="n">
        <v>0</v>
      </c>
      <c r="N385" t="n">
        <v>0</v>
      </c>
      <c r="O385" t="n">
        <v>0</v>
      </c>
      <c r="P385" t="n">
        <v>0</v>
      </c>
      <c r="Q385" t="n">
        <v>0</v>
      </c>
      <c r="R385" s="2" t="inlineStr"/>
    </row>
    <row r="386" ht="15" customHeight="1">
      <c r="A386" t="inlineStr">
        <is>
          <t>A 33269-2022</t>
        </is>
      </c>
      <c r="B386" s="1" t="n">
        <v>44788</v>
      </c>
      <c r="C386" s="1" t="n">
        <v>45692</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33265-2022</t>
        </is>
      </c>
      <c r="B387" s="1" t="n">
        <v>44788</v>
      </c>
      <c r="C387" s="1" t="n">
        <v>45692</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33550-2022</t>
        </is>
      </c>
      <c r="B388" s="1" t="n">
        <v>44789</v>
      </c>
      <c r="C388" s="1" t="n">
        <v>45692</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33678-2022</t>
        </is>
      </c>
      <c r="B389" s="1" t="n">
        <v>44789</v>
      </c>
      <c r="C389" s="1" t="n">
        <v>45692</v>
      </c>
      <c r="D389" t="inlineStr">
        <is>
          <t>DALARNAS LÄN</t>
        </is>
      </c>
      <c r="E389" t="inlineStr">
        <is>
          <t>MORA</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34927-2022</t>
        </is>
      </c>
      <c r="B390" s="1" t="n">
        <v>44796</v>
      </c>
      <c r="C390" s="1" t="n">
        <v>45692</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34897-2022</t>
        </is>
      </c>
      <c r="B391" s="1" t="n">
        <v>44796</v>
      </c>
      <c r="C391" s="1" t="n">
        <v>45692</v>
      </c>
      <c r="D391" t="inlineStr">
        <is>
          <t>DALARNAS LÄN</t>
        </is>
      </c>
      <c r="E391" t="inlineStr">
        <is>
          <t>MORA</t>
        </is>
      </c>
      <c r="F391" t="inlineStr">
        <is>
          <t>Bergvik skog väst AB</t>
        </is>
      </c>
      <c r="G391" t="n">
        <v>8</v>
      </c>
      <c r="H391" t="n">
        <v>0</v>
      </c>
      <c r="I391" t="n">
        <v>0</v>
      </c>
      <c r="J391" t="n">
        <v>0</v>
      </c>
      <c r="K391" t="n">
        <v>0</v>
      </c>
      <c r="L391" t="n">
        <v>0</v>
      </c>
      <c r="M391" t="n">
        <v>0</v>
      </c>
      <c r="N391" t="n">
        <v>0</v>
      </c>
      <c r="O391" t="n">
        <v>0</v>
      </c>
      <c r="P391" t="n">
        <v>0</v>
      </c>
      <c r="Q391" t="n">
        <v>0</v>
      </c>
      <c r="R391" s="2" t="inlineStr"/>
    </row>
    <row r="392" ht="15" customHeight="1">
      <c r="A392" t="inlineStr">
        <is>
          <t>A 34824-2022</t>
        </is>
      </c>
      <c r="B392" s="1" t="n">
        <v>44796</v>
      </c>
      <c r="C392" s="1" t="n">
        <v>45692</v>
      </c>
      <c r="D392" t="inlineStr">
        <is>
          <t>DALARNAS LÄN</t>
        </is>
      </c>
      <c r="E392" t="inlineStr">
        <is>
          <t>MORA</t>
        </is>
      </c>
      <c r="F392" t="inlineStr">
        <is>
          <t>Bergvik skog väst AB</t>
        </is>
      </c>
      <c r="G392" t="n">
        <v>3.4</v>
      </c>
      <c r="H392" t="n">
        <v>0</v>
      </c>
      <c r="I392" t="n">
        <v>0</v>
      </c>
      <c r="J392" t="n">
        <v>0</v>
      </c>
      <c r="K392" t="n">
        <v>0</v>
      </c>
      <c r="L392" t="n">
        <v>0</v>
      </c>
      <c r="M392" t="n">
        <v>0</v>
      </c>
      <c r="N392" t="n">
        <v>0</v>
      </c>
      <c r="O392" t="n">
        <v>0</v>
      </c>
      <c r="P392" t="n">
        <v>0</v>
      </c>
      <c r="Q392" t="n">
        <v>0</v>
      </c>
      <c r="R392" s="2" t="inlineStr"/>
    </row>
    <row r="393" ht="15" customHeight="1">
      <c r="A393" t="inlineStr">
        <is>
          <t>A 34923-2022</t>
        </is>
      </c>
      <c r="B393" s="1" t="n">
        <v>44796</v>
      </c>
      <c r="C393" s="1" t="n">
        <v>45692</v>
      </c>
      <c r="D393" t="inlineStr">
        <is>
          <t>DALARNAS LÄN</t>
        </is>
      </c>
      <c r="E393" t="inlineStr">
        <is>
          <t>MORA</t>
        </is>
      </c>
      <c r="G393" t="n">
        <v>5</v>
      </c>
      <c r="H393" t="n">
        <v>0</v>
      </c>
      <c r="I393" t="n">
        <v>0</v>
      </c>
      <c r="J393" t="n">
        <v>0</v>
      </c>
      <c r="K393" t="n">
        <v>0</v>
      </c>
      <c r="L393" t="n">
        <v>0</v>
      </c>
      <c r="M393" t="n">
        <v>0</v>
      </c>
      <c r="N393" t="n">
        <v>0</v>
      </c>
      <c r="O393" t="n">
        <v>0</v>
      </c>
      <c r="P393" t="n">
        <v>0</v>
      </c>
      <c r="Q393" t="n">
        <v>0</v>
      </c>
      <c r="R393" s="2" t="inlineStr"/>
    </row>
    <row r="394" ht="15" customHeight="1">
      <c r="A394" t="inlineStr">
        <is>
          <t>A 34928-2022</t>
        </is>
      </c>
      <c r="B394" s="1" t="n">
        <v>44796</v>
      </c>
      <c r="C394" s="1" t="n">
        <v>45692</v>
      </c>
      <c r="D394" t="inlineStr">
        <is>
          <t>DALARNAS LÄN</t>
        </is>
      </c>
      <c r="E394" t="inlineStr">
        <is>
          <t>MORA</t>
        </is>
      </c>
      <c r="G394" t="n">
        <v>1.2</v>
      </c>
      <c r="H394" t="n">
        <v>0</v>
      </c>
      <c r="I394" t="n">
        <v>0</v>
      </c>
      <c r="J394" t="n">
        <v>0</v>
      </c>
      <c r="K394" t="n">
        <v>0</v>
      </c>
      <c r="L394" t="n">
        <v>0</v>
      </c>
      <c r="M394" t="n">
        <v>0</v>
      </c>
      <c r="N394" t="n">
        <v>0</v>
      </c>
      <c r="O394" t="n">
        <v>0</v>
      </c>
      <c r="P394" t="n">
        <v>0</v>
      </c>
      <c r="Q394" t="n">
        <v>0</v>
      </c>
      <c r="R394" s="2" t="inlineStr"/>
    </row>
    <row r="395" ht="15" customHeight="1">
      <c r="A395" t="inlineStr">
        <is>
          <t>A 36579-2022</t>
        </is>
      </c>
      <c r="B395" s="1" t="n">
        <v>44804</v>
      </c>
      <c r="C395" s="1" t="n">
        <v>45692</v>
      </c>
      <c r="D395" t="inlineStr">
        <is>
          <t>DALARNAS LÄN</t>
        </is>
      </c>
      <c r="E395" t="inlineStr">
        <is>
          <t>MORA</t>
        </is>
      </c>
      <c r="G395" t="n">
        <v>2.3</v>
      </c>
      <c r="H395" t="n">
        <v>0</v>
      </c>
      <c r="I395" t="n">
        <v>0</v>
      </c>
      <c r="J395" t="n">
        <v>0</v>
      </c>
      <c r="K395" t="n">
        <v>0</v>
      </c>
      <c r="L395" t="n">
        <v>0</v>
      </c>
      <c r="M395" t="n">
        <v>0</v>
      </c>
      <c r="N395" t="n">
        <v>0</v>
      </c>
      <c r="O395" t="n">
        <v>0</v>
      </c>
      <c r="P395" t="n">
        <v>0</v>
      </c>
      <c r="Q395" t="n">
        <v>0</v>
      </c>
      <c r="R395" s="2" t="inlineStr"/>
    </row>
    <row r="396" ht="15" customHeight="1">
      <c r="A396" t="inlineStr">
        <is>
          <t>A 37483-2022</t>
        </is>
      </c>
      <c r="B396" s="1" t="n">
        <v>44809</v>
      </c>
      <c r="C396" s="1" t="n">
        <v>45692</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37774-2022</t>
        </is>
      </c>
      <c r="B397" s="1" t="n">
        <v>44810</v>
      </c>
      <c r="C397" s="1" t="n">
        <v>45692</v>
      </c>
      <c r="D397" t="inlineStr">
        <is>
          <t>DALARNAS LÄN</t>
        </is>
      </c>
      <c r="E397" t="inlineStr">
        <is>
          <t>MORA</t>
        </is>
      </c>
      <c r="F397" t="inlineStr">
        <is>
          <t>Bergvik skog väst AB</t>
        </is>
      </c>
      <c r="G397" t="n">
        <v>8.5</v>
      </c>
      <c r="H397" t="n">
        <v>0</v>
      </c>
      <c r="I397" t="n">
        <v>0</v>
      </c>
      <c r="J397" t="n">
        <v>0</v>
      </c>
      <c r="K397" t="n">
        <v>0</v>
      </c>
      <c r="L397" t="n">
        <v>0</v>
      </c>
      <c r="M397" t="n">
        <v>0</v>
      </c>
      <c r="N397" t="n">
        <v>0</v>
      </c>
      <c r="O397" t="n">
        <v>0</v>
      </c>
      <c r="P397" t="n">
        <v>0</v>
      </c>
      <c r="Q397" t="n">
        <v>0</v>
      </c>
      <c r="R397" s="2" t="inlineStr"/>
    </row>
    <row r="398" ht="15" customHeight="1">
      <c r="A398" t="inlineStr">
        <is>
          <t>A 37771-2022</t>
        </is>
      </c>
      <c r="B398" s="1" t="n">
        <v>44810</v>
      </c>
      <c r="C398" s="1" t="n">
        <v>45692</v>
      </c>
      <c r="D398" t="inlineStr">
        <is>
          <t>DALARNAS LÄN</t>
        </is>
      </c>
      <c r="E398" t="inlineStr">
        <is>
          <t>MORA</t>
        </is>
      </c>
      <c r="G398" t="n">
        <v>0.9</v>
      </c>
      <c r="H398" t="n">
        <v>0</v>
      </c>
      <c r="I398" t="n">
        <v>0</v>
      </c>
      <c r="J398" t="n">
        <v>0</v>
      </c>
      <c r="K398" t="n">
        <v>0</v>
      </c>
      <c r="L398" t="n">
        <v>0</v>
      </c>
      <c r="M398" t="n">
        <v>0</v>
      </c>
      <c r="N398" t="n">
        <v>0</v>
      </c>
      <c r="O398" t="n">
        <v>0</v>
      </c>
      <c r="P398" t="n">
        <v>0</v>
      </c>
      <c r="Q398" t="n">
        <v>0</v>
      </c>
      <c r="R398" s="2" t="inlineStr"/>
    </row>
    <row r="399" ht="15" customHeight="1">
      <c r="A399" t="inlineStr">
        <is>
          <t>A 37983-2022</t>
        </is>
      </c>
      <c r="B399" s="1" t="n">
        <v>44811</v>
      </c>
      <c r="C399" s="1" t="n">
        <v>45692</v>
      </c>
      <c r="D399" t="inlineStr">
        <is>
          <t>DALARNAS LÄN</t>
        </is>
      </c>
      <c r="E399" t="inlineStr">
        <is>
          <t>MORA</t>
        </is>
      </c>
      <c r="F399" t="inlineStr">
        <is>
          <t>Bergvik skog väst AB</t>
        </is>
      </c>
      <c r="G399" t="n">
        <v>13.1</v>
      </c>
      <c r="H399" t="n">
        <v>0</v>
      </c>
      <c r="I399" t="n">
        <v>0</v>
      </c>
      <c r="J399" t="n">
        <v>0</v>
      </c>
      <c r="K399" t="n">
        <v>0</v>
      </c>
      <c r="L399" t="n">
        <v>0</v>
      </c>
      <c r="M399" t="n">
        <v>0</v>
      </c>
      <c r="N399" t="n">
        <v>0</v>
      </c>
      <c r="O399" t="n">
        <v>0</v>
      </c>
      <c r="P399" t="n">
        <v>0</v>
      </c>
      <c r="Q399" t="n">
        <v>0</v>
      </c>
      <c r="R399" s="2" t="inlineStr"/>
    </row>
    <row r="400" ht="15" customHeight="1">
      <c r="A400" t="inlineStr">
        <is>
          <t>A 38305-2022</t>
        </is>
      </c>
      <c r="B400" s="1" t="n">
        <v>44812</v>
      </c>
      <c r="C400" s="1" t="n">
        <v>45692</v>
      </c>
      <c r="D400" t="inlineStr">
        <is>
          <t>DALARNAS LÄN</t>
        </is>
      </c>
      <c r="E400" t="inlineStr">
        <is>
          <t>MORA</t>
        </is>
      </c>
      <c r="G400" t="n">
        <v>15.8</v>
      </c>
      <c r="H400" t="n">
        <v>0</v>
      </c>
      <c r="I400" t="n">
        <v>0</v>
      </c>
      <c r="J400" t="n">
        <v>0</v>
      </c>
      <c r="K400" t="n">
        <v>0</v>
      </c>
      <c r="L400" t="n">
        <v>0</v>
      </c>
      <c r="M400" t="n">
        <v>0</v>
      </c>
      <c r="N400" t="n">
        <v>0</v>
      </c>
      <c r="O400" t="n">
        <v>0</v>
      </c>
      <c r="P400" t="n">
        <v>0</v>
      </c>
      <c r="Q400" t="n">
        <v>0</v>
      </c>
      <c r="R400" s="2" t="inlineStr"/>
    </row>
    <row r="401" ht="15" customHeight="1">
      <c r="A401" t="inlineStr">
        <is>
          <t>A 38651-2022</t>
        </is>
      </c>
      <c r="B401" s="1" t="n">
        <v>44813</v>
      </c>
      <c r="C401" s="1" t="n">
        <v>45692</v>
      </c>
      <c r="D401" t="inlineStr">
        <is>
          <t>DALARNAS LÄN</t>
        </is>
      </c>
      <c r="E401" t="inlineStr">
        <is>
          <t>MORA</t>
        </is>
      </c>
      <c r="G401" t="n">
        <v>4.4</v>
      </c>
      <c r="H401" t="n">
        <v>0</v>
      </c>
      <c r="I401" t="n">
        <v>0</v>
      </c>
      <c r="J401" t="n">
        <v>0</v>
      </c>
      <c r="K401" t="n">
        <v>0</v>
      </c>
      <c r="L401" t="n">
        <v>0</v>
      </c>
      <c r="M401" t="n">
        <v>0</v>
      </c>
      <c r="N401" t="n">
        <v>0</v>
      </c>
      <c r="O401" t="n">
        <v>0</v>
      </c>
      <c r="P401" t="n">
        <v>0</v>
      </c>
      <c r="Q401" t="n">
        <v>0</v>
      </c>
      <c r="R401" s="2" t="inlineStr"/>
    </row>
    <row r="402" ht="15" customHeight="1">
      <c r="A402" t="inlineStr">
        <is>
          <t>A 39162-2022</t>
        </is>
      </c>
      <c r="B402" s="1" t="n">
        <v>44817</v>
      </c>
      <c r="C402" s="1" t="n">
        <v>45692</v>
      </c>
      <c r="D402" t="inlineStr">
        <is>
          <t>DALARNAS LÄN</t>
        </is>
      </c>
      <c r="E402" t="inlineStr">
        <is>
          <t>MORA</t>
        </is>
      </c>
      <c r="F402" t="inlineStr">
        <is>
          <t>Allmännings- och besparingsskogar</t>
        </is>
      </c>
      <c r="G402" t="n">
        <v>27.2</v>
      </c>
      <c r="H402" t="n">
        <v>0</v>
      </c>
      <c r="I402" t="n">
        <v>0</v>
      </c>
      <c r="J402" t="n">
        <v>0</v>
      </c>
      <c r="K402" t="n">
        <v>0</v>
      </c>
      <c r="L402" t="n">
        <v>0</v>
      </c>
      <c r="M402" t="n">
        <v>0</v>
      </c>
      <c r="N402" t="n">
        <v>0</v>
      </c>
      <c r="O402" t="n">
        <v>0</v>
      </c>
      <c r="P402" t="n">
        <v>0</v>
      </c>
      <c r="Q402" t="n">
        <v>0</v>
      </c>
      <c r="R402" s="2" t="inlineStr"/>
    </row>
    <row r="403" ht="15" customHeight="1">
      <c r="A403" t="inlineStr">
        <is>
          <t>A 39897-2022</t>
        </is>
      </c>
      <c r="B403" s="1" t="n">
        <v>44819</v>
      </c>
      <c r="C403" s="1" t="n">
        <v>45692</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39901-2022</t>
        </is>
      </c>
      <c r="B404" s="1" t="n">
        <v>44819</v>
      </c>
      <c r="C404" s="1" t="n">
        <v>45692</v>
      </c>
      <c r="D404" t="inlineStr">
        <is>
          <t>DALARNAS LÄN</t>
        </is>
      </c>
      <c r="E404" t="inlineStr">
        <is>
          <t>MORA</t>
        </is>
      </c>
      <c r="G404" t="n">
        <v>4.9</v>
      </c>
      <c r="H404" t="n">
        <v>0</v>
      </c>
      <c r="I404" t="n">
        <v>0</v>
      </c>
      <c r="J404" t="n">
        <v>0</v>
      </c>
      <c r="K404" t="n">
        <v>0</v>
      </c>
      <c r="L404" t="n">
        <v>0</v>
      </c>
      <c r="M404" t="n">
        <v>0</v>
      </c>
      <c r="N404" t="n">
        <v>0</v>
      </c>
      <c r="O404" t="n">
        <v>0</v>
      </c>
      <c r="P404" t="n">
        <v>0</v>
      </c>
      <c r="Q404" t="n">
        <v>0</v>
      </c>
      <c r="R404" s="2" t="inlineStr"/>
    </row>
    <row r="405" ht="15" customHeight="1">
      <c r="A405" t="inlineStr">
        <is>
          <t>A 42035-2022</t>
        </is>
      </c>
      <c r="B405" s="1" t="n">
        <v>44830</v>
      </c>
      <c r="C405" s="1" t="n">
        <v>45692</v>
      </c>
      <c r="D405" t="inlineStr">
        <is>
          <t>DALARNAS LÄN</t>
        </is>
      </c>
      <c r="E405" t="inlineStr">
        <is>
          <t>MORA</t>
        </is>
      </c>
      <c r="G405" t="n">
        <v>2.7</v>
      </c>
      <c r="H405" t="n">
        <v>0</v>
      </c>
      <c r="I405" t="n">
        <v>0</v>
      </c>
      <c r="J405" t="n">
        <v>0</v>
      </c>
      <c r="K405" t="n">
        <v>0</v>
      </c>
      <c r="L405" t="n">
        <v>0</v>
      </c>
      <c r="M405" t="n">
        <v>0</v>
      </c>
      <c r="N405" t="n">
        <v>0</v>
      </c>
      <c r="O405" t="n">
        <v>0</v>
      </c>
      <c r="P405" t="n">
        <v>0</v>
      </c>
      <c r="Q405" t="n">
        <v>0</v>
      </c>
      <c r="R405" s="2" t="inlineStr"/>
    </row>
    <row r="406" ht="15" customHeight="1">
      <c r="A406" t="inlineStr">
        <is>
          <t>A 42121-2022</t>
        </is>
      </c>
      <c r="B406" s="1" t="n">
        <v>44830</v>
      </c>
      <c r="C406" s="1" t="n">
        <v>45692</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42611-2022</t>
        </is>
      </c>
      <c r="B407" s="1" t="n">
        <v>44831</v>
      </c>
      <c r="C407" s="1" t="n">
        <v>45692</v>
      </c>
      <c r="D407" t="inlineStr">
        <is>
          <t>DALARNAS LÄN</t>
        </is>
      </c>
      <c r="E407" t="inlineStr">
        <is>
          <t>MORA</t>
        </is>
      </c>
      <c r="G407" t="n">
        <v>2.1</v>
      </c>
      <c r="H407" t="n">
        <v>0</v>
      </c>
      <c r="I407" t="n">
        <v>0</v>
      </c>
      <c r="J407" t="n">
        <v>0</v>
      </c>
      <c r="K407" t="n">
        <v>0</v>
      </c>
      <c r="L407" t="n">
        <v>0</v>
      </c>
      <c r="M407" t="n">
        <v>0</v>
      </c>
      <c r="N407" t="n">
        <v>0</v>
      </c>
      <c r="O407" t="n">
        <v>0</v>
      </c>
      <c r="P407" t="n">
        <v>0</v>
      </c>
      <c r="Q407" t="n">
        <v>0</v>
      </c>
      <c r="R407" s="2" t="inlineStr"/>
    </row>
    <row r="408" ht="15" customHeight="1">
      <c r="A408" t="inlineStr">
        <is>
          <t>A 42668-2022</t>
        </is>
      </c>
      <c r="B408" s="1" t="n">
        <v>44832</v>
      </c>
      <c r="C408" s="1" t="n">
        <v>45692</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42814-2022</t>
        </is>
      </c>
      <c r="B409" s="1" t="n">
        <v>44832</v>
      </c>
      <c r="C409" s="1" t="n">
        <v>45692</v>
      </c>
      <c r="D409" t="inlineStr">
        <is>
          <t>DALARNAS LÄN</t>
        </is>
      </c>
      <c r="E409" t="inlineStr">
        <is>
          <t>MORA</t>
        </is>
      </c>
      <c r="F409" t="inlineStr">
        <is>
          <t>Bergvik skog väst AB</t>
        </is>
      </c>
      <c r="G409" t="n">
        <v>5.3</v>
      </c>
      <c r="H409" t="n">
        <v>0</v>
      </c>
      <c r="I409" t="n">
        <v>0</v>
      </c>
      <c r="J409" t="n">
        <v>0</v>
      </c>
      <c r="K409" t="n">
        <v>0</v>
      </c>
      <c r="L409" t="n">
        <v>0</v>
      </c>
      <c r="M409" t="n">
        <v>0</v>
      </c>
      <c r="N409" t="n">
        <v>0</v>
      </c>
      <c r="O409" t="n">
        <v>0</v>
      </c>
      <c r="P409" t="n">
        <v>0</v>
      </c>
      <c r="Q409" t="n">
        <v>0</v>
      </c>
      <c r="R409" s="2" t="inlineStr"/>
    </row>
    <row r="410" ht="15" customHeight="1">
      <c r="A410" t="inlineStr">
        <is>
          <t>A 43540-2022</t>
        </is>
      </c>
      <c r="B410" s="1" t="n">
        <v>44837</v>
      </c>
      <c r="C410" s="1" t="n">
        <v>45692</v>
      </c>
      <c r="D410" t="inlineStr">
        <is>
          <t>DALARNAS LÄN</t>
        </is>
      </c>
      <c r="E410" t="inlineStr">
        <is>
          <t>MORA</t>
        </is>
      </c>
      <c r="G410" t="n">
        <v>10.5</v>
      </c>
      <c r="H410" t="n">
        <v>0</v>
      </c>
      <c r="I410" t="n">
        <v>0</v>
      </c>
      <c r="J410" t="n">
        <v>0</v>
      </c>
      <c r="K410" t="n">
        <v>0</v>
      </c>
      <c r="L410" t="n">
        <v>0</v>
      </c>
      <c r="M410" t="n">
        <v>0</v>
      </c>
      <c r="N410" t="n">
        <v>0</v>
      </c>
      <c r="O410" t="n">
        <v>0</v>
      </c>
      <c r="P410" t="n">
        <v>0</v>
      </c>
      <c r="Q410" t="n">
        <v>0</v>
      </c>
      <c r="R410" s="2" t="inlineStr"/>
    </row>
    <row r="411" ht="15" customHeight="1">
      <c r="A411" t="inlineStr">
        <is>
          <t>A 43641-2022</t>
        </is>
      </c>
      <c r="B411" s="1" t="n">
        <v>44837</v>
      </c>
      <c r="C411" s="1" t="n">
        <v>45692</v>
      </c>
      <c r="D411" t="inlineStr">
        <is>
          <t>DALARNAS LÄN</t>
        </is>
      </c>
      <c r="E411" t="inlineStr">
        <is>
          <t>MORA</t>
        </is>
      </c>
      <c r="G411" t="n">
        <v>1.8</v>
      </c>
      <c r="H411" t="n">
        <v>0</v>
      </c>
      <c r="I411" t="n">
        <v>0</v>
      </c>
      <c r="J411" t="n">
        <v>0</v>
      </c>
      <c r="K411" t="n">
        <v>0</v>
      </c>
      <c r="L411" t="n">
        <v>0</v>
      </c>
      <c r="M411" t="n">
        <v>0</v>
      </c>
      <c r="N411" t="n">
        <v>0</v>
      </c>
      <c r="O411" t="n">
        <v>0</v>
      </c>
      <c r="P411" t="n">
        <v>0</v>
      </c>
      <c r="Q411" t="n">
        <v>0</v>
      </c>
      <c r="R411" s="2" t="inlineStr"/>
    </row>
    <row r="412" ht="15" customHeight="1">
      <c r="A412" t="inlineStr">
        <is>
          <t>A 43826-2022</t>
        </is>
      </c>
      <c r="B412" s="1" t="n">
        <v>44838</v>
      </c>
      <c r="C412" s="1" t="n">
        <v>45692</v>
      </c>
      <c r="D412" t="inlineStr">
        <is>
          <t>DALARNAS LÄN</t>
        </is>
      </c>
      <c r="E412" t="inlineStr">
        <is>
          <t>MORA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43879-2022</t>
        </is>
      </c>
      <c r="B413" s="1" t="n">
        <v>44838</v>
      </c>
      <c r="C413" s="1" t="n">
        <v>45692</v>
      </c>
      <c r="D413" t="inlineStr">
        <is>
          <t>DALARNAS LÄN</t>
        </is>
      </c>
      <c r="E413" t="inlineStr">
        <is>
          <t>MORA</t>
        </is>
      </c>
      <c r="G413" t="n">
        <v>3.4</v>
      </c>
      <c r="H413" t="n">
        <v>0</v>
      </c>
      <c r="I413" t="n">
        <v>0</v>
      </c>
      <c r="J413" t="n">
        <v>0</v>
      </c>
      <c r="K413" t="n">
        <v>0</v>
      </c>
      <c r="L413" t="n">
        <v>0</v>
      </c>
      <c r="M413" t="n">
        <v>0</v>
      </c>
      <c r="N413" t="n">
        <v>0</v>
      </c>
      <c r="O413" t="n">
        <v>0</v>
      </c>
      <c r="P413" t="n">
        <v>0</v>
      </c>
      <c r="Q413" t="n">
        <v>0</v>
      </c>
      <c r="R413" s="2" t="inlineStr"/>
    </row>
    <row r="414" ht="15" customHeight="1">
      <c r="A414" t="inlineStr">
        <is>
          <t>A 43944-2022</t>
        </is>
      </c>
      <c r="B414" s="1" t="n">
        <v>44838</v>
      </c>
      <c r="C414" s="1" t="n">
        <v>45692</v>
      </c>
      <c r="D414" t="inlineStr">
        <is>
          <t>DALARNAS LÄN</t>
        </is>
      </c>
      <c r="E414" t="inlineStr">
        <is>
          <t>MORA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45238-2022</t>
        </is>
      </c>
      <c r="B415" s="1" t="n">
        <v>44844</v>
      </c>
      <c r="C415" s="1" t="n">
        <v>45692</v>
      </c>
      <c r="D415" t="inlineStr">
        <is>
          <t>DALARNAS LÄN</t>
        </is>
      </c>
      <c r="E415" t="inlineStr">
        <is>
          <t>MORA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45463-2022</t>
        </is>
      </c>
      <c r="B416" s="1" t="n">
        <v>44845</v>
      </c>
      <c r="C416" s="1" t="n">
        <v>45692</v>
      </c>
      <c r="D416" t="inlineStr">
        <is>
          <t>DALARNAS LÄN</t>
        </is>
      </c>
      <c r="E416" t="inlineStr">
        <is>
          <t>MORA</t>
        </is>
      </c>
      <c r="G416" t="n">
        <v>8.4</v>
      </c>
      <c r="H416" t="n">
        <v>0</v>
      </c>
      <c r="I416" t="n">
        <v>0</v>
      </c>
      <c r="J416" t="n">
        <v>0</v>
      </c>
      <c r="K416" t="n">
        <v>0</v>
      </c>
      <c r="L416" t="n">
        <v>0</v>
      </c>
      <c r="M416" t="n">
        <v>0</v>
      </c>
      <c r="N416" t="n">
        <v>0</v>
      </c>
      <c r="O416" t="n">
        <v>0</v>
      </c>
      <c r="P416" t="n">
        <v>0</v>
      </c>
      <c r="Q416" t="n">
        <v>0</v>
      </c>
      <c r="R416" s="2" t="inlineStr"/>
    </row>
    <row r="417" ht="15" customHeight="1">
      <c r="A417" t="inlineStr">
        <is>
          <t>A 45462-2022</t>
        </is>
      </c>
      <c r="B417" s="1" t="n">
        <v>44845</v>
      </c>
      <c r="C417" s="1" t="n">
        <v>45692</v>
      </c>
      <c r="D417" t="inlineStr">
        <is>
          <t>DALARNAS LÄN</t>
        </is>
      </c>
      <c r="E417" t="inlineStr">
        <is>
          <t>MORA</t>
        </is>
      </c>
      <c r="G417" t="n">
        <v>6.9</v>
      </c>
      <c r="H417" t="n">
        <v>0</v>
      </c>
      <c r="I417" t="n">
        <v>0</v>
      </c>
      <c r="J417" t="n">
        <v>0</v>
      </c>
      <c r="K417" t="n">
        <v>0</v>
      </c>
      <c r="L417" t="n">
        <v>0</v>
      </c>
      <c r="M417" t="n">
        <v>0</v>
      </c>
      <c r="N417" t="n">
        <v>0</v>
      </c>
      <c r="O417" t="n">
        <v>0</v>
      </c>
      <c r="P417" t="n">
        <v>0</v>
      </c>
      <c r="Q417" t="n">
        <v>0</v>
      </c>
      <c r="R417" s="2" t="inlineStr"/>
    </row>
    <row r="418" ht="15" customHeight="1">
      <c r="A418" t="inlineStr">
        <is>
          <t>A 45465-2022</t>
        </is>
      </c>
      <c r="B418" s="1" t="n">
        <v>44845</v>
      </c>
      <c r="C418" s="1" t="n">
        <v>45692</v>
      </c>
      <c r="D418" t="inlineStr">
        <is>
          <t>DALARNAS LÄN</t>
        </is>
      </c>
      <c r="E418" t="inlineStr">
        <is>
          <t>MORA</t>
        </is>
      </c>
      <c r="G418" t="n">
        <v>10.6</v>
      </c>
      <c r="H418" t="n">
        <v>0</v>
      </c>
      <c r="I418" t="n">
        <v>0</v>
      </c>
      <c r="J418" t="n">
        <v>0</v>
      </c>
      <c r="K418" t="n">
        <v>0</v>
      </c>
      <c r="L418" t="n">
        <v>0</v>
      </c>
      <c r="M418" t="n">
        <v>0</v>
      </c>
      <c r="N418" t="n">
        <v>0</v>
      </c>
      <c r="O418" t="n">
        <v>0</v>
      </c>
      <c r="P418" t="n">
        <v>0</v>
      </c>
      <c r="Q418" t="n">
        <v>0</v>
      </c>
      <c r="R418" s="2" t="inlineStr"/>
    </row>
    <row r="419" ht="15" customHeight="1">
      <c r="A419" t="inlineStr">
        <is>
          <t>A 46188-2022</t>
        </is>
      </c>
      <c r="B419" s="1" t="n">
        <v>44847</v>
      </c>
      <c r="C419" s="1" t="n">
        <v>45692</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46402-2022</t>
        </is>
      </c>
      <c r="B420" s="1" t="n">
        <v>44848</v>
      </c>
      <c r="C420" s="1" t="n">
        <v>45692</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46801-2022</t>
        </is>
      </c>
      <c r="B421" s="1" t="n">
        <v>44851</v>
      </c>
      <c r="C421" s="1" t="n">
        <v>45692</v>
      </c>
      <c r="D421" t="inlineStr">
        <is>
          <t>DALARNAS LÄN</t>
        </is>
      </c>
      <c r="E421" t="inlineStr">
        <is>
          <t>MORA</t>
        </is>
      </c>
      <c r="G421" t="n">
        <v>1.5</v>
      </c>
      <c r="H421" t="n">
        <v>0</v>
      </c>
      <c r="I421" t="n">
        <v>0</v>
      </c>
      <c r="J421" t="n">
        <v>0</v>
      </c>
      <c r="K421" t="n">
        <v>0</v>
      </c>
      <c r="L421" t="n">
        <v>0</v>
      </c>
      <c r="M421" t="n">
        <v>0</v>
      </c>
      <c r="N421" t="n">
        <v>0</v>
      </c>
      <c r="O421" t="n">
        <v>0</v>
      </c>
      <c r="P421" t="n">
        <v>0</v>
      </c>
      <c r="Q421" t="n">
        <v>0</v>
      </c>
      <c r="R421" s="2" t="inlineStr"/>
    </row>
    <row r="422" ht="15" customHeight="1">
      <c r="A422" t="inlineStr">
        <is>
          <t>A 47143-2022</t>
        </is>
      </c>
      <c r="B422" s="1" t="n">
        <v>44852</v>
      </c>
      <c r="C422" s="1" t="n">
        <v>45692</v>
      </c>
      <c r="D422" t="inlineStr">
        <is>
          <t>DALARNAS LÄN</t>
        </is>
      </c>
      <c r="E422" t="inlineStr">
        <is>
          <t>MORA</t>
        </is>
      </c>
      <c r="G422" t="n">
        <v>3.9</v>
      </c>
      <c r="H422" t="n">
        <v>0</v>
      </c>
      <c r="I422" t="n">
        <v>0</v>
      </c>
      <c r="J422" t="n">
        <v>0</v>
      </c>
      <c r="K422" t="n">
        <v>0</v>
      </c>
      <c r="L422" t="n">
        <v>0</v>
      </c>
      <c r="M422" t="n">
        <v>0</v>
      </c>
      <c r="N422" t="n">
        <v>0</v>
      </c>
      <c r="O422" t="n">
        <v>0</v>
      </c>
      <c r="P422" t="n">
        <v>0</v>
      </c>
      <c r="Q422" t="n">
        <v>0</v>
      </c>
      <c r="R422" s="2" t="inlineStr"/>
    </row>
    <row r="423" ht="15" customHeight="1">
      <c r="A423" t="inlineStr">
        <is>
          <t>A 47429-2022</t>
        </is>
      </c>
      <c r="B423" s="1" t="n">
        <v>44853</v>
      </c>
      <c r="C423" s="1" t="n">
        <v>45692</v>
      </c>
      <c r="D423" t="inlineStr">
        <is>
          <t>DALARNAS LÄN</t>
        </is>
      </c>
      <c r="E423" t="inlineStr">
        <is>
          <t>MORA</t>
        </is>
      </c>
      <c r="G423" t="n">
        <v>3</v>
      </c>
      <c r="H423" t="n">
        <v>0</v>
      </c>
      <c r="I423" t="n">
        <v>0</v>
      </c>
      <c r="J423" t="n">
        <v>0</v>
      </c>
      <c r="K423" t="n">
        <v>0</v>
      </c>
      <c r="L423" t="n">
        <v>0</v>
      </c>
      <c r="M423" t="n">
        <v>0</v>
      </c>
      <c r="N423" t="n">
        <v>0</v>
      </c>
      <c r="O423" t="n">
        <v>0</v>
      </c>
      <c r="P423" t="n">
        <v>0</v>
      </c>
      <c r="Q423" t="n">
        <v>0</v>
      </c>
      <c r="R423" s="2" t="inlineStr"/>
    </row>
    <row r="424" ht="15" customHeight="1">
      <c r="A424" t="inlineStr">
        <is>
          <t>A 48383-2022</t>
        </is>
      </c>
      <c r="B424" s="1" t="n">
        <v>44858</v>
      </c>
      <c r="C424" s="1" t="n">
        <v>45692</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48376-2022</t>
        </is>
      </c>
      <c r="B425" s="1" t="n">
        <v>44858</v>
      </c>
      <c r="C425" s="1" t="n">
        <v>45692</v>
      </c>
      <c r="D425" t="inlineStr">
        <is>
          <t>DALARNAS LÄN</t>
        </is>
      </c>
      <c r="E425" t="inlineStr">
        <is>
          <t>MORA</t>
        </is>
      </c>
      <c r="G425" t="n">
        <v>2.8</v>
      </c>
      <c r="H425" t="n">
        <v>0</v>
      </c>
      <c r="I425" t="n">
        <v>0</v>
      </c>
      <c r="J425" t="n">
        <v>0</v>
      </c>
      <c r="K425" t="n">
        <v>0</v>
      </c>
      <c r="L425" t="n">
        <v>0</v>
      </c>
      <c r="M425" t="n">
        <v>0</v>
      </c>
      <c r="N425" t="n">
        <v>0</v>
      </c>
      <c r="O425" t="n">
        <v>0</v>
      </c>
      <c r="P425" t="n">
        <v>0</v>
      </c>
      <c r="Q425" t="n">
        <v>0</v>
      </c>
      <c r="R425" s="2" t="inlineStr"/>
    </row>
    <row r="426" ht="15" customHeight="1">
      <c r="A426" t="inlineStr">
        <is>
          <t>A 48456-2022</t>
        </is>
      </c>
      <c r="B426" s="1" t="n">
        <v>44858</v>
      </c>
      <c r="C426" s="1" t="n">
        <v>45692</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48570-2022</t>
        </is>
      </c>
      <c r="B427" s="1" t="n">
        <v>44859</v>
      </c>
      <c r="C427" s="1" t="n">
        <v>45692</v>
      </c>
      <c r="D427" t="inlineStr">
        <is>
          <t>DALARNAS LÄN</t>
        </is>
      </c>
      <c r="E427" t="inlineStr">
        <is>
          <t>MORA</t>
        </is>
      </c>
      <c r="G427" t="n">
        <v>6.2</v>
      </c>
      <c r="H427" t="n">
        <v>0</v>
      </c>
      <c r="I427" t="n">
        <v>0</v>
      </c>
      <c r="J427" t="n">
        <v>0</v>
      </c>
      <c r="K427" t="n">
        <v>0</v>
      </c>
      <c r="L427" t="n">
        <v>0</v>
      </c>
      <c r="M427" t="n">
        <v>0</v>
      </c>
      <c r="N427" t="n">
        <v>0</v>
      </c>
      <c r="O427" t="n">
        <v>0</v>
      </c>
      <c r="P427" t="n">
        <v>0</v>
      </c>
      <c r="Q427" t="n">
        <v>0</v>
      </c>
      <c r="R427" s="2" t="inlineStr"/>
    </row>
    <row r="428" ht="15" customHeight="1">
      <c r="A428" t="inlineStr">
        <is>
          <t>A 48728-2022</t>
        </is>
      </c>
      <c r="B428" s="1" t="n">
        <v>44859</v>
      </c>
      <c r="C428" s="1" t="n">
        <v>45692</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49257-2022</t>
        </is>
      </c>
      <c r="B429" s="1" t="n">
        <v>44861</v>
      </c>
      <c r="C429" s="1" t="n">
        <v>45692</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50056-2022</t>
        </is>
      </c>
      <c r="B430" s="1" t="n">
        <v>44865</v>
      </c>
      <c r="C430" s="1" t="n">
        <v>45692</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50719-2022</t>
        </is>
      </c>
      <c r="B431" s="1" t="n">
        <v>44867</v>
      </c>
      <c r="C431" s="1" t="n">
        <v>45692</v>
      </c>
      <c r="D431" t="inlineStr">
        <is>
          <t>DALARNAS LÄN</t>
        </is>
      </c>
      <c r="E431" t="inlineStr">
        <is>
          <t>MORA</t>
        </is>
      </c>
      <c r="G431" t="n">
        <v>2.4</v>
      </c>
      <c r="H431" t="n">
        <v>0</v>
      </c>
      <c r="I431" t="n">
        <v>0</v>
      </c>
      <c r="J431" t="n">
        <v>0</v>
      </c>
      <c r="K431" t="n">
        <v>0</v>
      </c>
      <c r="L431" t="n">
        <v>0</v>
      </c>
      <c r="M431" t="n">
        <v>0</v>
      </c>
      <c r="N431" t="n">
        <v>0</v>
      </c>
      <c r="O431" t="n">
        <v>0</v>
      </c>
      <c r="P431" t="n">
        <v>0</v>
      </c>
      <c r="Q431" t="n">
        <v>0</v>
      </c>
      <c r="R431" s="2" t="inlineStr"/>
    </row>
    <row r="432" ht="15" customHeight="1">
      <c r="A432" t="inlineStr">
        <is>
          <t>A 51444-2022</t>
        </is>
      </c>
      <c r="B432" s="1" t="n">
        <v>44869</v>
      </c>
      <c r="C432" s="1" t="n">
        <v>45692</v>
      </c>
      <c r="D432" t="inlineStr">
        <is>
          <t>DALARNAS LÄN</t>
        </is>
      </c>
      <c r="E432" t="inlineStr">
        <is>
          <t>MORA</t>
        </is>
      </c>
      <c r="G432" t="n">
        <v>24.3</v>
      </c>
      <c r="H432" t="n">
        <v>0</v>
      </c>
      <c r="I432" t="n">
        <v>0</v>
      </c>
      <c r="J432" t="n">
        <v>0</v>
      </c>
      <c r="K432" t="n">
        <v>0</v>
      </c>
      <c r="L432" t="n">
        <v>0</v>
      </c>
      <c r="M432" t="n">
        <v>0</v>
      </c>
      <c r="N432" t="n">
        <v>0</v>
      </c>
      <c r="O432" t="n">
        <v>0</v>
      </c>
      <c r="P432" t="n">
        <v>0</v>
      </c>
      <c r="Q432" t="n">
        <v>0</v>
      </c>
      <c r="R432" s="2" t="inlineStr"/>
    </row>
    <row r="433" ht="15" customHeight="1">
      <c r="A433" t="inlineStr">
        <is>
          <t>A 52525-2022</t>
        </is>
      </c>
      <c r="B433" s="1" t="n">
        <v>44874</v>
      </c>
      <c r="C433" s="1" t="n">
        <v>45692</v>
      </c>
      <c r="D433" t="inlineStr">
        <is>
          <t>DALARNAS LÄN</t>
        </is>
      </c>
      <c r="E433" t="inlineStr">
        <is>
          <t>MORA</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52557-2022</t>
        </is>
      </c>
      <c r="B434" s="1" t="n">
        <v>44874</v>
      </c>
      <c r="C434" s="1" t="n">
        <v>45692</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52845-2022</t>
        </is>
      </c>
      <c r="B435" s="1" t="n">
        <v>44875</v>
      </c>
      <c r="C435" s="1" t="n">
        <v>45692</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53214-2022</t>
        </is>
      </c>
      <c r="B436" s="1" t="n">
        <v>44876</v>
      </c>
      <c r="C436" s="1" t="n">
        <v>45692</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54409-2022</t>
        </is>
      </c>
      <c r="B437" s="1" t="n">
        <v>44882</v>
      </c>
      <c r="C437" s="1" t="n">
        <v>45692</v>
      </c>
      <c r="D437" t="inlineStr">
        <is>
          <t>DALARNAS LÄN</t>
        </is>
      </c>
      <c r="E437" t="inlineStr">
        <is>
          <t>MORA</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54739-2022</t>
        </is>
      </c>
      <c r="B438" s="1" t="n">
        <v>44883</v>
      </c>
      <c r="C438" s="1" t="n">
        <v>45692</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55010-2022</t>
        </is>
      </c>
      <c r="B439" s="1" t="n">
        <v>44886</v>
      </c>
      <c r="C439" s="1" t="n">
        <v>45692</v>
      </c>
      <c r="D439" t="inlineStr">
        <is>
          <t>DALARNAS LÄN</t>
        </is>
      </c>
      <c r="E439" t="inlineStr">
        <is>
          <t>MORA</t>
        </is>
      </c>
      <c r="G439" t="n">
        <v>2.2</v>
      </c>
      <c r="H439" t="n">
        <v>0</v>
      </c>
      <c r="I439" t="n">
        <v>0</v>
      </c>
      <c r="J439" t="n">
        <v>0</v>
      </c>
      <c r="K439" t="n">
        <v>0</v>
      </c>
      <c r="L439" t="n">
        <v>0</v>
      </c>
      <c r="M439" t="n">
        <v>0</v>
      </c>
      <c r="N439" t="n">
        <v>0</v>
      </c>
      <c r="O439" t="n">
        <v>0</v>
      </c>
      <c r="P439" t="n">
        <v>0</v>
      </c>
      <c r="Q439" t="n">
        <v>0</v>
      </c>
      <c r="R439" s="2" t="inlineStr"/>
    </row>
    <row r="440" ht="15" customHeight="1">
      <c r="A440" t="inlineStr">
        <is>
          <t>A 55051-2022</t>
        </is>
      </c>
      <c r="B440" s="1" t="n">
        <v>44886</v>
      </c>
      <c r="C440" s="1" t="n">
        <v>45692</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55106-2022</t>
        </is>
      </c>
      <c r="B441" s="1" t="n">
        <v>44886</v>
      </c>
      <c r="C441" s="1" t="n">
        <v>45692</v>
      </c>
      <c r="D441" t="inlineStr">
        <is>
          <t>DALARNAS LÄN</t>
        </is>
      </c>
      <c r="E441" t="inlineStr">
        <is>
          <t>MORA</t>
        </is>
      </c>
      <c r="G441" t="n">
        <v>7.7</v>
      </c>
      <c r="H441" t="n">
        <v>0</v>
      </c>
      <c r="I441" t="n">
        <v>0</v>
      </c>
      <c r="J441" t="n">
        <v>0</v>
      </c>
      <c r="K441" t="n">
        <v>0</v>
      </c>
      <c r="L441" t="n">
        <v>0</v>
      </c>
      <c r="M441" t="n">
        <v>0</v>
      </c>
      <c r="N441" t="n">
        <v>0</v>
      </c>
      <c r="O441" t="n">
        <v>0</v>
      </c>
      <c r="P441" t="n">
        <v>0</v>
      </c>
      <c r="Q441" t="n">
        <v>0</v>
      </c>
      <c r="R441" s="2" t="inlineStr"/>
    </row>
    <row r="442" ht="15" customHeight="1">
      <c r="A442" t="inlineStr">
        <is>
          <t>A 55077-2022</t>
        </is>
      </c>
      <c r="B442" s="1" t="n">
        <v>44886</v>
      </c>
      <c r="C442" s="1" t="n">
        <v>45692</v>
      </c>
      <c r="D442" t="inlineStr">
        <is>
          <t>DALARNAS LÄN</t>
        </is>
      </c>
      <c r="E442" t="inlineStr">
        <is>
          <t>MORA</t>
        </is>
      </c>
      <c r="G442" t="n">
        <v>2.9</v>
      </c>
      <c r="H442" t="n">
        <v>0</v>
      </c>
      <c r="I442" t="n">
        <v>0</v>
      </c>
      <c r="J442" t="n">
        <v>0</v>
      </c>
      <c r="K442" t="n">
        <v>0</v>
      </c>
      <c r="L442" t="n">
        <v>0</v>
      </c>
      <c r="M442" t="n">
        <v>0</v>
      </c>
      <c r="N442" t="n">
        <v>0</v>
      </c>
      <c r="O442" t="n">
        <v>0</v>
      </c>
      <c r="P442" t="n">
        <v>0</v>
      </c>
      <c r="Q442" t="n">
        <v>0</v>
      </c>
      <c r="R442" s="2" t="inlineStr"/>
    </row>
    <row r="443" ht="15" customHeight="1">
      <c r="A443" t="inlineStr">
        <is>
          <t>A 55331-2022</t>
        </is>
      </c>
      <c r="B443" s="1" t="n">
        <v>44887</v>
      </c>
      <c r="C443" s="1" t="n">
        <v>45692</v>
      </c>
      <c r="D443" t="inlineStr">
        <is>
          <t>DALARNAS LÄN</t>
        </is>
      </c>
      <c r="E443" t="inlineStr">
        <is>
          <t>MORA</t>
        </is>
      </c>
      <c r="F443" t="inlineStr">
        <is>
          <t>Bergvik skog väst AB</t>
        </is>
      </c>
      <c r="G443" t="n">
        <v>2.2</v>
      </c>
      <c r="H443" t="n">
        <v>0</v>
      </c>
      <c r="I443" t="n">
        <v>0</v>
      </c>
      <c r="J443" t="n">
        <v>0</v>
      </c>
      <c r="K443" t="n">
        <v>0</v>
      </c>
      <c r="L443" t="n">
        <v>0</v>
      </c>
      <c r="M443" t="n">
        <v>0</v>
      </c>
      <c r="N443" t="n">
        <v>0</v>
      </c>
      <c r="O443" t="n">
        <v>0</v>
      </c>
      <c r="P443" t="n">
        <v>0</v>
      </c>
      <c r="Q443" t="n">
        <v>0</v>
      </c>
      <c r="R443" s="2" t="inlineStr"/>
    </row>
    <row r="444" ht="15" customHeight="1">
      <c r="A444" t="inlineStr">
        <is>
          <t>A 55356-2022</t>
        </is>
      </c>
      <c r="B444" s="1" t="n">
        <v>44887</v>
      </c>
      <c r="C444" s="1" t="n">
        <v>45692</v>
      </c>
      <c r="D444" t="inlineStr">
        <is>
          <t>DALARNAS LÄN</t>
        </is>
      </c>
      <c r="E444" t="inlineStr">
        <is>
          <t>MORA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56939-2022</t>
        </is>
      </c>
      <c r="B445" s="1" t="n">
        <v>44888</v>
      </c>
      <c r="C445" s="1" t="n">
        <v>45692</v>
      </c>
      <c r="D445" t="inlineStr">
        <is>
          <t>DALARNAS LÄN</t>
        </is>
      </c>
      <c r="E445" t="inlineStr">
        <is>
          <t>MORA</t>
        </is>
      </c>
      <c r="G445" t="n">
        <v>1.4</v>
      </c>
      <c r="H445" t="n">
        <v>0</v>
      </c>
      <c r="I445" t="n">
        <v>0</v>
      </c>
      <c r="J445" t="n">
        <v>0</v>
      </c>
      <c r="K445" t="n">
        <v>0</v>
      </c>
      <c r="L445" t="n">
        <v>0</v>
      </c>
      <c r="M445" t="n">
        <v>0</v>
      </c>
      <c r="N445" t="n">
        <v>0</v>
      </c>
      <c r="O445" t="n">
        <v>0</v>
      </c>
      <c r="P445" t="n">
        <v>0</v>
      </c>
      <c r="Q445" t="n">
        <v>0</v>
      </c>
      <c r="R445" s="2" t="inlineStr"/>
    </row>
    <row r="446" ht="15" customHeight="1">
      <c r="A446" t="inlineStr">
        <is>
          <t>A 55993-2022</t>
        </is>
      </c>
      <c r="B446" s="1" t="n">
        <v>44889</v>
      </c>
      <c r="C446" s="1" t="n">
        <v>45692</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55925-2022</t>
        </is>
      </c>
      <c r="B447" s="1" t="n">
        <v>44889</v>
      </c>
      <c r="C447" s="1" t="n">
        <v>45692</v>
      </c>
      <c r="D447" t="inlineStr">
        <is>
          <t>DALARNAS LÄN</t>
        </is>
      </c>
      <c r="E447" t="inlineStr">
        <is>
          <t>MORA</t>
        </is>
      </c>
      <c r="F447" t="inlineStr">
        <is>
          <t>Allmännings- och besparingsskogar</t>
        </is>
      </c>
      <c r="G447" t="n">
        <v>15.6</v>
      </c>
      <c r="H447" t="n">
        <v>0</v>
      </c>
      <c r="I447" t="n">
        <v>0</v>
      </c>
      <c r="J447" t="n">
        <v>0</v>
      </c>
      <c r="K447" t="n">
        <v>0</v>
      </c>
      <c r="L447" t="n">
        <v>0</v>
      </c>
      <c r="M447" t="n">
        <v>0</v>
      </c>
      <c r="N447" t="n">
        <v>0</v>
      </c>
      <c r="O447" t="n">
        <v>0</v>
      </c>
      <c r="P447" t="n">
        <v>0</v>
      </c>
      <c r="Q447" t="n">
        <v>0</v>
      </c>
      <c r="R447" s="2" t="inlineStr"/>
    </row>
    <row r="448" ht="15" customHeight="1">
      <c r="A448" t="inlineStr">
        <is>
          <t>A 56321-2022</t>
        </is>
      </c>
      <c r="B448" s="1" t="n">
        <v>44890</v>
      </c>
      <c r="C448" s="1" t="n">
        <v>45692</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56460-2022</t>
        </is>
      </c>
      <c r="B449" s="1" t="n">
        <v>44893</v>
      </c>
      <c r="C449" s="1" t="n">
        <v>45692</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56678-2022</t>
        </is>
      </c>
      <c r="B450" s="1" t="n">
        <v>44893</v>
      </c>
      <c r="C450" s="1" t="n">
        <v>45692</v>
      </c>
      <c r="D450" t="inlineStr">
        <is>
          <t>DALARNAS LÄN</t>
        </is>
      </c>
      <c r="E450" t="inlineStr">
        <is>
          <t>MORA</t>
        </is>
      </c>
      <c r="G450" t="n">
        <v>4.7</v>
      </c>
      <c r="H450" t="n">
        <v>0</v>
      </c>
      <c r="I450" t="n">
        <v>0</v>
      </c>
      <c r="J450" t="n">
        <v>0</v>
      </c>
      <c r="K450" t="n">
        <v>0</v>
      </c>
      <c r="L450" t="n">
        <v>0</v>
      </c>
      <c r="M450" t="n">
        <v>0</v>
      </c>
      <c r="N450" t="n">
        <v>0</v>
      </c>
      <c r="O450" t="n">
        <v>0</v>
      </c>
      <c r="P450" t="n">
        <v>0</v>
      </c>
      <c r="Q450" t="n">
        <v>0</v>
      </c>
      <c r="R450" s="2" t="inlineStr"/>
    </row>
    <row r="451" ht="15" customHeight="1">
      <c r="A451" t="inlineStr">
        <is>
          <t>A 56770-2022</t>
        </is>
      </c>
      <c r="B451" s="1" t="n">
        <v>44894</v>
      </c>
      <c r="C451" s="1" t="n">
        <v>45692</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56865-2022</t>
        </is>
      </c>
      <c r="B452" s="1" t="n">
        <v>44894</v>
      </c>
      <c r="C452" s="1" t="n">
        <v>45692</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57475-2022</t>
        </is>
      </c>
      <c r="B453" s="1" t="n">
        <v>44896</v>
      </c>
      <c r="C453" s="1" t="n">
        <v>45692</v>
      </c>
      <c r="D453" t="inlineStr">
        <is>
          <t>DALARNAS LÄN</t>
        </is>
      </c>
      <c r="E453" t="inlineStr">
        <is>
          <t>MORA</t>
        </is>
      </c>
      <c r="G453" t="n">
        <v>5.7</v>
      </c>
      <c r="H453" t="n">
        <v>0</v>
      </c>
      <c r="I453" t="n">
        <v>0</v>
      </c>
      <c r="J453" t="n">
        <v>0</v>
      </c>
      <c r="K453" t="n">
        <v>0</v>
      </c>
      <c r="L453" t="n">
        <v>0</v>
      </c>
      <c r="M453" t="n">
        <v>0</v>
      </c>
      <c r="N453" t="n">
        <v>0</v>
      </c>
      <c r="O453" t="n">
        <v>0</v>
      </c>
      <c r="P453" t="n">
        <v>0</v>
      </c>
      <c r="Q453" t="n">
        <v>0</v>
      </c>
      <c r="R453" s="2" t="inlineStr"/>
    </row>
    <row r="454" ht="15" customHeight="1">
      <c r="A454" t="inlineStr">
        <is>
          <t>A 57797-2022</t>
        </is>
      </c>
      <c r="B454" s="1" t="n">
        <v>44897</v>
      </c>
      <c r="C454" s="1" t="n">
        <v>45692</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57859-2022</t>
        </is>
      </c>
      <c r="B455" s="1" t="n">
        <v>44898</v>
      </c>
      <c r="C455" s="1" t="n">
        <v>45692</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57903-2022</t>
        </is>
      </c>
      <c r="B456" s="1" t="n">
        <v>44900</v>
      </c>
      <c r="C456" s="1" t="n">
        <v>45692</v>
      </c>
      <c r="D456" t="inlineStr">
        <is>
          <t>DALARNAS LÄN</t>
        </is>
      </c>
      <c r="E456" t="inlineStr">
        <is>
          <t>MORA</t>
        </is>
      </c>
      <c r="G456" t="n">
        <v>4.3</v>
      </c>
      <c r="H456" t="n">
        <v>0</v>
      </c>
      <c r="I456" t="n">
        <v>0</v>
      </c>
      <c r="J456" t="n">
        <v>0</v>
      </c>
      <c r="K456" t="n">
        <v>0</v>
      </c>
      <c r="L456" t="n">
        <v>0</v>
      </c>
      <c r="M456" t="n">
        <v>0</v>
      </c>
      <c r="N456" t="n">
        <v>0</v>
      </c>
      <c r="O456" t="n">
        <v>0</v>
      </c>
      <c r="P456" t="n">
        <v>0</v>
      </c>
      <c r="Q456" t="n">
        <v>0</v>
      </c>
      <c r="R456" s="2" t="inlineStr"/>
    </row>
    <row r="457" ht="15" customHeight="1">
      <c r="A457" t="inlineStr">
        <is>
          <t>A 58116-2022</t>
        </is>
      </c>
      <c r="B457" s="1" t="n">
        <v>44900</v>
      </c>
      <c r="C457" s="1" t="n">
        <v>45692</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58357-2022</t>
        </is>
      </c>
      <c r="B458" s="1" t="n">
        <v>44901</v>
      </c>
      <c r="C458" s="1" t="n">
        <v>45692</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58525-2022</t>
        </is>
      </c>
      <c r="B459" s="1" t="n">
        <v>44902</v>
      </c>
      <c r="C459" s="1" t="n">
        <v>45692</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58958-2022</t>
        </is>
      </c>
      <c r="B460" s="1" t="n">
        <v>44903</v>
      </c>
      <c r="C460" s="1" t="n">
        <v>45692</v>
      </c>
      <c r="D460" t="inlineStr">
        <is>
          <t>DALARNAS LÄN</t>
        </is>
      </c>
      <c r="E460" t="inlineStr">
        <is>
          <t>MORA</t>
        </is>
      </c>
      <c r="G460" t="n">
        <v>1.1</v>
      </c>
      <c r="H460" t="n">
        <v>0</v>
      </c>
      <c r="I460" t="n">
        <v>0</v>
      </c>
      <c r="J460" t="n">
        <v>0</v>
      </c>
      <c r="K460" t="n">
        <v>0</v>
      </c>
      <c r="L460" t="n">
        <v>0</v>
      </c>
      <c r="M460" t="n">
        <v>0</v>
      </c>
      <c r="N460" t="n">
        <v>0</v>
      </c>
      <c r="O460" t="n">
        <v>0</v>
      </c>
      <c r="P460" t="n">
        <v>0</v>
      </c>
      <c r="Q460" t="n">
        <v>0</v>
      </c>
      <c r="R460" s="2" t="inlineStr"/>
    </row>
    <row r="461" ht="15" customHeight="1">
      <c r="A461" t="inlineStr">
        <is>
          <t>A 59406-2022</t>
        </is>
      </c>
      <c r="B461" s="1" t="n">
        <v>44906</v>
      </c>
      <c r="C461" s="1" t="n">
        <v>45692</v>
      </c>
      <c r="D461" t="inlineStr">
        <is>
          <t>DALARNAS LÄN</t>
        </is>
      </c>
      <c r="E461" t="inlineStr">
        <is>
          <t>MORA</t>
        </is>
      </c>
      <c r="G461" t="n">
        <v>16.3</v>
      </c>
      <c r="H461" t="n">
        <v>0</v>
      </c>
      <c r="I461" t="n">
        <v>0</v>
      </c>
      <c r="J461" t="n">
        <v>0</v>
      </c>
      <c r="K461" t="n">
        <v>0</v>
      </c>
      <c r="L461" t="n">
        <v>0</v>
      </c>
      <c r="M461" t="n">
        <v>0</v>
      </c>
      <c r="N461" t="n">
        <v>0</v>
      </c>
      <c r="O461" t="n">
        <v>0</v>
      </c>
      <c r="P461" t="n">
        <v>0</v>
      </c>
      <c r="Q461" t="n">
        <v>0</v>
      </c>
      <c r="R461" s="2" t="inlineStr"/>
    </row>
    <row r="462" ht="15" customHeight="1">
      <c r="A462" t="inlineStr">
        <is>
          <t>A 59419-2022</t>
        </is>
      </c>
      <c r="B462" s="1" t="n">
        <v>44907</v>
      </c>
      <c r="C462" s="1" t="n">
        <v>45692</v>
      </c>
      <c r="D462" t="inlineStr">
        <is>
          <t>DALARNAS LÄN</t>
        </is>
      </c>
      <c r="E462" t="inlineStr">
        <is>
          <t>MORA</t>
        </is>
      </c>
      <c r="G462" t="n">
        <v>9.1</v>
      </c>
      <c r="H462" t="n">
        <v>0</v>
      </c>
      <c r="I462" t="n">
        <v>0</v>
      </c>
      <c r="J462" t="n">
        <v>0</v>
      </c>
      <c r="K462" t="n">
        <v>0</v>
      </c>
      <c r="L462" t="n">
        <v>0</v>
      </c>
      <c r="M462" t="n">
        <v>0</v>
      </c>
      <c r="N462" t="n">
        <v>0</v>
      </c>
      <c r="O462" t="n">
        <v>0</v>
      </c>
      <c r="P462" t="n">
        <v>0</v>
      </c>
      <c r="Q462" t="n">
        <v>0</v>
      </c>
      <c r="R462" s="2" t="inlineStr"/>
    </row>
    <row r="463" ht="15" customHeight="1">
      <c r="A463" t="inlineStr">
        <is>
          <t>A 59448-2022</t>
        </is>
      </c>
      <c r="B463" s="1" t="n">
        <v>44907</v>
      </c>
      <c r="C463" s="1" t="n">
        <v>45692</v>
      </c>
      <c r="D463" t="inlineStr">
        <is>
          <t>DALARNAS LÄN</t>
        </is>
      </c>
      <c r="E463" t="inlineStr">
        <is>
          <t>MORA</t>
        </is>
      </c>
      <c r="G463" t="n">
        <v>35.7</v>
      </c>
      <c r="H463" t="n">
        <v>0</v>
      </c>
      <c r="I463" t="n">
        <v>0</v>
      </c>
      <c r="J463" t="n">
        <v>0</v>
      </c>
      <c r="K463" t="n">
        <v>0</v>
      </c>
      <c r="L463" t="n">
        <v>0</v>
      </c>
      <c r="M463" t="n">
        <v>0</v>
      </c>
      <c r="N463" t="n">
        <v>0</v>
      </c>
      <c r="O463" t="n">
        <v>0</v>
      </c>
      <c r="P463" t="n">
        <v>0</v>
      </c>
      <c r="Q463" t="n">
        <v>0</v>
      </c>
      <c r="R463" s="2" t="inlineStr"/>
    </row>
    <row r="464" ht="15" customHeight="1">
      <c r="A464" t="inlineStr">
        <is>
          <t>A 60051-2022</t>
        </is>
      </c>
      <c r="B464" s="1" t="n">
        <v>44909</v>
      </c>
      <c r="C464" s="1" t="n">
        <v>45692</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60647-2022</t>
        </is>
      </c>
      <c r="B465" s="1" t="n">
        <v>44911</v>
      </c>
      <c r="C465" s="1" t="n">
        <v>45692</v>
      </c>
      <c r="D465" t="inlineStr">
        <is>
          <t>DALARNAS LÄN</t>
        </is>
      </c>
      <c r="E465" t="inlineStr">
        <is>
          <t>MORA</t>
        </is>
      </c>
      <c r="G465" t="n">
        <v>4.8</v>
      </c>
      <c r="H465" t="n">
        <v>0</v>
      </c>
      <c r="I465" t="n">
        <v>0</v>
      </c>
      <c r="J465" t="n">
        <v>0</v>
      </c>
      <c r="K465" t="n">
        <v>0</v>
      </c>
      <c r="L465" t="n">
        <v>0</v>
      </c>
      <c r="M465" t="n">
        <v>0</v>
      </c>
      <c r="N465" t="n">
        <v>0</v>
      </c>
      <c r="O465" t="n">
        <v>0</v>
      </c>
      <c r="P465" t="n">
        <v>0</v>
      </c>
      <c r="Q465" t="n">
        <v>0</v>
      </c>
      <c r="R465" s="2" t="inlineStr"/>
    </row>
    <row r="466" ht="15" customHeight="1">
      <c r="A466" t="inlineStr">
        <is>
          <t>A 61263-2022</t>
        </is>
      </c>
      <c r="B466" s="1" t="n">
        <v>44915</v>
      </c>
      <c r="C466" s="1" t="n">
        <v>45692</v>
      </c>
      <c r="D466" t="inlineStr">
        <is>
          <t>DALARNAS LÄN</t>
        </is>
      </c>
      <c r="E466" t="inlineStr">
        <is>
          <t>MORA</t>
        </is>
      </c>
      <c r="G466" t="n">
        <v>3.2</v>
      </c>
      <c r="H466" t="n">
        <v>0</v>
      </c>
      <c r="I466" t="n">
        <v>0</v>
      </c>
      <c r="J466" t="n">
        <v>0</v>
      </c>
      <c r="K466" t="n">
        <v>0</v>
      </c>
      <c r="L466" t="n">
        <v>0</v>
      </c>
      <c r="M466" t="n">
        <v>0</v>
      </c>
      <c r="N466" t="n">
        <v>0</v>
      </c>
      <c r="O466" t="n">
        <v>0</v>
      </c>
      <c r="P466" t="n">
        <v>0</v>
      </c>
      <c r="Q466" t="n">
        <v>0</v>
      </c>
      <c r="R466" s="2" t="inlineStr"/>
    </row>
    <row r="467" ht="15" customHeight="1">
      <c r="A467" t="inlineStr">
        <is>
          <t>A 61273-2022</t>
        </is>
      </c>
      <c r="B467" s="1" t="n">
        <v>44915</v>
      </c>
      <c r="C467" s="1" t="n">
        <v>45692</v>
      </c>
      <c r="D467" t="inlineStr">
        <is>
          <t>DALARNAS LÄN</t>
        </is>
      </c>
      <c r="E467" t="inlineStr">
        <is>
          <t>MORA</t>
        </is>
      </c>
      <c r="G467" t="n">
        <v>8.4</v>
      </c>
      <c r="H467" t="n">
        <v>0</v>
      </c>
      <c r="I467" t="n">
        <v>0</v>
      </c>
      <c r="J467" t="n">
        <v>0</v>
      </c>
      <c r="K467" t="n">
        <v>0</v>
      </c>
      <c r="L467" t="n">
        <v>0</v>
      </c>
      <c r="M467" t="n">
        <v>0</v>
      </c>
      <c r="N467" t="n">
        <v>0</v>
      </c>
      <c r="O467" t="n">
        <v>0</v>
      </c>
      <c r="P467" t="n">
        <v>0</v>
      </c>
      <c r="Q467" t="n">
        <v>0</v>
      </c>
      <c r="R467" s="2" t="inlineStr"/>
    </row>
    <row r="468" ht="15" customHeight="1">
      <c r="A468" t="inlineStr">
        <is>
          <t>A 61327-2022</t>
        </is>
      </c>
      <c r="B468" s="1" t="n">
        <v>44915</v>
      </c>
      <c r="C468" s="1" t="n">
        <v>45692</v>
      </c>
      <c r="D468" t="inlineStr">
        <is>
          <t>DALARNAS LÄN</t>
        </is>
      </c>
      <c r="E468" t="inlineStr">
        <is>
          <t>MORA</t>
        </is>
      </c>
      <c r="G468" t="n">
        <v>10.1</v>
      </c>
      <c r="H468" t="n">
        <v>0</v>
      </c>
      <c r="I468" t="n">
        <v>0</v>
      </c>
      <c r="J468" t="n">
        <v>0</v>
      </c>
      <c r="K468" t="n">
        <v>0</v>
      </c>
      <c r="L468" t="n">
        <v>0</v>
      </c>
      <c r="M468" t="n">
        <v>0</v>
      </c>
      <c r="N468" t="n">
        <v>0</v>
      </c>
      <c r="O468" t="n">
        <v>0</v>
      </c>
      <c r="P468" t="n">
        <v>0</v>
      </c>
      <c r="Q468" t="n">
        <v>0</v>
      </c>
      <c r="R468" s="2" t="inlineStr"/>
    </row>
    <row r="469" ht="15" customHeight="1">
      <c r="A469" t="inlineStr">
        <is>
          <t>A 61293-2022</t>
        </is>
      </c>
      <c r="B469" s="1" t="n">
        <v>44915</v>
      </c>
      <c r="C469" s="1" t="n">
        <v>45692</v>
      </c>
      <c r="D469" t="inlineStr">
        <is>
          <t>DALARNAS LÄN</t>
        </is>
      </c>
      <c r="E469" t="inlineStr">
        <is>
          <t>MORA</t>
        </is>
      </c>
      <c r="G469" t="n">
        <v>0.3</v>
      </c>
      <c r="H469" t="n">
        <v>0</v>
      </c>
      <c r="I469" t="n">
        <v>0</v>
      </c>
      <c r="J469" t="n">
        <v>0</v>
      </c>
      <c r="K469" t="n">
        <v>0</v>
      </c>
      <c r="L469" t="n">
        <v>0</v>
      </c>
      <c r="M469" t="n">
        <v>0</v>
      </c>
      <c r="N469" t="n">
        <v>0</v>
      </c>
      <c r="O469" t="n">
        <v>0</v>
      </c>
      <c r="P469" t="n">
        <v>0</v>
      </c>
      <c r="Q469" t="n">
        <v>0</v>
      </c>
      <c r="R469" s="2" t="inlineStr"/>
    </row>
    <row r="470" ht="15" customHeight="1">
      <c r="A470" t="inlineStr">
        <is>
          <t>A 61301-2022</t>
        </is>
      </c>
      <c r="B470" s="1" t="n">
        <v>44915</v>
      </c>
      <c r="C470" s="1" t="n">
        <v>45692</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61482-2022</t>
        </is>
      </c>
      <c r="B471" s="1" t="n">
        <v>44916</v>
      </c>
      <c r="C471" s="1" t="n">
        <v>45692</v>
      </c>
      <c r="D471" t="inlineStr">
        <is>
          <t>DALARNAS LÄN</t>
        </is>
      </c>
      <c r="E471" t="inlineStr">
        <is>
          <t>MORA</t>
        </is>
      </c>
      <c r="G471" t="n">
        <v>7.4</v>
      </c>
      <c r="H471" t="n">
        <v>0</v>
      </c>
      <c r="I471" t="n">
        <v>0</v>
      </c>
      <c r="J471" t="n">
        <v>0</v>
      </c>
      <c r="K471" t="n">
        <v>0</v>
      </c>
      <c r="L471" t="n">
        <v>0</v>
      </c>
      <c r="M471" t="n">
        <v>0</v>
      </c>
      <c r="N471" t="n">
        <v>0</v>
      </c>
      <c r="O471" t="n">
        <v>0</v>
      </c>
      <c r="P471" t="n">
        <v>0</v>
      </c>
      <c r="Q471" t="n">
        <v>0</v>
      </c>
      <c r="R471" s="2" t="inlineStr"/>
    </row>
    <row r="472" ht="15" customHeight="1">
      <c r="A472" t="inlineStr">
        <is>
          <t>A 61794-2022</t>
        </is>
      </c>
      <c r="B472" s="1" t="n">
        <v>44917</v>
      </c>
      <c r="C472" s="1" t="n">
        <v>45692</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62188-2022</t>
        </is>
      </c>
      <c r="B473" s="1" t="n">
        <v>44922</v>
      </c>
      <c r="C473" s="1" t="n">
        <v>45692</v>
      </c>
      <c r="D473" t="inlineStr">
        <is>
          <t>DALARNAS LÄN</t>
        </is>
      </c>
      <c r="E473" t="inlineStr">
        <is>
          <t>MORA</t>
        </is>
      </c>
      <c r="G473" t="n">
        <v>2.3</v>
      </c>
      <c r="H473" t="n">
        <v>0</v>
      </c>
      <c r="I473" t="n">
        <v>0</v>
      </c>
      <c r="J473" t="n">
        <v>0</v>
      </c>
      <c r="K473" t="n">
        <v>0</v>
      </c>
      <c r="L473" t="n">
        <v>0</v>
      </c>
      <c r="M473" t="n">
        <v>0</v>
      </c>
      <c r="N473" t="n">
        <v>0</v>
      </c>
      <c r="O473" t="n">
        <v>0</v>
      </c>
      <c r="P473" t="n">
        <v>0</v>
      </c>
      <c r="Q473" t="n">
        <v>0</v>
      </c>
      <c r="R473" s="2" t="inlineStr"/>
    </row>
    <row r="474" ht="15" customHeight="1">
      <c r="A474" t="inlineStr">
        <is>
          <t>A 518-2023</t>
        </is>
      </c>
      <c r="B474" s="1" t="n">
        <v>44930</v>
      </c>
      <c r="C474" s="1" t="n">
        <v>45692</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1888-2023</t>
        </is>
      </c>
      <c r="B475" s="1" t="n">
        <v>44937</v>
      </c>
      <c r="C475" s="1" t="n">
        <v>45692</v>
      </c>
      <c r="D475" t="inlineStr">
        <is>
          <t>DALARNAS LÄN</t>
        </is>
      </c>
      <c r="E475" t="inlineStr">
        <is>
          <t>MORA</t>
        </is>
      </c>
      <c r="G475" t="n">
        <v>3.7</v>
      </c>
      <c r="H475" t="n">
        <v>0</v>
      </c>
      <c r="I475" t="n">
        <v>0</v>
      </c>
      <c r="J475" t="n">
        <v>0</v>
      </c>
      <c r="K475" t="n">
        <v>0</v>
      </c>
      <c r="L475" t="n">
        <v>0</v>
      </c>
      <c r="M475" t="n">
        <v>0</v>
      </c>
      <c r="N475" t="n">
        <v>0</v>
      </c>
      <c r="O475" t="n">
        <v>0</v>
      </c>
      <c r="P475" t="n">
        <v>0</v>
      </c>
      <c r="Q475" t="n">
        <v>0</v>
      </c>
      <c r="R475" s="2" t="inlineStr"/>
    </row>
    <row r="476" ht="15" customHeight="1">
      <c r="A476" t="inlineStr">
        <is>
          <t>A 1906-2023</t>
        </is>
      </c>
      <c r="B476" s="1" t="n">
        <v>44937</v>
      </c>
      <c r="C476" s="1" t="n">
        <v>45692</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1894-2023</t>
        </is>
      </c>
      <c r="B477" s="1" t="n">
        <v>44937</v>
      </c>
      <c r="C477" s="1" t="n">
        <v>45692</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1897-2023</t>
        </is>
      </c>
      <c r="B478" s="1" t="n">
        <v>44937</v>
      </c>
      <c r="C478" s="1" t="n">
        <v>45692</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2308-2023</t>
        </is>
      </c>
      <c r="B479" s="1" t="n">
        <v>44942</v>
      </c>
      <c r="C479" s="1" t="n">
        <v>45692</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2304-2023</t>
        </is>
      </c>
      <c r="B480" s="1" t="n">
        <v>44942</v>
      </c>
      <c r="C480" s="1" t="n">
        <v>45692</v>
      </c>
      <c r="D480" t="inlineStr">
        <is>
          <t>DALARNAS LÄN</t>
        </is>
      </c>
      <c r="E480" t="inlineStr">
        <is>
          <t>MORA</t>
        </is>
      </c>
      <c r="G480" t="n">
        <v>1.3</v>
      </c>
      <c r="H480" t="n">
        <v>0</v>
      </c>
      <c r="I480" t="n">
        <v>0</v>
      </c>
      <c r="J480" t="n">
        <v>0</v>
      </c>
      <c r="K480" t="n">
        <v>0</v>
      </c>
      <c r="L480" t="n">
        <v>0</v>
      </c>
      <c r="M480" t="n">
        <v>0</v>
      </c>
      <c r="N480" t="n">
        <v>0</v>
      </c>
      <c r="O480" t="n">
        <v>0</v>
      </c>
      <c r="P480" t="n">
        <v>0</v>
      </c>
      <c r="Q480" t="n">
        <v>0</v>
      </c>
      <c r="R480" s="2" t="inlineStr"/>
    </row>
    <row r="481" ht="15" customHeight="1">
      <c r="A481" t="inlineStr">
        <is>
          <t>A 2372-2023</t>
        </is>
      </c>
      <c r="B481" s="1" t="n">
        <v>44942</v>
      </c>
      <c r="C481" s="1" t="n">
        <v>45692</v>
      </c>
      <c r="D481" t="inlineStr">
        <is>
          <t>DALARNAS LÄN</t>
        </is>
      </c>
      <c r="E481" t="inlineStr">
        <is>
          <t>MORA</t>
        </is>
      </c>
      <c r="G481" t="n">
        <v>7.7</v>
      </c>
      <c r="H481" t="n">
        <v>0</v>
      </c>
      <c r="I481" t="n">
        <v>0</v>
      </c>
      <c r="J481" t="n">
        <v>0</v>
      </c>
      <c r="K481" t="n">
        <v>0</v>
      </c>
      <c r="L481" t="n">
        <v>0</v>
      </c>
      <c r="M481" t="n">
        <v>0</v>
      </c>
      <c r="N481" t="n">
        <v>0</v>
      </c>
      <c r="O481" t="n">
        <v>0</v>
      </c>
      <c r="P481" t="n">
        <v>0</v>
      </c>
      <c r="Q481" t="n">
        <v>0</v>
      </c>
      <c r="R481" s="2" t="inlineStr"/>
    </row>
    <row r="482" ht="15" customHeight="1">
      <c r="A482" t="inlineStr">
        <is>
          <t>A 2830-2023</t>
        </is>
      </c>
      <c r="B482" s="1" t="n">
        <v>44945</v>
      </c>
      <c r="C482" s="1" t="n">
        <v>45692</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3049-2023</t>
        </is>
      </c>
      <c r="B483" s="1" t="n">
        <v>44946</v>
      </c>
      <c r="C483" s="1" t="n">
        <v>45692</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3430-2023</t>
        </is>
      </c>
      <c r="B484" s="1" t="n">
        <v>44949</v>
      </c>
      <c r="C484" s="1" t="n">
        <v>45692</v>
      </c>
      <c r="D484" t="inlineStr">
        <is>
          <t>DALARNAS LÄN</t>
        </is>
      </c>
      <c r="E484" t="inlineStr">
        <is>
          <t>MORA</t>
        </is>
      </c>
      <c r="G484" t="n">
        <v>2.6</v>
      </c>
      <c r="H484" t="n">
        <v>0</v>
      </c>
      <c r="I484" t="n">
        <v>0</v>
      </c>
      <c r="J484" t="n">
        <v>0</v>
      </c>
      <c r="K484" t="n">
        <v>0</v>
      </c>
      <c r="L484" t="n">
        <v>0</v>
      </c>
      <c r="M484" t="n">
        <v>0</v>
      </c>
      <c r="N484" t="n">
        <v>0</v>
      </c>
      <c r="O484" t="n">
        <v>0</v>
      </c>
      <c r="P484" t="n">
        <v>0</v>
      </c>
      <c r="Q484" t="n">
        <v>0</v>
      </c>
      <c r="R484" s="2" t="inlineStr"/>
    </row>
    <row r="485" ht="15" customHeight="1">
      <c r="A485" t="inlineStr">
        <is>
          <t>A 4205-2023</t>
        </is>
      </c>
      <c r="B485" s="1" t="n">
        <v>44953</v>
      </c>
      <c r="C485" s="1" t="n">
        <v>45692</v>
      </c>
      <c r="D485" t="inlineStr">
        <is>
          <t>DALARNAS LÄN</t>
        </is>
      </c>
      <c r="E485" t="inlineStr">
        <is>
          <t>MORA</t>
        </is>
      </c>
      <c r="G485" t="n">
        <v>26.2</v>
      </c>
      <c r="H485" t="n">
        <v>0</v>
      </c>
      <c r="I485" t="n">
        <v>0</v>
      </c>
      <c r="J485" t="n">
        <v>0</v>
      </c>
      <c r="K485" t="n">
        <v>0</v>
      </c>
      <c r="L485" t="n">
        <v>0</v>
      </c>
      <c r="M485" t="n">
        <v>0</v>
      </c>
      <c r="N485" t="n">
        <v>0</v>
      </c>
      <c r="O485" t="n">
        <v>0</v>
      </c>
      <c r="P485" t="n">
        <v>0</v>
      </c>
      <c r="Q485" t="n">
        <v>0</v>
      </c>
      <c r="R485" s="2" t="inlineStr"/>
    </row>
    <row r="486" ht="15" customHeight="1">
      <c r="A486" t="inlineStr">
        <is>
          <t>A 4210-2023</t>
        </is>
      </c>
      <c r="B486" s="1" t="n">
        <v>44953</v>
      </c>
      <c r="C486" s="1" t="n">
        <v>45692</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4209-2023</t>
        </is>
      </c>
      <c r="B487" s="1" t="n">
        <v>44953</v>
      </c>
      <c r="C487" s="1" t="n">
        <v>45692</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4206-2023</t>
        </is>
      </c>
      <c r="B488" s="1" t="n">
        <v>44953</v>
      </c>
      <c r="C488" s="1" t="n">
        <v>45692</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4208-2023</t>
        </is>
      </c>
      <c r="B489" s="1" t="n">
        <v>44953</v>
      </c>
      <c r="C489" s="1" t="n">
        <v>45692</v>
      </c>
      <c r="D489" t="inlineStr">
        <is>
          <t>DALARNAS LÄN</t>
        </is>
      </c>
      <c r="E489" t="inlineStr">
        <is>
          <t>MORA</t>
        </is>
      </c>
      <c r="G489" t="n">
        <v>2.4</v>
      </c>
      <c r="H489" t="n">
        <v>0</v>
      </c>
      <c r="I489" t="n">
        <v>0</v>
      </c>
      <c r="J489" t="n">
        <v>0</v>
      </c>
      <c r="K489" t="n">
        <v>0</v>
      </c>
      <c r="L489" t="n">
        <v>0</v>
      </c>
      <c r="M489" t="n">
        <v>0</v>
      </c>
      <c r="N489" t="n">
        <v>0</v>
      </c>
      <c r="O489" t="n">
        <v>0</v>
      </c>
      <c r="P489" t="n">
        <v>0</v>
      </c>
      <c r="Q489" t="n">
        <v>0</v>
      </c>
      <c r="R489" s="2" t="inlineStr"/>
    </row>
    <row r="490" ht="15" customHeight="1">
      <c r="A490" t="inlineStr">
        <is>
          <t>A 4497-2023</t>
        </is>
      </c>
      <c r="B490" s="1" t="n">
        <v>44956</v>
      </c>
      <c r="C490" s="1" t="n">
        <v>45692</v>
      </c>
      <c r="D490" t="inlineStr">
        <is>
          <t>DALARNAS LÄN</t>
        </is>
      </c>
      <c r="E490" t="inlineStr">
        <is>
          <t>MORA</t>
        </is>
      </c>
      <c r="G490" t="n">
        <v>6.4</v>
      </c>
      <c r="H490" t="n">
        <v>0</v>
      </c>
      <c r="I490" t="n">
        <v>0</v>
      </c>
      <c r="J490" t="n">
        <v>0</v>
      </c>
      <c r="K490" t="n">
        <v>0</v>
      </c>
      <c r="L490" t="n">
        <v>0</v>
      </c>
      <c r="M490" t="n">
        <v>0</v>
      </c>
      <c r="N490" t="n">
        <v>0</v>
      </c>
      <c r="O490" t="n">
        <v>0</v>
      </c>
      <c r="P490" t="n">
        <v>0</v>
      </c>
      <c r="Q490" t="n">
        <v>0</v>
      </c>
      <c r="R490" s="2" t="inlineStr"/>
    </row>
    <row r="491" ht="15" customHeight="1">
      <c r="A491" t="inlineStr">
        <is>
          <t>A 4506-2023</t>
        </is>
      </c>
      <c r="B491" s="1" t="n">
        <v>44956</v>
      </c>
      <c r="C491" s="1" t="n">
        <v>45692</v>
      </c>
      <c r="D491" t="inlineStr">
        <is>
          <t>DALARNAS LÄN</t>
        </is>
      </c>
      <c r="E491" t="inlineStr">
        <is>
          <t>MORA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5309-2023</t>
        </is>
      </c>
      <c r="B492" s="1" t="n">
        <v>44956</v>
      </c>
      <c r="C492" s="1" t="n">
        <v>45692</v>
      </c>
      <c r="D492" t="inlineStr">
        <is>
          <t>DALARNAS LÄN</t>
        </is>
      </c>
      <c r="E492" t="inlineStr">
        <is>
          <t>MORA</t>
        </is>
      </c>
      <c r="G492" t="n">
        <v>1.1</v>
      </c>
      <c r="H492" t="n">
        <v>0</v>
      </c>
      <c r="I492" t="n">
        <v>0</v>
      </c>
      <c r="J492" t="n">
        <v>0</v>
      </c>
      <c r="K492" t="n">
        <v>0</v>
      </c>
      <c r="L492" t="n">
        <v>0</v>
      </c>
      <c r="M492" t="n">
        <v>0</v>
      </c>
      <c r="N492" t="n">
        <v>0</v>
      </c>
      <c r="O492" t="n">
        <v>0</v>
      </c>
      <c r="P492" t="n">
        <v>0</v>
      </c>
      <c r="Q492" t="n">
        <v>0</v>
      </c>
      <c r="R492" s="2" t="inlineStr"/>
    </row>
    <row r="493" ht="15" customHeight="1">
      <c r="A493" t="inlineStr">
        <is>
          <t>A 5486-2023</t>
        </is>
      </c>
      <c r="B493" s="1" t="n">
        <v>44957</v>
      </c>
      <c r="C493" s="1" t="n">
        <v>45692</v>
      </c>
      <c r="D493" t="inlineStr">
        <is>
          <t>DALARNAS LÄN</t>
        </is>
      </c>
      <c r="E493" t="inlineStr">
        <is>
          <t>MORA</t>
        </is>
      </c>
      <c r="G493" t="n">
        <v>3.2</v>
      </c>
      <c r="H493" t="n">
        <v>0</v>
      </c>
      <c r="I493" t="n">
        <v>0</v>
      </c>
      <c r="J493" t="n">
        <v>0</v>
      </c>
      <c r="K493" t="n">
        <v>0</v>
      </c>
      <c r="L493" t="n">
        <v>0</v>
      </c>
      <c r="M493" t="n">
        <v>0</v>
      </c>
      <c r="N493" t="n">
        <v>0</v>
      </c>
      <c r="O493" t="n">
        <v>0</v>
      </c>
      <c r="P493" t="n">
        <v>0</v>
      </c>
      <c r="Q493" t="n">
        <v>0</v>
      </c>
      <c r="R493" s="2" t="inlineStr"/>
    </row>
    <row r="494" ht="15" customHeight="1">
      <c r="A494" t="inlineStr">
        <is>
          <t>A 5493-2023</t>
        </is>
      </c>
      <c r="B494" s="1" t="n">
        <v>44957</v>
      </c>
      <c r="C494" s="1" t="n">
        <v>45692</v>
      </c>
      <c r="D494" t="inlineStr">
        <is>
          <t>DALARNAS LÄN</t>
        </is>
      </c>
      <c r="E494" t="inlineStr">
        <is>
          <t>MORA</t>
        </is>
      </c>
      <c r="F494" t="inlineStr">
        <is>
          <t>Allmännings- och besparingsskogar</t>
        </is>
      </c>
      <c r="G494" t="n">
        <v>14.9</v>
      </c>
      <c r="H494" t="n">
        <v>0</v>
      </c>
      <c r="I494" t="n">
        <v>0</v>
      </c>
      <c r="J494" t="n">
        <v>0</v>
      </c>
      <c r="K494" t="n">
        <v>0</v>
      </c>
      <c r="L494" t="n">
        <v>0</v>
      </c>
      <c r="M494" t="n">
        <v>0</v>
      </c>
      <c r="N494" t="n">
        <v>0</v>
      </c>
      <c r="O494" t="n">
        <v>0</v>
      </c>
      <c r="P494" t="n">
        <v>0</v>
      </c>
      <c r="Q494" t="n">
        <v>0</v>
      </c>
      <c r="R494" s="2" t="inlineStr"/>
    </row>
    <row r="495" ht="15" customHeight="1">
      <c r="A495" t="inlineStr">
        <is>
          <t>A 5491-2023</t>
        </is>
      </c>
      <c r="B495" s="1" t="n">
        <v>44957</v>
      </c>
      <c r="C495" s="1" t="n">
        <v>45692</v>
      </c>
      <c r="D495" t="inlineStr">
        <is>
          <t>DALARNAS LÄN</t>
        </is>
      </c>
      <c r="E495" t="inlineStr">
        <is>
          <t>MORA</t>
        </is>
      </c>
      <c r="G495" t="n">
        <v>3.5</v>
      </c>
      <c r="H495" t="n">
        <v>0</v>
      </c>
      <c r="I495" t="n">
        <v>0</v>
      </c>
      <c r="J495" t="n">
        <v>0</v>
      </c>
      <c r="K495" t="n">
        <v>0</v>
      </c>
      <c r="L495" t="n">
        <v>0</v>
      </c>
      <c r="M495" t="n">
        <v>0</v>
      </c>
      <c r="N495" t="n">
        <v>0</v>
      </c>
      <c r="O495" t="n">
        <v>0</v>
      </c>
      <c r="P495" t="n">
        <v>0</v>
      </c>
      <c r="Q495" t="n">
        <v>0</v>
      </c>
      <c r="R495" s="2" t="inlineStr"/>
    </row>
    <row r="496" ht="15" customHeight="1">
      <c r="A496" t="inlineStr">
        <is>
          <t>A 5028-2023</t>
        </is>
      </c>
      <c r="B496" s="1" t="n">
        <v>44958</v>
      </c>
      <c r="C496" s="1" t="n">
        <v>45692</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5031-2023</t>
        </is>
      </c>
      <c r="B497" s="1" t="n">
        <v>44958</v>
      </c>
      <c r="C497" s="1" t="n">
        <v>45692</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5064-2023</t>
        </is>
      </c>
      <c r="B498" s="1" t="n">
        <v>44958</v>
      </c>
      <c r="C498" s="1" t="n">
        <v>45692</v>
      </c>
      <c r="D498" t="inlineStr">
        <is>
          <t>DALARNAS LÄN</t>
        </is>
      </c>
      <c r="E498" t="inlineStr">
        <is>
          <t>MORA</t>
        </is>
      </c>
      <c r="G498" t="n">
        <v>3.9</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45692</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45692</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45692</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45692</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45692</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45692</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45692</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45692</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45692</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45692</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45692</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45692</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45692</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45692</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45692</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45692</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45692</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45692</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45692</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45692</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45692</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45692</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45692</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45692</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45692</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45692</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45692</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45692</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45692</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45692</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45692</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45692</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45692</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45692</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45692</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45692</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45692</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45692</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45692</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45692</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45692</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45692</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45692</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45692</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45692</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45692</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45692</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45692</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45692</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45692</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45692</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45692</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45692</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45692</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45692</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45692</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45692</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45692</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45692</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45692</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45692</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45692</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45692</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45692</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45692</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45692</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45692</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45692</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45692</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45692</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45692</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45692</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45692</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45692</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45692</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45692</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45692</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45692</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45692</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45692</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45692</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45692</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45692</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45692</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45692</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45692</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45692</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45692</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45692</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45692</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45692</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45692</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45692</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45692</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45692</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45692</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45692</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45692</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45692</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45692</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45692</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45692</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45692</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45692</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45692</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45692</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45692</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45692</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45692</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45692</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45692</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45692</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45692</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45692</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45692</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45692</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45692</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45692</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45692</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45692</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45692</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45692</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45692</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45692</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45692</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45692</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45692</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45692</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45692</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45692</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45692</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45692</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45692</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45692</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45692</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45692</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45692</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45692</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45692</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45692</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45692</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45692</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45692</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45692</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45692</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45692</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45692</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45692</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45692</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45692</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45692</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45692</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45692</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45692</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45692</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45692</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45692</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45692</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45692</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45692</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45692</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45692</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45692</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45692</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45692</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45692</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45692</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45692</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45692</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45692</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45692</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45692</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45692</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45692</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45692</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45692</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45692</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45692</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45692</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45692</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45692</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45692</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45692</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45692</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45692</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45692</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45692</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45692</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45692</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45692</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45692</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45692</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45692</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45692</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45692</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45692</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45692</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45692</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45692</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45692</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45692</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45692</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45692</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45692</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45692</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45692</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45692</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45692</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45692</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45692</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45692</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45692</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45692</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45692</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45692</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45692</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45692</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45692</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45692</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45692</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45692</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45692</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45692</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45692</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45692</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45692</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45692</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45692</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45692</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45692</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45692</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45692</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45692</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45692</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45692</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45692</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45692</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45692</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45692</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45692</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45692</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45692</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45692</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45692</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45692</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45692</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45692</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45692</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45692</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45692</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45692</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45692</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45692</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45692</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45692</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45692</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45692</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45692</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45692</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45692</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45692</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45692</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45692</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45692</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45692</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45692</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45692</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45692</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45692</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45692</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45692</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45692</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45692</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45692</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45692</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45692</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45692</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45692</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45692</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45692</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45692</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45692</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45692</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45692</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45692</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45692</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45692</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45692</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45692</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45692</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45692</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45692</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45692</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45692</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45692</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45692</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45692</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45692</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45692</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45692</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45692</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45692</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45692</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45692</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45692</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45692</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45692</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45692</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45692</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45692</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45692</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45692</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45692</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45692</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45692</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45692</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45692</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45692</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45692</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45692</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45692</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45692</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45692</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45692</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45692</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45692</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45692</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45692</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45692</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45692</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45692</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45692</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45692</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45692</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45692</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45692</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45692</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45692</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45692</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45692</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45692</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45692</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45692</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45692</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45692</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45692</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45692</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45692</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45692</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45692</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45692</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45692</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45692</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45692</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45692</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45692</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45692</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45692</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45692</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45692</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45692</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45692</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45692</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45692</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45692</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45692</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45692</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45692</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45692</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45692</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45692</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45692</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45692</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45692</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45692</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45692</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45692</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45692</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45692</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45692</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45692</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45692</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45692</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45692</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45692</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45692</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45692</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45692</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45692</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45692</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45692</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45692</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45692</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45692</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45692</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45692</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45692</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45692</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45692</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45692</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45692</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45692</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45692</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45692</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45692</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45692</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45692</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45692</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45692</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45692</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45692</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45692</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45692</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45692</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45692</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45692</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45692</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45692</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45692</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45692</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45692</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45692</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45692</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45692</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45692</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45692</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45692</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45692</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45692</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45692</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45692</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45692</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45692</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45692</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45692</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45692</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45692</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45692</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45692</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45692</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45692</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45692</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45692</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45692</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45692</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45692</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45692</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45692</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45692</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45692</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45692</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45692</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45692</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45692</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45692</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45692</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45692</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45692</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45692</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45692</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45692</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45692</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45692</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45692</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45692</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45692</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45692</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45692</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45692</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45692</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45692</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45692</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45692</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45692</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45692</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45692</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45692</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45692</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45692</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45692</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45692</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45692</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45692</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45692</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45692</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45692</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45692</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45692</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45692</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45692</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45692</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45692</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45692</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45692</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45692</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45692</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45692</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45692</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45692</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45692</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45692</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45692</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45692</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45692</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45692</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45692</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45692</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45692</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45692</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45692</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45692</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45692</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45692</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45692</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45692</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45692</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45692</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45692</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45692</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45692</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45692</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45692</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45692</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45692</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45692</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45692</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45692</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45692</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45692</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45692</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45692</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45692</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45692</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45692</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45692</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45692</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45692</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45692</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45692</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45692</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45692</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45692</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45692</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45692</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45692</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45692</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45692</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45692</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45692</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45692</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45692</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45692</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45692</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45692</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45692</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45692</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45692</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45692</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45692</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45692</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45692</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45692</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45692</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45692</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45692</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45692</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45692</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45692</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45692</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45692</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45692</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45692</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45692</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45692</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45692</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45692</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45692</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45692</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45692</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45692</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45692</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45692</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45692</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45692</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45692</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45692</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45692</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45692</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45692</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45692</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45692</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45692</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45692</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45692</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45692</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45692</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45692</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45692</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45692</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45692</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45692</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45692</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45692</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45692</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45692</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45692</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45692</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45692</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45692</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45692</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45692</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45692</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45692</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45692</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45692</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45692</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45692</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45692</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45692</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45692</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45692</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45692</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45692</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45692</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45692</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45692</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45692</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56438-2024</t>
        </is>
      </c>
      <c r="B1126" s="1" t="n">
        <v>45625</v>
      </c>
      <c r="C1126" s="1" t="n">
        <v>45692</v>
      </c>
      <c r="D1126" t="inlineStr">
        <is>
          <t>DALARNAS LÄN</t>
        </is>
      </c>
      <c r="E1126" t="inlineStr">
        <is>
          <t>MORA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45692</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45692</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45692</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45692</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45692</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45692</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45692</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45692</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45692</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45692</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45692</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45692</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45692</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45692</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45692</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45692</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45692</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45692</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45692</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45692</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45692</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45692</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45692</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45692</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45692</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45692</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45692</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45692</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45692</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45692</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45692</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45692</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45692</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45692</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45692</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45692</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45692</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61943-2024</t>
        </is>
      </c>
      <c r="B1164" s="1" t="n">
        <v>45653</v>
      </c>
      <c r="C1164" s="1" t="n">
        <v>45692</v>
      </c>
      <c r="D1164" t="inlineStr">
        <is>
          <t>DALARNAS LÄN</t>
        </is>
      </c>
      <c r="E1164" t="inlineStr">
        <is>
          <t>MORA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45692</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45692</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45692</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45692</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45692</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45692</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45692</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45692</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45692</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c r="A1174" t="inlineStr">
        <is>
          <t>A 5216-2025</t>
        </is>
      </c>
      <c r="B1174" s="1" t="n">
        <v>45691</v>
      </c>
      <c r="C1174" s="1" t="n">
        <v>45692</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2025-02-04T15:58:53Z</dcterms:created>
  <dcterms:modified xmlns:dcterms="http://purl.org/dc/terms/" xmlns:xsi="http://www.w3.org/2001/XMLSchema-instance" xsi:type="dcterms:W3CDTF">2025-02-04T15:58:54Z</dcterms:modified>
</cp:coreProperties>
</file>