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45742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45742</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45742</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45742</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45742</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45742</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45742</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45742</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45742</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45742</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45742</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45742</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45742</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45742</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45742</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45742</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45742</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45742</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45742</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45742</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45742</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45742</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60365-2023</t>
        </is>
      </c>
      <c r="B24" s="1" t="n">
        <v>45259</v>
      </c>
      <c r="C24" s="1" t="n">
        <v>45742</v>
      </c>
      <c r="D24" t="inlineStr">
        <is>
          <t>DALARNAS LÄN</t>
        </is>
      </c>
      <c r="E24" t="inlineStr">
        <is>
          <t>MORA</t>
        </is>
      </c>
      <c r="G24" t="n">
        <v>7.5</v>
      </c>
      <c r="H24" t="n">
        <v>5</v>
      </c>
      <c r="I24" t="n">
        <v>0</v>
      </c>
      <c r="J24" t="n">
        <v>3</v>
      </c>
      <c r="K24" t="n">
        <v>0</v>
      </c>
      <c r="L24" t="n">
        <v>0</v>
      </c>
      <c r="M24" t="n">
        <v>0</v>
      </c>
      <c r="N24" t="n">
        <v>0</v>
      </c>
      <c r="O24" t="n">
        <v>3</v>
      </c>
      <c r="P24" t="n">
        <v>0</v>
      </c>
      <c r="Q24" t="n">
        <v>5</v>
      </c>
      <c r="R24" s="2" t="inlineStr">
        <is>
          <t>Grönsångare
Rödvingetrast
Slaguggla
Trana
Nattviol</t>
        </is>
      </c>
      <c r="S24">
        <f>HYPERLINK("https://klasma.github.io/Logging_2062/artfynd/A 60365-2023 artfynd.xlsx", "A 60365-2023")</f>
        <v/>
      </c>
      <c r="T24">
        <f>HYPERLINK("https://klasma.github.io/Logging_2062/kartor/A 60365-2023 karta.png", "A 60365-2023")</f>
        <v/>
      </c>
      <c r="V24">
        <f>HYPERLINK("https://klasma.github.io/Logging_2062/klagomål/A 60365-2023 FSC-klagomål.docx", "A 60365-2023")</f>
        <v/>
      </c>
      <c r="W24">
        <f>HYPERLINK("https://klasma.github.io/Logging_2062/klagomålsmail/A 60365-2023 FSC-klagomål mail.docx", "A 60365-2023")</f>
        <v/>
      </c>
      <c r="X24">
        <f>HYPERLINK("https://klasma.github.io/Logging_2062/tillsyn/A 60365-2023 tillsynsbegäran.docx", "A 60365-2023")</f>
        <v/>
      </c>
      <c r="Y24">
        <f>HYPERLINK("https://klasma.github.io/Logging_2062/tillsynsmail/A 60365-2023 tillsynsbegäran mail.docx", "A 60365-2023")</f>
        <v/>
      </c>
      <c r="Z24">
        <f>HYPERLINK("https://klasma.github.io/Logging_2062/fåglar/A 60365-2023 prioriterade fågelarter.docx", "A 60365-2023")</f>
        <v/>
      </c>
    </row>
    <row r="25" ht="15" customHeight="1">
      <c r="A25" t="inlineStr">
        <is>
          <t>A 8760-2025</t>
        </is>
      </c>
      <c r="B25" s="1" t="n">
        <v>45712</v>
      </c>
      <c r="C25" s="1" t="n">
        <v>45742</v>
      </c>
      <c r="D25" t="inlineStr">
        <is>
          <t>DALARNAS LÄN</t>
        </is>
      </c>
      <c r="E25" t="inlineStr">
        <is>
          <t>MORA</t>
        </is>
      </c>
      <c r="F25" t="inlineStr">
        <is>
          <t>Allmännings- och besparingsskogar</t>
        </is>
      </c>
      <c r="G25" t="n">
        <v>36.6</v>
      </c>
      <c r="H25" t="n">
        <v>0</v>
      </c>
      <c r="I25" t="n">
        <v>0</v>
      </c>
      <c r="J25" t="n">
        <v>5</v>
      </c>
      <c r="K25" t="n">
        <v>0</v>
      </c>
      <c r="L25" t="n">
        <v>0</v>
      </c>
      <c r="M25" t="n">
        <v>0</v>
      </c>
      <c r="N25" t="n">
        <v>0</v>
      </c>
      <c r="O25" t="n">
        <v>5</v>
      </c>
      <c r="P25" t="n">
        <v>0</v>
      </c>
      <c r="Q25" t="n">
        <v>5</v>
      </c>
      <c r="R25" s="2" t="inlineStr">
        <is>
          <t>Garnlav
Mörk kolflarnlav
Skogshare
Vedflamlav
Vedskivlav</t>
        </is>
      </c>
      <c r="S25">
        <f>HYPERLINK("https://klasma.github.io/Logging_2062/artfynd/A 8760-2025 artfynd.xlsx", "A 8760-2025")</f>
        <v/>
      </c>
      <c r="T25">
        <f>HYPERLINK("https://klasma.github.io/Logging_2062/kartor/A 8760-2025 karta.png", "A 8760-2025")</f>
        <v/>
      </c>
      <c r="V25">
        <f>HYPERLINK("https://klasma.github.io/Logging_2062/klagomål/A 8760-2025 FSC-klagomål.docx", "A 8760-2025")</f>
        <v/>
      </c>
      <c r="W25">
        <f>HYPERLINK("https://klasma.github.io/Logging_2062/klagomålsmail/A 8760-2025 FSC-klagomål mail.docx", "A 8760-2025")</f>
        <v/>
      </c>
      <c r="X25">
        <f>HYPERLINK("https://klasma.github.io/Logging_2062/tillsyn/A 8760-2025 tillsynsbegäran.docx", "A 8760-2025")</f>
        <v/>
      </c>
      <c r="Y25">
        <f>HYPERLINK("https://klasma.github.io/Logging_2062/tillsynsmail/A 8760-2025 tillsynsbegäran mail.docx", "A 8760-2025")</f>
        <v/>
      </c>
    </row>
    <row r="26" ht="15" customHeight="1">
      <c r="A26" t="inlineStr">
        <is>
          <t>A 29386-2019</t>
        </is>
      </c>
      <c r="B26" s="1" t="n">
        <v>43629</v>
      </c>
      <c r="C26" s="1" t="n">
        <v>45742</v>
      </c>
      <c r="D26" t="inlineStr">
        <is>
          <t>DALARNAS LÄN</t>
        </is>
      </c>
      <c r="E26" t="inlineStr">
        <is>
          <t>MORA</t>
        </is>
      </c>
      <c r="G26" t="n">
        <v>1.8</v>
      </c>
      <c r="H26" t="n">
        <v>1</v>
      </c>
      <c r="I26" t="n">
        <v>1</v>
      </c>
      <c r="J26" t="n">
        <v>2</v>
      </c>
      <c r="K26" t="n">
        <v>0</v>
      </c>
      <c r="L26" t="n">
        <v>0</v>
      </c>
      <c r="M26" t="n">
        <v>0</v>
      </c>
      <c r="N26" t="n">
        <v>0</v>
      </c>
      <c r="O26" t="n">
        <v>2</v>
      </c>
      <c r="P26" t="n">
        <v>0</v>
      </c>
      <c r="Q26" t="n">
        <v>4</v>
      </c>
      <c r="R26" s="2" t="inlineStr">
        <is>
          <t>Garnlav
Mörk kolflarnlav
Mindre märgborre
Kungsfågel</t>
        </is>
      </c>
      <c r="S26">
        <f>HYPERLINK("https://klasma.github.io/Logging_2062/artfynd/A 29386-2019 artfynd.xlsx", "A 29386-2019")</f>
        <v/>
      </c>
      <c r="T26">
        <f>HYPERLINK("https://klasma.github.io/Logging_2062/kartor/A 29386-2019 karta.png", "A 29386-2019")</f>
        <v/>
      </c>
      <c r="V26">
        <f>HYPERLINK("https://klasma.github.io/Logging_2062/klagomål/A 29386-2019 FSC-klagomål.docx", "A 29386-2019")</f>
        <v/>
      </c>
      <c r="W26">
        <f>HYPERLINK("https://klasma.github.io/Logging_2062/klagomålsmail/A 29386-2019 FSC-klagomål mail.docx", "A 29386-2019")</f>
        <v/>
      </c>
      <c r="X26">
        <f>HYPERLINK("https://klasma.github.io/Logging_2062/tillsyn/A 29386-2019 tillsynsbegäran.docx", "A 29386-2019")</f>
        <v/>
      </c>
      <c r="Y26">
        <f>HYPERLINK("https://klasma.github.io/Logging_2062/tillsynsmail/A 29386-2019 tillsynsbegäran mail.docx", "A 29386-2019")</f>
        <v/>
      </c>
      <c r="Z26">
        <f>HYPERLINK("https://klasma.github.io/Logging_2062/fåglar/A 29386-2019 prioriterade fågelarter.docx", "A 29386-2019")</f>
        <v/>
      </c>
    </row>
    <row r="27" ht="15" customHeight="1">
      <c r="A27" t="inlineStr">
        <is>
          <t>A 14293-2024</t>
        </is>
      </c>
      <c r="B27" s="1" t="n">
        <v>45393</v>
      </c>
      <c r="C27" s="1" t="n">
        <v>45742</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45742</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45742</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45742</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45742</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45742</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45742</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45742</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45742</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45742</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45742</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45742</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45742</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45742</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45742</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45742</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45742</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45742</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45742</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45742</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45742</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45742</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45742</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45742</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45742</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45742</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45742</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45742</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45742</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45742</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45742</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45742</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45742</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45742</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45742</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13728-2025</t>
        </is>
      </c>
      <c r="B62" s="1" t="n">
        <v>45737</v>
      </c>
      <c r="C62" s="1" t="n">
        <v>45742</v>
      </c>
      <c r="D62" t="inlineStr">
        <is>
          <t>DALARNAS LÄN</t>
        </is>
      </c>
      <c r="E62" t="inlineStr">
        <is>
          <t>MORA</t>
        </is>
      </c>
      <c r="G62" t="n">
        <v>111.2</v>
      </c>
      <c r="H62" t="n">
        <v>0</v>
      </c>
      <c r="I62" t="n">
        <v>0</v>
      </c>
      <c r="J62" t="n">
        <v>0</v>
      </c>
      <c r="K62" t="n">
        <v>1</v>
      </c>
      <c r="L62" t="n">
        <v>0</v>
      </c>
      <c r="M62" t="n">
        <v>0</v>
      </c>
      <c r="N62" t="n">
        <v>0</v>
      </c>
      <c r="O62" t="n">
        <v>1</v>
      </c>
      <c r="P62" t="n">
        <v>1</v>
      </c>
      <c r="Q62" t="n">
        <v>1</v>
      </c>
      <c r="R62" s="2" t="inlineStr">
        <is>
          <t>Smalfotad taggsvamp</t>
        </is>
      </c>
      <c r="S62">
        <f>HYPERLINK("https://klasma.github.io/Logging_2062/artfynd/A 13728-2025 artfynd.xlsx", "A 13728-2025")</f>
        <v/>
      </c>
      <c r="T62">
        <f>HYPERLINK("https://klasma.github.io/Logging_2062/kartor/A 13728-2025 karta.png", "A 13728-2025")</f>
        <v/>
      </c>
      <c r="V62">
        <f>HYPERLINK("https://klasma.github.io/Logging_2062/klagomål/A 13728-2025 FSC-klagomål.docx", "A 13728-2025")</f>
        <v/>
      </c>
      <c r="W62">
        <f>HYPERLINK("https://klasma.github.io/Logging_2062/klagomålsmail/A 13728-2025 FSC-klagomål mail.docx", "A 13728-2025")</f>
        <v/>
      </c>
      <c r="X62">
        <f>HYPERLINK("https://klasma.github.io/Logging_2062/tillsyn/A 13728-2025 tillsynsbegäran.docx", "A 13728-2025")</f>
        <v/>
      </c>
      <c r="Y62">
        <f>HYPERLINK("https://klasma.github.io/Logging_2062/tillsynsmail/A 13728-2025 tillsynsbegäran mail.docx", "A 13728-2025")</f>
        <v/>
      </c>
    </row>
    <row r="63" ht="15" customHeight="1">
      <c r="A63" t="inlineStr">
        <is>
          <t>A 20226-2019</t>
        </is>
      </c>
      <c r="B63" s="1" t="n">
        <v>43570</v>
      </c>
      <c r="C63" s="1" t="n">
        <v>45742</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45742</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45742</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45742</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45742</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45742</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45742</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45742</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45742</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45742</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45742</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45742</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45742</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45742</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45742</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45742</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45742</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45742</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45742</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45742</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45742</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45742</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45742</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45742</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45742</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45742</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45742</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45742</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45742</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45742</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45742</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45742</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45742</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45742</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45742</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45742</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45742</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45742</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45742</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45742</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45742</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45742</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45742</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45742</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45742</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45742</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45742</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45742</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45742</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45742</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45742</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45742</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45742</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45742</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45742</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45742</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45742</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45742</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45742</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45742</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45742</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45742</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45742</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45742</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45742</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45742</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45742</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45742</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45742</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45742</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45742</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45742</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45742</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45742</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45742</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45742</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45742</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45742</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45742</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45742</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45742</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45742</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45742</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45742</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45742</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45742</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45742</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45742</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45742</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45742</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45742</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45742</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45742</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45742</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45742</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45742</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45742</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45742</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45742</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45742</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45742</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45742</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45742</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45742</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45742</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45742</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45742</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45742</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45742</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45742</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45742</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45742</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45742</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45742</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45742</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45742</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45742</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45742</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45742</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45742</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45742</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45742</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45742</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45742</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45742</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45742</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45742</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45742</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45742</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45742</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45742</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45742</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45742</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45742</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45742</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45742</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45742</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45742</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45742</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45742</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45742</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45742</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45742</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45742</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45742</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45742</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45742</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45742</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45742</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45742</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45742</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45742</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45742</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45742</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45742</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45742</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45742</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45742</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45742</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45742</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45742</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45742</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45742</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45742</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45742</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45742</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45742</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45742</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45742</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45742</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45742</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45742</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45742</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45742</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45742</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45742</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45742</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45742</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45742</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45742</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45742</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45742</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45742</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45742</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45742</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45742</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45742</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45742</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45742</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45742</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45742</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45742</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45742</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45742</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45742</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45742</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45742</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45742</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45742</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45742</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45742</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45742</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45742</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45742</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45742</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45742</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45742</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45742</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45742</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45742</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45742</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45742</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45742</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45742</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45742</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45742</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45742</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45742</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45742</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45742</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45742</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45742</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45742</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45742</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45742</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45742</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45742</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45742</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45742</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45742</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45742</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45742</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45742</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45742</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45742</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45742</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45742</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45742</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45742</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45742</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45742</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45742</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45742</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45742</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45742</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45742</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45742</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45742</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45742</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45742</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45742</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45742</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45742</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45742</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45742</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45742</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45742</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45742</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45742</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45742</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45742</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45742</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45742</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45742</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45742</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45742</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45742</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45742</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45742</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45742</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45742</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45742</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45742</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45742</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45742</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45742</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45742</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45742</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45742</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45742</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45742</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45742</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45742</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45742</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45742</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45742</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45742</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45742</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45742</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45742</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45742</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45742</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45742</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45742</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45742</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45742</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45742</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45742</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45742</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45742</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45742</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45742</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45742</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45742</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45742</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45742</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45742</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45742</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45742</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45742</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45742</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45742</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45742</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45742</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45742</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45742</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45742</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45742</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45742</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45742</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45742</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45742</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45742</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45742</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45742</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45742</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45742</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45742</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45742</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45742</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45742</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45742</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45742</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45742</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45742</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45742</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45742</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45742</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45742</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45742</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45742</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45742</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45742</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45742</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45742</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45742</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45742</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45742</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45742</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45742</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45742</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45742</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45742</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45742</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45742</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45742</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45742</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45742</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45742</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45742</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45742</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45742</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45742</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45742</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45742</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45742</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45742</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45742</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45742</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45742</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45742</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45742</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45742</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45742</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45742</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45742</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45742</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45742</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45742</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45742</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45742</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45742</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45742</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45742</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45742</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45742</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45742</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45742</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45742</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45742</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45742</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45742</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45742</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45742</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45742</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45742</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45742</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45742</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45742</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45742</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45742</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45742</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45742</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45742</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45742</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45742</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45742</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45742</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45742</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45742</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45742</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45742</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45742</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45742</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45742</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45742</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45742</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45742</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45742</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45742</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45742</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45742</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45742</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45742</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45742</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45742</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45742</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45742</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45742</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45742</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45742</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45742</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45742</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45742</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45742</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45742</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45742</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45742</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45742</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45742</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45742</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45742</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45742</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45742</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45742</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45742</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45742</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45742</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45742</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45742</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45742</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45742</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45742</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45742</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45742</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45742</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45742</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45742</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45742</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45742</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45742</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45742</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45742</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45742</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45742</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45742</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45742</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45742</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45742</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45742</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45742</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45742</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45742</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45742</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45742</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45742</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45742</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45742</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45742</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45742</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45742</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45742</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45742</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45742</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45742</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45742</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45742</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45742</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45742</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45742</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45742</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45742</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45742</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45742</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45742</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45742</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45742</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45742</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45742</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45742</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45742</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45742</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45742</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45742</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45742</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45742</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45742</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45742</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45742</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45742</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45742</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45742</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45742</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45742</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45742</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45742</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45742</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45742</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45742</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45742</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45742</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45742</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45742</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45742</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45742</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45742</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45742</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45742</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45742</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45742</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45742</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45742</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45742</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45742</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45742</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45742</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45742</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45742</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45742</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45742</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45742</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45742</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45742</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45742</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45742</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45742</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45742</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45742</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45742</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45742</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45742</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45742</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45742</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45742</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45742</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45742</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45742</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45742</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45742</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45742</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45742</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45742</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45742</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45742</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45742</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45742</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45742</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45742</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45742</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45742</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45742</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45742</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45742</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45742</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45742</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45742</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45742</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45742</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45742</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45742</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45742</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45742</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45742</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45742</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45742</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45742</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45742</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45742</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45742</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45742</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45742</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45742</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45742</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45742</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45742</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45742</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45742</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45742</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45742</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45742</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45742</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45742</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45742</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45742</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45742</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45742</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45742</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45742</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45742</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45742</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45742</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45742</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45742</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45742</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45742</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45742</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45742</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45742</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45742</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45742</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45742</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45742</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45742</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45742</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45742</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45742</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45742</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45742</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45742</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45742</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45742</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45742</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45742</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45742</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45742</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45742</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45742</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45742</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45742</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45742</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45742</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45742</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45742</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45742</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45742</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45742</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45742</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45742</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45742</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45742</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45742</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45742</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45742</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45742</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45742</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45742</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45742</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45742</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45742</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45742</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45742</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45742</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45742</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45742</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45742</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45742</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45742</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45742</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45742</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45742</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45742</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45742</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45742</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45742</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45742</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45742</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45742</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45742</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45742</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45742</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45742</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45742</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45742</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45742</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45742</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45742</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45742</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45742</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45742</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45742</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45742</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45742</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45742</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45742</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45742</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45742</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45742</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45742</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45742</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45742</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45742</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45742</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45742</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45742</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45742</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45742</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45742</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45742</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45742</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45742</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45742</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45742</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45742</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45742</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45742</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45742</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45742</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45742</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45742</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45742</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45742</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45742</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45742</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45742</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45742</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45742</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45742</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45742</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45742</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45742</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45742</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45742</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45742</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45742</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45742</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45742</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45742</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45742</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45742</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45742</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45742</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45742</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45742</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45742</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45742</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45742</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45742</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45742</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45742</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45742</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45742</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45742</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45742</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45742</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45742</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45742</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45742</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45742</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45742</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45742</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45742</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45742</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45742</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45742</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45742</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45742</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45742</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45742</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45742</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45742</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45742</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45742</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45742</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45742</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45742</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45742</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45742</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45742</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45742</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45742</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45742</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45742</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45742</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45742</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45742</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45742</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45742</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45742</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45742</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45742</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45742</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45742</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45742</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45742</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45742</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45742</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45742</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45742</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45742</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45742</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45742</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45742</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45742</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45742</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45742</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45742</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45742</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45742</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45742</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45742</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45742</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45742</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45742</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45742</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45742</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45742</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45742</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45742</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45742</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45742</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45742</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45742</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45742</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45742</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45742</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45742</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45742</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45742</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45742</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45742</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45742</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45742</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45742</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45742</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45742</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45742</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45742</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45742</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45742</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45742</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45742</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45742</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45742</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45742</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45742</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45742</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45742</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45742</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45742</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45742</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45742</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45742</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45742</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45742</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45742</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45742</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45742</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45742</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45742</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45742</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45742</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45742</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45742</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45742</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45742</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45742</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45742</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45742</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45742</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45742</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45742</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45742</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45742</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45742</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45742</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45742</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45742</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45742</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45742</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45742</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45742</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45742</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45742</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45742</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45742</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45742</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45742</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45742</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45742</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45742</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45742</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45742</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45742</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45742</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45742</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45742</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45742</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45742</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45742</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45742</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45742</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45742</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45742</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45742</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45742</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45742</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45742</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45742</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45742</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45742</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45742</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45742</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45742</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45742</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45742</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45742</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45742</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45742</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45742</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45742</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45742</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45742</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45742</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45742</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45742</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45742</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45742</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45742</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45742</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45742</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45742</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45742</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45742</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45742</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45742</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45742</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45742</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45742</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45742</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45742</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45742</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45742</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45742</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45742</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45742</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45742</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45742</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45742</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45742</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45742</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45742</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45742</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45742</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45742</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45742</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45742</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45742</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45742</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45742</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45742</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45742</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45742</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45742</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45742</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45742</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45742</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45742</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45742</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45742</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45742</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45742</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45742</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45742</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45742</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45742</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45742</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45742</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45742</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45742</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45742</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45742</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45742</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45742</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45742</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45742</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45742</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45742</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45742</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45742</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45742</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45742</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45742</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45742</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45742</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45742</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45742</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45742</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45742</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45742</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45742</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45742</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45742</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45742</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45742</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45742</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45742</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45742</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45742</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45742</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45742</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45742</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45742</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45742</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45742</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45742</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45742</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45742</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45742</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45742</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45742</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45742</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45742</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45742</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45742</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45742</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45742</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45742</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45742</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45742</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45742</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45742</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45742</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45742</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45742</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45742</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45742</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45742</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45742</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45742</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45742</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45742</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45742</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45742</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45742</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45742</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45742</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45742</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45742</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45742</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45742</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45742</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45742</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45742</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45742</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45742</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45742</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45742</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45742</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45742</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45742</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45742</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45742</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45742</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45742</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45742</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45742</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45742</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45742</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45742</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45742</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45742</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45742</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45742</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45742</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45742</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45742</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45742</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45742</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45742</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45742</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45742</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45742</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45742</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45742</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45742</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45742</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45742</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45742</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45742</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45742</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45742</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45742</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45742</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45742</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45742</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45742</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45742</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45742</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45742</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45742</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45742</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45742</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45742</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45742</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45742</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45742</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45742</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45742</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45742</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45742</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45742</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45742</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45742</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45742</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45742</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45742</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45742</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45742</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45742</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45742</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45742</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45742</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45742</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45742</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45742</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45742</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45742</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45742</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45742</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12490-2025</t>
        </is>
      </c>
      <c r="B1192" s="1" t="n">
        <v>45730</v>
      </c>
      <c r="C1192" s="1" t="n">
        <v>45742</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14017-2025</t>
        </is>
      </c>
      <c r="B1193" s="1" t="n">
        <v>45740</v>
      </c>
      <c r="C1193" s="1" t="n">
        <v>45742</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14479-2025</t>
        </is>
      </c>
      <c r="B1194" s="1" t="n">
        <v>45741</v>
      </c>
      <c r="C1194" s="1" t="n">
        <v>45742</v>
      </c>
      <c r="D1194" t="inlineStr">
        <is>
          <t>DALARNAS LÄN</t>
        </is>
      </c>
      <c r="E1194" t="inlineStr">
        <is>
          <t>MORA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14378-2025</t>
        </is>
      </c>
      <c r="B1195" s="1" t="n">
        <v>45741</v>
      </c>
      <c r="C1195" s="1" t="n">
        <v>45742</v>
      </c>
      <c r="D1195" t="inlineStr">
        <is>
          <t>DALARNAS LÄN</t>
        </is>
      </c>
      <c r="E1195" t="inlineStr">
        <is>
          <t>MORA</t>
        </is>
      </c>
      <c r="G1195" t="n">
        <v>5.2</v>
      </c>
      <c r="H1195" t="n">
        <v>0</v>
      </c>
      <c r="I1195" t="n">
        <v>0</v>
      </c>
      <c r="J1195" t="n">
        <v>0</v>
      </c>
      <c r="K1195" t="n">
        <v>0</v>
      </c>
      <c r="L1195" t="n">
        <v>0</v>
      </c>
      <c r="M1195" t="n">
        <v>0</v>
      </c>
      <c r="N1195" t="n">
        <v>0</v>
      </c>
      <c r="O1195" t="n">
        <v>0</v>
      </c>
      <c r="P1195" t="n">
        <v>0</v>
      </c>
      <c r="Q1195" t="n">
        <v>0</v>
      </c>
      <c r="R1195" s="2" t="inlineStr"/>
    </row>
    <row r="1196">
      <c r="A1196" t="inlineStr">
        <is>
          <t>A 14372-2025</t>
        </is>
      </c>
      <c r="B1196" s="1" t="n">
        <v>45741</v>
      </c>
      <c r="C1196" s="1" t="n">
        <v>45742</v>
      </c>
      <c r="D1196" t="inlineStr">
        <is>
          <t>DALARNAS LÄN</t>
        </is>
      </c>
      <c r="E1196" t="inlineStr">
        <is>
          <t>MORA</t>
        </is>
      </c>
      <c r="G1196" t="n">
        <v>5.1</v>
      </c>
      <c r="H1196" t="n">
        <v>0</v>
      </c>
      <c r="I1196" t="n">
        <v>0</v>
      </c>
      <c r="J1196" t="n">
        <v>0</v>
      </c>
      <c r="K1196" t="n">
        <v>0</v>
      </c>
      <c r="L1196" t="n">
        <v>0</v>
      </c>
      <c r="M1196" t="n">
        <v>0</v>
      </c>
      <c r="N1196" t="n">
        <v>0</v>
      </c>
      <c r="O1196" t="n">
        <v>0</v>
      </c>
      <c r="P1196" t="n">
        <v>0</v>
      </c>
      <c r="Q1196" t="n">
        <v>0</v>
      </c>
      <c r="R1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2025-03-26T17:34:23Z</dcterms:created>
  <dcterms:modified xmlns:dcterms="http://purl.org/dc/terms/" xmlns:xsi="http://www.w3.org/2001/XMLSchema-instance" xsi:type="dcterms:W3CDTF">2025-03-26T17:34:24Z</dcterms:modified>
</cp:coreProperties>
</file>