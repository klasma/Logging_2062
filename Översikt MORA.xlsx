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46192</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46192</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13728-2025</t>
        </is>
      </c>
      <c r="B4" s="1" t="n">
        <v>45737</v>
      </c>
      <c r="C4" s="1" t="n">
        <v>46192</v>
      </c>
      <c r="D4" t="inlineStr">
        <is>
          <t>DALARNAS LÄN</t>
        </is>
      </c>
      <c r="E4" t="inlineStr">
        <is>
          <t>MORA</t>
        </is>
      </c>
      <c r="G4" t="n">
        <v>111.2</v>
      </c>
      <c r="H4" t="n">
        <v>9</v>
      </c>
      <c r="I4" t="n">
        <v>4</v>
      </c>
      <c r="J4" t="n">
        <v>24</v>
      </c>
      <c r="K4" t="n">
        <v>4</v>
      </c>
      <c r="L4" t="n">
        <v>0</v>
      </c>
      <c r="M4" t="n">
        <v>0</v>
      </c>
      <c r="N4" t="n">
        <v>0</v>
      </c>
      <c r="O4" t="n">
        <v>28</v>
      </c>
      <c r="P4" t="n">
        <v>4</v>
      </c>
      <c r="Q4" t="n">
        <v>38</v>
      </c>
      <c r="R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31756-2023</t>
        </is>
      </c>
      <c r="B5" s="1" t="n">
        <v>45118</v>
      </c>
      <c r="C5" s="1" t="n">
        <v>46192</v>
      </c>
      <c r="D5" t="inlineStr">
        <is>
          <t>DALARNAS LÄN</t>
        </is>
      </c>
      <c r="E5" t="inlineStr">
        <is>
          <t>MORA</t>
        </is>
      </c>
      <c r="G5" t="n">
        <v>29.7</v>
      </c>
      <c r="H5" t="n">
        <v>3</v>
      </c>
      <c r="I5" t="n">
        <v>11</v>
      </c>
      <c r="J5" t="n">
        <v>20</v>
      </c>
      <c r="K5" t="n">
        <v>6</v>
      </c>
      <c r="L5" t="n">
        <v>0</v>
      </c>
      <c r="M5" t="n">
        <v>0</v>
      </c>
      <c r="N5" t="n">
        <v>0</v>
      </c>
      <c r="O5" t="n">
        <v>26</v>
      </c>
      <c r="P5" t="n">
        <v>6</v>
      </c>
      <c r="Q5" t="n">
        <v>38</v>
      </c>
      <c r="R5"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c r="Z5">
        <f>HYPERLINK("https://klasma.github.io/Logging_2062/fåglar/A 31756-2023 prioriterade fågelarter.docx", "A 31756-2023")</f>
        <v/>
      </c>
    </row>
    <row r="6" ht="15" customHeight="1">
      <c r="A6" t="inlineStr">
        <is>
          <t>A 2729-2026</t>
        </is>
      </c>
      <c r="B6" s="1" t="n">
        <v>46037</v>
      </c>
      <c r="C6" s="1" t="n">
        <v>46192</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46192</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46192</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46192</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46192</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46192</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46192</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46192</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46192</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43504-2025</t>
        </is>
      </c>
      <c r="B15" s="1" t="n">
        <v>45911</v>
      </c>
      <c r="C15" s="1" t="n">
        <v>46192</v>
      </c>
      <c r="D15" t="inlineStr">
        <is>
          <t>DALARNAS LÄN</t>
        </is>
      </c>
      <c r="E15" t="inlineStr">
        <is>
          <t>MORA</t>
        </is>
      </c>
      <c r="F15" t="inlineStr">
        <is>
          <t>Allmännings- och besparingsskogar</t>
        </is>
      </c>
      <c r="G15" t="n">
        <v>32</v>
      </c>
      <c r="H15" t="n">
        <v>4</v>
      </c>
      <c r="I15" t="n">
        <v>2</v>
      </c>
      <c r="J15" t="n">
        <v>12</v>
      </c>
      <c r="K15" t="n">
        <v>1</v>
      </c>
      <c r="L15" t="n">
        <v>0</v>
      </c>
      <c r="M15" t="n">
        <v>0</v>
      </c>
      <c r="N15" t="n">
        <v>0</v>
      </c>
      <c r="O15" t="n">
        <v>13</v>
      </c>
      <c r="P15" t="n">
        <v>1</v>
      </c>
      <c r="Q15" t="n">
        <v>17</v>
      </c>
      <c r="R15" s="2" t="inlineStr">
        <is>
          <t>Garnlav
Blanksvart spiklav
Blågrå svartspik
Dvärgbägarlav
Kolflarnlav
Kortskaftad ärgspik
Mörk kolflarnlav
Tallticka
Talltita
Varglav
Vedflamlav
Vedskivlav
Vitgrynig nållav
Mindre märgborre
Vedticka
Spillkråka
Kungsfågel</t>
        </is>
      </c>
      <c r="S15">
        <f>HYPERLINK("https://klasma.github.io/Logging_2062/artfynd/A 43504-2025 artfynd.xlsx", "A 43504-2025")</f>
        <v/>
      </c>
      <c r="T15">
        <f>HYPERLINK("https://klasma.github.io/Logging_2062/kartor/A 43504-2025 karta.png", "A 43504-2025")</f>
        <v/>
      </c>
      <c r="V15">
        <f>HYPERLINK("https://klasma.github.io/Logging_2062/klagomål/A 43504-2025 FSC-klagomål.docx", "A 43504-2025")</f>
        <v/>
      </c>
      <c r="W15">
        <f>HYPERLINK("https://klasma.github.io/Logging_2062/klagomålsmail/A 43504-2025 FSC-klagomål mail.docx", "A 43504-2025")</f>
        <v/>
      </c>
      <c r="X15">
        <f>HYPERLINK("https://klasma.github.io/Logging_2062/tillsyn/A 43504-2025 tillsynsbegäran.docx", "A 43504-2025")</f>
        <v/>
      </c>
      <c r="Y15">
        <f>HYPERLINK("https://klasma.github.io/Logging_2062/tillsynsmail/A 43504-2025 tillsynsbegäran mail.docx", "A 43504-2025")</f>
        <v/>
      </c>
      <c r="Z15">
        <f>HYPERLINK("https://klasma.github.io/Logging_2062/fåglar/A 43504-2025 prioriterade fågelarter.docx", "A 43504-2025")</f>
        <v/>
      </c>
    </row>
    <row r="16" ht="15" customHeight="1">
      <c r="A16" t="inlineStr">
        <is>
          <t>A 54991-2025</t>
        </is>
      </c>
      <c r="B16" s="1" t="n">
        <v>45967</v>
      </c>
      <c r="C16" s="1" t="n">
        <v>46192</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46192</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53426-2025</t>
        </is>
      </c>
      <c r="B18" s="1" t="n">
        <v>45959</v>
      </c>
      <c r="C18" s="1" t="n">
        <v>46192</v>
      </c>
      <c r="D18" t="inlineStr">
        <is>
          <t>DALARNAS LÄN</t>
        </is>
      </c>
      <c r="E18" t="inlineStr">
        <is>
          <t>MORA</t>
        </is>
      </c>
      <c r="G18" t="n">
        <v>4.2</v>
      </c>
      <c r="H18" t="n">
        <v>4</v>
      </c>
      <c r="I18" t="n">
        <v>4</v>
      </c>
      <c r="J18" t="n">
        <v>6</v>
      </c>
      <c r="K18" t="n">
        <v>2</v>
      </c>
      <c r="L18" t="n">
        <v>0</v>
      </c>
      <c r="M18" t="n">
        <v>0</v>
      </c>
      <c r="N18" t="n">
        <v>0</v>
      </c>
      <c r="O18" t="n">
        <v>8</v>
      </c>
      <c r="P18" t="n">
        <v>2</v>
      </c>
      <c r="Q18" t="n">
        <v>15</v>
      </c>
      <c r="R18" s="2" t="inlineStr">
        <is>
          <t>Garnlav
Gräddporing
Dvärgbägarlav
Kolflarnlav
Rosenticka
Tallticka
Tretåig hackspett
Vedskivlav
Bronshjon
Mindre märgborre
Thomsons trägnagare
Vågbandad barkbock
Spillkråka
Tjäder
Revlummer</t>
        </is>
      </c>
      <c r="S18">
        <f>HYPERLINK("https://klasma.github.io/Logging_2062/artfynd/A 53426-2025 artfynd.xlsx", "A 53426-2025")</f>
        <v/>
      </c>
      <c r="T18">
        <f>HYPERLINK("https://klasma.github.io/Logging_2062/kartor/A 53426-2025 karta.png", "A 53426-2025")</f>
        <v/>
      </c>
      <c r="V18">
        <f>HYPERLINK("https://klasma.github.io/Logging_2062/klagomål/A 53426-2025 FSC-klagomål.docx", "A 53426-2025")</f>
        <v/>
      </c>
      <c r="W18">
        <f>HYPERLINK("https://klasma.github.io/Logging_2062/klagomålsmail/A 53426-2025 FSC-klagomål mail.docx", "A 53426-2025")</f>
        <v/>
      </c>
      <c r="X18">
        <f>HYPERLINK("https://klasma.github.io/Logging_2062/tillsyn/A 53426-2025 tillsynsbegäran.docx", "A 53426-2025")</f>
        <v/>
      </c>
      <c r="Y18">
        <f>HYPERLINK("https://klasma.github.io/Logging_2062/tillsynsmail/A 53426-2025 tillsynsbegäran mail.docx", "A 53426-2025")</f>
        <v/>
      </c>
      <c r="Z18">
        <f>HYPERLINK("https://klasma.github.io/Logging_2062/fåglar/A 53426-2025 prioriterade fågelarter.docx", "A 53426-2025")</f>
        <v/>
      </c>
    </row>
    <row r="19" ht="15" customHeight="1">
      <c r="A19" t="inlineStr">
        <is>
          <t>A 48348-2024</t>
        </is>
      </c>
      <c r="B19" s="1" t="n">
        <v>45590</v>
      </c>
      <c r="C19" s="1" t="n">
        <v>46192</v>
      </c>
      <c r="D19" t="inlineStr">
        <is>
          <t>DALARNAS LÄN</t>
        </is>
      </c>
      <c r="E19" t="inlineStr">
        <is>
          <t>MORA</t>
        </is>
      </c>
      <c r="G19" t="n">
        <v>31.7</v>
      </c>
      <c r="H19" t="n">
        <v>2</v>
      </c>
      <c r="I19" t="n">
        <v>2</v>
      </c>
      <c r="J19" t="n">
        <v>11</v>
      </c>
      <c r="K19" t="n">
        <v>1</v>
      </c>
      <c r="L19" t="n">
        <v>0</v>
      </c>
      <c r="M19" t="n">
        <v>0</v>
      </c>
      <c r="N19" t="n">
        <v>0</v>
      </c>
      <c r="O19" t="n">
        <v>12</v>
      </c>
      <c r="P19" t="n">
        <v>1</v>
      </c>
      <c r="Q19" t="n">
        <v>15</v>
      </c>
      <c r="R19" s="2" t="inlineStr">
        <is>
          <t>Garnlav
Doftskinn
Dvärgbägarlav
Kolflarnlav
Mörk kolflarnlav
Skarp dropptaggsvamp
Tallriska
Tallticka
Talltita
Vedflamlav
Vedskivlav
Vitgrynig nållav
Bronshjon
Vedticka
Spillkråka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35485-2025</t>
        </is>
      </c>
      <c r="B20" s="1" t="n">
        <v>45855</v>
      </c>
      <c r="C20" s="1" t="n">
        <v>46192</v>
      </c>
      <c r="D20" t="inlineStr">
        <is>
          <t>DALARNAS LÄN</t>
        </is>
      </c>
      <c r="E20" t="inlineStr">
        <is>
          <t>MORA</t>
        </is>
      </c>
      <c r="F20" t="inlineStr">
        <is>
          <t>Allmännings- och besparingsskogar</t>
        </is>
      </c>
      <c r="G20" t="n">
        <v>2.9</v>
      </c>
      <c r="H20" t="n">
        <v>2</v>
      </c>
      <c r="I20" t="n">
        <v>1</v>
      </c>
      <c r="J20" t="n">
        <v>12</v>
      </c>
      <c r="K20" t="n">
        <v>1</v>
      </c>
      <c r="L20" t="n">
        <v>0</v>
      </c>
      <c r="M20" t="n">
        <v>0</v>
      </c>
      <c r="N20" t="n">
        <v>0</v>
      </c>
      <c r="O20" t="n">
        <v>13</v>
      </c>
      <c r="P20" t="n">
        <v>1</v>
      </c>
      <c r="Q20" t="n">
        <v>14</v>
      </c>
      <c r="R20" s="2" t="inlineStr">
        <is>
          <t>Garnlav
Blå taggsvamp
Blågrå svartspik
Dropptaggsvamp
Dvärgbägarlav
Grantaggsvamp
Kolflarnlav
Kortskaftad ärgspik
Mörk kolflarnlav
Skarp dropptaggsvamp
Talltita
Tretåig hackspett
Vedskivlav
Mindre märgborre</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56438-2024</t>
        </is>
      </c>
      <c r="B21" s="1" t="n">
        <v>45625</v>
      </c>
      <c r="C21" s="1" t="n">
        <v>46192</v>
      </c>
      <c r="D21" t="inlineStr">
        <is>
          <t>DALARNAS LÄN</t>
        </is>
      </c>
      <c r="E21" t="inlineStr">
        <is>
          <t>MORA</t>
        </is>
      </c>
      <c r="G21" t="n">
        <v>8.800000000000001</v>
      </c>
      <c r="H21" t="n">
        <v>3</v>
      </c>
      <c r="I21" t="n">
        <v>3</v>
      </c>
      <c r="J21" t="n">
        <v>8</v>
      </c>
      <c r="K21" t="n">
        <v>1</v>
      </c>
      <c r="L21" t="n">
        <v>0</v>
      </c>
      <c r="M21" t="n">
        <v>0</v>
      </c>
      <c r="N21" t="n">
        <v>0</v>
      </c>
      <c r="O21" t="n">
        <v>9</v>
      </c>
      <c r="P21" t="n">
        <v>1</v>
      </c>
      <c r="Q21" t="n">
        <v>14</v>
      </c>
      <c r="R21" s="2" t="inlineStr">
        <is>
          <t>Garnlav
Kolflarnlav
Mörk kolflarnlav
Rosenticka
Tallticka
Tretåig hackspett
Ullticka
Vedskivlav
Vitgrynig nållav
Blodticka
Bronshjon
Mindre märgborre
Spillkråka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21284-2026</t>
        </is>
      </c>
      <c r="B22" s="1" t="n">
        <v>46147</v>
      </c>
      <c r="C22" s="1" t="n">
        <v>46192</v>
      </c>
      <c r="D22" t="inlineStr">
        <is>
          <t>DALARNAS LÄN</t>
        </is>
      </c>
      <c r="E22" t="inlineStr">
        <is>
          <t>MORA</t>
        </is>
      </c>
      <c r="G22" t="n">
        <v>6.1</v>
      </c>
      <c r="H22" t="n">
        <v>4</v>
      </c>
      <c r="I22" t="n">
        <v>4</v>
      </c>
      <c r="J22" t="n">
        <v>7</v>
      </c>
      <c r="K22" t="n">
        <v>1</v>
      </c>
      <c r="L22" t="n">
        <v>0</v>
      </c>
      <c r="M22" t="n">
        <v>0</v>
      </c>
      <c r="N22" t="n">
        <v>0</v>
      </c>
      <c r="O22" t="n">
        <v>8</v>
      </c>
      <c r="P22" t="n">
        <v>1</v>
      </c>
      <c r="Q22" t="n">
        <v>14</v>
      </c>
      <c r="R22" s="2" t="inlineStr">
        <is>
          <t>Garnlav
Dvärgbägarlav
Kolflarnlav
Mörk kolflarnlav
Tretåig hackspett
Vedflamlav
Vedskivlav
Violettgrå tagellav
Mindre märgborre
Nästlav
Plattlummer
Vedticka
Spillkråka
Tjäder</t>
        </is>
      </c>
      <c r="S22">
        <f>HYPERLINK("https://klasma.github.io/Logging_2062/artfynd/A 21284-2026 artfynd.xlsx", "A 21284-2026")</f>
        <v/>
      </c>
      <c r="T22">
        <f>HYPERLINK("https://klasma.github.io/Logging_2062/kartor/A 21284-2026 karta.png", "A 21284-2026")</f>
        <v/>
      </c>
      <c r="V22">
        <f>HYPERLINK("https://klasma.github.io/Logging_2062/klagomål/A 21284-2026 FSC-klagomål.docx", "A 21284-2026")</f>
        <v/>
      </c>
      <c r="W22">
        <f>HYPERLINK("https://klasma.github.io/Logging_2062/klagomålsmail/A 21284-2026 FSC-klagomål mail.docx", "A 21284-2026")</f>
        <v/>
      </c>
      <c r="X22">
        <f>HYPERLINK("https://klasma.github.io/Logging_2062/tillsyn/A 21284-2026 tillsynsbegäran.docx", "A 21284-2026")</f>
        <v/>
      </c>
      <c r="Y22">
        <f>HYPERLINK("https://klasma.github.io/Logging_2062/tillsynsmail/A 21284-2026 tillsynsbegäran mail.docx", "A 21284-2026")</f>
        <v/>
      </c>
      <c r="Z22">
        <f>HYPERLINK("https://klasma.github.io/Logging_2062/fåglar/A 21284-2026 prioriterade fågelarter.docx", "A 21284-2026")</f>
        <v/>
      </c>
    </row>
    <row r="23" ht="15" customHeight="1">
      <c r="A23" t="inlineStr">
        <is>
          <t>A 50759-2023</t>
        </is>
      </c>
      <c r="B23" s="1" t="n">
        <v>45217</v>
      </c>
      <c r="C23" s="1" t="n">
        <v>46192</v>
      </c>
      <c r="D23" t="inlineStr">
        <is>
          <t>DALARNAS LÄN</t>
        </is>
      </c>
      <c r="E23" t="inlineStr">
        <is>
          <t>MORA</t>
        </is>
      </c>
      <c r="G23" t="n">
        <v>5.3</v>
      </c>
      <c r="H23" t="n">
        <v>5</v>
      </c>
      <c r="I23" t="n">
        <v>2</v>
      </c>
      <c r="J23" t="n">
        <v>7</v>
      </c>
      <c r="K23" t="n">
        <v>1</v>
      </c>
      <c r="L23" t="n">
        <v>0</v>
      </c>
      <c r="M23" t="n">
        <v>0</v>
      </c>
      <c r="N23" t="n">
        <v>0</v>
      </c>
      <c r="O23" t="n">
        <v>8</v>
      </c>
      <c r="P23" t="n">
        <v>1</v>
      </c>
      <c r="Q23" t="n">
        <v>13</v>
      </c>
      <c r="R23" s="2" t="inlineStr">
        <is>
          <t>Garnlav
Rosenticka
Rynkskinn
Talltita
Tretåig hackspett
Ullticka
Vedflamlav
Vedskivlav
Mindre märgborre
Vedticka
Spillkråka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23535-2025</t>
        </is>
      </c>
      <c r="B24" s="1" t="n">
        <v>45792</v>
      </c>
      <c r="C24" s="1" t="n">
        <v>46192</v>
      </c>
      <c r="D24" t="inlineStr">
        <is>
          <t>DALARNAS LÄN</t>
        </is>
      </c>
      <c r="E24" t="inlineStr">
        <is>
          <t>MORA</t>
        </is>
      </c>
      <c r="G24" t="n">
        <v>8.6</v>
      </c>
      <c r="H24" t="n">
        <v>3</v>
      </c>
      <c r="I24" t="n">
        <v>0</v>
      </c>
      <c r="J24" t="n">
        <v>10</v>
      </c>
      <c r="K24" t="n">
        <v>1</v>
      </c>
      <c r="L24" t="n">
        <v>1</v>
      </c>
      <c r="M24" t="n">
        <v>0</v>
      </c>
      <c r="N24" t="n">
        <v>0</v>
      </c>
      <c r="O24" t="n">
        <v>12</v>
      </c>
      <c r="P24" t="n">
        <v>2</v>
      </c>
      <c r="Q24" t="n">
        <v>13</v>
      </c>
      <c r="R24" s="2" t="inlineStr">
        <is>
          <t>Urskogsporing
Garnlav
Blanksvart spiklav
Blågrå svartspik
Dropptaggsvamp
Dvärgbägarlav
Kolflarnlav
Mörk kolflarnlav
Tretåig hackspett
Varglav
Vedflamlav
Vedskivlav
Tjäder</t>
        </is>
      </c>
      <c r="S24">
        <f>HYPERLINK("https://klasma.github.io/Logging_2062/artfynd/A 23535-2025 artfynd.xlsx", "A 23535-2025")</f>
        <v/>
      </c>
      <c r="T24">
        <f>HYPERLINK("https://klasma.github.io/Logging_2062/kartor/A 23535-2025 karta.png", "A 23535-2025")</f>
        <v/>
      </c>
      <c r="V24">
        <f>HYPERLINK("https://klasma.github.io/Logging_2062/klagomål/A 23535-2025 FSC-klagomål.docx", "A 23535-2025")</f>
        <v/>
      </c>
      <c r="W24">
        <f>HYPERLINK("https://klasma.github.io/Logging_2062/klagomålsmail/A 23535-2025 FSC-klagomål mail.docx", "A 23535-2025")</f>
        <v/>
      </c>
      <c r="X24">
        <f>HYPERLINK("https://klasma.github.io/Logging_2062/tillsyn/A 23535-2025 tillsynsbegäran.docx", "A 23535-2025")</f>
        <v/>
      </c>
      <c r="Y24">
        <f>HYPERLINK("https://klasma.github.io/Logging_2062/tillsynsmail/A 23535-2025 tillsynsbegäran mail.docx", "A 23535-2025")</f>
        <v/>
      </c>
      <c r="Z24">
        <f>HYPERLINK("https://klasma.github.io/Logging_2062/fåglar/A 23535-2025 prioriterade fågelarter.docx", "A 23535-2025")</f>
        <v/>
      </c>
    </row>
    <row r="25" ht="15" customHeight="1">
      <c r="A25" t="inlineStr">
        <is>
          <t>A 58839-2025</t>
        </is>
      </c>
      <c r="B25" s="1" t="n">
        <v>45987</v>
      </c>
      <c r="C25" s="1" t="n">
        <v>46192</v>
      </c>
      <c r="D25" t="inlineStr">
        <is>
          <t>DALARNAS LÄN</t>
        </is>
      </c>
      <c r="E25" t="inlineStr">
        <is>
          <t>MORA</t>
        </is>
      </c>
      <c r="F25" t="inlineStr">
        <is>
          <t>Bergvik skog öst AB</t>
        </is>
      </c>
      <c r="G25" t="n">
        <v>6.3</v>
      </c>
      <c r="H25" t="n">
        <v>3</v>
      </c>
      <c r="I25" t="n">
        <v>5</v>
      </c>
      <c r="J25" t="n">
        <v>4</v>
      </c>
      <c r="K25" t="n">
        <v>2</v>
      </c>
      <c r="L25" t="n">
        <v>0</v>
      </c>
      <c r="M25" t="n">
        <v>0</v>
      </c>
      <c r="N25" t="n">
        <v>0</v>
      </c>
      <c r="O25" t="n">
        <v>6</v>
      </c>
      <c r="P25" t="n">
        <v>2</v>
      </c>
      <c r="Q25" t="n">
        <v>13</v>
      </c>
      <c r="R25" s="2" t="inlineStr">
        <is>
          <t>Garnlav
Knärot
Kolflarnlav
Mörk kolflarnlav
Ullticka
Vedskivlav
Bollvitmossa
Korallblylav
Mindre märgborre
Skinnlav
Stuplav
Tjäder
Nattviol</t>
        </is>
      </c>
      <c r="S25">
        <f>HYPERLINK("https://klasma.github.io/Logging_2062/artfynd/A 58839-2025 artfynd.xlsx", "A 58839-2025")</f>
        <v/>
      </c>
      <c r="T25">
        <f>HYPERLINK("https://klasma.github.io/Logging_2062/kartor/A 58839-2025 karta.png", "A 58839-2025")</f>
        <v/>
      </c>
      <c r="U25">
        <f>HYPERLINK("https://klasma.github.io/Logging_2062/knärot/A 58839-2025 karta knärot.png", "A 58839-2025")</f>
        <v/>
      </c>
      <c r="V25">
        <f>HYPERLINK("https://klasma.github.io/Logging_2062/klagomål/A 58839-2025 FSC-klagomål.docx", "A 58839-2025")</f>
        <v/>
      </c>
      <c r="W25">
        <f>HYPERLINK("https://klasma.github.io/Logging_2062/klagomålsmail/A 58839-2025 FSC-klagomål mail.docx", "A 58839-2025")</f>
        <v/>
      </c>
      <c r="X25">
        <f>HYPERLINK("https://klasma.github.io/Logging_2062/tillsyn/A 58839-2025 tillsynsbegäran.docx", "A 58839-2025")</f>
        <v/>
      </c>
      <c r="Y25">
        <f>HYPERLINK("https://klasma.github.io/Logging_2062/tillsynsmail/A 58839-2025 tillsynsbegäran mail.docx", "A 58839-2025")</f>
        <v/>
      </c>
      <c r="Z25">
        <f>HYPERLINK("https://klasma.github.io/Logging_2062/fåglar/A 58839-2025 prioriterade fågelarter.docx", "A 58839-2025")</f>
        <v/>
      </c>
    </row>
    <row r="26" ht="15" customHeight="1">
      <c r="A26" t="inlineStr">
        <is>
          <t>A 34714-2025</t>
        </is>
      </c>
      <c r="B26" s="1" t="n">
        <v>45848</v>
      </c>
      <c r="C26" s="1" t="n">
        <v>46192</v>
      </c>
      <c r="D26" t="inlineStr">
        <is>
          <t>DALARNAS LÄN</t>
        </is>
      </c>
      <c r="E26" t="inlineStr">
        <is>
          <t>MORA</t>
        </is>
      </c>
      <c r="G26" t="n">
        <v>8.199999999999999</v>
      </c>
      <c r="H26" t="n">
        <v>7</v>
      </c>
      <c r="I26" t="n">
        <v>3</v>
      </c>
      <c r="J26" t="n">
        <v>4</v>
      </c>
      <c r="K26" t="n">
        <v>2</v>
      </c>
      <c r="L26" t="n">
        <v>0</v>
      </c>
      <c r="M26" t="n">
        <v>0</v>
      </c>
      <c r="N26" t="n">
        <v>0</v>
      </c>
      <c r="O26" t="n">
        <v>6</v>
      </c>
      <c r="P26" t="n">
        <v>2</v>
      </c>
      <c r="Q26" t="n">
        <v>12</v>
      </c>
      <c r="R26" s="2" t="inlineStr">
        <is>
          <t>Garnlav
Knärot
Dvärgbägarlav
Kolflarnlav
Mörk kolflarnlav
Tretåig hackspett
Korallrot
Mindre märgborre
Spindelblomster
Tjäder
Större vattensalamander
Mindre vattensalamander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35486-2025</t>
        </is>
      </c>
      <c r="B27" s="1" t="n">
        <v>45855</v>
      </c>
      <c r="C27" s="1" t="n">
        <v>46192</v>
      </c>
      <c r="D27" t="inlineStr">
        <is>
          <t>DALARNAS LÄN</t>
        </is>
      </c>
      <c r="E27" t="inlineStr">
        <is>
          <t>MORA</t>
        </is>
      </c>
      <c r="F27" t="inlineStr">
        <is>
          <t>Allmännings- och besparingsskogar</t>
        </is>
      </c>
      <c r="G27" t="n">
        <v>3.9</v>
      </c>
      <c r="H27" t="n">
        <v>3</v>
      </c>
      <c r="I27" t="n">
        <v>2</v>
      </c>
      <c r="J27" t="n">
        <v>8</v>
      </c>
      <c r="K27" t="n">
        <v>1</v>
      </c>
      <c r="L27" t="n">
        <v>0</v>
      </c>
      <c r="M27" t="n">
        <v>0</v>
      </c>
      <c r="N27" t="n">
        <v>0</v>
      </c>
      <c r="O27" t="n">
        <v>9</v>
      </c>
      <c r="P27" t="n">
        <v>1</v>
      </c>
      <c r="Q27" t="n">
        <v>12</v>
      </c>
      <c r="R27" s="2" t="inlineStr">
        <is>
          <t>Garnlav
Dropptaggsvamp
Dvärgbägarlav
Kötticka
Talltagel
Talltita
Tretåig hackspett
Ullticka
Vedskivlav
Mindre märgborre
Svavelriska
Spillkråka</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29934-2025</t>
        </is>
      </c>
      <c r="B28" s="1" t="n">
        <v>45826</v>
      </c>
      <c r="C28" s="1" t="n">
        <v>46192</v>
      </c>
      <c r="D28" t="inlineStr">
        <is>
          <t>DALARNAS LÄN</t>
        </is>
      </c>
      <c r="E28" t="inlineStr">
        <is>
          <t>MORA</t>
        </is>
      </c>
      <c r="G28" t="n">
        <v>5.6</v>
      </c>
      <c r="H28" t="n">
        <v>3</v>
      </c>
      <c r="I28" t="n">
        <v>2</v>
      </c>
      <c r="J28" t="n">
        <v>8</v>
      </c>
      <c r="K28" t="n">
        <v>1</v>
      </c>
      <c r="L28" t="n">
        <v>0</v>
      </c>
      <c r="M28" t="n">
        <v>0</v>
      </c>
      <c r="N28" t="n">
        <v>0</v>
      </c>
      <c r="O28" t="n">
        <v>9</v>
      </c>
      <c r="P28" t="n">
        <v>1</v>
      </c>
      <c r="Q28" t="n">
        <v>12</v>
      </c>
      <c r="R28" s="2" t="inlineStr">
        <is>
          <t>Garnlav
Kolflarnlav
Ladusvala
Mörk kolflarnlav
Talltagel
Vedflamlav
Vedskivlav
Violettgrå tagellav
Vitgrynig nållav
Mindre märgborre
Plattlummer
Spillkråka</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30904-2025</t>
        </is>
      </c>
      <c r="B29" s="1" t="n">
        <v>45832</v>
      </c>
      <c r="C29" s="1" t="n">
        <v>46192</v>
      </c>
      <c r="D29" t="inlineStr">
        <is>
          <t>DALARNAS LÄN</t>
        </is>
      </c>
      <c r="E29" t="inlineStr">
        <is>
          <t>MORA</t>
        </is>
      </c>
      <c r="G29" t="n">
        <v>6.6</v>
      </c>
      <c r="H29" t="n">
        <v>4</v>
      </c>
      <c r="I29" t="n">
        <v>2</v>
      </c>
      <c r="J29" t="n">
        <v>5</v>
      </c>
      <c r="K29" t="n">
        <v>1</v>
      </c>
      <c r="L29" t="n">
        <v>0</v>
      </c>
      <c r="M29" t="n">
        <v>0</v>
      </c>
      <c r="N29" t="n">
        <v>0</v>
      </c>
      <c r="O29" t="n">
        <v>6</v>
      </c>
      <c r="P29" t="n">
        <v>1</v>
      </c>
      <c r="Q29" t="n">
        <v>11</v>
      </c>
      <c r="R29" s="2" t="inlineStr">
        <is>
          <t>Garnlav
Talltagel
Tallticka
Talltita
Vedflamlav
Vedskivlav
Mindre märgborre
Vågbandad barkbock
Spillkråka
Tjäder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56940-2025</t>
        </is>
      </c>
      <c r="B30" s="1" t="n">
        <v>45978</v>
      </c>
      <c r="C30" s="1" t="n">
        <v>46192</v>
      </c>
      <c r="D30" t="inlineStr">
        <is>
          <t>DALARNAS LÄN</t>
        </is>
      </c>
      <c r="E30" t="inlineStr">
        <is>
          <t>MORA</t>
        </is>
      </c>
      <c r="G30" t="n">
        <v>18.1</v>
      </c>
      <c r="H30" t="n">
        <v>0</v>
      </c>
      <c r="I30" t="n">
        <v>2</v>
      </c>
      <c r="J30" t="n">
        <v>7</v>
      </c>
      <c r="K30" t="n">
        <v>2</v>
      </c>
      <c r="L30" t="n">
        <v>0</v>
      </c>
      <c r="M30" t="n">
        <v>0</v>
      </c>
      <c r="N30" t="n">
        <v>0</v>
      </c>
      <c r="O30" t="n">
        <v>9</v>
      </c>
      <c r="P30" t="n">
        <v>2</v>
      </c>
      <c r="Q30" t="n">
        <v>11</v>
      </c>
      <c r="R30" s="2" t="inlineStr">
        <is>
          <t>Fläckporing
Garnlav
Blågrå svartspik
Dropptaggsvamp
Kolflarnlav
Mörk kolflarnlav
Tallticka
Vaddporing
Vedflamlav
Bronshjon
Mindre märgborre</t>
        </is>
      </c>
      <c r="S30">
        <f>HYPERLINK("https://klasma.github.io/Logging_2062/artfynd/A 56940-2025 artfynd.xlsx", "A 56940-2025")</f>
        <v/>
      </c>
      <c r="T30">
        <f>HYPERLINK("https://klasma.github.io/Logging_2062/kartor/A 56940-2025 karta.png", "A 56940-2025")</f>
        <v/>
      </c>
      <c r="V30">
        <f>HYPERLINK("https://klasma.github.io/Logging_2062/klagomål/A 56940-2025 FSC-klagomål.docx", "A 56940-2025")</f>
        <v/>
      </c>
      <c r="W30">
        <f>HYPERLINK("https://klasma.github.io/Logging_2062/klagomålsmail/A 56940-2025 FSC-klagomål mail.docx", "A 56940-2025")</f>
        <v/>
      </c>
      <c r="X30">
        <f>HYPERLINK("https://klasma.github.io/Logging_2062/tillsyn/A 56940-2025 tillsynsbegäran.docx", "A 56940-2025")</f>
        <v/>
      </c>
      <c r="Y30">
        <f>HYPERLINK("https://klasma.github.io/Logging_2062/tillsynsmail/A 56940-2025 tillsynsbegäran mail.docx", "A 56940-2025")</f>
        <v/>
      </c>
    </row>
    <row r="31" ht="15" customHeight="1">
      <c r="A31" t="inlineStr">
        <is>
          <t>A 61943-2024</t>
        </is>
      </c>
      <c r="B31" s="1" t="n">
        <v>45653</v>
      </c>
      <c r="C31" s="1" t="n">
        <v>46192</v>
      </c>
      <c r="D31" t="inlineStr">
        <is>
          <t>DALARNAS LÄN</t>
        </is>
      </c>
      <c r="E31" t="inlineStr">
        <is>
          <t>MORA</t>
        </is>
      </c>
      <c r="G31" t="n">
        <v>4.3</v>
      </c>
      <c r="H31" t="n">
        <v>2</v>
      </c>
      <c r="I31" t="n">
        <v>1</v>
      </c>
      <c r="J31" t="n">
        <v>7</v>
      </c>
      <c r="K31" t="n">
        <v>1</v>
      </c>
      <c r="L31" t="n">
        <v>0</v>
      </c>
      <c r="M31" t="n">
        <v>0</v>
      </c>
      <c r="N31" t="n">
        <v>0</v>
      </c>
      <c r="O31" t="n">
        <v>8</v>
      </c>
      <c r="P31" t="n">
        <v>1</v>
      </c>
      <c r="Q31" t="n">
        <v>11</v>
      </c>
      <c r="R31" s="2" t="inlineStr">
        <is>
          <t>Garnlav
Dvärgbägarlav
Lunglav
Mörk kolflarnlav
Tallticka
Vedskivlav
Violettgrå tagellav
Vitgrynig nållav
Mindre märgborre
Spillkråka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31562-2025</t>
        </is>
      </c>
      <c r="B32" s="1" t="n">
        <v>45833</v>
      </c>
      <c r="C32" s="1" t="n">
        <v>46192</v>
      </c>
      <c r="D32" t="inlineStr">
        <is>
          <t>DALARNAS LÄN</t>
        </is>
      </c>
      <c r="E32" t="inlineStr">
        <is>
          <t>MORA</t>
        </is>
      </c>
      <c r="G32" t="n">
        <v>12.4</v>
      </c>
      <c r="H32" t="n">
        <v>4</v>
      </c>
      <c r="I32" t="n">
        <v>3</v>
      </c>
      <c r="J32" t="n">
        <v>5</v>
      </c>
      <c r="K32" t="n">
        <v>2</v>
      </c>
      <c r="L32" t="n">
        <v>0</v>
      </c>
      <c r="M32" t="n">
        <v>0</v>
      </c>
      <c r="N32" t="n">
        <v>0</v>
      </c>
      <c r="O32" t="n">
        <v>7</v>
      </c>
      <c r="P32" t="n">
        <v>2</v>
      </c>
      <c r="Q32" t="n">
        <v>11</v>
      </c>
      <c r="R32" s="2" t="inlineStr">
        <is>
          <t>Garnlav
Knärot
Kattfotslav
Tallticka
Talltita
Tretåig hackspett
Vitgrynig nållav
Mindre märgborre
Nästlav
Thomsons trägnagare
Fläcknycklar</t>
        </is>
      </c>
      <c r="S32">
        <f>HYPERLINK("https://klasma.github.io/Logging_2062/artfynd/A 31562-2025 artfynd.xlsx", "A 31562-2025")</f>
        <v/>
      </c>
      <c r="T32">
        <f>HYPERLINK("https://klasma.github.io/Logging_2062/kartor/A 31562-2025 karta.png", "A 31562-2025")</f>
        <v/>
      </c>
      <c r="U32">
        <f>HYPERLINK("https://klasma.github.io/Logging_2062/knärot/A 31562-2025 karta knärot.png", "A 31562-2025")</f>
        <v/>
      </c>
      <c r="V32">
        <f>HYPERLINK("https://klasma.github.io/Logging_2062/klagomål/A 31562-2025 FSC-klagomål.docx", "A 31562-2025")</f>
        <v/>
      </c>
      <c r="W32">
        <f>HYPERLINK("https://klasma.github.io/Logging_2062/klagomålsmail/A 31562-2025 FSC-klagomål mail.docx", "A 31562-2025")</f>
        <v/>
      </c>
      <c r="X32">
        <f>HYPERLINK("https://klasma.github.io/Logging_2062/tillsyn/A 31562-2025 tillsynsbegäran.docx", "A 31562-2025")</f>
        <v/>
      </c>
      <c r="Y32">
        <f>HYPERLINK("https://klasma.github.io/Logging_2062/tillsynsmail/A 31562-2025 tillsynsbegäran mail.docx", "A 31562-2025")</f>
        <v/>
      </c>
      <c r="Z32">
        <f>HYPERLINK("https://klasma.github.io/Logging_2062/fåglar/A 31562-2025 prioriterade fågelarter.docx", "A 31562-2025")</f>
        <v/>
      </c>
    </row>
    <row r="33" ht="15" customHeight="1">
      <c r="A33" t="inlineStr">
        <is>
          <t>A 35944-2024</t>
        </is>
      </c>
      <c r="B33" s="1" t="n">
        <v>45533</v>
      </c>
      <c r="C33" s="1" t="n">
        <v>46192</v>
      </c>
      <c r="D33" t="inlineStr">
        <is>
          <t>DALARNAS LÄN</t>
        </is>
      </c>
      <c r="E33" t="inlineStr">
        <is>
          <t>MORA</t>
        </is>
      </c>
      <c r="G33" t="n">
        <v>1.7</v>
      </c>
      <c r="H33" t="n">
        <v>2</v>
      </c>
      <c r="I33" t="n">
        <v>4</v>
      </c>
      <c r="J33" t="n">
        <v>4</v>
      </c>
      <c r="K33" t="n">
        <v>1</v>
      </c>
      <c r="L33" t="n">
        <v>0</v>
      </c>
      <c r="M33" t="n">
        <v>0</v>
      </c>
      <c r="N33" t="n">
        <v>0</v>
      </c>
      <c r="O33" t="n">
        <v>5</v>
      </c>
      <c r="P33" t="n">
        <v>1</v>
      </c>
      <c r="Q33" t="n">
        <v>10</v>
      </c>
      <c r="R33" s="2" t="inlineStr">
        <is>
          <t>Garnlav
Kortskaftad ärgspik
Talltita
Ullticka
Vedtrappmossa
Bronshjon
Mindre märgborre
Thomsons trägnagare
Vedticka
Spillkråka</t>
        </is>
      </c>
      <c r="S33">
        <f>HYPERLINK("https://klasma.github.io/Logging_2062/artfynd/A 35944-2024 artfynd.xlsx", "A 35944-2024")</f>
        <v/>
      </c>
      <c r="T33">
        <f>HYPERLINK("https://klasma.github.io/Logging_2062/kartor/A 35944-2024 karta.png", "A 35944-2024")</f>
        <v/>
      </c>
      <c r="V33">
        <f>HYPERLINK("https://klasma.github.io/Logging_2062/klagomål/A 35944-2024 FSC-klagomål.docx", "A 35944-2024")</f>
        <v/>
      </c>
      <c r="W33">
        <f>HYPERLINK("https://klasma.github.io/Logging_2062/klagomålsmail/A 35944-2024 FSC-klagomål mail.docx", "A 35944-2024")</f>
        <v/>
      </c>
      <c r="X33">
        <f>HYPERLINK("https://klasma.github.io/Logging_2062/tillsyn/A 35944-2024 tillsynsbegäran.docx", "A 35944-2024")</f>
        <v/>
      </c>
      <c r="Y33">
        <f>HYPERLINK("https://klasma.github.io/Logging_2062/tillsynsmail/A 35944-2024 tillsynsbegäran mail.docx", "A 35944-2024")</f>
        <v/>
      </c>
      <c r="Z33">
        <f>HYPERLINK("https://klasma.github.io/Logging_2062/fåglar/A 35944-2024 prioriterade fågelarter.docx", "A 35944-2024")</f>
        <v/>
      </c>
    </row>
    <row r="34" ht="15" customHeight="1">
      <c r="A34" t="inlineStr">
        <is>
          <t>A 46450-2025</t>
        </is>
      </c>
      <c r="B34" s="1" t="n">
        <v>45925</v>
      </c>
      <c r="C34" s="1" t="n">
        <v>46192</v>
      </c>
      <c r="D34" t="inlineStr">
        <is>
          <t>DALARNAS LÄN</t>
        </is>
      </c>
      <c r="E34" t="inlineStr">
        <is>
          <t>MORA</t>
        </is>
      </c>
      <c r="G34" t="n">
        <v>4.2</v>
      </c>
      <c r="H34" t="n">
        <v>3</v>
      </c>
      <c r="I34" t="n">
        <v>1</v>
      </c>
      <c r="J34" t="n">
        <v>6</v>
      </c>
      <c r="K34" t="n">
        <v>1</v>
      </c>
      <c r="L34" t="n">
        <v>0</v>
      </c>
      <c r="M34" t="n">
        <v>0</v>
      </c>
      <c r="N34" t="n">
        <v>0</v>
      </c>
      <c r="O34" t="n">
        <v>7</v>
      </c>
      <c r="P34" t="n">
        <v>1</v>
      </c>
      <c r="Q34" t="n">
        <v>9</v>
      </c>
      <c r="R34" s="2" t="inlineStr">
        <is>
          <t>Garnlav
Dropptaggsvamp
Kolflarnlav
Talltita
Tretåig hackspett
Vedflamlav
Vedskivlav
Mindre märgborre
Spillkråka</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40313-2025</t>
        </is>
      </c>
      <c r="B35" s="1" t="n">
        <v>45895</v>
      </c>
      <c r="C35" s="1" t="n">
        <v>46192</v>
      </c>
      <c r="D35" t="inlineStr">
        <is>
          <t>DALARNAS LÄN</t>
        </is>
      </c>
      <c r="E35" t="inlineStr">
        <is>
          <t>MORA</t>
        </is>
      </c>
      <c r="G35" t="n">
        <v>16</v>
      </c>
      <c r="H35" t="n">
        <v>3</v>
      </c>
      <c r="I35" t="n">
        <v>2</v>
      </c>
      <c r="J35" t="n">
        <v>4</v>
      </c>
      <c r="K35" t="n">
        <v>1</v>
      </c>
      <c r="L35" t="n">
        <v>0</v>
      </c>
      <c r="M35" t="n">
        <v>0</v>
      </c>
      <c r="N35" t="n">
        <v>0</v>
      </c>
      <c r="O35" t="n">
        <v>5</v>
      </c>
      <c r="P35" t="n">
        <v>1</v>
      </c>
      <c r="Q35" t="n">
        <v>9</v>
      </c>
      <c r="R35" s="2" t="inlineStr">
        <is>
          <t>Garnlav
Dropptaggsvamp
Mörk kolflarnlav
Tallticka
Tretåig hackspett
Bollvitmossa
Mindre märgborre
Spillkråka
Tjäder</t>
        </is>
      </c>
      <c r="S35">
        <f>HYPERLINK("https://klasma.github.io/Logging_2062/artfynd/A 40313-2025 artfynd.xlsx", "A 40313-2025")</f>
        <v/>
      </c>
      <c r="T35">
        <f>HYPERLINK("https://klasma.github.io/Logging_2062/kartor/A 40313-2025 karta.png", "A 40313-2025")</f>
        <v/>
      </c>
      <c r="V35">
        <f>HYPERLINK("https://klasma.github.io/Logging_2062/klagomål/A 40313-2025 FSC-klagomål.docx", "A 40313-2025")</f>
        <v/>
      </c>
      <c r="W35">
        <f>HYPERLINK("https://klasma.github.io/Logging_2062/klagomålsmail/A 40313-2025 FSC-klagomål mail.docx", "A 40313-2025")</f>
        <v/>
      </c>
      <c r="X35">
        <f>HYPERLINK("https://klasma.github.io/Logging_2062/tillsyn/A 40313-2025 tillsynsbegäran.docx", "A 40313-2025")</f>
        <v/>
      </c>
      <c r="Y35">
        <f>HYPERLINK("https://klasma.github.io/Logging_2062/tillsynsmail/A 40313-2025 tillsynsbegäran mail.docx", "A 40313-2025")</f>
        <v/>
      </c>
      <c r="Z35">
        <f>HYPERLINK("https://klasma.github.io/Logging_2062/fåglar/A 40313-2025 prioriterade fågelarter.docx", "A 40313-2025")</f>
        <v/>
      </c>
    </row>
    <row r="36" ht="15" customHeight="1">
      <c r="A36" t="inlineStr">
        <is>
          <t>A 57661-2025</t>
        </is>
      </c>
      <c r="B36" s="1" t="n">
        <v>45981</v>
      </c>
      <c r="C36" s="1" t="n">
        <v>46192</v>
      </c>
      <c r="D36" t="inlineStr">
        <is>
          <t>DALARNAS LÄN</t>
        </is>
      </c>
      <c r="E36" t="inlineStr">
        <is>
          <t>MORA</t>
        </is>
      </c>
      <c r="G36" t="n">
        <v>6.3</v>
      </c>
      <c r="H36" t="n">
        <v>0</v>
      </c>
      <c r="I36" t="n">
        <v>2</v>
      </c>
      <c r="J36" t="n">
        <v>6</v>
      </c>
      <c r="K36" t="n">
        <v>1</v>
      </c>
      <c r="L36" t="n">
        <v>0</v>
      </c>
      <c r="M36" t="n">
        <v>0</v>
      </c>
      <c r="N36" t="n">
        <v>0</v>
      </c>
      <c r="O36" t="n">
        <v>7</v>
      </c>
      <c r="P36" t="n">
        <v>1</v>
      </c>
      <c r="Q36" t="n">
        <v>9</v>
      </c>
      <c r="R36" s="2" t="inlineStr">
        <is>
          <t>Garnlav
Dvärgbägarlav
Skarp dropptaggsvamp
Tallticka
Vedskivlav
Vedtrappmossa
Vitgrynig nållav
Bronshjon
Mindre märgborre</t>
        </is>
      </c>
      <c r="S36">
        <f>HYPERLINK("https://klasma.github.io/Logging_2062/artfynd/A 57661-2025 artfynd.xlsx", "A 57661-2025")</f>
        <v/>
      </c>
      <c r="T36">
        <f>HYPERLINK("https://klasma.github.io/Logging_2062/kartor/A 57661-2025 karta.png", "A 57661-2025")</f>
        <v/>
      </c>
      <c r="V36">
        <f>HYPERLINK("https://klasma.github.io/Logging_2062/klagomål/A 57661-2025 FSC-klagomål.docx", "A 57661-2025")</f>
        <v/>
      </c>
      <c r="W36">
        <f>HYPERLINK("https://klasma.github.io/Logging_2062/klagomålsmail/A 57661-2025 FSC-klagomål mail.docx", "A 57661-2025")</f>
        <v/>
      </c>
      <c r="X36">
        <f>HYPERLINK("https://klasma.github.io/Logging_2062/tillsyn/A 57661-2025 tillsynsbegäran.docx", "A 57661-2025")</f>
        <v/>
      </c>
      <c r="Y36">
        <f>HYPERLINK("https://klasma.github.io/Logging_2062/tillsynsmail/A 57661-2025 tillsynsbegäran mail.docx", "A 57661-2025")</f>
        <v/>
      </c>
    </row>
    <row r="37" ht="15" customHeight="1">
      <c r="A37" t="inlineStr">
        <is>
          <t>A 41794-2025</t>
        </is>
      </c>
      <c r="B37" s="1" t="n">
        <v>45902</v>
      </c>
      <c r="C37" s="1" t="n">
        <v>46192</v>
      </c>
      <c r="D37" t="inlineStr">
        <is>
          <t>DALARNAS LÄN</t>
        </is>
      </c>
      <c r="E37" t="inlineStr">
        <is>
          <t>MORA</t>
        </is>
      </c>
      <c r="G37" t="n">
        <v>14.4</v>
      </c>
      <c r="H37" t="n">
        <v>4</v>
      </c>
      <c r="I37" t="n">
        <v>1</v>
      </c>
      <c r="J37" t="n">
        <v>4</v>
      </c>
      <c r="K37" t="n">
        <v>1</v>
      </c>
      <c r="L37" t="n">
        <v>0</v>
      </c>
      <c r="M37" t="n">
        <v>0</v>
      </c>
      <c r="N37" t="n">
        <v>0</v>
      </c>
      <c r="O37" t="n">
        <v>5</v>
      </c>
      <c r="P37" t="n">
        <v>1</v>
      </c>
      <c r="Q37" t="n">
        <v>9</v>
      </c>
      <c r="R37" s="2" t="inlineStr">
        <is>
          <t>Garnlav
Motaggsvamp
Rödvingetrast
Tallticka
Vedskivlav
Mindre märgborre
Spillkråka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33380-2025</t>
        </is>
      </c>
      <c r="B38" s="1" t="n">
        <v>45841</v>
      </c>
      <c r="C38" s="1" t="n">
        <v>46192</v>
      </c>
      <c r="D38" t="inlineStr">
        <is>
          <t>DALARNAS LÄN</t>
        </is>
      </c>
      <c r="E38" t="inlineStr">
        <is>
          <t>MORA</t>
        </is>
      </c>
      <c r="G38" t="n">
        <v>6.6</v>
      </c>
      <c r="H38" t="n">
        <v>5</v>
      </c>
      <c r="I38" t="n">
        <v>1</v>
      </c>
      <c r="J38" t="n">
        <v>4</v>
      </c>
      <c r="K38" t="n">
        <v>1</v>
      </c>
      <c r="L38" t="n">
        <v>0</v>
      </c>
      <c r="M38" t="n">
        <v>0</v>
      </c>
      <c r="N38" t="n">
        <v>0</v>
      </c>
      <c r="O38" t="n">
        <v>5</v>
      </c>
      <c r="P38" t="n">
        <v>1</v>
      </c>
      <c r="Q38" t="n">
        <v>8</v>
      </c>
      <c r="R38" s="2" t="inlineStr">
        <is>
          <t>Garnlav
Rödvingetrast
Talltita
Tretåig hackspett
Ullticka
Mindre märgborre
Spillkråka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2762-2026</t>
        </is>
      </c>
      <c r="B39" s="1" t="n">
        <v>46036</v>
      </c>
      <c r="C39" s="1" t="n">
        <v>46192</v>
      </c>
      <c r="D39" t="inlineStr">
        <is>
          <t>DALARNAS LÄN</t>
        </is>
      </c>
      <c r="E39" t="inlineStr">
        <is>
          <t>MORA</t>
        </is>
      </c>
      <c r="G39" t="n">
        <v>5.7</v>
      </c>
      <c r="H39" t="n">
        <v>2</v>
      </c>
      <c r="I39" t="n">
        <v>1</v>
      </c>
      <c r="J39" t="n">
        <v>5</v>
      </c>
      <c r="K39" t="n">
        <v>1</v>
      </c>
      <c r="L39" t="n">
        <v>0</v>
      </c>
      <c r="M39" t="n">
        <v>0</v>
      </c>
      <c r="N39" t="n">
        <v>0</v>
      </c>
      <c r="O39" t="n">
        <v>6</v>
      </c>
      <c r="P39" t="n">
        <v>1</v>
      </c>
      <c r="Q39" t="n">
        <v>8</v>
      </c>
      <c r="R39" s="2" t="inlineStr">
        <is>
          <t>Garnlav
Kolflarnlav
Mörk kolflarnlav
Tretåig hackspett
Vedflamlav
Vedskivlav
Mindre märgborre
Spillkråka</t>
        </is>
      </c>
      <c r="S39">
        <f>HYPERLINK("https://klasma.github.io/Logging_2062/artfynd/A 2762-2026 artfynd.xlsx", "A 2762-2026")</f>
        <v/>
      </c>
      <c r="T39">
        <f>HYPERLINK("https://klasma.github.io/Logging_2062/kartor/A 2762-2026 karta.png", "A 2762-2026")</f>
        <v/>
      </c>
      <c r="V39">
        <f>HYPERLINK("https://klasma.github.io/Logging_2062/klagomål/A 2762-2026 FSC-klagomål.docx", "A 2762-2026")</f>
        <v/>
      </c>
      <c r="W39">
        <f>HYPERLINK("https://klasma.github.io/Logging_2062/klagomålsmail/A 2762-2026 FSC-klagomål mail.docx", "A 2762-2026")</f>
        <v/>
      </c>
      <c r="X39">
        <f>HYPERLINK("https://klasma.github.io/Logging_2062/tillsyn/A 2762-2026 tillsynsbegäran.docx", "A 2762-2026")</f>
        <v/>
      </c>
      <c r="Y39">
        <f>HYPERLINK("https://klasma.github.io/Logging_2062/tillsynsmail/A 2762-2026 tillsynsbegäran mail.docx", "A 2762-2026")</f>
        <v/>
      </c>
      <c r="Z39">
        <f>HYPERLINK("https://klasma.github.io/Logging_2062/fåglar/A 2762-2026 prioriterade fågelarter.docx", "A 2762-2026")</f>
        <v/>
      </c>
    </row>
    <row r="40" ht="15" customHeight="1">
      <c r="A40" t="inlineStr">
        <is>
          <t>A 61259-2023</t>
        </is>
      </c>
      <c r="B40" s="1" t="n">
        <v>45264</v>
      </c>
      <c r="C40" s="1" t="n">
        <v>46192</v>
      </c>
      <c r="D40" t="inlineStr">
        <is>
          <t>DALARNAS LÄN</t>
        </is>
      </c>
      <c r="E40" t="inlineStr">
        <is>
          <t>MORA</t>
        </is>
      </c>
      <c r="F40" t="inlineStr">
        <is>
          <t>Allmännings- och besparingsskogar</t>
        </is>
      </c>
      <c r="G40" t="n">
        <v>1</v>
      </c>
      <c r="H40" t="n">
        <v>1</v>
      </c>
      <c r="I40" t="n">
        <v>4</v>
      </c>
      <c r="J40" t="n">
        <v>2</v>
      </c>
      <c r="K40" t="n">
        <v>2</v>
      </c>
      <c r="L40" t="n">
        <v>0</v>
      </c>
      <c r="M40" t="n">
        <v>0</v>
      </c>
      <c r="N40" t="n">
        <v>0</v>
      </c>
      <c r="O40" t="n">
        <v>4</v>
      </c>
      <c r="P40" t="n">
        <v>2</v>
      </c>
      <c r="Q40" t="n">
        <v>8</v>
      </c>
      <c r="R40" s="2" t="inlineStr">
        <is>
          <t>Garnlav
Knärot
Brunpudrad nållav
Vitgrynig nållav
Bollvitmossa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62154-2025</t>
        </is>
      </c>
      <c r="B41" s="1" t="n">
        <v>46006</v>
      </c>
      <c r="C41" s="1" t="n">
        <v>46192</v>
      </c>
      <c r="D41" t="inlineStr">
        <is>
          <t>DALARNAS LÄN</t>
        </is>
      </c>
      <c r="E41" t="inlineStr">
        <is>
          <t>MORA</t>
        </is>
      </c>
      <c r="G41" t="n">
        <v>7.2</v>
      </c>
      <c r="H41" t="n">
        <v>4</v>
      </c>
      <c r="I41" t="n">
        <v>3</v>
      </c>
      <c r="J41" t="n">
        <v>2</v>
      </c>
      <c r="K41" t="n">
        <v>1</v>
      </c>
      <c r="L41" t="n">
        <v>0</v>
      </c>
      <c r="M41" t="n">
        <v>0</v>
      </c>
      <c r="N41" t="n">
        <v>0</v>
      </c>
      <c r="O41" t="n">
        <v>3</v>
      </c>
      <c r="P41" t="n">
        <v>1</v>
      </c>
      <c r="Q41" t="n">
        <v>8</v>
      </c>
      <c r="R41" s="2" t="inlineStr">
        <is>
          <t>Garnlav
Talltita
Tretåig hackspett
Bronshjon
Mindre märgborre
Vågbandad barkbock
Spillkråka
Tjäder</t>
        </is>
      </c>
      <c r="S41">
        <f>HYPERLINK("https://klasma.github.io/Logging_2062/artfynd/A 62154-2025 artfynd.xlsx", "A 62154-2025")</f>
        <v/>
      </c>
      <c r="T41">
        <f>HYPERLINK("https://klasma.github.io/Logging_2062/kartor/A 62154-2025 karta.png", "A 62154-2025")</f>
        <v/>
      </c>
      <c r="V41">
        <f>HYPERLINK("https://klasma.github.io/Logging_2062/klagomål/A 62154-2025 FSC-klagomål.docx", "A 62154-2025")</f>
        <v/>
      </c>
      <c r="W41">
        <f>HYPERLINK("https://klasma.github.io/Logging_2062/klagomålsmail/A 62154-2025 FSC-klagomål mail.docx", "A 62154-2025")</f>
        <v/>
      </c>
      <c r="X41">
        <f>HYPERLINK("https://klasma.github.io/Logging_2062/tillsyn/A 62154-2025 tillsynsbegäran.docx", "A 62154-2025")</f>
        <v/>
      </c>
      <c r="Y41">
        <f>HYPERLINK("https://klasma.github.io/Logging_2062/tillsynsmail/A 62154-2025 tillsynsbegäran mail.docx", "A 62154-2025")</f>
        <v/>
      </c>
      <c r="Z41">
        <f>HYPERLINK("https://klasma.github.io/Logging_2062/fåglar/A 62154-2025 prioriterade fågelarter.docx", "A 62154-2025")</f>
        <v/>
      </c>
    </row>
    <row r="42" ht="15" customHeight="1">
      <c r="A42" t="inlineStr">
        <is>
          <t>A 34447-2024</t>
        </is>
      </c>
      <c r="B42" s="1" t="n">
        <v>45525</v>
      </c>
      <c r="C42" s="1" t="n">
        <v>46192</v>
      </c>
      <c r="D42" t="inlineStr">
        <is>
          <t>DALARNAS LÄN</t>
        </is>
      </c>
      <c r="E42" t="inlineStr">
        <is>
          <t>MORA</t>
        </is>
      </c>
      <c r="G42" t="n">
        <v>8.300000000000001</v>
      </c>
      <c r="H42" t="n">
        <v>0</v>
      </c>
      <c r="I42" t="n">
        <v>0</v>
      </c>
      <c r="J42" t="n">
        <v>6</v>
      </c>
      <c r="K42" t="n">
        <v>1</v>
      </c>
      <c r="L42" t="n">
        <v>0</v>
      </c>
      <c r="M42" t="n">
        <v>0</v>
      </c>
      <c r="N42" t="n">
        <v>0</v>
      </c>
      <c r="O42" t="n">
        <v>7</v>
      </c>
      <c r="P42" t="n">
        <v>1</v>
      </c>
      <c r="Q42" t="n">
        <v>7</v>
      </c>
      <c r="R42" s="2" t="inlineStr">
        <is>
          <t>Garnlav
Blanksvart spiklav
Dvärgbägarlav
Kolflarnlav
Mörk kolflarnlav
Vedflamlav
Vedskivlav</t>
        </is>
      </c>
      <c r="S42">
        <f>HYPERLINK("https://klasma.github.io/Logging_2062/artfynd/A 34447-2024 artfynd.xlsx", "A 34447-2024")</f>
        <v/>
      </c>
      <c r="T42">
        <f>HYPERLINK("https://klasma.github.io/Logging_2062/kartor/A 34447-2024 karta.png", "A 34447-2024")</f>
        <v/>
      </c>
      <c r="V42">
        <f>HYPERLINK("https://klasma.github.io/Logging_2062/klagomål/A 34447-2024 FSC-klagomål.docx", "A 34447-2024")</f>
        <v/>
      </c>
      <c r="W42">
        <f>HYPERLINK("https://klasma.github.io/Logging_2062/klagomålsmail/A 34447-2024 FSC-klagomål mail.docx", "A 34447-2024")</f>
        <v/>
      </c>
      <c r="X42">
        <f>HYPERLINK("https://klasma.github.io/Logging_2062/tillsyn/A 34447-2024 tillsynsbegäran.docx", "A 34447-2024")</f>
        <v/>
      </c>
      <c r="Y42">
        <f>HYPERLINK("https://klasma.github.io/Logging_2062/tillsynsmail/A 34447-2024 tillsynsbegäran mail.docx", "A 34447-2024")</f>
        <v/>
      </c>
    </row>
    <row r="43" ht="15" customHeight="1">
      <c r="A43" t="inlineStr">
        <is>
          <t>A 34719-2025</t>
        </is>
      </c>
      <c r="B43" s="1" t="n">
        <v>45848</v>
      </c>
      <c r="C43" s="1" t="n">
        <v>46192</v>
      </c>
      <c r="D43" t="inlineStr">
        <is>
          <t>DALARNAS LÄN</t>
        </is>
      </c>
      <c r="E43" t="inlineStr">
        <is>
          <t>MORA</t>
        </is>
      </c>
      <c r="G43" t="n">
        <v>1.9</v>
      </c>
      <c r="H43" t="n">
        <v>2</v>
      </c>
      <c r="I43" t="n">
        <v>1</v>
      </c>
      <c r="J43" t="n">
        <v>3</v>
      </c>
      <c r="K43" t="n">
        <v>1</v>
      </c>
      <c r="L43" t="n">
        <v>0</v>
      </c>
      <c r="M43" t="n">
        <v>0</v>
      </c>
      <c r="N43" t="n">
        <v>0</v>
      </c>
      <c r="O43" t="n">
        <v>4</v>
      </c>
      <c r="P43" t="n">
        <v>1</v>
      </c>
      <c r="Q43" t="n">
        <v>6</v>
      </c>
      <c r="R43" s="2" t="inlineStr">
        <is>
          <t>Garnlav
Dvärgbägarlav
Tallticka
Tretåig hackspett
Mindre märgborre
Spillkråka</t>
        </is>
      </c>
      <c r="S43">
        <f>HYPERLINK("https://klasma.github.io/Logging_2062/artfynd/A 34719-2025 artfynd.xlsx", "A 34719-2025")</f>
        <v/>
      </c>
      <c r="T43">
        <f>HYPERLINK("https://klasma.github.io/Logging_2062/kartor/A 34719-2025 karta.png", "A 34719-2025")</f>
        <v/>
      </c>
      <c r="V43">
        <f>HYPERLINK("https://klasma.github.io/Logging_2062/klagomål/A 34719-2025 FSC-klagomål.docx", "A 34719-2025")</f>
        <v/>
      </c>
      <c r="W43">
        <f>HYPERLINK("https://klasma.github.io/Logging_2062/klagomålsmail/A 34719-2025 FSC-klagomål mail.docx", "A 34719-2025")</f>
        <v/>
      </c>
      <c r="X43">
        <f>HYPERLINK("https://klasma.github.io/Logging_2062/tillsyn/A 34719-2025 tillsynsbegäran.docx", "A 34719-2025")</f>
        <v/>
      </c>
      <c r="Y43">
        <f>HYPERLINK("https://klasma.github.io/Logging_2062/tillsynsmail/A 34719-2025 tillsynsbegäran mail.docx", "A 34719-2025")</f>
        <v/>
      </c>
      <c r="Z43">
        <f>HYPERLINK("https://klasma.github.io/Logging_2062/fåglar/A 34719-2025 prioriterade fågelarter.docx", "A 34719-2025")</f>
        <v/>
      </c>
    </row>
    <row r="44" ht="15" customHeight="1">
      <c r="A44" t="inlineStr">
        <is>
          <t>A 10693-2026</t>
        </is>
      </c>
      <c r="B44" s="1" t="n">
        <v>46078</v>
      </c>
      <c r="C44" s="1" t="n">
        <v>46192</v>
      </c>
      <c r="D44" t="inlineStr">
        <is>
          <t>DALARNAS LÄN</t>
        </is>
      </c>
      <c r="E44" t="inlineStr">
        <is>
          <t>MORA</t>
        </is>
      </c>
      <c r="G44" t="n">
        <v>1.2</v>
      </c>
      <c r="H44" t="n">
        <v>2</v>
      </c>
      <c r="I44" t="n">
        <v>3</v>
      </c>
      <c r="J44" t="n">
        <v>1</v>
      </c>
      <c r="K44" t="n">
        <v>2</v>
      </c>
      <c r="L44" t="n">
        <v>0</v>
      </c>
      <c r="M44" t="n">
        <v>0</v>
      </c>
      <c r="N44" t="n">
        <v>0</v>
      </c>
      <c r="O44" t="n">
        <v>3</v>
      </c>
      <c r="P44" t="n">
        <v>2</v>
      </c>
      <c r="Q44" t="n">
        <v>6</v>
      </c>
      <c r="R44" s="2" t="inlineStr">
        <is>
          <t>Garnlav
Knärot
Tretåig hackspett
Bronshjon
Mindre märgborre
Nästlav</t>
        </is>
      </c>
      <c r="S44">
        <f>HYPERLINK("https://klasma.github.io/Logging_2062/artfynd/A 10693-2026 artfynd.xlsx", "A 10693-2026")</f>
        <v/>
      </c>
      <c r="T44">
        <f>HYPERLINK("https://klasma.github.io/Logging_2062/kartor/A 10693-2026 karta.png", "A 10693-2026")</f>
        <v/>
      </c>
      <c r="U44">
        <f>HYPERLINK("https://klasma.github.io/Logging_2062/knärot/A 10693-2026 karta knärot.png", "A 10693-2026")</f>
        <v/>
      </c>
      <c r="V44">
        <f>HYPERLINK("https://klasma.github.io/Logging_2062/klagomål/A 10693-2026 FSC-klagomål.docx", "A 10693-2026")</f>
        <v/>
      </c>
      <c r="W44">
        <f>HYPERLINK("https://klasma.github.io/Logging_2062/klagomålsmail/A 10693-2026 FSC-klagomål mail.docx", "A 10693-2026")</f>
        <v/>
      </c>
      <c r="X44">
        <f>HYPERLINK("https://klasma.github.io/Logging_2062/tillsyn/A 10693-2026 tillsynsbegäran.docx", "A 10693-2026")</f>
        <v/>
      </c>
      <c r="Y44">
        <f>HYPERLINK("https://klasma.github.io/Logging_2062/tillsynsmail/A 10693-2026 tillsynsbegäran mail.docx", "A 10693-2026")</f>
        <v/>
      </c>
      <c r="Z44">
        <f>HYPERLINK("https://klasma.github.io/Logging_2062/fåglar/A 10693-2026 prioriterade fågelarter.docx", "A 10693-2026")</f>
        <v/>
      </c>
    </row>
    <row r="45" ht="15" customHeight="1">
      <c r="A45" t="inlineStr">
        <is>
          <t>A 58169-2025</t>
        </is>
      </c>
      <c r="B45" s="1" t="n">
        <v>45982</v>
      </c>
      <c r="C45" s="1" t="n">
        <v>46192</v>
      </c>
      <c r="D45" t="inlineStr">
        <is>
          <t>DALARNAS LÄN</t>
        </is>
      </c>
      <c r="E45" t="inlineStr">
        <is>
          <t>MORA</t>
        </is>
      </c>
      <c r="F45" t="inlineStr">
        <is>
          <t>Bergvik skog väst AB</t>
        </is>
      </c>
      <c r="G45" t="n">
        <v>7.7</v>
      </c>
      <c r="H45" t="n">
        <v>2</v>
      </c>
      <c r="I45" t="n">
        <v>1</v>
      </c>
      <c r="J45" t="n">
        <v>3</v>
      </c>
      <c r="K45" t="n">
        <v>1</v>
      </c>
      <c r="L45" t="n">
        <v>0</v>
      </c>
      <c r="M45" t="n">
        <v>0</v>
      </c>
      <c r="N45" t="n">
        <v>0</v>
      </c>
      <c r="O45" t="n">
        <v>4</v>
      </c>
      <c r="P45" t="n">
        <v>1</v>
      </c>
      <c r="Q45" t="n">
        <v>6</v>
      </c>
      <c r="R45" s="2" t="inlineStr">
        <is>
          <t>Garnlav
Tretåig hackspett
Vedflamlav
Vedskivlav
Mindre märgborre
Spillkråka</t>
        </is>
      </c>
      <c r="S45">
        <f>HYPERLINK("https://klasma.github.io/Logging_2062/artfynd/A 58169-2025 artfynd.xlsx", "A 58169-2025")</f>
        <v/>
      </c>
      <c r="T45">
        <f>HYPERLINK("https://klasma.github.io/Logging_2062/kartor/A 58169-2025 karta.png", "A 58169-2025")</f>
        <v/>
      </c>
      <c r="V45">
        <f>HYPERLINK("https://klasma.github.io/Logging_2062/klagomål/A 58169-2025 FSC-klagomål.docx", "A 58169-2025")</f>
        <v/>
      </c>
      <c r="W45">
        <f>HYPERLINK("https://klasma.github.io/Logging_2062/klagomålsmail/A 58169-2025 FSC-klagomål mail.docx", "A 58169-2025")</f>
        <v/>
      </c>
      <c r="X45">
        <f>HYPERLINK("https://klasma.github.io/Logging_2062/tillsyn/A 58169-2025 tillsynsbegäran.docx", "A 58169-2025")</f>
        <v/>
      </c>
      <c r="Y45">
        <f>HYPERLINK("https://klasma.github.io/Logging_2062/tillsynsmail/A 58169-2025 tillsynsbegäran mail.docx", "A 58169-2025")</f>
        <v/>
      </c>
      <c r="Z45">
        <f>HYPERLINK("https://klasma.github.io/Logging_2062/fåglar/A 58169-2025 prioriterade fågelarter.docx", "A 58169-2025")</f>
        <v/>
      </c>
    </row>
    <row r="46" ht="15" customHeight="1">
      <c r="A46" t="inlineStr">
        <is>
          <t>A 62628-2025</t>
        </is>
      </c>
      <c r="B46" s="1" t="n">
        <v>46008</v>
      </c>
      <c r="C46" s="1" t="n">
        <v>46192</v>
      </c>
      <c r="D46" t="inlineStr">
        <is>
          <t>DALARNAS LÄN</t>
        </is>
      </c>
      <c r="E46" t="inlineStr">
        <is>
          <t>MORA</t>
        </is>
      </c>
      <c r="G46" t="n">
        <v>5.7</v>
      </c>
      <c r="H46" t="n">
        <v>3</v>
      </c>
      <c r="I46" t="n">
        <v>0</v>
      </c>
      <c r="J46" t="n">
        <v>2</v>
      </c>
      <c r="K46" t="n">
        <v>0</v>
      </c>
      <c r="L46" t="n">
        <v>0</v>
      </c>
      <c r="M46" t="n">
        <v>0</v>
      </c>
      <c r="N46" t="n">
        <v>0</v>
      </c>
      <c r="O46" t="n">
        <v>2</v>
      </c>
      <c r="P46" t="n">
        <v>0</v>
      </c>
      <c r="Q46" t="n">
        <v>5</v>
      </c>
      <c r="R46" s="2" t="inlineStr">
        <is>
          <t>Dvärgbägarlav
Skrovellav
Järpe
Tjäder
Fläcknycklar</t>
        </is>
      </c>
      <c r="S46">
        <f>HYPERLINK("https://klasma.github.io/Logging_2062/artfynd/A 62628-2025 artfynd.xlsx", "A 62628-2025")</f>
        <v/>
      </c>
      <c r="T46">
        <f>HYPERLINK("https://klasma.github.io/Logging_2062/kartor/A 62628-2025 karta.png", "A 62628-2025")</f>
        <v/>
      </c>
      <c r="V46">
        <f>HYPERLINK("https://klasma.github.io/Logging_2062/klagomål/A 62628-2025 FSC-klagomål.docx", "A 62628-2025")</f>
        <v/>
      </c>
      <c r="W46">
        <f>HYPERLINK("https://klasma.github.io/Logging_2062/klagomålsmail/A 62628-2025 FSC-klagomål mail.docx", "A 62628-2025")</f>
        <v/>
      </c>
      <c r="X46">
        <f>HYPERLINK("https://klasma.github.io/Logging_2062/tillsyn/A 62628-2025 tillsynsbegäran.docx", "A 62628-2025")</f>
        <v/>
      </c>
      <c r="Y46">
        <f>HYPERLINK("https://klasma.github.io/Logging_2062/tillsynsmail/A 62628-2025 tillsynsbegäran mail.docx", "A 62628-2025")</f>
        <v/>
      </c>
      <c r="Z46">
        <f>HYPERLINK("https://klasma.github.io/Logging_2062/fåglar/A 62628-2025 prioriterade fågelarter.docx", "A 62628-2025")</f>
        <v/>
      </c>
    </row>
    <row r="47" ht="15" customHeight="1">
      <c r="A47" t="inlineStr">
        <is>
          <t>A 35487-2025</t>
        </is>
      </c>
      <c r="B47" s="1" t="n">
        <v>45855</v>
      </c>
      <c r="C47" s="1" t="n">
        <v>46192</v>
      </c>
      <c r="D47" t="inlineStr">
        <is>
          <t>DALARNAS LÄN</t>
        </is>
      </c>
      <c r="E47" t="inlineStr">
        <is>
          <t>MORA</t>
        </is>
      </c>
      <c r="F47" t="inlineStr">
        <is>
          <t>Allmännings- och besparingsskogar</t>
        </is>
      </c>
      <c r="G47" t="n">
        <v>0.7</v>
      </c>
      <c r="H47" t="n">
        <v>2</v>
      </c>
      <c r="I47" t="n">
        <v>0</v>
      </c>
      <c r="J47" t="n">
        <v>2</v>
      </c>
      <c r="K47" t="n">
        <v>1</v>
      </c>
      <c r="L47" t="n">
        <v>0</v>
      </c>
      <c r="M47" t="n">
        <v>0</v>
      </c>
      <c r="N47" t="n">
        <v>0</v>
      </c>
      <c r="O47" t="n">
        <v>3</v>
      </c>
      <c r="P47" t="n">
        <v>1</v>
      </c>
      <c r="Q47" t="n">
        <v>5</v>
      </c>
      <c r="R47" s="2" t="inlineStr">
        <is>
          <t>Garnlav
Dvärgbägarlav
Vedskivlav
Tjäder
Revlummer</t>
        </is>
      </c>
      <c r="S47">
        <f>HYPERLINK("https://klasma.github.io/Logging_2062/artfynd/A 35487-2025 artfynd.xlsx", "A 35487-2025")</f>
        <v/>
      </c>
      <c r="T47">
        <f>HYPERLINK("https://klasma.github.io/Logging_2062/kartor/A 35487-2025 karta.png", "A 35487-2025")</f>
        <v/>
      </c>
      <c r="V47">
        <f>HYPERLINK("https://klasma.github.io/Logging_2062/klagomål/A 35487-2025 FSC-klagomål.docx", "A 35487-2025")</f>
        <v/>
      </c>
      <c r="W47">
        <f>HYPERLINK("https://klasma.github.io/Logging_2062/klagomålsmail/A 35487-2025 FSC-klagomål mail.docx", "A 35487-2025")</f>
        <v/>
      </c>
      <c r="X47">
        <f>HYPERLINK("https://klasma.github.io/Logging_2062/tillsyn/A 35487-2025 tillsynsbegäran.docx", "A 35487-2025")</f>
        <v/>
      </c>
      <c r="Y47">
        <f>HYPERLINK("https://klasma.github.io/Logging_2062/tillsynsmail/A 35487-2025 tillsynsbegäran mail.docx", "A 35487-2025")</f>
        <v/>
      </c>
      <c r="Z47">
        <f>HYPERLINK("https://klasma.github.io/Logging_2062/fåglar/A 35487-2025 prioriterade fågelarter.docx", "A 35487-2025")</f>
        <v/>
      </c>
    </row>
    <row r="48" ht="15" customHeight="1">
      <c r="A48" t="inlineStr">
        <is>
          <t>A 61770-2025</t>
        </is>
      </c>
      <c r="B48" s="1" t="n">
        <v>46002</v>
      </c>
      <c r="C48" s="1" t="n">
        <v>46192</v>
      </c>
      <c r="D48" t="inlineStr">
        <is>
          <t>DALARNAS LÄN</t>
        </is>
      </c>
      <c r="E48" t="inlineStr">
        <is>
          <t>MORA</t>
        </is>
      </c>
      <c r="G48" t="n">
        <v>10.2</v>
      </c>
      <c r="H48" t="n">
        <v>2</v>
      </c>
      <c r="I48" t="n">
        <v>1</v>
      </c>
      <c r="J48" t="n">
        <v>2</v>
      </c>
      <c r="K48" t="n">
        <v>1</v>
      </c>
      <c r="L48" t="n">
        <v>0</v>
      </c>
      <c r="M48" t="n">
        <v>0</v>
      </c>
      <c r="N48" t="n">
        <v>0</v>
      </c>
      <c r="O48" t="n">
        <v>3</v>
      </c>
      <c r="P48" t="n">
        <v>1</v>
      </c>
      <c r="Q48" t="n">
        <v>5</v>
      </c>
      <c r="R48" s="2" t="inlineStr">
        <is>
          <t>Garnlav
Talltagel
Tretåig hackspett
Mindre märgborre
Spillkråka</t>
        </is>
      </c>
      <c r="S48">
        <f>HYPERLINK("https://klasma.github.io/Logging_2062/artfynd/A 61770-2025 artfynd.xlsx", "A 61770-2025")</f>
        <v/>
      </c>
      <c r="T48">
        <f>HYPERLINK("https://klasma.github.io/Logging_2062/kartor/A 61770-2025 karta.png", "A 61770-2025")</f>
        <v/>
      </c>
      <c r="V48">
        <f>HYPERLINK("https://klasma.github.io/Logging_2062/klagomål/A 61770-2025 FSC-klagomål.docx", "A 61770-2025")</f>
        <v/>
      </c>
      <c r="W48">
        <f>HYPERLINK("https://klasma.github.io/Logging_2062/klagomålsmail/A 61770-2025 FSC-klagomål mail.docx", "A 61770-2025")</f>
        <v/>
      </c>
      <c r="X48">
        <f>HYPERLINK("https://klasma.github.io/Logging_2062/tillsyn/A 61770-2025 tillsynsbegäran.docx", "A 61770-2025")</f>
        <v/>
      </c>
      <c r="Y48">
        <f>HYPERLINK("https://klasma.github.io/Logging_2062/tillsynsmail/A 61770-2025 tillsynsbegäran mail.docx", "A 61770-2025")</f>
        <v/>
      </c>
      <c r="Z48">
        <f>HYPERLINK("https://klasma.github.io/Logging_2062/fåglar/A 61770-2025 prioriterade fågelarter.docx", "A 61770-2025")</f>
        <v/>
      </c>
    </row>
    <row r="49" ht="15" customHeight="1">
      <c r="A49" t="inlineStr">
        <is>
          <t>A 31539-2025</t>
        </is>
      </c>
      <c r="B49" s="1" t="n">
        <v>45833</v>
      </c>
      <c r="C49" s="1" t="n">
        <v>46192</v>
      </c>
      <c r="D49" t="inlineStr">
        <is>
          <t>DALARNAS LÄN</t>
        </is>
      </c>
      <c r="E49" t="inlineStr">
        <is>
          <t>MORA</t>
        </is>
      </c>
      <c r="G49" t="n">
        <v>5.3</v>
      </c>
      <c r="H49" t="n">
        <v>2</v>
      </c>
      <c r="I49" t="n">
        <v>1</v>
      </c>
      <c r="J49" t="n">
        <v>3</v>
      </c>
      <c r="K49" t="n">
        <v>1</v>
      </c>
      <c r="L49" t="n">
        <v>0</v>
      </c>
      <c r="M49" t="n">
        <v>0</v>
      </c>
      <c r="N49" t="n">
        <v>0</v>
      </c>
      <c r="O49" t="n">
        <v>4</v>
      </c>
      <c r="P49" t="n">
        <v>1</v>
      </c>
      <c r="Q49" t="n">
        <v>5</v>
      </c>
      <c r="R49" s="2" t="inlineStr">
        <is>
          <t>Knärot
Kattfotslav
Tallticka
Talltita
Bollvitmossa</t>
        </is>
      </c>
      <c r="S49">
        <f>HYPERLINK("https://klasma.github.io/Logging_2062/artfynd/A 31539-2025 artfynd.xlsx", "A 31539-2025")</f>
        <v/>
      </c>
      <c r="T49">
        <f>HYPERLINK("https://klasma.github.io/Logging_2062/kartor/A 31539-2025 karta.png", "A 31539-2025")</f>
        <v/>
      </c>
      <c r="U49">
        <f>HYPERLINK("https://klasma.github.io/Logging_2062/knärot/A 31539-2025 karta knärot.png", "A 31539-2025")</f>
        <v/>
      </c>
      <c r="V49">
        <f>HYPERLINK("https://klasma.github.io/Logging_2062/klagomål/A 31539-2025 FSC-klagomål.docx", "A 31539-2025")</f>
        <v/>
      </c>
      <c r="W49">
        <f>HYPERLINK("https://klasma.github.io/Logging_2062/klagomålsmail/A 31539-2025 FSC-klagomål mail.docx", "A 31539-2025")</f>
        <v/>
      </c>
      <c r="X49">
        <f>HYPERLINK("https://klasma.github.io/Logging_2062/tillsyn/A 31539-2025 tillsynsbegäran.docx", "A 31539-2025")</f>
        <v/>
      </c>
      <c r="Y49">
        <f>HYPERLINK("https://klasma.github.io/Logging_2062/tillsynsmail/A 31539-2025 tillsynsbegäran mail.docx", "A 31539-2025")</f>
        <v/>
      </c>
      <c r="Z49">
        <f>HYPERLINK("https://klasma.github.io/Logging_2062/fåglar/A 31539-2025 prioriterade fågelarter.docx", "A 31539-2025")</f>
        <v/>
      </c>
    </row>
    <row r="50" ht="15" customHeight="1">
      <c r="A50" t="inlineStr">
        <is>
          <t>A 15203-2026</t>
        </is>
      </c>
      <c r="B50" s="1" t="n">
        <v>46105</v>
      </c>
      <c r="C50" s="1" t="n">
        <v>46192</v>
      </c>
      <c r="D50" t="inlineStr">
        <is>
          <t>DALARNAS LÄN</t>
        </is>
      </c>
      <c r="E50" t="inlineStr">
        <is>
          <t>MORA</t>
        </is>
      </c>
      <c r="G50" t="n">
        <v>2.5</v>
      </c>
      <c r="H50" t="n">
        <v>1</v>
      </c>
      <c r="I50" t="n">
        <v>1</v>
      </c>
      <c r="J50" t="n">
        <v>2</v>
      </c>
      <c r="K50" t="n">
        <v>1</v>
      </c>
      <c r="L50" t="n">
        <v>0</v>
      </c>
      <c r="M50" t="n">
        <v>0</v>
      </c>
      <c r="N50" t="n">
        <v>0</v>
      </c>
      <c r="O50" t="n">
        <v>3</v>
      </c>
      <c r="P50" t="n">
        <v>1</v>
      </c>
      <c r="Q50" t="n">
        <v>5</v>
      </c>
      <c r="R50" s="2" t="inlineStr">
        <is>
          <t>Garnlav
Talltagel
Tallticka
Mindre märgborre
Spillkråka</t>
        </is>
      </c>
      <c r="S50">
        <f>HYPERLINK("https://klasma.github.io/Logging_2062/artfynd/A 15203-2026 artfynd.xlsx", "A 15203-2026")</f>
        <v/>
      </c>
      <c r="T50">
        <f>HYPERLINK("https://klasma.github.io/Logging_2062/kartor/A 15203-2026 karta.png", "A 15203-2026")</f>
        <v/>
      </c>
      <c r="V50">
        <f>HYPERLINK("https://klasma.github.io/Logging_2062/klagomål/A 15203-2026 FSC-klagomål.docx", "A 15203-2026")</f>
        <v/>
      </c>
      <c r="W50">
        <f>HYPERLINK("https://klasma.github.io/Logging_2062/klagomålsmail/A 15203-2026 FSC-klagomål mail.docx", "A 15203-2026")</f>
        <v/>
      </c>
      <c r="X50">
        <f>HYPERLINK("https://klasma.github.io/Logging_2062/tillsyn/A 15203-2026 tillsynsbegäran.docx", "A 15203-2026")</f>
        <v/>
      </c>
      <c r="Y50">
        <f>HYPERLINK("https://klasma.github.io/Logging_2062/tillsynsmail/A 15203-2026 tillsynsbegäran mail.docx", "A 15203-2026")</f>
        <v/>
      </c>
      <c r="Z50">
        <f>HYPERLINK("https://klasma.github.io/Logging_2062/fåglar/A 15203-2026 prioriterade fågelarter.docx", "A 15203-2026")</f>
        <v/>
      </c>
    </row>
    <row r="51" ht="15" customHeight="1">
      <c r="A51" t="inlineStr">
        <is>
          <t>A 58478-2025</t>
        </is>
      </c>
      <c r="B51" s="1" t="n">
        <v>45985</v>
      </c>
      <c r="C51" s="1" t="n">
        <v>46192</v>
      </c>
      <c r="D51" t="inlineStr">
        <is>
          <t>DALARNAS LÄN</t>
        </is>
      </c>
      <c r="E51" t="inlineStr">
        <is>
          <t>MORA</t>
        </is>
      </c>
      <c r="G51" t="n">
        <v>6</v>
      </c>
      <c r="H51" t="n">
        <v>2</v>
      </c>
      <c r="I51" t="n">
        <v>1</v>
      </c>
      <c r="J51" t="n">
        <v>2</v>
      </c>
      <c r="K51" t="n">
        <v>1</v>
      </c>
      <c r="L51" t="n">
        <v>0</v>
      </c>
      <c r="M51" t="n">
        <v>0</v>
      </c>
      <c r="N51" t="n">
        <v>0</v>
      </c>
      <c r="O51" t="n">
        <v>3</v>
      </c>
      <c r="P51" t="n">
        <v>1</v>
      </c>
      <c r="Q51" t="n">
        <v>5</v>
      </c>
      <c r="R51" s="2" t="inlineStr">
        <is>
          <t>Garnlav
Skogshare
Tretåig hackspett
Mindre märgborre
Spillkråka</t>
        </is>
      </c>
      <c r="S51">
        <f>HYPERLINK("https://klasma.github.io/Logging_2062/artfynd/A 58478-2025 artfynd.xlsx", "A 58478-2025")</f>
        <v/>
      </c>
      <c r="T51">
        <f>HYPERLINK("https://klasma.github.io/Logging_2062/kartor/A 58478-2025 karta.png", "A 58478-2025")</f>
        <v/>
      </c>
      <c r="V51">
        <f>HYPERLINK("https://klasma.github.io/Logging_2062/klagomål/A 58478-2025 FSC-klagomål.docx", "A 58478-2025")</f>
        <v/>
      </c>
      <c r="W51">
        <f>HYPERLINK("https://klasma.github.io/Logging_2062/klagomålsmail/A 58478-2025 FSC-klagomål mail.docx", "A 58478-2025")</f>
        <v/>
      </c>
      <c r="X51">
        <f>HYPERLINK("https://klasma.github.io/Logging_2062/tillsyn/A 58478-2025 tillsynsbegäran.docx", "A 58478-2025")</f>
        <v/>
      </c>
      <c r="Y51">
        <f>HYPERLINK("https://klasma.github.io/Logging_2062/tillsynsmail/A 58478-2025 tillsynsbegäran mail.docx", "A 58478-2025")</f>
        <v/>
      </c>
      <c r="Z51">
        <f>HYPERLINK("https://klasma.github.io/Logging_2062/fåglar/A 58478-2025 prioriterade fågelarter.docx", "A 58478-2025")</f>
        <v/>
      </c>
    </row>
    <row r="52" ht="15" customHeight="1">
      <c r="A52" t="inlineStr">
        <is>
          <t>A 39481-2025</t>
        </is>
      </c>
      <c r="B52" s="1" t="n">
        <v>45890</v>
      </c>
      <c r="C52" s="1" t="n">
        <v>46192</v>
      </c>
      <c r="D52" t="inlineStr">
        <is>
          <t>DALARNAS LÄN</t>
        </is>
      </c>
      <c r="E52" t="inlineStr">
        <is>
          <t>MORA</t>
        </is>
      </c>
      <c r="G52" t="n">
        <v>0.6</v>
      </c>
      <c r="H52" t="n">
        <v>2</v>
      </c>
      <c r="I52" t="n">
        <v>0</v>
      </c>
      <c r="J52" t="n">
        <v>2</v>
      </c>
      <c r="K52" t="n">
        <v>1</v>
      </c>
      <c r="L52" t="n">
        <v>0</v>
      </c>
      <c r="M52" t="n">
        <v>0</v>
      </c>
      <c r="N52" t="n">
        <v>0</v>
      </c>
      <c r="O52" t="n">
        <v>3</v>
      </c>
      <c r="P52" t="n">
        <v>1</v>
      </c>
      <c r="Q52" t="n">
        <v>4</v>
      </c>
      <c r="R52" s="2" t="inlineStr">
        <is>
          <t>Garnlav
Tretåig hackspett
Vedskivlav
Spillkråka</t>
        </is>
      </c>
      <c r="S52">
        <f>HYPERLINK("https://klasma.github.io/Logging_2062/artfynd/A 39481-2025 artfynd.xlsx", "A 39481-2025")</f>
        <v/>
      </c>
      <c r="T52">
        <f>HYPERLINK("https://klasma.github.io/Logging_2062/kartor/A 39481-2025 karta.png", "A 39481-2025")</f>
        <v/>
      </c>
      <c r="V52">
        <f>HYPERLINK("https://klasma.github.io/Logging_2062/klagomål/A 39481-2025 FSC-klagomål.docx", "A 39481-2025")</f>
        <v/>
      </c>
      <c r="W52">
        <f>HYPERLINK("https://klasma.github.io/Logging_2062/klagomålsmail/A 39481-2025 FSC-klagomål mail.docx", "A 39481-2025")</f>
        <v/>
      </c>
      <c r="X52">
        <f>HYPERLINK("https://klasma.github.io/Logging_2062/tillsyn/A 39481-2025 tillsynsbegäran.docx", "A 39481-2025")</f>
        <v/>
      </c>
      <c r="Y52">
        <f>HYPERLINK("https://klasma.github.io/Logging_2062/tillsynsmail/A 39481-2025 tillsynsbegäran mail.docx", "A 39481-2025")</f>
        <v/>
      </c>
      <c r="Z52">
        <f>HYPERLINK("https://klasma.github.io/Logging_2062/fåglar/A 39481-2025 prioriterade fågelarter.docx", "A 39481-2025")</f>
        <v/>
      </c>
    </row>
    <row r="53" ht="15" customHeight="1">
      <c r="A53" t="inlineStr">
        <is>
          <t>A 28964-2024</t>
        </is>
      </c>
      <c r="B53" s="1" t="n">
        <v>45481</v>
      </c>
      <c r="C53" s="1" t="n">
        <v>46192</v>
      </c>
      <c r="D53" t="inlineStr">
        <is>
          <t>DALARNAS LÄN</t>
        </is>
      </c>
      <c r="E53" t="inlineStr">
        <is>
          <t>MORA</t>
        </is>
      </c>
      <c r="G53" t="n">
        <v>1.3</v>
      </c>
      <c r="H53" t="n">
        <v>0</v>
      </c>
      <c r="I53" t="n">
        <v>0</v>
      </c>
      <c r="J53" t="n">
        <v>2</v>
      </c>
      <c r="K53" t="n">
        <v>2</v>
      </c>
      <c r="L53" t="n">
        <v>0</v>
      </c>
      <c r="M53" t="n">
        <v>0</v>
      </c>
      <c r="N53" t="n">
        <v>0</v>
      </c>
      <c r="O53" t="n">
        <v>4</v>
      </c>
      <c r="P53" t="n">
        <v>2</v>
      </c>
      <c r="Q53" t="n">
        <v>4</v>
      </c>
      <c r="R53" s="2" t="inlineStr">
        <is>
          <t>Lammticka
Tallgråticka
Kötticka
Tallfingersvamp</t>
        </is>
      </c>
      <c r="S53">
        <f>HYPERLINK("https://klasma.github.io/Logging_2062/artfynd/A 28964-2024 artfynd.xlsx", "A 28964-2024")</f>
        <v/>
      </c>
      <c r="T53">
        <f>HYPERLINK("https://klasma.github.io/Logging_2062/kartor/A 28964-2024 karta.png", "A 28964-2024")</f>
        <v/>
      </c>
      <c r="V53">
        <f>HYPERLINK("https://klasma.github.io/Logging_2062/klagomål/A 28964-2024 FSC-klagomål.docx", "A 28964-2024")</f>
        <v/>
      </c>
      <c r="W53">
        <f>HYPERLINK("https://klasma.github.io/Logging_2062/klagomålsmail/A 28964-2024 FSC-klagomål mail.docx", "A 28964-2024")</f>
        <v/>
      </c>
      <c r="X53">
        <f>HYPERLINK("https://klasma.github.io/Logging_2062/tillsyn/A 28964-2024 tillsynsbegäran.docx", "A 28964-2024")</f>
        <v/>
      </c>
      <c r="Y53">
        <f>HYPERLINK("https://klasma.github.io/Logging_2062/tillsynsmail/A 28964-2024 tillsynsbegäran mail.docx", "A 28964-2024")</f>
        <v/>
      </c>
    </row>
    <row r="54" ht="15" customHeight="1">
      <c r="A54" t="inlineStr">
        <is>
          <t>A 17648-2024</t>
        </is>
      </c>
      <c r="B54" s="1" t="n">
        <v>45418</v>
      </c>
      <c r="C54" s="1" t="n">
        <v>46192</v>
      </c>
      <c r="D54" t="inlineStr">
        <is>
          <t>DALARNAS LÄN</t>
        </is>
      </c>
      <c r="E54" t="inlineStr">
        <is>
          <t>MORA</t>
        </is>
      </c>
      <c r="G54" t="n">
        <v>1.7</v>
      </c>
      <c r="H54" t="n">
        <v>4</v>
      </c>
      <c r="I54" t="n">
        <v>0</v>
      </c>
      <c r="J54" t="n">
        <v>2</v>
      </c>
      <c r="K54" t="n">
        <v>0</v>
      </c>
      <c r="L54" t="n">
        <v>0</v>
      </c>
      <c r="M54" t="n">
        <v>0</v>
      </c>
      <c r="N54" t="n">
        <v>0</v>
      </c>
      <c r="O54" t="n">
        <v>2</v>
      </c>
      <c r="P54" t="n">
        <v>0</v>
      </c>
      <c r="Q54" t="n">
        <v>4</v>
      </c>
      <c r="R54" s="2" t="inlineStr">
        <is>
          <t>Brunlångöra
Nordfladdermus
Dvärgpipistrell
Vattenfladdermus</t>
        </is>
      </c>
      <c r="S54">
        <f>HYPERLINK("https://klasma.github.io/Logging_2062/artfynd/A 17648-2024 artfynd.xlsx", "A 17648-2024")</f>
        <v/>
      </c>
      <c r="T54">
        <f>HYPERLINK("https://klasma.github.io/Logging_2062/kartor/A 17648-2024 karta.png", "A 17648-2024")</f>
        <v/>
      </c>
      <c r="V54">
        <f>HYPERLINK("https://klasma.github.io/Logging_2062/klagomål/A 17648-2024 FSC-klagomål.docx", "A 17648-2024")</f>
        <v/>
      </c>
      <c r="W54">
        <f>HYPERLINK("https://klasma.github.io/Logging_2062/klagomålsmail/A 17648-2024 FSC-klagomål mail.docx", "A 17648-2024")</f>
        <v/>
      </c>
      <c r="X54">
        <f>HYPERLINK("https://klasma.github.io/Logging_2062/tillsyn/A 17648-2024 tillsynsbegäran.docx", "A 17648-2024")</f>
        <v/>
      </c>
      <c r="Y54">
        <f>HYPERLINK("https://klasma.github.io/Logging_2062/tillsynsmail/A 17648-2024 tillsynsbegäran mail.docx", "A 17648-2024")</f>
        <v/>
      </c>
    </row>
    <row r="55" ht="15" customHeight="1">
      <c r="A55" t="inlineStr">
        <is>
          <t>A 11973-2026</t>
        </is>
      </c>
      <c r="B55" s="1" t="n">
        <v>46085</v>
      </c>
      <c r="C55" s="1" t="n">
        <v>46192</v>
      </c>
      <c r="D55" t="inlineStr">
        <is>
          <t>DALARNAS LÄN</t>
        </is>
      </c>
      <c r="E55" t="inlineStr">
        <is>
          <t>MORA</t>
        </is>
      </c>
      <c r="G55" t="n">
        <v>5.4</v>
      </c>
      <c r="H55" t="n">
        <v>1</v>
      </c>
      <c r="I55" t="n">
        <v>1</v>
      </c>
      <c r="J55" t="n">
        <v>1</v>
      </c>
      <c r="K55" t="n">
        <v>1</v>
      </c>
      <c r="L55" t="n">
        <v>0</v>
      </c>
      <c r="M55" t="n">
        <v>0</v>
      </c>
      <c r="N55" t="n">
        <v>0</v>
      </c>
      <c r="O55" t="n">
        <v>2</v>
      </c>
      <c r="P55" t="n">
        <v>1</v>
      </c>
      <c r="Q55" t="n">
        <v>4</v>
      </c>
      <c r="R55" s="2" t="inlineStr">
        <is>
          <t>Garnlav
Mörk kolflarnlav
Mindre märgborre
Spillkråka</t>
        </is>
      </c>
      <c r="S55">
        <f>HYPERLINK("https://klasma.github.io/Logging_2062/artfynd/A 11973-2026 artfynd.xlsx", "A 11973-2026")</f>
        <v/>
      </c>
      <c r="T55">
        <f>HYPERLINK("https://klasma.github.io/Logging_2062/kartor/A 11973-2026 karta.png", "A 11973-2026")</f>
        <v/>
      </c>
      <c r="V55">
        <f>HYPERLINK("https://klasma.github.io/Logging_2062/klagomål/A 11973-2026 FSC-klagomål.docx", "A 11973-2026")</f>
        <v/>
      </c>
      <c r="W55">
        <f>HYPERLINK("https://klasma.github.io/Logging_2062/klagomålsmail/A 11973-2026 FSC-klagomål mail.docx", "A 11973-2026")</f>
        <v/>
      </c>
      <c r="X55">
        <f>HYPERLINK("https://klasma.github.io/Logging_2062/tillsyn/A 11973-2026 tillsynsbegäran.docx", "A 11973-2026")</f>
        <v/>
      </c>
      <c r="Y55">
        <f>HYPERLINK("https://klasma.github.io/Logging_2062/tillsynsmail/A 11973-2026 tillsynsbegäran mail.docx", "A 11973-2026")</f>
        <v/>
      </c>
      <c r="Z55">
        <f>HYPERLINK("https://klasma.github.io/Logging_2062/fåglar/A 11973-2026 prioriterade fågelarter.docx", "A 11973-2026")</f>
        <v/>
      </c>
    </row>
    <row r="56" ht="15" customHeight="1">
      <c r="A56" t="inlineStr">
        <is>
          <t>A 32222-2025</t>
        </is>
      </c>
      <c r="B56" s="1" t="n">
        <v>45835</v>
      </c>
      <c r="C56" s="1" t="n">
        <v>46192</v>
      </c>
      <c r="D56" t="inlineStr">
        <is>
          <t>DALARNAS LÄN</t>
        </is>
      </c>
      <c r="E56" t="inlineStr">
        <is>
          <t>MORA</t>
        </is>
      </c>
      <c r="G56" t="n">
        <v>11.5</v>
      </c>
      <c r="H56" t="n">
        <v>1</v>
      </c>
      <c r="I56" t="n">
        <v>0</v>
      </c>
      <c r="J56" t="n">
        <v>3</v>
      </c>
      <c r="K56" t="n">
        <v>1</v>
      </c>
      <c r="L56" t="n">
        <v>0</v>
      </c>
      <c r="M56" t="n">
        <v>0</v>
      </c>
      <c r="N56" t="n">
        <v>0</v>
      </c>
      <c r="O56" t="n">
        <v>4</v>
      </c>
      <c r="P56" t="n">
        <v>1</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34715-2025</t>
        </is>
      </c>
      <c r="B57" s="1" t="n">
        <v>45848</v>
      </c>
      <c r="C57" s="1" t="n">
        <v>46192</v>
      </c>
      <c r="D57" t="inlineStr">
        <is>
          <t>DALARNAS LÄN</t>
        </is>
      </c>
      <c r="E57" t="inlineStr">
        <is>
          <t>MORA</t>
        </is>
      </c>
      <c r="G57" t="n">
        <v>8.5</v>
      </c>
      <c r="H57" t="n">
        <v>2</v>
      </c>
      <c r="I57" t="n">
        <v>0</v>
      </c>
      <c r="J57" t="n">
        <v>2</v>
      </c>
      <c r="K57" t="n">
        <v>2</v>
      </c>
      <c r="L57" t="n">
        <v>0</v>
      </c>
      <c r="M57" t="n">
        <v>0</v>
      </c>
      <c r="N57" t="n">
        <v>0</v>
      </c>
      <c r="O57" t="n">
        <v>4</v>
      </c>
      <c r="P57" t="n">
        <v>2</v>
      </c>
      <c r="Q57" t="n">
        <v>4</v>
      </c>
      <c r="R57" s="2" t="inlineStr">
        <is>
          <t>Garnlav
Knärot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38769-2021</t>
        </is>
      </c>
      <c r="B58" s="1" t="n">
        <v>44410</v>
      </c>
      <c r="C58" s="1" t="n">
        <v>46192</v>
      </c>
      <c r="D58" t="inlineStr">
        <is>
          <t>DALARNAS LÄN</t>
        </is>
      </c>
      <c r="E58" t="inlineStr">
        <is>
          <t>MORA</t>
        </is>
      </c>
      <c r="G58" t="n">
        <v>0.8</v>
      </c>
      <c r="H58" t="n">
        <v>3</v>
      </c>
      <c r="I58" t="n">
        <v>0</v>
      </c>
      <c r="J58" t="n">
        <v>0</v>
      </c>
      <c r="K58" t="n">
        <v>0</v>
      </c>
      <c r="L58" t="n">
        <v>0</v>
      </c>
      <c r="M58" t="n">
        <v>0</v>
      </c>
      <c r="N58" t="n">
        <v>0</v>
      </c>
      <c r="O58" t="n">
        <v>0</v>
      </c>
      <c r="P58" t="n">
        <v>0</v>
      </c>
      <c r="Q58" t="n">
        <v>3</v>
      </c>
      <c r="R58" s="2" t="inlineStr">
        <is>
          <t>Gråspett
Tjäder
Trana</t>
        </is>
      </c>
      <c r="S58">
        <f>HYPERLINK("https://klasma.github.io/Logging_2062/artfynd/A 38769-2021 artfynd.xlsx", "A 38769-2021")</f>
        <v/>
      </c>
      <c r="T58">
        <f>HYPERLINK("https://klasma.github.io/Logging_2062/kartor/A 38769-2021 karta.png", "A 38769-2021")</f>
        <v/>
      </c>
      <c r="V58">
        <f>HYPERLINK("https://klasma.github.io/Logging_2062/klagomål/A 38769-2021 FSC-klagomål.docx", "A 38769-2021")</f>
        <v/>
      </c>
      <c r="W58">
        <f>HYPERLINK("https://klasma.github.io/Logging_2062/klagomålsmail/A 38769-2021 FSC-klagomål mail.docx", "A 38769-2021")</f>
        <v/>
      </c>
      <c r="X58">
        <f>HYPERLINK("https://klasma.github.io/Logging_2062/tillsyn/A 38769-2021 tillsynsbegäran.docx", "A 38769-2021")</f>
        <v/>
      </c>
      <c r="Y58">
        <f>HYPERLINK("https://klasma.github.io/Logging_2062/tillsynsmail/A 38769-2021 tillsynsbegäran mail.docx", "A 38769-2021")</f>
        <v/>
      </c>
      <c r="Z58">
        <f>HYPERLINK("https://klasma.github.io/Logging_2062/fåglar/A 38769-2021 prioriterade fågelarter.docx", "A 38769-2021")</f>
        <v/>
      </c>
    </row>
    <row r="59" ht="15" customHeight="1">
      <c r="A59" t="inlineStr">
        <is>
          <t>A 72780-2021</t>
        </is>
      </c>
      <c r="B59" s="1" t="n">
        <v>44545</v>
      </c>
      <c r="C59" s="1" t="n">
        <v>46192</v>
      </c>
      <c r="D59" t="inlineStr">
        <is>
          <t>DALARNAS LÄN</t>
        </is>
      </c>
      <c r="E59" t="inlineStr">
        <is>
          <t>MORA</t>
        </is>
      </c>
      <c r="F59" t="inlineStr">
        <is>
          <t>Allmännings- och besparingsskogar</t>
        </is>
      </c>
      <c r="G59" t="n">
        <v>1</v>
      </c>
      <c r="H59" t="n">
        <v>3</v>
      </c>
      <c r="I59" t="n">
        <v>0</v>
      </c>
      <c r="J59" t="n">
        <v>0</v>
      </c>
      <c r="K59" t="n">
        <v>0</v>
      </c>
      <c r="L59" t="n">
        <v>1</v>
      </c>
      <c r="M59" t="n">
        <v>0</v>
      </c>
      <c r="N59" t="n">
        <v>0</v>
      </c>
      <c r="O59" t="n">
        <v>1</v>
      </c>
      <c r="P59" t="n">
        <v>1</v>
      </c>
      <c r="Q59" t="n">
        <v>3</v>
      </c>
      <c r="R59" s="2" t="inlineStr">
        <is>
          <t>Mosippa
Nattskärra
Skogsödla</t>
        </is>
      </c>
      <c r="S59">
        <f>HYPERLINK("https://klasma.github.io/Logging_2062/artfynd/A 72780-2021 artfynd.xlsx", "A 72780-2021")</f>
        <v/>
      </c>
      <c r="T59">
        <f>HYPERLINK("https://klasma.github.io/Logging_2062/kartor/A 72780-2021 karta.png", "A 72780-2021")</f>
        <v/>
      </c>
      <c r="V59">
        <f>HYPERLINK("https://klasma.github.io/Logging_2062/klagomål/A 72780-2021 FSC-klagomål.docx", "A 72780-2021")</f>
        <v/>
      </c>
      <c r="W59">
        <f>HYPERLINK("https://klasma.github.io/Logging_2062/klagomålsmail/A 72780-2021 FSC-klagomål mail.docx", "A 72780-2021")</f>
        <v/>
      </c>
      <c r="X59">
        <f>HYPERLINK("https://klasma.github.io/Logging_2062/tillsyn/A 72780-2021 tillsynsbegäran.docx", "A 72780-2021")</f>
        <v/>
      </c>
      <c r="Y59">
        <f>HYPERLINK("https://klasma.github.io/Logging_2062/tillsynsmail/A 72780-2021 tillsynsbegäran mail.docx", "A 72780-2021")</f>
        <v/>
      </c>
      <c r="Z59">
        <f>HYPERLINK("https://klasma.github.io/Logging_2062/fåglar/A 72780-2021 prioriterade fågelarter.docx", "A 72780-2021")</f>
        <v/>
      </c>
    </row>
    <row r="60" ht="15" customHeight="1">
      <c r="A60" t="inlineStr">
        <is>
          <t>A 54868-2025</t>
        </is>
      </c>
      <c r="B60" s="1" t="n">
        <v>45966</v>
      </c>
      <c r="C60" s="1" t="n">
        <v>46192</v>
      </c>
      <c r="D60" t="inlineStr">
        <is>
          <t>DALARNAS LÄN</t>
        </is>
      </c>
      <c r="E60" t="inlineStr">
        <is>
          <t>MORA</t>
        </is>
      </c>
      <c r="F60" t="inlineStr">
        <is>
          <t>Bergvik skog väst AB</t>
        </is>
      </c>
      <c r="G60" t="n">
        <v>5.6</v>
      </c>
      <c r="H60" t="n">
        <v>0</v>
      </c>
      <c r="I60" t="n">
        <v>0</v>
      </c>
      <c r="J60" t="n">
        <v>2</v>
      </c>
      <c r="K60" t="n">
        <v>1</v>
      </c>
      <c r="L60" t="n">
        <v>0</v>
      </c>
      <c r="M60" t="n">
        <v>0</v>
      </c>
      <c r="N60" t="n">
        <v>0</v>
      </c>
      <c r="O60" t="n">
        <v>3</v>
      </c>
      <c r="P60" t="n">
        <v>1</v>
      </c>
      <c r="Q60" t="n">
        <v>3</v>
      </c>
      <c r="R60" s="2" t="inlineStr">
        <is>
          <t>Gräddporing
Nordtagging
Vedskivlav</t>
        </is>
      </c>
      <c r="S60">
        <f>HYPERLINK("https://klasma.github.io/Logging_2062/artfynd/A 54868-2025 artfynd.xlsx", "A 54868-2025")</f>
        <v/>
      </c>
      <c r="T60">
        <f>HYPERLINK("https://klasma.github.io/Logging_2062/kartor/A 54868-2025 karta.png", "A 54868-2025")</f>
        <v/>
      </c>
      <c r="V60">
        <f>HYPERLINK("https://klasma.github.io/Logging_2062/klagomål/A 54868-2025 FSC-klagomål.docx", "A 54868-2025")</f>
        <v/>
      </c>
      <c r="W60">
        <f>HYPERLINK("https://klasma.github.io/Logging_2062/klagomålsmail/A 54868-2025 FSC-klagomål mail.docx", "A 54868-2025")</f>
        <v/>
      </c>
      <c r="X60">
        <f>HYPERLINK("https://klasma.github.io/Logging_2062/tillsyn/A 54868-2025 tillsynsbegäran.docx", "A 54868-2025")</f>
        <v/>
      </c>
      <c r="Y60">
        <f>HYPERLINK("https://klasma.github.io/Logging_2062/tillsynsmail/A 54868-2025 tillsynsbegäran mail.docx", "A 54868-2025")</f>
        <v/>
      </c>
    </row>
    <row r="61" ht="15" customHeight="1">
      <c r="A61" t="inlineStr">
        <is>
          <t>A 54919-2025</t>
        </is>
      </c>
      <c r="B61" s="1" t="n">
        <v>45967</v>
      </c>
      <c r="C61" s="1" t="n">
        <v>46192</v>
      </c>
      <c r="D61" t="inlineStr">
        <is>
          <t>DALARNAS LÄN</t>
        </is>
      </c>
      <c r="E61" t="inlineStr">
        <is>
          <t>MORA</t>
        </is>
      </c>
      <c r="F61" t="inlineStr">
        <is>
          <t>Bergvik skog väst AB</t>
        </is>
      </c>
      <c r="G61" t="n">
        <v>5.6</v>
      </c>
      <c r="H61" t="n">
        <v>0</v>
      </c>
      <c r="I61" t="n">
        <v>0</v>
      </c>
      <c r="J61" t="n">
        <v>2</v>
      </c>
      <c r="K61" t="n">
        <v>1</v>
      </c>
      <c r="L61" t="n">
        <v>0</v>
      </c>
      <c r="M61" t="n">
        <v>0</v>
      </c>
      <c r="N61" t="n">
        <v>0</v>
      </c>
      <c r="O61" t="n">
        <v>3</v>
      </c>
      <c r="P61" t="n">
        <v>1</v>
      </c>
      <c r="Q61" t="n">
        <v>3</v>
      </c>
      <c r="R61" s="2" t="inlineStr">
        <is>
          <t>Gräddporing
Nordtagging
Vedskivlav</t>
        </is>
      </c>
      <c r="S61">
        <f>HYPERLINK("https://klasma.github.io/Logging_2062/artfynd/A 54919-2025 artfynd.xlsx", "A 54919-2025")</f>
        <v/>
      </c>
      <c r="T61">
        <f>HYPERLINK("https://klasma.github.io/Logging_2062/kartor/A 54919-2025 karta.png", "A 54919-2025")</f>
        <v/>
      </c>
      <c r="V61">
        <f>HYPERLINK("https://klasma.github.io/Logging_2062/klagomål/A 54919-2025 FSC-klagomål.docx", "A 54919-2025")</f>
        <v/>
      </c>
      <c r="W61">
        <f>HYPERLINK("https://klasma.github.io/Logging_2062/klagomålsmail/A 54919-2025 FSC-klagomål mail.docx", "A 54919-2025")</f>
        <v/>
      </c>
      <c r="X61">
        <f>HYPERLINK("https://klasma.github.io/Logging_2062/tillsyn/A 54919-2025 tillsynsbegäran.docx", "A 54919-2025")</f>
        <v/>
      </c>
      <c r="Y61">
        <f>HYPERLINK("https://klasma.github.io/Logging_2062/tillsynsmail/A 54919-2025 tillsynsbegäran mail.docx", "A 54919-2025")</f>
        <v/>
      </c>
    </row>
    <row r="62" ht="15" customHeight="1">
      <c r="A62" t="inlineStr">
        <is>
          <t>A 62620-2025</t>
        </is>
      </c>
      <c r="B62" s="1" t="n">
        <v>46008</v>
      </c>
      <c r="C62" s="1" t="n">
        <v>46192</v>
      </c>
      <c r="D62" t="inlineStr">
        <is>
          <t>DALARNAS LÄN</t>
        </is>
      </c>
      <c r="E62" t="inlineStr">
        <is>
          <t>MORA</t>
        </is>
      </c>
      <c r="G62" t="n">
        <v>3.3</v>
      </c>
      <c r="H62" t="n">
        <v>1</v>
      </c>
      <c r="I62" t="n">
        <v>1</v>
      </c>
      <c r="J62" t="n">
        <v>1</v>
      </c>
      <c r="K62" t="n">
        <v>1</v>
      </c>
      <c r="L62" t="n">
        <v>0</v>
      </c>
      <c r="M62" t="n">
        <v>0</v>
      </c>
      <c r="N62" t="n">
        <v>0</v>
      </c>
      <c r="O62" t="n">
        <v>2</v>
      </c>
      <c r="P62" t="n">
        <v>1</v>
      </c>
      <c r="Q62" t="n">
        <v>3</v>
      </c>
      <c r="R62" s="2" t="inlineStr">
        <is>
          <t>Garnlav
Tretåig hackspett
Mindre märgborre</t>
        </is>
      </c>
      <c r="S62">
        <f>HYPERLINK("https://klasma.github.io/Logging_2062/artfynd/A 62620-2025 artfynd.xlsx", "A 62620-2025")</f>
        <v/>
      </c>
      <c r="T62">
        <f>HYPERLINK("https://klasma.github.io/Logging_2062/kartor/A 62620-2025 karta.png", "A 62620-2025")</f>
        <v/>
      </c>
      <c r="V62">
        <f>HYPERLINK("https://klasma.github.io/Logging_2062/klagomål/A 62620-2025 FSC-klagomål.docx", "A 62620-2025")</f>
        <v/>
      </c>
      <c r="W62">
        <f>HYPERLINK("https://klasma.github.io/Logging_2062/klagomålsmail/A 62620-2025 FSC-klagomål mail.docx", "A 62620-2025")</f>
        <v/>
      </c>
      <c r="X62">
        <f>HYPERLINK("https://klasma.github.io/Logging_2062/tillsyn/A 62620-2025 tillsynsbegäran.docx", "A 62620-2025")</f>
        <v/>
      </c>
      <c r="Y62">
        <f>HYPERLINK("https://klasma.github.io/Logging_2062/tillsynsmail/A 62620-2025 tillsynsbegäran mail.docx", "A 62620-2025")</f>
        <v/>
      </c>
      <c r="Z62">
        <f>HYPERLINK("https://klasma.github.io/Logging_2062/fåglar/A 62620-2025 prioriterade fågelarter.docx", "A 62620-2025")</f>
        <v/>
      </c>
    </row>
    <row r="63" ht="15" customHeight="1">
      <c r="A63" t="inlineStr">
        <is>
          <t>A 23163-2025</t>
        </is>
      </c>
      <c r="B63" s="1" t="n">
        <v>45791</v>
      </c>
      <c r="C63" s="1" t="n">
        <v>46192</v>
      </c>
      <c r="D63" t="inlineStr">
        <is>
          <t>DALARNAS LÄN</t>
        </is>
      </c>
      <c r="E63" t="inlineStr">
        <is>
          <t>MORA</t>
        </is>
      </c>
      <c r="G63" t="n">
        <v>4.2</v>
      </c>
      <c r="H63" t="n">
        <v>2</v>
      </c>
      <c r="I63" t="n">
        <v>0</v>
      </c>
      <c r="J63" t="n">
        <v>1</v>
      </c>
      <c r="K63" t="n">
        <v>1</v>
      </c>
      <c r="L63" t="n">
        <v>0</v>
      </c>
      <c r="M63" t="n">
        <v>0</v>
      </c>
      <c r="N63" t="n">
        <v>0</v>
      </c>
      <c r="O63" t="n">
        <v>2</v>
      </c>
      <c r="P63" t="n">
        <v>1</v>
      </c>
      <c r="Q63" t="n">
        <v>3</v>
      </c>
      <c r="R63" s="2" t="inlineStr">
        <is>
          <t>Garnlav
Talltita
Spillkråka</t>
        </is>
      </c>
      <c r="S63">
        <f>HYPERLINK("https://klasma.github.io/Logging_2062/artfynd/A 23163-2025 artfynd.xlsx", "A 23163-2025")</f>
        <v/>
      </c>
      <c r="T63">
        <f>HYPERLINK("https://klasma.github.io/Logging_2062/kartor/A 23163-2025 karta.png", "A 23163-2025")</f>
        <v/>
      </c>
      <c r="U63">
        <f>HYPERLINK("https://klasma.github.io/Logging_2062/knärot/A 23163-2025 karta knärot.png", "A 23163-2025")</f>
        <v/>
      </c>
      <c r="V63">
        <f>HYPERLINK("https://klasma.github.io/Logging_2062/klagomål/A 23163-2025 FSC-klagomål.docx", "A 23163-2025")</f>
        <v/>
      </c>
      <c r="W63">
        <f>HYPERLINK("https://klasma.github.io/Logging_2062/klagomålsmail/A 23163-2025 FSC-klagomål mail.docx", "A 23163-2025")</f>
        <v/>
      </c>
      <c r="X63">
        <f>HYPERLINK("https://klasma.github.io/Logging_2062/tillsyn/A 23163-2025 tillsynsbegäran.docx", "A 23163-2025")</f>
        <v/>
      </c>
      <c r="Y63">
        <f>HYPERLINK("https://klasma.github.io/Logging_2062/tillsynsmail/A 23163-2025 tillsynsbegäran mail.docx", "A 23163-2025")</f>
        <v/>
      </c>
      <c r="Z63">
        <f>HYPERLINK("https://klasma.github.io/Logging_2062/fåglar/A 23163-2025 prioriterade fågelarter.docx", "A 23163-2025")</f>
        <v/>
      </c>
    </row>
    <row r="64" ht="15" customHeight="1">
      <c r="A64" t="inlineStr">
        <is>
          <t>A 36058-2024</t>
        </is>
      </c>
      <c r="B64" s="1" t="n">
        <v>45533</v>
      </c>
      <c r="C64" s="1" t="n">
        <v>46192</v>
      </c>
      <c r="D64" t="inlineStr">
        <is>
          <t>DALARNAS LÄN</t>
        </is>
      </c>
      <c r="E64" t="inlineStr">
        <is>
          <t>MORA</t>
        </is>
      </c>
      <c r="G64" t="n">
        <v>1</v>
      </c>
      <c r="H64" t="n">
        <v>0</v>
      </c>
      <c r="I64" t="n">
        <v>1</v>
      </c>
      <c r="J64" t="n">
        <v>0</v>
      </c>
      <c r="K64" t="n">
        <v>1</v>
      </c>
      <c r="L64" t="n">
        <v>0</v>
      </c>
      <c r="M64" t="n">
        <v>0</v>
      </c>
      <c r="N64" t="n">
        <v>0</v>
      </c>
      <c r="O64" t="n">
        <v>1</v>
      </c>
      <c r="P64" t="n">
        <v>1</v>
      </c>
      <c r="Q64" t="n">
        <v>2</v>
      </c>
      <c r="R64" s="2" t="inlineStr">
        <is>
          <t>Garnlav
Mindre märgborre</t>
        </is>
      </c>
      <c r="S64">
        <f>HYPERLINK("https://klasma.github.io/Logging_2062/artfynd/A 36058-2024 artfynd.xlsx", "A 36058-2024")</f>
        <v/>
      </c>
      <c r="T64">
        <f>HYPERLINK("https://klasma.github.io/Logging_2062/kartor/A 36058-2024 karta.png", "A 36058-2024")</f>
        <v/>
      </c>
      <c r="V64">
        <f>HYPERLINK("https://klasma.github.io/Logging_2062/klagomål/A 36058-2024 FSC-klagomål.docx", "A 36058-2024")</f>
        <v/>
      </c>
      <c r="W64">
        <f>HYPERLINK("https://klasma.github.io/Logging_2062/klagomålsmail/A 36058-2024 FSC-klagomål mail.docx", "A 36058-2024")</f>
        <v/>
      </c>
      <c r="X64">
        <f>HYPERLINK("https://klasma.github.io/Logging_2062/tillsyn/A 36058-2024 tillsynsbegäran.docx", "A 36058-2024")</f>
        <v/>
      </c>
      <c r="Y64">
        <f>HYPERLINK("https://klasma.github.io/Logging_2062/tillsynsmail/A 36058-2024 tillsynsbegäran mail.docx", "A 36058-2024")</f>
        <v/>
      </c>
    </row>
    <row r="65" ht="15" customHeight="1">
      <c r="A65" t="inlineStr">
        <is>
          <t>A 51253-2023</t>
        </is>
      </c>
      <c r="B65" s="1" t="n">
        <v>45219</v>
      </c>
      <c r="C65" s="1" t="n">
        <v>46192</v>
      </c>
      <c r="D65" t="inlineStr">
        <is>
          <t>DALARNAS LÄN</t>
        </is>
      </c>
      <c r="E65" t="inlineStr">
        <is>
          <t>MORA</t>
        </is>
      </c>
      <c r="G65" t="n">
        <v>5</v>
      </c>
      <c r="H65" t="n">
        <v>0</v>
      </c>
      <c r="I65" t="n">
        <v>1</v>
      </c>
      <c r="J65" t="n">
        <v>0</v>
      </c>
      <c r="K65" t="n">
        <v>1</v>
      </c>
      <c r="L65" t="n">
        <v>0</v>
      </c>
      <c r="M65" t="n">
        <v>0</v>
      </c>
      <c r="N65" t="n">
        <v>0</v>
      </c>
      <c r="O65" t="n">
        <v>1</v>
      </c>
      <c r="P65" t="n">
        <v>1</v>
      </c>
      <c r="Q65" t="n">
        <v>2</v>
      </c>
      <c r="R65" s="2" t="inlineStr">
        <is>
          <t>Garnlav
Mindre märgborre</t>
        </is>
      </c>
      <c r="S65">
        <f>HYPERLINK("https://klasma.github.io/Logging_2062/artfynd/A 51253-2023 artfynd.xlsx", "A 51253-2023")</f>
        <v/>
      </c>
      <c r="T65">
        <f>HYPERLINK("https://klasma.github.io/Logging_2062/kartor/A 51253-2023 karta.png", "A 51253-2023")</f>
        <v/>
      </c>
      <c r="V65">
        <f>HYPERLINK("https://klasma.github.io/Logging_2062/klagomål/A 51253-2023 FSC-klagomål.docx", "A 51253-2023")</f>
        <v/>
      </c>
      <c r="W65">
        <f>HYPERLINK("https://klasma.github.io/Logging_2062/klagomålsmail/A 51253-2023 FSC-klagomål mail.docx", "A 51253-2023")</f>
        <v/>
      </c>
      <c r="X65">
        <f>HYPERLINK("https://klasma.github.io/Logging_2062/tillsyn/A 51253-2023 tillsynsbegäran.docx", "A 51253-2023")</f>
        <v/>
      </c>
      <c r="Y65">
        <f>HYPERLINK("https://klasma.github.io/Logging_2062/tillsynsmail/A 51253-2023 tillsynsbegäran mail.docx", "A 51253-2023")</f>
        <v/>
      </c>
    </row>
    <row r="66" ht="15" customHeight="1">
      <c r="A66" t="inlineStr">
        <is>
          <t>A 42391-2023</t>
        </is>
      </c>
      <c r="B66" s="1" t="n">
        <v>45180</v>
      </c>
      <c r="C66" s="1" t="n">
        <v>46192</v>
      </c>
      <c r="D66" t="inlineStr">
        <is>
          <t>DALARNAS LÄN</t>
        </is>
      </c>
      <c r="E66" t="inlineStr">
        <is>
          <t>MORA</t>
        </is>
      </c>
      <c r="F66" t="inlineStr">
        <is>
          <t>Kommuner</t>
        </is>
      </c>
      <c r="G66" t="n">
        <v>0.3</v>
      </c>
      <c r="H66" t="n">
        <v>0</v>
      </c>
      <c r="I66" t="n">
        <v>2</v>
      </c>
      <c r="J66" t="n">
        <v>0</v>
      </c>
      <c r="K66" t="n">
        <v>0</v>
      </c>
      <c r="L66" t="n">
        <v>0</v>
      </c>
      <c r="M66" t="n">
        <v>0</v>
      </c>
      <c r="N66" t="n">
        <v>0</v>
      </c>
      <c r="O66" t="n">
        <v>0</v>
      </c>
      <c r="P66" t="n">
        <v>0</v>
      </c>
      <c r="Q66" t="n">
        <v>2</v>
      </c>
      <c r="R66" s="2" t="inlineStr">
        <is>
          <t>Grön jordtunga
Sotriska</t>
        </is>
      </c>
      <c r="S66">
        <f>HYPERLINK("https://klasma.github.io/Logging_2062/artfynd/A 42391-2023 artfynd.xlsx", "A 42391-2023")</f>
        <v/>
      </c>
      <c r="T66">
        <f>HYPERLINK("https://klasma.github.io/Logging_2062/kartor/A 42391-2023 karta.png", "A 42391-2023")</f>
        <v/>
      </c>
      <c r="V66">
        <f>HYPERLINK("https://klasma.github.io/Logging_2062/klagomål/A 42391-2023 FSC-klagomål.docx", "A 42391-2023")</f>
        <v/>
      </c>
      <c r="W66">
        <f>HYPERLINK("https://klasma.github.io/Logging_2062/klagomålsmail/A 42391-2023 FSC-klagomål mail.docx", "A 42391-2023")</f>
        <v/>
      </c>
      <c r="X66">
        <f>HYPERLINK("https://klasma.github.io/Logging_2062/tillsyn/A 42391-2023 tillsynsbegäran.docx", "A 42391-2023")</f>
        <v/>
      </c>
      <c r="Y66">
        <f>HYPERLINK("https://klasma.github.io/Logging_2062/tillsynsmail/A 42391-2023 tillsynsbegäran mail.docx", "A 42391-2023")</f>
        <v/>
      </c>
    </row>
    <row r="67" ht="15" customHeight="1">
      <c r="A67" t="inlineStr">
        <is>
          <t>A 13717-2023</t>
        </is>
      </c>
      <c r="B67" s="1" t="n">
        <v>45007</v>
      </c>
      <c r="C67" s="1" t="n">
        <v>46192</v>
      </c>
      <c r="D67" t="inlineStr">
        <is>
          <t>DALARNAS LÄN</t>
        </is>
      </c>
      <c r="E67" t="inlineStr">
        <is>
          <t>MORA</t>
        </is>
      </c>
      <c r="G67" t="n">
        <v>5.6</v>
      </c>
      <c r="H67" t="n">
        <v>1</v>
      </c>
      <c r="I67" t="n">
        <v>0</v>
      </c>
      <c r="J67" t="n">
        <v>1</v>
      </c>
      <c r="K67" t="n">
        <v>1</v>
      </c>
      <c r="L67" t="n">
        <v>0</v>
      </c>
      <c r="M67" t="n">
        <v>0</v>
      </c>
      <c r="N67" t="n">
        <v>0</v>
      </c>
      <c r="O67" t="n">
        <v>2</v>
      </c>
      <c r="P67" t="n">
        <v>1</v>
      </c>
      <c r="Q67" t="n">
        <v>2</v>
      </c>
      <c r="R67" s="2" t="inlineStr">
        <is>
          <t>Knärot
Slåtterfibbla</t>
        </is>
      </c>
      <c r="S67">
        <f>HYPERLINK("https://klasma.github.io/Logging_2062/artfynd/A 13717-2023 artfynd.xlsx", "A 13717-2023")</f>
        <v/>
      </c>
      <c r="T67">
        <f>HYPERLINK("https://klasma.github.io/Logging_2062/kartor/A 13717-2023 karta.png", "A 13717-2023")</f>
        <v/>
      </c>
      <c r="U67">
        <f>HYPERLINK("https://klasma.github.io/Logging_2062/knärot/A 13717-2023 karta knärot.png", "A 13717-2023")</f>
        <v/>
      </c>
      <c r="V67">
        <f>HYPERLINK("https://klasma.github.io/Logging_2062/klagomål/A 13717-2023 FSC-klagomål.docx", "A 13717-2023")</f>
        <v/>
      </c>
      <c r="W67">
        <f>HYPERLINK("https://klasma.github.io/Logging_2062/klagomålsmail/A 13717-2023 FSC-klagomål mail.docx", "A 13717-2023")</f>
        <v/>
      </c>
      <c r="X67">
        <f>HYPERLINK("https://klasma.github.io/Logging_2062/tillsyn/A 13717-2023 tillsynsbegäran.docx", "A 13717-2023")</f>
        <v/>
      </c>
      <c r="Y67">
        <f>HYPERLINK("https://klasma.github.io/Logging_2062/tillsynsmail/A 13717-2023 tillsynsbegäran mail.docx", "A 13717-2023")</f>
        <v/>
      </c>
    </row>
    <row r="68" ht="15" customHeight="1">
      <c r="A68" t="inlineStr">
        <is>
          <t>A 25749-2023</t>
        </is>
      </c>
      <c r="B68" s="1" t="n">
        <v>45090</v>
      </c>
      <c r="C68" s="1" t="n">
        <v>46192</v>
      </c>
      <c r="D68" t="inlineStr">
        <is>
          <t>DALARNAS LÄN</t>
        </is>
      </c>
      <c r="E68" t="inlineStr">
        <is>
          <t>MORA</t>
        </is>
      </c>
      <c r="G68" t="n">
        <v>2.4</v>
      </c>
      <c r="H68" t="n">
        <v>0</v>
      </c>
      <c r="I68" t="n">
        <v>0</v>
      </c>
      <c r="J68" t="n">
        <v>2</v>
      </c>
      <c r="K68" t="n">
        <v>0</v>
      </c>
      <c r="L68" t="n">
        <v>0</v>
      </c>
      <c r="M68" t="n">
        <v>0</v>
      </c>
      <c r="N68" t="n">
        <v>0</v>
      </c>
      <c r="O68" t="n">
        <v>2</v>
      </c>
      <c r="P68" t="n">
        <v>0</v>
      </c>
      <c r="Q68" t="n">
        <v>2</v>
      </c>
      <c r="R68" s="2" t="inlineStr">
        <is>
          <t>Blå taggsvamp
Orange taggsvamp</t>
        </is>
      </c>
      <c r="S68">
        <f>HYPERLINK("https://klasma.github.io/Logging_2062/artfynd/A 25749-2023 artfynd.xlsx", "A 25749-2023")</f>
        <v/>
      </c>
      <c r="T68">
        <f>HYPERLINK("https://klasma.github.io/Logging_2062/kartor/A 25749-2023 karta.png", "A 25749-2023")</f>
        <v/>
      </c>
      <c r="V68">
        <f>HYPERLINK("https://klasma.github.io/Logging_2062/klagomål/A 25749-2023 FSC-klagomål.docx", "A 25749-2023")</f>
        <v/>
      </c>
      <c r="W68">
        <f>HYPERLINK("https://klasma.github.io/Logging_2062/klagomålsmail/A 25749-2023 FSC-klagomål mail.docx", "A 25749-2023")</f>
        <v/>
      </c>
      <c r="X68">
        <f>HYPERLINK("https://klasma.github.io/Logging_2062/tillsyn/A 25749-2023 tillsynsbegäran.docx", "A 25749-2023")</f>
        <v/>
      </c>
      <c r="Y68">
        <f>HYPERLINK("https://klasma.github.io/Logging_2062/tillsynsmail/A 25749-2023 tillsynsbegäran mail.docx", "A 25749-2023")</f>
        <v/>
      </c>
    </row>
    <row r="69" ht="15" customHeight="1">
      <c r="A69" t="inlineStr">
        <is>
          <t>A 37552-2023</t>
        </is>
      </c>
      <c r="B69" s="1" t="n">
        <v>45159</v>
      </c>
      <c r="C69" s="1" t="n">
        <v>46192</v>
      </c>
      <c r="D69" t="inlineStr">
        <is>
          <t>DALARNAS LÄN</t>
        </is>
      </c>
      <c r="E69" t="inlineStr">
        <is>
          <t>MORA</t>
        </is>
      </c>
      <c r="G69" t="n">
        <v>4</v>
      </c>
      <c r="H69" t="n">
        <v>0</v>
      </c>
      <c r="I69" t="n">
        <v>0</v>
      </c>
      <c r="J69" t="n">
        <v>1</v>
      </c>
      <c r="K69" t="n">
        <v>1</v>
      </c>
      <c r="L69" t="n">
        <v>0</v>
      </c>
      <c r="M69" t="n">
        <v>0</v>
      </c>
      <c r="N69" t="n">
        <v>0</v>
      </c>
      <c r="O69" t="n">
        <v>2</v>
      </c>
      <c r="P69" t="n">
        <v>1</v>
      </c>
      <c r="Q69" t="n">
        <v>2</v>
      </c>
      <c r="R69" s="2" t="inlineStr">
        <is>
          <t>Garnlav
Tallticka</t>
        </is>
      </c>
      <c r="S69">
        <f>HYPERLINK("https://klasma.github.io/Logging_2062/artfynd/A 37552-2023 artfynd.xlsx", "A 37552-2023")</f>
        <v/>
      </c>
      <c r="T69">
        <f>HYPERLINK("https://klasma.github.io/Logging_2062/kartor/A 37552-2023 karta.png", "A 37552-2023")</f>
        <v/>
      </c>
      <c r="V69">
        <f>HYPERLINK("https://klasma.github.io/Logging_2062/klagomål/A 37552-2023 FSC-klagomål.docx", "A 37552-2023")</f>
        <v/>
      </c>
      <c r="W69">
        <f>HYPERLINK("https://klasma.github.io/Logging_2062/klagomålsmail/A 37552-2023 FSC-klagomål mail.docx", "A 37552-2023")</f>
        <v/>
      </c>
      <c r="X69">
        <f>HYPERLINK("https://klasma.github.io/Logging_2062/tillsyn/A 37552-2023 tillsynsbegäran.docx", "A 37552-2023")</f>
        <v/>
      </c>
      <c r="Y69">
        <f>HYPERLINK("https://klasma.github.io/Logging_2062/tillsynsmail/A 37552-2023 tillsynsbegäran mail.docx", "A 37552-2023")</f>
        <v/>
      </c>
    </row>
    <row r="70" ht="15" customHeight="1">
      <c r="A70" t="inlineStr">
        <is>
          <t>A 20538-2025</t>
        </is>
      </c>
      <c r="B70" s="1" t="n">
        <v>45775</v>
      </c>
      <c r="C70" s="1" t="n">
        <v>46192</v>
      </c>
      <c r="D70" t="inlineStr">
        <is>
          <t>DALARNAS LÄN</t>
        </is>
      </c>
      <c r="E70" t="inlineStr">
        <is>
          <t>MORA</t>
        </is>
      </c>
      <c r="G70" t="n">
        <v>0.9</v>
      </c>
      <c r="H70" t="n">
        <v>0</v>
      </c>
      <c r="I70" t="n">
        <v>1</v>
      </c>
      <c r="J70" t="n">
        <v>0</v>
      </c>
      <c r="K70" t="n">
        <v>1</v>
      </c>
      <c r="L70" t="n">
        <v>0</v>
      </c>
      <c r="M70" t="n">
        <v>0</v>
      </c>
      <c r="N70" t="n">
        <v>0</v>
      </c>
      <c r="O70" t="n">
        <v>1</v>
      </c>
      <c r="P70" t="n">
        <v>1</v>
      </c>
      <c r="Q70" t="n">
        <v>2</v>
      </c>
      <c r="R70" s="2" t="inlineStr">
        <is>
          <t>Garnlav
Mindre märgborre</t>
        </is>
      </c>
      <c r="S70">
        <f>HYPERLINK("https://klasma.github.io/Logging_2062/artfynd/A 20538-2025 artfynd.xlsx", "A 20538-2025")</f>
        <v/>
      </c>
      <c r="T70">
        <f>HYPERLINK("https://klasma.github.io/Logging_2062/kartor/A 20538-2025 karta.png", "A 20538-2025")</f>
        <v/>
      </c>
      <c r="V70">
        <f>HYPERLINK("https://klasma.github.io/Logging_2062/klagomål/A 20538-2025 FSC-klagomål.docx", "A 20538-2025")</f>
        <v/>
      </c>
      <c r="W70">
        <f>HYPERLINK("https://klasma.github.io/Logging_2062/klagomålsmail/A 20538-2025 FSC-klagomål mail.docx", "A 20538-2025")</f>
        <v/>
      </c>
      <c r="X70">
        <f>HYPERLINK("https://klasma.github.io/Logging_2062/tillsyn/A 20538-2025 tillsynsbegäran.docx", "A 20538-2025")</f>
        <v/>
      </c>
      <c r="Y70">
        <f>HYPERLINK("https://klasma.github.io/Logging_2062/tillsynsmail/A 20538-2025 tillsynsbegäran mail.docx", "A 20538-2025")</f>
        <v/>
      </c>
    </row>
    <row r="71" ht="15" customHeight="1">
      <c r="A71" t="inlineStr">
        <is>
          <t>A 3531-2024</t>
        </is>
      </c>
      <c r="B71" s="1" t="n">
        <v>45320</v>
      </c>
      <c r="C71" s="1" t="n">
        <v>46192</v>
      </c>
      <c r="D71" t="inlineStr">
        <is>
          <t>DALARNAS LÄN</t>
        </is>
      </c>
      <c r="E71" t="inlineStr">
        <is>
          <t>MORA</t>
        </is>
      </c>
      <c r="G71" t="n">
        <v>1.4</v>
      </c>
      <c r="H71" t="n">
        <v>2</v>
      </c>
      <c r="I71" t="n">
        <v>0</v>
      </c>
      <c r="J71" t="n">
        <v>0</v>
      </c>
      <c r="K71" t="n">
        <v>1</v>
      </c>
      <c r="L71" t="n">
        <v>1</v>
      </c>
      <c r="M71" t="n">
        <v>0</v>
      </c>
      <c r="N71" t="n">
        <v>0</v>
      </c>
      <c r="O71" t="n">
        <v>2</v>
      </c>
      <c r="P71" t="n">
        <v>2</v>
      </c>
      <c r="Q71" t="n">
        <v>2</v>
      </c>
      <c r="R71" s="2" t="inlineStr">
        <is>
          <t>Mosippa
Knärot</t>
        </is>
      </c>
      <c r="S71">
        <f>HYPERLINK("https://klasma.github.io/Logging_2062/artfynd/A 3531-2024 artfynd.xlsx", "A 3531-2024")</f>
        <v/>
      </c>
      <c r="T71">
        <f>HYPERLINK("https://klasma.github.io/Logging_2062/kartor/A 3531-2024 karta.png", "A 3531-2024")</f>
        <v/>
      </c>
      <c r="U71">
        <f>HYPERLINK("https://klasma.github.io/Logging_2062/knärot/A 3531-2024 karta knärot.png", "A 3531-2024")</f>
        <v/>
      </c>
      <c r="V71">
        <f>HYPERLINK("https://klasma.github.io/Logging_2062/klagomål/A 3531-2024 FSC-klagomål.docx", "A 3531-2024")</f>
        <v/>
      </c>
      <c r="W71">
        <f>HYPERLINK("https://klasma.github.io/Logging_2062/klagomålsmail/A 3531-2024 FSC-klagomål mail.docx", "A 3531-2024")</f>
        <v/>
      </c>
      <c r="X71">
        <f>HYPERLINK("https://klasma.github.io/Logging_2062/tillsyn/A 3531-2024 tillsynsbegäran.docx", "A 3531-2024")</f>
        <v/>
      </c>
      <c r="Y71">
        <f>HYPERLINK("https://klasma.github.io/Logging_2062/tillsynsmail/A 3531-2024 tillsynsbegäran mail.docx", "A 3531-2024")</f>
        <v/>
      </c>
    </row>
    <row r="72" ht="15" customHeight="1">
      <c r="A72" t="inlineStr">
        <is>
          <t>A 35068-2025</t>
        </is>
      </c>
      <c r="B72" s="1" t="n">
        <v>45852</v>
      </c>
      <c r="C72" s="1" t="n">
        <v>46192</v>
      </c>
      <c r="D72" t="inlineStr">
        <is>
          <t>DALARNAS LÄN</t>
        </is>
      </c>
      <c r="E72" t="inlineStr">
        <is>
          <t>MORA</t>
        </is>
      </c>
      <c r="G72" t="n">
        <v>0.7</v>
      </c>
      <c r="H72" t="n">
        <v>0</v>
      </c>
      <c r="I72" t="n">
        <v>1</v>
      </c>
      <c r="J72" t="n">
        <v>0</v>
      </c>
      <c r="K72" t="n">
        <v>1</v>
      </c>
      <c r="L72" t="n">
        <v>0</v>
      </c>
      <c r="M72" t="n">
        <v>0</v>
      </c>
      <c r="N72" t="n">
        <v>0</v>
      </c>
      <c r="O72" t="n">
        <v>1</v>
      </c>
      <c r="P72" t="n">
        <v>1</v>
      </c>
      <c r="Q72" t="n">
        <v>2</v>
      </c>
      <c r="R72" s="2" t="inlineStr">
        <is>
          <t>Garnlav
Mindre märgborre</t>
        </is>
      </c>
      <c r="S72">
        <f>HYPERLINK("https://klasma.github.io/Logging_2062/artfynd/A 35068-2025 artfynd.xlsx", "A 35068-2025")</f>
        <v/>
      </c>
      <c r="T72">
        <f>HYPERLINK("https://klasma.github.io/Logging_2062/kartor/A 35068-2025 karta.png", "A 35068-2025")</f>
        <v/>
      </c>
      <c r="V72">
        <f>HYPERLINK("https://klasma.github.io/Logging_2062/klagomål/A 35068-2025 FSC-klagomål.docx", "A 35068-2025")</f>
        <v/>
      </c>
      <c r="W72">
        <f>HYPERLINK("https://klasma.github.io/Logging_2062/klagomålsmail/A 35068-2025 FSC-klagomål mail.docx", "A 35068-2025")</f>
        <v/>
      </c>
      <c r="X72">
        <f>HYPERLINK("https://klasma.github.io/Logging_2062/tillsyn/A 35068-2025 tillsynsbegäran.docx", "A 35068-2025")</f>
        <v/>
      </c>
      <c r="Y72">
        <f>HYPERLINK("https://klasma.github.io/Logging_2062/tillsynsmail/A 35068-2025 tillsynsbegäran mail.docx", "A 35068-2025")</f>
        <v/>
      </c>
    </row>
    <row r="73" ht="15" customHeight="1">
      <c r="A73" t="inlineStr">
        <is>
          <t>A 17163-2025</t>
        </is>
      </c>
      <c r="B73" s="1" t="n">
        <v>45756</v>
      </c>
      <c r="C73" s="1" t="n">
        <v>46192</v>
      </c>
      <c r="D73" t="inlineStr">
        <is>
          <t>DALARNAS LÄN</t>
        </is>
      </c>
      <c r="E73" t="inlineStr">
        <is>
          <t>MORA</t>
        </is>
      </c>
      <c r="F73" t="inlineStr">
        <is>
          <t>Bergvik skog öst AB</t>
        </is>
      </c>
      <c r="G73" t="n">
        <v>0.5</v>
      </c>
      <c r="H73" t="n">
        <v>0</v>
      </c>
      <c r="I73" t="n">
        <v>1</v>
      </c>
      <c r="J73" t="n">
        <v>0</v>
      </c>
      <c r="K73" t="n">
        <v>1</v>
      </c>
      <c r="L73" t="n">
        <v>0</v>
      </c>
      <c r="M73" t="n">
        <v>0</v>
      </c>
      <c r="N73" t="n">
        <v>0</v>
      </c>
      <c r="O73" t="n">
        <v>1</v>
      </c>
      <c r="P73" t="n">
        <v>1</v>
      </c>
      <c r="Q73" t="n">
        <v>2</v>
      </c>
      <c r="R73" s="2" t="inlineStr">
        <is>
          <t>Garnlav
Bronshjon</t>
        </is>
      </c>
      <c r="S73">
        <f>HYPERLINK("https://klasma.github.io/Logging_2062/artfynd/A 17163-2025 artfynd.xlsx", "A 17163-2025")</f>
        <v/>
      </c>
      <c r="T73">
        <f>HYPERLINK("https://klasma.github.io/Logging_2062/kartor/A 17163-2025 karta.png", "A 17163-2025")</f>
        <v/>
      </c>
      <c r="V73">
        <f>HYPERLINK("https://klasma.github.io/Logging_2062/klagomål/A 17163-2025 FSC-klagomål.docx", "A 17163-2025")</f>
        <v/>
      </c>
      <c r="W73">
        <f>HYPERLINK("https://klasma.github.io/Logging_2062/klagomålsmail/A 17163-2025 FSC-klagomål mail.docx", "A 17163-2025")</f>
        <v/>
      </c>
      <c r="X73">
        <f>HYPERLINK("https://klasma.github.io/Logging_2062/tillsyn/A 17163-2025 tillsynsbegäran.docx", "A 17163-2025")</f>
        <v/>
      </c>
      <c r="Y73">
        <f>HYPERLINK("https://klasma.github.io/Logging_2062/tillsynsmail/A 17163-2025 tillsynsbegäran mail.docx", "A 17163-2025")</f>
        <v/>
      </c>
    </row>
    <row r="74" ht="15" customHeight="1">
      <c r="A74" t="inlineStr">
        <is>
          <t>A 23261-2026</t>
        </is>
      </c>
      <c r="B74" s="1" t="n">
        <v>46162</v>
      </c>
      <c r="C74" s="1" t="n">
        <v>46192</v>
      </c>
      <c r="D74" t="inlineStr">
        <is>
          <t>DALARNAS LÄN</t>
        </is>
      </c>
      <c r="E74" t="inlineStr">
        <is>
          <t>MORA</t>
        </is>
      </c>
      <c r="G74" t="n">
        <v>4.1</v>
      </c>
      <c r="H74" t="n">
        <v>0</v>
      </c>
      <c r="I74" t="n">
        <v>0</v>
      </c>
      <c r="J74" t="n">
        <v>1</v>
      </c>
      <c r="K74" t="n">
        <v>1</v>
      </c>
      <c r="L74" t="n">
        <v>0</v>
      </c>
      <c r="M74" t="n">
        <v>0</v>
      </c>
      <c r="N74" t="n">
        <v>0</v>
      </c>
      <c r="O74" t="n">
        <v>2</v>
      </c>
      <c r="P74" t="n">
        <v>1</v>
      </c>
      <c r="Q74" t="n">
        <v>2</v>
      </c>
      <c r="R74" s="2" t="inlineStr">
        <is>
          <t>Garnlav
Tallticka</t>
        </is>
      </c>
      <c r="S74">
        <f>HYPERLINK("https://klasma.github.io/Logging_2062/artfynd/A 23261-2026 artfynd.xlsx", "A 23261-2026")</f>
        <v/>
      </c>
      <c r="T74">
        <f>HYPERLINK("https://klasma.github.io/Logging_2062/kartor/A 23261-2026 karta.png", "A 23261-2026")</f>
        <v/>
      </c>
      <c r="V74">
        <f>HYPERLINK("https://klasma.github.io/Logging_2062/klagomål/A 23261-2026 FSC-klagomål.docx", "A 23261-2026")</f>
        <v/>
      </c>
      <c r="W74">
        <f>HYPERLINK("https://klasma.github.io/Logging_2062/klagomålsmail/A 23261-2026 FSC-klagomål mail.docx", "A 23261-2026")</f>
        <v/>
      </c>
      <c r="X74">
        <f>HYPERLINK("https://klasma.github.io/Logging_2062/tillsyn/A 23261-2026 tillsynsbegäran.docx", "A 23261-2026")</f>
        <v/>
      </c>
      <c r="Y74">
        <f>HYPERLINK("https://klasma.github.io/Logging_2062/tillsynsmail/A 23261-2026 tillsynsbegäran mail.docx", "A 23261-2026")</f>
        <v/>
      </c>
    </row>
    <row r="75" ht="15" customHeight="1">
      <c r="A75" t="inlineStr">
        <is>
          <t>A 25724-2026</t>
        </is>
      </c>
      <c r="B75" s="1" t="n">
        <v>46178</v>
      </c>
      <c r="C75" s="1" t="n">
        <v>46192</v>
      </c>
      <c r="D75" t="inlineStr">
        <is>
          <t>DALARNAS LÄN</t>
        </is>
      </c>
      <c r="E75" t="inlineStr">
        <is>
          <t>MORA</t>
        </is>
      </c>
      <c r="F75" t="inlineStr">
        <is>
          <t>Bergvik skog öst AB</t>
        </is>
      </c>
      <c r="G75" t="n">
        <v>1.7</v>
      </c>
      <c r="H75" t="n">
        <v>0</v>
      </c>
      <c r="I75" t="n">
        <v>0</v>
      </c>
      <c r="J75" t="n">
        <v>2</v>
      </c>
      <c r="K75" t="n">
        <v>0</v>
      </c>
      <c r="L75" t="n">
        <v>0</v>
      </c>
      <c r="M75" t="n">
        <v>0</v>
      </c>
      <c r="N75" t="n">
        <v>0</v>
      </c>
      <c r="O75" t="n">
        <v>2</v>
      </c>
      <c r="P75" t="n">
        <v>0</v>
      </c>
      <c r="Q75" t="n">
        <v>2</v>
      </c>
      <c r="R75" s="2" t="inlineStr">
        <is>
          <t>Kortskaftad ärgspik
Vedflamlav</t>
        </is>
      </c>
      <c r="S75">
        <f>HYPERLINK("https://klasma.github.io/Logging_2062/artfynd/A 25724-2026 artfynd.xlsx", "A 25724-2026")</f>
        <v/>
      </c>
      <c r="T75">
        <f>HYPERLINK("https://klasma.github.io/Logging_2062/kartor/A 25724-2026 karta.png", "A 25724-2026")</f>
        <v/>
      </c>
      <c r="V75">
        <f>HYPERLINK("https://klasma.github.io/Logging_2062/klagomål/A 25724-2026 FSC-klagomål.docx", "A 25724-2026")</f>
        <v/>
      </c>
      <c r="W75">
        <f>HYPERLINK("https://klasma.github.io/Logging_2062/klagomålsmail/A 25724-2026 FSC-klagomål mail.docx", "A 25724-2026")</f>
        <v/>
      </c>
      <c r="X75">
        <f>HYPERLINK("https://klasma.github.io/Logging_2062/tillsyn/A 25724-2026 tillsynsbegäran.docx", "A 25724-2026")</f>
        <v/>
      </c>
      <c r="Y75">
        <f>HYPERLINK("https://klasma.github.io/Logging_2062/tillsynsmail/A 25724-2026 tillsynsbegäran mail.docx", "A 25724-2026")</f>
        <v/>
      </c>
    </row>
    <row r="76" ht="15" customHeight="1">
      <c r="A76" t="inlineStr">
        <is>
          <t>A 34897-2022</t>
        </is>
      </c>
      <c r="B76" s="1" t="n">
        <v>44796</v>
      </c>
      <c r="C76" s="1" t="n">
        <v>46192</v>
      </c>
      <c r="D76" t="inlineStr">
        <is>
          <t>DALARNAS LÄN</t>
        </is>
      </c>
      <c r="E76" t="inlineStr">
        <is>
          <t>MORA</t>
        </is>
      </c>
      <c r="F76" t="inlineStr">
        <is>
          <t>Bergvik skog väst AB</t>
        </is>
      </c>
      <c r="G76" t="n">
        <v>8</v>
      </c>
      <c r="H76" t="n">
        <v>1</v>
      </c>
      <c r="I76" t="n">
        <v>0</v>
      </c>
      <c r="J76" t="n">
        <v>1</v>
      </c>
      <c r="K76" t="n">
        <v>0</v>
      </c>
      <c r="L76" t="n">
        <v>0</v>
      </c>
      <c r="M76" t="n">
        <v>0</v>
      </c>
      <c r="N76" t="n">
        <v>0</v>
      </c>
      <c r="O76" t="n">
        <v>1</v>
      </c>
      <c r="P76" t="n">
        <v>0</v>
      </c>
      <c r="Q76" t="n">
        <v>1</v>
      </c>
      <c r="R76" s="2" t="inlineStr">
        <is>
          <t>Lavskrika</t>
        </is>
      </c>
      <c r="S76">
        <f>HYPERLINK("https://klasma.github.io/Logging_2062/artfynd/A 34897-2022 artfynd.xlsx", "A 34897-2022")</f>
        <v/>
      </c>
      <c r="T76">
        <f>HYPERLINK("https://klasma.github.io/Logging_2062/kartor/A 34897-2022 karta.png", "A 34897-2022")</f>
        <v/>
      </c>
      <c r="V76">
        <f>HYPERLINK("https://klasma.github.io/Logging_2062/klagomål/A 34897-2022 FSC-klagomål.docx", "A 34897-2022")</f>
        <v/>
      </c>
      <c r="W76">
        <f>HYPERLINK("https://klasma.github.io/Logging_2062/klagomålsmail/A 34897-2022 FSC-klagomål mail.docx", "A 34897-2022")</f>
        <v/>
      </c>
      <c r="X76">
        <f>HYPERLINK("https://klasma.github.io/Logging_2062/tillsyn/A 34897-2022 tillsynsbegäran.docx", "A 34897-2022")</f>
        <v/>
      </c>
      <c r="Y76">
        <f>HYPERLINK("https://klasma.github.io/Logging_2062/tillsynsmail/A 34897-2022 tillsynsbegäran mail.docx", "A 34897-2022")</f>
        <v/>
      </c>
      <c r="Z76">
        <f>HYPERLINK("https://klasma.github.io/Logging_2062/fåglar/A 34897-2022 prioriterade fågelarter.docx", "A 34897-2022")</f>
        <v/>
      </c>
    </row>
    <row r="77" ht="15" customHeight="1">
      <c r="A77" t="inlineStr">
        <is>
          <t>A 54239-2021</t>
        </is>
      </c>
      <c r="B77" s="1" t="n">
        <v>44470</v>
      </c>
      <c r="C77" s="1" t="n">
        <v>46192</v>
      </c>
      <c r="D77" t="inlineStr">
        <is>
          <t>DALARNAS LÄN</t>
        </is>
      </c>
      <c r="E77" t="inlineStr">
        <is>
          <t>MORA</t>
        </is>
      </c>
      <c r="G77" t="n">
        <v>0.6</v>
      </c>
      <c r="H77" t="n">
        <v>0</v>
      </c>
      <c r="I77" t="n">
        <v>1</v>
      </c>
      <c r="J77" t="n">
        <v>0</v>
      </c>
      <c r="K77" t="n">
        <v>0</v>
      </c>
      <c r="L77" t="n">
        <v>0</v>
      </c>
      <c r="M77" t="n">
        <v>0</v>
      </c>
      <c r="N77" t="n">
        <v>0</v>
      </c>
      <c r="O77" t="n">
        <v>0</v>
      </c>
      <c r="P77" t="n">
        <v>0</v>
      </c>
      <c r="Q77" t="n">
        <v>1</v>
      </c>
      <c r="R77" s="2" t="inlineStr">
        <is>
          <t>Mindre märgborre</t>
        </is>
      </c>
      <c r="S77">
        <f>HYPERLINK("https://klasma.github.io/Logging_2062/artfynd/A 54239-2021 artfynd.xlsx", "A 54239-2021")</f>
        <v/>
      </c>
      <c r="T77">
        <f>HYPERLINK("https://klasma.github.io/Logging_2062/kartor/A 54239-2021 karta.png", "A 54239-2021")</f>
        <v/>
      </c>
      <c r="V77">
        <f>HYPERLINK("https://klasma.github.io/Logging_2062/klagomål/A 54239-2021 FSC-klagomål.docx", "A 54239-2021")</f>
        <v/>
      </c>
      <c r="W77">
        <f>HYPERLINK("https://klasma.github.io/Logging_2062/klagomålsmail/A 54239-2021 FSC-klagomål mail.docx", "A 54239-2021")</f>
        <v/>
      </c>
      <c r="X77">
        <f>HYPERLINK("https://klasma.github.io/Logging_2062/tillsyn/A 54239-2021 tillsynsbegäran.docx", "A 54239-2021")</f>
        <v/>
      </c>
      <c r="Y77">
        <f>HYPERLINK("https://klasma.github.io/Logging_2062/tillsynsmail/A 54239-2021 tillsynsbegäran mail.docx", "A 54239-2021")</f>
        <v/>
      </c>
    </row>
    <row r="78" ht="15" customHeight="1">
      <c r="A78" t="inlineStr">
        <is>
          <t>A 44307-2021</t>
        </is>
      </c>
      <c r="B78" s="1" t="n">
        <v>44435</v>
      </c>
      <c r="C78" s="1" t="n">
        <v>46192</v>
      </c>
      <c r="D78" t="inlineStr">
        <is>
          <t>DALARNAS LÄN</t>
        </is>
      </c>
      <c r="E78" t="inlineStr">
        <is>
          <t>MORA</t>
        </is>
      </c>
      <c r="G78" t="n">
        <v>1.2</v>
      </c>
      <c r="H78" t="n">
        <v>0</v>
      </c>
      <c r="I78" t="n">
        <v>0</v>
      </c>
      <c r="J78" t="n">
        <v>1</v>
      </c>
      <c r="K78" t="n">
        <v>0</v>
      </c>
      <c r="L78" t="n">
        <v>0</v>
      </c>
      <c r="M78" t="n">
        <v>0</v>
      </c>
      <c r="N78" t="n">
        <v>0</v>
      </c>
      <c r="O78" t="n">
        <v>1</v>
      </c>
      <c r="P78" t="n">
        <v>0</v>
      </c>
      <c r="Q78" t="n">
        <v>1</v>
      </c>
      <c r="R78" s="2" t="inlineStr">
        <is>
          <t>Grentaggsvamp</t>
        </is>
      </c>
      <c r="S78">
        <f>HYPERLINK("https://klasma.github.io/Logging_2062/artfynd/A 44307-2021 artfynd.xlsx", "A 44307-2021")</f>
        <v/>
      </c>
      <c r="T78">
        <f>HYPERLINK("https://klasma.github.io/Logging_2062/kartor/A 44307-2021 karta.png", "A 44307-2021")</f>
        <v/>
      </c>
      <c r="V78">
        <f>HYPERLINK("https://klasma.github.io/Logging_2062/klagomål/A 44307-2021 FSC-klagomål.docx", "A 44307-2021")</f>
        <v/>
      </c>
      <c r="W78">
        <f>HYPERLINK("https://klasma.github.io/Logging_2062/klagomålsmail/A 44307-2021 FSC-klagomål mail.docx", "A 44307-2021")</f>
        <v/>
      </c>
      <c r="X78">
        <f>HYPERLINK("https://klasma.github.io/Logging_2062/tillsyn/A 44307-2021 tillsynsbegäran.docx", "A 44307-2021")</f>
        <v/>
      </c>
      <c r="Y78">
        <f>HYPERLINK("https://klasma.github.io/Logging_2062/tillsynsmail/A 44307-2021 tillsynsbegäran mail.docx", "A 44307-2021")</f>
        <v/>
      </c>
    </row>
    <row r="79" ht="15" customHeight="1">
      <c r="A79" t="inlineStr">
        <is>
          <t>A 27975-2023</t>
        </is>
      </c>
      <c r="B79" s="1" t="n">
        <v>45098</v>
      </c>
      <c r="C79" s="1" t="n">
        <v>46192</v>
      </c>
      <c r="D79" t="inlineStr">
        <is>
          <t>DALARNAS LÄN</t>
        </is>
      </c>
      <c r="E79" t="inlineStr">
        <is>
          <t>MORA</t>
        </is>
      </c>
      <c r="G79" t="n">
        <v>1.1</v>
      </c>
      <c r="H79" t="n">
        <v>0</v>
      </c>
      <c r="I79" t="n">
        <v>0</v>
      </c>
      <c r="J79" t="n">
        <v>1</v>
      </c>
      <c r="K79" t="n">
        <v>0</v>
      </c>
      <c r="L79" t="n">
        <v>0</v>
      </c>
      <c r="M79" t="n">
        <v>0</v>
      </c>
      <c r="N79" t="n">
        <v>0</v>
      </c>
      <c r="O79" t="n">
        <v>1</v>
      </c>
      <c r="P79" t="n">
        <v>0</v>
      </c>
      <c r="Q79" t="n">
        <v>1</v>
      </c>
      <c r="R79" s="2" t="inlineStr">
        <is>
          <t>Tallticka</t>
        </is>
      </c>
      <c r="S79">
        <f>HYPERLINK("https://klasma.github.io/Logging_2062/artfynd/A 27975-2023 artfynd.xlsx", "A 27975-2023")</f>
        <v/>
      </c>
      <c r="T79">
        <f>HYPERLINK("https://klasma.github.io/Logging_2062/kartor/A 27975-2023 karta.png", "A 27975-2023")</f>
        <v/>
      </c>
      <c r="V79">
        <f>HYPERLINK("https://klasma.github.io/Logging_2062/klagomål/A 27975-2023 FSC-klagomål.docx", "A 27975-2023")</f>
        <v/>
      </c>
      <c r="W79">
        <f>HYPERLINK("https://klasma.github.io/Logging_2062/klagomålsmail/A 27975-2023 FSC-klagomål mail.docx", "A 27975-2023")</f>
        <v/>
      </c>
      <c r="X79">
        <f>HYPERLINK("https://klasma.github.io/Logging_2062/tillsyn/A 27975-2023 tillsynsbegäran.docx", "A 27975-2023")</f>
        <v/>
      </c>
      <c r="Y79">
        <f>HYPERLINK("https://klasma.github.io/Logging_2062/tillsynsmail/A 27975-2023 tillsynsbegäran mail.docx", "A 27975-2023")</f>
        <v/>
      </c>
    </row>
    <row r="80" ht="15" customHeight="1">
      <c r="A80" t="inlineStr">
        <is>
          <t>A 62096-2025</t>
        </is>
      </c>
      <c r="B80" s="1" t="n">
        <v>46006</v>
      </c>
      <c r="C80" s="1" t="n">
        <v>46192</v>
      </c>
      <c r="D80" t="inlineStr">
        <is>
          <t>DALARNAS LÄN</t>
        </is>
      </c>
      <c r="E80" t="inlineStr">
        <is>
          <t>MORA</t>
        </is>
      </c>
      <c r="G80" t="n">
        <v>4.1</v>
      </c>
      <c r="H80" t="n">
        <v>0</v>
      </c>
      <c r="I80" t="n">
        <v>0</v>
      </c>
      <c r="J80" t="n">
        <v>0</v>
      </c>
      <c r="K80" t="n">
        <v>1</v>
      </c>
      <c r="L80" t="n">
        <v>0</v>
      </c>
      <c r="M80" t="n">
        <v>0</v>
      </c>
      <c r="N80" t="n">
        <v>0</v>
      </c>
      <c r="O80" t="n">
        <v>1</v>
      </c>
      <c r="P80" t="n">
        <v>1</v>
      </c>
      <c r="Q80" t="n">
        <v>1</v>
      </c>
      <c r="R80" s="2" t="inlineStr">
        <is>
          <t>Garnlav</t>
        </is>
      </c>
      <c r="S80">
        <f>HYPERLINK("https://klasma.github.io/Logging_2062/artfynd/A 62096-2025 artfynd.xlsx", "A 62096-2025")</f>
        <v/>
      </c>
      <c r="T80">
        <f>HYPERLINK("https://klasma.github.io/Logging_2062/kartor/A 62096-2025 karta.png", "A 62096-2025")</f>
        <v/>
      </c>
      <c r="V80">
        <f>HYPERLINK("https://klasma.github.io/Logging_2062/klagomål/A 62096-2025 FSC-klagomål.docx", "A 62096-2025")</f>
        <v/>
      </c>
      <c r="W80">
        <f>HYPERLINK("https://klasma.github.io/Logging_2062/klagomålsmail/A 62096-2025 FSC-klagomål mail.docx", "A 62096-2025")</f>
        <v/>
      </c>
      <c r="X80">
        <f>HYPERLINK("https://klasma.github.io/Logging_2062/tillsyn/A 62096-2025 tillsynsbegäran.docx", "A 62096-2025")</f>
        <v/>
      </c>
      <c r="Y80">
        <f>HYPERLINK("https://klasma.github.io/Logging_2062/tillsynsmail/A 62096-2025 tillsynsbegäran mail.docx", "A 62096-2025")</f>
        <v/>
      </c>
    </row>
    <row r="81" ht="15" customHeight="1">
      <c r="A81" t="inlineStr">
        <is>
          <t>A 45344-2024</t>
        </is>
      </c>
      <c r="B81" s="1" t="n">
        <v>45576</v>
      </c>
      <c r="C81" s="1" t="n">
        <v>46192</v>
      </c>
      <c r="D81" t="inlineStr">
        <is>
          <t>DALARNAS LÄN</t>
        </is>
      </c>
      <c r="E81" t="inlineStr">
        <is>
          <t>MORA</t>
        </is>
      </c>
      <c r="G81" t="n">
        <v>0.9</v>
      </c>
      <c r="H81" t="n">
        <v>0</v>
      </c>
      <c r="I81" t="n">
        <v>0</v>
      </c>
      <c r="J81" t="n">
        <v>0</v>
      </c>
      <c r="K81" t="n">
        <v>1</v>
      </c>
      <c r="L81" t="n">
        <v>0</v>
      </c>
      <c r="M81" t="n">
        <v>0</v>
      </c>
      <c r="N81" t="n">
        <v>0</v>
      </c>
      <c r="O81" t="n">
        <v>1</v>
      </c>
      <c r="P81" t="n">
        <v>1</v>
      </c>
      <c r="Q81" t="n">
        <v>1</v>
      </c>
      <c r="R81" s="2" t="inlineStr">
        <is>
          <t>Garnlav</t>
        </is>
      </c>
      <c r="S81">
        <f>HYPERLINK("https://klasma.github.io/Logging_2062/artfynd/A 45344-2024 artfynd.xlsx", "A 45344-2024")</f>
        <v/>
      </c>
      <c r="T81">
        <f>HYPERLINK("https://klasma.github.io/Logging_2062/kartor/A 45344-2024 karta.png", "A 45344-2024")</f>
        <v/>
      </c>
      <c r="V81">
        <f>HYPERLINK("https://klasma.github.io/Logging_2062/klagomål/A 45344-2024 FSC-klagomål.docx", "A 45344-2024")</f>
        <v/>
      </c>
      <c r="W81">
        <f>HYPERLINK("https://klasma.github.io/Logging_2062/klagomålsmail/A 45344-2024 FSC-klagomål mail.docx", "A 45344-2024")</f>
        <v/>
      </c>
      <c r="X81">
        <f>HYPERLINK("https://klasma.github.io/Logging_2062/tillsyn/A 45344-2024 tillsynsbegäran.docx", "A 45344-2024")</f>
        <v/>
      </c>
      <c r="Y81">
        <f>HYPERLINK("https://klasma.github.io/Logging_2062/tillsynsmail/A 45344-2024 tillsynsbegäran mail.docx", "A 45344-2024")</f>
        <v/>
      </c>
    </row>
    <row r="82" ht="15" customHeight="1">
      <c r="A82" t="inlineStr">
        <is>
          <t>A 665-2026</t>
        </is>
      </c>
      <c r="B82" s="1" t="n">
        <v>46029</v>
      </c>
      <c r="C82" s="1" t="n">
        <v>46192</v>
      </c>
      <c r="D82" t="inlineStr">
        <is>
          <t>DALARNAS LÄN</t>
        </is>
      </c>
      <c r="E82" t="inlineStr">
        <is>
          <t>MORA</t>
        </is>
      </c>
      <c r="F82" t="inlineStr">
        <is>
          <t>Kommuner</t>
        </is>
      </c>
      <c r="G82" t="n">
        <v>20.9</v>
      </c>
      <c r="H82" t="n">
        <v>1</v>
      </c>
      <c r="I82" t="n">
        <v>0</v>
      </c>
      <c r="J82" t="n">
        <v>0</v>
      </c>
      <c r="K82" t="n">
        <v>0</v>
      </c>
      <c r="L82" t="n">
        <v>0</v>
      </c>
      <c r="M82" t="n">
        <v>0</v>
      </c>
      <c r="N82" t="n">
        <v>0</v>
      </c>
      <c r="O82" t="n">
        <v>0</v>
      </c>
      <c r="P82" t="n">
        <v>0</v>
      </c>
      <c r="Q82" t="n">
        <v>1</v>
      </c>
      <c r="R82" s="2" t="inlineStr">
        <is>
          <t>Fläcknycklar</t>
        </is>
      </c>
      <c r="S82">
        <f>HYPERLINK("https://klasma.github.io/Logging_2062/artfynd/A 665-2026 artfynd.xlsx", "A 665-2026")</f>
        <v/>
      </c>
      <c r="T82">
        <f>HYPERLINK("https://klasma.github.io/Logging_2062/kartor/A 665-2026 karta.png", "A 665-2026")</f>
        <v/>
      </c>
      <c r="V82">
        <f>HYPERLINK("https://klasma.github.io/Logging_2062/klagomål/A 665-2026 FSC-klagomål.docx", "A 665-2026")</f>
        <v/>
      </c>
      <c r="W82">
        <f>HYPERLINK("https://klasma.github.io/Logging_2062/klagomålsmail/A 665-2026 FSC-klagomål mail.docx", "A 665-2026")</f>
        <v/>
      </c>
      <c r="X82">
        <f>HYPERLINK("https://klasma.github.io/Logging_2062/tillsyn/A 665-2026 tillsynsbegäran.docx", "A 665-2026")</f>
        <v/>
      </c>
      <c r="Y82">
        <f>HYPERLINK("https://klasma.github.io/Logging_2062/tillsynsmail/A 665-2026 tillsynsbegäran mail.docx", "A 665-2026")</f>
        <v/>
      </c>
    </row>
    <row r="83" ht="15" customHeight="1">
      <c r="A83" t="inlineStr">
        <is>
          <t>A 37471-2024</t>
        </is>
      </c>
      <c r="B83" s="1" t="n">
        <v>45540</v>
      </c>
      <c r="C83" s="1" t="n">
        <v>46192</v>
      </c>
      <c r="D83" t="inlineStr">
        <is>
          <t>DALARNAS LÄN</t>
        </is>
      </c>
      <c r="E83" t="inlineStr">
        <is>
          <t>MORA</t>
        </is>
      </c>
      <c r="G83" t="n">
        <v>3.5</v>
      </c>
      <c r="H83" t="n">
        <v>1</v>
      </c>
      <c r="I83" t="n">
        <v>0</v>
      </c>
      <c r="J83" t="n">
        <v>1</v>
      </c>
      <c r="K83" t="n">
        <v>0</v>
      </c>
      <c r="L83" t="n">
        <v>0</v>
      </c>
      <c r="M83" t="n">
        <v>0</v>
      </c>
      <c r="N83" t="n">
        <v>0</v>
      </c>
      <c r="O83" t="n">
        <v>1</v>
      </c>
      <c r="P83" t="n">
        <v>0</v>
      </c>
      <c r="Q83" t="n">
        <v>1</v>
      </c>
      <c r="R83" s="2" t="inlineStr">
        <is>
          <t>Talltita</t>
        </is>
      </c>
      <c r="S83">
        <f>HYPERLINK("https://klasma.github.io/Logging_2062/artfynd/A 37471-2024 artfynd.xlsx", "A 37471-2024")</f>
        <v/>
      </c>
      <c r="T83">
        <f>HYPERLINK("https://klasma.github.io/Logging_2062/kartor/A 37471-2024 karta.png", "A 37471-2024")</f>
        <v/>
      </c>
      <c r="V83">
        <f>HYPERLINK("https://klasma.github.io/Logging_2062/klagomål/A 37471-2024 FSC-klagomål.docx", "A 37471-2024")</f>
        <v/>
      </c>
      <c r="W83">
        <f>HYPERLINK("https://klasma.github.io/Logging_2062/klagomålsmail/A 37471-2024 FSC-klagomål mail.docx", "A 37471-2024")</f>
        <v/>
      </c>
      <c r="X83">
        <f>HYPERLINK("https://klasma.github.io/Logging_2062/tillsyn/A 37471-2024 tillsynsbegäran.docx", "A 37471-2024")</f>
        <v/>
      </c>
      <c r="Y83">
        <f>HYPERLINK("https://klasma.github.io/Logging_2062/tillsynsmail/A 37471-2024 tillsynsbegäran mail.docx", "A 37471-2024")</f>
        <v/>
      </c>
      <c r="Z83">
        <f>HYPERLINK("https://klasma.github.io/Logging_2062/fåglar/A 37471-2024 prioriterade fågelarter.docx", "A 37471-2024")</f>
        <v/>
      </c>
    </row>
    <row r="84" ht="15" customHeight="1">
      <c r="A84" t="inlineStr">
        <is>
          <t>A 4209-2023</t>
        </is>
      </c>
      <c r="B84" s="1" t="n">
        <v>44953</v>
      </c>
      <c r="C84" s="1" t="n">
        <v>46192</v>
      </c>
      <c r="D84" t="inlineStr">
        <is>
          <t>DALARNAS LÄN</t>
        </is>
      </c>
      <c r="E84" t="inlineStr">
        <is>
          <t>MORA</t>
        </is>
      </c>
      <c r="G84" t="n">
        <v>1</v>
      </c>
      <c r="H84" t="n">
        <v>1</v>
      </c>
      <c r="I84" t="n">
        <v>0</v>
      </c>
      <c r="J84" t="n">
        <v>0</v>
      </c>
      <c r="K84" t="n">
        <v>0</v>
      </c>
      <c r="L84" t="n">
        <v>0</v>
      </c>
      <c r="M84" t="n">
        <v>0</v>
      </c>
      <c r="N84" t="n">
        <v>0</v>
      </c>
      <c r="O84" t="n">
        <v>0</v>
      </c>
      <c r="P84" t="n">
        <v>0</v>
      </c>
      <c r="Q84" t="n">
        <v>1</v>
      </c>
      <c r="R84" s="2" t="inlineStr">
        <is>
          <t>Utter</t>
        </is>
      </c>
      <c r="S84">
        <f>HYPERLINK("https://klasma.github.io/Logging_2062/artfynd/A 4209-2023 artfynd.xlsx", "A 4209-2023")</f>
        <v/>
      </c>
      <c r="T84">
        <f>HYPERLINK("https://klasma.github.io/Logging_2062/kartor/A 4209-2023 karta.png", "A 4209-2023")</f>
        <v/>
      </c>
      <c r="V84">
        <f>HYPERLINK("https://klasma.github.io/Logging_2062/klagomål/A 4209-2023 FSC-klagomål.docx", "A 4209-2023")</f>
        <v/>
      </c>
      <c r="W84">
        <f>HYPERLINK("https://klasma.github.io/Logging_2062/klagomålsmail/A 4209-2023 FSC-klagomål mail.docx", "A 4209-2023")</f>
        <v/>
      </c>
      <c r="X84">
        <f>HYPERLINK("https://klasma.github.io/Logging_2062/tillsyn/A 4209-2023 tillsynsbegäran.docx", "A 4209-2023")</f>
        <v/>
      </c>
      <c r="Y84">
        <f>HYPERLINK("https://klasma.github.io/Logging_2062/tillsynsmail/A 4209-2023 tillsynsbegäran mail.docx", "A 4209-2023")</f>
        <v/>
      </c>
    </row>
    <row r="85" ht="15" customHeight="1">
      <c r="A85" t="inlineStr">
        <is>
          <t>A 54903-2024</t>
        </is>
      </c>
      <c r="B85" s="1" t="n">
        <v>45618</v>
      </c>
      <c r="C85" s="1" t="n">
        <v>46192</v>
      </c>
      <c r="D85" t="inlineStr">
        <is>
          <t>DALARNAS LÄN</t>
        </is>
      </c>
      <c r="E85" t="inlineStr">
        <is>
          <t>MORA</t>
        </is>
      </c>
      <c r="G85" t="n">
        <v>28.2</v>
      </c>
      <c r="H85" t="n">
        <v>0</v>
      </c>
      <c r="I85" t="n">
        <v>0</v>
      </c>
      <c r="J85" t="n">
        <v>0</v>
      </c>
      <c r="K85" t="n">
        <v>1</v>
      </c>
      <c r="L85" t="n">
        <v>0</v>
      </c>
      <c r="M85" t="n">
        <v>0</v>
      </c>
      <c r="N85" t="n">
        <v>0</v>
      </c>
      <c r="O85" t="n">
        <v>1</v>
      </c>
      <c r="P85" t="n">
        <v>1</v>
      </c>
      <c r="Q85" t="n">
        <v>1</v>
      </c>
      <c r="R85" s="2" t="inlineStr">
        <is>
          <t>Igelkott</t>
        </is>
      </c>
      <c r="S85">
        <f>HYPERLINK("https://klasma.github.io/Logging_2062/artfynd/A 54903-2024 artfynd.xlsx", "A 54903-2024")</f>
        <v/>
      </c>
      <c r="T85">
        <f>HYPERLINK("https://klasma.github.io/Logging_2062/kartor/A 54903-2024 karta.png", "A 54903-2024")</f>
        <v/>
      </c>
      <c r="V85">
        <f>HYPERLINK("https://klasma.github.io/Logging_2062/klagomål/A 54903-2024 FSC-klagomål.docx", "A 54903-2024")</f>
        <v/>
      </c>
      <c r="W85">
        <f>HYPERLINK("https://klasma.github.io/Logging_2062/klagomålsmail/A 54903-2024 FSC-klagomål mail.docx", "A 54903-2024")</f>
        <v/>
      </c>
      <c r="X85">
        <f>HYPERLINK("https://klasma.github.io/Logging_2062/tillsyn/A 54903-2024 tillsynsbegäran.docx", "A 54903-2024")</f>
        <v/>
      </c>
      <c r="Y85">
        <f>HYPERLINK("https://klasma.github.io/Logging_2062/tillsynsmail/A 54903-2024 tillsynsbegäran mail.docx", "A 54903-2024")</f>
        <v/>
      </c>
    </row>
    <row r="86" ht="15" customHeight="1">
      <c r="A86" t="inlineStr">
        <is>
          <t>A 56460-2022</t>
        </is>
      </c>
      <c r="B86" s="1" t="n">
        <v>44893</v>
      </c>
      <c r="C86" s="1" t="n">
        <v>46192</v>
      </c>
      <c r="D86" t="inlineStr">
        <is>
          <t>DALARNAS LÄN</t>
        </is>
      </c>
      <c r="E86" t="inlineStr">
        <is>
          <t>MORA</t>
        </is>
      </c>
      <c r="G86" t="n">
        <v>2.2</v>
      </c>
      <c r="H86" t="n">
        <v>0</v>
      </c>
      <c r="I86" t="n">
        <v>0</v>
      </c>
      <c r="J86" t="n">
        <v>1</v>
      </c>
      <c r="K86" t="n">
        <v>0</v>
      </c>
      <c r="L86" t="n">
        <v>0</v>
      </c>
      <c r="M86" t="n">
        <v>0</v>
      </c>
      <c r="N86" t="n">
        <v>0</v>
      </c>
      <c r="O86" t="n">
        <v>1</v>
      </c>
      <c r="P86" t="n">
        <v>0</v>
      </c>
      <c r="Q86" t="n">
        <v>1</v>
      </c>
      <c r="R86" s="2" t="inlineStr">
        <is>
          <t>Slåtterfibbla</t>
        </is>
      </c>
      <c r="S86">
        <f>HYPERLINK("https://klasma.github.io/Logging_2062/artfynd/A 56460-2022 artfynd.xlsx", "A 56460-2022")</f>
        <v/>
      </c>
      <c r="T86">
        <f>HYPERLINK("https://klasma.github.io/Logging_2062/kartor/A 56460-2022 karta.png", "A 56460-2022")</f>
        <v/>
      </c>
      <c r="V86">
        <f>HYPERLINK("https://klasma.github.io/Logging_2062/klagomål/A 56460-2022 FSC-klagomål.docx", "A 56460-2022")</f>
        <v/>
      </c>
      <c r="W86">
        <f>HYPERLINK("https://klasma.github.io/Logging_2062/klagomålsmail/A 56460-2022 FSC-klagomål mail.docx", "A 56460-2022")</f>
        <v/>
      </c>
      <c r="X86">
        <f>HYPERLINK("https://klasma.github.io/Logging_2062/tillsyn/A 56460-2022 tillsynsbegäran.docx", "A 56460-2022")</f>
        <v/>
      </c>
      <c r="Y86">
        <f>HYPERLINK("https://klasma.github.io/Logging_2062/tillsynsmail/A 56460-2022 tillsynsbegäran mail.docx", "A 56460-2022")</f>
        <v/>
      </c>
    </row>
    <row r="87" ht="15" customHeight="1">
      <c r="A87" t="inlineStr">
        <is>
          <t>A 68415-2021</t>
        </is>
      </c>
      <c r="B87" s="1" t="n">
        <v>44529</v>
      </c>
      <c r="C87" s="1" t="n">
        <v>46192</v>
      </c>
      <c r="D87" t="inlineStr">
        <is>
          <t>DALARNAS LÄN</t>
        </is>
      </c>
      <c r="E87" t="inlineStr">
        <is>
          <t>MORA</t>
        </is>
      </c>
      <c r="G87" t="n">
        <v>1.2</v>
      </c>
      <c r="H87" t="n">
        <v>1</v>
      </c>
      <c r="I87" t="n">
        <v>0</v>
      </c>
      <c r="J87" t="n">
        <v>1</v>
      </c>
      <c r="K87" t="n">
        <v>0</v>
      </c>
      <c r="L87" t="n">
        <v>0</v>
      </c>
      <c r="M87" t="n">
        <v>0</v>
      </c>
      <c r="N87" t="n">
        <v>0</v>
      </c>
      <c r="O87" t="n">
        <v>1</v>
      </c>
      <c r="P87" t="n">
        <v>0</v>
      </c>
      <c r="Q87" t="n">
        <v>1</v>
      </c>
      <c r="R87" s="2" t="inlineStr">
        <is>
          <t>Sparvuggla</t>
        </is>
      </c>
      <c r="S87">
        <f>HYPERLINK("https://klasma.github.io/Logging_2062/artfynd/A 68415-2021 artfynd.xlsx", "A 68415-2021")</f>
        <v/>
      </c>
      <c r="T87">
        <f>HYPERLINK("https://klasma.github.io/Logging_2062/kartor/A 68415-2021 karta.png", "A 68415-2021")</f>
        <v/>
      </c>
      <c r="V87">
        <f>HYPERLINK("https://klasma.github.io/Logging_2062/klagomål/A 68415-2021 FSC-klagomål.docx", "A 68415-2021")</f>
        <v/>
      </c>
      <c r="W87">
        <f>HYPERLINK("https://klasma.github.io/Logging_2062/klagomålsmail/A 68415-2021 FSC-klagomål mail.docx", "A 68415-2021")</f>
        <v/>
      </c>
      <c r="X87">
        <f>HYPERLINK("https://klasma.github.io/Logging_2062/tillsyn/A 68415-2021 tillsynsbegäran.docx", "A 68415-2021")</f>
        <v/>
      </c>
      <c r="Y87">
        <f>HYPERLINK("https://klasma.github.io/Logging_2062/tillsynsmail/A 68415-2021 tillsynsbegäran mail.docx", "A 68415-2021")</f>
        <v/>
      </c>
      <c r="Z87">
        <f>HYPERLINK("https://klasma.github.io/Logging_2062/fåglar/A 68415-2021 prioriterade fågelarter.docx", "A 68415-2021")</f>
        <v/>
      </c>
    </row>
    <row r="88" ht="15" customHeight="1">
      <c r="A88" t="inlineStr">
        <is>
          <t>A 57669-2022</t>
        </is>
      </c>
      <c r="B88" s="1" t="n">
        <v>44897</v>
      </c>
      <c r="C88" s="1" t="n">
        <v>46192</v>
      </c>
      <c r="D88" t="inlineStr">
        <is>
          <t>DALARNAS LÄN</t>
        </is>
      </c>
      <c r="E88" t="inlineStr">
        <is>
          <t>MORA</t>
        </is>
      </c>
      <c r="G88" t="n">
        <v>4.1</v>
      </c>
      <c r="H88" t="n">
        <v>0</v>
      </c>
      <c r="I88" t="n">
        <v>0</v>
      </c>
      <c r="J88" t="n">
        <v>0</v>
      </c>
      <c r="K88" t="n">
        <v>1</v>
      </c>
      <c r="L88" t="n">
        <v>0</v>
      </c>
      <c r="M88" t="n">
        <v>0</v>
      </c>
      <c r="N88" t="n">
        <v>0</v>
      </c>
      <c r="O88" t="n">
        <v>1</v>
      </c>
      <c r="P88" t="n">
        <v>1</v>
      </c>
      <c r="Q88" t="n">
        <v>1</v>
      </c>
      <c r="R88" s="2" t="inlineStr">
        <is>
          <t>Igelkott</t>
        </is>
      </c>
      <c r="S88">
        <f>HYPERLINK("https://klasma.github.io/Logging_2062/artfynd/A 57669-2022 artfynd.xlsx", "A 57669-2022")</f>
        <v/>
      </c>
      <c r="T88">
        <f>HYPERLINK("https://klasma.github.io/Logging_2062/kartor/A 57669-2022 karta.png", "A 57669-2022")</f>
        <v/>
      </c>
      <c r="V88">
        <f>HYPERLINK("https://klasma.github.io/Logging_2062/klagomål/A 57669-2022 FSC-klagomål.docx", "A 57669-2022")</f>
        <v/>
      </c>
      <c r="W88">
        <f>HYPERLINK("https://klasma.github.io/Logging_2062/klagomålsmail/A 57669-2022 FSC-klagomål mail.docx", "A 57669-2022")</f>
        <v/>
      </c>
      <c r="X88">
        <f>HYPERLINK("https://klasma.github.io/Logging_2062/tillsyn/A 57669-2022 tillsynsbegäran.docx", "A 57669-2022")</f>
        <v/>
      </c>
      <c r="Y88">
        <f>HYPERLINK("https://klasma.github.io/Logging_2062/tillsynsmail/A 57669-2022 tillsynsbegäran mail.docx", "A 57669-2022")</f>
        <v/>
      </c>
    </row>
    <row r="89" ht="15" customHeight="1">
      <c r="A89" t="inlineStr">
        <is>
          <t>A 23736-2023</t>
        </is>
      </c>
      <c r="B89" s="1" t="n">
        <v>45077</v>
      </c>
      <c r="C89" s="1" t="n">
        <v>46192</v>
      </c>
      <c r="D89" t="inlineStr">
        <is>
          <t>DALARNAS LÄN</t>
        </is>
      </c>
      <c r="E89" t="inlineStr">
        <is>
          <t>MORA</t>
        </is>
      </c>
      <c r="G89" t="n">
        <v>7.2</v>
      </c>
      <c r="H89" t="n">
        <v>0</v>
      </c>
      <c r="I89" t="n">
        <v>0</v>
      </c>
      <c r="J89" t="n">
        <v>1</v>
      </c>
      <c r="K89" t="n">
        <v>0</v>
      </c>
      <c r="L89" t="n">
        <v>0</v>
      </c>
      <c r="M89" t="n">
        <v>0</v>
      </c>
      <c r="N89" t="n">
        <v>0</v>
      </c>
      <c r="O89" t="n">
        <v>1</v>
      </c>
      <c r="P89" t="n">
        <v>0</v>
      </c>
      <c r="Q89" t="n">
        <v>1</v>
      </c>
      <c r="R89" s="2" t="inlineStr">
        <is>
          <t>Reliktbock</t>
        </is>
      </c>
      <c r="S89">
        <f>HYPERLINK("https://klasma.github.io/Logging_2062/artfynd/A 23736-2023 artfynd.xlsx", "A 23736-2023")</f>
        <v/>
      </c>
      <c r="T89">
        <f>HYPERLINK("https://klasma.github.io/Logging_2062/kartor/A 23736-2023 karta.png", "A 23736-2023")</f>
        <v/>
      </c>
      <c r="V89">
        <f>HYPERLINK("https://klasma.github.io/Logging_2062/klagomål/A 23736-2023 FSC-klagomål.docx", "A 23736-2023")</f>
        <v/>
      </c>
      <c r="W89">
        <f>HYPERLINK("https://klasma.github.io/Logging_2062/klagomålsmail/A 23736-2023 FSC-klagomål mail.docx", "A 23736-2023")</f>
        <v/>
      </c>
      <c r="X89">
        <f>HYPERLINK("https://klasma.github.io/Logging_2062/tillsyn/A 23736-2023 tillsynsbegäran.docx", "A 23736-2023")</f>
        <v/>
      </c>
      <c r="Y89">
        <f>HYPERLINK("https://klasma.github.io/Logging_2062/tillsynsmail/A 23736-2023 tillsynsbegäran mail.docx", "A 23736-2023")</f>
        <v/>
      </c>
    </row>
    <row r="90" ht="15" customHeight="1">
      <c r="A90" t="inlineStr">
        <is>
          <t>A 5304-2023</t>
        </is>
      </c>
      <c r="B90" s="1" t="n">
        <v>44959</v>
      </c>
      <c r="C90" s="1" t="n">
        <v>46192</v>
      </c>
      <c r="D90" t="inlineStr">
        <is>
          <t>DALARNAS LÄN</t>
        </is>
      </c>
      <c r="E90" t="inlineStr">
        <is>
          <t>MORA</t>
        </is>
      </c>
      <c r="F90" t="inlineStr">
        <is>
          <t>Bergvik skog väst AB</t>
        </is>
      </c>
      <c r="G90" t="n">
        <v>7.3</v>
      </c>
      <c r="H90" t="n">
        <v>0</v>
      </c>
      <c r="I90" t="n">
        <v>0</v>
      </c>
      <c r="J90" t="n">
        <v>1</v>
      </c>
      <c r="K90" t="n">
        <v>0</v>
      </c>
      <c r="L90" t="n">
        <v>0</v>
      </c>
      <c r="M90" t="n">
        <v>0</v>
      </c>
      <c r="N90" t="n">
        <v>0</v>
      </c>
      <c r="O90" t="n">
        <v>1</v>
      </c>
      <c r="P90" t="n">
        <v>0</v>
      </c>
      <c r="Q90" t="n">
        <v>1</v>
      </c>
      <c r="R90" s="2" t="inlineStr">
        <is>
          <t>Backruta</t>
        </is>
      </c>
      <c r="S90">
        <f>HYPERLINK("https://klasma.github.io/Logging_2062/artfynd/A 5304-2023 artfynd.xlsx", "A 5304-2023")</f>
        <v/>
      </c>
      <c r="T90">
        <f>HYPERLINK("https://klasma.github.io/Logging_2062/kartor/A 5304-2023 karta.png", "A 5304-2023")</f>
        <v/>
      </c>
      <c r="V90">
        <f>HYPERLINK("https://klasma.github.io/Logging_2062/klagomål/A 5304-2023 FSC-klagomål.docx", "A 5304-2023")</f>
        <v/>
      </c>
      <c r="W90">
        <f>HYPERLINK("https://klasma.github.io/Logging_2062/klagomålsmail/A 5304-2023 FSC-klagomål mail.docx", "A 5304-2023")</f>
        <v/>
      </c>
      <c r="X90">
        <f>HYPERLINK("https://klasma.github.io/Logging_2062/tillsyn/A 5304-2023 tillsynsbegäran.docx", "A 5304-2023")</f>
        <v/>
      </c>
      <c r="Y90">
        <f>HYPERLINK("https://klasma.github.io/Logging_2062/tillsynsmail/A 5304-2023 tillsynsbegäran mail.docx", "A 5304-2023")</f>
        <v/>
      </c>
    </row>
    <row r="91" ht="15" customHeight="1">
      <c r="A91" t="inlineStr">
        <is>
          <t>A 27113-2024</t>
        </is>
      </c>
      <c r="B91" s="1" t="n">
        <v>45471</v>
      </c>
      <c r="C91" s="1" t="n">
        <v>46192</v>
      </c>
      <c r="D91" t="inlineStr">
        <is>
          <t>DALARNAS LÄN</t>
        </is>
      </c>
      <c r="E91" t="inlineStr">
        <is>
          <t>MORA</t>
        </is>
      </c>
      <c r="G91" t="n">
        <v>10.3</v>
      </c>
      <c r="H91" t="n">
        <v>0</v>
      </c>
      <c r="I91" t="n">
        <v>1</v>
      </c>
      <c r="J91" t="n">
        <v>0</v>
      </c>
      <c r="K91" t="n">
        <v>0</v>
      </c>
      <c r="L91" t="n">
        <v>0</v>
      </c>
      <c r="M91" t="n">
        <v>0</v>
      </c>
      <c r="N91" t="n">
        <v>0</v>
      </c>
      <c r="O91" t="n">
        <v>0</v>
      </c>
      <c r="P91" t="n">
        <v>0</v>
      </c>
      <c r="Q91" t="n">
        <v>1</v>
      </c>
      <c r="R91" s="2" t="inlineStr">
        <is>
          <t>Stor aspticka</t>
        </is>
      </c>
      <c r="S91">
        <f>HYPERLINK("https://klasma.github.io/Logging_2062/artfynd/A 27113-2024 artfynd.xlsx", "A 27113-2024")</f>
        <v/>
      </c>
      <c r="T91">
        <f>HYPERLINK("https://klasma.github.io/Logging_2062/kartor/A 27113-2024 karta.png", "A 27113-2024")</f>
        <v/>
      </c>
      <c r="V91">
        <f>HYPERLINK("https://klasma.github.io/Logging_2062/klagomål/A 27113-2024 FSC-klagomål.docx", "A 27113-2024")</f>
        <v/>
      </c>
      <c r="W91">
        <f>HYPERLINK("https://klasma.github.io/Logging_2062/klagomålsmail/A 27113-2024 FSC-klagomål mail.docx", "A 27113-2024")</f>
        <v/>
      </c>
      <c r="X91">
        <f>HYPERLINK("https://klasma.github.io/Logging_2062/tillsyn/A 27113-2024 tillsynsbegäran.docx", "A 27113-2024")</f>
        <v/>
      </c>
      <c r="Y91">
        <f>HYPERLINK("https://klasma.github.io/Logging_2062/tillsynsmail/A 27113-2024 tillsynsbegäran mail.docx", "A 27113-2024")</f>
        <v/>
      </c>
    </row>
    <row r="92" ht="15" customHeight="1">
      <c r="A92" t="inlineStr">
        <is>
          <t>A 30087-2025</t>
        </is>
      </c>
      <c r="B92" s="1" t="n">
        <v>45826</v>
      </c>
      <c r="C92" s="1" t="n">
        <v>46192</v>
      </c>
      <c r="D92" t="inlineStr">
        <is>
          <t>DALARNAS LÄN</t>
        </is>
      </c>
      <c r="E92" t="inlineStr">
        <is>
          <t>MORA</t>
        </is>
      </c>
      <c r="G92" t="n">
        <v>1.6</v>
      </c>
      <c r="H92" t="n">
        <v>1</v>
      </c>
      <c r="I92" t="n">
        <v>0</v>
      </c>
      <c r="J92" t="n">
        <v>0</v>
      </c>
      <c r="K92" t="n">
        <v>0</v>
      </c>
      <c r="L92" t="n">
        <v>0</v>
      </c>
      <c r="M92" t="n">
        <v>0</v>
      </c>
      <c r="N92" t="n">
        <v>0</v>
      </c>
      <c r="O92" t="n">
        <v>0</v>
      </c>
      <c r="P92" t="n">
        <v>0</v>
      </c>
      <c r="Q92" t="n">
        <v>1</v>
      </c>
      <c r="R92" s="2" t="inlineStr">
        <is>
          <t>Slaguggla</t>
        </is>
      </c>
      <c r="S92">
        <f>HYPERLINK("https://klasma.github.io/Logging_2062/artfynd/A 30087-2025 artfynd.xlsx", "A 30087-2025")</f>
        <v/>
      </c>
      <c r="T92">
        <f>HYPERLINK("https://klasma.github.io/Logging_2062/kartor/A 30087-2025 karta.png", "A 30087-2025")</f>
        <v/>
      </c>
      <c r="V92">
        <f>HYPERLINK("https://klasma.github.io/Logging_2062/klagomål/A 30087-2025 FSC-klagomål.docx", "A 30087-2025")</f>
        <v/>
      </c>
      <c r="W92">
        <f>HYPERLINK("https://klasma.github.io/Logging_2062/klagomålsmail/A 30087-2025 FSC-klagomål mail.docx", "A 30087-2025")</f>
        <v/>
      </c>
      <c r="X92">
        <f>HYPERLINK("https://klasma.github.io/Logging_2062/tillsyn/A 30087-2025 tillsynsbegäran.docx", "A 30087-2025")</f>
        <v/>
      </c>
      <c r="Y92">
        <f>HYPERLINK("https://klasma.github.io/Logging_2062/tillsynsmail/A 30087-2025 tillsynsbegäran mail.docx", "A 30087-2025")</f>
        <v/>
      </c>
      <c r="Z92">
        <f>HYPERLINK("https://klasma.github.io/Logging_2062/fåglar/A 30087-2025 prioriterade fågelarter.docx", "A 30087-2025")</f>
        <v/>
      </c>
    </row>
    <row r="93" ht="15" customHeight="1">
      <c r="A93" t="inlineStr">
        <is>
          <t>A 11463-2024</t>
        </is>
      </c>
      <c r="B93" s="1" t="n">
        <v>45372</v>
      </c>
      <c r="C93" s="1" t="n">
        <v>46192</v>
      </c>
      <c r="D93" t="inlineStr">
        <is>
          <t>DALARNAS LÄN</t>
        </is>
      </c>
      <c r="E93" t="inlineStr">
        <is>
          <t>MORA</t>
        </is>
      </c>
      <c r="F93" t="inlineStr">
        <is>
          <t>Bergvik skog väst AB</t>
        </is>
      </c>
      <c r="G93" t="n">
        <v>1.8</v>
      </c>
      <c r="H93" t="n">
        <v>0</v>
      </c>
      <c r="I93" t="n">
        <v>0</v>
      </c>
      <c r="J93" t="n">
        <v>1</v>
      </c>
      <c r="K93" t="n">
        <v>0</v>
      </c>
      <c r="L93" t="n">
        <v>0</v>
      </c>
      <c r="M93" t="n">
        <v>0</v>
      </c>
      <c r="N93" t="n">
        <v>0</v>
      </c>
      <c r="O93" t="n">
        <v>1</v>
      </c>
      <c r="P93" t="n">
        <v>0</v>
      </c>
      <c r="Q93" t="n">
        <v>1</v>
      </c>
      <c r="R93" s="2" t="inlineStr">
        <is>
          <t>Älg</t>
        </is>
      </c>
      <c r="S93">
        <f>HYPERLINK("https://klasma.github.io/Logging_2062/artfynd/A 11463-2024 artfynd.xlsx", "A 11463-2024")</f>
        <v/>
      </c>
      <c r="T93">
        <f>HYPERLINK("https://klasma.github.io/Logging_2062/kartor/A 11463-2024 karta.png", "A 11463-2024")</f>
        <v/>
      </c>
      <c r="V93">
        <f>HYPERLINK("https://klasma.github.io/Logging_2062/klagomål/A 11463-2024 FSC-klagomål.docx", "A 11463-2024")</f>
        <v/>
      </c>
      <c r="W93">
        <f>HYPERLINK("https://klasma.github.io/Logging_2062/klagomålsmail/A 11463-2024 FSC-klagomål mail.docx", "A 11463-2024")</f>
        <v/>
      </c>
      <c r="X93">
        <f>HYPERLINK("https://klasma.github.io/Logging_2062/tillsyn/A 11463-2024 tillsynsbegäran.docx", "A 11463-2024")</f>
        <v/>
      </c>
      <c r="Y93">
        <f>HYPERLINK("https://klasma.github.io/Logging_2062/tillsynsmail/A 11463-2024 tillsynsbegäran mail.docx", "A 11463-2024")</f>
        <v/>
      </c>
    </row>
    <row r="94" ht="15" customHeight="1">
      <c r="A94" t="inlineStr">
        <is>
          <t>A 18984-2026</t>
        </is>
      </c>
      <c r="B94" s="1" t="n">
        <v>46129</v>
      </c>
      <c r="C94" s="1" t="n">
        <v>46192</v>
      </c>
      <c r="D94" t="inlineStr">
        <is>
          <t>DALARNAS LÄN</t>
        </is>
      </c>
      <c r="E94" t="inlineStr">
        <is>
          <t>MORA</t>
        </is>
      </c>
      <c r="F94" t="inlineStr">
        <is>
          <t>Bergvik skog öst AB</t>
        </is>
      </c>
      <c r="G94" t="n">
        <v>9.5</v>
      </c>
      <c r="H94" t="n">
        <v>1</v>
      </c>
      <c r="I94" t="n">
        <v>0</v>
      </c>
      <c r="J94" t="n">
        <v>0</v>
      </c>
      <c r="K94" t="n">
        <v>0</v>
      </c>
      <c r="L94" t="n">
        <v>0</v>
      </c>
      <c r="M94" t="n">
        <v>0</v>
      </c>
      <c r="N94" t="n">
        <v>0</v>
      </c>
      <c r="O94" t="n">
        <v>0</v>
      </c>
      <c r="P94" t="n">
        <v>0</v>
      </c>
      <c r="Q94" t="n">
        <v>1</v>
      </c>
      <c r="R94" s="2" t="inlineStr">
        <is>
          <t>Tjäder</t>
        </is>
      </c>
      <c r="S94">
        <f>HYPERLINK("https://klasma.github.io/Logging_2062/artfynd/A 18984-2026 artfynd.xlsx", "A 18984-2026")</f>
        <v/>
      </c>
      <c r="T94">
        <f>HYPERLINK("https://klasma.github.io/Logging_2062/kartor/A 18984-2026 karta.png", "A 18984-2026")</f>
        <v/>
      </c>
      <c r="V94">
        <f>HYPERLINK("https://klasma.github.io/Logging_2062/klagomål/A 18984-2026 FSC-klagomål.docx", "A 18984-2026")</f>
        <v/>
      </c>
      <c r="W94">
        <f>HYPERLINK("https://klasma.github.io/Logging_2062/klagomålsmail/A 18984-2026 FSC-klagomål mail.docx", "A 18984-2026")</f>
        <v/>
      </c>
      <c r="X94">
        <f>HYPERLINK("https://klasma.github.io/Logging_2062/tillsyn/A 18984-2026 tillsynsbegäran.docx", "A 18984-2026")</f>
        <v/>
      </c>
      <c r="Y94">
        <f>HYPERLINK("https://klasma.github.io/Logging_2062/tillsynsmail/A 18984-2026 tillsynsbegäran mail.docx", "A 18984-2026")</f>
        <v/>
      </c>
      <c r="Z94">
        <f>HYPERLINK("https://klasma.github.io/Logging_2062/fåglar/A 18984-2026 prioriterade fågelarter.docx", "A 18984-2026")</f>
        <v/>
      </c>
    </row>
    <row r="95" ht="15" customHeight="1">
      <c r="A95" t="inlineStr">
        <is>
          <t>A 36038-2024</t>
        </is>
      </c>
      <c r="B95" s="1" t="n">
        <v>45533</v>
      </c>
      <c r="C95" s="1" t="n">
        <v>46192</v>
      </c>
      <c r="D95" t="inlineStr">
        <is>
          <t>DALARNAS LÄN</t>
        </is>
      </c>
      <c r="E95" t="inlineStr">
        <is>
          <t>MORA</t>
        </is>
      </c>
      <c r="G95" t="n">
        <v>5.1</v>
      </c>
      <c r="H95" t="n">
        <v>0</v>
      </c>
      <c r="I95" t="n">
        <v>0</v>
      </c>
      <c r="J95" t="n">
        <v>0</v>
      </c>
      <c r="K95" t="n">
        <v>1</v>
      </c>
      <c r="L95" t="n">
        <v>0</v>
      </c>
      <c r="M95" t="n">
        <v>0</v>
      </c>
      <c r="N95" t="n">
        <v>0</v>
      </c>
      <c r="O95" t="n">
        <v>1</v>
      </c>
      <c r="P95" t="n">
        <v>1</v>
      </c>
      <c r="Q95" t="n">
        <v>1</v>
      </c>
      <c r="R95" s="2" t="inlineStr">
        <is>
          <t>Garnlav</t>
        </is>
      </c>
      <c r="S95">
        <f>HYPERLINK("https://klasma.github.io/Logging_2062/artfynd/A 36038-2024 artfynd.xlsx", "A 36038-2024")</f>
        <v/>
      </c>
      <c r="T95">
        <f>HYPERLINK("https://klasma.github.io/Logging_2062/kartor/A 36038-2024 karta.png", "A 36038-2024")</f>
        <v/>
      </c>
      <c r="V95">
        <f>HYPERLINK("https://klasma.github.io/Logging_2062/klagomål/A 36038-2024 FSC-klagomål.docx", "A 36038-2024")</f>
        <v/>
      </c>
      <c r="W95">
        <f>HYPERLINK("https://klasma.github.io/Logging_2062/klagomålsmail/A 36038-2024 FSC-klagomål mail.docx", "A 36038-2024")</f>
        <v/>
      </c>
      <c r="X95">
        <f>HYPERLINK("https://klasma.github.io/Logging_2062/tillsyn/A 36038-2024 tillsynsbegäran.docx", "A 36038-2024")</f>
        <v/>
      </c>
      <c r="Y95">
        <f>HYPERLINK("https://klasma.github.io/Logging_2062/tillsynsmail/A 36038-2024 tillsynsbegäran mail.docx", "A 36038-2024")</f>
        <v/>
      </c>
    </row>
    <row r="96" ht="15" customHeight="1">
      <c r="A96" t="inlineStr">
        <is>
          <t>A 73930-2021</t>
        </is>
      </c>
      <c r="B96" s="1" t="n">
        <v>44553</v>
      </c>
      <c r="C96" s="1" t="n">
        <v>46192</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72648-2021</t>
        </is>
      </c>
      <c r="B97" s="1" t="n">
        <v>44546</v>
      </c>
      <c r="C97" s="1" t="n">
        <v>46192</v>
      </c>
      <c r="D97" t="inlineStr">
        <is>
          <t>DALARNAS LÄN</t>
        </is>
      </c>
      <c r="E97" t="inlineStr">
        <is>
          <t>MORA</t>
        </is>
      </c>
      <c r="G97" t="n">
        <v>0.2</v>
      </c>
      <c r="H97" t="n">
        <v>0</v>
      </c>
      <c r="I97" t="n">
        <v>0</v>
      </c>
      <c r="J97" t="n">
        <v>0</v>
      </c>
      <c r="K97" t="n">
        <v>0</v>
      </c>
      <c r="L97" t="n">
        <v>0</v>
      </c>
      <c r="M97" t="n">
        <v>0</v>
      </c>
      <c r="N97" t="n">
        <v>0</v>
      </c>
      <c r="O97" t="n">
        <v>0</v>
      </c>
      <c r="P97" t="n">
        <v>0</v>
      </c>
      <c r="Q97" t="n">
        <v>0</v>
      </c>
      <c r="R97" s="2" t="inlineStr"/>
    </row>
    <row r="98" ht="15" customHeight="1">
      <c r="A98" t="inlineStr">
        <is>
          <t>A 38651-2022</t>
        </is>
      </c>
      <c r="B98" s="1" t="n">
        <v>44813</v>
      </c>
      <c r="C98" s="1" t="n">
        <v>46192</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65253-2021</t>
        </is>
      </c>
      <c r="B99" s="1" t="n">
        <v>44515</v>
      </c>
      <c r="C99" s="1" t="n">
        <v>46192</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42668-2022</t>
        </is>
      </c>
      <c r="B100" s="1" t="n">
        <v>44832</v>
      </c>
      <c r="C100" s="1" t="n">
        <v>46192</v>
      </c>
      <c r="D100" t="inlineStr">
        <is>
          <t>DALARNAS LÄN</t>
        </is>
      </c>
      <c r="E100" t="inlineStr">
        <is>
          <t>MORA</t>
        </is>
      </c>
      <c r="G100" t="n">
        <v>0.7</v>
      </c>
      <c r="H100" t="n">
        <v>0</v>
      </c>
      <c r="I100" t="n">
        <v>0</v>
      </c>
      <c r="J100" t="n">
        <v>0</v>
      </c>
      <c r="K100" t="n">
        <v>0</v>
      </c>
      <c r="L100" t="n">
        <v>0</v>
      </c>
      <c r="M100" t="n">
        <v>0</v>
      </c>
      <c r="N100" t="n">
        <v>0</v>
      </c>
      <c r="O100" t="n">
        <v>0</v>
      </c>
      <c r="P100" t="n">
        <v>0</v>
      </c>
      <c r="Q100" t="n">
        <v>0</v>
      </c>
      <c r="R100" s="2" t="inlineStr"/>
    </row>
    <row r="101" ht="15" customHeight="1">
      <c r="A101" t="inlineStr">
        <is>
          <t>A 43944-2022</t>
        </is>
      </c>
      <c r="B101" s="1" t="n">
        <v>44838</v>
      </c>
      <c r="C101" s="1" t="n">
        <v>46192</v>
      </c>
      <c r="D101" t="inlineStr">
        <is>
          <t>DALARNAS LÄN</t>
        </is>
      </c>
      <c r="E101" t="inlineStr">
        <is>
          <t>MORA</t>
        </is>
      </c>
      <c r="F101" t="inlineStr">
        <is>
          <t>Bergvik skog öst AB</t>
        </is>
      </c>
      <c r="G101" t="n">
        <v>1.1</v>
      </c>
      <c r="H101" t="n">
        <v>0</v>
      </c>
      <c r="I101" t="n">
        <v>0</v>
      </c>
      <c r="J101" t="n">
        <v>0</v>
      </c>
      <c r="K101" t="n">
        <v>0</v>
      </c>
      <c r="L101" t="n">
        <v>0</v>
      </c>
      <c r="M101" t="n">
        <v>0</v>
      </c>
      <c r="N101" t="n">
        <v>0</v>
      </c>
      <c r="O101" t="n">
        <v>0</v>
      </c>
      <c r="P101" t="n">
        <v>0</v>
      </c>
      <c r="Q101" t="n">
        <v>0</v>
      </c>
      <c r="R101" s="2" t="inlineStr"/>
    </row>
    <row r="102" ht="15" customHeight="1">
      <c r="A102" t="inlineStr">
        <is>
          <t>A 42505-2021</t>
        </is>
      </c>
      <c r="B102" s="1" t="n">
        <v>44427</v>
      </c>
      <c r="C102" s="1" t="n">
        <v>46192</v>
      </c>
      <c r="D102" t="inlineStr">
        <is>
          <t>DALARNAS LÄN</t>
        </is>
      </c>
      <c r="E102" t="inlineStr">
        <is>
          <t>MORA</t>
        </is>
      </c>
      <c r="G102" t="n">
        <v>0.9</v>
      </c>
      <c r="H102" t="n">
        <v>0</v>
      </c>
      <c r="I102" t="n">
        <v>0</v>
      </c>
      <c r="J102" t="n">
        <v>0</v>
      </c>
      <c r="K102" t="n">
        <v>0</v>
      </c>
      <c r="L102" t="n">
        <v>0</v>
      </c>
      <c r="M102" t="n">
        <v>0</v>
      </c>
      <c r="N102" t="n">
        <v>0</v>
      </c>
      <c r="O102" t="n">
        <v>0</v>
      </c>
      <c r="P102" t="n">
        <v>0</v>
      </c>
      <c r="Q102" t="n">
        <v>0</v>
      </c>
      <c r="R102" s="2" t="inlineStr"/>
    </row>
    <row r="103" ht="15" customHeight="1">
      <c r="A103" t="inlineStr">
        <is>
          <t>A 50620-2021</t>
        </is>
      </c>
      <c r="B103" s="1" t="n">
        <v>44459</v>
      </c>
      <c r="C103" s="1" t="n">
        <v>46192</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6574-2022</t>
        </is>
      </c>
      <c r="B104" s="1" t="n">
        <v>44601</v>
      </c>
      <c r="C104" s="1" t="n">
        <v>46192</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21273-2022</t>
        </is>
      </c>
      <c r="B105" s="1" t="n">
        <v>44705</v>
      </c>
      <c r="C105" s="1" t="n">
        <v>46192</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41022-2021</t>
        </is>
      </c>
      <c r="B106" s="1" t="n">
        <v>44421</v>
      </c>
      <c r="C106" s="1" t="n">
        <v>46192</v>
      </c>
      <c r="D106" t="inlineStr">
        <is>
          <t>DALARNAS LÄN</t>
        </is>
      </c>
      <c r="E106" t="inlineStr">
        <is>
          <t>MORA</t>
        </is>
      </c>
      <c r="G106" t="n">
        <v>11.9</v>
      </c>
      <c r="H106" t="n">
        <v>0</v>
      </c>
      <c r="I106" t="n">
        <v>0</v>
      </c>
      <c r="J106" t="n">
        <v>0</v>
      </c>
      <c r="K106" t="n">
        <v>0</v>
      </c>
      <c r="L106" t="n">
        <v>0</v>
      </c>
      <c r="M106" t="n">
        <v>0</v>
      </c>
      <c r="N106" t="n">
        <v>0</v>
      </c>
      <c r="O106" t="n">
        <v>0</v>
      </c>
      <c r="P106" t="n">
        <v>0</v>
      </c>
      <c r="Q106" t="n">
        <v>0</v>
      </c>
      <c r="R106" s="2" t="inlineStr"/>
    </row>
    <row r="107" ht="15" customHeight="1">
      <c r="A107" t="inlineStr">
        <is>
          <t>A 49583-2021</t>
        </is>
      </c>
      <c r="B107" s="1" t="n">
        <v>44455</v>
      </c>
      <c r="C107" s="1" t="n">
        <v>46192</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46192</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v>
      </c>
      <c r="C109" s="1" t="n">
        <v>46192</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v>
      </c>
      <c r="C110" s="1" t="n">
        <v>46192</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46192</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46192</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46402-2022</t>
        </is>
      </c>
      <c r="B113" s="1" t="n">
        <v>44848</v>
      </c>
      <c r="C113" s="1" t="n">
        <v>46192</v>
      </c>
      <c r="D113" t="inlineStr">
        <is>
          <t>DALARNAS LÄN</t>
        </is>
      </c>
      <c r="E113" t="inlineStr">
        <is>
          <t>MORA</t>
        </is>
      </c>
      <c r="G113" t="n">
        <v>0.9</v>
      </c>
      <c r="H113" t="n">
        <v>0</v>
      </c>
      <c r="I113" t="n">
        <v>0</v>
      </c>
      <c r="J113" t="n">
        <v>0</v>
      </c>
      <c r="K113" t="n">
        <v>0</v>
      </c>
      <c r="L113" t="n">
        <v>0</v>
      </c>
      <c r="M113" t="n">
        <v>0</v>
      </c>
      <c r="N113" t="n">
        <v>0</v>
      </c>
      <c r="O113" t="n">
        <v>0</v>
      </c>
      <c r="P113" t="n">
        <v>0</v>
      </c>
      <c r="Q113" t="n">
        <v>0</v>
      </c>
      <c r="R113" s="2" t="inlineStr"/>
    </row>
    <row r="114" ht="15" customHeight="1">
      <c r="A114" t="inlineStr">
        <is>
          <t>A 45238-2022</t>
        </is>
      </c>
      <c r="B114" s="1" t="n">
        <v>44844</v>
      </c>
      <c r="C114" s="1" t="n">
        <v>46192</v>
      </c>
      <c r="D114" t="inlineStr">
        <is>
          <t>DALARNAS LÄN</t>
        </is>
      </c>
      <c r="E114" t="inlineStr">
        <is>
          <t>MORA</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31705-2021</t>
        </is>
      </c>
      <c r="B115" s="1" t="n">
        <v>44369</v>
      </c>
      <c r="C115" s="1" t="n">
        <v>46192</v>
      </c>
      <c r="D115" t="inlineStr">
        <is>
          <t>DALARNAS LÄN</t>
        </is>
      </c>
      <c r="E115" t="inlineStr">
        <is>
          <t>MORA</t>
        </is>
      </c>
      <c r="G115" t="n">
        <v>0.2</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46192</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46192</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46192</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v>
      </c>
      <c r="C119" s="1" t="n">
        <v>46192</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46192</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v>
      </c>
      <c r="C121" s="1" t="n">
        <v>46192</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v>
      </c>
      <c r="C122" s="1" t="n">
        <v>46192</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46192</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v>
      </c>
      <c r="C124" s="1" t="n">
        <v>46192</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v>
      </c>
      <c r="C125" s="1" t="n">
        <v>46192</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v>
      </c>
      <c r="C126" s="1" t="n">
        <v>46192</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v>
      </c>
      <c r="C127" s="1" t="n">
        <v>46192</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46192</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46192</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v>
      </c>
      <c r="C130" s="1" t="n">
        <v>46192</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46192</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46192</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v>
      </c>
      <c r="C133" s="1" t="n">
        <v>46192</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46192</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24393-2022</t>
        </is>
      </c>
      <c r="B135" s="1" t="n">
        <v>44726</v>
      </c>
      <c r="C135" s="1" t="n">
        <v>46192</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4488-2022</t>
        </is>
      </c>
      <c r="B136" s="1" t="n">
        <v>44589</v>
      </c>
      <c r="C136" s="1" t="n">
        <v>46192</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71702-2021</t>
        </is>
      </c>
      <c r="B137" s="1" t="n">
        <v>44543</v>
      </c>
      <c r="C137" s="1" t="n">
        <v>46192</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38627-2023</t>
        </is>
      </c>
      <c r="B138" s="1" t="n">
        <v>45162</v>
      </c>
      <c r="C138" s="1" t="n">
        <v>46192</v>
      </c>
      <c r="D138" t="inlineStr">
        <is>
          <t>DALARNAS LÄN</t>
        </is>
      </c>
      <c r="E138" t="inlineStr">
        <is>
          <t>MORA</t>
        </is>
      </c>
      <c r="G138" t="n">
        <v>6.5</v>
      </c>
      <c r="H138" t="n">
        <v>0</v>
      </c>
      <c r="I138" t="n">
        <v>0</v>
      </c>
      <c r="J138" t="n">
        <v>0</v>
      </c>
      <c r="K138" t="n">
        <v>0</v>
      </c>
      <c r="L138" t="n">
        <v>0</v>
      </c>
      <c r="M138" t="n">
        <v>0</v>
      </c>
      <c r="N138" t="n">
        <v>0</v>
      </c>
      <c r="O138" t="n">
        <v>0</v>
      </c>
      <c r="P138" t="n">
        <v>0</v>
      </c>
      <c r="Q138" t="n">
        <v>0</v>
      </c>
      <c r="R138" s="2" t="inlineStr"/>
    </row>
    <row r="139" ht="15" customHeight="1">
      <c r="A139" t="inlineStr">
        <is>
          <t>A 64088-2023</t>
        </is>
      </c>
      <c r="B139" s="1" t="n">
        <v>45279</v>
      </c>
      <c r="C139" s="1" t="n">
        <v>46192</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v>
      </c>
      <c r="C140" s="1" t="n">
        <v>46192</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v>
      </c>
      <c r="C141" s="1" t="n">
        <v>46192</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35287-2024</t>
        </is>
      </c>
      <c r="B142" s="1" t="n">
        <v>45530</v>
      </c>
      <c r="C142" s="1" t="n">
        <v>46192</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2830-2023</t>
        </is>
      </c>
      <c r="B143" s="1" t="n">
        <v>44945</v>
      </c>
      <c r="C143" s="1" t="n">
        <v>46192</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43566-2023</t>
        </is>
      </c>
      <c r="B144" s="1" t="n">
        <v>45184</v>
      </c>
      <c r="C144" s="1" t="n">
        <v>46192</v>
      </c>
      <c r="D144" t="inlineStr">
        <is>
          <t>DALARNAS LÄN</t>
        </is>
      </c>
      <c r="E144" t="inlineStr">
        <is>
          <t>MORA</t>
        </is>
      </c>
      <c r="F144" t="inlineStr">
        <is>
          <t>Bergvik skog väst AB</t>
        </is>
      </c>
      <c r="G144" t="n">
        <v>4.3</v>
      </c>
      <c r="H144" t="n">
        <v>0</v>
      </c>
      <c r="I144" t="n">
        <v>0</v>
      </c>
      <c r="J144" t="n">
        <v>0</v>
      </c>
      <c r="K144" t="n">
        <v>0</v>
      </c>
      <c r="L144" t="n">
        <v>0</v>
      </c>
      <c r="M144" t="n">
        <v>0</v>
      </c>
      <c r="N144" t="n">
        <v>0</v>
      </c>
      <c r="O144" t="n">
        <v>0</v>
      </c>
      <c r="P144" t="n">
        <v>0</v>
      </c>
      <c r="Q144" t="n">
        <v>0</v>
      </c>
      <c r="R144" s="2" t="inlineStr"/>
    </row>
    <row r="145" ht="15" customHeight="1">
      <c r="A145" t="inlineStr">
        <is>
          <t>A 34927-2022</t>
        </is>
      </c>
      <c r="B145" s="1" t="n">
        <v>44796</v>
      </c>
      <c r="C145" s="1" t="n">
        <v>46192</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48456-2022</t>
        </is>
      </c>
      <c r="B146" s="1" t="n">
        <v>44858</v>
      </c>
      <c r="C146" s="1" t="n">
        <v>46192</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8068-2024</t>
        </is>
      </c>
      <c r="B147" s="1" t="n">
        <v>45351</v>
      </c>
      <c r="C147" s="1" t="n">
        <v>46192</v>
      </c>
      <c r="D147" t="inlineStr">
        <is>
          <t>DALARNAS LÄN</t>
        </is>
      </c>
      <c r="E147" t="inlineStr">
        <is>
          <t>MORA</t>
        </is>
      </c>
      <c r="G147" t="n">
        <v>6.4</v>
      </c>
      <c r="H147" t="n">
        <v>0</v>
      </c>
      <c r="I147" t="n">
        <v>0</v>
      </c>
      <c r="J147" t="n">
        <v>0</v>
      </c>
      <c r="K147" t="n">
        <v>0</v>
      </c>
      <c r="L147" t="n">
        <v>0</v>
      </c>
      <c r="M147" t="n">
        <v>0</v>
      </c>
      <c r="N147" t="n">
        <v>0</v>
      </c>
      <c r="O147" t="n">
        <v>0</v>
      </c>
      <c r="P147" t="n">
        <v>0</v>
      </c>
      <c r="Q147" t="n">
        <v>0</v>
      </c>
      <c r="R147" s="2" t="inlineStr"/>
    </row>
    <row r="148" ht="15" customHeight="1">
      <c r="A148" t="inlineStr">
        <is>
          <t>A 8100-2024</t>
        </is>
      </c>
      <c r="B148" s="1" t="n">
        <v>45351</v>
      </c>
      <c r="C148" s="1" t="n">
        <v>46192</v>
      </c>
      <c r="D148" t="inlineStr">
        <is>
          <t>DALARNAS LÄN</t>
        </is>
      </c>
      <c r="E148" t="inlineStr">
        <is>
          <t>MORA</t>
        </is>
      </c>
      <c r="G148" t="n">
        <v>3.2</v>
      </c>
      <c r="H148" t="n">
        <v>0</v>
      </c>
      <c r="I148" t="n">
        <v>0</v>
      </c>
      <c r="J148" t="n">
        <v>0</v>
      </c>
      <c r="K148" t="n">
        <v>0</v>
      </c>
      <c r="L148" t="n">
        <v>0</v>
      </c>
      <c r="M148" t="n">
        <v>0</v>
      </c>
      <c r="N148" t="n">
        <v>0</v>
      </c>
      <c r="O148" t="n">
        <v>0</v>
      </c>
      <c r="P148" t="n">
        <v>0</v>
      </c>
      <c r="Q148" t="n">
        <v>0</v>
      </c>
      <c r="R148" s="2" t="inlineStr"/>
    </row>
    <row r="149" ht="15" customHeight="1">
      <c r="A149" t="inlineStr">
        <is>
          <t>A 37771-2022</t>
        </is>
      </c>
      <c r="B149" s="1" t="n">
        <v>44810</v>
      </c>
      <c r="C149" s="1" t="n">
        <v>46192</v>
      </c>
      <c r="D149" t="inlineStr">
        <is>
          <t>DALARNAS LÄN</t>
        </is>
      </c>
      <c r="E149" t="inlineStr">
        <is>
          <t>MORA</t>
        </is>
      </c>
      <c r="G149" t="n">
        <v>0.9</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46192</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14744-2022</t>
        </is>
      </c>
      <c r="B151" s="1" t="n">
        <v>44656</v>
      </c>
      <c r="C151" s="1" t="n">
        <v>46192</v>
      </c>
      <c r="D151" t="inlineStr">
        <is>
          <t>DALARNAS LÄN</t>
        </is>
      </c>
      <c r="E151" t="inlineStr">
        <is>
          <t>MORA</t>
        </is>
      </c>
      <c r="G151" t="n">
        <v>1.9</v>
      </c>
      <c r="H151" t="n">
        <v>0</v>
      </c>
      <c r="I151" t="n">
        <v>0</v>
      </c>
      <c r="J151" t="n">
        <v>0</v>
      </c>
      <c r="K151" t="n">
        <v>0</v>
      </c>
      <c r="L151" t="n">
        <v>0</v>
      </c>
      <c r="M151" t="n">
        <v>0</v>
      </c>
      <c r="N151" t="n">
        <v>0</v>
      </c>
      <c r="O151" t="n">
        <v>0</v>
      </c>
      <c r="P151" t="n">
        <v>0</v>
      </c>
      <c r="Q151" t="n">
        <v>0</v>
      </c>
      <c r="R151" s="2" t="inlineStr"/>
    </row>
    <row r="152" ht="15" customHeight="1">
      <c r="A152" t="inlineStr">
        <is>
          <t>A 8546-2022</t>
        </is>
      </c>
      <c r="B152" s="1" t="n">
        <v>44613</v>
      </c>
      <c r="C152" s="1" t="n">
        <v>46192</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46091-2025</t>
        </is>
      </c>
      <c r="B153" s="1" t="n">
        <v>45924</v>
      </c>
      <c r="C153" s="1" t="n">
        <v>46192</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59101-2024</t>
        </is>
      </c>
      <c r="B154" s="1" t="n">
        <v>45637</v>
      </c>
      <c r="C154" s="1" t="n">
        <v>46192</v>
      </c>
      <c r="D154" t="inlineStr">
        <is>
          <t>DALARNAS LÄN</t>
        </is>
      </c>
      <c r="E154" t="inlineStr">
        <is>
          <t>MORA</t>
        </is>
      </c>
      <c r="F154" t="inlineStr">
        <is>
          <t>Allmännings- och besparingsskogar</t>
        </is>
      </c>
      <c r="G154" t="n">
        <v>1.2</v>
      </c>
      <c r="H154" t="n">
        <v>0</v>
      </c>
      <c r="I154" t="n">
        <v>0</v>
      </c>
      <c r="J154" t="n">
        <v>0</v>
      </c>
      <c r="K154" t="n">
        <v>0</v>
      </c>
      <c r="L154" t="n">
        <v>0</v>
      </c>
      <c r="M154" t="n">
        <v>0</v>
      </c>
      <c r="N154" t="n">
        <v>0</v>
      </c>
      <c r="O154" t="n">
        <v>0</v>
      </c>
      <c r="P154" t="n">
        <v>0</v>
      </c>
      <c r="Q154" t="n">
        <v>0</v>
      </c>
      <c r="R154" s="2" t="inlineStr"/>
    </row>
    <row r="155" ht="15" customHeight="1">
      <c r="A155" t="inlineStr">
        <is>
          <t>A 46283-2025</t>
        </is>
      </c>
      <c r="B155" s="1" t="n">
        <v>45925</v>
      </c>
      <c r="C155" s="1" t="n">
        <v>46192</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5491-2023</t>
        </is>
      </c>
      <c r="B156" s="1" t="n">
        <v>44957</v>
      </c>
      <c r="C156" s="1" t="n">
        <v>46192</v>
      </c>
      <c r="D156" t="inlineStr">
        <is>
          <t>DALARNAS LÄN</t>
        </is>
      </c>
      <c r="E156" t="inlineStr">
        <is>
          <t>MORA</t>
        </is>
      </c>
      <c r="G156" t="n">
        <v>3.5</v>
      </c>
      <c r="H156" t="n">
        <v>0</v>
      </c>
      <c r="I156" t="n">
        <v>0</v>
      </c>
      <c r="J156" t="n">
        <v>0</v>
      </c>
      <c r="K156" t="n">
        <v>0</v>
      </c>
      <c r="L156" t="n">
        <v>0</v>
      </c>
      <c r="M156" t="n">
        <v>0</v>
      </c>
      <c r="N156" t="n">
        <v>0</v>
      </c>
      <c r="O156" t="n">
        <v>0</v>
      </c>
      <c r="P156" t="n">
        <v>0</v>
      </c>
      <c r="Q156" t="n">
        <v>0</v>
      </c>
      <c r="R156" s="2" t="inlineStr"/>
    </row>
    <row r="157" ht="15" customHeight="1">
      <c r="A157" t="inlineStr">
        <is>
          <t>A 5493-2023</t>
        </is>
      </c>
      <c r="B157" s="1" t="n">
        <v>44957</v>
      </c>
      <c r="C157" s="1" t="n">
        <v>46192</v>
      </c>
      <c r="D157" t="inlineStr">
        <is>
          <t>DALARNAS LÄN</t>
        </is>
      </c>
      <c r="E157" t="inlineStr">
        <is>
          <t>MORA</t>
        </is>
      </c>
      <c r="F157" t="inlineStr">
        <is>
          <t>Allmännings- och besparingsskogar</t>
        </is>
      </c>
      <c r="G157" t="n">
        <v>14.9</v>
      </c>
      <c r="H157" t="n">
        <v>0</v>
      </c>
      <c r="I157" t="n">
        <v>0</v>
      </c>
      <c r="J157" t="n">
        <v>0</v>
      </c>
      <c r="K157" t="n">
        <v>0</v>
      </c>
      <c r="L157" t="n">
        <v>0</v>
      </c>
      <c r="M157" t="n">
        <v>0</v>
      </c>
      <c r="N157" t="n">
        <v>0</v>
      </c>
      <c r="O157" t="n">
        <v>0</v>
      </c>
      <c r="P157" t="n">
        <v>0</v>
      </c>
      <c r="Q157" t="n">
        <v>0</v>
      </c>
      <c r="R157" s="2" t="inlineStr"/>
    </row>
    <row r="158" ht="15" customHeight="1">
      <c r="A158" t="inlineStr">
        <is>
          <t>A 5418-2025</t>
        </is>
      </c>
      <c r="B158" s="1" t="n">
        <v>45692</v>
      </c>
      <c r="C158" s="1" t="n">
        <v>46192</v>
      </c>
      <c r="D158" t="inlineStr">
        <is>
          <t>DALARNAS LÄN</t>
        </is>
      </c>
      <c r="E158" t="inlineStr">
        <is>
          <t>MORA</t>
        </is>
      </c>
      <c r="G158" t="n">
        <v>0.9</v>
      </c>
      <c r="H158" t="n">
        <v>0</v>
      </c>
      <c r="I158" t="n">
        <v>0</v>
      </c>
      <c r="J158" t="n">
        <v>0</v>
      </c>
      <c r="K158" t="n">
        <v>0</v>
      </c>
      <c r="L158" t="n">
        <v>0</v>
      </c>
      <c r="M158" t="n">
        <v>0</v>
      </c>
      <c r="N158" t="n">
        <v>0</v>
      </c>
      <c r="O158" t="n">
        <v>0</v>
      </c>
      <c r="P158" t="n">
        <v>0</v>
      </c>
      <c r="Q158" t="n">
        <v>0</v>
      </c>
      <c r="R158" s="2" t="inlineStr"/>
    </row>
    <row r="159" ht="15" customHeight="1">
      <c r="A159" t="inlineStr">
        <is>
          <t>A 17176-2025</t>
        </is>
      </c>
      <c r="B159" s="1" t="n">
        <v>45756</v>
      </c>
      <c r="C159" s="1" t="n">
        <v>46192</v>
      </c>
      <c r="D159" t="inlineStr">
        <is>
          <t>DALARNAS LÄN</t>
        </is>
      </c>
      <c r="E159" t="inlineStr">
        <is>
          <t>MORA</t>
        </is>
      </c>
      <c r="F159" t="inlineStr">
        <is>
          <t>Bergvik skog öst AB</t>
        </is>
      </c>
      <c r="G159" t="n">
        <v>1.7</v>
      </c>
      <c r="H159" t="n">
        <v>0</v>
      </c>
      <c r="I159" t="n">
        <v>0</v>
      </c>
      <c r="J159" t="n">
        <v>0</v>
      </c>
      <c r="K159" t="n">
        <v>0</v>
      </c>
      <c r="L159" t="n">
        <v>0</v>
      </c>
      <c r="M159" t="n">
        <v>0</v>
      </c>
      <c r="N159" t="n">
        <v>0</v>
      </c>
      <c r="O159" t="n">
        <v>0</v>
      </c>
      <c r="P159" t="n">
        <v>0</v>
      </c>
      <c r="Q159" t="n">
        <v>0</v>
      </c>
      <c r="R159" s="2" t="inlineStr"/>
    </row>
    <row r="160" ht="15" customHeight="1">
      <c r="A160" t="inlineStr">
        <is>
          <t>A 48825-2023</t>
        </is>
      </c>
      <c r="B160" s="1" t="n">
        <v>45203</v>
      </c>
      <c r="C160" s="1" t="n">
        <v>46192</v>
      </c>
      <c r="D160" t="inlineStr">
        <is>
          <t>DALARNAS LÄN</t>
        </is>
      </c>
      <c r="E160" t="inlineStr">
        <is>
          <t>MORA</t>
        </is>
      </c>
      <c r="G160" t="n">
        <v>7.9</v>
      </c>
      <c r="H160" t="n">
        <v>0</v>
      </c>
      <c r="I160" t="n">
        <v>0</v>
      </c>
      <c r="J160" t="n">
        <v>0</v>
      </c>
      <c r="K160" t="n">
        <v>0</v>
      </c>
      <c r="L160" t="n">
        <v>0</v>
      </c>
      <c r="M160" t="n">
        <v>0</v>
      </c>
      <c r="N160" t="n">
        <v>0</v>
      </c>
      <c r="O160" t="n">
        <v>0</v>
      </c>
      <c r="P160" t="n">
        <v>0</v>
      </c>
      <c r="Q160" t="n">
        <v>0</v>
      </c>
      <c r="R160" s="2" t="inlineStr"/>
    </row>
    <row r="161" ht="15" customHeight="1">
      <c r="A161" t="inlineStr">
        <is>
          <t>A 11442-2022</t>
        </is>
      </c>
      <c r="B161" s="1" t="n">
        <v>44630</v>
      </c>
      <c r="C161" s="1" t="n">
        <v>46192</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52525-2022</t>
        </is>
      </c>
      <c r="B162" s="1" t="n">
        <v>44874</v>
      </c>
      <c r="C162" s="1" t="n">
        <v>46192</v>
      </c>
      <c r="D162" t="inlineStr">
        <is>
          <t>DALARNAS LÄN</t>
        </is>
      </c>
      <c r="E162" t="inlineStr">
        <is>
          <t>MORA</t>
        </is>
      </c>
      <c r="F162" t="inlineStr">
        <is>
          <t>Bergvik skog öst AB</t>
        </is>
      </c>
      <c r="G162" t="n">
        <v>0.9</v>
      </c>
      <c r="H162" t="n">
        <v>0</v>
      </c>
      <c r="I162" t="n">
        <v>0</v>
      </c>
      <c r="J162" t="n">
        <v>0</v>
      </c>
      <c r="K162" t="n">
        <v>0</v>
      </c>
      <c r="L162" t="n">
        <v>0</v>
      </c>
      <c r="M162" t="n">
        <v>0</v>
      </c>
      <c r="N162" t="n">
        <v>0</v>
      </c>
      <c r="O162" t="n">
        <v>0</v>
      </c>
      <c r="P162" t="n">
        <v>0</v>
      </c>
      <c r="Q162" t="n">
        <v>0</v>
      </c>
      <c r="R162" s="2" t="inlineStr"/>
    </row>
    <row r="163" ht="15" customHeight="1">
      <c r="A163" t="inlineStr">
        <is>
          <t>A 48390-2024</t>
        </is>
      </c>
      <c r="B163" s="1" t="n">
        <v>45590</v>
      </c>
      <c r="C163" s="1" t="n">
        <v>46192</v>
      </c>
      <c r="D163" t="inlineStr">
        <is>
          <t>DALARNAS LÄN</t>
        </is>
      </c>
      <c r="E163" t="inlineStr">
        <is>
          <t>MORA</t>
        </is>
      </c>
      <c r="G163" t="n">
        <v>5</v>
      </c>
      <c r="H163" t="n">
        <v>0</v>
      </c>
      <c r="I163" t="n">
        <v>0</v>
      </c>
      <c r="J163" t="n">
        <v>0</v>
      </c>
      <c r="K163" t="n">
        <v>0</v>
      </c>
      <c r="L163" t="n">
        <v>0</v>
      </c>
      <c r="M163" t="n">
        <v>0</v>
      </c>
      <c r="N163" t="n">
        <v>0</v>
      </c>
      <c r="O163" t="n">
        <v>0</v>
      </c>
      <c r="P163" t="n">
        <v>0</v>
      </c>
      <c r="Q163" t="n">
        <v>0</v>
      </c>
      <c r="R163" s="2" t="inlineStr"/>
    </row>
    <row r="164" ht="15" customHeight="1">
      <c r="A164" t="inlineStr">
        <is>
          <t>A 47055-2025</t>
        </is>
      </c>
      <c r="B164" s="1" t="n">
        <v>45929</v>
      </c>
      <c r="C164" s="1" t="n">
        <v>46192</v>
      </c>
      <c r="D164" t="inlineStr">
        <is>
          <t>DALARNAS LÄN</t>
        </is>
      </c>
      <c r="E164" t="inlineStr">
        <is>
          <t>MORA</t>
        </is>
      </c>
      <c r="G164" t="n">
        <v>28.1</v>
      </c>
      <c r="H164" t="n">
        <v>0</v>
      </c>
      <c r="I164" t="n">
        <v>0</v>
      </c>
      <c r="J164" t="n">
        <v>0</v>
      </c>
      <c r="K164" t="n">
        <v>0</v>
      </c>
      <c r="L164" t="n">
        <v>0</v>
      </c>
      <c r="M164" t="n">
        <v>0</v>
      </c>
      <c r="N164" t="n">
        <v>0</v>
      </c>
      <c r="O164" t="n">
        <v>0</v>
      </c>
      <c r="P164" t="n">
        <v>0</v>
      </c>
      <c r="Q164" t="n">
        <v>0</v>
      </c>
      <c r="R164" s="2" t="inlineStr"/>
    </row>
    <row r="165" ht="15" customHeight="1">
      <c r="A165" t="inlineStr">
        <is>
          <t>A 47072-2025</t>
        </is>
      </c>
      <c r="B165" s="1" t="n">
        <v>45929</v>
      </c>
      <c r="C165" s="1" t="n">
        <v>46192</v>
      </c>
      <c r="D165" t="inlineStr">
        <is>
          <t>DALARNAS LÄN</t>
        </is>
      </c>
      <c r="E165" t="inlineStr">
        <is>
          <t>MORA</t>
        </is>
      </c>
      <c r="G165" t="n">
        <v>3.4</v>
      </c>
      <c r="H165" t="n">
        <v>0</v>
      </c>
      <c r="I165" t="n">
        <v>0</v>
      </c>
      <c r="J165" t="n">
        <v>0</v>
      </c>
      <c r="K165" t="n">
        <v>0</v>
      </c>
      <c r="L165" t="n">
        <v>0</v>
      </c>
      <c r="M165" t="n">
        <v>0</v>
      </c>
      <c r="N165" t="n">
        <v>0</v>
      </c>
      <c r="O165" t="n">
        <v>0</v>
      </c>
      <c r="P165" t="n">
        <v>0</v>
      </c>
      <c r="Q165" t="n">
        <v>0</v>
      </c>
      <c r="R165" s="2" t="inlineStr"/>
    </row>
    <row r="166" ht="15" customHeight="1">
      <c r="A166" t="inlineStr">
        <is>
          <t>A 29193-2023</t>
        </is>
      </c>
      <c r="B166" s="1" t="n">
        <v>45105</v>
      </c>
      <c r="C166" s="1" t="n">
        <v>46192</v>
      </c>
      <c r="D166" t="inlineStr">
        <is>
          <t>DALARNAS LÄN</t>
        </is>
      </c>
      <c r="E166" t="inlineStr">
        <is>
          <t>MORA</t>
        </is>
      </c>
      <c r="G166" t="n">
        <v>0.4</v>
      </c>
      <c r="H166" t="n">
        <v>0</v>
      </c>
      <c r="I166" t="n">
        <v>0</v>
      </c>
      <c r="J166" t="n">
        <v>0</v>
      </c>
      <c r="K166" t="n">
        <v>0</v>
      </c>
      <c r="L166" t="n">
        <v>0</v>
      </c>
      <c r="M166" t="n">
        <v>0</v>
      </c>
      <c r="N166" t="n">
        <v>0</v>
      </c>
      <c r="O166" t="n">
        <v>0</v>
      </c>
      <c r="P166" t="n">
        <v>0</v>
      </c>
      <c r="Q166" t="n">
        <v>0</v>
      </c>
      <c r="R166" s="2" t="inlineStr"/>
    </row>
    <row r="167" ht="15" customHeight="1">
      <c r="A167" t="inlineStr">
        <is>
          <t>A 18444-2024</t>
        </is>
      </c>
      <c r="B167" s="1" t="n">
        <v>45425</v>
      </c>
      <c r="C167" s="1" t="n">
        <v>46192</v>
      </c>
      <c r="D167" t="inlineStr">
        <is>
          <t>DALARNAS LÄN</t>
        </is>
      </c>
      <c r="E167" t="inlineStr">
        <is>
          <t>MORA</t>
        </is>
      </c>
      <c r="G167" t="n">
        <v>5</v>
      </c>
      <c r="H167" t="n">
        <v>0</v>
      </c>
      <c r="I167" t="n">
        <v>0</v>
      </c>
      <c r="J167" t="n">
        <v>0</v>
      </c>
      <c r="K167" t="n">
        <v>0</v>
      </c>
      <c r="L167" t="n">
        <v>0</v>
      </c>
      <c r="M167" t="n">
        <v>0</v>
      </c>
      <c r="N167" t="n">
        <v>0</v>
      </c>
      <c r="O167" t="n">
        <v>0</v>
      </c>
      <c r="P167" t="n">
        <v>0</v>
      </c>
      <c r="Q167" t="n">
        <v>0</v>
      </c>
      <c r="R167" s="2" t="inlineStr"/>
    </row>
    <row r="168" ht="15" customHeight="1">
      <c r="A168" t="inlineStr">
        <is>
          <t>A 43874-2024</t>
        </is>
      </c>
      <c r="B168" s="1" t="n">
        <v>45572</v>
      </c>
      <c r="C168" s="1" t="n">
        <v>46192</v>
      </c>
      <c r="D168" t="inlineStr">
        <is>
          <t>DALARNAS LÄN</t>
        </is>
      </c>
      <c r="E168" t="inlineStr">
        <is>
          <t>MORA</t>
        </is>
      </c>
      <c r="G168" t="n">
        <v>3.6</v>
      </c>
      <c r="H168" t="n">
        <v>0</v>
      </c>
      <c r="I168" t="n">
        <v>0</v>
      </c>
      <c r="J168" t="n">
        <v>0</v>
      </c>
      <c r="K168" t="n">
        <v>0</v>
      </c>
      <c r="L168" t="n">
        <v>0</v>
      </c>
      <c r="M168" t="n">
        <v>0</v>
      </c>
      <c r="N168" t="n">
        <v>0</v>
      </c>
      <c r="O168" t="n">
        <v>0</v>
      </c>
      <c r="P168" t="n">
        <v>0</v>
      </c>
      <c r="Q168" t="n">
        <v>0</v>
      </c>
      <c r="R168" s="2" t="inlineStr"/>
    </row>
    <row r="169" ht="15" customHeight="1">
      <c r="A169" t="inlineStr">
        <is>
          <t>A 47414-2025</t>
        </is>
      </c>
      <c r="B169" s="1" t="n">
        <v>45930</v>
      </c>
      <c r="C169" s="1" t="n">
        <v>46192</v>
      </c>
      <c r="D169" t="inlineStr">
        <is>
          <t>DALARNAS LÄN</t>
        </is>
      </c>
      <c r="E169" t="inlineStr">
        <is>
          <t>MORA</t>
        </is>
      </c>
      <c r="G169" t="n">
        <v>6.1</v>
      </c>
      <c r="H169" t="n">
        <v>0</v>
      </c>
      <c r="I169" t="n">
        <v>0</v>
      </c>
      <c r="J169" t="n">
        <v>0</v>
      </c>
      <c r="K169" t="n">
        <v>0</v>
      </c>
      <c r="L169" t="n">
        <v>0</v>
      </c>
      <c r="M169" t="n">
        <v>0</v>
      </c>
      <c r="N169" t="n">
        <v>0</v>
      </c>
      <c r="O169" t="n">
        <v>0</v>
      </c>
      <c r="P169" t="n">
        <v>0</v>
      </c>
      <c r="Q169" t="n">
        <v>0</v>
      </c>
      <c r="R169" s="2" t="inlineStr"/>
    </row>
    <row r="170" ht="15" customHeight="1">
      <c r="A170" t="inlineStr">
        <is>
          <t>A 47765-2025</t>
        </is>
      </c>
      <c r="B170" s="1" t="n">
        <v>45931</v>
      </c>
      <c r="C170" s="1" t="n">
        <v>46192</v>
      </c>
      <c r="D170" t="inlineStr">
        <is>
          <t>DALARNAS LÄN</t>
        </is>
      </c>
      <c r="E170" t="inlineStr">
        <is>
          <t>MORA</t>
        </is>
      </c>
      <c r="G170" t="n">
        <v>1.7</v>
      </c>
      <c r="H170" t="n">
        <v>0</v>
      </c>
      <c r="I170" t="n">
        <v>0</v>
      </c>
      <c r="J170" t="n">
        <v>0</v>
      </c>
      <c r="K170" t="n">
        <v>0</v>
      </c>
      <c r="L170" t="n">
        <v>0</v>
      </c>
      <c r="M170" t="n">
        <v>0</v>
      </c>
      <c r="N170" t="n">
        <v>0</v>
      </c>
      <c r="O170" t="n">
        <v>0</v>
      </c>
      <c r="P170" t="n">
        <v>0</v>
      </c>
      <c r="Q170" t="n">
        <v>0</v>
      </c>
      <c r="R170" s="2" t="inlineStr"/>
    </row>
    <row r="171" ht="15" customHeight="1">
      <c r="A171" t="inlineStr">
        <is>
          <t>A 39824-2025</t>
        </is>
      </c>
      <c r="B171" s="1" t="n">
        <v>45891</v>
      </c>
      <c r="C171" s="1" t="n">
        <v>46192</v>
      </c>
      <c r="D171" t="inlineStr">
        <is>
          <t>DALARNAS LÄN</t>
        </is>
      </c>
      <c r="E171" t="inlineStr">
        <is>
          <t>MORA</t>
        </is>
      </c>
      <c r="G171" t="n">
        <v>2</v>
      </c>
      <c r="H171" t="n">
        <v>0</v>
      </c>
      <c r="I171" t="n">
        <v>0</v>
      </c>
      <c r="J171" t="n">
        <v>0</v>
      </c>
      <c r="K171" t="n">
        <v>0</v>
      </c>
      <c r="L171" t="n">
        <v>0</v>
      </c>
      <c r="M171" t="n">
        <v>0</v>
      </c>
      <c r="N171" t="n">
        <v>0</v>
      </c>
      <c r="O171" t="n">
        <v>0</v>
      </c>
      <c r="P171" t="n">
        <v>0</v>
      </c>
      <c r="Q171" t="n">
        <v>0</v>
      </c>
      <c r="R171" s="2" t="inlineStr"/>
    </row>
    <row r="172" ht="15" customHeight="1">
      <c r="A172" t="inlineStr">
        <is>
          <t>A 39787-2025</t>
        </is>
      </c>
      <c r="B172" s="1" t="n">
        <v>45891</v>
      </c>
      <c r="C172" s="1" t="n">
        <v>46192</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60099-2024</t>
        </is>
      </c>
      <c r="B173" s="1" t="n">
        <v>45642</v>
      </c>
      <c r="C173" s="1" t="n">
        <v>46192</v>
      </c>
      <c r="D173" t="inlineStr">
        <is>
          <t>DALARNAS LÄN</t>
        </is>
      </c>
      <c r="E173" t="inlineStr">
        <is>
          <t>MORA</t>
        </is>
      </c>
      <c r="G173" t="n">
        <v>9.300000000000001</v>
      </c>
      <c r="H173" t="n">
        <v>0</v>
      </c>
      <c r="I173" t="n">
        <v>0</v>
      </c>
      <c r="J173" t="n">
        <v>0</v>
      </c>
      <c r="K173" t="n">
        <v>0</v>
      </c>
      <c r="L173" t="n">
        <v>0</v>
      </c>
      <c r="M173" t="n">
        <v>0</v>
      </c>
      <c r="N173" t="n">
        <v>0</v>
      </c>
      <c r="O173" t="n">
        <v>0</v>
      </c>
      <c r="P173" t="n">
        <v>0</v>
      </c>
      <c r="Q173" t="n">
        <v>0</v>
      </c>
      <c r="R173" s="2" t="inlineStr"/>
    </row>
    <row r="174" ht="15" customHeight="1">
      <c r="A174" t="inlineStr">
        <is>
          <t>A 25737-2025</t>
        </is>
      </c>
      <c r="B174" s="1" t="n">
        <v>45800</v>
      </c>
      <c r="C174" s="1" t="n">
        <v>46192</v>
      </c>
      <c r="D174" t="inlineStr">
        <is>
          <t>DALARNAS LÄN</t>
        </is>
      </c>
      <c r="E174" t="inlineStr">
        <is>
          <t>MORA</t>
        </is>
      </c>
      <c r="G174" t="n">
        <v>9.6</v>
      </c>
      <c r="H174" t="n">
        <v>0</v>
      </c>
      <c r="I174" t="n">
        <v>0</v>
      </c>
      <c r="J174" t="n">
        <v>0</v>
      </c>
      <c r="K174" t="n">
        <v>0</v>
      </c>
      <c r="L174" t="n">
        <v>0</v>
      </c>
      <c r="M174" t="n">
        <v>0</v>
      </c>
      <c r="N174" t="n">
        <v>0</v>
      </c>
      <c r="O174" t="n">
        <v>0</v>
      </c>
      <c r="P174" t="n">
        <v>0</v>
      </c>
      <c r="Q174" t="n">
        <v>0</v>
      </c>
      <c r="R174" s="2" t="inlineStr"/>
    </row>
    <row r="175" ht="15" customHeight="1">
      <c r="A175" t="inlineStr">
        <is>
          <t>A 40142-2025</t>
        </is>
      </c>
      <c r="B175" s="1" t="n">
        <v>45894</v>
      </c>
      <c r="C175" s="1" t="n">
        <v>46192</v>
      </c>
      <c r="D175" t="inlineStr">
        <is>
          <t>DALARNAS LÄN</t>
        </is>
      </c>
      <c r="E175" t="inlineStr">
        <is>
          <t>MORA</t>
        </is>
      </c>
      <c r="G175" t="n">
        <v>0.4</v>
      </c>
      <c r="H175" t="n">
        <v>0</v>
      </c>
      <c r="I175" t="n">
        <v>0</v>
      </c>
      <c r="J175" t="n">
        <v>0</v>
      </c>
      <c r="K175" t="n">
        <v>0</v>
      </c>
      <c r="L175" t="n">
        <v>0</v>
      </c>
      <c r="M175" t="n">
        <v>0</v>
      </c>
      <c r="N175" t="n">
        <v>0</v>
      </c>
      <c r="O175" t="n">
        <v>0</v>
      </c>
      <c r="P175" t="n">
        <v>0</v>
      </c>
      <c r="Q175" t="n">
        <v>0</v>
      </c>
      <c r="R175" s="2" t="inlineStr"/>
    </row>
    <row r="176" ht="15" customHeight="1">
      <c r="A176" t="inlineStr">
        <is>
          <t>A 40147-2025</t>
        </is>
      </c>
      <c r="B176" s="1" t="n">
        <v>45894</v>
      </c>
      <c r="C176" s="1" t="n">
        <v>46192</v>
      </c>
      <c r="D176" t="inlineStr">
        <is>
          <t>DALARNAS LÄN</t>
        </is>
      </c>
      <c r="E176" t="inlineStr">
        <is>
          <t>MORA</t>
        </is>
      </c>
      <c r="G176" t="n">
        <v>1.4</v>
      </c>
      <c r="H176" t="n">
        <v>0</v>
      </c>
      <c r="I176" t="n">
        <v>0</v>
      </c>
      <c r="J176" t="n">
        <v>0</v>
      </c>
      <c r="K176" t="n">
        <v>0</v>
      </c>
      <c r="L176" t="n">
        <v>0</v>
      </c>
      <c r="M176" t="n">
        <v>0</v>
      </c>
      <c r="N176" t="n">
        <v>0</v>
      </c>
      <c r="O176" t="n">
        <v>0</v>
      </c>
      <c r="P176" t="n">
        <v>0</v>
      </c>
      <c r="Q176" t="n">
        <v>0</v>
      </c>
      <c r="R176" s="2" t="inlineStr"/>
    </row>
    <row r="177" ht="15" customHeight="1">
      <c r="A177" t="inlineStr">
        <is>
          <t>A 47716-2025</t>
        </is>
      </c>
      <c r="B177" s="1" t="n">
        <v>45931</v>
      </c>
      <c r="C177" s="1" t="n">
        <v>46192</v>
      </c>
      <c r="D177" t="inlineStr">
        <is>
          <t>DALARNAS LÄN</t>
        </is>
      </c>
      <c r="E177" t="inlineStr">
        <is>
          <t>MORA</t>
        </is>
      </c>
      <c r="G177" t="n">
        <v>8.9</v>
      </c>
      <c r="H177" t="n">
        <v>0</v>
      </c>
      <c r="I177" t="n">
        <v>0</v>
      </c>
      <c r="J177" t="n">
        <v>0</v>
      </c>
      <c r="K177" t="n">
        <v>0</v>
      </c>
      <c r="L177" t="n">
        <v>0</v>
      </c>
      <c r="M177" t="n">
        <v>0</v>
      </c>
      <c r="N177" t="n">
        <v>0</v>
      </c>
      <c r="O177" t="n">
        <v>0</v>
      </c>
      <c r="P177" t="n">
        <v>0</v>
      </c>
      <c r="Q177" t="n">
        <v>0</v>
      </c>
      <c r="R177" s="2" t="inlineStr"/>
    </row>
    <row r="178" ht="15" customHeight="1">
      <c r="A178" t="inlineStr">
        <is>
          <t>A 48927-2025</t>
        </is>
      </c>
      <c r="B178" s="1" t="n">
        <v>45931</v>
      </c>
      <c r="C178" s="1" t="n">
        <v>46192</v>
      </c>
      <c r="D178" t="inlineStr">
        <is>
          <t>DALARNAS LÄN</t>
        </is>
      </c>
      <c r="E178" t="inlineStr">
        <is>
          <t>MORA</t>
        </is>
      </c>
      <c r="G178" t="n">
        <v>2.1</v>
      </c>
      <c r="H178" t="n">
        <v>0</v>
      </c>
      <c r="I178" t="n">
        <v>0</v>
      </c>
      <c r="J178" t="n">
        <v>0</v>
      </c>
      <c r="K178" t="n">
        <v>0</v>
      </c>
      <c r="L178" t="n">
        <v>0</v>
      </c>
      <c r="M178" t="n">
        <v>0</v>
      </c>
      <c r="N178" t="n">
        <v>0</v>
      </c>
      <c r="O178" t="n">
        <v>0</v>
      </c>
      <c r="P178" t="n">
        <v>0</v>
      </c>
      <c r="Q178" t="n">
        <v>0</v>
      </c>
      <c r="R178" s="2" t="inlineStr"/>
    </row>
    <row r="179" ht="15" customHeight="1">
      <c r="A179" t="inlineStr">
        <is>
          <t>A 40660-2025</t>
        </is>
      </c>
      <c r="B179" s="1" t="n">
        <v>45896</v>
      </c>
      <c r="C179" s="1" t="n">
        <v>46192</v>
      </c>
      <c r="D179" t="inlineStr">
        <is>
          <t>DALARNAS LÄN</t>
        </is>
      </c>
      <c r="E179" t="inlineStr">
        <is>
          <t>MORA</t>
        </is>
      </c>
      <c r="F179" t="inlineStr">
        <is>
          <t>Bergvik skog väst AB</t>
        </is>
      </c>
      <c r="G179" t="n">
        <v>5.4</v>
      </c>
      <c r="H179" t="n">
        <v>0</v>
      </c>
      <c r="I179" t="n">
        <v>0</v>
      </c>
      <c r="J179" t="n">
        <v>0</v>
      </c>
      <c r="K179" t="n">
        <v>0</v>
      </c>
      <c r="L179" t="n">
        <v>0</v>
      </c>
      <c r="M179" t="n">
        <v>0</v>
      </c>
      <c r="N179" t="n">
        <v>0</v>
      </c>
      <c r="O179" t="n">
        <v>0</v>
      </c>
      <c r="P179" t="n">
        <v>0</v>
      </c>
      <c r="Q179" t="n">
        <v>0</v>
      </c>
      <c r="R179" s="2" t="inlineStr"/>
    </row>
    <row r="180" ht="15" customHeight="1">
      <c r="A180" t="inlineStr">
        <is>
          <t>A 40805-2025</t>
        </is>
      </c>
      <c r="B180" s="1" t="n">
        <v>45897</v>
      </c>
      <c r="C180" s="1" t="n">
        <v>46192</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48926-2025</t>
        </is>
      </c>
      <c r="B181" s="1" t="n">
        <v>45937</v>
      </c>
      <c r="C181" s="1" t="n">
        <v>46192</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48929-2025</t>
        </is>
      </c>
      <c r="B182" s="1" t="n">
        <v>45937</v>
      </c>
      <c r="C182" s="1" t="n">
        <v>46192</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25345-2025</t>
        </is>
      </c>
      <c r="B183" s="1" t="n">
        <v>45799</v>
      </c>
      <c r="C183" s="1" t="n">
        <v>46192</v>
      </c>
      <c r="D183" t="inlineStr">
        <is>
          <t>DALARNAS LÄN</t>
        </is>
      </c>
      <c r="E183" t="inlineStr">
        <is>
          <t>MORA</t>
        </is>
      </c>
      <c r="G183" t="n">
        <v>3.1</v>
      </c>
      <c r="H183" t="n">
        <v>0</v>
      </c>
      <c r="I183" t="n">
        <v>0</v>
      </c>
      <c r="J183" t="n">
        <v>0</v>
      </c>
      <c r="K183" t="n">
        <v>0</v>
      </c>
      <c r="L183" t="n">
        <v>0</v>
      </c>
      <c r="M183" t="n">
        <v>0</v>
      </c>
      <c r="N183" t="n">
        <v>0</v>
      </c>
      <c r="O183" t="n">
        <v>0</v>
      </c>
      <c r="P183" t="n">
        <v>0</v>
      </c>
      <c r="Q183" t="n">
        <v>0</v>
      </c>
      <c r="R183" s="2" t="inlineStr"/>
    </row>
    <row r="184" ht="15" customHeight="1">
      <c r="A184" t="inlineStr">
        <is>
          <t>A 49404-2025</t>
        </is>
      </c>
      <c r="B184" s="1" t="n">
        <v>45938</v>
      </c>
      <c r="C184" s="1" t="n">
        <v>46192</v>
      </c>
      <c r="D184" t="inlineStr">
        <is>
          <t>DALARNAS LÄN</t>
        </is>
      </c>
      <c r="E184" t="inlineStr">
        <is>
          <t>MORA</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5309-2023</t>
        </is>
      </c>
      <c r="B185" s="1" t="n">
        <v>44956</v>
      </c>
      <c r="C185" s="1" t="n">
        <v>46192</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41175-2025</t>
        </is>
      </c>
      <c r="B186" s="1" t="n">
        <v>45898</v>
      </c>
      <c r="C186" s="1" t="n">
        <v>46192</v>
      </c>
      <c r="D186" t="inlineStr">
        <is>
          <t>DALARNAS LÄN</t>
        </is>
      </c>
      <c r="E186" t="inlineStr">
        <is>
          <t>MORA</t>
        </is>
      </c>
      <c r="G186" t="n">
        <v>4.5</v>
      </c>
      <c r="H186" t="n">
        <v>0</v>
      </c>
      <c r="I186" t="n">
        <v>0</v>
      </c>
      <c r="J186" t="n">
        <v>0</v>
      </c>
      <c r="K186" t="n">
        <v>0</v>
      </c>
      <c r="L186" t="n">
        <v>0</v>
      </c>
      <c r="M186" t="n">
        <v>0</v>
      </c>
      <c r="N186" t="n">
        <v>0</v>
      </c>
      <c r="O186" t="n">
        <v>0</v>
      </c>
      <c r="P186" t="n">
        <v>0</v>
      </c>
      <c r="Q186" t="n">
        <v>0</v>
      </c>
      <c r="R186" s="2" t="inlineStr"/>
    </row>
    <row r="187" ht="15" customHeight="1">
      <c r="A187" t="inlineStr">
        <is>
          <t>A 49401-2025</t>
        </is>
      </c>
      <c r="B187" s="1" t="n">
        <v>45938</v>
      </c>
      <c r="C187" s="1" t="n">
        <v>46192</v>
      </c>
      <c r="D187" t="inlineStr">
        <is>
          <t>DALARNAS LÄN</t>
        </is>
      </c>
      <c r="E187" t="inlineStr">
        <is>
          <t>MORA</t>
        </is>
      </c>
      <c r="F187" t="inlineStr">
        <is>
          <t>Bergvik skog väst AB</t>
        </is>
      </c>
      <c r="G187" t="n">
        <v>0.6</v>
      </c>
      <c r="H187" t="n">
        <v>0</v>
      </c>
      <c r="I187" t="n">
        <v>0</v>
      </c>
      <c r="J187" t="n">
        <v>0</v>
      </c>
      <c r="K187" t="n">
        <v>0</v>
      </c>
      <c r="L187" t="n">
        <v>0</v>
      </c>
      <c r="M187" t="n">
        <v>0</v>
      </c>
      <c r="N187" t="n">
        <v>0</v>
      </c>
      <c r="O187" t="n">
        <v>0</v>
      </c>
      <c r="P187" t="n">
        <v>0</v>
      </c>
      <c r="Q187" t="n">
        <v>0</v>
      </c>
      <c r="R187" s="2" t="inlineStr"/>
    </row>
    <row r="188" ht="15" customHeight="1">
      <c r="A188" t="inlineStr">
        <is>
          <t>A 41614-2025</t>
        </is>
      </c>
      <c r="B188" s="1" t="n">
        <v>45901</v>
      </c>
      <c r="C188" s="1" t="n">
        <v>46192</v>
      </c>
      <c r="D188" t="inlineStr">
        <is>
          <t>DALARNAS LÄN</t>
        </is>
      </c>
      <c r="E188" t="inlineStr">
        <is>
          <t>MORA</t>
        </is>
      </c>
      <c r="F188" t="inlineStr">
        <is>
          <t>Bergvik skog väst AB</t>
        </is>
      </c>
      <c r="G188" t="n">
        <v>13.8</v>
      </c>
      <c r="H188" t="n">
        <v>0</v>
      </c>
      <c r="I188" t="n">
        <v>0</v>
      </c>
      <c r="J188" t="n">
        <v>0</v>
      </c>
      <c r="K188" t="n">
        <v>0</v>
      </c>
      <c r="L188" t="n">
        <v>0</v>
      </c>
      <c r="M188" t="n">
        <v>0</v>
      </c>
      <c r="N188" t="n">
        <v>0</v>
      </c>
      <c r="O188" t="n">
        <v>0</v>
      </c>
      <c r="P188" t="n">
        <v>0</v>
      </c>
      <c r="Q188" t="n">
        <v>0</v>
      </c>
      <c r="R188" s="2" t="inlineStr"/>
    </row>
    <row r="189" ht="15" customHeight="1">
      <c r="A189" t="inlineStr">
        <is>
          <t>A 2879-2022</t>
        </is>
      </c>
      <c r="B189" s="1" t="n">
        <v>44581</v>
      </c>
      <c r="C189" s="1" t="n">
        <v>46192</v>
      </c>
      <c r="D189" t="inlineStr">
        <is>
          <t>DALARNAS LÄN</t>
        </is>
      </c>
      <c r="E189" t="inlineStr">
        <is>
          <t>MORA</t>
        </is>
      </c>
      <c r="G189" t="n">
        <v>2.3</v>
      </c>
      <c r="H189" t="n">
        <v>0</v>
      </c>
      <c r="I189" t="n">
        <v>0</v>
      </c>
      <c r="J189" t="n">
        <v>0</v>
      </c>
      <c r="K189" t="n">
        <v>0</v>
      </c>
      <c r="L189" t="n">
        <v>0</v>
      </c>
      <c r="M189" t="n">
        <v>0</v>
      </c>
      <c r="N189" t="n">
        <v>0</v>
      </c>
      <c r="O189" t="n">
        <v>0</v>
      </c>
      <c r="P189" t="n">
        <v>0</v>
      </c>
      <c r="Q189" t="n">
        <v>0</v>
      </c>
      <c r="R189" s="2" t="inlineStr"/>
    </row>
    <row r="190" ht="15" customHeight="1">
      <c r="A190" t="inlineStr">
        <is>
          <t>A 31929-2024</t>
        </is>
      </c>
      <c r="B190" s="1" t="n">
        <v>45510</v>
      </c>
      <c r="C190" s="1" t="n">
        <v>46192</v>
      </c>
      <c r="D190" t="inlineStr">
        <is>
          <t>DALARNAS LÄN</t>
        </is>
      </c>
      <c r="E190" t="inlineStr">
        <is>
          <t>MORA</t>
        </is>
      </c>
      <c r="G190" t="n">
        <v>10.8</v>
      </c>
      <c r="H190" t="n">
        <v>0</v>
      </c>
      <c r="I190" t="n">
        <v>0</v>
      </c>
      <c r="J190" t="n">
        <v>0</v>
      </c>
      <c r="K190" t="n">
        <v>0</v>
      </c>
      <c r="L190" t="n">
        <v>0</v>
      </c>
      <c r="M190" t="n">
        <v>0</v>
      </c>
      <c r="N190" t="n">
        <v>0</v>
      </c>
      <c r="O190" t="n">
        <v>0</v>
      </c>
      <c r="P190" t="n">
        <v>0</v>
      </c>
      <c r="Q190" t="n">
        <v>0</v>
      </c>
      <c r="R190" s="2" t="inlineStr"/>
    </row>
    <row r="191" ht="15" customHeight="1">
      <c r="A191" t="inlineStr">
        <is>
          <t>A 41783-2025</t>
        </is>
      </c>
      <c r="B191" s="1" t="n">
        <v>45902</v>
      </c>
      <c r="C191" s="1" t="n">
        <v>46192</v>
      </c>
      <c r="D191" t="inlineStr">
        <is>
          <t>DALARNAS LÄN</t>
        </is>
      </c>
      <c r="E191" t="inlineStr">
        <is>
          <t>MORA</t>
        </is>
      </c>
      <c r="G191" t="n">
        <v>0.6</v>
      </c>
      <c r="H191" t="n">
        <v>0</v>
      </c>
      <c r="I191" t="n">
        <v>0</v>
      </c>
      <c r="J191" t="n">
        <v>0</v>
      </c>
      <c r="K191" t="n">
        <v>0</v>
      </c>
      <c r="L191" t="n">
        <v>0</v>
      </c>
      <c r="M191" t="n">
        <v>0</v>
      </c>
      <c r="N191" t="n">
        <v>0</v>
      </c>
      <c r="O191" t="n">
        <v>0</v>
      </c>
      <c r="P191" t="n">
        <v>0</v>
      </c>
      <c r="Q191" t="n">
        <v>0</v>
      </c>
      <c r="R191" s="2" t="inlineStr"/>
    </row>
    <row r="192" ht="15" customHeight="1">
      <c r="A192" t="inlineStr">
        <is>
          <t>A 61405-2023</t>
        </is>
      </c>
      <c r="B192" s="1" t="n">
        <v>45264</v>
      </c>
      <c r="C192" s="1" t="n">
        <v>46192</v>
      </c>
      <c r="D192" t="inlineStr">
        <is>
          <t>DALARNAS LÄN</t>
        </is>
      </c>
      <c r="E192" t="inlineStr">
        <is>
          <t>MORA</t>
        </is>
      </c>
      <c r="G192" t="n">
        <v>0.4</v>
      </c>
      <c r="H192" t="n">
        <v>0</v>
      </c>
      <c r="I192" t="n">
        <v>0</v>
      </c>
      <c r="J192" t="n">
        <v>0</v>
      </c>
      <c r="K192" t="n">
        <v>0</v>
      </c>
      <c r="L192" t="n">
        <v>0</v>
      </c>
      <c r="M192" t="n">
        <v>0</v>
      </c>
      <c r="N192" t="n">
        <v>0</v>
      </c>
      <c r="O192" t="n">
        <v>0</v>
      </c>
      <c r="P192" t="n">
        <v>0</v>
      </c>
      <c r="Q192" t="n">
        <v>0</v>
      </c>
      <c r="R192" s="2" t="inlineStr"/>
    </row>
    <row r="193" ht="15" customHeight="1">
      <c r="A193" t="inlineStr">
        <is>
          <t>A 14832-2025</t>
        </is>
      </c>
      <c r="B193" s="1" t="n">
        <v>45743</v>
      </c>
      <c r="C193" s="1" t="n">
        <v>46192</v>
      </c>
      <c r="D193" t="inlineStr">
        <is>
          <t>DALARNAS LÄN</t>
        </is>
      </c>
      <c r="E193" t="inlineStr">
        <is>
          <t>MORA</t>
        </is>
      </c>
      <c r="G193" t="n">
        <v>9.1</v>
      </c>
      <c r="H193" t="n">
        <v>0</v>
      </c>
      <c r="I193" t="n">
        <v>0</v>
      </c>
      <c r="J193" t="n">
        <v>0</v>
      </c>
      <c r="K193" t="n">
        <v>0</v>
      </c>
      <c r="L193" t="n">
        <v>0</v>
      </c>
      <c r="M193" t="n">
        <v>0</v>
      </c>
      <c r="N193" t="n">
        <v>0</v>
      </c>
      <c r="O193" t="n">
        <v>0</v>
      </c>
      <c r="P193" t="n">
        <v>0</v>
      </c>
      <c r="Q193" t="n">
        <v>0</v>
      </c>
      <c r="R193" s="2" t="inlineStr"/>
    </row>
    <row r="194" ht="15" customHeight="1">
      <c r="A194" t="inlineStr">
        <is>
          <t>A 39674-2023</t>
        </is>
      </c>
      <c r="B194" s="1" t="n">
        <v>45167</v>
      </c>
      <c r="C194" s="1" t="n">
        <v>46192</v>
      </c>
      <c r="D194" t="inlineStr">
        <is>
          <t>DALARNAS LÄN</t>
        </is>
      </c>
      <c r="E194" t="inlineStr">
        <is>
          <t>MORA</t>
        </is>
      </c>
      <c r="G194" t="n">
        <v>2.4</v>
      </c>
      <c r="H194" t="n">
        <v>0</v>
      </c>
      <c r="I194" t="n">
        <v>0</v>
      </c>
      <c r="J194" t="n">
        <v>0</v>
      </c>
      <c r="K194" t="n">
        <v>0</v>
      </c>
      <c r="L194" t="n">
        <v>0</v>
      </c>
      <c r="M194" t="n">
        <v>0</v>
      </c>
      <c r="N194" t="n">
        <v>0</v>
      </c>
      <c r="O194" t="n">
        <v>0</v>
      </c>
      <c r="P194" t="n">
        <v>0</v>
      </c>
      <c r="Q194" t="n">
        <v>0</v>
      </c>
      <c r="R194" s="2" t="inlineStr"/>
    </row>
    <row r="195" ht="15" customHeight="1">
      <c r="A195" t="inlineStr">
        <is>
          <t>A 41855-2025</t>
        </is>
      </c>
      <c r="B195" s="1" t="n">
        <v>45902</v>
      </c>
      <c r="C195" s="1" t="n">
        <v>46192</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35551-2023</t>
        </is>
      </c>
      <c r="B196" s="1" t="n">
        <v>45147</v>
      </c>
      <c r="C196" s="1" t="n">
        <v>46192</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59174-2023</t>
        </is>
      </c>
      <c r="B197" s="1" t="n">
        <v>45253</v>
      </c>
      <c r="C197" s="1" t="n">
        <v>46192</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55331-2022</t>
        </is>
      </c>
      <c r="B198" s="1" t="n">
        <v>44887</v>
      </c>
      <c r="C198" s="1" t="n">
        <v>46192</v>
      </c>
      <c r="D198" t="inlineStr">
        <is>
          <t>DALARNAS LÄN</t>
        </is>
      </c>
      <c r="E198" t="inlineStr">
        <is>
          <t>MORA</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43432-2024</t>
        </is>
      </c>
      <c r="B199" s="1" t="n">
        <v>45568</v>
      </c>
      <c r="C199" s="1" t="n">
        <v>46192</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51771-2025</t>
        </is>
      </c>
      <c r="B200" s="1" t="n">
        <v>45951</v>
      </c>
      <c r="C200" s="1" t="n">
        <v>46192</v>
      </c>
      <c r="D200" t="inlineStr">
        <is>
          <t>DALARNAS LÄN</t>
        </is>
      </c>
      <c r="E200" t="inlineStr">
        <is>
          <t>MORA</t>
        </is>
      </c>
      <c r="G200" t="n">
        <v>0.7</v>
      </c>
      <c r="H200" t="n">
        <v>0</v>
      </c>
      <c r="I200" t="n">
        <v>0</v>
      </c>
      <c r="J200" t="n">
        <v>0</v>
      </c>
      <c r="K200" t="n">
        <v>0</v>
      </c>
      <c r="L200" t="n">
        <v>0</v>
      </c>
      <c r="M200" t="n">
        <v>0</v>
      </c>
      <c r="N200" t="n">
        <v>0</v>
      </c>
      <c r="O200" t="n">
        <v>0</v>
      </c>
      <c r="P200" t="n">
        <v>0</v>
      </c>
      <c r="Q200" t="n">
        <v>0</v>
      </c>
      <c r="R200" s="2" t="inlineStr"/>
    </row>
    <row r="201" ht="15" customHeight="1">
      <c r="A201" t="inlineStr">
        <is>
          <t>A 52110-2025</t>
        </is>
      </c>
      <c r="B201" s="1" t="n">
        <v>45952</v>
      </c>
      <c r="C201" s="1" t="n">
        <v>46192</v>
      </c>
      <c r="D201" t="inlineStr">
        <is>
          <t>DALARNAS LÄN</t>
        </is>
      </c>
      <c r="E201" t="inlineStr">
        <is>
          <t>MORA</t>
        </is>
      </c>
      <c r="G201" t="n">
        <v>2.2</v>
      </c>
      <c r="H201" t="n">
        <v>0</v>
      </c>
      <c r="I201" t="n">
        <v>0</v>
      </c>
      <c r="J201" t="n">
        <v>0</v>
      </c>
      <c r="K201" t="n">
        <v>0</v>
      </c>
      <c r="L201" t="n">
        <v>0</v>
      </c>
      <c r="M201" t="n">
        <v>0</v>
      </c>
      <c r="N201" t="n">
        <v>0</v>
      </c>
      <c r="O201" t="n">
        <v>0</v>
      </c>
      <c r="P201" t="n">
        <v>0</v>
      </c>
      <c r="Q201" t="n">
        <v>0</v>
      </c>
      <c r="R201" s="2" t="inlineStr"/>
    </row>
    <row r="202" ht="15" customHeight="1">
      <c r="A202" t="inlineStr">
        <is>
          <t>A 55671-2024</t>
        </is>
      </c>
      <c r="B202" s="1" t="n">
        <v>45622</v>
      </c>
      <c r="C202" s="1" t="n">
        <v>46192</v>
      </c>
      <c r="D202" t="inlineStr">
        <is>
          <t>DALARNAS LÄN</t>
        </is>
      </c>
      <c r="E202" t="inlineStr">
        <is>
          <t>MORA</t>
        </is>
      </c>
      <c r="G202" t="n">
        <v>1.2</v>
      </c>
      <c r="H202" t="n">
        <v>0</v>
      </c>
      <c r="I202" t="n">
        <v>0</v>
      </c>
      <c r="J202" t="n">
        <v>0</v>
      </c>
      <c r="K202" t="n">
        <v>0</v>
      </c>
      <c r="L202" t="n">
        <v>0</v>
      </c>
      <c r="M202" t="n">
        <v>0</v>
      </c>
      <c r="N202" t="n">
        <v>0</v>
      </c>
      <c r="O202" t="n">
        <v>0</v>
      </c>
      <c r="P202" t="n">
        <v>0</v>
      </c>
      <c r="Q202" t="n">
        <v>0</v>
      </c>
      <c r="R202" s="2" t="inlineStr"/>
    </row>
    <row r="203" ht="15" customHeight="1">
      <c r="A203" t="inlineStr">
        <is>
          <t>A 42112-2025</t>
        </is>
      </c>
      <c r="B203" s="1" t="n">
        <v>45904</v>
      </c>
      <c r="C203" s="1" t="n">
        <v>46192</v>
      </c>
      <c r="D203" t="inlineStr">
        <is>
          <t>DALARNAS LÄN</t>
        </is>
      </c>
      <c r="E203" t="inlineStr">
        <is>
          <t>MORA</t>
        </is>
      </c>
      <c r="G203" t="n">
        <v>1.1</v>
      </c>
      <c r="H203" t="n">
        <v>0</v>
      </c>
      <c r="I203" t="n">
        <v>0</v>
      </c>
      <c r="J203" t="n">
        <v>0</v>
      </c>
      <c r="K203" t="n">
        <v>0</v>
      </c>
      <c r="L203" t="n">
        <v>0</v>
      </c>
      <c r="M203" t="n">
        <v>0</v>
      </c>
      <c r="N203" t="n">
        <v>0</v>
      </c>
      <c r="O203" t="n">
        <v>0</v>
      </c>
      <c r="P203" t="n">
        <v>0</v>
      </c>
      <c r="Q203" t="n">
        <v>0</v>
      </c>
      <c r="R203" s="2" t="inlineStr"/>
    </row>
    <row r="204" ht="15" customHeight="1">
      <c r="A204" t="inlineStr">
        <is>
          <t>A 69483-2021</t>
        </is>
      </c>
      <c r="B204" s="1" t="n">
        <v>44531</v>
      </c>
      <c r="C204" s="1" t="n">
        <v>46192</v>
      </c>
      <c r="D204" t="inlineStr">
        <is>
          <t>DALARNAS LÄN</t>
        </is>
      </c>
      <c r="E204" t="inlineStr">
        <is>
          <t>MORA</t>
        </is>
      </c>
      <c r="G204" t="n">
        <v>1.5</v>
      </c>
      <c r="H204" t="n">
        <v>0</v>
      </c>
      <c r="I204" t="n">
        <v>0</v>
      </c>
      <c r="J204" t="n">
        <v>0</v>
      </c>
      <c r="K204" t="n">
        <v>0</v>
      </c>
      <c r="L204" t="n">
        <v>0</v>
      </c>
      <c r="M204" t="n">
        <v>0</v>
      </c>
      <c r="N204" t="n">
        <v>0</v>
      </c>
      <c r="O204" t="n">
        <v>0</v>
      </c>
      <c r="P204" t="n">
        <v>0</v>
      </c>
      <c r="Q204" t="n">
        <v>0</v>
      </c>
      <c r="R204" s="2" t="inlineStr"/>
    </row>
    <row r="205" ht="15" customHeight="1">
      <c r="A205" t="inlineStr">
        <is>
          <t>A 40949-2023</t>
        </is>
      </c>
      <c r="B205" s="1" t="n">
        <v>45173</v>
      </c>
      <c r="C205" s="1" t="n">
        <v>46192</v>
      </c>
      <c r="D205" t="inlineStr">
        <is>
          <t>DALARNAS LÄN</t>
        </is>
      </c>
      <c r="E205" t="inlineStr">
        <is>
          <t>MORA</t>
        </is>
      </c>
      <c r="F205" t="inlineStr">
        <is>
          <t>Kyrkan</t>
        </is>
      </c>
      <c r="G205" t="n">
        <v>0.5</v>
      </c>
      <c r="H205" t="n">
        <v>0</v>
      </c>
      <c r="I205" t="n">
        <v>0</v>
      </c>
      <c r="J205" t="n">
        <v>0</v>
      </c>
      <c r="K205" t="n">
        <v>0</v>
      </c>
      <c r="L205" t="n">
        <v>0</v>
      </c>
      <c r="M205" t="n">
        <v>0</v>
      </c>
      <c r="N205" t="n">
        <v>0</v>
      </c>
      <c r="O205" t="n">
        <v>0</v>
      </c>
      <c r="P205" t="n">
        <v>0</v>
      </c>
      <c r="Q205" t="n">
        <v>0</v>
      </c>
      <c r="R205" s="2" t="inlineStr"/>
    </row>
    <row r="206" ht="15" customHeight="1">
      <c r="A206" t="inlineStr">
        <is>
          <t>A 5216-2025</t>
        </is>
      </c>
      <c r="B206" s="1" t="n">
        <v>45691</v>
      </c>
      <c r="C206" s="1" t="n">
        <v>46192</v>
      </c>
      <c r="D206" t="inlineStr">
        <is>
          <t>DALARNAS LÄN</t>
        </is>
      </c>
      <c r="E206" t="inlineStr">
        <is>
          <t>MORA</t>
        </is>
      </c>
      <c r="G206" t="n">
        <v>2.5</v>
      </c>
      <c r="H206" t="n">
        <v>0</v>
      </c>
      <c r="I206" t="n">
        <v>0</v>
      </c>
      <c r="J206" t="n">
        <v>0</v>
      </c>
      <c r="K206" t="n">
        <v>0</v>
      </c>
      <c r="L206" t="n">
        <v>0</v>
      </c>
      <c r="M206" t="n">
        <v>0</v>
      </c>
      <c r="N206" t="n">
        <v>0</v>
      </c>
      <c r="O206" t="n">
        <v>0</v>
      </c>
      <c r="P206" t="n">
        <v>0</v>
      </c>
      <c r="Q206" t="n">
        <v>0</v>
      </c>
      <c r="R206" s="2" t="inlineStr"/>
    </row>
    <row r="207" ht="15" customHeight="1">
      <c r="A207" t="inlineStr">
        <is>
          <t>A 53151-2025</t>
        </is>
      </c>
      <c r="B207" s="1" t="n">
        <v>45958</v>
      </c>
      <c r="C207" s="1" t="n">
        <v>46192</v>
      </c>
      <c r="D207" t="inlineStr">
        <is>
          <t>DALARNAS LÄN</t>
        </is>
      </c>
      <c r="E207" t="inlineStr">
        <is>
          <t>MORA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53150-2025</t>
        </is>
      </c>
      <c r="B208" s="1" t="n">
        <v>45958</v>
      </c>
      <c r="C208" s="1" t="n">
        <v>46192</v>
      </c>
      <c r="D208" t="inlineStr">
        <is>
          <t>DALARNAS LÄN</t>
        </is>
      </c>
      <c r="E208" t="inlineStr">
        <is>
          <t>MORA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17494-2025</t>
        </is>
      </c>
      <c r="B209" s="1" t="n">
        <v>45757</v>
      </c>
      <c r="C209" s="1" t="n">
        <v>46192</v>
      </c>
      <c r="D209" t="inlineStr">
        <is>
          <t>DALARNAS LÄN</t>
        </is>
      </c>
      <c r="E209" t="inlineStr">
        <is>
          <t>MORA</t>
        </is>
      </c>
      <c r="G209" t="n">
        <v>5.3</v>
      </c>
      <c r="H209" t="n">
        <v>0</v>
      </c>
      <c r="I209" t="n">
        <v>0</v>
      </c>
      <c r="J209" t="n">
        <v>0</v>
      </c>
      <c r="K209" t="n">
        <v>0</v>
      </c>
      <c r="L209" t="n">
        <v>0</v>
      </c>
      <c r="M209" t="n">
        <v>0</v>
      </c>
      <c r="N209" t="n">
        <v>0</v>
      </c>
      <c r="O209" t="n">
        <v>0</v>
      </c>
      <c r="P209" t="n">
        <v>0</v>
      </c>
      <c r="Q209" t="n">
        <v>0</v>
      </c>
      <c r="R209" s="2" t="inlineStr"/>
    </row>
    <row r="210" ht="15" customHeight="1">
      <c r="A210" t="inlineStr">
        <is>
          <t>A 45674-2024</t>
        </is>
      </c>
      <c r="B210" s="1" t="n">
        <v>45573</v>
      </c>
      <c r="C210" s="1" t="n">
        <v>46192</v>
      </c>
      <c r="D210" t="inlineStr">
        <is>
          <t>DALARNAS LÄN</t>
        </is>
      </c>
      <c r="E210" t="inlineStr">
        <is>
          <t>MORA</t>
        </is>
      </c>
      <c r="G210" t="n">
        <v>3.2</v>
      </c>
      <c r="H210" t="n">
        <v>0</v>
      </c>
      <c r="I210" t="n">
        <v>0</v>
      </c>
      <c r="J210" t="n">
        <v>0</v>
      </c>
      <c r="K210" t="n">
        <v>0</v>
      </c>
      <c r="L210" t="n">
        <v>0</v>
      </c>
      <c r="M210" t="n">
        <v>0</v>
      </c>
      <c r="N210" t="n">
        <v>0</v>
      </c>
      <c r="O210" t="n">
        <v>0</v>
      </c>
      <c r="P210" t="n">
        <v>0</v>
      </c>
      <c r="Q210" t="n">
        <v>0</v>
      </c>
      <c r="R210" s="2" t="inlineStr"/>
    </row>
    <row r="211" ht="15" customHeight="1">
      <c r="A211" t="inlineStr">
        <is>
          <t>A 53982-2025</t>
        </is>
      </c>
      <c r="B211" s="1" t="n">
        <v>45961</v>
      </c>
      <c r="C211" s="1" t="n">
        <v>46192</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53565-2025</t>
        </is>
      </c>
      <c r="B212" s="1" t="n">
        <v>45960</v>
      </c>
      <c r="C212" s="1" t="n">
        <v>46192</v>
      </c>
      <c r="D212" t="inlineStr">
        <is>
          <t>DALARNAS LÄN</t>
        </is>
      </c>
      <c r="E212" t="inlineStr">
        <is>
          <t>MORA</t>
        </is>
      </c>
      <c r="G212" t="n">
        <v>5.1</v>
      </c>
      <c r="H212" t="n">
        <v>0</v>
      </c>
      <c r="I212" t="n">
        <v>0</v>
      </c>
      <c r="J212" t="n">
        <v>0</v>
      </c>
      <c r="K212" t="n">
        <v>0</v>
      </c>
      <c r="L212" t="n">
        <v>0</v>
      </c>
      <c r="M212" t="n">
        <v>0</v>
      </c>
      <c r="N212" t="n">
        <v>0</v>
      </c>
      <c r="O212" t="n">
        <v>0</v>
      </c>
      <c r="P212" t="n">
        <v>0</v>
      </c>
      <c r="Q212" t="n">
        <v>0</v>
      </c>
      <c r="R212" s="2" t="inlineStr"/>
    </row>
    <row r="213" ht="15" customHeight="1">
      <c r="A213" t="inlineStr">
        <is>
          <t>A 53632-2025</t>
        </is>
      </c>
      <c r="B213" s="1" t="n">
        <v>45960</v>
      </c>
      <c r="C213" s="1" t="n">
        <v>46192</v>
      </c>
      <c r="D213" t="inlineStr">
        <is>
          <t>DALARNAS LÄN</t>
        </is>
      </c>
      <c r="E213" t="inlineStr">
        <is>
          <t>MORA</t>
        </is>
      </c>
      <c r="G213" t="n">
        <v>3.1</v>
      </c>
      <c r="H213" t="n">
        <v>0</v>
      </c>
      <c r="I213" t="n">
        <v>0</v>
      </c>
      <c r="J213" t="n">
        <v>0</v>
      </c>
      <c r="K213" t="n">
        <v>0</v>
      </c>
      <c r="L213" t="n">
        <v>0</v>
      </c>
      <c r="M213" t="n">
        <v>0</v>
      </c>
      <c r="N213" t="n">
        <v>0</v>
      </c>
      <c r="O213" t="n">
        <v>0</v>
      </c>
      <c r="P213" t="n">
        <v>0</v>
      </c>
      <c r="Q213" t="n">
        <v>0</v>
      </c>
      <c r="R213" s="2" t="inlineStr"/>
    </row>
    <row r="214" ht="15" customHeight="1">
      <c r="A214" t="inlineStr">
        <is>
          <t>A 30998-2022</t>
        </is>
      </c>
      <c r="B214" s="1" t="n">
        <v>44768</v>
      </c>
      <c r="C214" s="1" t="n">
        <v>46192</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47143-2022</t>
        </is>
      </c>
      <c r="B215" s="1" t="n">
        <v>44852</v>
      </c>
      <c r="C215" s="1" t="n">
        <v>46192</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18139-2025</t>
        </is>
      </c>
      <c r="B216" s="1" t="n">
        <v>45761</v>
      </c>
      <c r="C216" s="1" t="n">
        <v>46192</v>
      </c>
      <c r="D216" t="inlineStr">
        <is>
          <t>DALARNAS LÄN</t>
        </is>
      </c>
      <c r="E216" t="inlineStr">
        <is>
          <t>MORA</t>
        </is>
      </c>
      <c r="F216" t="inlineStr">
        <is>
          <t>Bergvik skog öst AB</t>
        </is>
      </c>
      <c r="G216" t="n">
        <v>3</v>
      </c>
      <c r="H216" t="n">
        <v>0</v>
      </c>
      <c r="I216" t="n">
        <v>0</v>
      </c>
      <c r="J216" t="n">
        <v>0</v>
      </c>
      <c r="K216" t="n">
        <v>0</v>
      </c>
      <c r="L216" t="n">
        <v>0</v>
      </c>
      <c r="M216" t="n">
        <v>0</v>
      </c>
      <c r="N216" t="n">
        <v>0</v>
      </c>
      <c r="O216" t="n">
        <v>0</v>
      </c>
      <c r="P216" t="n">
        <v>0</v>
      </c>
      <c r="Q216" t="n">
        <v>0</v>
      </c>
      <c r="R216" s="2" t="inlineStr"/>
    </row>
    <row r="217" ht="15" customHeight="1">
      <c r="A217" t="inlineStr">
        <is>
          <t>A 43474-2025</t>
        </is>
      </c>
      <c r="B217" s="1" t="n">
        <v>45911</v>
      </c>
      <c r="C217" s="1" t="n">
        <v>46192</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43811-2025</t>
        </is>
      </c>
      <c r="B218" s="1" t="n">
        <v>45912</v>
      </c>
      <c r="C218" s="1" t="n">
        <v>46192</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44384-2025</t>
        </is>
      </c>
      <c r="B219" s="1" t="n">
        <v>45916</v>
      </c>
      <c r="C219" s="1" t="n">
        <v>46192</v>
      </c>
      <c r="D219" t="inlineStr">
        <is>
          <t>DALARNAS LÄN</t>
        </is>
      </c>
      <c r="E219" t="inlineStr">
        <is>
          <t>MORA</t>
        </is>
      </c>
      <c r="F219" t="inlineStr">
        <is>
          <t>Kyrkan</t>
        </is>
      </c>
      <c r="G219" t="n">
        <v>5.1</v>
      </c>
      <c r="H219" t="n">
        <v>0</v>
      </c>
      <c r="I219" t="n">
        <v>0</v>
      </c>
      <c r="J219" t="n">
        <v>0</v>
      </c>
      <c r="K219" t="n">
        <v>0</v>
      </c>
      <c r="L219" t="n">
        <v>0</v>
      </c>
      <c r="M219" t="n">
        <v>0</v>
      </c>
      <c r="N219" t="n">
        <v>0</v>
      </c>
      <c r="O219" t="n">
        <v>0</v>
      </c>
      <c r="P219" t="n">
        <v>0</v>
      </c>
      <c r="Q219" t="n">
        <v>0</v>
      </c>
      <c r="R219" s="2" t="inlineStr"/>
    </row>
    <row r="220" ht="15" customHeight="1">
      <c r="A220" t="inlineStr">
        <is>
          <t>A 53560-2025</t>
        </is>
      </c>
      <c r="B220" s="1" t="n">
        <v>45960</v>
      </c>
      <c r="C220" s="1" t="n">
        <v>46192</v>
      </c>
      <c r="D220" t="inlineStr">
        <is>
          <t>DALARNAS LÄN</t>
        </is>
      </c>
      <c r="E220" t="inlineStr">
        <is>
          <t>MORA</t>
        </is>
      </c>
      <c r="G220" t="n">
        <v>5.2</v>
      </c>
      <c r="H220" t="n">
        <v>0</v>
      </c>
      <c r="I220" t="n">
        <v>0</v>
      </c>
      <c r="J220" t="n">
        <v>0</v>
      </c>
      <c r="K220" t="n">
        <v>0</v>
      </c>
      <c r="L220" t="n">
        <v>0</v>
      </c>
      <c r="M220" t="n">
        <v>0</v>
      </c>
      <c r="N220" t="n">
        <v>0</v>
      </c>
      <c r="O220" t="n">
        <v>0</v>
      </c>
      <c r="P220" t="n">
        <v>0</v>
      </c>
      <c r="Q220" t="n">
        <v>0</v>
      </c>
      <c r="R220" s="2" t="inlineStr"/>
    </row>
    <row r="221" ht="15" customHeight="1">
      <c r="A221" t="inlineStr">
        <is>
          <t>A 44621-2025</t>
        </is>
      </c>
      <c r="B221" s="1" t="n">
        <v>45917</v>
      </c>
      <c r="C221" s="1" t="n">
        <v>46192</v>
      </c>
      <c r="D221" t="inlineStr">
        <is>
          <t>DALARNAS LÄN</t>
        </is>
      </c>
      <c r="E221" t="inlineStr">
        <is>
          <t>MORA</t>
        </is>
      </c>
      <c r="G221" t="n">
        <v>0.8</v>
      </c>
      <c r="H221" t="n">
        <v>0</v>
      </c>
      <c r="I221" t="n">
        <v>0</v>
      </c>
      <c r="J221" t="n">
        <v>0</v>
      </c>
      <c r="K221" t="n">
        <v>0</v>
      </c>
      <c r="L221" t="n">
        <v>0</v>
      </c>
      <c r="M221" t="n">
        <v>0</v>
      </c>
      <c r="N221" t="n">
        <v>0</v>
      </c>
      <c r="O221" t="n">
        <v>0</v>
      </c>
      <c r="P221" t="n">
        <v>0</v>
      </c>
      <c r="Q221" t="n">
        <v>0</v>
      </c>
      <c r="R221" s="2" t="inlineStr"/>
    </row>
    <row r="222" ht="15" customHeight="1">
      <c r="A222" t="inlineStr">
        <is>
          <t>A 45191-2025</t>
        </is>
      </c>
      <c r="B222" s="1" t="n">
        <v>45919</v>
      </c>
      <c r="C222" s="1" t="n">
        <v>46192</v>
      </c>
      <c r="D222" t="inlineStr">
        <is>
          <t>DALARNAS LÄN</t>
        </is>
      </c>
      <c r="E222" t="inlineStr">
        <is>
          <t>MORA</t>
        </is>
      </c>
      <c r="G222" t="n">
        <v>2.2</v>
      </c>
      <c r="H222" t="n">
        <v>0</v>
      </c>
      <c r="I222" t="n">
        <v>0</v>
      </c>
      <c r="J222" t="n">
        <v>0</v>
      </c>
      <c r="K222" t="n">
        <v>0</v>
      </c>
      <c r="L222" t="n">
        <v>0</v>
      </c>
      <c r="M222" t="n">
        <v>0</v>
      </c>
      <c r="N222" t="n">
        <v>0</v>
      </c>
      <c r="O222" t="n">
        <v>0</v>
      </c>
      <c r="P222" t="n">
        <v>0</v>
      </c>
      <c r="Q222" t="n">
        <v>0</v>
      </c>
      <c r="R222" s="2" t="inlineStr"/>
    </row>
    <row r="223" ht="15" customHeight="1">
      <c r="A223" t="inlineStr">
        <is>
          <t>A 50911-2024</t>
        </is>
      </c>
      <c r="B223" s="1" t="n">
        <v>45602</v>
      </c>
      <c r="C223" s="1" t="n">
        <v>46192</v>
      </c>
      <c r="D223" t="inlineStr">
        <is>
          <t>DALARNAS LÄN</t>
        </is>
      </c>
      <c r="E223" t="inlineStr">
        <is>
          <t>MORA</t>
        </is>
      </c>
      <c r="G223" t="n">
        <v>1.7</v>
      </c>
      <c r="H223" t="n">
        <v>0</v>
      </c>
      <c r="I223" t="n">
        <v>0</v>
      </c>
      <c r="J223" t="n">
        <v>0</v>
      </c>
      <c r="K223" t="n">
        <v>0</v>
      </c>
      <c r="L223" t="n">
        <v>0</v>
      </c>
      <c r="M223" t="n">
        <v>0</v>
      </c>
      <c r="N223" t="n">
        <v>0</v>
      </c>
      <c r="O223" t="n">
        <v>0</v>
      </c>
      <c r="P223" t="n">
        <v>0</v>
      </c>
      <c r="Q223" t="n">
        <v>0</v>
      </c>
      <c r="R223" s="2" t="inlineStr"/>
    </row>
    <row r="224" ht="15" customHeight="1">
      <c r="A224" t="inlineStr">
        <is>
          <t>A 57999-2023</t>
        </is>
      </c>
      <c r="B224" s="1" t="n">
        <v>45247</v>
      </c>
      <c r="C224" s="1" t="n">
        <v>46192</v>
      </c>
      <c r="D224" t="inlineStr">
        <is>
          <t>DALARNAS LÄN</t>
        </is>
      </c>
      <c r="E224" t="inlineStr">
        <is>
          <t>MORA</t>
        </is>
      </c>
      <c r="G224" t="n">
        <v>0.4</v>
      </c>
      <c r="H224" t="n">
        <v>0</v>
      </c>
      <c r="I224" t="n">
        <v>0</v>
      </c>
      <c r="J224" t="n">
        <v>0</v>
      </c>
      <c r="K224" t="n">
        <v>0</v>
      </c>
      <c r="L224" t="n">
        <v>0</v>
      </c>
      <c r="M224" t="n">
        <v>0</v>
      </c>
      <c r="N224" t="n">
        <v>0</v>
      </c>
      <c r="O224" t="n">
        <v>0</v>
      </c>
      <c r="P224" t="n">
        <v>0</v>
      </c>
      <c r="Q224" t="n">
        <v>0</v>
      </c>
      <c r="R224" s="2" t="inlineStr"/>
    </row>
    <row r="225" ht="15" customHeight="1">
      <c r="A225" t="inlineStr">
        <is>
          <t>A 24335-2022</t>
        </is>
      </c>
      <c r="B225" s="1" t="n">
        <v>44725</v>
      </c>
      <c r="C225" s="1" t="n">
        <v>46192</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53562-2025</t>
        </is>
      </c>
      <c r="B226" s="1" t="n">
        <v>45960</v>
      </c>
      <c r="C226" s="1" t="n">
        <v>46192</v>
      </c>
      <c r="D226" t="inlineStr">
        <is>
          <t>DALARNAS LÄN</t>
        </is>
      </c>
      <c r="E226" t="inlineStr">
        <is>
          <t>MORA</t>
        </is>
      </c>
      <c r="G226" t="n">
        <v>5.1</v>
      </c>
      <c r="H226" t="n">
        <v>0</v>
      </c>
      <c r="I226" t="n">
        <v>0</v>
      </c>
      <c r="J226" t="n">
        <v>0</v>
      </c>
      <c r="K226" t="n">
        <v>0</v>
      </c>
      <c r="L226" t="n">
        <v>0</v>
      </c>
      <c r="M226" t="n">
        <v>0</v>
      </c>
      <c r="N226" t="n">
        <v>0</v>
      </c>
      <c r="O226" t="n">
        <v>0</v>
      </c>
      <c r="P226" t="n">
        <v>0</v>
      </c>
      <c r="Q226" t="n">
        <v>0</v>
      </c>
      <c r="R226" s="2" t="inlineStr"/>
    </row>
    <row r="227" ht="15" customHeight="1">
      <c r="A227" t="inlineStr">
        <is>
          <t>A 53591-2025</t>
        </is>
      </c>
      <c r="B227" s="1" t="n">
        <v>45960</v>
      </c>
      <c r="C227" s="1" t="n">
        <v>46192</v>
      </c>
      <c r="D227" t="inlineStr">
        <is>
          <t>DALARNAS LÄN</t>
        </is>
      </c>
      <c r="E227" t="inlineStr">
        <is>
          <t>MORA</t>
        </is>
      </c>
      <c r="G227" t="n">
        <v>3.8</v>
      </c>
      <c r="H227" t="n">
        <v>0</v>
      </c>
      <c r="I227" t="n">
        <v>0</v>
      </c>
      <c r="J227" t="n">
        <v>0</v>
      </c>
      <c r="K227" t="n">
        <v>0</v>
      </c>
      <c r="L227" t="n">
        <v>0</v>
      </c>
      <c r="M227" t="n">
        <v>0</v>
      </c>
      <c r="N227" t="n">
        <v>0</v>
      </c>
      <c r="O227" t="n">
        <v>0</v>
      </c>
      <c r="P227" t="n">
        <v>0</v>
      </c>
      <c r="Q227" t="n">
        <v>0</v>
      </c>
      <c r="R227" s="2" t="inlineStr"/>
    </row>
    <row r="228" ht="15" customHeight="1">
      <c r="A228" t="inlineStr">
        <is>
          <t>A 34660-2021</t>
        </is>
      </c>
      <c r="B228" s="1" t="n">
        <v>44382</v>
      </c>
      <c r="C228" s="1" t="n">
        <v>46192</v>
      </c>
      <c r="D228" t="inlineStr">
        <is>
          <t>DALARNAS LÄN</t>
        </is>
      </c>
      <c r="E228" t="inlineStr">
        <is>
          <t>MORA</t>
        </is>
      </c>
      <c r="G228" t="n">
        <v>7.5</v>
      </c>
      <c r="H228" t="n">
        <v>0</v>
      </c>
      <c r="I228" t="n">
        <v>0</v>
      </c>
      <c r="J228" t="n">
        <v>0</v>
      </c>
      <c r="K228" t="n">
        <v>0</v>
      </c>
      <c r="L228" t="n">
        <v>0</v>
      </c>
      <c r="M228" t="n">
        <v>0</v>
      </c>
      <c r="N228" t="n">
        <v>0</v>
      </c>
      <c r="O228" t="n">
        <v>0</v>
      </c>
      <c r="P228" t="n">
        <v>0</v>
      </c>
      <c r="Q228" t="n">
        <v>0</v>
      </c>
      <c r="R228" s="2" t="inlineStr"/>
    </row>
    <row r="229" ht="15" customHeight="1">
      <c r="A229" t="inlineStr">
        <is>
          <t>A 42934-2024</t>
        </is>
      </c>
      <c r="B229" s="1" t="n">
        <v>45567</v>
      </c>
      <c r="C229" s="1" t="n">
        <v>46192</v>
      </c>
      <c r="D229" t="inlineStr">
        <is>
          <t>DALARNAS LÄN</t>
        </is>
      </c>
      <c r="E229" t="inlineStr">
        <is>
          <t>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17516-2024</t>
        </is>
      </c>
      <c r="B230" s="1" t="n">
        <v>45415</v>
      </c>
      <c r="C230" s="1" t="n">
        <v>46192</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49159-2023</t>
        </is>
      </c>
      <c r="B231" s="1" t="n">
        <v>45210</v>
      </c>
      <c r="C231" s="1" t="n">
        <v>46192</v>
      </c>
      <c r="D231" t="inlineStr">
        <is>
          <t>DALARNAS LÄN</t>
        </is>
      </c>
      <c r="E231" t="inlineStr">
        <is>
          <t>MORA</t>
        </is>
      </c>
      <c r="G231" t="n">
        <v>1.6</v>
      </c>
      <c r="H231" t="n">
        <v>0</v>
      </c>
      <c r="I231" t="n">
        <v>0</v>
      </c>
      <c r="J231" t="n">
        <v>0</v>
      </c>
      <c r="K231" t="n">
        <v>0</v>
      </c>
      <c r="L231" t="n">
        <v>0</v>
      </c>
      <c r="M231" t="n">
        <v>0</v>
      </c>
      <c r="N231" t="n">
        <v>0</v>
      </c>
      <c r="O231" t="n">
        <v>0</v>
      </c>
      <c r="P231" t="n">
        <v>0</v>
      </c>
      <c r="Q231" t="n">
        <v>0</v>
      </c>
      <c r="R231" s="2" t="inlineStr"/>
    </row>
    <row r="232" ht="15" customHeight="1">
      <c r="A232" t="inlineStr">
        <is>
          <t>A 53556-2025</t>
        </is>
      </c>
      <c r="B232" s="1" t="n">
        <v>45960</v>
      </c>
      <c r="C232" s="1" t="n">
        <v>46192</v>
      </c>
      <c r="D232" t="inlineStr">
        <is>
          <t>DALARNAS LÄN</t>
        </is>
      </c>
      <c r="E232" t="inlineStr">
        <is>
          <t>MORA</t>
        </is>
      </c>
      <c r="G232" t="n">
        <v>3.3</v>
      </c>
      <c r="H232" t="n">
        <v>0</v>
      </c>
      <c r="I232" t="n">
        <v>0</v>
      </c>
      <c r="J232" t="n">
        <v>0</v>
      </c>
      <c r="K232" t="n">
        <v>0</v>
      </c>
      <c r="L232" t="n">
        <v>0</v>
      </c>
      <c r="M232" t="n">
        <v>0</v>
      </c>
      <c r="N232" t="n">
        <v>0</v>
      </c>
      <c r="O232" t="n">
        <v>0</v>
      </c>
      <c r="P232" t="n">
        <v>0</v>
      </c>
      <c r="Q232" t="n">
        <v>0</v>
      </c>
      <c r="R232" s="2" t="inlineStr"/>
    </row>
    <row r="233" ht="15" customHeight="1">
      <c r="A233" t="inlineStr">
        <is>
          <t>A 29188-2023</t>
        </is>
      </c>
      <c r="B233" s="1" t="n">
        <v>45105</v>
      </c>
      <c r="C233" s="1" t="n">
        <v>46192</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57475-2022</t>
        </is>
      </c>
      <c r="B234" s="1" t="n">
        <v>44896</v>
      </c>
      <c r="C234" s="1" t="n">
        <v>46192</v>
      </c>
      <c r="D234" t="inlineStr">
        <is>
          <t>DALARNAS LÄN</t>
        </is>
      </c>
      <c r="E234" t="inlineStr">
        <is>
          <t>MORA</t>
        </is>
      </c>
      <c r="G234" t="n">
        <v>5.7</v>
      </c>
      <c r="H234" t="n">
        <v>0</v>
      </c>
      <c r="I234" t="n">
        <v>0</v>
      </c>
      <c r="J234" t="n">
        <v>0</v>
      </c>
      <c r="K234" t="n">
        <v>0</v>
      </c>
      <c r="L234" t="n">
        <v>0</v>
      </c>
      <c r="M234" t="n">
        <v>0</v>
      </c>
      <c r="N234" t="n">
        <v>0</v>
      </c>
      <c r="O234" t="n">
        <v>0</v>
      </c>
      <c r="P234" t="n">
        <v>0</v>
      </c>
      <c r="Q234" t="n">
        <v>0</v>
      </c>
      <c r="R234" s="2" t="inlineStr"/>
    </row>
    <row r="235" ht="15" customHeight="1">
      <c r="A235" t="inlineStr">
        <is>
          <t>A 30985-2024</t>
        </is>
      </c>
      <c r="B235" s="1" t="n">
        <v>45499</v>
      </c>
      <c r="C235" s="1" t="n">
        <v>46192</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18202-2024</t>
        </is>
      </c>
      <c r="B236" s="1" t="n">
        <v>45420</v>
      </c>
      <c r="C236" s="1" t="n">
        <v>46192</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40286-2024</t>
        </is>
      </c>
      <c r="B237" s="1" t="n">
        <v>45554</v>
      </c>
      <c r="C237" s="1" t="n">
        <v>46192</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35363-2024</t>
        </is>
      </c>
      <c r="B238" s="1" t="n">
        <v>45531</v>
      </c>
      <c r="C238" s="1" t="n">
        <v>46192</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54367-2025</t>
        </is>
      </c>
      <c r="B239" s="1" t="n">
        <v>45965</v>
      </c>
      <c r="C239" s="1" t="n">
        <v>46192</v>
      </c>
      <c r="D239" t="inlineStr">
        <is>
          <t>DALARNAS LÄN</t>
        </is>
      </c>
      <c r="E239" t="inlineStr">
        <is>
          <t>MORA</t>
        </is>
      </c>
      <c r="G239" t="n">
        <v>7</v>
      </c>
      <c r="H239" t="n">
        <v>0</v>
      </c>
      <c r="I239" t="n">
        <v>0</v>
      </c>
      <c r="J239" t="n">
        <v>0</v>
      </c>
      <c r="K239" t="n">
        <v>0</v>
      </c>
      <c r="L239" t="n">
        <v>0</v>
      </c>
      <c r="M239" t="n">
        <v>0</v>
      </c>
      <c r="N239" t="n">
        <v>0</v>
      </c>
      <c r="O239" t="n">
        <v>0</v>
      </c>
      <c r="P239" t="n">
        <v>0</v>
      </c>
      <c r="Q239" t="n">
        <v>0</v>
      </c>
      <c r="R239" s="2" t="inlineStr"/>
    </row>
    <row r="240" ht="15" customHeight="1">
      <c r="A240" t="inlineStr">
        <is>
          <t>A 54504-2025</t>
        </is>
      </c>
      <c r="B240" s="1" t="n">
        <v>45965</v>
      </c>
      <c r="C240" s="1" t="n">
        <v>46192</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41169-2023</t>
        </is>
      </c>
      <c r="B241" s="1" t="n">
        <v>45174</v>
      </c>
      <c r="C241" s="1" t="n">
        <v>46192</v>
      </c>
      <c r="D241" t="inlineStr">
        <is>
          <t>DALARNAS LÄN</t>
        </is>
      </c>
      <c r="E241" t="inlineStr">
        <is>
          <t>MORA</t>
        </is>
      </c>
      <c r="G241" t="n">
        <v>3</v>
      </c>
      <c r="H241" t="n">
        <v>0</v>
      </c>
      <c r="I241" t="n">
        <v>0</v>
      </c>
      <c r="J241" t="n">
        <v>0</v>
      </c>
      <c r="K241" t="n">
        <v>0</v>
      </c>
      <c r="L241" t="n">
        <v>0</v>
      </c>
      <c r="M241" t="n">
        <v>0</v>
      </c>
      <c r="N241" t="n">
        <v>0</v>
      </c>
      <c r="O241" t="n">
        <v>0</v>
      </c>
      <c r="P241" t="n">
        <v>0</v>
      </c>
      <c r="Q241" t="n">
        <v>0</v>
      </c>
      <c r="R241" s="2" t="inlineStr"/>
    </row>
    <row r="242" ht="15" customHeight="1">
      <c r="A242" t="inlineStr">
        <is>
          <t>A 54862-2025</t>
        </is>
      </c>
      <c r="B242" s="1" t="n">
        <v>45966</v>
      </c>
      <c r="C242" s="1" t="n">
        <v>46192</v>
      </c>
      <c r="D242" t="inlineStr">
        <is>
          <t>DALARNAS LÄN</t>
        </is>
      </c>
      <c r="E242" t="inlineStr">
        <is>
          <t>MORA</t>
        </is>
      </c>
      <c r="G242" t="n">
        <v>1.2</v>
      </c>
      <c r="H242" t="n">
        <v>0</v>
      </c>
      <c r="I242" t="n">
        <v>0</v>
      </c>
      <c r="J242" t="n">
        <v>0</v>
      </c>
      <c r="K242" t="n">
        <v>0</v>
      </c>
      <c r="L242" t="n">
        <v>0</v>
      </c>
      <c r="M242" t="n">
        <v>0</v>
      </c>
      <c r="N242" t="n">
        <v>0</v>
      </c>
      <c r="O242" t="n">
        <v>0</v>
      </c>
      <c r="P242" t="n">
        <v>0</v>
      </c>
      <c r="Q242" t="n">
        <v>0</v>
      </c>
      <c r="R242" s="2" t="inlineStr"/>
    </row>
    <row r="243" ht="15" customHeight="1">
      <c r="A243" t="inlineStr">
        <is>
          <t>A 54909-2025</t>
        </is>
      </c>
      <c r="B243" s="1" t="n">
        <v>45967</v>
      </c>
      <c r="C243" s="1" t="n">
        <v>46192</v>
      </c>
      <c r="D243" t="inlineStr">
        <is>
          <t>DALARNAS LÄN</t>
        </is>
      </c>
      <c r="E243" t="inlineStr">
        <is>
          <t>MORA</t>
        </is>
      </c>
      <c r="G243" t="n">
        <v>1.7</v>
      </c>
      <c r="H243" t="n">
        <v>0</v>
      </c>
      <c r="I243" t="n">
        <v>0</v>
      </c>
      <c r="J243" t="n">
        <v>0</v>
      </c>
      <c r="K243" t="n">
        <v>0</v>
      </c>
      <c r="L243" t="n">
        <v>0</v>
      </c>
      <c r="M243" t="n">
        <v>0</v>
      </c>
      <c r="N243" t="n">
        <v>0</v>
      </c>
      <c r="O243" t="n">
        <v>0</v>
      </c>
      <c r="P243" t="n">
        <v>0</v>
      </c>
      <c r="Q243" t="n">
        <v>0</v>
      </c>
      <c r="R243" s="2" t="inlineStr"/>
    </row>
    <row r="244" ht="15" customHeight="1">
      <c r="A244" t="inlineStr">
        <is>
          <t>A 54905-2025</t>
        </is>
      </c>
      <c r="B244" s="1" t="n">
        <v>45967</v>
      </c>
      <c r="C244" s="1" t="n">
        <v>46192</v>
      </c>
      <c r="D244" t="inlineStr">
        <is>
          <t>DALARNAS LÄN</t>
        </is>
      </c>
      <c r="E244" t="inlineStr">
        <is>
          <t>MORA</t>
        </is>
      </c>
      <c r="G244" t="n">
        <v>0.4</v>
      </c>
      <c r="H244" t="n">
        <v>0</v>
      </c>
      <c r="I244" t="n">
        <v>0</v>
      </c>
      <c r="J244" t="n">
        <v>0</v>
      </c>
      <c r="K244" t="n">
        <v>0</v>
      </c>
      <c r="L244" t="n">
        <v>0</v>
      </c>
      <c r="M244" t="n">
        <v>0</v>
      </c>
      <c r="N244" t="n">
        <v>0</v>
      </c>
      <c r="O244" t="n">
        <v>0</v>
      </c>
      <c r="P244" t="n">
        <v>0</v>
      </c>
      <c r="Q244" t="n">
        <v>0</v>
      </c>
      <c r="R244" s="2" t="inlineStr"/>
    </row>
    <row r="245" ht="15" customHeight="1">
      <c r="A245" t="inlineStr">
        <is>
          <t>A 5922-2025</t>
        </is>
      </c>
      <c r="B245" s="1" t="n">
        <v>45695</v>
      </c>
      <c r="C245" s="1" t="n">
        <v>46192</v>
      </c>
      <c r="D245" t="inlineStr">
        <is>
          <t>DALARNAS LÄN</t>
        </is>
      </c>
      <c r="E245" t="inlineStr">
        <is>
          <t>MORA</t>
        </is>
      </c>
      <c r="G245" t="n">
        <v>1.2</v>
      </c>
      <c r="H245" t="n">
        <v>0</v>
      </c>
      <c r="I245" t="n">
        <v>0</v>
      </c>
      <c r="J245" t="n">
        <v>0</v>
      </c>
      <c r="K245" t="n">
        <v>0</v>
      </c>
      <c r="L245" t="n">
        <v>0</v>
      </c>
      <c r="M245" t="n">
        <v>0</v>
      </c>
      <c r="N245" t="n">
        <v>0</v>
      </c>
      <c r="O245" t="n">
        <v>0</v>
      </c>
      <c r="P245" t="n">
        <v>0</v>
      </c>
      <c r="Q245" t="n">
        <v>0</v>
      </c>
      <c r="R245" s="2" t="inlineStr"/>
    </row>
    <row r="246" ht="15" customHeight="1">
      <c r="A246" t="inlineStr">
        <is>
          <t>A 43533-2023</t>
        </is>
      </c>
      <c r="B246" s="1" t="n">
        <v>45184</v>
      </c>
      <c r="C246" s="1" t="n">
        <v>46192</v>
      </c>
      <c r="D246" t="inlineStr">
        <is>
          <t>DALARNAS LÄN</t>
        </is>
      </c>
      <c r="E246" t="inlineStr">
        <is>
          <t>MORA</t>
        </is>
      </c>
      <c r="F246" t="inlineStr">
        <is>
          <t>Bergvik skog väst AB</t>
        </is>
      </c>
      <c r="G246" t="n">
        <v>10.3</v>
      </c>
      <c r="H246" t="n">
        <v>0</v>
      </c>
      <c r="I246" t="n">
        <v>0</v>
      </c>
      <c r="J246" t="n">
        <v>0</v>
      </c>
      <c r="K246" t="n">
        <v>0</v>
      </c>
      <c r="L246" t="n">
        <v>0</v>
      </c>
      <c r="M246" t="n">
        <v>0</v>
      </c>
      <c r="N246" t="n">
        <v>0</v>
      </c>
      <c r="O246" t="n">
        <v>0</v>
      </c>
      <c r="P246" t="n">
        <v>0</v>
      </c>
      <c r="Q246" t="n">
        <v>0</v>
      </c>
      <c r="R246" s="2" t="inlineStr"/>
    </row>
    <row r="247" ht="15" customHeight="1">
      <c r="A247" t="inlineStr">
        <is>
          <t>A 37774-2022</t>
        </is>
      </c>
      <c r="B247" s="1" t="n">
        <v>44810</v>
      </c>
      <c r="C247" s="1" t="n">
        <v>46192</v>
      </c>
      <c r="D247" t="inlineStr">
        <is>
          <t>DALARNAS LÄN</t>
        </is>
      </c>
      <c r="E247" t="inlineStr">
        <is>
          <t>MORA</t>
        </is>
      </c>
      <c r="F247" t="inlineStr">
        <is>
          <t>Bergvik skog väst AB</t>
        </is>
      </c>
      <c r="G247" t="n">
        <v>8.5</v>
      </c>
      <c r="H247" t="n">
        <v>0</v>
      </c>
      <c r="I247" t="n">
        <v>0</v>
      </c>
      <c r="J247" t="n">
        <v>0</v>
      </c>
      <c r="K247" t="n">
        <v>0</v>
      </c>
      <c r="L247" t="n">
        <v>0</v>
      </c>
      <c r="M247" t="n">
        <v>0</v>
      </c>
      <c r="N247" t="n">
        <v>0</v>
      </c>
      <c r="O247" t="n">
        <v>0</v>
      </c>
      <c r="P247" t="n">
        <v>0</v>
      </c>
      <c r="Q247" t="n">
        <v>0</v>
      </c>
      <c r="R247" s="2" t="inlineStr"/>
    </row>
    <row r="248" ht="15" customHeight="1">
      <c r="A248" t="inlineStr">
        <is>
          <t>A 43826-2022</t>
        </is>
      </c>
      <c r="B248" s="1" t="n">
        <v>44838</v>
      </c>
      <c r="C248" s="1" t="n">
        <v>46192</v>
      </c>
      <c r="D248" t="inlineStr">
        <is>
          <t>DALARNAS LÄN</t>
        </is>
      </c>
      <c r="E248" t="inlineStr">
        <is>
          <t>MORA</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55124-2025</t>
        </is>
      </c>
      <c r="B249" s="1" t="n">
        <v>45968</v>
      </c>
      <c r="C249" s="1" t="n">
        <v>46192</v>
      </c>
      <c r="D249" t="inlineStr">
        <is>
          <t>DALARNAS LÄN</t>
        </is>
      </c>
      <c r="E249" t="inlineStr">
        <is>
          <t>MORA</t>
        </is>
      </c>
      <c r="G249" t="n">
        <v>1.2</v>
      </c>
      <c r="H249" t="n">
        <v>0</v>
      </c>
      <c r="I249" t="n">
        <v>0</v>
      </c>
      <c r="J249" t="n">
        <v>0</v>
      </c>
      <c r="K249" t="n">
        <v>0</v>
      </c>
      <c r="L249" t="n">
        <v>0</v>
      </c>
      <c r="M249" t="n">
        <v>0</v>
      </c>
      <c r="N249" t="n">
        <v>0</v>
      </c>
      <c r="O249" t="n">
        <v>0</v>
      </c>
      <c r="P249" t="n">
        <v>0</v>
      </c>
      <c r="Q249" t="n">
        <v>0</v>
      </c>
      <c r="R249" s="2" t="inlineStr"/>
    </row>
    <row r="250" ht="15" customHeight="1">
      <c r="A250" t="inlineStr">
        <is>
          <t>A 64327-2023</t>
        </is>
      </c>
      <c r="B250" s="1" t="n">
        <v>45280</v>
      </c>
      <c r="C250" s="1" t="n">
        <v>46192</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17145-2024</t>
        </is>
      </c>
      <c r="B251" s="1" t="n">
        <v>45412</v>
      </c>
      <c r="C251" s="1" t="n">
        <v>46192</v>
      </c>
      <c r="D251" t="inlineStr">
        <is>
          <t>DALARNAS LÄN</t>
        </is>
      </c>
      <c r="E251" t="inlineStr">
        <is>
          <t>MORA</t>
        </is>
      </c>
      <c r="G251" t="n">
        <v>1.4</v>
      </c>
      <c r="H251" t="n">
        <v>0</v>
      </c>
      <c r="I251" t="n">
        <v>0</v>
      </c>
      <c r="J251" t="n">
        <v>0</v>
      </c>
      <c r="K251" t="n">
        <v>0</v>
      </c>
      <c r="L251" t="n">
        <v>0</v>
      </c>
      <c r="M251" t="n">
        <v>0</v>
      </c>
      <c r="N251" t="n">
        <v>0</v>
      </c>
      <c r="O251" t="n">
        <v>0</v>
      </c>
      <c r="P251" t="n">
        <v>0</v>
      </c>
      <c r="Q251" t="n">
        <v>0</v>
      </c>
      <c r="R251" s="2" t="inlineStr"/>
    </row>
    <row r="252" ht="15" customHeight="1">
      <c r="A252" t="inlineStr">
        <is>
          <t>A 48728-2022</t>
        </is>
      </c>
      <c r="B252" s="1" t="n">
        <v>44859</v>
      </c>
      <c r="C252" s="1" t="n">
        <v>46192</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5980-2025</t>
        </is>
      </c>
      <c r="B253" s="1" t="n">
        <v>45695</v>
      </c>
      <c r="C253" s="1" t="n">
        <v>46192</v>
      </c>
      <c r="D253" t="inlineStr">
        <is>
          <t>DALARNAS LÄN</t>
        </is>
      </c>
      <c r="E253" t="inlineStr">
        <is>
          <t>MORA</t>
        </is>
      </c>
      <c r="G253" t="n">
        <v>2.7</v>
      </c>
      <c r="H253" t="n">
        <v>0</v>
      </c>
      <c r="I253" t="n">
        <v>0</v>
      </c>
      <c r="J253" t="n">
        <v>0</v>
      </c>
      <c r="K253" t="n">
        <v>0</v>
      </c>
      <c r="L253" t="n">
        <v>0</v>
      </c>
      <c r="M253" t="n">
        <v>0</v>
      </c>
      <c r="N253" t="n">
        <v>0</v>
      </c>
      <c r="O253" t="n">
        <v>0</v>
      </c>
      <c r="P253" t="n">
        <v>0</v>
      </c>
      <c r="Q253" t="n">
        <v>0</v>
      </c>
      <c r="R253" s="2" t="inlineStr"/>
    </row>
    <row r="254" ht="15" customHeight="1">
      <c r="A254" t="inlineStr">
        <is>
          <t>A 15993-2025</t>
        </is>
      </c>
      <c r="B254" s="1" t="n">
        <v>45749</v>
      </c>
      <c r="C254" s="1" t="n">
        <v>46192</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57110-2021</t>
        </is>
      </c>
      <c r="B255" s="1" t="n">
        <v>44482</v>
      </c>
      <c r="C255" s="1" t="n">
        <v>46192</v>
      </c>
      <c r="D255" t="inlineStr">
        <is>
          <t>DALARNAS LÄN</t>
        </is>
      </c>
      <c r="E255" t="inlineStr">
        <is>
          <t>MORA</t>
        </is>
      </c>
      <c r="G255" t="n">
        <v>5.4</v>
      </c>
      <c r="H255" t="n">
        <v>0</v>
      </c>
      <c r="I255" t="n">
        <v>0</v>
      </c>
      <c r="J255" t="n">
        <v>0</v>
      </c>
      <c r="K255" t="n">
        <v>0</v>
      </c>
      <c r="L255" t="n">
        <v>0</v>
      </c>
      <c r="M255" t="n">
        <v>0</v>
      </c>
      <c r="N255" t="n">
        <v>0</v>
      </c>
      <c r="O255" t="n">
        <v>0</v>
      </c>
      <c r="P255" t="n">
        <v>0</v>
      </c>
      <c r="Q255" t="n">
        <v>0</v>
      </c>
      <c r="R255" s="2" t="inlineStr"/>
    </row>
    <row r="256" ht="15" customHeight="1">
      <c r="A256" t="inlineStr">
        <is>
          <t>A 56702-2025</t>
        </is>
      </c>
      <c r="B256" s="1" t="n">
        <v>45977</v>
      </c>
      <c r="C256" s="1" t="n">
        <v>46192</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11857-2023</t>
        </is>
      </c>
      <c r="B257" s="1" t="n">
        <v>44995</v>
      </c>
      <c r="C257" s="1" t="n">
        <v>46192</v>
      </c>
      <c r="D257" t="inlineStr">
        <is>
          <t>DALARNAS LÄN</t>
        </is>
      </c>
      <c r="E257" t="inlineStr">
        <is>
          <t>MORA</t>
        </is>
      </c>
      <c r="G257" t="n">
        <v>1</v>
      </c>
      <c r="H257" t="n">
        <v>0</v>
      </c>
      <c r="I257" t="n">
        <v>0</v>
      </c>
      <c r="J257" t="n">
        <v>0</v>
      </c>
      <c r="K257" t="n">
        <v>0</v>
      </c>
      <c r="L257" t="n">
        <v>0</v>
      </c>
      <c r="M257" t="n">
        <v>0</v>
      </c>
      <c r="N257" t="n">
        <v>0</v>
      </c>
      <c r="O257" t="n">
        <v>0</v>
      </c>
      <c r="P257" t="n">
        <v>0</v>
      </c>
      <c r="Q257" t="n">
        <v>0</v>
      </c>
      <c r="R257" s="2" t="inlineStr"/>
    </row>
    <row r="258" ht="15" customHeight="1">
      <c r="A258" t="inlineStr">
        <is>
          <t>A 57097-2025</t>
        </is>
      </c>
      <c r="B258" s="1" t="n">
        <v>45979</v>
      </c>
      <c r="C258" s="1" t="n">
        <v>46192</v>
      </c>
      <c r="D258" t="inlineStr">
        <is>
          <t>DALARNAS LÄN</t>
        </is>
      </c>
      <c r="E258" t="inlineStr">
        <is>
          <t>MORA</t>
        </is>
      </c>
      <c r="G258" t="n">
        <v>7.5</v>
      </c>
      <c r="H258" t="n">
        <v>0</v>
      </c>
      <c r="I258" t="n">
        <v>0</v>
      </c>
      <c r="J258" t="n">
        <v>0</v>
      </c>
      <c r="K258" t="n">
        <v>0</v>
      </c>
      <c r="L258" t="n">
        <v>0</v>
      </c>
      <c r="M258" t="n">
        <v>0</v>
      </c>
      <c r="N258" t="n">
        <v>0</v>
      </c>
      <c r="O258" t="n">
        <v>0</v>
      </c>
      <c r="P258" t="n">
        <v>0</v>
      </c>
      <c r="Q258" t="n">
        <v>0</v>
      </c>
      <c r="R258" s="2" t="inlineStr"/>
    </row>
    <row r="259" ht="15" customHeight="1">
      <c r="A259" t="inlineStr">
        <is>
          <t>A 57101-2025</t>
        </is>
      </c>
      <c r="B259" s="1" t="n">
        <v>45979</v>
      </c>
      <c r="C259" s="1" t="n">
        <v>46192</v>
      </c>
      <c r="D259" t="inlineStr">
        <is>
          <t>DALARNAS LÄN</t>
        </is>
      </c>
      <c r="E259" t="inlineStr">
        <is>
          <t>MORA</t>
        </is>
      </c>
      <c r="G259" t="n">
        <v>7.5</v>
      </c>
      <c r="H259" t="n">
        <v>0</v>
      </c>
      <c r="I259" t="n">
        <v>0</v>
      </c>
      <c r="J259" t="n">
        <v>0</v>
      </c>
      <c r="K259" t="n">
        <v>0</v>
      </c>
      <c r="L259" t="n">
        <v>0</v>
      </c>
      <c r="M259" t="n">
        <v>0</v>
      </c>
      <c r="N259" t="n">
        <v>0</v>
      </c>
      <c r="O259" t="n">
        <v>0</v>
      </c>
      <c r="P259" t="n">
        <v>0</v>
      </c>
      <c r="Q259" t="n">
        <v>0</v>
      </c>
      <c r="R259" s="2" t="inlineStr"/>
    </row>
    <row r="260" ht="15" customHeight="1">
      <c r="A260" t="inlineStr">
        <is>
          <t>A 5527-2024</t>
        </is>
      </c>
      <c r="B260" s="1" t="n">
        <v>45334</v>
      </c>
      <c r="C260" s="1" t="n">
        <v>46192</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56012-2023</t>
        </is>
      </c>
      <c r="B261" s="1" t="n">
        <v>45240</v>
      </c>
      <c r="C261" s="1" t="n">
        <v>46192</v>
      </c>
      <c r="D261" t="inlineStr">
        <is>
          <t>DALARNAS LÄN</t>
        </is>
      </c>
      <c r="E261" t="inlineStr">
        <is>
          <t>MORA</t>
        </is>
      </c>
      <c r="G261" t="n">
        <v>0.3</v>
      </c>
      <c r="H261" t="n">
        <v>0</v>
      </c>
      <c r="I261" t="n">
        <v>0</v>
      </c>
      <c r="J261" t="n">
        <v>0</v>
      </c>
      <c r="K261" t="n">
        <v>0</v>
      </c>
      <c r="L261" t="n">
        <v>0</v>
      </c>
      <c r="M261" t="n">
        <v>0</v>
      </c>
      <c r="N261" t="n">
        <v>0</v>
      </c>
      <c r="O261" t="n">
        <v>0</v>
      </c>
      <c r="P261" t="n">
        <v>0</v>
      </c>
      <c r="Q261" t="n">
        <v>0</v>
      </c>
      <c r="R261" s="2" t="inlineStr"/>
    </row>
    <row r="262" ht="15" customHeight="1">
      <c r="A262" t="inlineStr">
        <is>
          <t>A 5298-2023</t>
        </is>
      </c>
      <c r="B262" s="1" t="n">
        <v>44959</v>
      </c>
      <c r="C262" s="1" t="n">
        <v>46192</v>
      </c>
      <c r="D262" t="inlineStr">
        <is>
          <t>DALARNAS LÄN</t>
        </is>
      </c>
      <c r="E262" t="inlineStr">
        <is>
          <t>MORA</t>
        </is>
      </c>
      <c r="F262" t="inlineStr">
        <is>
          <t>Bergvik skog väst AB</t>
        </is>
      </c>
      <c r="G262" t="n">
        <v>6.2</v>
      </c>
      <c r="H262" t="n">
        <v>0</v>
      </c>
      <c r="I262" t="n">
        <v>0</v>
      </c>
      <c r="J262" t="n">
        <v>0</v>
      </c>
      <c r="K262" t="n">
        <v>0</v>
      </c>
      <c r="L262" t="n">
        <v>0</v>
      </c>
      <c r="M262" t="n">
        <v>0</v>
      </c>
      <c r="N262" t="n">
        <v>0</v>
      </c>
      <c r="O262" t="n">
        <v>0</v>
      </c>
      <c r="P262" t="n">
        <v>0</v>
      </c>
      <c r="Q262" t="n">
        <v>0</v>
      </c>
      <c r="R262" s="2" t="inlineStr"/>
    </row>
    <row r="263" ht="15" customHeight="1">
      <c r="A263" t="inlineStr">
        <is>
          <t>A 57859-2022</t>
        </is>
      </c>
      <c r="B263" s="1" t="n">
        <v>44898</v>
      </c>
      <c r="C263" s="1" t="n">
        <v>46192</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57659-2025</t>
        </is>
      </c>
      <c r="B264" s="1" t="n">
        <v>45981</v>
      </c>
      <c r="C264" s="1" t="n">
        <v>46192</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57647-2025</t>
        </is>
      </c>
      <c r="B265" s="1" t="n">
        <v>45981</v>
      </c>
      <c r="C265" s="1" t="n">
        <v>46192</v>
      </c>
      <c r="D265" t="inlineStr">
        <is>
          <t>DALARNAS LÄN</t>
        </is>
      </c>
      <c r="E265" t="inlineStr">
        <is>
          <t>MORA</t>
        </is>
      </c>
      <c r="G265" t="n">
        <v>3.9</v>
      </c>
      <c r="H265" t="n">
        <v>0</v>
      </c>
      <c r="I265" t="n">
        <v>0</v>
      </c>
      <c r="J265" t="n">
        <v>0</v>
      </c>
      <c r="K265" t="n">
        <v>0</v>
      </c>
      <c r="L265" t="n">
        <v>0</v>
      </c>
      <c r="M265" t="n">
        <v>0</v>
      </c>
      <c r="N265" t="n">
        <v>0</v>
      </c>
      <c r="O265" t="n">
        <v>0</v>
      </c>
      <c r="P265" t="n">
        <v>0</v>
      </c>
      <c r="Q265" t="n">
        <v>0</v>
      </c>
      <c r="R265" s="2" t="inlineStr"/>
    </row>
    <row r="266" ht="15" customHeight="1">
      <c r="A266" t="inlineStr">
        <is>
          <t>A 43879-2022</t>
        </is>
      </c>
      <c r="B266" s="1" t="n">
        <v>44838</v>
      </c>
      <c r="C266" s="1" t="n">
        <v>46192</v>
      </c>
      <c r="D266" t="inlineStr">
        <is>
          <t>DALARNAS LÄN</t>
        </is>
      </c>
      <c r="E266" t="inlineStr">
        <is>
          <t>MORA</t>
        </is>
      </c>
      <c r="G266" t="n">
        <v>3.4</v>
      </c>
      <c r="H266" t="n">
        <v>0</v>
      </c>
      <c r="I266" t="n">
        <v>0</v>
      </c>
      <c r="J266" t="n">
        <v>0</v>
      </c>
      <c r="K266" t="n">
        <v>0</v>
      </c>
      <c r="L266" t="n">
        <v>0</v>
      </c>
      <c r="M266" t="n">
        <v>0</v>
      </c>
      <c r="N266" t="n">
        <v>0</v>
      </c>
      <c r="O266" t="n">
        <v>0</v>
      </c>
      <c r="P266" t="n">
        <v>0</v>
      </c>
      <c r="Q266" t="n">
        <v>0</v>
      </c>
      <c r="R266" s="2" t="inlineStr"/>
    </row>
    <row r="267" ht="15" customHeight="1">
      <c r="A267" t="inlineStr">
        <is>
          <t>A 57453-2025</t>
        </is>
      </c>
      <c r="B267" s="1" t="n">
        <v>45980</v>
      </c>
      <c r="C267" s="1" t="n">
        <v>46192</v>
      </c>
      <c r="D267" t="inlineStr">
        <is>
          <t>DALARNAS LÄN</t>
        </is>
      </c>
      <c r="E267" t="inlineStr">
        <is>
          <t>MORA</t>
        </is>
      </c>
      <c r="F267" t="inlineStr">
        <is>
          <t>Allmännings- och besparingsskogar</t>
        </is>
      </c>
      <c r="G267" t="n">
        <v>2.9</v>
      </c>
      <c r="H267" t="n">
        <v>0</v>
      </c>
      <c r="I267" t="n">
        <v>0</v>
      </c>
      <c r="J267" t="n">
        <v>0</v>
      </c>
      <c r="K267" t="n">
        <v>0</v>
      </c>
      <c r="L267" t="n">
        <v>0</v>
      </c>
      <c r="M267" t="n">
        <v>0</v>
      </c>
      <c r="N267" t="n">
        <v>0</v>
      </c>
      <c r="O267" t="n">
        <v>0</v>
      </c>
      <c r="P267" t="n">
        <v>0</v>
      </c>
      <c r="Q267" t="n">
        <v>0</v>
      </c>
      <c r="R267" s="2" t="inlineStr"/>
    </row>
    <row r="268" ht="15" customHeight="1">
      <c r="A268" t="inlineStr">
        <is>
          <t>A 25935-2023</t>
        </is>
      </c>
      <c r="B268" s="1" t="n">
        <v>45090</v>
      </c>
      <c r="C268" s="1" t="n">
        <v>46192</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12920-2022</t>
        </is>
      </c>
      <c r="B269" s="1" t="n">
        <v>44642</v>
      </c>
      <c r="C269" s="1" t="n">
        <v>46192</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59182-2023</t>
        </is>
      </c>
      <c r="B270" s="1" t="n">
        <v>45253</v>
      </c>
      <c r="C270" s="1" t="n">
        <v>46192</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58001-2025</t>
        </is>
      </c>
      <c r="B271" s="1" t="n">
        <v>45982</v>
      </c>
      <c r="C271" s="1" t="n">
        <v>46192</v>
      </c>
      <c r="D271" t="inlineStr">
        <is>
          <t>DALARNAS LÄN</t>
        </is>
      </c>
      <c r="E271" t="inlineStr">
        <is>
          <t>MORA</t>
        </is>
      </c>
      <c r="G271" t="n">
        <v>3.2</v>
      </c>
      <c r="H271" t="n">
        <v>0</v>
      </c>
      <c r="I271" t="n">
        <v>0</v>
      </c>
      <c r="J271" t="n">
        <v>0</v>
      </c>
      <c r="K271" t="n">
        <v>0</v>
      </c>
      <c r="L271" t="n">
        <v>0</v>
      </c>
      <c r="M271" t="n">
        <v>0</v>
      </c>
      <c r="N271" t="n">
        <v>0</v>
      </c>
      <c r="O271" t="n">
        <v>0</v>
      </c>
      <c r="P271" t="n">
        <v>0</v>
      </c>
      <c r="Q271" t="n">
        <v>0</v>
      </c>
      <c r="R271" s="2" t="inlineStr"/>
    </row>
    <row r="272" ht="15" customHeight="1">
      <c r="A272" t="inlineStr">
        <is>
          <t>A 57976-2025</t>
        </is>
      </c>
      <c r="B272" s="1" t="n">
        <v>45982</v>
      </c>
      <c r="C272" s="1" t="n">
        <v>46192</v>
      </c>
      <c r="D272" t="inlineStr">
        <is>
          <t>DALARNAS LÄN</t>
        </is>
      </c>
      <c r="E272" t="inlineStr">
        <is>
          <t>MORA</t>
        </is>
      </c>
      <c r="G272" t="n">
        <v>7.4</v>
      </c>
      <c r="H272" t="n">
        <v>0</v>
      </c>
      <c r="I272" t="n">
        <v>0</v>
      </c>
      <c r="J272" t="n">
        <v>0</v>
      </c>
      <c r="K272" t="n">
        <v>0</v>
      </c>
      <c r="L272" t="n">
        <v>0</v>
      </c>
      <c r="M272" t="n">
        <v>0</v>
      </c>
      <c r="N272" t="n">
        <v>0</v>
      </c>
      <c r="O272" t="n">
        <v>0</v>
      </c>
      <c r="P272" t="n">
        <v>0</v>
      </c>
      <c r="Q272" t="n">
        <v>0</v>
      </c>
      <c r="R272" s="2" t="inlineStr"/>
    </row>
    <row r="273" ht="15" customHeight="1">
      <c r="A273" t="inlineStr">
        <is>
          <t>A 17280-2025</t>
        </is>
      </c>
      <c r="B273" s="1" t="n">
        <v>45756</v>
      </c>
      <c r="C273" s="1" t="n">
        <v>46192</v>
      </c>
      <c r="D273" t="inlineStr">
        <is>
          <t>DALARNAS LÄN</t>
        </is>
      </c>
      <c r="E273" t="inlineStr">
        <is>
          <t>MORA</t>
        </is>
      </c>
      <c r="G273" t="n">
        <v>2.1</v>
      </c>
      <c r="H273" t="n">
        <v>0</v>
      </c>
      <c r="I273" t="n">
        <v>0</v>
      </c>
      <c r="J273" t="n">
        <v>0</v>
      </c>
      <c r="K273" t="n">
        <v>0</v>
      </c>
      <c r="L273" t="n">
        <v>0</v>
      </c>
      <c r="M273" t="n">
        <v>0</v>
      </c>
      <c r="N273" t="n">
        <v>0</v>
      </c>
      <c r="O273" t="n">
        <v>0</v>
      </c>
      <c r="P273" t="n">
        <v>0</v>
      </c>
      <c r="Q273" t="n">
        <v>0</v>
      </c>
      <c r="R273" s="2" t="inlineStr"/>
    </row>
    <row r="274" ht="15" customHeight="1">
      <c r="A274" t="inlineStr">
        <is>
          <t>A 35325-2024</t>
        </is>
      </c>
      <c r="B274" s="1" t="n">
        <v>45530</v>
      </c>
      <c r="C274" s="1" t="n">
        <v>46192</v>
      </c>
      <c r="D274" t="inlineStr">
        <is>
          <t>DALARNAS LÄN</t>
        </is>
      </c>
      <c r="E274" t="inlineStr">
        <is>
          <t>MORA</t>
        </is>
      </c>
      <c r="G274" t="n">
        <v>5</v>
      </c>
      <c r="H274" t="n">
        <v>0</v>
      </c>
      <c r="I274" t="n">
        <v>0</v>
      </c>
      <c r="J274" t="n">
        <v>0</v>
      </c>
      <c r="K274" t="n">
        <v>0</v>
      </c>
      <c r="L274" t="n">
        <v>0</v>
      </c>
      <c r="M274" t="n">
        <v>0</v>
      </c>
      <c r="N274" t="n">
        <v>0</v>
      </c>
      <c r="O274" t="n">
        <v>0</v>
      </c>
      <c r="P274" t="n">
        <v>0</v>
      </c>
      <c r="Q274" t="n">
        <v>0</v>
      </c>
      <c r="R274" s="2" t="inlineStr"/>
    </row>
    <row r="275" ht="15" customHeight="1">
      <c r="A275" t="inlineStr">
        <is>
          <t>A 66232-2021</t>
        </is>
      </c>
      <c r="B275" s="1" t="n">
        <v>44518</v>
      </c>
      <c r="C275" s="1" t="n">
        <v>46192</v>
      </c>
      <c r="D275" t="inlineStr">
        <is>
          <t>DALARNAS LÄN</t>
        </is>
      </c>
      <c r="E275" t="inlineStr">
        <is>
          <t>MORA</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45562-2023</t>
        </is>
      </c>
      <c r="B276" s="1" t="n">
        <v>45194</v>
      </c>
      <c r="C276" s="1" t="n">
        <v>46192</v>
      </c>
      <c r="D276" t="inlineStr">
        <is>
          <t>DALARNAS LÄN</t>
        </is>
      </c>
      <c r="E276" t="inlineStr">
        <is>
          <t>MORA</t>
        </is>
      </c>
      <c r="G276" t="n">
        <v>0.7</v>
      </c>
      <c r="H276" t="n">
        <v>0</v>
      </c>
      <c r="I276" t="n">
        <v>0</v>
      </c>
      <c r="J276" t="n">
        <v>0</v>
      </c>
      <c r="K276" t="n">
        <v>0</v>
      </c>
      <c r="L276" t="n">
        <v>0</v>
      </c>
      <c r="M276" t="n">
        <v>0</v>
      </c>
      <c r="N276" t="n">
        <v>0</v>
      </c>
      <c r="O276" t="n">
        <v>0</v>
      </c>
      <c r="P276" t="n">
        <v>0</v>
      </c>
      <c r="Q276" t="n">
        <v>0</v>
      </c>
      <c r="R276" s="2" t="inlineStr"/>
    </row>
    <row r="277" ht="15" customHeight="1">
      <c r="A277" t="inlineStr">
        <is>
          <t>A 34282-2024</t>
        </is>
      </c>
      <c r="B277" s="1" t="n">
        <v>45524</v>
      </c>
      <c r="C277" s="1" t="n">
        <v>46192</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59995-2023</t>
        </is>
      </c>
      <c r="B278" s="1" t="n">
        <v>45254</v>
      </c>
      <c r="C278" s="1" t="n">
        <v>46192</v>
      </c>
      <c r="D278" t="inlineStr">
        <is>
          <t>DALARNAS LÄN</t>
        </is>
      </c>
      <c r="E278" t="inlineStr">
        <is>
          <t>MORA</t>
        </is>
      </c>
      <c r="G278" t="n">
        <v>1.2</v>
      </c>
      <c r="H278" t="n">
        <v>0</v>
      </c>
      <c r="I278" t="n">
        <v>0</v>
      </c>
      <c r="J278" t="n">
        <v>0</v>
      </c>
      <c r="K278" t="n">
        <v>0</v>
      </c>
      <c r="L278" t="n">
        <v>0</v>
      </c>
      <c r="M278" t="n">
        <v>0</v>
      </c>
      <c r="N278" t="n">
        <v>0</v>
      </c>
      <c r="O278" t="n">
        <v>0</v>
      </c>
      <c r="P278" t="n">
        <v>0</v>
      </c>
      <c r="Q278" t="n">
        <v>0</v>
      </c>
      <c r="R278" s="2" t="inlineStr"/>
    </row>
    <row r="279" ht="15" customHeight="1">
      <c r="A279" t="inlineStr">
        <is>
          <t>A 38055-2024</t>
        </is>
      </c>
      <c r="B279" s="1" t="n">
        <v>45544</v>
      </c>
      <c r="C279" s="1" t="n">
        <v>46192</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55135-2025</t>
        </is>
      </c>
      <c r="B280" s="1" t="n">
        <v>45968</v>
      </c>
      <c r="C280" s="1" t="n">
        <v>46192</v>
      </c>
      <c r="D280" t="inlineStr">
        <is>
          <t>DALARNAS LÄN</t>
        </is>
      </c>
      <c r="E280" t="inlineStr">
        <is>
          <t>MORA</t>
        </is>
      </c>
      <c r="G280" t="n">
        <v>5.1</v>
      </c>
      <c r="H280" t="n">
        <v>0</v>
      </c>
      <c r="I280" t="n">
        <v>0</v>
      </c>
      <c r="J280" t="n">
        <v>0</v>
      </c>
      <c r="K280" t="n">
        <v>0</v>
      </c>
      <c r="L280" t="n">
        <v>0</v>
      </c>
      <c r="M280" t="n">
        <v>0</v>
      </c>
      <c r="N280" t="n">
        <v>0</v>
      </c>
      <c r="O280" t="n">
        <v>0</v>
      </c>
      <c r="P280" t="n">
        <v>0</v>
      </c>
      <c r="Q280" t="n">
        <v>0</v>
      </c>
      <c r="R280" s="2" t="inlineStr"/>
    </row>
    <row r="281" ht="15" customHeight="1">
      <c r="A281" t="inlineStr">
        <is>
          <t>A 7116-2024</t>
        </is>
      </c>
      <c r="B281" s="1" t="n">
        <v>45343</v>
      </c>
      <c r="C281" s="1" t="n">
        <v>46192</v>
      </c>
      <c r="D281" t="inlineStr">
        <is>
          <t>DALARNAS LÄN</t>
        </is>
      </c>
      <c r="E281" t="inlineStr">
        <is>
          <t>MORA</t>
        </is>
      </c>
      <c r="G281" t="n">
        <v>0.3</v>
      </c>
      <c r="H281" t="n">
        <v>0</v>
      </c>
      <c r="I281" t="n">
        <v>0</v>
      </c>
      <c r="J281" t="n">
        <v>0</v>
      </c>
      <c r="K281" t="n">
        <v>0</v>
      </c>
      <c r="L281" t="n">
        <v>0</v>
      </c>
      <c r="M281" t="n">
        <v>0</v>
      </c>
      <c r="N281" t="n">
        <v>0</v>
      </c>
      <c r="O281" t="n">
        <v>0</v>
      </c>
      <c r="P281" t="n">
        <v>0</v>
      </c>
      <c r="Q281" t="n">
        <v>0</v>
      </c>
      <c r="R281" s="2" t="inlineStr"/>
    </row>
    <row r="282" ht="15" customHeight="1">
      <c r="A282" t="inlineStr">
        <is>
          <t>A 22785-2023</t>
        </is>
      </c>
      <c r="B282" s="1" t="n">
        <v>45072</v>
      </c>
      <c r="C282" s="1" t="n">
        <v>46192</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59094-2025</t>
        </is>
      </c>
      <c r="B283" s="1" t="n">
        <v>45988</v>
      </c>
      <c r="C283" s="1" t="n">
        <v>46192</v>
      </c>
      <c r="D283" t="inlineStr">
        <is>
          <t>DALARNAS LÄN</t>
        </is>
      </c>
      <c r="E283" t="inlineStr">
        <is>
          <t>MORA</t>
        </is>
      </c>
      <c r="G283" t="n">
        <v>10</v>
      </c>
      <c r="H283" t="n">
        <v>0</v>
      </c>
      <c r="I283" t="n">
        <v>0</v>
      </c>
      <c r="J283" t="n">
        <v>0</v>
      </c>
      <c r="K283" t="n">
        <v>0</v>
      </c>
      <c r="L283" t="n">
        <v>0</v>
      </c>
      <c r="M283" t="n">
        <v>0</v>
      </c>
      <c r="N283" t="n">
        <v>0</v>
      </c>
      <c r="O283" t="n">
        <v>0</v>
      </c>
      <c r="P283" t="n">
        <v>0</v>
      </c>
      <c r="Q283" t="n">
        <v>0</v>
      </c>
      <c r="R283" s="2" t="inlineStr"/>
    </row>
    <row r="284" ht="15" customHeight="1">
      <c r="A284" t="inlineStr">
        <is>
          <t>A 59805-2025</t>
        </is>
      </c>
      <c r="B284" s="1" t="n">
        <v>45992</v>
      </c>
      <c r="C284" s="1" t="n">
        <v>46192</v>
      </c>
      <c r="D284" t="inlineStr">
        <is>
          <t>DALARNAS LÄN</t>
        </is>
      </c>
      <c r="E284" t="inlineStr">
        <is>
          <t>MORA</t>
        </is>
      </c>
      <c r="G284" t="n">
        <v>4.2</v>
      </c>
      <c r="H284" t="n">
        <v>0</v>
      </c>
      <c r="I284" t="n">
        <v>0</v>
      </c>
      <c r="J284" t="n">
        <v>0</v>
      </c>
      <c r="K284" t="n">
        <v>0</v>
      </c>
      <c r="L284" t="n">
        <v>0</v>
      </c>
      <c r="M284" t="n">
        <v>0</v>
      </c>
      <c r="N284" t="n">
        <v>0</v>
      </c>
      <c r="O284" t="n">
        <v>0</v>
      </c>
      <c r="P284" t="n">
        <v>0</v>
      </c>
      <c r="Q284" t="n">
        <v>0</v>
      </c>
      <c r="R284" s="2" t="inlineStr"/>
    </row>
    <row r="285" ht="15" customHeight="1">
      <c r="A285" t="inlineStr">
        <is>
          <t>A 16637-2025</t>
        </is>
      </c>
      <c r="B285" s="1" t="n">
        <v>45754</v>
      </c>
      <c r="C285" s="1" t="n">
        <v>46192</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59768-2025</t>
        </is>
      </c>
      <c r="B286" s="1" t="n">
        <v>45992</v>
      </c>
      <c r="C286" s="1" t="n">
        <v>46192</v>
      </c>
      <c r="D286" t="inlineStr">
        <is>
          <t>DALARNAS LÄN</t>
        </is>
      </c>
      <c r="E286" t="inlineStr">
        <is>
          <t>MORA</t>
        </is>
      </c>
      <c r="G286" t="n">
        <v>4</v>
      </c>
      <c r="H286" t="n">
        <v>0</v>
      </c>
      <c r="I286" t="n">
        <v>0</v>
      </c>
      <c r="J286" t="n">
        <v>0</v>
      </c>
      <c r="K286" t="n">
        <v>0</v>
      </c>
      <c r="L286" t="n">
        <v>0</v>
      </c>
      <c r="M286" t="n">
        <v>0</v>
      </c>
      <c r="N286" t="n">
        <v>0</v>
      </c>
      <c r="O286" t="n">
        <v>0</v>
      </c>
      <c r="P286" t="n">
        <v>0</v>
      </c>
      <c r="Q286" t="n">
        <v>0</v>
      </c>
      <c r="R286" s="2" t="inlineStr"/>
    </row>
    <row r="287" ht="15" customHeight="1">
      <c r="A287" t="inlineStr">
        <is>
          <t>A 59669-2025</t>
        </is>
      </c>
      <c r="B287" s="1" t="n">
        <v>45992</v>
      </c>
      <c r="C287" s="1" t="n">
        <v>46192</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49991-2023</t>
        </is>
      </c>
      <c r="B288" s="1" t="n">
        <v>45215</v>
      </c>
      <c r="C288" s="1" t="n">
        <v>46192</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28131-2024</t>
        </is>
      </c>
      <c r="B289" s="1" t="n">
        <v>45476</v>
      </c>
      <c r="C289" s="1" t="n">
        <v>46192</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28132-2024</t>
        </is>
      </c>
      <c r="B290" s="1" t="n">
        <v>45476</v>
      </c>
      <c r="C290" s="1" t="n">
        <v>46192</v>
      </c>
      <c r="D290" t="inlineStr">
        <is>
          <t>DALARNAS LÄN</t>
        </is>
      </c>
      <c r="E290" t="inlineStr">
        <is>
          <t>MORA</t>
        </is>
      </c>
      <c r="G290" t="n">
        <v>0.2</v>
      </c>
      <c r="H290" t="n">
        <v>0</v>
      </c>
      <c r="I290" t="n">
        <v>0</v>
      </c>
      <c r="J290" t="n">
        <v>0</v>
      </c>
      <c r="K290" t="n">
        <v>0</v>
      </c>
      <c r="L290" t="n">
        <v>0</v>
      </c>
      <c r="M290" t="n">
        <v>0</v>
      </c>
      <c r="N290" t="n">
        <v>0</v>
      </c>
      <c r="O290" t="n">
        <v>0</v>
      </c>
      <c r="P290" t="n">
        <v>0</v>
      </c>
      <c r="Q290" t="n">
        <v>0</v>
      </c>
      <c r="R290" s="2" t="inlineStr"/>
    </row>
    <row r="291" ht="15" customHeight="1">
      <c r="A291" t="inlineStr">
        <is>
          <t>A 20930-2024</t>
        </is>
      </c>
      <c r="B291" s="1" t="n">
        <v>45439</v>
      </c>
      <c r="C291" s="1" t="n">
        <v>46192</v>
      </c>
      <c r="D291" t="inlineStr">
        <is>
          <t>DALARNAS LÄN</t>
        </is>
      </c>
      <c r="E291" t="inlineStr">
        <is>
          <t>MORA</t>
        </is>
      </c>
      <c r="F291" t="inlineStr">
        <is>
          <t>Bergvik skog väst AB</t>
        </is>
      </c>
      <c r="G291" t="n">
        <v>5.3</v>
      </c>
      <c r="H291" t="n">
        <v>0</v>
      </c>
      <c r="I291" t="n">
        <v>0</v>
      </c>
      <c r="J291" t="n">
        <v>0</v>
      </c>
      <c r="K291" t="n">
        <v>0</v>
      </c>
      <c r="L291" t="n">
        <v>0</v>
      </c>
      <c r="M291" t="n">
        <v>0</v>
      </c>
      <c r="N291" t="n">
        <v>0</v>
      </c>
      <c r="O291" t="n">
        <v>0</v>
      </c>
      <c r="P291" t="n">
        <v>0</v>
      </c>
      <c r="Q291" t="n">
        <v>0</v>
      </c>
      <c r="R291" s="2" t="inlineStr"/>
    </row>
    <row r="292" ht="15" customHeight="1">
      <c r="A292" t="inlineStr">
        <is>
          <t>A 42611-2022</t>
        </is>
      </c>
      <c r="B292" s="1" t="n">
        <v>44831</v>
      </c>
      <c r="C292" s="1" t="n">
        <v>46192</v>
      </c>
      <c r="D292" t="inlineStr">
        <is>
          <t>DALARNAS LÄN</t>
        </is>
      </c>
      <c r="E292" t="inlineStr">
        <is>
          <t>MORA</t>
        </is>
      </c>
      <c r="G292" t="n">
        <v>2.1</v>
      </c>
      <c r="H292" t="n">
        <v>0</v>
      </c>
      <c r="I292" t="n">
        <v>0</v>
      </c>
      <c r="J292" t="n">
        <v>0</v>
      </c>
      <c r="K292" t="n">
        <v>0</v>
      </c>
      <c r="L292" t="n">
        <v>0</v>
      </c>
      <c r="M292" t="n">
        <v>0</v>
      </c>
      <c r="N292" t="n">
        <v>0</v>
      </c>
      <c r="O292" t="n">
        <v>0</v>
      </c>
      <c r="P292" t="n">
        <v>0</v>
      </c>
      <c r="Q292" t="n">
        <v>0</v>
      </c>
      <c r="R292" s="2" t="inlineStr"/>
    </row>
    <row r="293" ht="15" customHeight="1">
      <c r="A293" t="inlineStr">
        <is>
          <t>A 48522-2024</t>
        </is>
      </c>
      <c r="B293" s="1" t="n">
        <v>45593</v>
      </c>
      <c r="C293" s="1" t="n">
        <v>46192</v>
      </c>
      <c r="D293" t="inlineStr">
        <is>
          <t>DALARNAS LÄN</t>
        </is>
      </c>
      <c r="E293" t="inlineStr">
        <is>
          <t>MORA</t>
        </is>
      </c>
      <c r="G293" t="n">
        <v>1.2</v>
      </c>
      <c r="H293" t="n">
        <v>0</v>
      </c>
      <c r="I293" t="n">
        <v>0</v>
      </c>
      <c r="J293" t="n">
        <v>0</v>
      </c>
      <c r="K293" t="n">
        <v>0</v>
      </c>
      <c r="L293" t="n">
        <v>0</v>
      </c>
      <c r="M293" t="n">
        <v>0</v>
      </c>
      <c r="N293" t="n">
        <v>0</v>
      </c>
      <c r="O293" t="n">
        <v>0</v>
      </c>
      <c r="P293" t="n">
        <v>0</v>
      </c>
      <c r="Q293" t="n">
        <v>0</v>
      </c>
      <c r="R293" s="2" t="inlineStr"/>
    </row>
    <row r="294" ht="15" customHeight="1">
      <c r="A294" t="inlineStr">
        <is>
          <t>A 48342-2023</t>
        </is>
      </c>
      <c r="B294" s="1" t="n">
        <v>45205</v>
      </c>
      <c r="C294" s="1" t="n">
        <v>46192</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60957-2025</t>
        </is>
      </c>
      <c r="B295" s="1" t="n">
        <v>45999</v>
      </c>
      <c r="C295" s="1" t="n">
        <v>46192</v>
      </c>
      <c r="D295" t="inlineStr">
        <is>
          <t>DALARNAS LÄN</t>
        </is>
      </c>
      <c r="E295" t="inlineStr">
        <is>
          <t>MORA</t>
        </is>
      </c>
      <c r="G295" t="n">
        <v>1.6</v>
      </c>
      <c r="H295" t="n">
        <v>0</v>
      </c>
      <c r="I295" t="n">
        <v>0</v>
      </c>
      <c r="J295" t="n">
        <v>0</v>
      </c>
      <c r="K295" t="n">
        <v>0</v>
      </c>
      <c r="L295" t="n">
        <v>0</v>
      </c>
      <c r="M295" t="n">
        <v>0</v>
      </c>
      <c r="N295" t="n">
        <v>0</v>
      </c>
      <c r="O295" t="n">
        <v>0</v>
      </c>
      <c r="P295" t="n">
        <v>0</v>
      </c>
      <c r="Q295" t="n">
        <v>0</v>
      </c>
      <c r="R295" s="2" t="inlineStr"/>
    </row>
    <row r="296" ht="15" customHeight="1">
      <c r="A296" t="inlineStr">
        <is>
          <t>A 55691-2023</t>
        </is>
      </c>
      <c r="B296" s="1" t="n">
        <v>45239</v>
      </c>
      <c r="C296" s="1" t="n">
        <v>46192</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63958-2023</t>
        </is>
      </c>
      <c r="B297" s="1" t="n">
        <v>45278</v>
      </c>
      <c r="C297" s="1" t="n">
        <v>46192</v>
      </c>
      <c r="D297" t="inlineStr">
        <is>
          <t>DALARNAS LÄN</t>
        </is>
      </c>
      <c r="E297" t="inlineStr">
        <is>
          <t>MORA</t>
        </is>
      </c>
      <c r="G297" t="n">
        <v>1.9</v>
      </c>
      <c r="H297" t="n">
        <v>0</v>
      </c>
      <c r="I297" t="n">
        <v>0</v>
      </c>
      <c r="J297" t="n">
        <v>0</v>
      </c>
      <c r="K297" t="n">
        <v>0</v>
      </c>
      <c r="L297" t="n">
        <v>0</v>
      </c>
      <c r="M297" t="n">
        <v>0</v>
      </c>
      <c r="N297" t="n">
        <v>0</v>
      </c>
      <c r="O297" t="n">
        <v>0</v>
      </c>
      <c r="P297" t="n">
        <v>0</v>
      </c>
      <c r="Q297" t="n">
        <v>0</v>
      </c>
      <c r="R297" s="2" t="inlineStr"/>
    </row>
    <row r="298" ht="15" customHeight="1">
      <c r="A298" t="inlineStr">
        <is>
          <t>A 25494-2024</t>
        </is>
      </c>
      <c r="B298" s="1" t="n">
        <v>45463</v>
      </c>
      <c r="C298" s="1" t="n">
        <v>46192</v>
      </c>
      <c r="D298" t="inlineStr">
        <is>
          <t>DALARNAS LÄN</t>
        </is>
      </c>
      <c r="E298" t="inlineStr">
        <is>
          <t>MORA</t>
        </is>
      </c>
      <c r="G298" t="n">
        <v>4.9</v>
      </c>
      <c r="H298" t="n">
        <v>0</v>
      </c>
      <c r="I298" t="n">
        <v>0</v>
      </c>
      <c r="J298" t="n">
        <v>0</v>
      </c>
      <c r="K298" t="n">
        <v>0</v>
      </c>
      <c r="L298" t="n">
        <v>0</v>
      </c>
      <c r="M298" t="n">
        <v>0</v>
      </c>
      <c r="N298" t="n">
        <v>0</v>
      </c>
      <c r="O298" t="n">
        <v>0</v>
      </c>
      <c r="P298" t="n">
        <v>0</v>
      </c>
      <c r="Q298" t="n">
        <v>0</v>
      </c>
      <c r="R298" s="2" t="inlineStr"/>
    </row>
    <row r="299" ht="15" customHeight="1">
      <c r="A299" t="inlineStr">
        <is>
          <t>A 33676-2023</t>
        </is>
      </c>
      <c r="B299" s="1" t="n">
        <v>45132</v>
      </c>
      <c r="C299" s="1" t="n">
        <v>46192</v>
      </c>
      <c r="D299" t="inlineStr">
        <is>
          <t>DALARNAS LÄN</t>
        </is>
      </c>
      <c r="E299" t="inlineStr">
        <is>
          <t>MORA</t>
        </is>
      </c>
      <c r="F299" t="inlineStr">
        <is>
          <t>Bergvik skog öst AB</t>
        </is>
      </c>
      <c r="G299" t="n">
        <v>2.7</v>
      </c>
      <c r="H299" t="n">
        <v>0</v>
      </c>
      <c r="I299" t="n">
        <v>0</v>
      </c>
      <c r="J299" t="n">
        <v>0</v>
      </c>
      <c r="K299" t="n">
        <v>0</v>
      </c>
      <c r="L299" t="n">
        <v>0</v>
      </c>
      <c r="M299" t="n">
        <v>0</v>
      </c>
      <c r="N299" t="n">
        <v>0</v>
      </c>
      <c r="O299" t="n">
        <v>0</v>
      </c>
      <c r="P299" t="n">
        <v>0</v>
      </c>
      <c r="Q299" t="n">
        <v>0</v>
      </c>
      <c r="R299" s="2" t="inlineStr"/>
    </row>
    <row r="300" ht="15" customHeight="1">
      <c r="A300" t="inlineStr">
        <is>
          <t>A 61188-2024</t>
        </is>
      </c>
      <c r="B300" s="1" t="n">
        <v>45645</v>
      </c>
      <c r="C300" s="1" t="n">
        <v>46192</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37710-2023</t>
        </is>
      </c>
      <c r="B301" s="1" t="n">
        <v>45159</v>
      </c>
      <c r="C301" s="1" t="n">
        <v>46192</v>
      </c>
      <c r="D301" t="inlineStr">
        <is>
          <t>DALARNAS LÄN</t>
        </is>
      </c>
      <c r="E301" t="inlineStr">
        <is>
          <t>MORA</t>
        </is>
      </c>
      <c r="G301" t="n">
        <v>1.9</v>
      </c>
      <c r="H301" t="n">
        <v>0</v>
      </c>
      <c r="I301" t="n">
        <v>0</v>
      </c>
      <c r="J301" t="n">
        <v>0</v>
      </c>
      <c r="K301" t="n">
        <v>0</v>
      </c>
      <c r="L301" t="n">
        <v>0</v>
      </c>
      <c r="M301" t="n">
        <v>0</v>
      </c>
      <c r="N301" t="n">
        <v>0</v>
      </c>
      <c r="O301" t="n">
        <v>0</v>
      </c>
      <c r="P301" t="n">
        <v>0</v>
      </c>
      <c r="Q301" t="n">
        <v>0</v>
      </c>
      <c r="R301" s="2" t="inlineStr"/>
    </row>
    <row r="302" ht="15" customHeight="1">
      <c r="A302" t="inlineStr">
        <is>
          <t>A 28934-2023</t>
        </is>
      </c>
      <c r="B302" s="1" t="n">
        <v>45104</v>
      </c>
      <c r="C302" s="1" t="n">
        <v>46192</v>
      </c>
      <c r="D302" t="inlineStr">
        <is>
          <t>DALARNAS LÄN</t>
        </is>
      </c>
      <c r="E302" t="inlineStr">
        <is>
          <t>MORA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61412-2025</t>
        </is>
      </c>
      <c r="B303" s="1" t="n">
        <v>46001</v>
      </c>
      <c r="C303" s="1" t="n">
        <v>46192</v>
      </c>
      <c r="D303" t="inlineStr">
        <is>
          <t>DALARNAS LÄN</t>
        </is>
      </c>
      <c r="E303" t="inlineStr">
        <is>
          <t>MORA</t>
        </is>
      </c>
      <c r="G303" t="n">
        <v>2.9</v>
      </c>
      <c r="H303" t="n">
        <v>0</v>
      </c>
      <c r="I303" t="n">
        <v>0</v>
      </c>
      <c r="J303" t="n">
        <v>0</v>
      </c>
      <c r="K303" t="n">
        <v>0</v>
      </c>
      <c r="L303" t="n">
        <v>0</v>
      </c>
      <c r="M303" t="n">
        <v>0</v>
      </c>
      <c r="N303" t="n">
        <v>0</v>
      </c>
      <c r="O303" t="n">
        <v>0</v>
      </c>
      <c r="P303" t="n">
        <v>0</v>
      </c>
      <c r="Q303" t="n">
        <v>0</v>
      </c>
      <c r="R303" s="2" t="inlineStr"/>
    </row>
    <row r="304" ht="15" customHeight="1">
      <c r="A304" t="inlineStr">
        <is>
          <t>A 55222-2023</t>
        </is>
      </c>
      <c r="B304" s="1" t="n">
        <v>45237</v>
      </c>
      <c r="C304" s="1" t="n">
        <v>46192</v>
      </c>
      <c r="D304" t="inlineStr">
        <is>
          <t>DALARNAS LÄN</t>
        </is>
      </c>
      <c r="E304" t="inlineStr">
        <is>
          <t>MORA</t>
        </is>
      </c>
      <c r="F304" t="inlineStr">
        <is>
          <t>Allmännings- och besparingsskogar</t>
        </is>
      </c>
      <c r="G304" t="n">
        <v>19.8</v>
      </c>
      <c r="H304" t="n">
        <v>0</v>
      </c>
      <c r="I304" t="n">
        <v>0</v>
      </c>
      <c r="J304" t="n">
        <v>0</v>
      </c>
      <c r="K304" t="n">
        <v>0</v>
      </c>
      <c r="L304" t="n">
        <v>0</v>
      </c>
      <c r="M304" t="n">
        <v>0</v>
      </c>
      <c r="N304" t="n">
        <v>0</v>
      </c>
      <c r="O304" t="n">
        <v>0</v>
      </c>
      <c r="P304" t="n">
        <v>0</v>
      </c>
      <c r="Q304" t="n">
        <v>0</v>
      </c>
      <c r="R304" s="2" t="inlineStr"/>
    </row>
    <row r="305" ht="15" customHeight="1">
      <c r="A305" t="inlineStr">
        <is>
          <t>A 24772-2024</t>
        </is>
      </c>
      <c r="B305" s="1" t="n">
        <v>45460</v>
      </c>
      <c r="C305" s="1" t="n">
        <v>46192</v>
      </c>
      <c r="D305" t="inlineStr">
        <is>
          <t>DALARNAS LÄN</t>
        </is>
      </c>
      <c r="E305" t="inlineStr">
        <is>
          <t>MORA</t>
        </is>
      </c>
      <c r="G305" t="n">
        <v>0.9</v>
      </c>
      <c r="H305" t="n">
        <v>0</v>
      </c>
      <c r="I305" t="n">
        <v>0</v>
      </c>
      <c r="J305" t="n">
        <v>0</v>
      </c>
      <c r="K305" t="n">
        <v>0</v>
      </c>
      <c r="L305" t="n">
        <v>0</v>
      </c>
      <c r="M305" t="n">
        <v>0</v>
      </c>
      <c r="N305" t="n">
        <v>0</v>
      </c>
      <c r="O305" t="n">
        <v>0</v>
      </c>
      <c r="P305" t="n">
        <v>0</v>
      </c>
      <c r="Q305" t="n">
        <v>0</v>
      </c>
      <c r="R305" s="2" t="inlineStr"/>
    </row>
    <row r="306" ht="15" customHeight="1">
      <c r="A306" t="inlineStr">
        <is>
          <t>A 15416-2023</t>
        </is>
      </c>
      <c r="B306" s="1" t="n">
        <v>45019</v>
      </c>
      <c r="C306" s="1" t="n">
        <v>46192</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5486-2023</t>
        </is>
      </c>
      <c r="B307" s="1" t="n">
        <v>44957</v>
      </c>
      <c r="C307" s="1" t="n">
        <v>46192</v>
      </c>
      <c r="D307" t="inlineStr">
        <is>
          <t>DALARNAS LÄN</t>
        </is>
      </c>
      <c r="E307" t="inlineStr">
        <is>
          <t>MORA</t>
        </is>
      </c>
      <c r="G307" t="n">
        <v>3.2</v>
      </c>
      <c r="H307" t="n">
        <v>0</v>
      </c>
      <c r="I307" t="n">
        <v>0</v>
      </c>
      <c r="J307" t="n">
        <v>0</v>
      </c>
      <c r="K307" t="n">
        <v>0</v>
      </c>
      <c r="L307" t="n">
        <v>0</v>
      </c>
      <c r="M307" t="n">
        <v>0</v>
      </c>
      <c r="N307" t="n">
        <v>0</v>
      </c>
      <c r="O307" t="n">
        <v>0</v>
      </c>
      <c r="P307" t="n">
        <v>0</v>
      </c>
      <c r="Q307" t="n">
        <v>0</v>
      </c>
      <c r="R307" s="2" t="inlineStr"/>
    </row>
    <row r="308" ht="15" customHeight="1">
      <c r="A308" t="inlineStr">
        <is>
          <t>A 42943-2024</t>
        </is>
      </c>
      <c r="B308" s="1" t="n">
        <v>45567</v>
      </c>
      <c r="C308" s="1" t="n">
        <v>46192</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61455-2025</t>
        </is>
      </c>
      <c r="B309" s="1" t="n">
        <v>46001</v>
      </c>
      <c r="C309" s="1" t="n">
        <v>46192</v>
      </c>
      <c r="D309" t="inlineStr">
        <is>
          <t>DALARNAS LÄN</t>
        </is>
      </c>
      <c r="E309" t="inlineStr">
        <is>
          <t>MORA</t>
        </is>
      </c>
      <c r="G309" t="n">
        <v>3.4</v>
      </c>
      <c r="H309" t="n">
        <v>0</v>
      </c>
      <c r="I309" t="n">
        <v>0</v>
      </c>
      <c r="J309" t="n">
        <v>0</v>
      </c>
      <c r="K309" t="n">
        <v>0</v>
      </c>
      <c r="L309" t="n">
        <v>0</v>
      </c>
      <c r="M309" t="n">
        <v>0</v>
      </c>
      <c r="N309" t="n">
        <v>0</v>
      </c>
      <c r="O309" t="n">
        <v>0</v>
      </c>
      <c r="P309" t="n">
        <v>0</v>
      </c>
      <c r="Q309" t="n">
        <v>0</v>
      </c>
      <c r="R309" s="2" t="inlineStr"/>
    </row>
    <row r="310" ht="15" customHeight="1">
      <c r="A310" t="inlineStr">
        <is>
          <t>A 54253-2023</t>
        </is>
      </c>
      <c r="B310" s="1" t="n">
        <v>45232</v>
      </c>
      <c r="C310" s="1" t="n">
        <v>46192</v>
      </c>
      <c r="D310" t="inlineStr">
        <is>
          <t>DALARNAS LÄN</t>
        </is>
      </c>
      <c r="E310" t="inlineStr">
        <is>
          <t>MORA</t>
        </is>
      </c>
      <c r="G310" t="n">
        <v>4.5</v>
      </c>
      <c r="H310" t="n">
        <v>0</v>
      </c>
      <c r="I310" t="n">
        <v>0</v>
      </c>
      <c r="J310" t="n">
        <v>0</v>
      </c>
      <c r="K310" t="n">
        <v>0</v>
      </c>
      <c r="L310" t="n">
        <v>0</v>
      </c>
      <c r="M310" t="n">
        <v>0</v>
      </c>
      <c r="N310" t="n">
        <v>0</v>
      </c>
      <c r="O310" t="n">
        <v>0</v>
      </c>
      <c r="P310" t="n">
        <v>0</v>
      </c>
      <c r="Q310" t="n">
        <v>0</v>
      </c>
      <c r="R310" s="2" t="inlineStr"/>
    </row>
    <row r="311" ht="15" customHeight="1">
      <c r="A311" t="inlineStr">
        <is>
          <t>A 9855-2024</t>
        </is>
      </c>
      <c r="B311" s="1" t="n">
        <v>45363</v>
      </c>
      <c r="C311" s="1" t="n">
        <v>46192</v>
      </c>
      <c r="D311" t="inlineStr">
        <is>
          <t>DALARNAS LÄN</t>
        </is>
      </c>
      <c r="E311" t="inlineStr">
        <is>
          <t>MORA</t>
        </is>
      </c>
      <c r="G311" t="n">
        <v>8.6</v>
      </c>
      <c r="H311" t="n">
        <v>0</v>
      </c>
      <c r="I311" t="n">
        <v>0</v>
      </c>
      <c r="J311" t="n">
        <v>0</v>
      </c>
      <c r="K311" t="n">
        <v>0</v>
      </c>
      <c r="L311" t="n">
        <v>0</v>
      </c>
      <c r="M311" t="n">
        <v>0</v>
      </c>
      <c r="N311" t="n">
        <v>0</v>
      </c>
      <c r="O311" t="n">
        <v>0</v>
      </c>
      <c r="P311" t="n">
        <v>0</v>
      </c>
      <c r="Q311" t="n">
        <v>0</v>
      </c>
      <c r="R311" s="2" t="inlineStr"/>
    </row>
    <row r="312" ht="15" customHeight="1">
      <c r="A312" t="inlineStr">
        <is>
          <t>A 57608-2021</t>
        </is>
      </c>
      <c r="B312" s="1" t="n">
        <v>44484</v>
      </c>
      <c r="C312" s="1" t="n">
        <v>46192</v>
      </c>
      <c r="D312" t="inlineStr">
        <is>
          <t>DALARNAS LÄN</t>
        </is>
      </c>
      <c r="E312" t="inlineStr">
        <is>
          <t>MORA</t>
        </is>
      </c>
      <c r="G312" t="n">
        <v>6.3</v>
      </c>
      <c r="H312" t="n">
        <v>0</v>
      </c>
      <c r="I312" t="n">
        <v>0</v>
      </c>
      <c r="J312" t="n">
        <v>0</v>
      </c>
      <c r="K312" t="n">
        <v>0</v>
      </c>
      <c r="L312" t="n">
        <v>0</v>
      </c>
      <c r="M312" t="n">
        <v>0</v>
      </c>
      <c r="N312" t="n">
        <v>0</v>
      </c>
      <c r="O312" t="n">
        <v>0</v>
      </c>
      <c r="P312" t="n">
        <v>0</v>
      </c>
      <c r="Q312" t="n">
        <v>0</v>
      </c>
      <c r="R312" s="2" t="inlineStr"/>
    </row>
    <row r="313" ht="15" customHeight="1">
      <c r="A313" t="inlineStr">
        <is>
          <t>A 21244-2024</t>
        </is>
      </c>
      <c r="B313" s="1" t="n">
        <v>45440</v>
      </c>
      <c r="C313" s="1" t="n">
        <v>46192</v>
      </c>
      <c r="D313" t="inlineStr">
        <is>
          <t>DALARNAS LÄN</t>
        </is>
      </c>
      <c r="E313" t="inlineStr">
        <is>
          <t>MORA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61606-2025</t>
        </is>
      </c>
      <c r="B314" s="1" t="n">
        <v>46002</v>
      </c>
      <c r="C314" s="1" t="n">
        <v>46192</v>
      </c>
      <c r="D314" t="inlineStr">
        <is>
          <t>DALARNAS LÄN</t>
        </is>
      </c>
      <c r="E314" t="inlineStr">
        <is>
          <t>MORA</t>
        </is>
      </c>
      <c r="G314" t="n">
        <v>6.1</v>
      </c>
      <c r="H314" t="n">
        <v>0</v>
      </c>
      <c r="I314" t="n">
        <v>0</v>
      </c>
      <c r="J314" t="n">
        <v>0</v>
      </c>
      <c r="K314" t="n">
        <v>0</v>
      </c>
      <c r="L314" t="n">
        <v>0</v>
      </c>
      <c r="M314" t="n">
        <v>0</v>
      </c>
      <c r="N314" t="n">
        <v>0</v>
      </c>
      <c r="O314" t="n">
        <v>0</v>
      </c>
      <c r="P314" t="n">
        <v>0</v>
      </c>
      <c r="Q314" t="n">
        <v>0</v>
      </c>
      <c r="R314" s="2" t="inlineStr"/>
    </row>
    <row r="315" ht="15" customHeight="1">
      <c r="A315" t="inlineStr">
        <is>
          <t>A 61624-2025</t>
        </is>
      </c>
      <c r="B315" s="1" t="n">
        <v>46002</v>
      </c>
      <c r="C315" s="1" t="n">
        <v>46192</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61620-2025</t>
        </is>
      </c>
      <c r="B316" s="1" t="n">
        <v>46002</v>
      </c>
      <c r="C316" s="1" t="n">
        <v>46192</v>
      </c>
      <c r="D316" t="inlineStr">
        <is>
          <t>DALARNAS LÄN</t>
        </is>
      </c>
      <c r="E316" t="inlineStr">
        <is>
          <t>MORA</t>
        </is>
      </c>
      <c r="G316" t="n">
        <v>3</v>
      </c>
      <c r="H316" t="n">
        <v>0</v>
      </c>
      <c r="I316" t="n">
        <v>0</v>
      </c>
      <c r="J316" t="n">
        <v>0</v>
      </c>
      <c r="K316" t="n">
        <v>0</v>
      </c>
      <c r="L316" t="n">
        <v>0</v>
      </c>
      <c r="M316" t="n">
        <v>0</v>
      </c>
      <c r="N316" t="n">
        <v>0</v>
      </c>
      <c r="O316" t="n">
        <v>0</v>
      </c>
      <c r="P316" t="n">
        <v>0</v>
      </c>
      <c r="Q316" t="n">
        <v>0</v>
      </c>
      <c r="R316" s="2" t="inlineStr"/>
    </row>
    <row r="317" ht="15" customHeight="1">
      <c r="A317" t="inlineStr">
        <is>
          <t>A 61995-2025</t>
        </is>
      </c>
      <c r="B317" s="1" t="n">
        <v>46003</v>
      </c>
      <c r="C317" s="1" t="n">
        <v>46192</v>
      </c>
      <c r="D317" t="inlineStr">
        <is>
          <t>DALARNAS LÄN</t>
        </is>
      </c>
      <c r="E317" t="inlineStr">
        <is>
          <t>MORA</t>
        </is>
      </c>
      <c r="G317" t="n">
        <v>1.3</v>
      </c>
      <c r="H317" t="n">
        <v>0</v>
      </c>
      <c r="I317" t="n">
        <v>0</v>
      </c>
      <c r="J317" t="n">
        <v>0</v>
      </c>
      <c r="K317" t="n">
        <v>0</v>
      </c>
      <c r="L317" t="n">
        <v>0</v>
      </c>
      <c r="M317" t="n">
        <v>0</v>
      </c>
      <c r="N317" t="n">
        <v>0</v>
      </c>
      <c r="O317" t="n">
        <v>0</v>
      </c>
      <c r="P317" t="n">
        <v>0</v>
      </c>
      <c r="Q317" t="n">
        <v>0</v>
      </c>
      <c r="R317" s="2" t="inlineStr"/>
    </row>
    <row r="318" ht="15" customHeight="1">
      <c r="A318" t="inlineStr">
        <is>
          <t>A 62055-2025</t>
        </is>
      </c>
      <c r="B318" s="1" t="n">
        <v>46006</v>
      </c>
      <c r="C318" s="1" t="n">
        <v>46192</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58177-2024</t>
        </is>
      </c>
      <c r="B319" s="1" t="n">
        <v>45632</v>
      </c>
      <c r="C319" s="1" t="n">
        <v>46192</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25887-2023</t>
        </is>
      </c>
      <c r="B320" s="1" t="n">
        <v>45090</v>
      </c>
      <c r="C320" s="1" t="n">
        <v>46192</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62054-2025</t>
        </is>
      </c>
      <c r="B321" s="1" t="n">
        <v>46006</v>
      </c>
      <c r="C321" s="1" t="n">
        <v>46192</v>
      </c>
      <c r="D321" t="inlineStr">
        <is>
          <t>DALARNAS LÄN</t>
        </is>
      </c>
      <c r="E321" t="inlineStr">
        <is>
          <t>MORA</t>
        </is>
      </c>
      <c r="G321" t="n">
        <v>1.6</v>
      </c>
      <c r="H321" t="n">
        <v>0</v>
      </c>
      <c r="I321" t="n">
        <v>0</v>
      </c>
      <c r="J321" t="n">
        <v>0</v>
      </c>
      <c r="K321" t="n">
        <v>0</v>
      </c>
      <c r="L321" t="n">
        <v>0</v>
      </c>
      <c r="M321" t="n">
        <v>0</v>
      </c>
      <c r="N321" t="n">
        <v>0</v>
      </c>
      <c r="O321" t="n">
        <v>0</v>
      </c>
      <c r="P321" t="n">
        <v>0</v>
      </c>
      <c r="Q321" t="n">
        <v>0</v>
      </c>
      <c r="R321" s="2" t="inlineStr"/>
    </row>
    <row r="322" ht="15" customHeight="1">
      <c r="A322" t="inlineStr">
        <is>
          <t>A 62548-2025</t>
        </is>
      </c>
      <c r="B322" s="1" t="n">
        <v>46007</v>
      </c>
      <c r="C322" s="1" t="n">
        <v>46192</v>
      </c>
      <c r="D322" t="inlineStr">
        <is>
          <t>DALARNAS LÄN</t>
        </is>
      </c>
      <c r="E322" t="inlineStr">
        <is>
          <t>MORA</t>
        </is>
      </c>
      <c r="G322" t="n">
        <v>0.8</v>
      </c>
      <c r="H322" t="n">
        <v>0</v>
      </c>
      <c r="I322" t="n">
        <v>0</v>
      </c>
      <c r="J322" t="n">
        <v>0</v>
      </c>
      <c r="K322" t="n">
        <v>0</v>
      </c>
      <c r="L322" t="n">
        <v>0</v>
      </c>
      <c r="M322" t="n">
        <v>0</v>
      </c>
      <c r="N322" t="n">
        <v>0</v>
      </c>
      <c r="O322" t="n">
        <v>0</v>
      </c>
      <c r="P322" t="n">
        <v>0</v>
      </c>
      <c r="Q322" t="n">
        <v>0</v>
      </c>
      <c r="R322" s="2" t="inlineStr"/>
    </row>
    <row r="323" ht="15" customHeight="1">
      <c r="A323" t="inlineStr">
        <is>
          <t>A 64099-2023</t>
        </is>
      </c>
      <c r="B323" s="1" t="n">
        <v>45279</v>
      </c>
      <c r="C323" s="1" t="n">
        <v>46192</v>
      </c>
      <c r="D323" t="inlineStr">
        <is>
          <t>DALARNAS LÄN</t>
        </is>
      </c>
      <c r="E323" t="inlineStr">
        <is>
          <t>MORA</t>
        </is>
      </c>
      <c r="G323" t="n">
        <v>0.6</v>
      </c>
      <c r="H323" t="n">
        <v>0</v>
      </c>
      <c r="I323" t="n">
        <v>0</v>
      </c>
      <c r="J323" t="n">
        <v>0</v>
      </c>
      <c r="K323" t="n">
        <v>0</v>
      </c>
      <c r="L323" t="n">
        <v>0</v>
      </c>
      <c r="M323" t="n">
        <v>0</v>
      </c>
      <c r="N323" t="n">
        <v>0</v>
      </c>
      <c r="O323" t="n">
        <v>0</v>
      </c>
      <c r="P323" t="n">
        <v>0</v>
      </c>
      <c r="Q323" t="n">
        <v>0</v>
      </c>
      <c r="R323" s="2" t="inlineStr"/>
    </row>
    <row r="324" ht="15" customHeight="1">
      <c r="A324" t="inlineStr">
        <is>
          <t>A 62959-2025</t>
        </is>
      </c>
      <c r="B324" s="1" t="n">
        <v>46009</v>
      </c>
      <c r="C324" s="1" t="n">
        <v>46192</v>
      </c>
      <c r="D324" t="inlineStr">
        <is>
          <t>DALARNAS LÄN</t>
        </is>
      </c>
      <c r="E324" t="inlineStr">
        <is>
          <t>MORA</t>
        </is>
      </c>
      <c r="G324" t="n">
        <v>2.6</v>
      </c>
      <c r="H324" t="n">
        <v>0</v>
      </c>
      <c r="I324" t="n">
        <v>0</v>
      </c>
      <c r="J324" t="n">
        <v>0</v>
      </c>
      <c r="K324" t="n">
        <v>0</v>
      </c>
      <c r="L324" t="n">
        <v>0</v>
      </c>
      <c r="M324" t="n">
        <v>0</v>
      </c>
      <c r="N324" t="n">
        <v>0</v>
      </c>
      <c r="O324" t="n">
        <v>0</v>
      </c>
      <c r="P324" t="n">
        <v>0</v>
      </c>
      <c r="Q324" t="n">
        <v>0</v>
      </c>
      <c r="R324" s="2" t="inlineStr"/>
    </row>
    <row r="325" ht="15" customHeight="1">
      <c r="A325" t="inlineStr">
        <is>
          <t>A 62965-2025</t>
        </is>
      </c>
      <c r="B325" s="1" t="n">
        <v>46009</v>
      </c>
      <c r="C325" s="1" t="n">
        <v>46192</v>
      </c>
      <c r="D325" t="inlineStr">
        <is>
          <t>DALARNAS LÄN</t>
        </is>
      </c>
      <c r="E325" t="inlineStr">
        <is>
          <t>MORA</t>
        </is>
      </c>
      <c r="G325" t="n">
        <v>9.1</v>
      </c>
      <c r="H325" t="n">
        <v>0</v>
      </c>
      <c r="I325" t="n">
        <v>0</v>
      </c>
      <c r="J325" t="n">
        <v>0</v>
      </c>
      <c r="K325" t="n">
        <v>0</v>
      </c>
      <c r="L325" t="n">
        <v>0</v>
      </c>
      <c r="M325" t="n">
        <v>0</v>
      </c>
      <c r="N325" t="n">
        <v>0</v>
      </c>
      <c r="O325" t="n">
        <v>0</v>
      </c>
      <c r="P325" t="n">
        <v>0</v>
      </c>
      <c r="Q325" t="n">
        <v>0</v>
      </c>
      <c r="R325" s="2" t="inlineStr"/>
    </row>
    <row r="326" ht="15" customHeight="1">
      <c r="A326" t="inlineStr">
        <is>
          <t>A 45390-2024</t>
        </is>
      </c>
      <c r="B326" s="1" t="n">
        <v>45576</v>
      </c>
      <c r="C326" s="1" t="n">
        <v>46192</v>
      </c>
      <c r="D326" t="inlineStr">
        <is>
          <t>DALARNAS LÄN</t>
        </is>
      </c>
      <c r="E326" t="inlineStr">
        <is>
          <t>MORA</t>
        </is>
      </c>
      <c r="F326" t="inlineStr">
        <is>
          <t>Bergvik skog väst AB</t>
        </is>
      </c>
      <c r="G326" t="n">
        <v>5.6</v>
      </c>
      <c r="H326" t="n">
        <v>0</v>
      </c>
      <c r="I326" t="n">
        <v>0</v>
      </c>
      <c r="J326" t="n">
        <v>0</v>
      </c>
      <c r="K326" t="n">
        <v>0</v>
      </c>
      <c r="L326" t="n">
        <v>0</v>
      </c>
      <c r="M326" t="n">
        <v>0</v>
      </c>
      <c r="N326" t="n">
        <v>0</v>
      </c>
      <c r="O326" t="n">
        <v>0</v>
      </c>
      <c r="P326" t="n">
        <v>0</v>
      </c>
      <c r="Q326" t="n">
        <v>0</v>
      </c>
      <c r="R326" s="2" t="inlineStr"/>
    </row>
    <row r="327" ht="15" customHeight="1">
      <c r="A327" t="inlineStr">
        <is>
          <t>A 62619-2025</t>
        </is>
      </c>
      <c r="B327" s="1" t="n">
        <v>46008</v>
      </c>
      <c r="C327" s="1" t="n">
        <v>46192</v>
      </c>
      <c r="D327" t="inlineStr">
        <is>
          <t>DALARNAS LÄN</t>
        </is>
      </c>
      <c r="E327" t="inlineStr">
        <is>
          <t>MORA</t>
        </is>
      </c>
      <c r="G327" t="n">
        <v>3.3</v>
      </c>
      <c r="H327" t="n">
        <v>0</v>
      </c>
      <c r="I327" t="n">
        <v>0</v>
      </c>
      <c r="J327" t="n">
        <v>0</v>
      </c>
      <c r="K327" t="n">
        <v>0</v>
      </c>
      <c r="L327" t="n">
        <v>0</v>
      </c>
      <c r="M327" t="n">
        <v>0</v>
      </c>
      <c r="N327" t="n">
        <v>0</v>
      </c>
      <c r="O327" t="n">
        <v>0</v>
      </c>
      <c r="P327" t="n">
        <v>0</v>
      </c>
      <c r="Q327" t="n">
        <v>0</v>
      </c>
      <c r="R327" s="2" t="inlineStr"/>
    </row>
    <row r="328" ht="15" customHeight="1">
      <c r="A328" t="inlineStr">
        <is>
          <t>A 58089-2024</t>
        </is>
      </c>
      <c r="B328" s="1" t="n">
        <v>45632</v>
      </c>
      <c r="C328" s="1" t="n">
        <v>46192</v>
      </c>
      <c r="D328" t="inlineStr">
        <is>
          <t>DALARNAS LÄN</t>
        </is>
      </c>
      <c r="E328" t="inlineStr">
        <is>
          <t>MORA</t>
        </is>
      </c>
      <c r="G328" t="n">
        <v>1.4</v>
      </c>
      <c r="H328" t="n">
        <v>0</v>
      </c>
      <c r="I328" t="n">
        <v>0</v>
      </c>
      <c r="J328" t="n">
        <v>0</v>
      </c>
      <c r="K328" t="n">
        <v>0</v>
      </c>
      <c r="L328" t="n">
        <v>0</v>
      </c>
      <c r="M328" t="n">
        <v>0</v>
      </c>
      <c r="N328" t="n">
        <v>0</v>
      </c>
      <c r="O328" t="n">
        <v>0</v>
      </c>
      <c r="P328" t="n">
        <v>0</v>
      </c>
      <c r="Q328" t="n">
        <v>0</v>
      </c>
      <c r="R328" s="2" t="inlineStr"/>
    </row>
    <row r="329" ht="15" customHeight="1">
      <c r="A329" t="inlineStr">
        <is>
          <t>A 62853-2025</t>
        </is>
      </c>
      <c r="B329" s="1" t="n">
        <v>46008</v>
      </c>
      <c r="C329" s="1" t="n">
        <v>46192</v>
      </c>
      <c r="D329" t="inlineStr">
        <is>
          <t>DALARNAS LÄN</t>
        </is>
      </c>
      <c r="E329" t="inlineStr">
        <is>
          <t>MORA</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62626-2025</t>
        </is>
      </c>
      <c r="B330" s="1" t="n">
        <v>46008</v>
      </c>
      <c r="C330" s="1" t="n">
        <v>46192</v>
      </c>
      <c r="D330" t="inlineStr">
        <is>
          <t>DALARNAS LÄN</t>
        </is>
      </c>
      <c r="E330" t="inlineStr">
        <is>
          <t>MORA</t>
        </is>
      </c>
      <c r="G330" t="n">
        <v>6.7</v>
      </c>
      <c r="H330" t="n">
        <v>0</v>
      </c>
      <c r="I330" t="n">
        <v>0</v>
      </c>
      <c r="J330" t="n">
        <v>0</v>
      </c>
      <c r="K330" t="n">
        <v>0</v>
      </c>
      <c r="L330" t="n">
        <v>0</v>
      </c>
      <c r="M330" t="n">
        <v>0</v>
      </c>
      <c r="N330" t="n">
        <v>0</v>
      </c>
      <c r="O330" t="n">
        <v>0</v>
      </c>
      <c r="P330" t="n">
        <v>0</v>
      </c>
      <c r="Q330" t="n">
        <v>0</v>
      </c>
      <c r="R330" s="2" t="inlineStr"/>
    </row>
    <row r="331" ht="15" customHeight="1">
      <c r="A331" t="inlineStr">
        <is>
          <t>A 4208-2023</t>
        </is>
      </c>
      <c r="B331" s="1" t="n">
        <v>44953</v>
      </c>
      <c r="C331" s="1" t="n">
        <v>46192</v>
      </c>
      <c r="D331" t="inlineStr">
        <is>
          <t>DALARNAS LÄN</t>
        </is>
      </c>
      <c r="E331" t="inlineStr">
        <is>
          <t>MORA</t>
        </is>
      </c>
      <c r="G331" t="n">
        <v>2.4</v>
      </c>
      <c r="H331" t="n">
        <v>0</v>
      </c>
      <c r="I331" t="n">
        <v>0</v>
      </c>
      <c r="J331" t="n">
        <v>0</v>
      </c>
      <c r="K331" t="n">
        <v>0</v>
      </c>
      <c r="L331" t="n">
        <v>0</v>
      </c>
      <c r="M331" t="n">
        <v>0</v>
      </c>
      <c r="N331" t="n">
        <v>0</v>
      </c>
      <c r="O331" t="n">
        <v>0</v>
      </c>
      <c r="P331" t="n">
        <v>0</v>
      </c>
      <c r="Q331" t="n">
        <v>0</v>
      </c>
      <c r="R331" s="2" t="inlineStr"/>
    </row>
    <row r="332" ht="15" customHeight="1">
      <c r="A332" t="inlineStr">
        <is>
          <t>A 4210-2023</t>
        </is>
      </c>
      <c r="B332" s="1" t="n">
        <v>44953</v>
      </c>
      <c r="C332" s="1" t="n">
        <v>46192</v>
      </c>
      <c r="D332" t="inlineStr">
        <is>
          <t>DALARNAS LÄN</t>
        </is>
      </c>
      <c r="E332" t="inlineStr">
        <is>
          <t>MORA</t>
        </is>
      </c>
      <c r="G332" t="n">
        <v>0.9</v>
      </c>
      <c r="H332" t="n">
        <v>0</v>
      </c>
      <c r="I332" t="n">
        <v>0</v>
      </c>
      <c r="J332" t="n">
        <v>0</v>
      </c>
      <c r="K332" t="n">
        <v>0</v>
      </c>
      <c r="L332" t="n">
        <v>0</v>
      </c>
      <c r="M332" t="n">
        <v>0</v>
      </c>
      <c r="N332" t="n">
        <v>0</v>
      </c>
      <c r="O332" t="n">
        <v>0</v>
      </c>
      <c r="P332" t="n">
        <v>0</v>
      </c>
      <c r="Q332" t="n">
        <v>0</v>
      </c>
      <c r="R332" s="2" t="inlineStr"/>
    </row>
    <row r="333" ht="15" customHeight="1">
      <c r="A333" t="inlineStr">
        <is>
          <t>A 26546-2025</t>
        </is>
      </c>
      <c r="B333" s="1" t="n">
        <v>45807</v>
      </c>
      <c r="C333" s="1" t="n">
        <v>46192</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26573-2025</t>
        </is>
      </c>
      <c r="B334" s="1" t="n">
        <v>45807</v>
      </c>
      <c r="C334" s="1" t="n">
        <v>46192</v>
      </c>
      <c r="D334" t="inlineStr">
        <is>
          <t>DALARNAS LÄN</t>
        </is>
      </c>
      <c r="E334" t="inlineStr">
        <is>
          <t>MORA</t>
        </is>
      </c>
      <c r="G334" t="n">
        <v>4.3</v>
      </c>
      <c r="H334" t="n">
        <v>0</v>
      </c>
      <c r="I334" t="n">
        <v>0</v>
      </c>
      <c r="J334" t="n">
        <v>0</v>
      </c>
      <c r="K334" t="n">
        <v>0</v>
      </c>
      <c r="L334" t="n">
        <v>0</v>
      </c>
      <c r="M334" t="n">
        <v>0</v>
      </c>
      <c r="N334" t="n">
        <v>0</v>
      </c>
      <c r="O334" t="n">
        <v>0</v>
      </c>
      <c r="P334" t="n">
        <v>0</v>
      </c>
      <c r="Q334" t="n">
        <v>0</v>
      </c>
      <c r="R334" s="2" t="inlineStr"/>
    </row>
    <row r="335" ht="15" customHeight="1">
      <c r="A335" t="inlineStr">
        <is>
          <t>A 26577-2025</t>
        </is>
      </c>
      <c r="B335" s="1" t="n">
        <v>45807</v>
      </c>
      <c r="C335" s="1" t="n">
        <v>46192</v>
      </c>
      <c r="D335" t="inlineStr">
        <is>
          <t>DALARNAS LÄN</t>
        </is>
      </c>
      <c r="E335" t="inlineStr">
        <is>
          <t>MORA</t>
        </is>
      </c>
      <c r="G335" t="n">
        <v>2.8</v>
      </c>
      <c r="H335" t="n">
        <v>0</v>
      </c>
      <c r="I335" t="n">
        <v>0</v>
      </c>
      <c r="J335" t="n">
        <v>0</v>
      </c>
      <c r="K335" t="n">
        <v>0</v>
      </c>
      <c r="L335" t="n">
        <v>0</v>
      </c>
      <c r="M335" t="n">
        <v>0</v>
      </c>
      <c r="N335" t="n">
        <v>0</v>
      </c>
      <c r="O335" t="n">
        <v>0</v>
      </c>
      <c r="P335" t="n">
        <v>0</v>
      </c>
      <c r="Q335" t="n">
        <v>0</v>
      </c>
      <c r="R335" s="2" t="inlineStr"/>
    </row>
    <row r="336" ht="15" customHeight="1">
      <c r="A336" t="inlineStr">
        <is>
          <t>A 19910-2024</t>
        </is>
      </c>
      <c r="B336" s="1" t="n">
        <v>45433</v>
      </c>
      <c r="C336" s="1" t="n">
        <v>46192</v>
      </c>
      <c r="D336" t="inlineStr">
        <is>
          <t>DALARNAS LÄN</t>
        </is>
      </c>
      <c r="E336" t="inlineStr">
        <is>
          <t>MORA</t>
        </is>
      </c>
      <c r="G336" t="n">
        <v>0.9</v>
      </c>
      <c r="H336" t="n">
        <v>0</v>
      </c>
      <c r="I336" t="n">
        <v>0</v>
      </c>
      <c r="J336" t="n">
        <v>0</v>
      </c>
      <c r="K336" t="n">
        <v>0</v>
      </c>
      <c r="L336" t="n">
        <v>0</v>
      </c>
      <c r="M336" t="n">
        <v>0</v>
      </c>
      <c r="N336" t="n">
        <v>0</v>
      </c>
      <c r="O336" t="n">
        <v>0</v>
      </c>
      <c r="P336" t="n">
        <v>0</v>
      </c>
      <c r="Q336" t="n">
        <v>0</v>
      </c>
      <c r="R336" s="2" t="inlineStr"/>
    </row>
    <row r="337" ht="15" customHeight="1">
      <c r="A337" t="inlineStr">
        <is>
          <t>A 26545-2025</t>
        </is>
      </c>
      <c r="B337" s="1" t="n">
        <v>45807</v>
      </c>
      <c r="C337" s="1" t="n">
        <v>46192</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23300-2024</t>
        </is>
      </c>
      <c r="B338" s="1" t="n">
        <v>45453</v>
      </c>
      <c r="C338" s="1" t="n">
        <v>46192</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63434-2025</t>
        </is>
      </c>
      <c r="B339" s="1" t="n">
        <v>46013</v>
      </c>
      <c r="C339" s="1" t="n">
        <v>46192</v>
      </c>
      <c r="D339" t="inlineStr">
        <is>
          <t>DALARNAS LÄN</t>
        </is>
      </c>
      <c r="E339" t="inlineStr">
        <is>
          <t>MORA</t>
        </is>
      </c>
      <c r="F339" t="inlineStr">
        <is>
          <t>Allmännings- och besparingsskogar</t>
        </is>
      </c>
      <c r="G339" t="n">
        <v>3.6</v>
      </c>
      <c r="H339" t="n">
        <v>0</v>
      </c>
      <c r="I339" t="n">
        <v>0</v>
      </c>
      <c r="J339" t="n">
        <v>0</v>
      </c>
      <c r="K339" t="n">
        <v>0</v>
      </c>
      <c r="L339" t="n">
        <v>0</v>
      </c>
      <c r="M339" t="n">
        <v>0</v>
      </c>
      <c r="N339" t="n">
        <v>0</v>
      </c>
      <c r="O339" t="n">
        <v>0</v>
      </c>
      <c r="P339" t="n">
        <v>0</v>
      </c>
      <c r="Q339" t="n">
        <v>0</v>
      </c>
      <c r="R339" s="2" t="inlineStr"/>
    </row>
    <row r="340" ht="15" customHeight="1">
      <c r="A340" t="inlineStr">
        <is>
          <t>A 63431-2025</t>
        </is>
      </c>
      <c r="B340" s="1" t="n">
        <v>46013</v>
      </c>
      <c r="C340" s="1" t="n">
        <v>46192</v>
      </c>
      <c r="D340" t="inlineStr">
        <is>
          <t>DALARNAS LÄN</t>
        </is>
      </c>
      <c r="E340" t="inlineStr">
        <is>
          <t>MORA</t>
        </is>
      </c>
      <c r="F340" t="inlineStr">
        <is>
          <t>Allmännings- och besparingsskogar</t>
        </is>
      </c>
      <c r="G340" t="n">
        <v>5.7</v>
      </c>
      <c r="H340" t="n">
        <v>0</v>
      </c>
      <c r="I340" t="n">
        <v>0</v>
      </c>
      <c r="J340" t="n">
        <v>0</v>
      </c>
      <c r="K340" t="n">
        <v>0</v>
      </c>
      <c r="L340" t="n">
        <v>0</v>
      </c>
      <c r="M340" t="n">
        <v>0</v>
      </c>
      <c r="N340" t="n">
        <v>0</v>
      </c>
      <c r="O340" t="n">
        <v>0</v>
      </c>
      <c r="P340" t="n">
        <v>0</v>
      </c>
      <c r="Q340" t="n">
        <v>0</v>
      </c>
      <c r="R340" s="2" t="inlineStr"/>
    </row>
    <row r="341" ht="15" customHeight="1">
      <c r="A341" t="inlineStr">
        <is>
          <t>A 44769-2021</t>
        </is>
      </c>
      <c r="B341" s="1" t="n">
        <v>44438</v>
      </c>
      <c r="C341" s="1" t="n">
        <v>46192</v>
      </c>
      <c r="D341" t="inlineStr">
        <is>
          <t>DALARNAS LÄN</t>
        </is>
      </c>
      <c r="E341" t="inlineStr">
        <is>
          <t>MORA</t>
        </is>
      </c>
      <c r="G341" t="n">
        <v>0.9</v>
      </c>
      <c r="H341" t="n">
        <v>0</v>
      </c>
      <c r="I341" t="n">
        <v>0</v>
      </c>
      <c r="J341" t="n">
        <v>0</v>
      </c>
      <c r="K341" t="n">
        <v>0</v>
      </c>
      <c r="L341" t="n">
        <v>0</v>
      </c>
      <c r="M341" t="n">
        <v>0</v>
      </c>
      <c r="N341" t="n">
        <v>0</v>
      </c>
      <c r="O341" t="n">
        <v>0</v>
      </c>
      <c r="P341" t="n">
        <v>0</v>
      </c>
      <c r="Q341" t="n">
        <v>0</v>
      </c>
      <c r="R341" s="2" t="inlineStr"/>
    </row>
    <row r="342" ht="15" customHeight="1">
      <c r="A342" t="inlineStr">
        <is>
          <t>A 58036-2024</t>
        </is>
      </c>
      <c r="B342" s="1" t="n">
        <v>45631</v>
      </c>
      <c r="C342" s="1" t="n">
        <v>46192</v>
      </c>
      <c r="D342" t="inlineStr">
        <is>
          <t>DALARNAS LÄN</t>
        </is>
      </c>
      <c r="E342" t="inlineStr">
        <is>
          <t>MORA</t>
        </is>
      </c>
      <c r="G342" t="n">
        <v>1.6</v>
      </c>
      <c r="H342" t="n">
        <v>0</v>
      </c>
      <c r="I342" t="n">
        <v>0</v>
      </c>
      <c r="J342" t="n">
        <v>0</v>
      </c>
      <c r="K342" t="n">
        <v>0</v>
      </c>
      <c r="L342" t="n">
        <v>0</v>
      </c>
      <c r="M342" t="n">
        <v>0</v>
      </c>
      <c r="N342" t="n">
        <v>0</v>
      </c>
      <c r="O342" t="n">
        <v>0</v>
      </c>
      <c r="P342" t="n">
        <v>0</v>
      </c>
      <c r="Q342" t="n">
        <v>0</v>
      </c>
      <c r="R342" s="2" t="inlineStr"/>
    </row>
    <row r="343" ht="15" customHeight="1">
      <c r="A343" t="inlineStr">
        <is>
          <t>A 63457-2025</t>
        </is>
      </c>
      <c r="B343" s="1" t="n">
        <v>46013</v>
      </c>
      <c r="C343" s="1" t="n">
        <v>46192</v>
      </c>
      <c r="D343" t="inlineStr">
        <is>
          <t>DALARNAS LÄN</t>
        </is>
      </c>
      <c r="E343" t="inlineStr">
        <is>
          <t>MORA</t>
        </is>
      </c>
      <c r="F343" t="inlineStr">
        <is>
          <t>Allmännings- och besparingsskogar</t>
        </is>
      </c>
      <c r="G343" t="n">
        <v>34.4</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46192</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52599-2025</t>
        </is>
      </c>
      <c r="B345" s="1" t="n">
        <v>45954</v>
      </c>
      <c r="C345" s="1" t="n">
        <v>46192</v>
      </c>
      <c r="D345" t="inlineStr">
        <is>
          <t>DALARNAS LÄN</t>
        </is>
      </c>
      <c r="E345" t="inlineStr">
        <is>
          <t>MORA</t>
        </is>
      </c>
      <c r="G345" t="n">
        <v>10.8</v>
      </c>
      <c r="H345" t="n">
        <v>0</v>
      </c>
      <c r="I345" t="n">
        <v>0</v>
      </c>
      <c r="J345" t="n">
        <v>0</v>
      </c>
      <c r="K345" t="n">
        <v>0</v>
      </c>
      <c r="L345" t="n">
        <v>0</v>
      </c>
      <c r="M345" t="n">
        <v>0</v>
      </c>
      <c r="N345" t="n">
        <v>0</v>
      </c>
      <c r="O345" t="n">
        <v>0</v>
      </c>
      <c r="P345" t="n">
        <v>0</v>
      </c>
      <c r="Q345" t="n">
        <v>0</v>
      </c>
      <c r="R345" s="2" t="inlineStr"/>
    </row>
    <row r="346" ht="15" customHeight="1">
      <c r="A346" t="inlineStr">
        <is>
          <t>A 63596-2025</t>
        </is>
      </c>
      <c r="B346" s="1" t="n">
        <v>46013</v>
      </c>
      <c r="C346" s="1" t="n">
        <v>46192</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35521-2023</t>
        </is>
      </c>
      <c r="B347" s="1" t="n">
        <v>45147</v>
      </c>
      <c r="C347" s="1" t="n">
        <v>46192</v>
      </c>
      <c r="D347" t="inlineStr">
        <is>
          <t>DALARNAS LÄN</t>
        </is>
      </c>
      <c r="E347" t="inlineStr">
        <is>
          <t>MORA</t>
        </is>
      </c>
      <c r="G347" t="n">
        <v>3.7</v>
      </c>
      <c r="H347" t="n">
        <v>0</v>
      </c>
      <c r="I347" t="n">
        <v>0</v>
      </c>
      <c r="J347" t="n">
        <v>0</v>
      </c>
      <c r="K347" t="n">
        <v>0</v>
      </c>
      <c r="L347" t="n">
        <v>0</v>
      </c>
      <c r="M347" t="n">
        <v>0</v>
      </c>
      <c r="N347" t="n">
        <v>0</v>
      </c>
      <c r="O347" t="n">
        <v>0</v>
      </c>
      <c r="P347" t="n">
        <v>0</v>
      </c>
      <c r="Q347" t="n">
        <v>0</v>
      </c>
      <c r="R347" s="2" t="inlineStr"/>
    </row>
    <row r="348" ht="15" customHeight="1">
      <c r="A348" t="inlineStr">
        <is>
          <t>A 63692-2025</t>
        </is>
      </c>
      <c r="B348" s="1" t="n">
        <v>46014</v>
      </c>
      <c r="C348" s="1" t="n">
        <v>46192</v>
      </c>
      <c r="D348" t="inlineStr">
        <is>
          <t>DALARNAS LÄN</t>
        </is>
      </c>
      <c r="E348" t="inlineStr">
        <is>
          <t>MORA</t>
        </is>
      </c>
      <c r="G348" t="n">
        <v>1.4</v>
      </c>
      <c r="H348" t="n">
        <v>0</v>
      </c>
      <c r="I348" t="n">
        <v>0</v>
      </c>
      <c r="J348" t="n">
        <v>0</v>
      </c>
      <c r="K348" t="n">
        <v>0</v>
      </c>
      <c r="L348" t="n">
        <v>0</v>
      </c>
      <c r="M348" t="n">
        <v>0</v>
      </c>
      <c r="N348" t="n">
        <v>0</v>
      </c>
      <c r="O348" t="n">
        <v>0</v>
      </c>
      <c r="P348" t="n">
        <v>0</v>
      </c>
      <c r="Q348" t="n">
        <v>0</v>
      </c>
      <c r="R348" s="2" t="inlineStr"/>
    </row>
    <row r="349" ht="15" customHeight="1">
      <c r="A349" t="inlineStr">
        <is>
          <t>A 63689-2025</t>
        </is>
      </c>
      <c r="B349" s="1" t="n">
        <v>46014</v>
      </c>
      <c r="C349" s="1" t="n">
        <v>46192</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54257-2023</t>
        </is>
      </c>
      <c r="B350" s="1" t="n">
        <v>45232</v>
      </c>
      <c r="C350" s="1" t="n">
        <v>46192</v>
      </c>
      <c r="D350" t="inlineStr">
        <is>
          <t>DALARNAS LÄN</t>
        </is>
      </c>
      <c r="E350" t="inlineStr">
        <is>
          <t>MORA</t>
        </is>
      </c>
      <c r="G350" t="n">
        <v>4</v>
      </c>
      <c r="H350" t="n">
        <v>0</v>
      </c>
      <c r="I350" t="n">
        <v>0</v>
      </c>
      <c r="J350" t="n">
        <v>0</v>
      </c>
      <c r="K350" t="n">
        <v>0</v>
      </c>
      <c r="L350" t="n">
        <v>0</v>
      </c>
      <c r="M350" t="n">
        <v>0</v>
      </c>
      <c r="N350" t="n">
        <v>0</v>
      </c>
      <c r="O350" t="n">
        <v>0</v>
      </c>
      <c r="P350" t="n">
        <v>0</v>
      </c>
      <c r="Q350" t="n">
        <v>0</v>
      </c>
      <c r="R350" s="2" t="inlineStr"/>
    </row>
    <row r="351" ht="15" customHeight="1">
      <c r="A351" t="inlineStr">
        <is>
          <t>A 25499-2024</t>
        </is>
      </c>
      <c r="B351" s="1" t="n">
        <v>45463</v>
      </c>
      <c r="C351" s="1" t="n">
        <v>46192</v>
      </c>
      <c r="D351" t="inlineStr">
        <is>
          <t>DALARNAS LÄN</t>
        </is>
      </c>
      <c r="E351" t="inlineStr">
        <is>
          <t>MORA</t>
        </is>
      </c>
      <c r="G351" t="n">
        <v>0.8</v>
      </c>
      <c r="H351" t="n">
        <v>0</v>
      </c>
      <c r="I351" t="n">
        <v>0</v>
      </c>
      <c r="J351" t="n">
        <v>0</v>
      </c>
      <c r="K351" t="n">
        <v>0</v>
      </c>
      <c r="L351" t="n">
        <v>0</v>
      </c>
      <c r="M351" t="n">
        <v>0</v>
      </c>
      <c r="N351" t="n">
        <v>0</v>
      </c>
      <c r="O351" t="n">
        <v>0</v>
      </c>
      <c r="P351" t="n">
        <v>0</v>
      </c>
      <c r="Q351" t="n">
        <v>0</v>
      </c>
      <c r="R351" s="2" t="inlineStr"/>
    </row>
    <row r="352" ht="15" customHeight="1">
      <c r="A352" t="inlineStr">
        <is>
          <t>A 58958-2022</t>
        </is>
      </c>
      <c r="B352" s="1" t="n">
        <v>44903</v>
      </c>
      <c r="C352" s="1" t="n">
        <v>46192</v>
      </c>
      <c r="D352" t="inlineStr">
        <is>
          <t>DALARNAS LÄN</t>
        </is>
      </c>
      <c r="E352" t="inlineStr">
        <is>
          <t>MORA</t>
        </is>
      </c>
      <c r="G352" t="n">
        <v>1.1</v>
      </c>
      <c r="H352" t="n">
        <v>0</v>
      </c>
      <c r="I352" t="n">
        <v>0</v>
      </c>
      <c r="J352" t="n">
        <v>0</v>
      </c>
      <c r="K352" t="n">
        <v>0</v>
      </c>
      <c r="L352" t="n">
        <v>0</v>
      </c>
      <c r="M352" t="n">
        <v>0</v>
      </c>
      <c r="N352" t="n">
        <v>0</v>
      </c>
      <c r="O352" t="n">
        <v>0</v>
      </c>
      <c r="P352" t="n">
        <v>0</v>
      </c>
      <c r="Q352" t="n">
        <v>0</v>
      </c>
      <c r="R352" s="2" t="inlineStr"/>
    </row>
    <row r="353" ht="15" customHeight="1">
      <c r="A353" t="inlineStr">
        <is>
          <t>A 141-2026</t>
        </is>
      </c>
      <c r="B353" s="1" t="n">
        <v>46024</v>
      </c>
      <c r="C353" s="1" t="n">
        <v>46192</v>
      </c>
      <c r="D353" t="inlineStr">
        <is>
          <t>DALARNAS LÄN</t>
        </is>
      </c>
      <c r="E353" t="inlineStr">
        <is>
          <t>MORA</t>
        </is>
      </c>
      <c r="G353" t="n">
        <v>4.4</v>
      </c>
      <c r="H353" t="n">
        <v>0</v>
      </c>
      <c r="I353" t="n">
        <v>0</v>
      </c>
      <c r="J353" t="n">
        <v>0</v>
      </c>
      <c r="K353" t="n">
        <v>0</v>
      </c>
      <c r="L353" t="n">
        <v>0</v>
      </c>
      <c r="M353" t="n">
        <v>0</v>
      </c>
      <c r="N353" t="n">
        <v>0</v>
      </c>
      <c r="O353" t="n">
        <v>0</v>
      </c>
      <c r="P353" t="n">
        <v>0</v>
      </c>
      <c r="Q353" t="n">
        <v>0</v>
      </c>
      <c r="R353" s="2" t="inlineStr"/>
    </row>
    <row r="354" ht="15" customHeight="1">
      <c r="A354" t="inlineStr">
        <is>
          <t>A 52908-2023</t>
        </is>
      </c>
      <c r="B354" s="1" t="n">
        <v>45226</v>
      </c>
      <c r="C354" s="1" t="n">
        <v>46192</v>
      </c>
      <c r="D354" t="inlineStr">
        <is>
          <t>DALARNAS LÄN</t>
        </is>
      </c>
      <c r="E354" t="inlineStr">
        <is>
          <t>MORA</t>
        </is>
      </c>
      <c r="G354" t="n">
        <v>3.3</v>
      </c>
      <c r="H354" t="n">
        <v>0</v>
      </c>
      <c r="I354" t="n">
        <v>0</v>
      </c>
      <c r="J354" t="n">
        <v>0</v>
      </c>
      <c r="K354" t="n">
        <v>0</v>
      </c>
      <c r="L354" t="n">
        <v>0</v>
      </c>
      <c r="M354" t="n">
        <v>0</v>
      </c>
      <c r="N354" t="n">
        <v>0</v>
      </c>
      <c r="O354" t="n">
        <v>0</v>
      </c>
      <c r="P354" t="n">
        <v>0</v>
      </c>
      <c r="Q354" t="n">
        <v>0</v>
      </c>
      <c r="R354" s="2" t="inlineStr"/>
    </row>
    <row r="355" ht="15" customHeight="1">
      <c r="A355" t="inlineStr">
        <is>
          <t>A 39897-2022</t>
        </is>
      </c>
      <c r="B355" s="1" t="n">
        <v>44819</v>
      </c>
      <c r="C355" s="1" t="n">
        <v>46192</v>
      </c>
      <c r="D355" t="inlineStr">
        <is>
          <t>DALARNAS LÄN</t>
        </is>
      </c>
      <c r="E355" t="inlineStr">
        <is>
          <t>MORA</t>
        </is>
      </c>
      <c r="G355" t="n">
        <v>15.8</v>
      </c>
      <c r="H355" t="n">
        <v>0</v>
      </c>
      <c r="I355" t="n">
        <v>0</v>
      </c>
      <c r="J355" t="n">
        <v>0</v>
      </c>
      <c r="K355" t="n">
        <v>0</v>
      </c>
      <c r="L355" t="n">
        <v>0</v>
      </c>
      <c r="M355" t="n">
        <v>0</v>
      </c>
      <c r="N355" t="n">
        <v>0</v>
      </c>
      <c r="O355" t="n">
        <v>0</v>
      </c>
      <c r="P355" t="n">
        <v>0</v>
      </c>
      <c r="Q355" t="n">
        <v>0</v>
      </c>
      <c r="R355" s="2" t="inlineStr"/>
    </row>
    <row r="356" ht="15" customHeight="1">
      <c r="A356" t="inlineStr">
        <is>
          <t>A 60962-2025</t>
        </is>
      </c>
      <c r="B356" s="1" t="n">
        <v>45999</v>
      </c>
      <c r="C356" s="1" t="n">
        <v>46192</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62853-2023</t>
        </is>
      </c>
      <c r="B357" s="1" t="n">
        <v>45272</v>
      </c>
      <c r="C357" s="1" t="n">
        <v>46192</v>
      </c>
      <c r="D357" t="inlineStr">
        <is>
          <t>DALARNAS LÄN</t>
        </is>
      </c>
      <c r="E357" t="inlineStr">
        <is>
          <t>MORA</t>
        </is>
      </c>
      <c r="G357" t="n">
        <v>13.6</v>
      </c>
      <c r="H357" t="n">
        <v>0</v>
      </c>
      <c r="I357" t="n">
        <v>0</v>
      </c>
      <c r="J357" t="n">
        <v>0</v>
      </c>
      <c r="K357" t="n">
        <v>0</v>
      </c>
      <c r="L357" t="n">
        <v>0</v>
      </c>
      <c r="M357" t="n">
        <v>0</v>
      </c>
      <c r="N357" t="n">
        <v>0</v>
      </c>
      <c r="O357" t="n">
        <v>0</v>
      </c>
      <c r="P357" t="n">
        <v>0</v>
      </c>
      <c r="Q357" t="n">
        <v>0</v>
      </c>
      <c r="R357" s="2" t="inlineStr"/>
    </row>
    <row r="358" ht="15" customHeight="1">
      <c r="A358" t="inlineStr">
        <is>
          <t>A 18214-2024</t>
        </is>
      </c>
      <c r="B358" s="1" t="n">
        <v>45420</v>
      </c>
      <c r="C358" s="1" t="n">
        <v>46192</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11919-2024</t>
        </is>
      </c>
      <c r="B359" s="1" t="n">
        <v>45376</v>
      </c>
      <c r="C359" s="1" t="n">
        <v>46192</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1897-2023</t>
        </is>
      </c>
      <c r="B360" s="1" t="n">
        <v>44937</v>
      </c>
      <c r="C360" s="1" t="n">
        <v>46192</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60465-2023</t>
        </is>
      </c>
      <c r="B361" s="1" t="n">
        <v>45259</v>
      </c>
      <c r="C361" s="1" t="n">
        <v>46192</v>
      </c>
      <c r="D361" t="inlineStr">
        <is>
          <t>DALARNAS LÄN</t>
        </is>
      </c>
      <c r="E361" t="inlineStr">
        <is>
          <t>MORA</t>
        </is>
      </c>
      <c r="G361" t="n">
        <v>1.3</v>
      </c>
      <c r="H361" t="n">
        <v>0</v>
      </c>
      <c r="I361" t="n">
        <v>0</v>
      </c>
      <c r="J361" t="n">
        <v>0</v>
      </c>
      <c r="K361" t="n">
        <v>0</v>
      </c>
      <c r="L361" t="n">
        <v>0</v>
      </c>
      <c r="M361" t="n">
        <v>0</v>
      </c>
      <c r="N361" t="n">
        <v>0</v>
      </c>
      <c r="O361" t="n">
        <v>0</v>
      </c>
      <c r="P361" t="n">
        <v>0</v>
      </c>
      <c r="Q361" t="n">
        <v>0</v>
      </c>
      <c r="R361" s="2" t="inlineStr"/>
    </row>
    <row r="362" ht="15" customHeight="1">
      <c r="A362" t="inlineStr">
        <is>
          <t>A 37385-2022</t>
        </is>
      </c>
      <c r="B362" s="1" t="n">
        <v>44806</v>
      </c>
      <c r="C362" s="1" t="n">
        <v>46192</v>
      </c>
      <c r="D362" t="inlineStr">
        <is>
          <t>DALARNAS LÄN</t>
        </is>
      </c>
      <c r="E362" t="inlineStr">
        <is>
          <t>MORA</t>
        </is>
      </c>
      <c r="G362" t="n">
        <v>2.2</v>
      </c>
      <c r="H362" t="n">
        <v>0</v>
      </c>
      <c r="I362" t="n">
        <v>0</v>
      </c>
      <c r="J362" t="n">
        <v>0</v>
      </c>
      <c r="K362" t="n">
        <v>0</v>
      </c>
      <c r="L362" t="n">
        <v>0</v>
      </c>
      <c r="M362" t="n">
        <v>0</v>
      </c>
      <c r="N362" t="n">
        <v>0</v>
      </c>
      <c r="O362" t="n">
        <v>0</v>
      </c>
      <c r="P362" t="n">
        <v>0</v>
      </c>
      <c r="Q362" t="n">
        <v>0</v>
      </c>
      <c r="R362" s="2" t="inlineStr"/>
    </row>
    <row r="363" ht="15" customHeight="1">
      <c r="A363" t="inlineStr">
        <is>
          <t>A 61654-2024</t>
        </is>
      </c>
      <c r="B363" s="1" t="n">
        <v>45646</v>
      </c>
      <c r="C363" s="1" t="n">
        <v>46192</v>
      </c>
      <c r="D363" t="inlineStr">
        <is>
          <t>DALARNAS LÄN</t>
        </is>
      </c>
      <c r="E363" t="inlineStr">
        <is>
          <t>MORA</t>
        </is>
      </c>
      <c r="G363" t="n">
        <v>1.7</v>
      </c>
      <c r="H363" t="n">
        <v>0</v>
      </c>
      <c r="I363" t="n">
        <v>0</v>
      </c>
      <c r="J363" t="n">
        <v>0</v>
      </c>
      <c r="K363" t="n">
        <v>0</v>
      </c>
      <c r="L363" t="n">
        <v>0</v>
      </c>
      <c r="M363" t="n">
        <v>0</v>
      </c>
      <c r="N363" t="n">
        <v>0</v>
      </c>
      <c r="O363" t="n">
        <v>0</v>
      </c>
      <c r="P363" t="n">
        <v>0</v>
      </c>
      <c r="Q363" t="n">
        <v>0</v>
      </c>
      <c r="R363" s="2" t="inlineStr"/>
    </row>
    <row r="364" ht="15" customHeight="1">
      <c r="A364" t="inlineStr">
        <is>
          <t>A 60428-2023</t>
        </is>
      </c>
      <c r="B364" s="1" t="n">
        <v>45259</v>
      </c>
      <c r="C364" s="1" t="n">
        <v>46192</v>
      </c>
      <c r="D364" t="inlineStr">
        <is>
          <t>DALARNAS LÄN</t>
        </is>
      </c>
      <c r="E364" t="inlineStr">
        <is>
          <t>MORA</t>
        </is>
      </c>
      <c r="G364" t="n">
        <v>4.9</v>
      </c>
      <c r="H364" t="n">
        <v>0</v>
      </c>
      <c r="I364" t="n">
        <v>0</v>
      </c>
      <c r="J364" t="n">
        <v>0</v>
      </c>
      <c r="K364" t="n">
        <v>0</v>
      </c>
      <c r="L364" t="n">
        <v>0</v>
      </c>
      <c r="M364" t="n">
        <v>0</v>
      </c>
      <c r="N364" t="n">
        <v>0</v>
      </c>
      <c r="O364" t="n">
        <v>0</v>
      </c>
      <c r="P364" t="n">
        <v>0</v>
      </c>
      <c r="Q364" t="n">
        <v>0</v>
      </c>
      <c r="R364" s="2" t="inlineStr"/>
    </row>
    <row r="365" ht="15" customHeight="1">
      <c r="A365" t="inlineStr">
        <is>
          <t>A 2308-2023</t>
        </is>
      </c>
      <c r="B365" s="1" t="n">
        <v>44942</v>
      </c>
      <c r="C365" s="1" t="n">
        <v>46192</v>
      </c>
      <c r="D365" t="inlineStr">
        <is>
          <t>DALARNAS LÄN</t>
        </is>
      </c>
      <c r="E365" t="inlineStr">
        <is>
          <t>MORA</t>
        </is>
      </c>
      <c r="G365" t="n">
        <v>2.2</v>
      </c>
      <c r="H365" t="n">
        <v>0</v>
      </c>
      <c r="I365" t="n">
        <v>0</v>
      </c>
      <c r="J365" t="n">
        <v>0</v>
      </c>
      <c r="K365" t="n">
        <v>0</v>
      </c>
      <c r="L365" t="n">
        <v>0</v>
      </c>
      <c r="M365" t="n">
        <v>0</v>
      </c>
      <c r="N365" t="n">
        <v>0</v>
      </c>
      <c r="O365" t="n">
        <v>0</v>
      </c>
      <c r="P365" t="n">
        <v>0</v>
      </c>
      <c r="Q365" t="n">
        <v>0</v>
      </c>
      <c r="R365" s="2" t="inlineStr"/>
    </row>
    <row r="366" ht="15" customHeight="1">
      <c r="A366" t="inlineStr">
        <is>
          <t>A 70141-2021</t>
        </is>
      </c>
      <c r="B366" s="1" t="n">
        <v>44533</v>
      </c>
      <c r="C366" s="1" t="n">
        <v>46192</v>
      </c>
      <c r="D366" t="inlineStr">
        <is>
          <t>DALARNAS LÄN</t>
        </is>
      </c>
      <c r="E366" t="inlineStr">
        <is>
          <t>MORA</t>
        </is>
      </c>
      <c r="G366" t="n">
        <v>4.1</v>
      </c>
      <c r="H366" t="n">
        <v>0</v>
      </c>
      <c r="I366" t="n">
        <v>0</v>
      </c>
      <c r="J366" t="n">
        <v>0</v>
      </c>
      <c r="K366" t="n">
        <v>0</v>
      </c>
      <c r="L366" t="n">
        <v>0</v>
      </c>
      <c r="M366" t="n">
        <v>0</v>
      </c>
      <c r="N366" t="n">
        <v>0</v>
      </c>
      <c r="O366" t="n">
        <v>0</v>
      </c>
      <c r="P366" t="n">
        <v>0</v>
      </c>
      <c r="Q366" t="n">
        <v>0</v>
      </c>
      <c r="R366" s="2" t="inlineStr"/>
    </row>
    <row r="367" ht="15" customHeight="1">
      <c r="A367" t="inlineStr">
        <is>
          <t>A 53159-2024</t>
        </is>
      </c>
      <c r="B367" s="1" t="n">
        <v>45611</v>
      </c>
      <c r="C367" s="1" t="n">
        <v>46192</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64093-2023</t>
        </is>
      </c>
      <c r="B368" s="1" t="n">
        <v>45279</v>
      </c>
      <c r="C368" s="1" t="n">
        <v>46192</v>
      </c>
      <c r="D368" t="inlineStr">
        <is>
          <t>DALARNAS LÄN</t>
        </is>
      </c>
      <c r="E368" t="inlineStr">
        <is>
          <t>MORA</t>
        </is>
      </c>
      <c r="G368" t="n">
        <v>0.9</v>
      </c>
      <c r="H368" t="n">
        <v>0</v>
      </c>
      <c r="I368" t="n">
        <v>0</v>
      </c>
      <c r="J368" t="n">
        <v>0</v>
      </c>
      <c r="K368" t="n">
        <v>0</v>
      </c>
      <c r="L368" t="n">
        <v>0</v>
      </c>
      <c r="M368" t="n">
        <v>0</v>
      </c>
      <c r="N368" t="n">
        <v>0</v>
      </c>
      <c r="O368" t="n">
        <v>0</v>
      </c>
      <c r="P368" t="n">
        <v>0</v>
      </c>
      <c r="Q368" t="n">
        <v>0</v>
      </c>
      <c r="R368" s="2" t="inlineStr"/>
    </row>
    <row r="369" ht="15" customHeight="1">
      <c r="A369" t="inlineStr">
        <is>
          <t>A 29754-2022</t>
        </is>
      </c>
      <c r="B369" s="1" t="n">
        <v>44755</v>
      </c>
      <c r="C369" s="1" t="n">
        <v>46192</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53344-2023</t>
        </is>
      </c>
      <c r="B370" s="1" t="n">
        <v>45229</v>
      </c>
      <c r="C370" s="1" t="n">
        <v>46192</v>
      </c>
      <c r="D370" t="inlineStr">
        <is>
          <t>DALARNAS LÄN</t>
        </is>
      </c>
      <c r="E370" t="inlineStr">
        <is>
          <t>MORA</t>
        </is>
      </c>
      <c r="G370" t="n">
        <v>2.4</v>
      </c>
      <c r="H370" t="n">
        <v>0</v>
      </c>
      <c r="I370" t="n">
        <v>0</v>
      </c>
      <c r="J370" t="n">
        <v>0</v>
      </c>
      <c r="K370" t="n">
        <v>0</v>
      </c>
      <c r="L370" t="n">
        <v>0</v>
      </c>
      <c r="M370" t="n">
        <v>0</v>
      </c>
      <c r="N370" t="n">
        <v>0</v>
      </c>
      <c r="O370" t="n">
        <v>0</v>
      </c>
      <c r="P370" t="n">
        <v>0</v>
      </c>
      <c r="Q370" t="n">
        <v>0</v>
      </c>
      <c r="R370" s="2" t="inlineStr"/>
    </row>
    <row r="371" ht="15" customHeight="1">
      <c r="A371" t="inlineStr">
        <is>
          <t>A 673-2026</t>
        </is>
      </c>
      <c r="B371" s="1" t="n">
        <v>46029</v>
      </c>
      <c r="C371" s="1" t="n">
        <v>46192</v>
      </c>
      <c r="D371" t="inlineStr">
        <is>
          <t>DALARNAS LÄN</t>
        </is>
      </c>
      <c r="E371" t="inlineStr">
        <is>
          <t>MORA</t>
        </is>
      </c>
      <c r="F371" t="inlineStr">
        <is>
          <t>Kommuner</t>
        </is>
      </c>
      <c r="G371" t="n">
        <v>25.8</v>
      </c>
      <c r="H371" t="n">
        <v>0</v>
      </c>
      <c r="I371" t="n">
        <v>0</v>
      </c>
      <c r="J371" t="n">
        <v>0</v>
      </c>
      <c r="K371" t="n">
        <v>0</v>
      </c>
      <c r="L371" t="n">
        <v>0</v>
      </c>
      <c r="M371" t="n">
        <v>0</v>
      </c>
      <c r="N371" t="n">
        <v>0</v>
      </c>
      <c r="O371" t="n">
        <v>0</v>
      </c>
      <c r="P371" t="n">
        <v>0</v>
      </c>
      <c r="Q371" t="n">
        <v>0</v>
      </c>
      <c r="R371" s="2" t="inlineStr"/>
    </row>
    <row r="372" ht="15" customHeight="1">
      <c r="A372" t="inlineStr">
        <is>
          <t>A 1252-2025</t>
        </is>
      </c>
      <c r="B372" s="1" t="n">
        <v>45667</v>
      </c>
      <c r="C372" s="1" t="n">
        <v>46192</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3247-2026</t>
        </is>
      </c>
      <c r="B373" s="1" t="n">
        <v>46041</v>
      </c>
      <c r="C373" s="1" t="n">
        <v>46192</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2995-2026</t>
        </is>
      </c>
      <c r="B374" s="1" t="n">
        <v>46038</v>
      </c>
      <c r="C374" s="1" t="n">
        <v>46192</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53754-2024</t>
        </is>
      </c>
      <c r="B375" s="1" t="n">
        <v>45615</v>
      </c>
      <c r="C375" s="1" t="n">
        <v>46192</v>
      </c>
      <c r="D375" t="inlineStr">
        <is>
          <t>DALARNAS LÄN</t>
        </is>
      </c>
      <c r="E375" t="inlineStr">
        <is>
          <t>MORA</t>
        </is>
      </c>
      <c r="G375" t="n">
        <v>4.8</v>
      </c>
      <c r="H375" t="n">
        <v>0</v>
      </c>
      <c r="I375" t="n">
        <v>0</v>
      </c>
      <c r="J375" t="n">
        <v>0</v>
      </c>
      <c r="K375" t="n">
        <v>0</v>
      </c>
      <c r="L375" t="n">
        <v>0</v>
      </c>
      <c r="M375" t="n">
        <v>0</v>
      </c>
      <c r="N375" t="n">
        <v>0</v>
      </c>
      <c r="O375" t="n">
        <v>0</v>
      </c>
      <c r="P375" t="n">
        <v>0</v>
      </c>
      <c r="Q375" t="n">
        <v>0</v>
      </c>
      <c r="R375" s="2" t="inlineStr"/>
    </row>
    <row r="376" ht="15" customHeight="1">
      <c r="A376" t="inlineStr">
        <is>
          <t>A 14040-2023</t>
        </is>
      </c>
      <c r="B376" s="1" t="n">
        <v>45008</v>
      </c>
      <c r="C376" s="1" t="n">
        <v>46192</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3440-2026</t>
        </is>
      </c>
      <c r="B377" s="1" t="n">
        <v>46042</v>
      </c>
      <c r="C377" s="1" t="n">
        <v>46192</v>
      </c>
      <c r="D377" t="inlineStr">
        <is>
          <t>DALARNAS LÄN</t>
        </is>
      </c>
      <c r="E377" t="inlineStr">
        <is>
          <t>MORA</t>
        </is>
      </c>
      <c r="G377" t="n">
        <v>6.7</v>
      </c>
      <c r="H377" t="n">
        <v>0</v>
      </c>
      <c r="I377" t="n">
        <v>0</v>
      </c>
      <c r="J377" t="n">
        <v>0</v>
      </c>
      <c r="K377" t="n">
        <v>0</v>
      </c>
      <c r="L377" t="n">
        <v>0</v>
      </c>
      <c r="M377" t="n">
        <v>0</v>
      </c>
      <c r="N377" t="n">
        <v>0</v>
      </c>
      <c r="O377" t="n">
        <v>0</v>
      </c>
      <c r="P377" t="n">
        <v>0</v>
      </c>
      <c r="Q377" t="n">
        <v>0</v>
      </c>
      <c r="R377" s="2" t="inlineStr"/>
    </row>
    <row r="378" ht="15" customHeight="1">
      <c r="A378" t="inlineStr">
        <is>
          <t>A 18120-2025</t>
        </is>
      </c>
      <c r="B378" s="1" t="n">
        <v>45761</v>
      </c>
      <c r="C378" s="1" t="n">
        <v>46192</v>
      </c>
      <c r="D378" t="inlineStr">
        <is>
          <t>DALARNAS LÄN</t>
        </is>
      </c>
      <c r="E378" t="inlineStr">
        <is>
          <t>MORA</t>
        </is>
      </c>
      <c r="F378" t="inlineStr">
        <is>
          <t>Bergvik skog väst AB</t>
        </is>
      </c>
      <c r="G378" t="n">
        <v>6.4</v>
      </c>
      <c r="H378" t="n">
        <v>0</v>
      </c>
      <c r="I378" t="n">
        <v>0</v>
      </c>
      <c r="J378" t="n">
        <v>0</v>
      </c>
      <c r="K378" t="n">
        <v>0</v>
      </c>
      <c r="L378" t="n">
        <v>0</v>
      </c>
      <c r="M378" t="n">
        <v>0</v>
      </c>
      <c r="N378" t="n">
        <v>0</v>
      </c>
      <c r="O378" t="n">
        <v>0</v>
      </c>
      <c r="P378" t="n">
        <v>0</v>
      </c>
      <c r="Q378" t="n">
        <v>0</v>
      </c>
      <c r="R378" s="2" t="inlineStr"/>
    </row>
    <row r="379" ht="15" customHeight="1">
      <c r="A379" t="inlineStr">
        <is>
          <t>A 18127-2025</t>
        </is>
      </c>
      <c r="B379" s="1" t="n">
        <v>45761</v>
      </c>
      <c r="C379" s="1" t="n">
        <v>46192</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571-2024</t>
        </is>
      </c>
      <c r="B380" s="1" t="n">
        <v>45299</v>
      </c>
      <c r="C380" s="1" t="n">
        <v>46192</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4489-2022</t>
        </is>
      </c>
      <c r="B381" s="1" t="n">
        <v>44589</v>
      </c>
      <c r="C381" s="1" t="n">
        <v>46192</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20549-2025</t>
        </is>
      </c>
      <c r="B382" s="1" t="n">
        <v>45775</v>
      </c>
      <c r="C382" s="1" t="n">
        <v>46192</v>
      </c>
      <c r="D382" t="inlineStr">
        <is>
          <t>DALARNAS LÄN</t>
        </is>
      </c>
      <c r="E382" t="inlineStr">
        <is>
          <t>MORA</t>
        </is>
      </c>
      <c r="G382" t="n">
        <v>1.6</v>
      </c>
      <c r="H382" t="n">
        <v>0</v>
      </c>
      <c r="I382" t="n">
        <v>0</v>
      </c>
      <c r="J382" t="n">
        <v>0</v>
      </c>
      <c r="K382" t="n">
        <v>0</v>
      </c>
      <c r="L382" t="n">
        <v>0</v>
      </c>
      <c r="M382" t="n">
        <v>0</v>
      </c>
      <c r="N382" t="n">
        <v>0</v>
      </c>
      <c r="O382" t="n">
        <v>0</v>
      </c>
      <c r="P382" t="n">
        <v>0</v>
      </c>
      <c r="Q382" t="n">
        <v>0</v>
      </c>
      <c r="R382" s="2" t="inlineStr"/>
    </row>
    <row r="383" ht="15" customHeight="1">
      <c r="A383" t="inlineStr">
        <is>
          <t>A 45574-2023</t>
        </is>
      </c>
      <c r="B383" s="1" t="n">
        <v>45194</v>
      </c>
      <c r="C383" s="1" t="n">
        <v>46192</v>
      </c>
      <c r="D383" t="inlineStr">
        <is>
          <t>DALARNAS LÄN</t>
        </is>
      </c>
      <c r="E383" t="inlineStr">
        <is>
          <t>MORA</t>
        </is>
      </c>
      <c r="G383" t="n">
        <v>6.3</v>
      </c>
      <c r="H383" t="n">
        <v>0</v>
      </c>
      <c r="I383" t="n">
        <v>0</v>
      </c>
      <c r="J383" t="n">
        <v>0</v>
      </c>
      <c r="K383" t="n">
        <v>0</v>
      </c>
      <c r="L383" t="n">
        <v>0</v>
      </c>
      <c r="M383" t="n">
        <v>0</v>
      </c>
      <c r="N383" t="n">
        <v>0</v>
      </c>
      <c r="O383" t="n">
        <v>0</v>
      </c>
      <c r="P383" t="n">
        <v>0</v>
      </c>
      <c r="Q383" t="n">
        <v>0</v>
      </c>
      <c r="R383" s="2" t="inlineStr"/>
    </row>
    <row r="384" ht="15" customHeight="1">
      <c r="A384" t="inlineStr">
        <is>
          <t>A 3669-2026</t>
        </is>
      </c>
      <c r="B384" s="1" t="n">
        <v>46043</v>
      </c>
      <c r="C384" s="1" t="n">
        <v>46192</v>
      </c>
      <c r="D384" t="inlineStr">
        <is>
          <t>DALARNAS LÄN</t>
        </is>
      </c>
      <c r="E384" t="inlineStr">
        <is>
          <t>MORA</t>
        </is>
      </c>
      <c r="G384" t="n">
        <v>4.6</v>
      </c>
      <c r="H384" t="n">
        <v>0</v>
      </c>
      <c r="I384" t="n">
        <v>0</v>
      </c>
      <c r="J384" t="n">
        <v>0</v>
      </c>
      <c r="K384" t="n">
        <v>0</v>
      </c>
      <c r="L384" t="n">
        <v>0</v>
      </c>
      <c r="M384" t="n">
        <v>0</v>
      </c>
      <c r="N384" t="n">
        <v>0</v>
      </c>
      <c r="O384" t="n">
        <v>0</v>
      </c>
      <c r="P384" t="n">
        <v>0</v>
      </c>
      <c r="Q384" t="n">
        <v>0</v>
      </c>
      <c r="R384" s="2" t="inlineStr"/>
    </row>
    <row r="385" ht="15" customHeight="1">
      <c r="A385" t="inlineStr">
        <is>
          <t>A 53743-2024</t>
        </is>
      </c>
      <c r="B385" s="1" t="n">
        <v>45615</v>
      </c>
      <c r="C385" s="1" t="n">
        <v>46192</v>
      </c>
      <c r="D385" t="inlineStr">
        <is>
          <t>DALARNAS LÄN</t>
        </is>
      </c>
      <c r="E385" t="inlineStr">
        <is>
          <t>MORA</t>
        </is>
      </c>
      <c r="G385" t="n">
        <v>1.4</v>
      </c>
      <c r="H385" t="n">
        <v>0</v>
      </c>
      <c r="I385" t="n">
        <v>0</v>
      </c>
      <c r="J385" t="n">
        <v>0</v>
      </c>
      <c r="K385" t="n">
        <v>0</v>
      </c>
      <c r="L385" t="n">
        <v>0</v>
      </c>
      <c r="M385" t="n">
        <v>0</v>
      </c>
      <c r="N385" t="n">
        <v>0</v>
      </c>
      <c r="O385" t="n">
        <v>0</v>
      </c>
      <c r="P385" t="n">
        <v>0</v>
      </c>
      <c r="Q385" t="n">
        <v>0</v>
      </c>
      <c r="R385" s="2" t="inlineStr"/>
    </row>
    <row r="386" ht="15" customHeight="1">
      <c r="A386" t="inlineStr">
        <is>
          <t>A 17172-2025</t>
        </is>
      </c>
      <c r="B386" s="1" t="n">
        <v>45756</v>
      </c>
      <c r="C386" s="1" t="n">
        <v>46192</v>
      </c>
      <c r="D386" t="inlineStr">
        <is>
          <t>DALARNAS LÄN</t>
        </is>
      </c>
      <c r="E386" t="inlineStr">
        <is>
          <t>MORA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39009-2023</t>
        </is>
      </c>
      <c r="B387" s="1" t="n">
        <v>45162</v>
      </c>
      <c r="C387" s="1" t="n">
        <v>46192</v>
      </c>
      <c r="D387" t="inlineStr">
        <is>
          <t>DALARNAS LÄN</t>
        </is>
      </c>
      <c r="E387" t="inlineStr">
        <is>
          <t>MORA</t>
        </is>
      </c>
      <c r="G387" t="n">
        <v>1.9</v>
      </c>
      <c r="H387" t="n">
        <v>0</v>
      </c>
      <c r="I387" t="n">
        <v>0</v>
      </c>
      <c r="J387" t="n">
        <v>0</v>
      </c>
      <c r="K387" t="n">
        <v>0</v>
      </c>
      <c r="L387" t="n">
        <v>0</v>
      </c>
      <c r="M387" t="n">
        <v>0</v>
      </c>
      <c r="N387" t="n">
        <v>0</v>
      </c>
      <c r="O387" t="n">
        <v>0</v>
      </c>
      <c r="P387" t="n">
        <v>0</v>
      </c>
      <c r="Q387" t="n">
        <v>0</v>
      </c>
      <c r="R387" s="2" t="inlineStr"/>
    </row>
    <row r="388" ht="15" customHeight="1">
      <c r="A388" t="inlineStr">
        <is>
          <t>A 60360-2023</t>
        </is>
      </c>
      <c r="B388" s="1" t="n">
        <v>45259</v>
      </c>
      <c r="C388" s="1" t="n">
        <v>46192</v>
      </c>
      <c r="D388" t="inlineStr">
        <is>
          <t>DALARNAS LÄN</t>
        </is>
      </c>
      <c r="E388" t="inlineStr">
        <is>
          <t>MORA</t>
        </is>
      </c>
      <c r="G388" t="n">
        <v>2.9</v>
      </c>
      <c r="H388" t="n">
        <v>0</v>
      </c>
      <c r="I388" t="n">
        <v>0</v>
      </c>
      <c r="J388" t="n">
        <v>0</v>
      </c>
      <c r="K388" t="n">
        <v>0</v>
      </c>
      <c r="L388" t="n">
        <v>0</v>
      </c>
      <c r="M388" t="n">
        <v>0</v>
      </c>
      <c r="N388" t="n">
        <v>0</v>
      </c>
      <c r="O388" t="n">
        <v>0</v>
      </c>
      <c r="P388" t="n">
        <v>0</v>
      </c>
      <c r="Q388" t="n">
        <v>0</v>
      </c>
      <c r="R388" s="2" t="inlineStr"/>
    </row>
    <row r="389" ht="15" customHeight="1">
      <c r="A389" t="inlineStr">
        <is>
          <t>A 17164-2025</t>
        </is>
      </c>
      <c r="B389" s="1" t="n">
        <v>45756</v>
      </c>
      <c r="C389" s="1" t="n">
        <v>46192</v>
      </c>
      <c r="D389" t="inlineStr">
        <is>
          <t>DALARNAS LÄN</t>
        </is>
      </c>
      <c r="E389" t="inlineStr">
        <is>
          <t>MORA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24768-2024</t>
        </is>
      </c>
      <c r="B390" s="1" t="n">
        <v>45460</v>
      </c>
      <c r="C390" s="1" t="n">
        <v>46192</v>
      </c>
      <c r="D390" t="inlineStr">
        <is>
          <t>DALARNAS LÄN</t>
        </is>
      </c>
      <c r="E390" t="inlineStr">
        <is>
          <t>MORA</t>
        </is>
      </c>
      <c r="G390" t="n">
        <v>2.4</v>
      </c>
      <c r="H390" t="n">
        <v>0</v>
      </c>
      <c r="I390" t="n">
        <v>0</v>
      </c>
      <c r="J390" t="n">
        <v>0</v>
      </c>
      <c r="K390" t="n">
        <v>0</v>
      </c>
      <c r="L390" t="n">
        <v>0</v>
      </c>
      <c r="M390" t="n">
        <v>0</v>
      </c>
      <c r="N390" t="n">
        <v>0</v>
      </c>
      <c r="O390" t="n">
        <v>0</v>
      </c>
      <c r="P390" t="n">
        <v>0</v>
      </c>
      <c r="Q390" t="n">
        <v>0</v>
      </c>
      <c r="R390" s="2" t="inlineStr"/>
    </row>
    <row r="391" ht="15" customHeight="1">
      <c r="A391" t="inlineStr">
        <is>
          <t>A 18806-2025</t>
        </is>
      </c>
      <c r="B391" s="1" t="n">
        <v>45764</v>
      </c>
      <c r="C391" s="1" t="n">
        <v>46192</v>
      </c>
      <c r="D391" t="inlineStr">
        <is>
          <t>DALARNAS LÄN</t>
        </is>
      </c>
      <c r="E391" t="inlineStr">
        <is>
          <t>MORA</t>
        </is>
      </c>
      <c r="G391" t="n">
        <v>1.7</v>
      </c>
      <c r="H391" t="n">
        <v>0</v>
      </c>
      <c r="I391" t="n">
        <v>0</v>
      </c>
      <c r="J391" t="n">
        <v>0</v>
      </c>
      <c r="K391" t="n">
        <v>0</v>
      </c>
      <c r="L391" t="n">
        <v>0</v>
      </c>
      <c r="M391" t="n">
        <v>0</v>
      </c>
      <c r="N391" t="n">
        <v>0</v>
      </c>
      <c r="O391" t="n">
        <v>0</v>
      </c>
      <c r="P391" t="n">
        <v>0</v>
      </c>
      <c r="Q391" t="n">
        <v>0</v>
      </c>
      <c r="R391" s="2" t="inlineStr"/>
    </row>
    <row r="392" ht="15" customHeight="1">
      <c r="A392" t="inlineStr">
        <is>
          <t>A 54628-2024</t>
        </is>
      </c>
      <c r="B392" s="1" t="n">
        <v>45617</v>
      </c>
      <c r="C392" s="1" t="n">
        <v>46192</v>
      </c>
      <c r="D392" t="inlineStr">
        <is>
          <t>DALARNAS LÄN</t>
        </is>
      </c>
      <c r="E392" t="inlineStr">
        <is>
          <t>MORA</t>
        </is>
      </c>
      <c r="G392" t="n">
        <v>1.1</v>
      </c>
      <c r="H392" t="n">
        <v>0</v>
      </c>
      <c r="I392" t="n">
        <v>0</v>
      </c>
      <c r="J392" t="n">
        <v>0</v>
      </c>
      <c r="K392" t="n">
        <v>0</v>
      </c>
      <c r="L392" t="n">
        <v>0</v>
      </c>
      <c r="M392" t="n">
        <v>0</v>
      </c>
      <c r="N392" t="n">
        <v>0</v>
      </c>
      <c r="O392" t="n">
        <v>0</v>
      </c>
      <c r="P392" t="n">
        <v>0</v>
      </c>
      <c r="Q392" t="n">
        <v>0</v>
      </c>
      <c r="R392" s="2" t="inlineStr"/>
    </row>
    <row r="393" ht="15" customHeight="1">
      <c r="A393" t="inlineStr">
        <is>
          <t>A 4213-2026</t>
        </is>
      </c>
      <c r="B393" s="1" t="n">
        <v>46044</v>
      </c>
      <c r="C393" s="1" t="n">
        <v>46192</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44205-2023</t>
        </is>
      </c>
      <c r="B394" s="1" t="n">
        <v>45188</v>
      </c>
      <c r="C394" s="1" t="n">
        <v>46192</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22732-2024</t>
        </is>
      </c>
      <c r="B395" s="1" t="n">
        <v>45448</v>
      </c>
      <c r="C395" s="1" t="n">
        <v>46192</v>
      </c>
      <c r="D395" t="inlineStr">
        <is>
          <t>DALARNAS LÄN</t>
        </is>
      </c>
      <c r="E395" t="inlineStr">
        <is>
          <t>MORA</t>
        </is>
      </c>
      <c r="G395" t="n">
        <v>3.6</v>
      </c>
      <c r="H395" t="n">
        <v>0</v>
      </c>
      <c r="I395" t="n">
        <v>0</v>
      </c>
      <c r="J395" t="n">
        <v>0</v>
      </c>
      <c r="K395" t="n">
        <v>0</v>
      </c>
      <c r="L395" t="n">
        <v>0</v>
      </c>
      <c r="M395" t="n">
        <v>0</v>
      </c>
      <c r="N395" t="n">
        <v>0</v>
      </c>
      <c r="O395" t="n">
        <v>0</v>
      </c>
      <c r="P395" t="n">
        <v>0</v>
      </c>
      <c r="Q395" t="n">
        <v>0</v>
      </c>
      <c r="R395" s="2" t="inlineStr"/>
    </row>
    <row r="396" ht="15" customHeight="1">
      <c r="A396" t="inlineStr">
        <is>
          <t>A 19756-2022</t>
        </is>
      </c>
      <c r="B396" s="1" t="n">
        <v>44694</v>
      </c>
      <c r="C396" s="1" t="n">
        <v>46192</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59448-2022</t>
        </is>
      </c>
      <c r="B397" s="1" t="n">
        <v>44907</v>
      </c>
      <c r="C397" s="1" t="n">
        <v>46192</v>
      </c>
      <c r="D397" t="inlineStr">
        <is>
          <t>DALARNAS LÄN</t>
        </is>
      </c>
      <c r="E397" t="inlineStr">
        <is>
          <t>MORA</t>
        </is>
      </c>
      <c r="G397" t="n">
        <v>35.7</v>
      </c>
      <c r="H397" t="n">
        <v>0</v>
      </c>
      <c r="I397" t="n">
        <v>0</v>
      </c>
      <c r="J397" t="n">
        <v>0</v>
      </c>
      <c r="K397" t="n">
        <v>0</v>
      </c>
      <c r="L397" t="n">
        <v>0</v>
      </c>
      <c r="M397" t="n">
        <v>0</v>
      </c>
      <c r="N397" t="n">
        <v>0</v>
      </c>
      <c r="O397" t="n">
        <v>0</v>
      </c>
      <c r="P397" t="n">
        <v>0</v>
      </c>
      <c r="Q397" t="n">
        <v>0</v>
      </c>
      <c r="R397" s="2" t="inlineStr"/>
    </row>
    <row r="398" ht="15" customHeight="1">
      <c r="A398" t="inlineStr">
        <is>
          <t>A 57319-2023</t>
        </is>
      </c>
      <c r="B398" s="1" t="n">
        <v>45245</v>
      </c>
      <c r="C398" s="1" t="n">
        <v>46192</v>
      </c>
      <c r="D398" t="inlineStr">
        <is>
          <t>DALARNAS LÄN</t>
        </is>
      </c>
      <c r="E398" t="inlineStr">
        <is>
          <t>MORA</t>
        </is>
      </c>
      <c r="G398" t="n">
        <v>2</v>
      </c>
      <c r="H398" t="n">
        <v>0</v>
      </c>
      <c r="I398" t="n">
        <v>0</v>
      </c>
      <c r="J398" t="n">
        <v>0</v>
      </c>
      <c r="K398" t="n">
        <v>0</v>
      </c>
      <c r="L398" t="n">
        <v>0</v>
      </c>
      <c r="M398" t="n">
        <v>0</v>
      </c>
      <c r="N398" t="n">
        <v>0</v>
      </c>
      <c r="O398" t="n">
        <v>0</v>
      </c>
      <c r="P398" t="n">
        <v>0</v>
      </c>
      <c r="Q398" t="n">
        <v>0</v>
      </c>
      <c r="R398" s="2" t="inlineStr"/>
    </row>
    <row r="399" ht="15" customHeight="1">
      <c r="A399" t="inlineStr">
        <is>
          <t>A 46801-2022</t>
        </is>
      </c>
      <c r="B399" s="1" t="n">
        <v>44851</v>
      </c>
      <c r="C399" s="1" t="n">
        <v>46192</v>
      </c>
      <c r="D399" t="inlineStr">
        <is>
          <t>DALARNAS LÄN</t>
        </is>
      </c>
      <c r="E399" t="inlineStr">
        <is>
          <t>MORA</t>
        </is>
      </c>
      <c r="G399" t="n">
        <v>1.5</v>
      </c>
      <c r="H399" t="n">
        <v>0</v>
      </c>
      <c r="I399" t="n">
        <v>0</v>
      </c>
      <c r="J399" t="n">
        <v>0</v>
      </c>
      <c r="K399" t="n">
        <v>0</v>
      </c>
      <c r="L399" t="n">
        <v>0</v>
      </c>
      <c r="M399" t="n">
        <v>0</v>
      </c>
      <c r="N399" t="n">
        <v>0</v>
      </c>
      <c r="O399" t="n">
        <v>0</v>
      </c>
      <c r="P399" t="n">
        <v>0</v>
      </c>
      <c r="Q399" t="n">
        <v>0</v>
      </c>
      <c r="R399" s="2" t="inlineStr"/>
    </row>
    <row r="400" ht="15" customHeight="1">
      <c r="A400" t="inlineStr">
        <is>
          <t>A 5644-2024</t>
        </is>
      </c>
      <c r="B400" s="1" t="n">
        <v>45334</v>
      </c>
      <c r="C400" s="1" t="n">
        <v>46192</v>
      </c>
      <c r="D400" t="inlineStr">
        <is>
          <t>DALARNAS LÄN</t>
        </is>
      </c>
      <c r="E400" t="inlineStr">
        <is>
          <t>MORA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33627-2024</t>
        </is>
      </c>
      <c r="B401" s="1" t="n">
        <v>45520</v>
      </c>
      <c r="C401" s="1" t="n">
        <v>46192</v>
      </c>
      <c r="D401" t="inlineStr">
        <is>
          <t>DALARNAS LÄN</t>
        </is>
      </c>
      <c r="E401" t="inlineStr">
        <is>
          <t>MORA</t>
        </is>
      </c>
      <c r="G401" t="n">
        <v>1.1</v>
      </c>
      <c r="H401" t="n">
        <v>0</v>
      </c>
      <c r="I401" t="n">
        <v>0</v>
      </c>
      <c r="J401" t="n">
        <v>0</v>
      </c>
      <c r="K401" t="n">
        <v>0</v>
      </c>
      <c r="L401" t="n">
        <v>0</v>
      </c>
      <c r="M401" t="n">
        <v>0</v>
      </c>
      <c r="N401" t="n">
        <v>0</v>
      </c>
      <c r="O401" t="n">
        <v>0</v>
      </c>
      <c r="P401" t="n">
        <v>0</v>
      </c>
      <c r="Q401" t="n">
        <v>0</v>
      </c>
      <c r="R401" s="2" t="inlineStr"/>
    </row>
    <row r="402" ht="15" customHeight="1">
      <c r="A402" t="inlineStr">
        <is>
          <t>A 32261-2022</t>
        </is>
      </c>
      <c r="B402" s="1" t="n">
        <v>44781</v>
      </c>
      <c r="C402" s="1" t="n">
        <v>46192</v>
      </c>
      <c r="D402" t="inlineStr">
        <is>
          <t>DALARNAS LÄN</t>
        </is>
      </c>
      <c r="E402" t="inlineStr">
        <is>
          <t>MORA</t>
        </is>
      </c>
      <c r="G402" t="n">
        <v>2.7</v>
      </c>
      <c r="H402" t="n">
        <v>0</v>
      </c>
      <c r="I402" t="n">
        <v>0</v>
      </c>
      <c r="J402" t="n">
        <v>0</v>
      </c>
      <c r="K402" t="n">
        <v>0</v>
      </c>
      <c r="L402" t="n">
        <v>0</v>
      </c>
      <c r="M402" t="n">
        <v>0</v>
      </c>
      <c r="N402" t="n">
        <v>0</v>
      </c>
      <c r="O402" t="n">
        <v>0</v>
      </c>
      <c r="P402" t="n">
        <v>0</v>
      </c>
      <c r="Q402" t="n">
        <v>0</v>
      </c>
      <c r="R402" s="2" t="inlineStr"/>
    </row>
    <row r="403" ht="15" customHeight="1">
      <c r="A403" t="inlineStr">
        <is>
          <t>A 35381-2024</t>
        </is>
      </c>
      <c r="B403" s="1" t="n">
        <v>45531</v>
      </c>
      <c r="C403" s="1" t="n">
        <v>46192</v>
      </c>
      <c r="D403" t="inlineStr">
        <is>
          <t>DALARNAS LÄN</t>
        </is>
      </c>
      <c r="E403" t="inlineStr">
        <is>
          <t>MORA</t>
        </is>
      </c>
      <c r="G403" t="n">
        <v>3.7</v>
      </c>
      <c r="H403" t="n">
        <v>0</v>
      </c>
      <c r="I403" t="n">
        <v>0</v>
      </c>
      <c r="J403" t="n">
        <v>0</v>
      </c>
      <c r="K403" t="n">
        <v>0</v>
      </c>
      <c r="L403" t="n">
        <v>0</v>
      </c>
      <c r="M403" t="n">
        <v>0</v>
      </c>
      <c r="N403" t="n">
        <v>0</v>
      </c>
      <c r="O403" t="n">
        <v>0</v>
      </c>
      <c r="P403" t="n">
        <v>0</v>
      </c>
      <c r="Q403" t="n">
        <v>0</v>
      </c>
      <c r="R403" s="2" t="inlineStr"/>
    </row>
    <row r="404" ht="15" customHeight="1">
      <c r="A404" t="inlineStr">
        <is>
          <t>A 13479-2024</t>
        </is>
      </c>
      <c r="B404" s="1" t="n">
        <v>45387</v>
      </c>
      <c r="C404" s="1" t="n">
        <v>46192</v>
      </c>
      <c r="D404" t="inlineStr">
        <is>
          <t>DALARNAS LÄN</t>
        </is>
      </c>
      <c r="E404" t="inlineStr">
        <is>
          <t>MORA</t>
        </is>
      </c>
      <c r="G404" t="n">
        <v>1.4</v>
      </c>
      <c r="H404" t="n">
        <v>0</v>
      </c>
      <c r="I404" t="n">
        <v>0</v>
      </c>
      <c r="J404" t="n">
        <v>0</v>
      </c>
      <c r="K404" t="n">
        <v>0</v>
      </c>
      <c r="L404" t="n">
        <v>0</v>
      </c>
      <c r="M404" t="n">
        <v>0</v>
      </c>
      <c r="N404" t="n">
        <v>0</v>
      </c>
      <c r="O404" t="n">
        <v>0</v>
      </c>
      <c r="P404" t="n">
        <v>0</v>
      </c>
      <c r="Q404" t="n">
        <v>0</v>
      </c>
      <c r="R404" s="2" t="inlineStr"/>
    </row>
    <row r="405" ht="15" customHeight="1">
      <c r="A405" t="inlineStr">
        <is>
          <t>A 39888-2024</t>
        </is>
      </c>
      <c r="B405" s="1" t="n">
        <v>45553</v>
      </c>
      <c r="C405" s="1" t="n">
        <v>46192</v>
      </c>
      <c r="D405" t="inlineStr">
        <is>
          <t>DALARNAS LÄN</t>
        </is>
      </c>
      <c r="E405" t="inlineStr">
        <is>
          <t>MORA</t>
        </is>
      </c>
      <c r="G405" t="n">
        <v>5.4</v>
      </c>
      <c r="H405" t="n">
        <v>0</v>
      </c>
      <c r="I405" t="n">
        <v>0</v>
      </c>
      <c r="J405" t="n">
        <v>0</v>
      </c>
      <c r="K405" t="n">
        <v>0</v>
      </c>
      <c r="L405" t="n">
        <v>0</v>
      </c>
      <c r="M405" t="n">
        <v>0</v>
      </c>
      <c r="N405" t="n">
        <v>0</v>
      </c>
      <c r="O405" t="n">
        <v>0</v>
      </c>
      <c r="P405" t="n">
        <v>0</v>
      </c>
      <c r="Q405" t="n">
        <v>0</v>
      </c>
      <c r="R405" s="2" t="inlineStr"/>
    </row>
    <row r="406" ht="15" customHeight="1">
      <c r="A406" t="inlineStr">
        <is>
          <t>A 5709-2026</t>
        </is>
      </c>
      <c r="B406" s="1" t="n">
        <v>46051</v>
      </c>
      <c r="C406" s="1" t="n">
        <v>46192</v>
      </c>
      <c r="D406" t="inlineStr">
        <is>
          <t>DALARNAS LÄN</t>
        </is>
      </c>
      <c r="E406" t="inlineStr">
        <is>
          <t>MORA</t>
        </is>
      </c>
      <c r="G406" t="n">
        <v>2.7</v>
      </c>
      <c r="H406" t="n">
        <v>0</v>
      </c>
      <c r="I406" t="n">
        <v>0</v>
      </c>
      <c r="J406" t="n">
        <v>0</v>
      </c>
      <c r="K406" t="n">
        <v>0</v>
      </c>
      <c r="L406" t="n">
        <v>0</v>
      </c>
      <c r="M406" t="n">
        <v>0</v>
      </c>
      <c r="N406" t="n">
        <v>0</v>
      </c>
      <c r="O406" t="n">
        <v>0</v>
      </c>
      <c r="P406" t="n">
        <v>0</v>
      </c>
      <c r="Q406" t="n">
        <v>0</v>
      </c>
      <c r="R406" s="2" t="inlineStr"/>
    </row>
    <row r="407" ht="15" customHeight="1">
      <c r="A407" t="inlineStr">
        <is>
          <t>A 33666-2024</t>
        </is>
      </c>
      <c r="B407" s="1" t="n">
        <v>45520</v>
      </c>
      <c r="C407" s="1" t="n">
        <v>46192</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20989-2024</t>
        </is>
      </c>
      <c r="B408" s="1" t="n">
        <v>45439</v>
      </c>
      <c r="C408" s="1" t="n">
        <v>46192</v>
      </c>
      <c r="D408" t="inlineStr">
        <is>
          <t>DALARNAS LÄN</t>
        </is>
      </c>
      <c r="E408" t="inlineStr">
        <is>
          <t>MORA</t>
        </is>
      </c>
      <c r="F408" t="inlineStr">
        <is>
          <t>Bergvik skog öst AB</t>
        </is>
      </c>
      <c r="G408" t="n">
        <v>14.7</v>
      </c>
      <c r="H408" t="n">
        <v>0</v>
      </c>
      <c r="I408" t="n">
        <v>0</v>
      </c>
      <c r="J408" t="n">
        <v>0</v>
      </c>
      <c r="K408" t="n">
        <v>0</v>
      </c>
      <c r="L408" t="n">
        <v>0</v>
      </c>
      <c r="M408" t="n">
        <v>0</v>
      </c>
      <c r="N408" t="n">
        <v>0</v>
      </c>
      <c r="O408" t="n">
        <v>0</v>
      </c>
      <c r="P408" t="n">
        <v>0</v>
      </c>
      <c r="Q408" t="n">
        <v>0</v>
      </c>
      <c r="R408" s="2" t="inlineStr"/>
    </row>
    <row r="409" ht="15" customHeight="1">
      <c r="A409" t="inlineStr">
        <is>
          <t>A 41812-2024</t>
        </is>
      </c>
      <c r="B409" s="1" t="n">
        <v>45561</v>
      </c>
      <c r="C409" s="1" t="n">
        <v>46192</v>
      </c>
      <c r="D409" t="inlineStr">
        <is>
          <t>DALARNAS LÄN</t>
        </is>
      </c>
      <c r="E409" t="inlineStr">
        <is>
          <t>MORA</t>
        </is>
      </c>
      <c r="G409" t="n">
        <v>2.2</v>
      </c>
      <c r="H409" t="n">
        <v>0</v>
      </c>
      <c r="I409" t="n">
        <v>0</v>
      </c>
      <c r="J409" t="n">
        <v>0</v>
      </c>
      <c r="K409" t="n">
        <v>0</v>
      </c>
      <c r="L409" t="n">
        <v>0</v>
      </c>
      <c r="M409" t="n">
        <v>0</v>
      </c>
      <c r="N409" t="n">
        <v>0</v>
      </c>
      <c r="O409" t="n">
        <v>0</v>
      </c>
      <c r="P409" t="n">
        <v>0</v>
      </c>
      <c r="Q409" t="n">
        <v>0</v>
      </c>
      <c r="R409" s="2" t="inlineStr"/>
    </row>
    <row r="410" ht="15" customHeight="1">
      <c r="A410" t="inlineStr">
        <is>
          <t>A 43964-2024</t>
        </is>
      </c>
      <c r="B410" s="1" t="n">
        <v>45572</v>
      </c>
      <c r="C410" s="1" t="n">
        <v>46192</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6967-2026</t>
        </is>
      </c>
      <c r="B411" s="1" t="n">
        <v>46057</v>
      </c>
      <c r="C411" s="1" t="n">
        <v>46192</v>
      </c>
      <c r="D411" t="inlineStr">
        <is>
          <t>DALARNAS LÄN</t>
        </is>
      </c>
      <c r="E411" t="inlineStr">
        <is>
          <t>MORA</t>
        </is>
      </c>
      <c r="G411" t="n">
        <v>5</v>
      </c>
      <c r="H411" t="n">
        <v>0</v>
      </c>
      <c r="I411" t="n">
        <v>0</v>
      </c>
      <c r="J411" t="n">
        <v>0</v>
      </c>
      <c r="K411" t="n">
        <v>0</v>
      </c>
      <c r="L411" t="n">
        <v>0</v>
      </c>
      <c r="M411" t="n">
        <v>0</v>
      </c>
      <c r="N411" t="n">
        <v>0</v>
      </c>
      <c r="O411" t="n">
        <v>0</v>
      </c>
      <c r="P411" t="n">
        <v>0</v>
      </c>
      <c r="Q411" t="n">
        <v>0</v>
      </c>
      <c r="R411" s="2" t="inlineStr"/>
    </row>
    <row r="412" ht="15" customHeight="1">
      <c r="A412" t="inlineStr">
        <is>
          <t>A 6674-2026</t>
        </is>
      </c>
      <c r="B412" s="1" t="n">
        <v>46056</v>
      </c>
      <c r="C412" s="1" t="n">
        <v>46192</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6690-2026</t>
        </is>
      </c>
      <c r="B413" s="1" t="n">
        <v>46056</v>
      </c>
      <c r="C413" s="1" t="n">
        <v>46192</v>
      </c>
      <c r="D413" t="inlineStr">
        <is>
          <t>DALARNAS LÄN</t>
        </is>
      </c>
      <c r="E413" t="inlineStr">
        <is>
          <t>MORA</t>
        </is>
      </c>
      <c r="G413" t="n">
        <v>1.9</v>
      </c>
      <c r="H413" t="n">
        <v>0</v>
      </c>
      <c r="I413" t="n">
        <v>0</v>
      </c>
      <c r="J413" t="n">
        <v>0</v>
      </c>
      <c r="K413" t="n">
        <v>0</v>
      </c>
      <c r="L413" t="n">
        <v>0</v>
      </c>
      <c r="M413" t="n">
        <v>0</v>
      </c>
      <c r="N413" t="n">
        <v>0</v>
      </c>
      <c r="O413" t="n">
        <v>0</v>
      </c>
      <c r="P413" t="n">
        <v>0</v>
      </c>
      <c r="Q413" t="n">
        <v>0</v>
      </c>
      <c r="R413" s="2" t="inlineStr"/>
    </row>
    <row r="414" ht="15" customHeight="1">
      <c r="A414" t="inlineStr">
        <is>
          <t>A 51883-2024</t>
        </is>
      </c>
      <c r="B414" s="1" t="n">
        <v>45607</v>
      </c>
      <c r="C414" s="1" t="n">
        <v>46192</v>
      </c>
      <c r="D414" t="inlineStr">
        <is>
          <t>DALARNAS LÄN</t>
        </is>
      </c>
      <c r="E414" t="inlineStr">
        <is>
          <t>MORA</t>
        </is>
      </c>
      <c r="G414" t="n">
        <v>0.2</v>
      </c>
      <c r="H414" t="n">
        <v>0</v>
      </c>
      <c r="I414" t="n">
        <v>0</v>
      </c>
      <c r="J414" t="n">
        <v>0</v>
      </c>
      <c r="K414" t="n">
        <v>0</v>
      </c>
      <c r="L414" t="n">
        <v>0</v>
      </c>
      <c r="M414" t="n">
        <v>0</v>
      </c>
      <c r="N414" t="n">
        <v>0</v>
      </c>
      <c r="O414" t="n">
        <v>0</v>
      </c>
      <c r="P414" t="n">
        <v>0</v>
      </c>
      <c r="Q414" t="n">
        <v>0</v>
      </c>
      <c r="R414" s="2" t="inlineStr"/>
    </row>
    <row r="415" ht="15" customHeight="1">
      <c r="A415" t="inlineStr">
        <is>
          <t>A 28487-2024</t>
        </is>
      </c>
      <c r="B415" s="1" t="n">
        <v>45477</v>
      </c>
      <c r="C415" s="1" t="n">
        <v>46192</v>
      </c>
      <c r="D415" t="inlineStr">
        <is>
          <t>DALARNAS LÄN</t>
        </is>
      </c>
      <c r="E415" t="inlineStr">
        <is>
          <t>MORA</t>
        </is>
      </c>
      <c r="G415" t="n">
        <v>3.1</v>
      </c>
      <c r="H415" t="n">
        <v>0</v>
      </c>
      <c r="I415" t="n">
        <v>0</v>
      </c>
      <c r="J415" t="n">
        <v>0</v>
      </c>
      <c r="K415" t="n">
        <v>0</v>
      </c>
      <c r="L415" t="n">
        <v>0</v>
      </c>
      <c r="M415" t="n">
        <v>0</v>
      </c>
      <c r="N415" t="n">
        <v>0</v>
      </c>
      <c r="O415" t="n">
        <v>0</v>
      </c>
      <c r="P415" t="n">
        <v>0</v>
      </c>
      <c r="Q415" t="n">
        <v>0</v>
      </c>
      <c r="R415" s="2" t="inlineStr"/>
    </row>
    <row r="416" ht="15" customHeight="1">
      <c r="A416" t="inlineStr">
        <is>
          <t>A 23586-2023</t>
        </is>
      </c>
      <c r="B416" s="1" t="n">
        <v>45077</v>
      </c>
      <c r="C416" s="1" t="n">
        <v>46192</v>
      </c>
      <c r="D416" t="inlineStr">
        <is>
          <t>DALARNAS LÄN</t>
        </is>
      </c>
      <c r="E416" t="inlineStr">
        <is>
          <t>MORA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6802-2026</t>
        </is>
      </c>
      <c r="B417" s="1" t="n">
        <v>46057</v>
      </c>
      <c r="C417" s="1" t="n">
        <v>46192</v>
      </c>
      <c r="D417" t="inlineStr">
        <is>
          <t>DALARNAS LÄN</t>
        </is>
      </c>
      <c r="E417" t="inlineStr">
        <is>
          <t>MORA</t>
        </is>
      </c>
      <c r="G417" t="n">
        <v>5.8</v>
      </c>
      <c r="H417" t="n">
        <v>0</v>
      </c>
      <c r="I417" t="n">
        <v>0</v>
      </c>
      <c r="J417" t="n">
        <v>0</v>
      </c>
      <c r="K417" t="n">
        <v>0</v>
      </c>
      <c r="L417" t="n">
        <v>0</v>
      </c>
      <c r="M417" t="n">
        <v>0</v>
      </c>
      <c r="N417" t="n">
        <v>0</v>
      </c>
      <c r="O417" t="n">
        <v>0</v>
      </c>
      <c r="P417" t="n">
        <v>0</v>
      </c>
      <c r="Q417" t="n">
        <v>0</v>
      </c>
      <c r="R417" s="2" t="inlineStr"/>
    </row>
    <row r="418" ht="15" customHeight="1">
      <c r="A418" t="inlineStr">
        <is>
          <t>A 6923-2026</t>
        </is>
      </c>
      <c r="B418" s="1" t="n">
        <v>46057</v>
      </c>
      <c r="C418" s="1" t="n">
        <v>46192</v>
      </c>
      <c r="D418" t="inlineStr">
        <is>
          <t>DALARNAS LÄN</t>
        </is>
      </c>
      <c r="E418" t="inlineStr">
        <is>
          <t>MORA</t>
        </is>
      </c>
      <c r="G418" t="n">
        <v>1.1</v>
      </c>
      <c r="H418" t="n">
        <v>0</v>
      </c>
      <c r="I418" t="n">
        <v>0</v>
      </c>
      <c r="J418" t="n">
        <v>0</v>
      </c>
      <c r="K418" t="n">
        <v>0</v>
      </c>
      <c r="L418" t="n">
        <v>0</v>
      </c>
      <c r="M418" t="n">
        <v>0</v>
      </c>
      <c r="N418" t="n">
        <v>0</v>
      </c>
      <c r="O418" t="n">
        <v>0</v>
      </c>
      <c r="P418" t="n">
        <v>0</v>
      </c>
      <c r="Q418" t="n">
        <v>0</v>
      </c>
      <c r="R418" s="2" t="inlineStr"/>
    </row>
    <row r="419" ht="15" customHeight="1">
      <c r="A419" t="inlineStr">
        <is>
          <t>A 42941-2024</t>
        </is>
      </c>
      <c r="B419" s="1" t="n">
        <v>45567</v>
      </c>
      <c r="C419" s="1" t="n">
        <v>46192</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6719-2026</t>
        </is>
      </c>
      <c r="B420" s="1" t="n">
        <v>46056</v>
      </c>
      <c r="C420" s="1" t="n">
        <v>46192</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58972-2023</t>
        </is>
      </c>
      <c r="B421" s="1" t="n">
        <v>45252</v>
      </c>
      <c r="C421" s="1" t="n">
        <v>46192</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43569-2025</t>
        </is>
      </c>
      <c r="B422" s="1" t="n">
        <v>45911</v>
      </c>
      <c r="C422" s="1" t="n">
        <v>46192</v>
      </c>
      <c r="D422" t="inlineStr">
        <is>
          <t>DALARNAS LÄN</t>
        </is>
      </c>
      <c r="E422" t="inlineStr">
        <is>
          <t>MORA</t>
        </is>
      </c>
      <c r="G422" t="n">
        <v>4.7</v>
      </c>
      <c r="H422" t="n">
        <v>0</v>
      </c>
      <c r="I422" t="n">
        <v>0</v>
      </c>
      <c r="J422" t="n">
        <v>0</v>
      </c>
      <c r="K422" t="n">
        <v>0</v>
      </c>
      <c r="L422" t="n">
        <v>0</v>
      </c>
      <c r="M422" t="n">
        <v>0</v>
      </c>
      <c r="N422" t="n">
        <v>0</v>
      </c>
      <c r="O422" t="n">
        <v>0</v>
      </c>
      <c r="P422" t="n">
        <v>0</v>
      </c>
      <c r="Q422" t="n">
        <v>0</v>
      </c>
      <c r="R422" s="2" t="inlineStr"/>
    </row>
    <row r="423" ht="15" customHeight="1">
      <c r="A423" t="inlineStr">
        <is>
          <t>A 7418-2026</t>
        </is>
      </c>
      <c r="B423" s="1" t="n">
        <v>46059</v>
      </c>
      <c r="C423" s="1" t="n">
        <v>46192</v>
      </c>
      <c r="D423" t="inlineStr">
        <is>
          <t>DALARNAS LÄN</t>
        </is>
      </c>
      <c r="E423" t="inlineStr">
        <is>
          <t>MORA</t>
        </is>
      </c>
      <c r="G423" t="n">
        <v>4</v>
      </c>
      <c r="H423" t="n">
        <v>0</v>
      </c>
      <c r="I423" t="n">
        <v>0</v>
      </c>
      <c r="J423" t="n">
        <v>0</v>
      </c>
      <c r="K423" t="n">
        <v>0</v>
      </c>
      <c r="L423" t="n">
        <v>0</v>
      </c>
      <c r="M423" t="n">
        <v>0</v>
      </c>
      <c r="N423" t="n">
        <v>0</v>
      </c>
      <c r="O423" t="n">
        <v>0</v>
      </c>
      <c r="P423" t="n">
        <v>0</v>
      </c>
      <c r="Q423" t="n">
        <v>0</v>
      </c>
      <c r="R423" s="2" t="inlineStr"/>
    </row>
    <row r="424" ht="15" customHeight="1">
      <c r="A424" t="inlineStr">
        <is>
          <t>A 16733-2024</t>
        </is>
      </c>
      <c r="B424" s="1" t="n">
        <v>45410</v>
      </c>
      <c r="C424" s="1" t="n">
        <v>46192</v>
      </c>
      <c r="D424" t="inlineStr">
        <is>
          <t>DALARNAS LÄN</t>
        </is>
      </c>
      <c r="E424" t="inlineStr">
        <is>
          <t>MORA</t>
        </is>
      </c>
      <c r="G424" t="n">
        <v>6.3</v>
      </c>
      <c r="H424" t="n">
        <v>0</v>
      </c>
      <c r="I424" t="n">
        <v>0</v>
      </c>
      <c r="J424" t="n">
        <v>0</v>
      </c>
      <c r="K424" t="n">
        <v>0</v>
      </c>
      <c r="L424" t="n">
        <v>0</v>
      </c>
      <c r="M424" t="n">
        <v>0</v>
      </c>
      <c r="N424" t="n">
        <v>0</v>
      </c>
      <c r="O424" t="n">
        <v>0</v>
      </c>
      <c r="P424" t="n">
        <v>0</v>
      </c>
      <c r="Q424" t="n">
        <v>0</v>
      </c>
      <c r="R424" s="2" t="inlineStr"/>
    </row>
    <row r="425" ht="15" customHeight="1">
      <c r="A425" t="inlineStr">
        <is>
          <t>A 8075-2026</t>
        </is>
      </c>
      <c r="B425" s="1" t="n">
        <v>46063</v>
      </c>
      <c r="C425" s="1" t="n">
        <v>46192</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61217-2023</t>
        </is>
      </c>
      <c r="B426" s="1" t="n">
        <v>45264</v>
      </c>
      <c r="C426" s="1" t="n">
        <v>46192</v>
      </c>
      <c r="D426" t="inlineStr">
        <is>
          <t>DALARNAS LÄN</t>
        </is>
      </c>
      <c r="E426" t="inlineStr">
        <is>
          <t>MORA</t>
        </is>
      </c>
      <c r="F426" t="inlineStr">
        <is>
          <t>Allmännings- och besparingsskogar</t>
        </is>
      </c>
      <c r="G426" t="n">
        <v>2</v>
      </c>
      <c r="H426" t="n">
        <v>0</v>
      </c>
      <c r="I426" t="n">
        <v>0</v>
      </c>
      <c r="J426" t="n">
        <v>0</v>
      </c>
      <c r="K426" t="n">
        <v>0</v>
      </c>
      <c r="L426" t="n">
        <v>0</v>
      </c>
      <c r="M426" t="n">
        <v>0</v>
      </c>
      <c r="N426" t="n">
        <v>0</v>
      </c>
      <c r="O426" t="n">
        <v>0</v>
      </c>
      <c r="P426" t="n">
        <v>0</v>
      </c>
      <c r="Q426" t="n">
        <v>0</v>
      </c>
      <c r="R426" s="2" t="inlineStr"/>
    </row>
    <row r="427" ht="15" customHeight="1">
      <c r="A427" t="inlineStr">
        <is>
          <t>A 61218-2023</t>
        </is>
      </c>
      <c r="B427" s="1" t="n">
        <v>45264</v>
      </c>
      <c r="C427" s="1" t="n">
        <v>46192</v>
      </c>
      <c r="D427" t="inlineStr">
        <is>
          <t>DALARNAS LÄN</t>
        </is>
      </c>
      <c r="E427" t="inlineStr">
        <is>
          <t>MORA</t>
        </is>
      </c>
      <c r="F427" t="inlineStr">
        <is>
          <t>Allmännings- och besparingsskogar</t>
        </is>
      </c>
      <c r="G427" t="n">
        <v>2.6</v>
      </c>
      <c r="H427" t="n">
        <v>0</v>
      </c>
      <c r="I427" t="n">
        <v>0</v>
      </c>
      <c r="J427" t="n">
        <v>0</v>
      </c>
      <c r="K427" t="n">
        <v>0</v>
      </c>
      <c r="L427" t="n">
        <v>0</v>
      </c>
      <c r="M427" t="n">
        <v>0</v>
      </c>
      <c r="N427" t="n">
        <v>0</v>
      </c>
      <c r="O427" t="n">
        <v>0</v>
      </c>
      <c r="P427" t="n">
        <v>0</v>
      </c>
      <c r="Q427" t="n">
        <v>0</v>
      </c>
      <c r="R427" s="2" t="inlineStr"/>
    </row>
    <row r="428" ht="15" customHeight="1">
      <c r="A428" t="inlineStr">
        <is>
          <t>A 46188-2022</t>
        </is>
      </c>
      <c r="B428" s="1" t="n">
        <v>44847</v>
      </c>
      <c r="C428" s="1" t="n">
        <v>46192</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8361-2026</t>
        </is>
      </c>
      <c r="B429" s="1" t="n">
        <v>46064</v>
      </c>
      <c r="C429" s="1" t="n">
        <v>46192</v>
      </c>
      <c r="D429" t="inlineStr">
        <is>
          <t>DALARNAS LÄN</t>
        </is>
      </c>
      <c r="E429" t="inlineStr">
        <is>
          <t>MORA</t>
        </is>
      </c>
      <c r="G429" t="n">
        <v>2.7</v>
      </c>
      <c r="H429" t="n">
        <v>0</v>
      </c>
      <c r="I429" t="n">
        <v>0</v>
      </c>
      <c r="J429" t="n">
        <v>0</v>
      </c>
      <c r="K429" t="n">
        <v>0</v>
      </c>
      <c r="L429" t="n">
        <v>0</v>
      </c>
      <c r="M429" t="n">
        <v>0</v>
      </c>
      <c r="N429" t="n">
        <v>0</v>
      </c>
      <c r="O429" t="n">
        <v>0</v>
      </c>
      <c r="P429" t="n">
        <v>0</v>
      </c>
      <c r="Q429" t="n">
        <v>0</v>
      </c>
      <c r="R429" s="2" t="inlineStr"/>
    </row>
    <row r="430" ht="15" customHeight="1">
      <c r="A430" t="inlineStr">
        <is>
          <t>A 8474-2026</t>
        </is>
      </c>
      <c r="B430" s="1" t="n">
        <v>46065</v>
      </c>
      <c r="C430" s="1" t="n">
        <v>46192</v>
      </c>
      <c r="D430" t="inlineStr">
        <is>
          <t>DALARNAS LÄN</t>
        </is>
      </c>
      <c r="E430" t="inlineStr">
        <is>
          <t>MORA</t>
        </is>
      </c>
      <c r="G430" t="n">
        <v>4.7</v>
      </c>
      <c r="H430" t="n">
        <v>0</v>
      </c>
      <c r="I430" t="n">
        <v>0</v>
      </c>
      <c r="J430" t="n">
        <v>0</v>
      </c>
      <c r="K430" t="n">
        <v>0</v>
      </c>
      <c r="L430" t="n">
        <v>0</v>
      </c>
      <c r="M430" t="n">
        <v>0</v>
      </c>
      <c r="N430" t="n">
        <v>0</v>
      </c>
      <c r="O430" t="n">
        <v>0</v>
      </c>
      <c r="P430" t="n">
        <v>0</v>
      </c>
      <c r="Q430" t="n">
        <v>0</v>
      </c>
      <c r="R430" s="2" t="inlineStr"/>
    </row>
    <row r="431" ht="15" customHeight="1">
      <c r="A431" t="inlineStr">
        <is>
          <t>A 42035-2022</t>
        </is>
      </c>
      <c r="B431" s="1" t="n">
        <v>44830</v>
      </c>
      <c r="C431" s="1" t="n">
        <v>46192</v>
      </c>
      <c r="D431" t="inlineStr">
        <is>
          <t>DALARNAS LÄN</t>
        </is>
      </c>
      <c r="E431" t="inlineStr">
        <is>
          <t>MORA</t>
        </is>
      </c>
      <c r="G431" t="n">
        <v>2.7</v>
      </c>
      <c r="H431" t="n">
        <v>0</v>
      </c>
      <c r="I431" t="n">
        <v>0</v>
      </c>
      <c r="J431" t="n">
        <v>0</v>
      </c>
      <c r="K431" t="n">
        <v>0</v>
      </c>
      <c r="L431" t="n">
        <v>0</v>
      </c>
      <c r="M431" t="n">
        <v>0</v>
      </c>
      <c r="N431" t="n">
        <v>0</v>
      </c>
      <c r="O431" t="n">
        <v>0</v>
      </c>
      <c r="P431" t="n">
        <v>0</v>
      </c>
      <c r="Q431" t="n">
        <v>0</v>
      </c>
      <c r="R431" s="2" t="inlineStr"/>
    </row>
    <row r="432" ht="15" customHeight="1">
      <c r="A432" t="inlineStr">
        <is>
          <t>A 8762-2026</t>
        </is>
      </c>
      <c r="B432" s="1" t="n">
        <v>46066</v>
      </c>
      <c r="C432" s="1" t="n">
        <v>46192</v>
      </c>
      <c r="D432" t="inlineStr">
        <is>
          <t>DALARNAS LÄN</t>
        </is>
      </c>
      <c r="E432" t="inlineStr">
        <is>
          <t>MORA</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39348-2024</t>
        </is>
      </c>
      <c r="B433" s="1" t="n">
        <v>45551</v>
      </c>
      <c r="C433" s="1" t="n">
        <v>46192</v>
      </c>
      <c r="D433" t="inlineStr">
        <is>
          <t>DALARNAS LÄN</t>
        </is>
      </c>
      <c r="E433" t="inlineStr">
        <is>
          <t>MORA</t>
        </is>
      </c>
      <c r="G433" t="n">
        <v>0.5</v>
      </c>
      <c r="H433" t="n">
        <v>0</v>
      </c>
      <c r="I433" t="n">
        <v>0</v>
      </c>
      <c r="J433" t="n">
        <v>0</v>
      </c>
      <c r="K433" t="n">
        <v>0</v>
      </c>
      <c r="L433" t="n">
        <v>0</v>
      </c>
      <c r="M433" t="n">
        <v>0</v>
      </c>
      <c r="N433" t="n">
        <v>0</v>
      </c>
      <c r="O433" t="n">
        <v>0</v>
      </c>
      <c r="P433" t="n">
        <v>0</v>
      </c>
      <c r="Q433" t="n">
        <v>0</v>
      </c>
      <c r="R433" s="2" t="inlineStr"/>
    </row>
    <row r="434" ht="15" customHeight="1">
      <c r="A434" t="inlineStr">
        <is>
          <t>A 15817-2024</t>
        </is>
      </c>
      <c r="B434" s="1" t="n">
        <v>45404</v>
      </c>
      <c r="C434" s="1" t="n">
        <v>46192</v>
      </c>
      <c r="D434" t="inlineStr">
        <is>
          <t>DALARNAS LÄN</t>
        </is>
      </c>
      <c r="E434" t="inlineStr">
        <is>
          <t>MORA</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9421-2026</t>
        </is>
      </c>
      <c r="B435" s="1" t="n">
        <v>46071</v>
      </c>
      <c r="C435" s="1" t="n">
        <v>46192</v>
      </c>
      <c r="D435" t="inlineStr">
        <is>
          <t>DALARNAS LÄN</t>
        </is>
      </c>
      <c r="E435" t="inlineStr">
        <is>
          <t>MORA</t>
        </is>
      </c>
      <c r="G435" t="n">
        <v>8.1</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46192</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60647-2022</t>
        </is>
      </c>
      <c r="B437" s="1" t="n">
        <v>44911</v>
      </c>
      <c r="C437" s="1" t="n">
        <v>46192</v>
      </c>
      <c r="D437" t="inlineStr">
        <is>
          <t>DALARNAS LÄN</t>
        </is>
      </c>
      <c r="E437" t="inlineStr">
        <is>
          <t>MORA</t>
        </is>
      </c>
      <c r="G437" t="n">
        <v>4.8</v>
      </c>
      <c r="H437" t="n">
        <v>0</v>
      </c>
      <c r="I437" t="n">
        <v>0</v>
      </c>
      <c r="J437" t="n">
        <v>0</v>
      </c>
      <c r="K437" t="n">
        <v>0</v>
      </c>
      <c r="L437" t="n">
        <v>0</v>
      </c>
      <c r="M437" t="n">
        <v>0</v>
      </c>
      <c r="N437" t="n">
        <v>0</v>
      </c>
      <c r="O437" t="n">
        <v>0</v>
      </c>
      <c r="P437" t="n">
        <v>0</v>
      </c>
      <c r="Q437" t="n">
        <v>0</v>
      </c>
      <c r="R437" s="2" t="inlineStr"/>
    </row>
    <row r="438" ht="15" customHeight="1">
      <c r="A438" t="inlineStr">
        <is>
          <t>A 9788-2026</t>
        </is>
      </c>
      <c r="B438" s="1" t="n">
        <v>46072</v>
      </c>
      <c r="C438" s="1" t="n">
        <v>46192</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10181-2026</t>
        </is>
      </c>
      <c r="B439" s="1" t="n">
        <v>46076</v>
      </c>
      <c r="C439" s="1" t="n">
        <v>46192</v>
      </c>
      <c r="D439" t="inlineStr">
        <is>
          <t>DALARNAS LÄN</t>
        </is>
      </c>
      <c r="E439" t="inlineStr">
        <is>
          <t>MORA</t>
        </is>
      </c>
      <c r="G439" t="n">
        <v>0.6</v>
      </c>
      <c r="H439" t="n">
        <v>0</v>
      </c>
      <c r="I439" t="n">
        <v>0</v>
      </c>
      <c r="J439" t="n">
        <v>0</v>
      </c>
      <c r="K439" t="n">
        <v>0</v>
      </c>
      <c r="L439" t="n">
        <v>0</v>
      </c>
      <c r="M439" t="n">
        <v>0</v>
      </c>
      <c r="N439" t="n">
        <v>0</v>
      </c>
      <c r="O439" t="n">
        <v>0</v>
      </c>
      <c r="P439" t="n">
        <v>0</v>
      </c>
      <c r="Q439" t="n">
        <v>0</v>
      </c>
      <c r="R439" s="2" t="inlineStr"/>
    </row>
    <row r="440" ht="15" customHeight="1">
      <c r="A440" t="inlineStr">
        <is>
          <t>A 437-2024</t>
        </is>
      </c>
      <c r="B440" s="1" t="n">
        <v>45296</v>
      </c>
      <c r="C440" s="1" t="n">
        <v>46192</v>
      </c>
      <c r="D440" t="inlineStr">
        <is>
          <t>DALARNAS LÄN</t>
        </is>
      </c>
      <c r="E440" t="inlineStr">
        <is>
          <t>MORA</t>
        </is>
      </c>
      <c r="G440" t="n">
        <v>1.6</v>
      </c>
      <c r="H440" t="n">
        <v>0</v>
      </c>
      <c r="I440" t="n">
        <v>0</v>
      </c>
      <c r="J440" t="n">
        <v>0</v>
      </c>
      <c r="K440" t="n">
        <v>0</v>
      </c>
      <c r="L440" t="n">
        <v>0</v>
      </c>
      <c r="M440" t="n">
        <v>0</v>
      </c>
      <c r="N440" t="n">
        <v>0</v>
      </c>
      <c r="O440" t="n">
        <v>0</v>
      </c>
      <c r="P440" t="n">
        <v>0</v>
      </c>
      <c r="Q440" t="n">
        <v>0</v>
      </c>
      <c r="R440" s="2" t="inlineStr"/>
    </row>
    <row r="441" ht="15" customHeight="1">
      <c r="A441" t="inlineStr">
        <is>
          <t>A 11176-2026</t>
        </is>
      </c>
      <c r="B441" s="1" t="n">
        <v>46080</v>
      </c>
      <c r="C441" s="1" t="n">
        <v>46192</v>
      </c>
      <c r="D441" t="inlineStr">
        <is>
          <t>DALARNAS LÄN</t>
        </is>
      </c>
      <c r="E441" t="inlineStr">
        <is>
          <t>MORA</t>
        </is>
      </c>
      <c r="G441" t="n">
        <v>1.3</v>
      </c>
      <c r="H441" t="n">
        <v>0</v>
      </c>
      <c r="I441" t="n">
        <v>0</v>
      </c>
      <c r="J441" t="n">
        <v>0</v>
      </c>
      <c r="K441" t="n">
        <v>0</v>
      </c>
      <c r="L441" t="n">
        <v>0</v>
      </c>
      <c r="M441" t="n">
        <v>0</v>
      </c>
      <c r="N441" t="n">
        <v>0</v>
      </c>
      <c r="O441" t="n">
        <v>0</v>
      </c>
      <c r="P441" t="n">
        <v>0</v>
      </c>
      <c r="Q441" t="n">
        <v>0</v>
      </c>
      <c r="R441" s="2" t="inlineStr"/>
    </row>
    <row r="442" ht="15" customHeight="1">
      <c r="A442" t="inlineStr">
        <is>
          <t>A 16573-2024</t>
        </is>
      </c>
      <c r="B442" s="1" t="n">
        <v>45408</v>
      </c>
      <c r="C442" s="1" t="n">
        <v>46192</v>
      </c>
      <c r="D442" t="inlineStr">
        <is>
          <t>DALARNAS LÄN</t>
        </is>
      </c>
      <c r="E442" t="inlineStr">
        <is>
          <t>MORA</t>
        </is>
      </c>
      <c r="G442" t="n">
        <v>4.5</v>
      </c>
      <c r="H442" t="n">
        <v>0</v>
      </c>
      <c r="I442" t="n">
        <v>0</v>
      </c>
      <c r="J442" t="n">
        <v>0</v>
      </c>
      <c r="K442" t="n">
        <v>0</v>
      </c>
      <c r="L442" t="n">
        <v>0</v>
      </c>
      <c r="M442" t="n">
        <v>0</v>
      </c>
      <c r="N442" t="n">
        <v>0</v>
      </c>
      <c r="O442" t="n">
        <v>0</v>
      </c>
      <c r="P442" t="n">
        <v>0</v>
      </c>
      <c r="Q442" t="n">
        <v>0</v>
      </c>
      <c r="R442" s="2" t="inlineStr"/>
    </row>
    <row r="443" ht="15" customHeight="1">
      <c r="A443" t="inlineStr">
        <is>
          <t>A 31395-2024</t>
        </is>
      </c>
      <c r="B443" s="1" t="n">
        <v>45505</v>
      </c>
      <c r="C443" s="1" t="n">
        <v>46192</v>
      </c>
      <c r="D443" t="inlineStr">
        <is>
          <t>DALARNAS LÄN</t>
        </is>
      </c>
      <c r="E443" t="inlineStr">
        <is>
          <t>MORA</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11705-2026</t>
        </is>
      </c>
      <c r="B444" s="1" t="n">
        <v>46084</v>
      </c>
      <c r="C444" s="1" t="n">
        <v>46192</v>
      </c>
      <c r="D444" t="inlineStr">
        <is>
          <t>DALARNAS LÄN</t>
        </is>
      </c>
      <c r="E444" t="inlineStr">
        <is>
          <t>MORA</t>
        </is>
      </c>
      <c r="G444" t="n">
        <v>4.2</v>
      </c>
      <c r="H444" t="n">
        <v>0</v>
      </c>
      <c r="I444" t="n">
        <v>0</v>
      </c>
      <c r="J444" t="n">
        <v>0</v>
      </c>
      <c r="K444" t="n">
        <v>0</v>
      </c>
      <c r="L444" t="n">
        <v>0</v>
      </c>
      <c r="M444" t="n">
        <v>0</v>
      </c>
      <c r="N444" t="n">
        <v>0</v>
      </c>
      <c r="O444" t="n">
        <v>0</v>
      </c>
      <c r="P444" t="n">
        <v>0</v>
      </c>
      <c r="Q444" t="n">
        <v>0</v>
      </c>
      <c r="R444" s="2" t="inlineStr"/>
    </row>
    <row r="445" ht="15" customHeight="1">
      <c r="A445" t="inlineStr">
        <is>
          <t>A 21895-2025</t>
        </is>
      </c>
      <c r="B445" s="1" t="n">
        <v>45784</v>
      </c>
      <c r="C445" s="1" t="n">
        <v>46192</v>
      </c>
      <c r="D445" t="inlineStr">
        <is>
          <t>DALARNAS LÄN</t>
        </is>
      </c>
      <c r="E445" t="inlineStr">
        <is>
          <t>MORA</t>
        </is>
      </c>
      <c r="G445" t="n">
        <v>0.4</v>
      </c>
      <c r="H445" t="n">
        <v>0</v>
      </c>
      <c r="I445" t="n">
        <v>0</v>
      </c>
      <c r="J445" t="n">
        <v>0</v>
      </c>
      <c r="K445" t="n">
        <v>0</v>
      </c>
      <c r="L445" t="n">
        <v>0</v>
      </c>
      <c r="M445" t="n">
        <v>0</v>
      </c>
      <c r="N445" t="n">
        <v>0</v>
      </c>
      <c r="O445" t="n">
        <v>0</v>
      </c>
      <c r="P445" t="n">
        <v>0</v>
      </c>
      <c r="Q445" t="n">
        <v>0</v>
      </c>
      <c r="R445" s="2" t="inlineStr"/>
    </row>
    <row r="446" ht="15" customHeight="1">
      <c r="A446" t="inlineStr">
        <is>
          <t>A 60847-2021</t>
        </is>
      </c>
      <c r="B446" s="1" t="n">
        <v>44497</v>
      </c>
      <c r="C446" s="1" t="n">
        <v>46192</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31085-2024</t>
        </is>
      </c>
      <c r="B447" s="1" t="n">
        <v>45502</v>
      </c>
      <c r="C447" s="1" t="n">
        <v>46192</v>
      </c>
      <c r="D447" t="inlineStr">
        <is>
          <t>DALARNAS LÄN</t>
        </is>
      </c>
      <c r="E447" t="inlineStr">
        <is>
          <t>MORA</t>
        </is>
      </c>
      <c r="G447" t="n">
        <v>1.6</v>
      </c>
      <c r="H447" t="n">
        <v>0</v>
      </c>
      <c r="I447" t="n">
        <v>0</v>
      </c>
      <c r="J447" t="n">
        <v>0</v>
      </c>
      <c r="K447" t="n">
        <v>0</v>
      </c>
      <c r="L447" t="n">
        <v>0</v>
      </c>
      <c r="M447" t="n">
        <v>0</v>
      </c>
      <c r="N447" t="n">
        <v>0</v>
      </c>
      <c r="O447" t="n">
        <v>0</v>
      </c>
      <c r="P447" t="n">
        <v>0</v>
      </c>
      <c r="Q447" t="n">
        <v>0</v>
      </c>
      <c r="R447" s="2" t="inlineStr"/>
    </row>
    <row r="448" ht="15" customHeight="1">
      <c r="A448" t="inlineStr">
        <is>
          <t>A 60051-2022</t>
        </is>
      </c>
      <c r="B448" s="1" t="n">
        <v>44909</v>
      </c>
      <c r="C448" s="1" t="n">
        <v>46192</v>
      </c>
      <c r="D448" t="inlineStr">
        <is>
          <t>DALARNAS LÄN</t>
        </is>
      </c>
      <c r="E448" t="inlineStr">
        <is>
          <t>MORA</t>
        </is>
      </c>
      <c r="G448" t="n">
        <v>0.9</v>
      </c>
      <c r="H448" t="n">
        <v>0</v>
      </c>
      <c r="I448" t="n">
        <v>0</v>
      </c>
      <c r="J448" t="n">
        <v>0</v>
      </c>
      <c r="K448" t="n">
        <v>0</v>
      </c>
      <c r="L448" t="n">
        <v>0</v>
      </c>
      <c r="M448" t="n">
        <v>0</v>
      </c>
      <c r="N448" t="n">
        <v>0</v>
      </c>
      <c r="O448" t="n">
        <v>0</v>
      </c>
      <c r="P448" t="n">
        <v>0</v>
      </c>
      <c r="Q448" t="n">
        <v>0</v>
      </c>
      <c r="R448" s="2" t="inlineStr"/>
    </row>
    <row r="449" ht="15" customHeight="1">
      <c r="A449" t="inlineStr">
        <is>
          <t>A 13262-2022</t>
        </is>
      </c>
      <c r="B449" s="1" t="n">
        <v>44644</v>
      </c>
      <c r="C449" s="1" t="n">
        <v>46192</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11819-2026</t>
        </is>
      </c>
      <c r="B450" s="1" t="n">
        <v>46085</v>
      </c>
      <c r="C450" s="1" t="n">
        <v>46192</v>
      </c>
      <c r="D450" t="inlineStr">
        <is>
          <t>DALARNAS LÄN</t>
        </is>
      </c>
      <c r="E450" t="inlineStr">
        <is>
          <t>MORA</t>
        </is>
      </c>
      <c r="G450" t="n">
        <v>0.6</v>
      </c>
      <c r="H450" t="n">
        <v>0</v>
      </c>
      <c r="I450" t="n">
        <v>0</v>
      </c>
      <c r="J450" t="n">
        <v>0</v>
      </c>
      <c r="K450" t="n">
        <v>0</v>
      </c>
      <c r="L450" t="n">
        <v>0</v>
      </c>
      <c r="M450" t="n">
        <v>0</v>
      </c>
      <c r="N450" t="n">
        <v>0</v>
      </c>
      <c r="O450" t="n">
        <v>0</v>
      </c>
      <c r="P450" t="n">
        <v>0</v>
      </c>
      <c r="Q450" t="n">
        <v>0</v>
      </c>
      <c r="R450" s="2" t="inlineStr"/>
    </row>
    <row r="451" ht="15" customHeight="1">
      <c r="A451" t="inlineStr">
        <is>
          <t>A 50056-2022</t>
        </is>
      </c>
      <c r="B451" s="1" t="n">
        <v>44865</v>
      </c>
      <c r="C451" s="1" t="n">
        <v>46192</v>
      </c>
      <c r="D451" t="inlineStr">
        <is>
          <t>DALARNAS LÄN</t>
        </is>
      </c>
      <c r="E451" t="inlineStr">
        <is>
          <t>MORA</t>
        </is>
      </c>
      <c r="G451" t="n">
        <v>1.2</v>
      </c>
      <c r="H451" t="n">
        <v>0</v>
      </c>
      <c r="I451" t="n">
        <v>0</v>
      </c>
      <c r="J451" t="n">
        <v>0</v>
      </c>
      <c r="K451" t="n">
        <v>0</v>
      </c>
      <c r="L451" t="n">
        <v>0</v>
      </c>
      <c r="M451" t="n">
        <v>0</v>
      </c>
      <c r="N451" t="n">
        <v>0</v>
      </c>
      <c r="O451" t="n">
        <v>0</v>
      </c>
      <c r="P451" t="n">
        <v>0</v>
      </c>
      <c r="Q451" t="n">
        <v>0</v>
      </c>
      <c r="R451" s="2" t="inlineStr"/>
    </row>
    <row r="452" ht="15" customHeight="1">
      <c r="A452" t="inlineStr">
        <is>
          <t>A 11875-2026</t>
        </is>
      </c>
      <c r="B452" s="1" t="n">
        <v>46085</v>
      </c>
      <c r="C452" s="1" t="n">
        <v>46192</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12527-2026</t>
        </is>
      </c>
      <c r="B453" s="1" t="n">
        <v>46090</v>
      </c>
      <c r="C453" s="1" t="n">
        <v>46192</v>
      </c>
      <c r="D453" t="inlineStr">
        <is>
          <t>DALARNAS LÄN</t>
        </is>
      </c>
      <c r="E453" t="inlineStr">
        <is>
          <t>MORA</t>
        </is>
      </c>
      <c r="G453" t="n">
        <v>17.5</v>
      </c>
      <c r="H453" t="n">
        <v>0</v>
      </c>
      <c r="I453" t="n">
        <v>0</v>
      </c>
      <c r="J453" t="n">
        <v>0</v>
      </c>
      <c r="K453" t="n">
        <v>0</v>
      </c>
      <c r="L453" t="n">
        <v>0</v>
      </c>
      <c r="M453" t="n">
        <v>0</v>
      </c>
      <c r="N453" t="n">
        <v>0</v>
      </c>
      <c r="O453" t="n">
        <v>0</v>
      </c>
      <c r="P453" t="n">
        <v>0</v>
      </c>
      <c r="Q453" t="n">
        <v>0</v>
      </c>
      <c r="R453" s="2" t="inlineStr"/>
    </row>
    <row r="454" ht="15" customHeight="1">
      <c r="A454" t="inlineStr">
        <is>
          <t>A 15643-2025</t>
        </is>
      </c>
      <c r="B454" s="1" t="n">
        <v>45748</v>
      </c>
      <c r="C454" s="1" t="n">
        <v>46192</v>
      </c>
      <c r="D454" t="inlineStr">
        <is>
          <t>DALARNAS LÄN</t>
        </is>
      </c>
      <c r="E454" t="inlineStr">
        <is>
          <t>MORA</t>
        </is>
      </c>
      <c r="G454" t="n">
        <v>7.6</v>
      </c>
      <c r="H454" t="n">
        <v>0</v>
      </c>
      <c r="I454" t="n">
        <v>0</v>
      </c>
      <c r="J454" t="n">
        <v>0</v>
      </c>
      <c r="K454" t="n">
        <v>0</v>
      </c>
      <c r="L454" t="n">
        <v>0</v>
      </c>
      <c r="M454" t="n">
        <v>0</v>
      </c>
      <c r="N454" t="n">
        <v>0</v>
      </c>
      <c r="O454" t="n">
        <v>0</v>
      </c>
      <c r="P454" t="n">
        <v>0</v>
      </c>
      <c r="Q454" t="n">
        <v>0</v>
      </c>
      <c r="R454" s="2" t="inlineStr"/>
    </row>
    <row r="455" ht="15" customHeight="1">
      <c r="A455" t="inlineStr">
        <is>
          <t>A 46755-2023</t>
        </is>
      </c>
      <c r="B455" s="1" t="n">
        <v>45198</v>
      </c>
      <c r="C455" s="1" t="n">
        <v>46192</v>
      </c>
      <c r="D455" t="inlineStr">
        <is>
          <t>DALARNAS LÄN</t>
        </is>
      </c>
      <c r="E455" t="inlineStr">
        <is>
          <t>MORA</t>
        </is>
      </c>
      <c r="G455" t="n">
        <v>0.6</v>
      </c>
      <c r="H455" t="n">
        <v>0</v>
      </c>
      <c r="I455" t="n">
        <v>0</v>
      </c>
      <c r="J455" t="n">
        <v>0</v>
      </c>
      <c r="K455" t="n">
        <v>0</v>
      </c>
      <c r="L455" t="n">
        <v>0</v>
      </c>
      <c r="M455" t="n">
        <v>0</v>
      </c>
      <c r="N455" t="n">
        <v>0</v>
      </c>
      <c r="O455" t="n">
        <v>0</v>
      </c>
      <c r="P455" t="n">
        <v>0</v>
      </c>
      <c r="Q455" t="n">
        <v>0</v>
      </c>
      <c r="R455" s="2" t="inlineStr"/>
    </row>
    <row r="456" ht="15" customHeight="1">
      <c r="A456" t="inlineStr">
        <is>
          <t>A 12664-2026</t>
        </is>
      </c>
      <c r="B456" s="1" t="n">
        <v>46091</v>
      </c>
      <c r="C456" s="1" t="n">
        <v>46192</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18122-2025</t>
        </is>
      </c>
      <c r="B457" s="1" t="n">
        <v>45761</v>
      </c>
      <c r="C457" s="1" t="n">
        <v>46192</v>
      </c>
      <c r="D457" t="inlineStr">
        <is>
          <t>DALARNAS LÄN</t>
        </is>
      </c>
      <c r="E457" t="inlineStr">
        <is>
          <t>MORA</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12610-2026</t>
        </is>
      </c>
      <c r="B458" s="1" t="n">
        <v>46091</v>
      </c>
      <c r="C458" s="1" t="n">
        <v>46192</v>
      </c>
      <c r="D458" t="inlineStr">
        <is>
          <t>DALARNAS LÄN</t>
        </is>
      </c>
      <c r="E458" t="inlineStr">
        <is>
          <t>MORA</t>
        </is>
      </c>
      <c r="G458" t="n">
        <v>8.1</v>
      </c>
      <c r="H458" t="n">
        <v>0</v>
      </c>
      <c r="I458" t="n">
        <v>0</v>
      </c>
      <c r="J458" t="n">
        <v>0</v>
      </c>
      <c r="K458" t="n">
        <v>0</v>
      </c>
      <c r="L458" t="n">
        <v>0</v>
      </c>
      <c r="M458" t="n">
        <v>0</v>
      </c>
      <c r="N458" t="n">
        <v>0</v>
      </c>
      <c r="O458" t="n">
        <v>0</v>
      </c>
      <c r="P458" t="n">
        <v>0</v>
      </c>
      <c r="Q458" t="n">
        <v>0</v>
      </c>
      <c r="R458" s="2" t="inlineStr"/>
    </row>
    <row r="459" ht="15" customHeight="1">
      <c r="A459" t="inlineStr">
        <is>
          <t>A 56935-2024</t>
        </is>
      </c>
      <c r="B459" s="1" t="n">
        <v>45625</v>
      </c>
      <c r="C459" s="1" t="n">
        <v>46192</v>
      </c>
      <c r="D459" t="inlineStr">
        <is>
          <t>DALARNAS LÄN</t>
        </is>
      </c>
      <c r="E459" t="inlineStr">
        <is>
          <t>MORA</t>
        </is>
      </c>
      <c r="G459" t="n">
        <v>1.1</v>
      </c>
      <c r="H459" t="n">
        <v>0</v>
      </c>
      <c r="I459" t="n">
        <v>0</v>
      </c>
      <c r="J459" t="n">
        <v>0</v>
      </c>
      <c r="K459" t="n">
        <v>0</v>
      </c>
      <c r="L459" t="n">
        <v>0</v>
      </c>
      <c r="M459" t="n">
        <v>0</v>
      </c>
      <c r="N459" t="n">
        <v>0</v>
      </c>
      <c r="O459" t="n">
        <v>0</v>
      </c>
      <c r="P459" t="n">
        <v>0</v>
      </c>
      <c r="Q459" t="n">
        <v>0</v>
      </c>
      <c r="R459" s="2" t="inlineStr"/>
    </row>
    <row r="460" ht="15" customHeight="1">
      <c r="A460" t="inlineStr">
        <is>
          <t>A 56927-2024</t>
        </is>
      </c>
      <c r="B460" s="1" t="n">
        <v>45625</v>
      </c>
      <c r="C460" s="1" t="n">
        <v>46192</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22185-2025</t>
        </is>
      </c>
      <c r="B461" s="1" t="n">
        <v>45785</v>
      </c>
      <c r="C461" s="1" t="n">
        <v>46192</v>
      </c>
      <c r="D461" t="inlineStr">
        <is>
          <t>DALARNAS LÄN</t>
        </is>
      </c>
      <c r="E461" t="inlineStr">
        <is>
          <t>MORA</t>
        </is>
      </c>
      <c r="G461" t="n">
        <v>2.4</v>
      </c>
      <c r="H461" t="n">
        <v>0</v>
      </c>
      <c r="I461" t="n">
        <v>0</v>
      </c>
      <c r="J461" t="n">
        <v>0</v>
      </c>
      <c r="K461" t="n">
        <v>0</v>
      </c>
      <c r="L461" t="n">
        <v>0</v>
      </c>
      <c r="M461" t="n">
        <v>0</v>
      </c>
      <c r="N461" t="n">
        <v>0</v>
      </c>
      <c r="O461" t="n">
        <v>0</v>
      </c>
      <c r="P461" t="n">
        <v>0</v>
      </c>
      <c r="Q461" t="n">
        <v>0</v>
      </c>
      <c r="R461" s="2" t="inlineStr"/>
    </row>
    <row r="462" ht="15" customHeight="1">
      <c r="A462" t="inlineStr">
        <is>
          <t>A 5936-2026</t>
        </is>
      </c>
      <c r="B462" s="1" t="n">
        <v>46052</v>
      </c>
      <c r="C462" s="1" t="n">
        <v>46192</v>
      </c>
      <c r="D462" t="inlineStr">
        <is>
          <t>DALARNAS LÄN</t>
        </is>
      </c>
      <c r="E462" t="inlineStr">
        <is>
          <t>MORA</t>
        </is>
      </c>
      <c r="G462" t="n">
        <v>11.1</v>
      </c>
      <c r="H462" t="n">
        <v>0</v>
      </c>
      <c r="I462" t="n">
        <v>0</v>
      </c>
      <c r="J462" t="n">
        <v>0</v>
      </c>
      <c r="K462" t="n">
        <v>0</v>
      </c>
      <c r="L462" t="n">
        <v>0</v>
      </c>
      <c r="M462" t="n">
        <v>0</v>
      </c>
      <c r="N462" t="n">
        <v>0</v>
      </c>
      <c r="O462" t="n">
        <v>0</v>
      </c>
      <c r="P462" t="n">
        <v>0</v>
      </c>
      <c r="Q462" t="n">
        <v>0</v>
      </c>
      <c r="R462" s="2" t="inlineStr"/>
    </row>
    <row r="463" ht="15" customHeight="1">
      <c r="A463" t="inlineStr">
        <is>
          <t>A 59404-2024</t>
        </is>
      </c>
      <c r="B463" s="1" t="n">
        <v>45638</v>
      </c>
      <c r="C463" s="1" t="n">
        <v>46192</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11193-2025</t>
        </is>
      </c>
      <c r="B464" s="1" t="n">
        <v>45725</v>
      </c>
      <c r="C464" s="1" t="n">
        <v>46192</v>
      </c>
      <c r="D464" t="inlineStr">
        <is>
          <t>DALARNAS LÄN</t>
        </is>
      </c>
      <c r="E464" t="inlineStr">
        <is>
          <t>MORA</t>
        </is>
      </c>
      <c r="G464" t="n">
        <v>4.1</v>
      </c>
      <c r="H464" t="n">
        <v>0</v>
      </c>
      <c r="I464" t="n">
        <v>0</v>
      </c>
      <c r="J464" t="n">
        <v>0</v>
      </c>
      <c r="K464" t="n">
        <v>0</v>
      </c>
      <c r="L464" t="n">
        <v>0</v>
      </c>
      <c r="M464" t="n">
        <v>0</v>
      </c>
      <c r="N464" t="n">
        <v>0</v>
      </c>
      <c r="O464" t="n">
        <v>0</v>
      </c>
      <c r="P464" t="n">
        <v>0</v>
      </c>
      <c r="Q464" t="n">
        <v>0</v>
      </c>
      <c r="R464" s="2" t="inlineStr"/>
    </row>
    <row r="465" ht="15" customHeight="1">
      <c r="A465" t="inlineStr">
        <is>
          <t>A 44817-2023</t>
        </is>
      </c>
      <c r="B465" s="1" t="n">
        <v>45190</v>
      </c>
      <c r="C465" s="1" t="n">
        <v>46192</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13543-2026</t>
        </is>
      </c>
      <c r="B466" s="1" t="n">
        <v>46094</v>
      </c>
      <c r="C466" s="1" t="n">
        <v>46192</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56900-2024</t>
        </is>
      </c>
      <c r="B467" s="1" t="n">
        <v>45625</v>
      </c>
      <c r="C467" s="1" t="n">
        <v>46192</v>
      </c>
      <c r="D467" t="inlineStr">
        <is>
          <t>DALARNAS LÄN</t>
        </is>
      </c>
      <c r="E467" t="inlineStr">
        <is>
          <t>MORA</t>
        </is>
      </c>
      <c r="G467" t="n">
        <v>2.7</v>
      </c>
      <c r="H467" t="n">
        <v>0</v>
      </c>
      <c r="I467" t="n">
        <v>0</v>
      </c>
      <c r="J467" t="n">
        <v>0</v>
      </c>
      <c r="K467" t="n">
        <v>0</v>
      </c>
      <c r="L467" t="n">
        <v>0</v>
      </c>
      <c r="M467" t="n">
        <v>0</v>
      </c>
      <c r="N467" t="n">
        <v>0</v>
      </c>
      <c r="O467" t="n">
        <v>0</v>
      </c>
      <c r="P467" t="n">
        <v>0</v>
      </c>
      <c r="Q467" t="n">
        <v>0</v>
      </c>
      <c r="R467" s="2" t="inlineStr"/>
    </row>
    <row r="468" ht="15" customHeight="1">
      <c r="A468" t="inlineStr">
        <is>
          <t>A 13853-2026</t>
        </is>
      </c>
      <c r="B468" s="1" t="n">
        <v>46098</v>
      </c>
      <c r="C468" s="1" t="n">
        <v>46192</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39511-2024</t>
        </is>
      </c>
      <c r="B469" s="1" t="n">
        <v>45551</v>
      </c>
      <c r="C469" s="1" t="n">
        <v>46192</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23354-2022</t>
        </is>
      </c>
      <c r="B470" s="1" t="n">
        <v>44720</v>
      </c>
      <c r="C470" s="1" t="n">
        <v>46192</v>
      </c>
      <c r="D470" t="inlineStr">
        <is>
          <t>DALARNAS LÄN</t>
        </is>
      </c>
      <c r="E470" t="inlineStr">
        <is>
          <t>MORA</t>
        </is>
      </c>
      <c r="G470" t="n">
        <v>5.2</v>
      </c>
      <c r="H470" t="n">
        <v>0</v>
      </c>
      <c r="I470" t="n">
        <v>0</v>
      </c>
      <c r="J470" t="n">
        <v>0</v>
      </c>
      <c r="K470" t="n">
        <v>0</v>
      </c>
      <c r="L470" t="n">
        <v>0</v>
      </c>
      <c r="M470" t="n">
        <v>0</v>
      </c>
      <c r="N470" t="n">
        <v>0</v>
      </c>
      <c r="O470" t="n">
        <v>0</v>
      </c>
      <c r="P470" t="n">
        <v>0</v>
      </c>
      <c r="Q470" t="n">
        <v>0</v>
      </c>
      <c r="R470" s="2" t="inlineStr"/>
    </row>
    <row r="471" ht="15" customHeight="1">
      <c r="A471" t="inlineStr">
        <is>
          <t>A 13902-2026</t>
        </is>
      </c>
      <c r="B471" s="1" t="n">
        <v>46098</v>
      </c>
      <c r="C471" s="1" t="n">
        <v>46192</v>
      </c>
      <c r="D471" t="inlineStr">
        <is>
          <t>DALARNAS LÄN</t>
        </is>
      </c>
      <c r="E471" t="inlineStr">
        <is>
          <t>MORA</t>
        </is>
      </c>
      <c r="G471" t="n">
        <v>5.3</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46192</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54192-2023</t>
        </is>
      </c>
      <c r="B473" s="1" t="n">
        <v>45232</v>
      </c>
      <c r="C473" s="1" t="n">
        <v>46192</v>
      </c>
      <c r="D473" t="inlineStr">
        <is>
          <t>DALARNAS LÄN</t>
        </is>
      </c>
      <c r="E473" t="inlineStr">
        <is>
          <t>MORA</t>
        </is>
      </c>
      <c r="G473" t="n">
        <v>3.4</v>
      </c>
      <c r="H473" t="n">
        <v>0</v>
      </c>
      <c r="I473" t="n">
        <v>0</v>
      </c>
      <c r="J473" t="n">
        <v>0</v>
      </c>
      <c r="K473" t="n">
        <v>0</v>
      </c>
      <c r="L473" t="n">
        <v>0</v>
      </c>
      <c r="M473" t="n">
        <v>0</v>
      </c>
      <c r="N473" t="n">
        <v>0</v>
      </c>
      <c r="O473" t="n">
        <v>0</v>
      </c>
      <c r="P473" t="n">
        <v>0</v>
      </c>
      <c r="Q473" t="n">
        <v>0</v>
      </c>
      <c r="R473" s="2" t="inlineStr"/>
    </row>
    <row r="474" ht="15" customHeight="1">
      <c r="A474" t="inlineStr">
        <is>
          <t>A 23229-2025</t>
        </is>
      </c>
      <c r="B474" s="1" t="n">
        <v>45791</v>
      </c>
      <c r="C474" s="1" t="n">
        <v>46192</v>
      </c>
      <c r="D474" t="inlineStr">
        <is>
          <t>DALARNAS LÄN</t>
        </is>
      </c>
      <c r="E474" t="inlineStr">
        <is>
          <t>MORA</t>
        </is>
      </c>
      <c r="G474" t="n">
        <v>2.2</v>
      </c>
      <c r="H474" t="n">
        <v>0</v>
      </c>
      <c r="I474" t="n">
        <v>0</v>
      </c>
      <c r="J474" t="n">
        <v>0</v>
      </c>
      <c r="K474" t="n">
        <v>0</v>
      </c>
      <c r="L474" t="n">
        <v>0</v>
      </c>
      <c r="M474" t="n">
        <v>0</v>
      </c>
      <c r="N474" t="n">
        <v>0</v>
      </c>
      <c r="O474" t="n">
        <v>0</v>
      </c>
      <c r="P474" t="n">
        <v>0</v>
      </c>
      <c r="Q474" t="n">
        <v>0</v>
      </c>
      <c r="R474" s="2" t="inlineStr"/>
    </row>
    <row r="475" ht="15" customHeight="1">
      <c r="A475" t="inlineStr">
        <is>
          <t>A 27125-2024</t>
        </is>
      </c>
      <c r="B475" s="1" t="n">
        <v>45471</v>
      </c>
      <c r="C475" s="1" t="n">
        <v>46192</v>
      </c>
      <c r="D475" t="inlineStr">
        <is>
          <t>DALARNAS LÄN</t>
        </is>
      </c>
      <c r="E475" t="inlineStr">
        <is>
          <t>MORA</t>
        </is>
      </c>
      <c r="G475" t="n">
        <v>2.3</v>
      </c>
      <c r="H475" t="n">
        <v>0</v>
      </c>
      <c r="I475" t="n">
        <v>0</v>
      </c>
      <c r="J475" t="n">
        <v>0</v>
      </c>
      <c r="K475" t="n">
        <v>0</v>
      </c>
      <c r="L475" t="n">
        <v>0</v>
      </c>
      <c r="M475" t="n">
        <v>0</v>
      </c>
      <c r="N475" t="n">
        <v>0</v>
      </c>
      <c r="O475" t="n">
        <v>0</v>
      </c>
      <c r="P475" t="n">
        <v>0</v>
      </c>
      <c r="Q475" t="n">
        <v>0</v>
      </c>
      <c r="R475" s="2" t="inlineStr"/>
    </row>
    <row r="476" ht="15" customHeight="1">
      <c r="A476" t="inlineStr">
        <is>
          <t>A 62854-2023</t>
        </is>
      </c>
      <c r="B476" s="1" t="n">
        <v>45272</v>
      </c>
      <c r="C476" s="1" t="n">
        <v>46192</v>
      </c>
      <c r="D476" t="inlineStr">
        <is>
          <t>DALARNAS LÄN</t>
        </is>
      </c>
      <c r="E476" t="inlineStr">
        <is>
          <t>MORA</t>
        </is>
      </c>
      <c r="G476" t="n">
        <v>11.3</v>
      </c>
      <c r="H476" t="n">
        <v>0</v>
      </c>
      <c r="I476" t="n">
        <v>0</v>
      </c>
      <c r="J476" t="n">
        <v>0</v>
      </c>
      <c r="K476" t="n">
        <v>0</v>
      </c>
      <c r="L476" t="n">
        <v>0</v>
      </c>
      <c r="M476" t="n">
        <v>0</v>
      </c>
      <c r="N476" t="n">
        <v>0</v>
      </c>
      <c r="O476" t="n">
        <v>0</v>
      </c>
      <c r="P476" t="n">
        <v>0</v>
      </c>
      <c r="Q476" t="n">
        <v>0</v>
      </c>
      <c r="R476" s="2" t="inlineStr"/>
    </row>
    <row r="477" ht="15" customHeight="1">
      <c r="A477" t="inlineStr">
        <is>
          <t>A 30822-2024</t>
        </is>
      </c>
      <c r="B477" s="1" t="n">
        <v>45497</v>
      </c>
      <c r="C477" s="1" t="n">
        <v>46192</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24249-2025</t>
        </is>
      </c>
      <c r="B478" s="1" t="n">
        <v>45797</v>
      </c>
      <c r="C478" s="1" t="n">
        <v>46192</v>
      </c>
      <c r="D478" t="inlineStr">
        <is>
          <t>DALARNAS LÄN</t>
        </is>
      </c>
      <c r="E478" t="inlineStr">
        <is>
          <t>MORA</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6371-2022</t>
        </is>
      </c>
      <c r="B479" s="1" t="n">
        <v>44600</v>
      </c>
      <c r="C479" s="1" t="n">
        <v>46192</v>
      </c>
      <c r="D479" t="inlineStr">
        <is>
          <t>DALARNAS LÄN</t>
        </is>
      </c>
      <c r="E479" t="inlineStr">
        <is>
          <t>MORA</t>
        </is>
      </c>
      <c r="G479" t="n">
        <v>4.6</v>
      </c>
      <c r="H479" t="n">
        <v>0</v>
      </c>
      <c r="I479" t="n">
        <v>0</v>
      </c>
      <c r="J479" t="n">
        <v>0</v>
      </c>
      <c r="K479" t="n">
        <v>0</v>
      </c>
      <c r="L479" t="n">
        <v>0</v>
      </c>
      <c r="M479" t="n">
        <v>0</v>
      </c>
      <c r="N479" t="n">
        <v>0</v>
      </c>
      <c r="O479" t="n">
        <v>0</v>
      </c>
      <c r="P479" t="n">
        <v>0</v>
      </c>
      <c r="Q479" t="n">
        <v>0</v>
      </c>
      <c r="R479" s="2" t="inlineStr"/>
    </row>
    <row r="480" ht="15" customHeight="1">
      <c r="A480" t="inlineStr">
        <is>
          <t>A 14397-2026</t>
        </is>
      </c>
      <c r="B480" s="1" t="n">
        <v>46100</v>
      </c>
      <c r="C480" s="1" t="n">
        <v>46192</v>
      </c>
      <c r="D480" t="inlineStr">
        <is>
          <t>DALARNAS LÄN</t>
        </is>
      </c>
      <c r="E480" t="inlineStr">
        <is>
          <t>MORA</t>
        </is>
      </c>
      <c r="F480" t="inlineStr">
        <is>
          <t>Bergvik skog väst AB</t>
        </is>
      </c>
      <c r="G480" t="n">
        <v>1.2</v>
      </c>
      <c r="H480" t="n">
        <v>0</v>
      </c>
      <c r="I480" t="n">
        <v>0</v>
      </c>
      <c r="J480" t="n">
        <v>0</v>
      </c>
      <c r="K480" t="n">
        <v>0</v>
      </c>
      <c r="L480" t="n">
        <v>0</v>
      </c>
      <c r="M480" t="n">
        <v>0</v>
      </c>
      <c r="N480" t="n">
        <v>0</v>
      </c>
      <c r="O480" t="n">
        <v>0</v>
      </c>
      <c r="P480" t="n">
        <v>0</v>
      </c>
      <c r="Q480" t="n">
        <v>0</v>
      </c>
      <c r="R480" s="2" t="inlineStr"/>
    </row>
    <row r="481" ht="15" customHeight="1">
      <c r="A481" t="inlineStr">
        <is>
          <t>A 9461-2025</t>
        </is>
      </c>
      <c r="B481" s="1" t="n">
        <v>45715</v>
      </c>
      <c r="C481" s="1" t="n">
        <v>46192</v>
      </c>
      <c r="D481" t="inlineStr">
        <is>
          <t>DALARNAS LÄN</t>
        </is>
      </c>
      <c r="E481" t="inlineStr">
        <is>
          <t>MORA</t>
        </is>
      </c>
      <c r="G481" t="n">
        <v>1.8</v>
      </c>
      <c r="H481" t="n">
        <v>0</v>
      </c>
      <c r="I481" t="n">
        <v>0</v>
      </c>
      <c r="J481" t="n">
        <v>0</v>
      </c>
      <c r="K481" t="n">
        <v>0</v>
      </c>
      <c r="L481" t="n">
        <v>0</v>
      </c>
      <c r="M481" t="n">
        <v>0</v>
      </c>
      <c r="N481" t="n">
        <v>0</v>
      </c>
      <c r="O481" t="n">
        <v>0</v>
      </c>
      <c r="P481" t="n">
        <v>0</v>
      </c>
      <c r="Q481" t="n">
        <v>0</v>
      </c>
      <c r="R481" s="2" t="inlineStr"/>
    </row>
    <row r="482" ht="15" customHeight="1">
      <c r="A482" t="inlineStr">
        <is>
          <t>A 34928-2022</t>
        </is>
      </c>
      <c r="B482" s="1" t="n">
        <v>44796</v>
      </c>
      <c r="C482" s="1" t="n">
        <v>46192</v>
      </c>
      <c r="D482" t="inlineStr">
        <is>
          <t>DALARNAS LÄN</t>
        </is>
      </c>
      <c r="E482" t="inlineStr">
        <is>
          <t>MORA</t>
        </is>
      </c>
      <c r="G482" t="n">
        <v>1.2</v>
      </c>
      <c r="H482" t="n">
        <v>0</v>
      </c>
      <c r="I482" t="n">
        <v>0</v>
      </c>
      <c r="J482" t="n">
        <v>0</v>
      </c>
      <c r="K482" t="n">
        <v>0</v>
      </c>
      <c r="L482" t="n">
        <v>0</v>
      </c>
      <c r="M482" t="n">
        <v>0</v>
      </c>
      <c r="N482" t="n">
        <v>0</v>
      </c>
      <c r="O482" t="n">
        <v>0</v>
      </c>
      <c r="P482" t="n">
        <v>0</v>
      </c>
      <c r="Q482" t="n">
        <v>0</v>
      </c>
      <c r="R482" s="2" t="inlineStr"/>
    </row>
    <row r="483" ht="15" customHeight="1">
      <c r="A483" t="inlineStr">
        <is>
          <t>A 19286-2023</t>
        </is>
      </c>
      <c r="B483" s="1" t="n">
        <v>45049</v>
      </c>
      <c r="C483" s="1" t="n">
        <v>46192</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24640-2025</t>
        </is>
      </c>
      <c r="B484" s="1" t="n">
        <v>45798</v>
      </c>
      <c r="C484" s="1" t="n">
        <v>46192</v>
      </c>
      <c r="D484" t="inlineStr">
        <is>
          <t>DALARNAS LÄN</t>
        </is>
      </c>
      <c r="E484" t="inlineStr">
        <is>
          <t>MORA</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15343-2026</t>
        </is>
      </c>
      <c r="B485" s="1" t="n">
        <v>46105</v>
      </c>
      <c r="C485" s="1" t="n">
        <v>46192</v>
      </c>
      <c r="D485" t="inlineStr">
        <is>
          <t>DALARNAS LÄN</t>
        </is>
      </c>
      <c r="E485" t="inlineStr">
        <is>
          <t>MORA</t>
        </is>
      </c>
      <c r="G485" t="n">
        <v>1.7</v>
      </c>
      <c r="H485" t="n">
        <v>0</v>
      </c>
      <c r="I485" t="n">
        <v>0</v>
      </c>
      <c r="J485" t="n">
        <v>0</v>
      </c>
      <c r="K485" t="n">
        <v>0</v>
      </c>
      <c r="L485" t="n">
        <v>0</v>
      </c>
      <c r="M485" t="n">
        <v>0</v>
      </c>
      <c r="N485" t="n">
        <v>0</v>
      </c>
      <c r="O485" t="n">
        <v>0</v>
      </c>
      <c r="P485" t="n">
        <v>0</v>
      </c>
      <c r="Q485" t="n">
        <v>0</v>
      </c>
      <c r="R485" s="2" t="inlineStr"/>
    </row>
    <row r="486" ht="15" customHeight="1">
      <c r="A486" t="inlineStr">
        <is>
          <t>A 27420-2024</t>
        </is>
      </c>
      <c r="B486" s="1" t="n">
        <v>45474</v>
      </c>
      <c r="C486" s="1" t="n">
        <v>46192</v>
      </c>
      <c r="D486" t="inlineStr">
        <is>
          <t>DALARNAS LÄN</t>
        </is>
      </c>
      <c r="E486" t="inlineStr">
        <is>
          <t>MORA</t>
        </is>
      </c>
      <c r="G486" t="n">
        <v>7.3</v>
      </c>
      <c r="H486" t="n">
        <v>0</v>
      </c>
      <c r="I486" t="n">
        <v>0</v>
      </c>
      <c r="J486" t="n">
        <v>0</v>
      </c>
      <c r="K486" t="n">
        <v>0</v>
      </c>
      <c r="L486" t="n">
        <v>0</v>
      </c>
      <c r="M486" t="n">
        <v>0</v>
      </c>
      <c r="N486" t="n">
        <v>0</v>
      </c>
      <c r="O486" t="n">
        <v>0</v>
      </c>
      <c r="P486" t="n">
        <v>0</v>
      </c>
      <c r="Q486" t="n">
        <v>0</v>
      </c>
      <c r="R486" s="2" t="inlineStr"/>
    </row>
    <row r="487" ht="15" customHeight="1">
      <c r="A487" t="inlineStr">
        <is>
          <t>A 39344-2024</t>
        </is>
      </c>
      <c r="B487" s="1" t="n">
        <v>45551</v>
      </c>
      <c r="C487" s="1" t="n">
        <v>46192</v>
      </c>
      <c r="D487" t="inlineStr">
        <is>
          <t>DALARNAS LÄN</t>
        </is>
      </c>
      <c r="E487" t="inlineStr">
        <is>
          <t>MORA</t>
        </is>
      </c>
      <c r="G487" t="n">
        <v>0.6</v>
      </c>
      <c r="H487" t="n">
        <v>0</v>
      </c>
      <c r="I487" t="n">
        <v>0</v>
      </c>
      <c r="J487" t="n">
        <v>0</v>
      </c>
      <c r="K487" t="n">
        <v>0</v>
      </c>
      <c r="L487" t="n">
        <v>0</v>
      </c>
      <c r="M487" t="n">
        <v>0</v>
      </c>
      <c r="N487" t="n">
        <v>0</v>
      </c>
      <c r="O487" t="n">
        <v>0</v>
      </c>
      <c r="P487" t="n">
        <v>0</v>
      </c>
      <c r="Q487" t="n">
        <v>0</v>
      </c>
      <c r="R487" s="2" t="inlineStr"/>
    </row>
    <row r="488" ht="15" customHeight="1">
      <c r="A488" t="inlineStr">
        <is>
          <t>A 24642-2025</t>
        </is>
      </c>
      <c r="B488" s="1" t="n">
        <v>45798</v>
      </c>
      <c r="C488" s="1" t="n">
        <v>46192</v>
      </c>
      <c r="D488" t="inlineStr">
        <is>
          <t>DALARNAS LÄN</t>
        </is>
      </c>
      <c r="E488" t="inlineStr">
        <is>
          <t>MORA</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15860-2026</t>
        </is>
      </c>
      <c r="B489" s="1" t="n">
        <v>46107</v>
      </c>
      <c r="C489" s="1" t="n">
        <v>46192</v>
      </c>
      <c r="D489" t="inlineStr">
        <is>
          <t>DALARNAS LÄN</t>
        </is>
      </c>
      <c r="E489" t="inlineStr">
        <is>
          <t>MORA</t>
        </is>
      </c>
      <c r="G489" t="n">
        <v>2</v>
      </c>
      <c r="H489" t="n">
        <v>0</v>
      </c>
      <c r="I489" t="n">
        <v>0</v>
      </c>
      <c r="J489" t="n">
        <v>0</v>
      </c>
      <c r="K489" t="n">
        <v>0</v>
      </c>
      <c r="L489" t="n">
        <v>0</v>
      </c>
      <c r="M489" t="n">
        <v>0</v>
      </c>
      <c r="N489" t="n">
        <v>0</v>
      </c>
      <c r="O489" t="n">
        <v>0</v>
      </c>
      <c r="P489" t="n">
        <v>0</v>
      </c>
      <c r="Q489" t="n">
        <v>0</v>
      </c>
      <c r="R489" s="2" t="inlineStr"/>
    </row>
    <row r="490" ht="15" customHeight="1">
      <c r="A490" t="inlineStr">
        <is>
          <t>A 24590-2024</t>
        </is>
      </c>
      <c r="B490" s="1" t="n">
        <v>45460</v>
      </c>
      <c r="C490" s="1" t="n">
        <v>46192</v>
      </c>
      <c r="D490" t="inlineStr">
        <is>
          <t>DALARNAS LÄN</t>
        </is>
      </c>
      <c r="E490" t="inlineStr">
        <is>
          <t>MORA</t>
        </is>
      </c>
      <c r="G490" t="n">
        <v>0.6</v>
      </c>
      <c r="H490" t="n">
        <v>0</v>
      </c>
      <c r="I490" t="n">
        <v>0</v>
      </c>
      <c r="J490" t="n">
        <v>0</v>
      </c>
      <c r="K490" t="n">
        <v>0</v>
      </c>
      <c r="L490" t="n">
        <v>0</v>
      </c>
      <c r="M490" t="n">
        <v>0</v>
      </c>
      <c r="N490" t="n">
        <v>0</v>
      </c>
      <c r="O490" t="n">
        <v>0</v>
      </c>
      <c r="P490" t="n">
        <v>0</v>
      </c>
      <c r="Q490" t="n">
        <v>0</v>
      </c>
      <c r="R490" s="2" t="inlineStr"/>
    </row>
    <row r="491" ht="15" customHeight="1">
      <c r="A491" t="inlineStr">
        <is>
          <t>A 54398-2021</t>
        </is>
      </c>
      <c r="B491" s="1" t="n">
        <v>44473</v>
      </c>
      <c r="C491" s="1" t="n">
        <v>46192</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24169-2022</t>
        </is>
      </c>
      <c r="B492" s="1" t="n">
        <v>44725</v>
      </c>
      <c r="C492" s="1" t="n">
        <v>46192</v>
      </c>
      <c r="D492" t="inlineStr">
        <is>
          <t>DALARNAS LÄN</t>
        </is>
      </c>
      <c r="E492" t="inlineStr">
        <is>
          <t>MORA</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43641-2022</t>
        </is>
      </c>
      <c r="B493" s="1" t="n">
        <v>44837</v>
      </c>
      <c r="C493" s="1" t="n">
        <v>46192</v>
      </c>
      <c r="D493" t="inlineStr">
        <is>
          <t>DALARNAS LÄN</t>
        </is>
      </c>
      <c r="E493" t="inlineStr">
        <is>
          <t>MORA</t>
        </is>
      </c>
      <c r="G493" t="n">
        <v>1.8</v>
      </c>
      <c r="H493" t="n">
        <v>0</v>
      </c>
      <c r="I493" t="n">
        <v>0</v>
      </c>
      <c r="J493" t="n">
        <v>0</v>
      </c>
      <c r="K493" t="n">
        <v>0</v>
      </c>
      <c r="L493" t="n">
        <v>0</v>
      </c>
      <c r="M493" t="n">
        <v>0</v>
      </c>
      <c r="N493" t="n">
        <v>0</v>
      </c>
      <c r="O493" t="n">
        <v>0</v>
      </c>
      <c r="P493" t="n">
        <v>0</v>
      </c>
      <c r="Q493" t="n">
        <v>0</v>
      </c>
      <c r="R493" s="2" t="inlineStr"/>
    </row>
    <row r="494" ht="15" customHeight="1">
      <c r="A494" t="inlineStr">
        <is>
          <t>A 53750-2024</t>
        </is>
      </c>
      <c r="B494" s="1" t="n">
        <v>45615</v>
      </c>
      <c r="C494" s="1" t="n">
        <v>46192</v>
      </c>
      <c r="D494" t="inlineStr">
        <is>
          <t>DALARNAS LÄN</t>
        </is>
      </c>
      <c r="E494" t="inlineStr">
        <is>
          <t>MORA</t>
        </is>
      </c>
      <c r="G494" t="n">
        <v>2.3</v>
      </c>
      <c r="H494" t="n">
        <v>0</v>
      </c>
      <c r="I494" t="n">
        <v>0</v>
      </c>
      <c r="J494" t="n">
        <v>0</v>
      </c>
      <c r="K494" t="n">
        <v>0</v>
      </c>
      <c r="L494" t="n">
        <v>0</v>
      </c>
      <c r="M494" t="n">
        <v>0</v>
      </c>
      <c r="N494" t="n">
        <v>0</v>
      </c>
      <c r="O494" t="n">
        <v>0</v>
      </c>
      <c r="P494" t="n">
        <v>0</v>
      </c>
      <c r="Q494" t="n">
        <v>0</v>
      </c>
      <c r="R494" s="2" t="inlineStr"/>
    </row>
    <row r="495" ht="15" customHeight="1">
      <c r="A495" t="inlineStr">
        <is>
          <t>A 26532-2025</t>
        </is>
      </c>
      <c r="B495" s="1" t="n">
        <v>45807</v>
      </c>
      <c r="C495" s="1" t="n">
        <v>46192</v>
      </c>
      <c r="D495" t="inlineStr">
        <is>
          <t>DALARNAS LÄN</t>
        </is>
      </c>
      <c r="E495" t="inlineStr">
        <is>
          <t>MORA</t>
        </is>
      </c>
      <c r="G495" t="n">
        <v>4.4</v>
      </c>
      <c r="H495" t="n">
        <v>0</v>
      </c>
      <c r="I495" t="n">
        <v>0</v>
      </c>
      <c r="J495" t="n">
        <v>0</v>
      </c>
      <c r="K495" t="n">
        <v>0</v>
      </c>
      <c r="L495" t="n">
        <v>0</v>
      </c>
      <c r="M495" t="n">
        <v>0</v>
      </c>
      <c r="N495" t="n">
        <v>0</v>
      </c>
      <c r="O495" t="n">
        <v>0</v>
      </c>
      <c r="P495" t="n">
        <v>0</v>
      </c>
      <c r="Q495" t="n">
        <v>0</v>
      </c>
      <c r="R495" s="2" t="inlineStr"/>
    </row>
    <row r="496" ht="15" customHeight="1">
      <c r="A496" t="inlineStr">
        <is>
          <t>A 30819-2024</t>
        </is>
      </c>
      <c r="B496" s="1" t="n">
        <v>45497</v>
      </c>
      <c r="C496" s="1" t="n">
        <v>46192</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16547-2026</t>
        </is>
      </c>
      <c r="B497" s="1" t="n">
        <v>46112</v>
      </c>
      <c r="C497" s="1" t="n">
        <v>46192</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26731-2025</t>
        </is>
      </c>
      <c r="B498" s="1" t="n">
        <v>45810</v>
      </c>
      <c r="C498" s="1" t="n">
        <v>46192</v>
      </c>
      <c r="D498" t="inlineStr">
        <is>
          <t>DALARNAS LÄN</t>
        </is>
      </c>
      <c r="E498" t="inlineStr">
        <is>
          <t>MORA</t>
        </is>
      </c>
      <c r="G498" t="n">
        <v>0.6</v>
      </c>
      <c r="H498" t="n">
        <v>0</v>
      </c>
      <c r="I498" t="n">
        <v>0</v>
      </c>
      <c r="J498" t="n">
        <v>0</v>
      </c>
      <c r="K498" t="n">
        <v>0</v>
      </c>
      <c r="L498" t="n">
        <v>0</v>
      </c>
      <c r="M498" t="n">
        <v>0</v>
      </c>
      <c r="N498" t="n">
        <v>0</v>
      </c>
      <c r="O498" t="n">
        <v>0</v>
      </c>
      <c r="P498" t="n">
        <v>0</v>
      </c>
      <c r="Q498" t="n">
        <v>0</v>
      </c>
      <c r="R498" s="2" t="inlineStr"/>
    </row>
    <row r="499" ht="15" customHeight="1">
      <c r="A499" t="inlineStr">
        <is>
          <t>A 20885-2024</t>
        </is>
      </c>
      <c r="B499" s="1" t="n">
        <v>45439</v>
      </c>
      <c r="C499" s="1" t="n">
        <v>46192</v>
      </c>
      <c r="D499" t="inlineStr">
        <is>
          <t>DALARNAS LÄN</t>
        </is>
      </c>
      <c r="E499" t="inlineStr">
        <is>
          <t>MORA</t>
        </is>
      </c>
      <c r="G499" t="n">
        <v>5</v>
      </c>
      <c r="H499" t="n">
        <v>0</v>
      </c>
      <c r="I499" t="n">
        <v>0</v>
      </c>
      <c r="J499" t="n">
        <v>0</v>
      </c>
      <c r="K499" t="n">
        <v>0</v>
      </c>
      <c r="L499" t="n">
        <v>0</v>
      </c>
      <c r="M499" t="n">
        <v>0</v>
      </c>
      <c r="N499" t="n">
        <v>0</v>
      </c>
      <c r="O499" t="n">
        <v>0</v>
      </c>
      <c r="P499" t="n">
        <v>0</v>
      </c>
      <c r="Q499" t="n">
        <v>0</v>
      </c>
      <c r="R499" s="2" t="inlineStr"/>
    </row>
    <row r="500" ht="15" customHeight="1">
      <c r="A500" t="inlineStr">
        <is>
          <t>A 56425-2024</t>
        </is>
      </c>
      <c r="B500" s="1" t="n">
        <v>45625</v>
      </c>
      <c r="C500" s="1" t="n">
        <v>46192</v>
      </c>
      <c r="D500" t="inlineStr">
        <is>
          <t>DALARNAS LÄN</t>
        </is>
      </c>
      <c r="E500" t="inlineStr">
        <is>
          <t>MORA</t>
        </is>
      </c>
      <c r="G500" t="n">
        <v>2.1</v>
      </c>
      <c r="H500" t="n">
        <v>0</v>
      </c>
      <c r="I500" t="n">
        <v>0</v>
      </c>
      <c r="J500" t="n">
        <v>0</v>
      </c>
      <c r="K500" t="n">
        <v>0</v>
      </c>
      <c r="L500" t="n">
        <v>0</v>
      </c>
      <c r="M500" t="n">
        <v>0</v>
      </c>
      <c r="N500" t="n">
        <v>0</v>
      </c>
      <c r="O500" t="n">
        <v>0</v>
      </c>
      <c r="P500" t="n">
        <v>0</v>
      </c>
      <c r="Q500" t="n">
        <v>0</v>
      </c>
      <c r="R500" s="2" t="inlineStr"/>
    </row>
    <row r="501" ht="15" customHeight="1">
      <c r="A501" t="inlineStr">
        <is>
          <t>A 22113-2026</t>
        </is>
      </c>
      <c r="B501" s="1" t="n">
        <v>46153</v>
      </c>
      <c r="C501" s="1" t="n">
        <v>46192</v>
      </c>
      <c r="D501" t="inlineStr">
        <is>
          <t>DALARNAS LÄN</t>
        </is>
      </c>
      <c r="E501" t="inlineStr">
        <is>
          <t>MORA</t>
        </is>
      </c>
      <c r="F501" t="inlineStr">
        <is>
          <t>Bergvik skog väst AB</t>
        </is>
      </c>
      <c r="G501" t="n">
        <v>4.6</v>
      </c>
      <c r="H501" t="n">
        <v>0</v>
      </c>
      <c r="I501" t="n">
        <v>0</v>
      </c>
      <c r="J501" t="n">
        <v>0</v>
      </c>
      <c r="K501" t="n">
        <v>0</v>
      </c>
      <c r="L501" t="n">
        <v>0</v>
      </c>
      <c r="M501" t="n">
        <v>0</v>
      </c>
      <c r="N501" t="n">
        <v>0</v>
      </c>
      <c r="O501" t="n">
        <v>0</v>
      </c>
      <c r="P501" t="n">
        <v>0</v>
      </c>
      <c r="Q501" t="n">
        <v>0</v>
      </c>
      <c r="R501" s="2" t="inlineStr"/>
    </row>
    <row r="502" ht="15" customHeight="1">
      <c r="A502" t="inlineStr">
        <is>
          <t>A 26711-2025</t>
        </is>
      </c>
      <c r="B502" s="1" t="n">
        <v>45810</v>
      </c>
      <c r="C502" s="1" t="n">
        <v>46192</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7565-2025</t>
        </is>
      </c>
      <c r="B503" s="1" t="n">
        <v>45705</v>
      </c>
      <c r="C503" s="1" t="n">
        <v>46192</v>
      </c>
      <c r="D503" t="inlineStr">
        <is>
          <t>DALARNAS LÄN</t>
        </is>
      </c>
      <c r="E503" t="inlineStr">
        <is>
          <t>MORA</t>
        </is>
      </c>
      <c r="G503" t="n">
        <v>3</v>
      </c>
      <c r="H503" t="n">
        <v>0</v>
      </c>
      <c r="I503" t="n">
        <v>0</v>
      </c>
      <c r="J503" t="n">
        <v>0</v>
      </c>
      <c r="K503" t="n">
        <v>0</v>
      </c>
      <c r="L503" t="n">
        <v>0</v>
      </c>
      <c r="M503" t="n">
        <v>0</v>
      </c>
      <c r="N503" t="n">
        <v>0</v>
      </c>
      <c r="O503" t="n">
        <v>0</v>
      </c>
      <c r="P503" t="n">
        <v>0</v>
      </c>
      <c r="Q503" t="n">
        <v>0</v>
      </c>
      <c r="R503" s="2" t="inlineStr"/>
    </row>
    <row r="504" ht="15" customHeight="1">
      <c r="A504" t="inlineStr">
        <is>
          <t>A 19842-2025</t>
        </is>
      </c>
      <c r="B504" s="1" t="n">
        <v>45771</v>
      </c>
      <c r="C504" s="1" t="n">
        <v>46192</v>
      </c>
      <c r="D504" t="inlineStr">
        <is>
          <t>DALARNAS LÄN</t>
        </is>
      </c>
      <c r="E504" t="inlineStr">
        <is>
          <t>MORA</t>
        </is>
      </c>
      <c r="G504" t="n">
        <v>1.9</v>
      </c>
      <c r="H504" t="n">
        <v>0</v>
      </c>
      <c r="I504" t="n">
        <v>0</v>
      </c>
      <c r="J504" t="n">
        <v>0</v>
      </c>
      <c r="K504" t="n">
        <v>0</v>
      </c>
      <c r="L504" t="n">
        <v>0</v>
      </c>
      <c r="M504" t="n">
        <v>0</v>
      </c>
      <c r="N504" t="n">
        <v>0</v>
      </c>
      <c r="O504" t="n">
        <v>0</v>
      </c>
      <c r="P504" t="n">
        <v>0</v>
      </c>
      <c r="Q504" t="n">
        <v>0</v>
      </c>
      <c r="R504" s="2" t="inlineStr"/>
    </row>
    <row r="505" ht="15" customHeight="1">
      <c r="A505" t="inlineStr">
        <is>
          <t>A 26647-2025</t>
        </is>
      </c>
      <c r="B505" s="1" t="n">
        <v>45810</v>
      </c>
      <c r="C505" s="1" t="n">
        <v>46192</v>
      </c>
      <c r="D505" t="inlineStr">
        <is>
          <t>DALARNAS LÄN</t>
        </is>
      </c>
      <c r="E505" t="inlineStr">
        <is>
          <t>MORA</t>
        </is>
      </c>
      <c r="G505" t="n">
        <v>7.9</v>
      </c>
      <c r="H505" t="n">
        <v>0</v>
      </c>
      <c r="I505" t="n">
        <v>0</v>
      </c>
      <c r="J505" t="n">
        <v>0</v>
      </c>
      <c r="K505" t="n">
        <v>0</v>
      </c>
      <c r="L505" t="n">
        <v>0</v>
      </c>
      <c r="M505" t="n">
        <v>0</v>
      </c>
      <c r="N505" t="n">
        <v>0</v>
      </c>
      <c r="O505" t="n">
        <v>0</v>
      </c>
      <c r="P505" t="n">
        <v>0</v>
      </c>
      <c r="Q505" t="n">
        <v>0</v>
      </c>
      <c r="R505" s="2" t="inlineStr"/>
    </row>
    <row r="506" ht="15" customHeight="1">
      <c r="A506" t="inlineStr">
        <is>
          <t>A 18134-2025</t>
        </is>
      </c>
      <c r="B506" s="1" t="n">
        <v>45761</v>
      </c>
      <c r="C506" s="1" t="n">
        <v>46192</v>
      </c>
      <c r="D506" t="inlineStr">
        <is>
          <t>DALARNAS LÄN</t>
        </is>
      </c>
      <c r="E506" t="inlineStr">
        <is>
          <t>MORA</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27194-2025</t>
        </is>
      </c>
      <c r="B507" s="1" t="n">
        <v>45812</v>
      </c>
      <c r="C507" s="1" t="n">
        <v>46192</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27642-2025</t>
        </is>
      </c>
      <c r="B508" s="1" t="n">
        <v>45813</v>
      </c>
      <c r="C508" s="1" t="n">
        <v>46192</v>
      </c>
      <c r="D508" t="inlineStr">
        <is>
          <t>DALARNAS LÄN</t>
        </is>
      </c>
      <c r="E508" t="inlineStr">
        <is>
          <t>MORA</t>
        </is>
      </c>
      <c r="G508" t="n">
        <v>2.5</v>
      </c>
      <c r="H508" t="n">
        <v>0</v>
      </c>
      <c r="I508" t="n">
        <v>0</v>
      </c>
      <c r="J508" t="n">
        <v>0</v>
      </c>
      <c r="K508" t="n">
        <v>0</v>
      </c>
      <c r="L508" t="n">
        <v>0</v>
      </c>
      <c r="M508" t="n">
        <v>0</v>
      </c>
      <c r="N508" t="n">
        <v>0</v>
      </c>
      <c r="O508" t="n">
        <v>0</v>
      </c>
      <c r="P508" t="n">
        <v>0</v>
      </c>
      <c r="Q508" t="n">
        <v>0</v>
      </c>
      <c r="R508" s="2" t="inlineStr"/>
    </row>
    <row r="509" ht="15" customHeight="1">
      <c r="A509" t="inlineStr">
        <is>
          <t>A 27184-2025</t>
        </is>
      </c>
      <c r="B509" s="1" t="n">
        <v>45812</v>
      </c>
      <c r="C509" s="1" t="n">
        <v>46192</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22536-2026</t>
        </is>
      </c>
      <c r="B510" s="1" t="n">
        <v>46155</v>
      </c>
      <c r="C510" s="1" t="n">
        <v>46192</v>
      </c>
      <c r="D510" t="inlineStr">
        <is>
          <t>DALARNAS LÄN</t>
        </is>
      </c>
      <c r="E510" t="inlineStr">
        <is>
          <t>MORA</t>
        </is>
      </c>
      <c r="F510" t="inlineStr">
        <is>
          <t>Bergvik skog öst AB</t>
        </is>
      </c>
      <c r="G510" t="n">
        <v>3.3</v>
      </c>
      <c r="H510" t="n">
        <v>0</v>
      </c>
      <c r="I510" t="n">
        <v>0</v>
      </c>
      <c r="J510" t="n">
        <v>0</v>
      </c>
      <c r="K510" t="n">
        <v>0</v>
      </c>
      <c r="L510" t="n">
        <v>0</v>
      </c>
      <c r="M510" t="n">
        <v>0</v>
      </c>
      <c r="N510" t="n">
        <v>0</v>
      </c>
      <c r="O510" t="n">
        <v>0</v>
      </c>
      <c r="P510" t="n">
        <v>0</v>
      </c>
      <c r="Q510" t="n">
        <v>0</v>
      </c>
      <c r="R510" s="2" t="inlineStr"/>
    </row>
    <row r="511" ht="15" customHeight="1">
      <c r="A511" t="inlineStr">
        <is>
          <t>A 14611-2025</t>
        </is>
      </c>
      <c r="B511" s="1" t="n">
        <v>45742</v>
      </c>
      <c r="C511" s="1" t="n">
        <v>46192</v>
      </c>
      <c r="D511" t="inlineStr">
        <is>
          <t>DALARNAS LÄN</t>
        </is>
      </c>
      <c r="E511" t="inlineStr">
        <is>
          <t>MORA</t>
        </is>
      </c>
      <c r="F511" t="inlineStr">
        <is>
          <t>Bergvik skog väst AB</t>
        </is>
      </c>
      <c r="G511" t="n">
        <v>2.9</v>
      </c>
      <c r="H511" t="n">
        <v>0</v>
      </c>
      <c r="I511" t="n">
        <v>0</v>
      </c>
      <c r="J511" t="n">
        <v>0</v>
      </c>
      <c r="K511" t="n">
        <v>0</v>
      </c>
      <c r="L511" t="n">
        <v>0</v>
      </c>
      <c r="M511" t="n">
        <v>0</v>
      </c>
      <c r="N511" t="n">
        <v>0</v>
      </c>
      <c r="O511" t="n">
        <v>0</v>
      </c>
      <c r="P511" t="n">
        <v>0</v>
      </c>
      <c r="Q511" t="n">
        <v>0</v>
      </c>
      <c r="R511" s="2" t="inlineStr"/>
    </row>
    <row r="512" ht="15" customHeight="1">
      <c r="A512" t="inlineStr">
        <is>
          <t>A 35327-2024</t>
        </is>
      </c>
      <c r="B512" s="1" t="n">
        <v>45530</v>
      </c>
      <c r="C512" s="1" t="n">
        <v>46192</v>
      </c>
      <c r="D512" t="inlineStr">
        <is>
          <t>DALARNAS LÄN</t>
        </is>
      </c>
      <c r="E512" t="inlineStr">
        <is>
          <t>MORA</t>
        </is>
      </c>
      <c r="G512" t="n">
        <v>5</v>
      </c>
      <c r="H512" t="n">
        <v>0</v>
      </c>
      <c r="I512" t="n">
        <v>0</v>
      </c>
      <c r="J512" t="n">
        <v>0</v>
      </c>
      <c r="K512" t="n">
        <v>0</v>
      </c>
      <c r="L512" t="n">
        <v>0</v>
      </c>
      <c r="M512" t="n">
        <v>0</v>
      </c>
      <c r="N512" t="n">
        <v>0</v>
      </c>
      <c r="O512" t="n">
        <v>0</v>
      </c>
      <c r="P512" t="n">
        <v>0</v>
      </c>
      <c r="Q512" t="n">
        <v>0</v>
      </c>
      <c r="R512" s="2" t="inlineStr"/>
    </row>
    <row r="513" ht="15" customHeight="1">
      <c r="A513" t="inlineStr">
        <is>
          <t>A 31112-2024</t>
        </is>
      </c>
      <c r="B513" s="1" t="n">
        <v>45502</v>
      </c>
      <c r="C513" s="1" t="n">
        <v>46192</v>
      </c>
      <c r="D513" t="inlineStr">
        <is>
          <t>DALARNAS LÄN</t>
        </is>
      </c>
      <c r="E513" t="inlineStr">
        <is>
          <t>MORA</t>
        </is>
      </c>
      <c r="G513" t="n">
        <v>0.6</v>
      </c>
      <c r="H513" t="n">
        <v>0</v>
      </c>
      <c r="I513" t="n">
        <v>0</v>
      </c>
      <c r="J513" t="n">
        <v>0</v>
      </c>
      <c r="K513" t="n">
        <v>0</v>
      </c>
      <c r="L513" t="n">
        <v>0</v>
      </c>
      <c r="M513" t="n">
        <v>0</v>
      </c>
      <c r="N513" t="n">
        <v>0</v>
      </c>
      <c r="O513" t="n">
        <v>0</v>
      </c>
      <c r="P513" t="n">
        <v>0</v>
      </c>
      <c r="Q513" t="n">
        <v>0</v>
      </c>
      <c r="R513" s="2" t="inlineStr"/>
    </row>
    <row r="514" ht="15" customHeight="1">
      <c r="A514" t="inlineStr">
        <is>
          <t>A 442-2024</t>
        </is>
      </c>
      <c r="B514" s="1" t="n">
        <v>45296</v>
      </c>
      <c r="C514" s="1" t="n">
        <v>46192</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501-2024</t>
        </is>
      </c>
      <c r="B515" s="1" t="n">
        <v>45299</v>
      </c>
      <c r="C515" s="1" t="n">
        <v>46192</v>
      </c>
      <c r="D515" t="inlineStr">
        <is>
          <t>DALARNAS LÄN</t>
        </is>
      </c>
      <c r="E515" t="inlineStr">
        <is>
          <t>MORA</t>
        </is>
      </c>
      <c r="G515" t="n">
        <v>2.5</v>
      </c>
      <c r="H515" t="n">
        <v>0</v>
      </c>
      <c r="I515" t="n">
        <v>0</v>
      </c>
      <c r="J515" t="n">
        <v>0</v>
      </c>
      <c r="K515" t="n">
        <v>0</v>
      </c>
      <c r="L515" t="n">
        <v>0</v>
      </c>
      <c r="M515" t="n">
        <v>0</v>
      </c>
      <c r="N515" t="n">
        <v>0</v>
      </c>
      <c r="O515" t="n">
        <v>0</v>
      </c>
      <c r="P515" t="n">
        <v>0</v>
      </c>
      <c r="Q515" t="n">
        <v>0</v>
      </c>
      <c r="R515" s="2" t="inlineStr"/>
    </row>
    <row r="516" ht="15" customHeight="1">
      <c r="A516" t="inlineStr">
        <is>
          <t>A 48570-2022</t>
        </is>
      </c>
      <c r="B516" s="1" t="n">
        <v>44859</v>
      </c>
      <c r="C516" s="1" t="n">
        <v>46192</v>
      </c>
      <c r="D516" t="inlineStr">
        <is>
          <t>DALARNAS LÄN</t>
        </is>
      </c>
      <c r="E516" t="inlineStr">
        <is>
          <t>MORA</t>
        </is>
      </c>
      <c r="G516" t="n">
        <v>6.2</v>
      </c>
      <c r="H516" t="n">
        <v>0</v>
      </c>
      <c r="I516" t="n">
        <v>0</v>
      </c>
      <c r="J516" t="n">
        <v>0</v>
      </c>
      <c r="K516" t="n">
        <v>0</v>
      </c>
      <c r="L516" t="n">
        <v>0</v>
      </c>
      <c r="M516" t="n">
        <v>0</v>
      </c>
      <c r="N516" t="n">
        <v>0</v>
      </c>
      <c r="O516" t="n">
        <v>0</v>
      </c>
      <c r="P516" t="n">
        <v>0</v>
      </c>
      <c r="Q516" t="n">
        <v>0</v>
      </c>
      <c r="R516" s="2" t="inlineStr"/>
    </row>
    <row r="517" ht="15" customHeight="1">
      <c r="A517" t="inlineStr">
        <is>
          <t>A 19814-2025</t>
        </is>
      </c>
      <c r="B517" s="1" t="n">
        <v>45771</v>
      </c>
      <c r="C517" s="1" t="n">
        <v>46192</v>
      </c>
      <c r="D517" t="inlineStr">
        <is>
          <t>DALARNAS LÄN</t>
        </is>
      </c>
      <c r="E517" t="inlineStr">
        <is>
          <t>MORA</t>
        </is>
      </c>
      <c r="G517" t="n">
        <v>2.1</v>
      </c>
      <c r="H517" t="n">
        <v>0</v>
      </c>
      <c r="I517" t="n">
        <v>0</v>
      </c>
      <c r="J517" t="n">
        <v>0</v>
      </c>
      <c r="K517" t="n">
        <v>0</v>
      </c>
      <c r="L517" t="n">
        <v>0</v>
      </c>
      <c r="M517" t="n">
        <v>0</v>
      </c>
      <c r="N517" t="n">
        <v>0</v>
      </c>
      <c r="O517" t="n">
        <v>0</v>
      </c>
      <c r="P517" t="n">
        <v>0</v>
      </c>
      <c r="Q517" t="n">
        <v>0</v>
      </c>
      <c r="R517" s="2" t="inlineStr"/>
    </row>
    <row r="518" ht="15" customHeight="1">
      <c r="A518" t="inlineStr">
        <is>
          <t>A 22568-2026</t>
        </is>
      </c>
      <c r="B518" s="1" t="n">
        <v>46155</v>
      </c>
      <c r="C518" s="1" t="n">
        <v>46192</v>
      </c>
      <c r="D518" t="inlineStr">
        <is>
          <t>DALARNAS LÄN</t>
        </is>
      </c>
      <c r="E518" t="inlineStr">
        <is>
          <t>MORA</t>
        </is>
      </c>
      <c r="F518" t="inlineStr">
        <is>
          <t>Bergvik skog öst AB</t>
        </is>
      </c>
      <c r="G518" t="n">
        <v>6.7</v>
      </c>
      <c r="H518" t="n">
        <v>0</v>
      </c>
      <c r="I518" t="n">
        <v>0</v>
      </c>
      <c r="J518" t="n">
        <v>0</v>
      </c>
      <c r="K518" t="n">
        <v>0</v>
      </c>
      <c r="L518" t="n">
        <v>0</v>
      </c>
      <c r="M518" t="n">
        <v>0</v>
      </c>
      <c r="N518" t="n">
        <v>0</v>
      </c>
      <c r="O518" t="n">
        <v>0</v>
      </c>
      <c r="P518" t="n">
        <v>0</v>
      </c>
      <c r="Q518" t="n">
        <v>0</v>
      </c>
      <c r="R518" s="2" t="inlineStr"/>
    </row>
    <row r="519" ht="15" customHeight="1">
      <c r="A519" t="inlineStr">
        <is>
          <t>A 60526-2023</t>
        </is>
      </c>
      <c r="B519" s="1" t="n">
        <v>45259</v>
      </c>
      <c r="C519" s="1" t="n">
        <v>46192</v>
      </c>
      <c r="D519" t="inlineStr">
        <is>
          <t>DALARNAS LÄN</t>
        </is>
      </c>
      <c r="E519" t="inlineStr">
        <is>
          <t>MORA</t>
        </is>
      </c>
      <c r="G519" t="n">
        <v>6.7</v>
      </c>
      <c r="H519" t="n">
        <v>0</v>
      </c>
      <c r="I519" t="n">
        <v>0</v>
      </c>
      <c r="J519" t="n">
        <v>0</v>
      </c>
      <c r="K519" t="n">
        <v>0</v>
      </c>
      <c r="L519" t="n">
        <v>0</v>
      </c>
      <c r="M519" t="n">
        <v>0</v>
      </c>
      <c r="N519" t="n">
        <v>0</v>
      </c>
      <c r="O519" t="n">
        <v>0</v>
      </c>
      <c r="P519" t="n">
        <v>0</v>
      </c>
      <c r="Q519" t="n">
        <v>0</v>
      </c>
      <c r="R519" s="2" t="inlineStr"/>
    </row>
    <row r="520" ht="15" customHeight="1">
      <c r="A520" t="inlineStr">
        <is>
          <t>A 53341-2023</t>
        </is>
      </c>
      <c r="B520" s="1" t="n">
        <v>45229</v>
      </c>
      <c r="C520" s="1" t="n">
        <v>46192</v>
      </c>
      <c r="D520" t="inlineStr">
        <is>
          <t>DALARNAS LÄN</t>
        </is>
      </c>
      <c r="E520" t="inlineStr">
        <is>
          <t>MORA</t>
        </is>
      </c>
      <c r="G520" t="n">
        <v>2.1</v>
      </c>
      <c r="H520" t="n">
        <v>0</v>
      </c>
      <c r="I520" t="n">
        <v>0</v>
      </c>
      <c r="J520" t="n">
        <v>0</v>
      </c>
      <c r="K520" t="n">
        <v>0</v>
      </c>
      <c r="L520" t="n">
        <v>0</v>
      </c>
      <c r="M520" t="n">
        <v>0</v>
      </c>
      <c r="N520" t="n">
        <v>0</v>
      </c>
      <c r="O520" t="n">
        <v>0</v>
      </c>
      <c r="P520" t="n">
        <v>0</v>
      </c>
      <c r="Q520" t="n">
        <v>0</v>
      </c>
      <c r="R520" s="2" t="inlineStr"/>
    </row>
    <row r="521" ht="15" customHeight="1">
      <c r="A521" t="inlineStr">
        <is>
          <t>A 12828-2023</t>
        </is>
      </c>
      <c r="B521" s="1" t="n">
        <v>45001</v>
      </c>
      <c r="C521" s="1" t="n">
        <v>46192</v>
      </c>
      <c r="D521" t="inlineStr">
        <is>
          <t>DALARNAS LÄN</t>
        </is>
      </c>
      <c r="E521" t="inlineStr">
        <is>
          <t>MORA</t>
        </is>
      </c>
      <c r="F521" t="inlineStr">
        <is>
          <t>Bergvik skog väst AB</t>
        </is>
      </c>
      <c r="G521" t="n">
        <v>5.4</v>
      </c>
      <c r="H521" t="n">
        <v>0</v>
      </c>
      <c r="I521" t="n">
        <v>0</v>
      </c>
      <c r="J521" t="n">
        <v>0</v>
      </c>
      <c r="K521" t="n">
        <v>0</v>
      </c>
      <c r="L521" t="n">
        <v>0</v>
      </c>
      <c r="M521" t="n">
        <v>0</v>
      </c>
      <c r="N521" t="n">
        <v>0</v>
      </c>
      <c r="O521" t="n">
        <v>0</v>
      </c>
      <c r="P521" t="n">
        <v>0</v>
      </c>
      <c r="Q521" t="n">
        <v>0</v>
      </c>
      <c r="R521" s="2" t="inlineStr"/>
    </row>
    <row r="522" ht="15" customHeight="1">
      <c r="A522" t="inlineStr">
        <is>
          <t>A 22962-2026</t>
        </is>
      </c>
      <c r="B522" s="1" t="n">
        <v>46160</v>
      </c>
      <c r="C522" s="1" t="n">
        <v>46192</v>
      </c>
      <c r="D522" t="inlineStr">
        <is>
          <t>DALARNAS LÄN</t>
        </is>
      </c>
      <c r="E522" t="inlineStr">
        <is>
          <t>MORA</t>
        </is>
      </c>
      <c r="F522" t="inlineStr">
        <is>
          <t>Bergvik skog öst AB</t>
        </is>
      </c>
      <c r="G522" t="n">
        <v>1.9</v>
      </c>
      <c r="H522" t="n">
        <v>0</v>
      </c>
      <c r="I522" t="n">
        <v>0</v>
      </c>
      <c r="J522" t="n">
        <v>0</v>
      </c>
      <c r="K522" t="n">
        <v>0</v>
      </c>
      <c r="L522" t="n">
        <v>0</v>
      </c>
      <c r="M522" t="n">
        <v>0</v>
      </c>
      <c r="N522" t="n">
        <v>0</v>
      </c>
      <c r="O522" t="n">
        <v>0</v>
      </c>
      <c r="P522" t="n">
        <v>0</v>
      </c>
      <c r="Q522" t="n">
        <v>0</v>
      </c>
      <c r="R522" s="2" t="inlineStr"/>
    </row>
    <row r="523" ht="15" customHeight="1">
      <c r="A523" t="inlineStr">
        <is>
          <t>A 28976-2025</t>
        </is>
      </c>
      <c r="B523" s="1" t="n">
        <v>45821</v>
      </c>
      <c r="C523" s="1" t="n">
        <v>46192</v>
      </c>
      <c r="D523" t="inlineStr">
        <is>
          <t>DALARNAS LÄN</t>
        </is>
      </c>
      <c r="E523" t="inlineStr">
        <is>
          <t>MORA</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23267-2026</t>
        </is>
      </c>
      <c r="B524" s="1" t="n">
        <v>46162</v>
      </c>
      <c r="C524" s="1" t="n">
        <v>46192</v>
      </c>
      <c r="D524" t="inlineStr">
        <is>
          <t>DALARNAS LÄN</t>
        </is>
      </c>
      <c r="E524" t="inlineStr">
        <is>
          <t>MORA</t>
        </is>
      </c>
      <c r="G524" t="n">
        <v>0.5</v>
      </c>
      <c r="H524" t="n">
        <v>0</v>
      </c>
      <c r="I524" t="n">
        <v>0</v>
      </c>
      <c r="J524" t="n">
        <v>0</v>
      </c>
      <c r="K524" t="n">
        <v>0</v>
      </c>
      <c r="L524" t="n">
        <v>0</v>
      </c>
      <c r="M524" t="n">
        <v>0</v>
      </c>
      <c r="N524" t="n">
        <v>0</v>
      </c>
      <c r="O524" t="n">
        <v>0</v>
      </c>
      <c r="P524" t="n">
        <v>0</v>
      </c>
      <c r="Q524" t="n">
        <v>0</v>
      </c>
      <c r="R524" s="2" t="inlineStr"/>
    </row>
    <row r="525" ht="15" customHeight="1">
      <c r="A525" t="inlineStr">
        <is>
          <t>A 28927-2025</t>
        </is>
      </c>
      <c r="B525" s="1" t="n">
        <v>45820</v>
      </c>
      <c r="C525" s="1" t="n">
        <v>46192</v>
      </c>
      <c r="D525" t="inlineStr">
        <is>
          <t>DALARNAS LÄN</t>
        </is>
      </c>
      <c r="E525" t="inlineStr">
        <is>
          <t>MORA</t>
        </is>
      </c>
      <c r="G525" t="n">
        <v>0.4</v>
      </c>
      <c r="H525" t="n">
        <v>0</v>
      </c>
      <c r="I525" t="n">
        <v>0</v>
      </c>
      <c r="J525" t="n">
        <v>0</v>
      </c>
      <c r="K525" t="n">
        <v>0</v>
      </c>
      <c r="L525" t="n">
        <v>0</v>
      </c>
      <c r="M525" t="n">
        <v>0</v>
      </c>
      <c r="N525" t="n">
        <v>0</v>
      </c>
      <c r="O525" t="n">
        <v>0</v>
      </c>
      <c r="P525" t="n">
        <v>0</v>
      </c>
      <c r="Q525" t="n">
        <v>0</v>
      </c>
      <c r="R525" s="2" t="inlineStr"/>
    </row>
    <row r="526" ht="15" customHeight="1">
      <c r="A526" t="inlineStr">
        <is>
          <t>A 28924-2025</t>
        </is>
      </c>
      <c r="B526" s="1" t="n">
        <v>45820</v>
      </c>
      <c r="C526" s="1" t="n">
        <v>46192</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28751-2025</t>
        </is>
      </c>
      <c r="B527" s="1" t="n">
        <v>45820</v>
      </c>
      <c r="C527" s="1" t="n">
        <v>46192</v>
      </c>
      <c r="D527" t="inlineStr">
        <is>
          <t>DALARNAS LÄN</t>
        </is>
      </c>
      <c r="E527" t="inlineStr">
        <is>
          <t>MORA</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29528-2025</t>
        </is>
      </c>
      <c r="B528" s="1" t="n">
        <v>45825</v>
      </c>
      <c r="C528" s="1" t="n">
        <v>46192</v>
      </c>
      <c r="D528" t="inlineStr">
        <is>
          <t>DALARNAS LÄN</t>
        </is>
      </c>
      <c r="E528" t="inlineStr">
        <is>
          <t>MORA</t>
        </is>
      </c>
      <c r="G528" t="n">
        <v>2.2</v>
      </c>
      <c r="H528" t="n">
        <v>0</v>
      </c>
      <c r="I528" t="n">
        <v>0</v>
      </c>
      <c r="J528" t="n">
        <v>0</v>
      </c>
      <c r="K528" t="n">
        <v>0</v>
      </c>
      <c r="L528" t="n">
        <v>0</v>
      </c>
      <c r="M528" t="n">
        <v>0</v>
      </c>
      <c r="N528" t="n">
        <v>0</v>
      </c>
      <c r="O528" t="n">
        <v>0</v>
      </c>
      <c r="P528" t="n">
        <v>0</v>
      </c>
      <c r="Q528" t="n">
        <v>0</v>
      </c>
      <c r="R528" s="2" t="inlineStr"/>
    </row>
    <row r="529" ht="15" customHeight="1">
      <c r="A529" t="inlineStr">
        <is>
          <t>A 17393-2026</t>
        </is>
      </c>
      <c r="B529" s="1" t="n">
        <v>46119</v>
      </c>
      <c r="C529" s="1" t="n">
        <v>46192</v>
      </c>
      <c r="D529" t="inlineStr">
        <is>
          <t>DALARNAS LÄN</t>
        </is>
      </c>
      <c r="E529" t="inlineStr">
        <is>
          <t>MORA</t>
        </is>
      </c>
      <c r="F529" t="inlineStr">
        <is>
          <t>Bergvik skog öst AB</t>
        </is>
      </c>
      <c r="G529" t="n">
        <v>2.8</v>
      </c>
      <c r="H529" t="n">
        <v>0</v>
      </c>
      <c r="I529" t="n">
        <v>0</v>
      </c>
      <c r="J529" t="n">
        <v>0</v>
      </c>
      <c r="K529" t="n">
        <v>0</v>
      </c>
      <c r="L529" t="n">
        <v>0</v>
      </c>
      <c r="M529" t="n">
        <v>0</v>
      </c>
      <c r="N529" t="n">
        <v>0</v>
      </c>
      <c r="O529" t="n">
        <v>0</v>
      </c>
      <c r="P529" t="n">
        <v>0</v>
      </c>
      <c r="Q529" t="n">
        <v>0</v>
      </c>
      <c r="R529" s="2" t="inlineStr"/>
    </row>
    <row r="530" ht="15" customHeight="1">
      <c r="A530" t="inlineStr">
        <is>
          <t>A 23122-2026</t>
        </is>
      </c>
      <c r="B530" s="1" t="n">
        <v>46161</v>
      </c>
      <c r="C530" s="1" t="n">
        <v>46192</v>
      </c>
      <c r="D530" t="inlineStr">
        <is>
          <t>DALARNAS LÄN</t>
        </is>
      </c>
      <c r="E530" t="inlineStr">
        <is>
          <t>MORA</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23139-2026</t>
        </is>
      </c>
      <c r="B531" s="1" t="n">
        <v>46161</v>
      </c>
      <c r="C531" s="1" t="n">
        <v>46192</v>
      </c>
      <c r="D531" t="inlineStr">
        <is>
          <t>DALARNAS LÄN</t>
        </is>
      </c>
      <c r="E531" t="inlineStr">
        <is>
          <t>MORA</t>
        </is>
      </c>
      <c r="F531" t="inlineStr">
        <is>
          <t>Bergvik skog öst AB</t>
        </is>
      </c>
      <c r="G531" t="n">
        <v>1.3</v>
      </c>
      <c r="H531" t="n">
        <v>0</v>
      </c>
      <c r="I531" t="n">
        <v>0</v>
      </c>
      <c r="J531" t="n">
        <v>0</v>
      </c>
      <c r="K531" t="n">
        <v>0</v>
      </c>
      <c r="L531" t="n">
        <v>0</v>
      </c>
      <c r="M531" t="n">
        <v>0</v>
      </c>
      <c r="N531" t="n">
        <v>0</v>
      </c>
      <c r="O531" t="n">
        <v>0</v>
      </c>
      <c r="P531" t="n">
        <v>0</v>
      </c>
      <c r="Q531" t="n">
        <v>0</v>
      </c>
      <c r="R531" s="2" t="inlineStr"/>
    </row>
    <row r="532" ht="15" customHeight="1">
      <c r="A532" t="inlineStr">
        <is>
          <t>A 17394-2026</t>
        </is>
      </c>
      <c r="B532" s="1" t="n">
        <v>46119</v>
      </c>
      <c r="C532" s="1" t="n">
        <v>46192</v>
      </c>
      <c r="D532" t="inlineStr">
        <is>
          <t>DALARNAS LÄN</t>
        </is>
      </c>
      <c r="E532" t="inlineStr">
        <is>
          <t>MORA</t>
        </is>
      </c>
      <c r="F532" t="inlineStr">
        <is>
          <t>Bergvik skog öst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29870-2025</t>
        </is>
      </c>
      <c r="B533" s="1" t="n">
        <v>45826</v>
      </c>
      <c r="C533" s="1" t="n">
        <v>46192</v>
      </c>
      <c r="D533" t="inlineStr">
        <is>
          <t>DALARNAS LÄN</t>
        </is>
      </c>
      <c r="E533" t="inlineStr">
        <is>
          <t>MORA</t>
        </is>
      </c>
      <c r="G533" t="n">
        <v>1.2</v>
      </c>
      <c r="H533" t="n">
        <v>0</v>
      </c>
      <c r="I533" t="n">
        <v>0</v>
      </c>
      <c r="J533" t="n">
        <v>0</v>
      </c>
      <c r="K533" t="n">
        <v>0</v>
      </c>
      <c r="L533" t="n">
        <v>0</v>
      </c>
      <c r="M533" t="n">
        <v>0</v>
      </c>
      <c r="N533" t="n">
        <v>0</v>
      </c>
      <c r="O533" t="n">
        <v>0</v>
      </c>
      <c r="P533" t="n">
        <v>0</v>
      </c>
      <c r="Q533" t="n">
        <v>0</v>
      </c>
      <c r="R533" s="2" t="inlineStr"/>
    </row>
    <row r="534" ht="15" customHeight="1">
      <c r="A534" t="inlineStr">
        <is>
          <t>A 29873-2025</t>
        </is>
      </c>
      <c r="B534" s="1" t="n">
        <v>45826</v>
      </c>
      <c r="C534" s="1" t="n">
        <v>46192</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17392-2026</t>
        </is>
      </c>
      <c r="B535" s="1" t="n">
        <v>46119</v>
      </c>
      <c r="C535" s="1" t="n">
        <v>46192</v>
      </c>
      <c r="D535" t="inlineStr">
        <is>
          <t>DALARNAS LÄN</t>
        </is>
      </c>
      <c r="E535" t="inlineStr">
        <is>
          <t>MORA</t>
        </is>
      </c>
      <c r="F535" t="inlineStr">
        <is>
          <t>Bergvik skog öst AB</t>
        </is>
      </c>
      <c r="G535" t="n">
        <v>4</v>
      </c>
      <c r="H535" t="n">
        <v>0</v>
      </c>
      <c r="I535" t="n">
        <v>0</v>
      </c>
      <c r="J535" t="n">
        <v>0</v>
      </c>
      <c r="K535" t="n">
        <v>0</v>
      </c>
      <c r="L535" t="n">
        <v>0</v>
      </c>
      <c r="M535" t="n">
        <v>0</v>
      </c>
      <c r="N535" t="n">
        <v>0</v>
      </c>
      <c r="O535" t="n">
        <v>0</v>
      </c>
      <c r="P535" t="n">
        <v>0</v>
      </c>
      <c r="Q535" t="n">
        <v>0</v>
      </c>
      <c r="R535" s="2" t="inlineStr"/>
    </row>
    <row r="536" ht="15" customHeight="1">
      <c r="A536" t="inlineStr">
        <is>
          <t>A 21410-2023</t>
        </is>
      </c>
      <c r="B536" s="1" t="n">
        <v>45063</v>
      </c>
      <c r="C536" s="1" t="n">
        <v>46192</v>
      </c>
      <c r="D536" t="inlineStr">
        <is>
          <t>DALARNAS LÄN</t>
        </is>
      </c>
      <c r="E536" t="inlineStr">
        <is>
          <t>MORA</t>
        </is>
      </c>
      <c r="G536" t="n">
        <v>7</v>
      </c>
      <c r="H536" t="n">
        <v>0</v>
      </c>
      <c r="I536" t="n">
        <v>0</v>
      </c>
      <c r="J536" t="n">
        <v>0</v>
      </c>
      <c r="K536" t="n">
        <v>0</v>
      </c>
      <c r="L536" t="n">
        <v>0</v>
      </c>
      <c r="M536" t="n">
        <v>0</v>
      </c>
      <c r="N536" t="n">
        <v>0</v>
      </c>
      <c r="O536" t="n">
        <v>0</v>
      </c>
      <c r="P536" t="n">
        <v>0</v>
      </c>
      <c r="Q536" t="n">
        <v>0</v>
      </c>
      <c r="R536" s="2" t="inlineStr"/>
    </row>
    <row r="537" ht="15" customHeight="1">
      <c r="A537" t="inlineStr">
        <is>
          <t>A 30507-2025</t>
        </is>
      </c>
      <c r="B537" s="1" t="n">
        <v>45831</v>
      </c>
      <c r="C537" s="1" t="n">
        <v>46192</v>
      </c>
      <c r="D537" t="inlineStr">
        <is>
          <t>DALARNAS LÄN</t>
        </is>
      </c>
      <c r="E537" t="inlineStr">
        <is>
          <t>MORA</t>
        </is>
      </c>
      <c r="G537" t="n">
        <v>1.6</v>
      </c>
      <c r="H537" t="n">
        <v>0</v>
      </c>
      <c r="I537" t="n">
        <v>0</v>
      </c>
      <c r="J537" t="n">
        <v>0</v>
      </c>
      <c r="K537" t="n">
        <v>0</v>
      </c>
      <c r="L537" t="n">
        <v>0</v>
      </c>
      <c r="M537" t="n">
        <v>0</v>
      </c>
      <c r="N537" t="n">
        <v>0</v>
      </c>
      <c r="O537" t="n">
        <v>0</v>
      </c>
      <c r="P537" t="n">
        <v>0</v>
      </c>
      <c r="Q537" t="n">
        <v>0</v>
      </c>
      <c r="R537" s="2" t="inlineStr"/>
    </row>
    <row r="538" ht="15" customHeight="1">
      <c r="A538" t="inlineStr">
        <is>
          <t>A 30509-2025</t>
        </is>
      </c>
      <c r="B538" s="1" t="n">
        <v>45831</v>
      </c>
      <c r="C538" s="1" t="n">
        <v>46192</v>
      </c>
      <c r="D538" t="inlineStr">
        <is>
          <t>DALARNAS LÄN</t>
        </is>
      </c>
      <c r="E538" t="inlineStr">
        <is>
          <t>MORA</t>
        </is>
      </c>
      <c r="G538" t="n">
        <v>1.7</v>
      </c>
      <c r="H538" t="n">
        <v>0</v>
      </c>
      <c r="I538" t="n">
        <v>0</v>
      </c>
      <c r="J538" t="n">
        <v>0</v>
      </c>
      <c r="K538" t="n">
        <v>0</v>
      </c>
      <c r="L538" t="n">
        <v>0</v>
      </c>
      <c r="M538" t="n">
        <v>0</v>
      </c>
      <c r="N538" t="n">
        <v>0</v>
      </c>
      <c r="O538" t="n">
        <v>0</v>
      </c>
      <c r="P538" t="n">
        <v>0</v>
      </c>
      <c r="Q538" t="n">
        <v>0</v>
      </c>
      <c r="R538" s="2" t="inlineStr"/>
    </row>
    <row r="539" ht="15" customHeight="1">
      <c r="A539" t="inlineStr">
        <is>
          <t>A 23690-2026</t>
        </is>
      </c>
      <c r="B539" s="1" t="n">
        <v>46164</v>
      </c>
      <c r="C539" s="1" t="n">
        <v>46192</v>
      </c>
      <c r="D539" t="inlineStr">
        <is>
          <t>DALARNAS LÄN</t>
        </is>
      </c>
      <c r="E539" t="inlineStr">
        <is>
          <t>MORA</t>
        </is>
      </c>
      <c r="F539" t="inlineStr">
        <is>
          <t>Bergvik skog öst AB</t>
        </is>
      </c>
      <c r="G539" t="n">
        <v>2</v>
      </c>
      <c r="H539" t="n">
        <v>0</v>
      </c>
      <c r="I539" t="n">
        <v>0</v>
      </c>
      <c r="J539" t="n">
        <v>0</v>
      </c>
      <c r="K539" t="n">
        <v>0</v>
      </c>
      <c r="L539" t="n">
        <v>0</v>
      </c>
      <c r="M539" t="n">
        <v>0</v>
      </c>
      <c r="N539" t="n">
        <v>0</v>
      </c>
      <c r="O539" t="n">
        <v>0</v>
      </c>
      <c r="P539" t="n">
        <v>0</v>
      </c>
      <c r="Q539" t="n">
        <v>0</v>
      </c>
      <c r="R539" s="2" t="inlineStr"/>
    </row>
    <row r="540" ht="15" customHeight="1">
      <c r="A540" t="inlineStr">
        <is>
          <t>A 45475-2023</t>
        </is>
      </c>
      <c r="B540" s="1" t="n">
        <v>45188</v>
      </c>
      <c r="C540" s="1" t="n">
        <v>46192</v>
      </c>
      <c r="D540" t="inlineStr">
        <is>
          <t>DALARNAS LÄN</t>
        </is>
      </c>
      <c r="E540" t="inlineStr">
        <is>
          <t>MORA</t>
        </is>
      </c>
      <c r="G540" t="n">
        <v>1.1</v>
      </c>
      <c r="H540" t="n">
        <v>0</v>
      </c>
      <c r="I540" t="n">
        <v>0</v>
      </c>
      <c r="J540" t="n">
        <v>0</v>
      </c>
      <c r="K540" t="n">
        <v>0</v>
      </c>
      <c r="L540" t="n">
        <v>0</v>
      </c>
      <c r="M540" t="n">
        <v>0</v>
      </c>
      <c r="N540" t="n">
        <v>0</v>
      </c>
      <c r="O540" t="n">
        <v>0</v>
      </c>
      <c r="P540" t="n">
        <v>0</v>
      </c>
      <c r="Q540" t="n">
        <v>0</v>
      </c>
      <c r="R540" s="2" t="inlineStr"/>
    </row>
    <row r="541" ht="15" customHeight="1">
      <c r="A541" t="inlineStr">
        <is>
          <t>A 44071-2024</t>
        </is>
      </c>
      <c r="B541" s="1" t="n">
        <v>45572</v>
      </c>
      <c r="C541" s="1" t="n">
        <v>46192</v>
      </c>
      <c r="D541" t="inlineStr">
        <is>
          <t>DALARNAS LÄN</t>
        </is>
      </c>
      <c r="E541" t="inlineStr">
        <is>
          <t>MORA</t>
        </is>
      </c>
      <c r="G541" t="n">
        <v>4.5</v>
      </c>
      <c r="H541" t="n">
        <v>0</v>
      </c>
      <c r="I541" t="n">
        <v>0</v>
      </c>
      <c r="J541" t="n">
        <v>0</v>
      </c>
      <c r="K541" t="n">
        <v>0</v>
      </c>
      <c r="L541" t="n">
        <v>0</v>
      </c>
      <c r="M541" t="n">
        <v>0</v>
      </c>
      <c r="N541" t="n">
        <v>0</v>
      </c>
      <c r="O541" t="n">
        <v>0</v>
      </c>
      <c r="P541" t="n">
        <v>0</v>
      </c>
      <c r="Q541" t="n">
        <v>0</v>
      </c>
      <c r="R541" s="2" t="inlineStr"/>
    </row>
    <row r="542" ht="15" customHeight="1">
      <c r="A542" t="inlineStr">
        <is>
          <t>A 17805-2026</t>
        </is>
      </c>
      <c r="B542" s="1" t="n">
        <v>46121</v>
      </c>
      <c r="C542" s="1" t="n">
        <v>46192</v>
      </c>
      <c r="D542" t="inlineStr">
        <is>
          <t>DALARNAS LÄN</t>
        </is>
      </c>
      <c r="E542" t="inlineStr">
        <is>
          <t>MORA</t>
        </is>
      </c>
      <c r="G542" t="n">
        <v>1.3</v>
      </c>
      <c r="H542" t="n">
        <v>0</v>
      </c>
      <c r="I542" t="n">
        <v>0</v>
      </c>
      <c r="J542" t="n">
        <v>0</v>
      </c>
      <c r="K542" t="n">
        <v>0</v>
      </c>
      <c r="L542" t="n">
        <v>0</v>
      </c>
      <c r="M542" t="n">
        <v>0</v>
      </c>
      <c r="N542" t="n">
        <v>0</v>
      </c>
      <c r="O542" t="n">
        <v>0</v>
      </c>
      <c r="P542" t="n">
        <v>0</v>
      </c>
      <c r="Q542" t="n">
        <v>0</v>
      </c>
      <c r="R542" s="2" t="inlineStr"/>
    </row>
    <row r="543" ht="15" customHeight="1">
      <c r="A543" t="inlineStr">
        <is>
          <t>A 17756-2026</t>
        </is>
      </c>
      <c r="B543" s="1" t="n">
        <v>46122</v>
      </c>
      <c r="C543" s="1" t="n">
        <v>46192</v>
      </c>
      <c r="D543" t="inlineStr">
        <is>
          <t>DALARNAS LÄN</t>
        </is>
      </c>
      <c r="E543" t="inlineStr">
        <is>
          <t>MORA</t>
        </is>
      </c>
      <c r="G543" t="n">
        <v>0.6</v>
      </c>
      <c r="H543" t="n">
        <v>0</v>
      </c>
      <c r="I543" t="n">
        <v>0</v>
      </c>
      <c r="J543" t="n">
        <v>0</v>
      </c>
      <c r="K543" t="n">
        <v>0</v>
      </c>
      <c r="L543" t="n">
        <v>0</v>
      </c>
      <c r="M543" t="n">
        <v>0</v>
      </c>
      <c r="N543" t="n">
        <v>0</v>
      </c>
      <c r="O543" t="n">
        <v>0</v>
      </c>
      <c r="P543" t="n">
        <v>0</v>
      </c>
      <c r="Q543" t="n">
        <v>0</v>
      </c>
      <c r="R543" s="2" t="inlineStr"/>
    </row>
    <row r="544" ht="15" customHeight="1">
      <c r="A544" t="inlineStr">
        <is>
          <t>A 30858-2025</t>
        </is>
      </c>
      <c r="B544" s="1" t="n">
        <v>45831</v>
      </c>
      <c r="C544" s="1" t="n">
        <v>46192</v>
      </c>
      <c r="D544" t="inlineStr">
        <is>
          <t>DALARNAS LÄN</t>
        </is>
      </c>
      <c r="E544" t="inlineStr">
        <is>
          <t>MORA</t>
        </is>
      </c>
      <c r="G544" t="n">
        <v>2.9</v>
      </c>
      <c r="H544" t="n">
        <v>0</v>
      </c>
      <c r="I544" t="n">
        <v>0</v>
      </c>
      <c r="J544" t="n">
        <v>0</v>
      </c>
      <c r="K544" t="n">
        <v>0</v>
      </c>
      <c r="L544" t="n">
        <v>0</v>
      </c>
      <c r="M544" t="n">
        <v>0</v>
      </c>
      <c r="N544" t="n">
        <v>0</v>
      </c>
      <c r="O544" t="n">
        <v>0</v>
      </c>
      <c r="P544" t="n">
        <v>0</v>
      </c>
      <c r="Q544" t="n">
        <v>0</v>
      </c>
      <c r="R544" s="2" t="inlineStr"/>
    </row>
    <row r="545" ht="15" customHeight="1">
      <c r="A545" t="inlineStr">
        <is>
          <t>A 30859-2025</t>
        </is>
      </c>
      <c r="B545" s="1" t="n">
        <v>45831</v>
      </c>
      <c r="C545" s="1" t="n">
        <v>46192</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57903-2022</t>
        </is>
      </c>
      <c r="B546" s="1" t="n">
        <v>44900</v>
      </c>
      <c r="C546" s="1" t="n">
        <v>46192</v>
      </c>
      <c r="D546" t="inlineStr">
        <is>
          <t>DALARNAS LÄN</t>
        </is>
      </c>
      <c r="E546" t="inlineStr">
        <is>
          <t>MORA</t>
        </is>
      </c>
      <c r="G546" t="n">
        <v>4.3</v>
      </c>
      <c r="H546" t="n">
        <v>0</v>
      </c>
      <c r="I546" t="n">
        <v>0</v>
      </c>
      <c r="J546" t="n">
        <v>0</v>
      </c>
      <c r="K546" t="n">
        <v>0</v>
      </c>
      <c r="L546" t="n">
        <v>0</v>
      </c>
      <c r="M546" t="n">
        <v>0</v>
      </c>
      <c r="N546" t="n">
        <v>0</v>
      </c>
      <c r="O546" t="n">
        <v>0</v>
      </c>
      <c r="P546" t="n">
        <v>0</v>
      </c>
      <c r="Q546" t="n">
        <v>0</v>
      </c>
      <c r="R546" s="2" t="inlineStr"/>
    </row>
    <row r="547" ht="15" customHeight="1">
      <c r="A547" t="inlineStr">
        <is>
          <t>A 19193-2025</t>
        </is>
      </c>
      <c r="B547" s="1" t="n">
        <v>45769</v>
      </c>
      <c r="C547" s="1" t="n">
        <v>46192</v>
      </c>
      <c r="D547" t="inlineStr">
        <is>
          <t>DALARNAS LÄN</t>
        </is>
      </c>
      <c r="E547" t="inlineStr">
        <is>
          <t>MORA</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22953-2026</t>
        </is>
      </c>
      <c r="B548" s="1" t="n">
        <v>46160</v>
      </c>
      <c r="C548" s="1" t="n">
        <v>46192</v>
      </c>
      <c r="D548" t="inlineStr">
        <is>
          <t>DALARNAS LÄN</t>
        </is>
      </c>
      <c r="E548" t="inlineStr">
        <is>
          <t>MORA</t>
        </is>
      </c>
      <c r="G548" t="n">
        <v>2.4</v>
      </c>
      <c r="H548" t="n">
        <v>0</v>
      </c>
      <c r="I548" t="n">
        <v>0</v>
      </c>
      <c r="J548" t="n">
        <v>0</v>
      </c>
      <c r="K548" t="n">
        <v>0</v>
      </c>
      <c r="L548" t="n">
        <v>0</v>
      </c>
      <c r="M548" t="n">
        <v>0</v>
      </c>
      <c r="N548" t="n">
        <v>0</v>
      </c>
      <c r="O548" t="n">
        <v>0</v>
      </c>
      <c r="P548" t="n">
        <v>0</v>
      </c>
      <c r="Q548" t="n">
        <v>0</v>
      </c>
      <c r="R548" s="2" t="inlineStr"/>
    </row>
    <row r="549" ht="15" customHeight="1">
      <c r="A549" t="inlineStr">
        <is>
          <t>A 6183-2024</t>
        </is>
      </c>
      <c r="B549" s="1" t="n">
        <v>45337</v>
      </c>
      <c r="C549" s="1" t="n">
        <v>46192</v>
      </c>
      <c r="D549" t="inlineStr">
        <is>
          <t>DALARNAS LÄN</t>
        </is>
      </c>
      <c r="E549" t="inlineStr">
        <is>
          <t>MORA</t>
        </is>
      </c>
      <c r="G549" t="n">
        <v>7.9</v>
      </c>
      <c r="H549" t="n">
        <v>0</v>
      </c>
      <c r="I549" t="n">
        <v>0</v>
      </c>
      <c r="J549" t="n">
        <v>0</v>
      </c>
      <c r="K549" t="n">
        <v>0</v>
      </c>
      <c r="L549" t="n">
        <v>0</v>
      </c>
      <c r="M549" t="n">
        <v>0</v>
      </c>
      <c r="N549" t="n">
        <v>0</v>
      </c>
      <c r="O549" t="n">
        <v>0</v>
      </c>
      <c r="P549" t="n">
        <v>0</v>
      </c>
      <c r="Q549" t="n">
        <v>0</v>
      </c>
      <c r="R549" s="2" t="inlineStr"/>
    </row>
    <row r="550" ht="15" customHeight="1">
      <c r="A550" t="inlineStr">
        <is>
          <t>A 18412-2026</t>
        </is>
      </c>
      <c r="B550" s="1" t="n">
        <v>46126</v>
      </c>
      <c r="C550" s="1" t="n">
        <v>46192</v>
      </c>
      <c r="D550" t="inlineStr">
        <is>
          <t>DALARNAS LÄN</t>
        </is>
      </c>
      <c r="E550" t="inlineStr">
        <is>
          <t>MORA</t>
        </is>
      </c>
      <c r="G550" t="n">
        <v>0.8</v>
      </c>
      <c r="H550" t="n">
        <v>0</v>
      </c>
      <c r="I550" t="n">
        <v>0</v>
      </c>
      <c r="J550" t="n">
        <v>0</v>
      </c>
      <c r="K550" t="n">
        <v>0</v>
      </c>
      <c r="L550" t="n">
        <v>0</v>
      </c>
      <c r="M550" t="n">
        <v>0</v>
      </c>
      <c r="N550" t="n">
        <v>0</v>
      </c>
      <c r="O550" t="n">
        <v>0</v>
      </c>
      <c r="P550" t="n">
        <v>0</v>
      </c>
      <c r="Q550" t="n">
        <v>0</v>
      </c>
      <c r="R550" s="2" t="inlineStr"/>
    </row>
    <row r="551" ht="15" customHeight="1">
      <c r="A551" t="inlineStr">
        <is>
          <t>A 24043-2026</t>
        </is>
      </c>
      <c r="B551" s="1" t="n">
        <v>46168</v>
      </c>
      <c r="C551" s="1" t="n">
        <v>46192</v>
      </c>
      <c r="D551" t="inlineStr">
        <is>
          <t>DALARNAS LÄN</t>
        </is>
      </c>
      <c r="E551" t="inlineStr">
        <is>
          <t>MORA</t>
        </is>
      </c>
      <c r="F551" t="inlineStr">
        <is>
          <t>Bergvik skog öst AB</t>
        </is>
      </c>
      <c r="G551" t="n">
        <v>0.3</v>
      </c>
      <c r="H551" t="n">
        <v>0</v>
      </c>
      <c r="I551" t="n">
        <v>0</v>
      </c>
      <c r="J551" t="n">
        <v>0</v>
      </c>
      <c r="K551" t="n">
        <v>0</v>
      </c>
      <c r="L551" t="n">
        <v>0</v>
      </c>
      <c r="M551" t="n">
        <v>0</v>
      </c>
      <c r="N551" t="n">
        <v>0</v>
      </c>
      <c r="O551" t="n">
        <v>0</v>
      </c>
      <c r="P551" t="n">
        <v>0</v>
      </c>
      <c r="Q551" t="n">
        <v>0</v>
      </c>
      <c r="R551" s="2" t="inlineStr"/>
    </row>
    <row r="552" ht="15" customHeight="1">
      <c r="A552" t="inlineStr">
        <is>
          <t>A 23972-2026</t>
        </is>
      </c>
      <c r="B552" s="1" t="n">
        <v>46167</v>
      </c>
      <c r="C552" s="1" t="n">
        <v>46192</v>
      </c>
      <c r="D552" t="inlineStr">
        <is>
          <t>DALARNAS LÄN</t>
        </is>
      </c>
      <c r="E552" t="inlineStr">
        <is>
          <t>MORA</t>
        </is>
      </c>
      <c r="G552" t="n">
        <v>4.1</v>
      </c>
      <c r="H552" t="n">
        <v>0</v>
      </c>
      <c r="I552" t="n">
        <v>0</v>
      </c>
      <c r="J552" t="n">
        <v>0</v>
      </c>
      <c r="K552" t="n">
        <v>0</v>
      </c>
      <c r="L552" t="n">
        <v>0</v>
      </c>
      <c r="M552" t="n">
        <v>0</v>
      </c>
      <c r="N552" t="n">
        <v>0</v>
      </c>
      <c r="O552" t="n">
        <v>0</v>
      </c>
      <c r="P552" t="n">
        <v>0</v>
      </c>
      <c r="Q552" t="n">
        <v>0</v>
      </c>
      <c r="R552" s="2" t="inlineStr"/>
    </row>
    <row r="553" ht="15" customHeight="1">
      <c r="A553" t="inlineStr">
        <is>
          <t>A 24048-2026</t>
        </is>
      </c>
      <c r="B553" s="1" t="n">
        <v>46168</v>
      </c>
      <c r="C553" s="1" t="n">
        <v>46192</v>
      </c>
      <c r="D553" t="inlineStr">
        <is>
          <t>DALARNAS LÄN</t>
        </is>
      </c>
      <c r="E553" t="inlineStr">
        <is>
          <t>MORA</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46152-2023</t>
        </is>
      </c>
      <c r="B554" s="1" t="n">
        <v>45196</v>
      </c>
      <c r="C554" s="1" t="n">
        <v>46192</v>
      </c>
      <c r="D554" t="inlineStr">
        <is>
          <t>DALARNAS LÄN</t>
        </is>
      </c>
      <c r="E554" t="inlineStr">
        <is>
          <t>MORA</t>
        </is>
      </c>
      <c r="G554" t="n">
        <v>2</v>
      </c>
      <c r="H554" t="n">
        <v>0</v>
      </c>
      <c r="I554" t="n">
        <v>0</v>
      </c>
      <c r="J554" t="n">
        <v>0</v>
      </c>
      <c r="K554" t="n">
        <v>0</v>
      </c>
      <c r="L554" t="n">
        <v>0</v>
      </c>
      <c r="M554" t="n">
        <v>0</v>
      </c>
      <c r="N554" t="n">
        <v>0</v>
      </c>
      <c r="O554" t="n">
        <v>0</v>
      </c>
      <c r="P554" t="n">
        <v>0</v>
      </c>
      <c r="Q554" t="n">
        <v>0</v>
      </c>
      <c r="R554" s="2" t="inlineStr"/>
    </row>
    <row r="555" ht="15" customHeight="1">
      <c r="A555" t="inlineStr">
        <is>
          <t>A 18674-2026</t>
        </is>
      </c>
      <c r="B555" s="1" t="n">
        <v>46128</v>
      </c>
      <c r="C555" s="1" t="n">
        <v>46192</v>
      </c>
      <c r="D555" t="inlineStr">
        <is>
          <t>DALARNAS LÄN</t>
        </is>
      </c>
      <c r="E555" t="inlineStr">
        <is>
          <t>MORA</t>
        </is>
      </c>
      <c r="G555" t="n">
        <v>0.6</v>
      </c>
      <c r="H555" t="n">
        <v>0</v>
      </c>
      <c r="I555" t="n">
        <v>0</v>
      </c>
      <c r="J555" t="n">
        <v>0</v>
      </c>
      <c r="K555" t="n">
        <v>0</v>
      </c>
      <c r="L555" t="n">
        <v>0</v>
      </c>
      <c r="M555" t="n">
        <v>0</v>
      </c>
      <c r="N555" t="n">
        <v>0</v>
      </c>
      <c r="O555" t="n">
        <v>0</v>
      </c>
      <c r="P555" t="n">
        <v>0</v>
      </c>
      <c r="Q555" t="n">
        <v>0</v>
      </c>
      <c r="R555" s="2" t="inlineStr"/>
    </row>
    <row r="556" ht="15" customHeight="1">
      <c r="A556" t="inlineStr">
        <is>
          <t>A 18626-2026</t>
        </is>
      </c>
      <c r="B556" s="1" t="n">
        <v>46127</v>
      </c>
      <c r="C556" s="1" t="n">
        <v>46192</v>
      </c>
      <c r="D556" t="inlineStr">
        <is>
          <t>DALARNAS LÄN</t>
        </is>
      </c>
      <c r="E556" t="inlineStr">
        <is>
          <t>MORA</t>
        </is>
      </c>
      <c r="G556" t="n">
        <v>3.1</v>
      </c>
      <c r="H556" t="n">
        <v>0</v>
      </c>
      <c r="I556" t="n">
        <v>0</v>
      </c>
      <c r="J556" t="n">
        <v>0</v>
      </c>
      <c r="K556" t="n">
        <v>0</v>
      </c>
      <c r="L556" t="n">
        <v>0</v>
      </c>
      <c r="M556" t="n">
        <v>0</v>
      </c>
      <c r="N556" t="n">
        <v>0</v>
      </c>
      <c r="O556" t="n">
        <v>0</v>
      </c>
      <c r="P556" t="n">
        <v>0</v>
      </c>
      <c r="Q556" t="n">
        <v>0</v>
      </c>
      <c r="R556" s="2" t="inlineStr"/>
    </row>
    <row r="557" ht="15" customHeight="1">
      <c r="A557" t="inlineStr">
        <is>
          <t>A 34382-2025</t>
        </is>
      </c>
      <c r="B557" s="1" t="n">
        <v>45846</v>
      </c>
      <c r="C557" s="1" t="n">
        <v>46192</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18514-2026</t>
        </is>
      </c>
      <c r="B558" s="1" t="n">
        <v>46127</v>
      </c>
      <c r="C558" s="1" t="n">
        <v>46192</v>
      </c>
      <c r="D558" t="inlineStr">
        <is>
          <t>DALARNAS LÄN</t>
        </is>
      </c>
      <c r="E558" t="inlineStr">
        <is>
          <t>MORA</t>
        </is>
      </c>
      <c r="G558" t="n">
        <v>2.4</v>
      </c>
      <c r="H558" t="n">
        <v>0</v>
      </c>
      <c r="I558" t="n">
        <v>0</v>
      </c>
      <c r="J558" t="n">
        <v>0</v>
      </c>
      <c r="K558" t="n">
        <v>0</v>
      </c>
      <c r="L558" t="n">
        <v>0</v>
      </c>
      <c r="M558" t="n">
        <v>0</v>
      </c>
      <c r="N558" t="n">
        <v>0</v>
      </c>
      <c r="O558" t="n">
        <v>0</v>
      </c>
      <c r="P558" t="n">
        <v>0</v>
      </c>
      <c r="Q558" t="n">
        <v>0</v>
      </c>
      <c r="R558" s="2" t="inlineStr"/>
    </row>
    <row r="559" ht="15" customHeight="1">
      <c r="A559" t="inlineStr">
        <is>
          <t>A 48824-2023</t>
        </is>
      </c>
      <c r="B559" s="1" t="n">
        <v>45203</v>
      </c>
      <c r="C559" s="1" t="n">
        <v>46192</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24526-2026</t>
        </is>
      </c>
      <c r="B560" s="1" t="n">
        <v>46170</v>
      </c>
      <c r="C560" s="1" t="n">
        <v>46192</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34272-2024</t>
        </is>
      </c>
      <c r="B561" s="1" t="n">
        <v>45524</v>
      </c>
      <c r="C561" s="1" t="n">
        <v>46192</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24571-2026</t>
        </is>
      </c>
      <c r="B562" s="1" t="n">
        <v>46170</v>
      </c>
      <c r="C562" s="1" t="n">
        <v>46192</v>
      </c>
      <c r="D562" t="inlineStr">
        <is>
          <t>DALARNAS LÄN</t>
        </is>
      </c>
      <c r="E562" t="inlineStr">
        <is>
          <t>MORA</t>
        </is>
      </c>
      <c r="F562" t="inlineStr">
        <is>
          <t>Bergvik skog öst AB</t>
        </is>
      </c>
      <c r="G562" t="n">
        <v>1</v>
      </c>
      <c r="H562" t="n">
        <v>0</v>
      </c>
      <c r="I562" t="n">
        <v>0</v>
      </c>
      <c r="J562" t="n">
        <v>0</v>
      </c>
      <c r="K562" t="n">
        <v>0</v>
      </c>
      <c r="L562" t="n">
        <v>0</v>
      </c>
      <c r="M562" t="n">
        <v>0</v>
      </c>
      <c r="N562" t="n">
        <v>0</v>
      </c>
      <c r="O562" t="n">
        <v>0</v>
      </c>
      <c r="P562" t="n">
        <v>0</v>
      </c>
      <c r="Q562" t="n">
        <v>0</v>
      </c>
      <c r="R562" s="2" t="inlineStr"/>
    </row>
    <row r="563" ht="15" customHeight="1">
      <c r="A563" t="inlineStr">
        <is>
          <t>A 35407-2025</t>
        </is>
      </c>
      <c r="B563" s="1" t="n">
        <v>45855</v>
      </c>
      <c r="C563" s="1" t="n">
        <v>46192</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9277-2024</t>
        </is>
      </c>
      <c r="B564" s="1" t="n">
        <v>45358</v>
      </c>
      <c r="C564" s="1" t="n">
        <v>46192</v>
      </c>
      <c r="D564" t="inlineStr">
        <is>
          <t>DALARNAS LÄN</t>
        </is>
      </c>
      <c r="E564" t="inlineStr">
        <is>
          <t>MORA</t>
        </is>
      </c>
      <c r="G564" t="n">
        <v>1.7</v>
      </c>
      <c r="H564" t="n">
        <v>0</v>
      </c>
      <c r="I564" t="n">
        <v>0</v>
      </c>
      <c r="J564" t="n">
        <v>0</v>
      </c>
      <c r="K564" t="n">
        <v>0</v>
      </c>
      <c r="L564" t="n">
        <v>0</v>
      </c>
      <c r="M564" t="n">
        <v>0</v>
      </c>
      <c r="N564" t="n">
        <v>0</v>
      </c>
      <c r="O564" t="n">
        <v>0</v>
      </c>
      <c r="P564" t="n">
        <v>0</v>
      </c>
      <c r="Q564" t="n">
        <v>0</v>
      </c>
      <c r="R564" s="2" t="inlineStr"/>
    </row>
    <row r="565" ht="15" customHeight="1">
      <c r="A565" t="inlineStr">
        <is>
          <t>A 24525-2026</t>
        </is>
      </c>
      <c r="B565" s="1" t="n">
        <v>46170</v>
      </c>
      <c r="C565" s="1" t="n">
        <v>46192</v>
      </c>
      <c r="D565" t="inlineStr">
        <is>
          <t>DALARNAS LÄN</t>
        </is>
      </c>
      <c r="E565" t="inlineStr">
        <is>
          <t>MORA</t>
        </is>
      </c>
      <c r="G565" t="n">
        <v>0.8</v>
      </c>
      <c r="H565" t="n">
        <v>0</v>
      </c>
      <c r="I565" t="n">
        <v>0</v>
      </c>
      <c r="J565" t="n">
        <v>0</v>
      </c>
      <c r="K565" t="n">
        <v>0</v>
      </c>
      <c r="L565" t="n">
        <v>0</v>
      </c>
      <c r="M565" t="n">
        <v>0</v>
      </c>
      <c r="N565" t="n">
        <v>0</v>
      </c>
      <c r="O565" t="n">
        <v>0</v>
      </c>
      <c r="P565" t="n">
        <v>0</v>
      </c>
      <c r="Q565" t="n">
        <v>0</v>
      </c>
      <c r="R565" s="2" t="inlineStr"/>
    </row>
    <row r="566" ht="15" customHeight="1">
      <c r="A566" t="inlineStr">
        <is>
          <t>A 36579-2022</t>
        </is>
      </c>
      <c r="B566" s="1" t="n">
        <v>44804</v>
      </c>
      <c r="C566" s="1" t="n">
        <v>46192</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35734-2025</t>
        </is>
      </c>
      <c r="B567" s="1" t="n">
        <v>45860</v>
      </c>
      <c r="C567" s="1" t="n">
        <v>46192</v>
      </c>
      <c r="D567" t="inlineStr">
        <is>
          <t>DALARNAS LÄN</t>
        </is>
      </c>
      <c r="E567" t="inlineStr">
        <is>
          <t>MORA</t>
        </is>
      </c>
      <c r="G567" t="n">
        <v>1.3</v>
      </c>
      <c r="H567" t="n">
        <v>0</v>
      </c>
      <c r="I567" t="n">
        <v>0</v>
      </c>
      <c r="J567" t="n">
        <v>0</v>
      </c>
      <c r="K567" t="n">
        <v>0</v>
      </c>
      <c r="L567" t="n">
        <v>0</v>
      </c>
      <c r="M567" t="n">
        <v>0</v>
      </c>
      <c r="N567" t="n">
        <v>0</v>
      </c>
      <c r="O567" t="n">
        <v>0</v>
      </c>
      <c r="P567" t="n">
        <v>0</v>
      </c>
      <c r="Q567" t="n">
        <v>0</v>
      </c>
      <c r="R567" s="2" t="inlineStr"/>
    </row>
    <row r="568" ht="15" customHeight="1">
      <c r="A568" t="inlineStr">
        <is>
          <t>A 36041-2025</t>
        </is>
      </c>
      <c r="B568" s="1" t="n">
        <v>45866</v>
      </c>
      <c r="C568" s="1" t="n">
        <v>46192</v>
      </c>
      <c r="D568" t="inlineStr">
        <is>
          <t>DALARNAS LÄN</t>
        </is>
      </c>
      <c r="E568" t="inlineStr">
        <is>
          <t>MORA</t>
        </is>
      </c>
      <c r="G568" t="n">
        <v>0.6</v>
      </c>
      <c r="H568" t="n">
        <v>0</v>
      </c>
      <c r="I568" t="n">
        <v>0</v>
      </c>
      <c r="J568" t="n">
        <v>0</v>
      </c>
      <c r="K568" t="n">
        <v>0</v>
      </c>
      <c r="L568" t="n">
        <v>0</v>
      </c>
      <c r="M568" t="n">
        <v>0</v>
      </c>
      <c r="N568" t="n">
        <v>0</v>
      </c>
      <c r="O568" t="n">
        <v>0</v>
      </c>
      <c r="P568" t="n">
        <v>0</v>
      </c>
      <c r="Q568" t="n">
        <v>0</v>
      </c>
      <c r="R568" s="2" t="inlineStr"/>
    </row>
    <row r="569" ht="15" customHeight="1">
      <c r="A569" t="inlineStr">
        <is>
          <t>A 23392-2026</t>
        </is>
      </c>
      <c r="B569" s="1" t="n">
        <v>46162</v>
      </c>
      <c r="C569" s="1" t="n">
        <v>46192</v>
      </c>
      <c r="D569" t="inlineStr">
        <is>
          <t>DALARNAS LÄN</t>
        </is>
      </c>
      <c r="E569" t="inlineStr">
        <is>
          <t>MORA</t>
        </is>
      </c>
      <c r="G569" t="n">
        <v>13</v>
      </c>
      <c r="H569" t="n">
        <v>0</v>
      </c>
      <c r="I569" t="n">
        <v>0</v>
      </c>
      <c r="J569" t="n">
        <v>0</v>
      </c>
      <c r="K569" t="n">
        <v>0</v>
      </c>
      <c r="L569" t="n">
        <v>0</v>
      </c>
      <c r="M569" t="n">
        <v>0</v>
      </c>
      <c r="N569" t="n">
        <v>0</v>
      </c>
      <c r="O569" t="n">
        <v>0</v>
      </c>
      <c r="P569" t="n">
        <v>0</v>
      </c>
      <c r="Q569" t="n">
        <v>0</v>
      </c>
      <c r="R569" s="2" t="inlineStr"/>
    </row>
    <row r="570" ht="15" customHeight="1">
      <c r="A570" t="inlineStr">
        <is>
          <t>A 19549-2026</t>
        </is>
      </c>
      <c r="B570" s="1" t="n">
        <v>46134</v>
      </c>
      <c r="C570" s="1" t="n">
        <v>46192</v>
      </c>
      <c r="D570" t="inlineStr">
        <is>
          <t>DALARNAS LÄN</t>
        </is>
      </c>
      <c r="E570" t="inlineStr">
        <is>
          <t>MORA</t>
        </is>
      </c>
      <c r="G570" t="n">
        <v>14.9</v>
      </c>
      <c r="H570" t="n">
        <v>0</v>
      </c>
      <c r="I570" t="n">
        <v>0</v>
      </c>
      <c r="J570" t="n">
        <v>0</v>
      </c>
      <c r="K570" t="n">
        <v>0</v>
      </c>
      <c r="L570" t="n">
        <v>0</v>
      </c>
      <c r="M570" t="n">
        <v>0</v>
      </c>
      <c r="N570" t="n">
        <v>0</v>
      </c>
      <c r="O570" t="n">
        <v>0</v>
      </c>
      <c r="P570" t="n">
        <v>0</v>
      </c>
      <c r="Q570" t="n">
        <v>0</v>
      </c>
      <c r="R570" s="2" t="inlineStr"/>
    </row>
    <row r="571" ht="15" customHeight="1">
      <c r="A571" t="inlineStr">
        <is>
          <t>A 36846-2025</t>
        </is>
      </c>
      <c r="B571" s="1" t="n">
        <v>45874</v>
      </c>
      <c r="C571" s="1" t="n">
        <v>46192</v>
      </c>
      <c r="D571" t="inlineStr">
        <is>
          <t>DALARNAS LÄN</t>
        </is>
      </c>
      <c r="E571" t="inlineStr">
        <is>
          <t>MORA</t>
        </is>
      </c>
      <c r="G571" t="n">
        <v>10.7</v>
      </c>
      <c r="H571" t="n">
        <v>0</v>
      </c>
      <c r="I571" t="n">
        <v>0</v>
      </c>
      <c r="J571" t="n">
        <v>0</v>
      </c>
      <c r="K571" t="n">
        <v>0</v>
      </c>
      <c r="L571" t="n">
        <v>0</v>
      </c>
      <c r="M571" t="n">
        <v>0</v>
      </c>
      <c r="N571" t="n">
        <v>0</v>
      </c>
      <c r="O571" t="n">
        <v>0</v>
      </c>
      <c r="P571" t="n">
        <v>0</v>
      </c>
      <c r="Q571" t="n">
        <v>0</v>
      </c>
      <c r="R571" s="2" t="inlineStr"/>
    </row>
    <row r="572" ht="15" customHeight="1">
      <c r="A572" t="inlineStr">
        <is>
          <t>A 22854-2023</t>
        </is>
      </c>
      <c r="B572" s="1" t="n">
        <v>45072</v>
      </c>
      <c r="C572" s="1" t="n">
        <v>46192</v>
      </c>
      <c r="D572" t="inlineStr">
        <is>
          <t>DALARNAS LÄN</t>
        </is>
      </c>
      <c r="E572" t="inlineStr">
        <is>
          <t>MORA</t>
        </is>
      </c>
      <c r="G572" t="n">
        <v>3.3</v>
      </c>
      <c r="H572" t="n">
        <v>0</v>
      </c>
      <c r="I572" t="n">
        <v>0</v>
      </c>
      <c r="J572" t="n">
        <v>0</v>
      </c>
      <c r="K572" t="n">
        <v>0</v>
      </c>
      <c r="L572" t="n">
        <v>0</v>
      </c>
      <c r="M572" t="n">
        <v>0</v>
      </c>
      <c r="N572" t="n">
        <v>0</v>
      </c>
      <c r="O572" t="n">
        <v>0</v>
      </c>
      <c r="P572" t="n">
        <v>0</v>
      </c>
      <c r="Q572" t="n">
        <v>0</v>
      </c>
      <c r="R572" s="2" t="inlineStr"/>
    </row>
    <row r="573" ht="15" customHeight="1">
      <c r="A573" t="inlineStr">
        <is>
          <t>A 20089-2026</t>
        </is>
      </c>
      <c r="B573" s="1" t="n">
        <v>46135</v>
      </c>
      <c r="C573" s="1" t="n">
        <v>46192</v>
      </c>
      <c r="D573" t="inlineStr">
        <is>
          <t>DALARNAS LÄN</t>
        </is>
      </c>
      <c r="E573" t="inlineStr">
        <is>
          <t>MORA</t>
        </is>
      </c>
      <c r="G573" t="n">
        <v>2.4</v>
      </c>
      <c r="H573" t="n">
        <v>0</v>
      </c>
      <c r="I573" t="n">
        <v>0</v>
      </c>
      <c r="J573" t="n">
        <v>0</v>
      </c>
      <c r="K573" t="n">
        <v>0</v>
      </c>
      <c r="L573" t="n">
        <v>0</v>
      </c>
      <c r="M573" t="n">
        <v>0</v>
      </c>
      <c r="N573" t="n">
        <v>0</v>
      </c>
      <c r="O573" t="n">
        <v>0</v>
      </c>
      <c r="P573" t="n">
        <v>0</v>
      </c>
      <c r="Q573" t="n">
        <v>0</v>
      </c>
      <c r="R573" s="2" t="inlineStr"/>
    </row>
    <row r="574" ht="15" customHeight="1">
      <c r="A574" t="inlineStr">
        <is>
          <t>A 37268-2025</t>
        </is>
      </c>
      <c r="B574" s="1" t="n">
        <v>45876</v>
      </c>
      <c r="C574" s="1" t="n">
        <v>46192</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51780-2023</t>
        </is>
      </c>
      <c r="B575" s="1" t="n">
        <v>45222</v>
      </c>
      <c r="C575" s="1" t="n">
        <v>46192</v>
      </c>
      <c r="D575" t="inlineStr">
        <is>
          <t>DALARNAS LÄN</t>
        </is>
      </c>
      <c r="E575" t="inlineStr">
        <is>
          <t>MORA</t>
        </is>
      </c>
      <c r="G575" t="n">
        <v>9.9</v>
      </c>
      <c r="H575" t="n">
        <v>0</v>
      </c>
      <c r="I575" t="n">
        <v>0</v>
      </c>
      <c r="J575" t="n">
        <v>0</v>
      </c>
      <c r="K575" t="n">
        <v>0</v>
      </c>
      <c r="L575" t="n">
        <v>0</v>
      </c>
      <c r="M575" t="n">
        <v>0</v>
      </c>
      <c r="N575" t="n">
        <v>0</v>
      </c>
      <c r="O575" t="n">
        <v>0</v>
      </c>
      <c r="P575" t="n">
        <v>0</v>
      </c>
      <c r="Q575" t="n">
        <v>0</v>
      </c>
      <c r="R575" s="2" t="inlineStr"/>
    </row>
    <row r="576" ht="15" customHeight="1">
      <c r="A576" t="inlineStr">
        <is>
          <t>A 15818-2024</t>
        </is>
      </c>
      <c r="B576" s="1" t="n">
        <v>45404</v>
      </c>
      <c r="C576" s="1" t="n">
        <v>46192</v>
      </c>
      <c r="D576" t="inlineStr">
        <is>
          <t>DALARNAS LÄN</t>
        </is>
      </c>
      <c r="E576" t="inlineStr">
        <is>
          <t>MORA</t>
        </is>
      </c>
      <c r="G576" t="n">
        <v>7</v>
      </c>
      <c r="H576" t="n">
        <v>0</v>
      </c>
      <c r="I576" t="n">
        <v>0</v>
      </c>
      <c r="J576" t="n">
        <v>0</v>
      </c>
      <c r="K576" t="n">
        <v>0</v>
      </c>
      <c r="L576" t="n">
        <v>0</v>
      </c>
      <c r="M576" t="n">
        <v>0</v>
      </c>
      <c r="N576" t="n">
        <v>0</v>
      </c>
      <c r="O576" t="n">
        <v>0</v>
      </c>
      <c r="P576" t="n">
        <v>0</v>
      </c>
      <c r="Q576" t="n">
        <v>0</v>
      </c>
      <c r="R576" s="2" t="inlineStr"/>
    </row>
    <row r="577" ht="15" customHeight="1">
      <c r="A577" t="inlineStr">
        <is>
          <t>A 15552-2026</t>
        </is>
      </c>
      <c r="B577" s="1" t="n">
        <v>46106</v>
      </c>
      <c r="C577" s="1" t="n">
        <v>46192</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19462-2026</t>
        </is>
      </c>
      <c r="B578" s="1" t="n">
        <v>46133</v>
      </c>
      <c r="C578" s="1" t="n">
        <v>46192</v>
      </c>
      <c r="D578" t="inlineStr">
        <is>
          <t>DALARNAS LÄN</t>
        </is>
      </c>
      <c r="E578" t="inlineStr">
        <is>
          <t>MORA</t>
        </is>
      </c>
      <c r="G578" t="n">
        <v>1.7</v>
      </c>
      <c r="H578" t="n">
        <v>0</v>
      </c>
      <c r="I578" t="n">
        <v>0</v>
      </c>
      <c r="J578" t="n">
        <v>0</v>
      </c>
      <c r="K578" t="n">
        <v>0</v>
      </c>
      <c r="L578" t="n">
        <v>0</v>
      </c>
      <c r="M578" t="n">
        <v>0</v>
      </c>
      <c r="N578" t="n">
        <v>0</v>
      </c>
      <c r="O578" t="n">
        <v>0</v>
      </c>
      <c r="P578" t="n">
        <v>0</v>
      </c>
      <c r="Q578" t="n">
        <v>0</v>
      </c>
      <c r="R578" s="2" t="inlineStr"/>
    </row>
    <row r="579" ht="15" customHeight="1">
      <c r="A579" t="inlineStr">
        <is>
          <t>A 15294-2026</t>
        </is>
      </c>
      <c r="B579" s="1" t="n">
        <v>46105</v>
      </c>
      <c r="C579" s="1" t="n">
        <v>46192</v>
      </c>
      <c r="D579" t="inlineStr">
        <is>
          <t>DALARNAS LÄN</t>
        </is>
      </c>
      <c r="E579" t="inlineStr">
        <is>
          <t>MORA</t>
        </is>
      </c>
      <c r="F579" t="inlineStr">
        <is>
          <t>Bergvik skog öst AB</t>
        </is>
      </c>
      <c r="G579" t="n">
        <v>0.7</v>
      </c>
      <c r="H579" t="n">
        <v>0</v>
      </c>
      <c r="I579" t="n">
        <v>0</v>
      </c>
      <c r="J579" t="n">
        <v>0</v>
      </c>
      <c r="K579" t="n">
        <v>0</v>
      </c>
      <c r="L579" t="n">
        <v>0</v>
      </c>
      <c r="M579" t="n">
        <v>0</v>
      </c>
      <c r="N579" t="n">
        <v>0</v>
      </c>
      <c r="O579" t="n">
        <v>0</v>
      </c>
      <c r="P579" t="n">
        <v>0</v>
      </c>
      <c r="Q579" t="n">
        <v>0</v>
      </c>
      <c r="R579" s="2" t="inlineStr"/>
    </row>
    <row r="580" ht="15" customHeight="1">
      <c r="A580" t="inlineStr">
        <is>
          <t>A 35040-2023</t>
        </is>
      </c>
      <c r="B580" s="1" t="n">
        <v>45145</v>
      </c>
      <c r="C580" s="1" t="n">
        <v>46192</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25556-2026</t>
        </is>
      </c>
      <c r="B581" s="1" t="n">
        <v>46177</v>
      </c>
      <c r="C581" s="1" t="n">
        <v>46192</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37879-2025</t>
        </is>
      </c>
      <c r="B582" s="1" t="n">
        <v>45881</v>
      </c>
      <c r="C582" s="1" t="n">
        <v>46192</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31842-2025</t>
        </is>
      </c>
      <c r="B583" s="1" t="n">
        <v>45834</v>
      </c>
      <c r="C583" s="1" t="n">
        <v>46192</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53527-2024</t>
        </is>
      </c>
      <c r="B584" s="1" t="n">
        <v>45614</v>
      </c>
      <c r="C584" s="1" t="n">
        <v>46192</v>
      </c>
      <c r="D584" t="inlineStr">
        <is>
          <t>DALARNAS LÄN</t>
        </is>
      </c>
      <c r="E584" t="inlineStr">
        <is>
          <t>MORA</t>
        </is>
      </c>
      <c r="G584" t="n">
        <v>3.3</v>
      </c>
      <c r="H584" t="n">
        <v>0</v>
      </c>
      <c r="I584" t="n">
        <v>0</v>
      </c>
      <c r="J584" t="n">
        <v>0</v>
      </c>
      <c r="K584" t="n">
        <v>0</v>
      </c>
      <c r="L584" t="n">
        <v>0</v>
      </c>
      <c r="M584" t="n">
        <v>0</v>
      </c>
      <c r="N584" t="n">
        <v>0</v>
      </c>
      <c r="O584" t="n">
        <v>0</v>
      </c>
      <c r="P584" t="n">
        <v>0</v>
      </c>
      <c r="Q584" t="n">
        <v>0</v>
      </c>
      <c r="R584" s="2" t="inlineStr"/>
    </row>
    <row r="585" ht="15" customHeight="1">
      <c r="A585" t="inlineStr">
        <is>
          <t>A 16967-2025</t>
        </is>
      </c>
      <c r="B585" s="1" t="n">
        <v>45755</v>
      </c>
      <c r="C585" s="1" t="n">
        <v>46192</v>
      </c>
      <c r="D585" t="inlineStr">
        <is>
          <t>DALARNAS LÄN</t>
        </is>
      </c>
      <c r="E585" t="inlineStr">
        <is>
          <t>MORA</t>
        </is>
      </c>
      <c r="F585" t="inlineStr">
        <is>
          <t>Bergvik skog öst AB</t>
        </is>
      </c>
      <c r="G585" t="n">
        <v>2.9</v>
      </c>
      <c r="H585" t="n">
        <v>0</v>
      </c>
      <c r="I585" t="n">
        <v>0</v>
      </c>
      <c r="J585" t="n">
        <v>0</v>
      </c>
      <c r="K585" t="n">
        <v>0</v>
      </c>
      <c r="L585" t="n">
        <v>0</v>
      </c>
      <c r="M585" t="n">
        <v>0</v>
      </c>
      <c r="N585" t="n">
        <v>0</v>
      </c>
      <c r="O585" t="n">
        <v>0</v>
      </c>
      <c r="P585" t="n">
        <v>0</v>
      </c>
      <c r="Q585" t="n">
        <v>0</v>
      </c>
      <c r="R585" s="2" t="inlineStr"/>
    </row>
    <row r="586" ht="15" customHeight="1">
      <c r="A586" t="inlineStr">
        <is>
          <t>A 61278-2024</t>
        </is>
      </c>
      <c r="B586" s="1" t="n">
        <v>45645</v>
      </c>
      <c r="C586" s="1" t="n">
        <v>46192</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26854-2025</t>
        </is>
      </c>
      <c r="B587" s="1" t="n">
        <v>45810</v>
      </c>
      <c r="C587" s="1" t="n">
        <v>46192</v>
      </c>
      <c r="D587" t="inlineStr">
        <is>
          <t>DALARNAS LÄN</t>
        </is>
      </c>
      <c r="E587" t="inlineStr">
        <is>
          <t>MORA</t>
        </is>
      </c>
      <c r="G587" t="n">
        <v>4.4</v>
      </c>
      <c r="H587" t="n">
        <v>0</v>
      </c>
      <c r="I587" t="n">
        <v>0</v>
      </c>
      <c r="J587" t="n">
        <v>0</v>
      </c>
      <c r="K587" t="n">
        <v>0</v>
      </c>
      <c r="L587" t="n">
        <v>0</v>
      </c>
      <c r="M587" t="n">
        <v>0</v>
      </c>
      <c r="N587" t="n">
        <v>0</v>
      </c>
      <c r="O587" t="n">
        <v>0</v>
      </c>
      <c r="P587" t="n">
        <v>0</v>
      </c>
      <c r="Q587" t="n">
        <v>0</v>
      </c>
      <c r="R587" s="2" t="inlineStr"/>
    </row>
    <row r="588" ht="15" customHeight="1">
      <c r="A588" t="inlineStr">
        <is>
          <t>A 44595-2024</t>
        </is>
      </c>
      <c r="B588" s="1" t="n">
        <v>45574</v>
      </c>
      <c r="C588" s="1" t="n">
        <v>46192</v>
      </c>
      <c r="D588" t="inlineStr">
        <is>
          <t>DALARNAS LÄN</t>
        </is>
      </c>
      <c r="E588" t="inlineStr">
        <is>
          <t>MORA</t>
        </is>
      </c>
      <c r="G588" t="n">
        <v>0.8</v>
      </c>
      <c r="H588" t="n">
        <v>0</v>
      </c>
      <c r="I588" t="n">
        <v>0</v>
      </c>
      <c r="J588" t="n">
        <v>0</v>
      </c>
      <c r="K588" t="n">
        <v>0</v>
      </c>
      <c r="L588" t="n">
        <v>0</v>
      </c>
      <c r="M588" t="n">
        <v>0</v>
      </c>
      <c r="N588" t="n">
        <v>0</v>
      </c>
      <c r="O588" t="n">
        <v>0</v>
      </c>
      <c r="P588" t="n">
        <v>0</v>
      </c>
      <c r="Q588" t="n">
        <v>0</v>
      </c>
      <c r="R588" s="2" t="inlineStr"/>
    </row>
    <row r="589" ht="15" customHeight="1">
      <c r="A589" t="inlineStr">
        <is>
          <t>A 61293-2022</t>
        </is>
      </c>
      <c r="B589" s="1" t="n">
        <v>44915</v>
      </c>
      <c r="C589" s="1" t="n">
        <v>46192</v>
      </c>
      <c r="D589" t="inlineStr">
        <is>
          <t>DALARNAS LÄN</t>
        </is>
      </c>
      <c r="E589" t="inlineStr">
        <is>
          <t>MORA</t>
        </is>
      </c>
      <c r="G589" t="n">
        <v>0.3</v>
      </c>
      <c r="H589" t="n">
        <v>0</v>
      </c>
      <c r="I589" t="n">
        <v>0</v>
      </c>
      <c r="J589" t="n">
        <v>0</v>
      </c>
      <c r="K589" t="n">
        <v>0</v>
      </c>
      <c r="L589" t="n">
        <v>0</v>
      </c>
      <c r="M589" t="n">
        <v>0</v>
      </c>
      <c r="N589" t="n">
        <v>0</v>
      </c>
      <c r="O589" t="n">
        <v>0</v>
      </c>
      <c r="P589" t="n">
        <v>0</v>
      </c>
      <c r="Q589" t="n">
        <v>0</v>
      </c>
      <c r="R589" s="2" t="inlineStr"/>
    </row>
    <row r="590" ht="15" customHeight="1">
      <c r="A590" t="inlineStr">
        <is>
          <t>A 57855-2025</t>
        </is>
      </c>
      <c r="B590" s="1" t="n">
        <v>45981</v>
      </c>
      <c r="C590" s="1" t="n">
        <v>46192</v>
      </c>
      <c r="D590" t="inlineStr">
        <is>
          <t>DALARNAS LÄN</t>
        </is>
      </c>
      <c r="E590" t="inlineStr">
        <is>
          <t>MORA</t>
        </is>
      </c>
      <c r="G590" t="n">
        <v>9.9</v>
      </c>
      <c r="H590" t="n">
        <v>0</v>
      </c>
      <c r="I590" t="n">
        <v>0</v>
      </c>
      <c r="J590" t="n">
        <v>0</v>
      </c>
      <c r="K590" t="n">
        <v>0</v>
      </c>
      <c r="L590" t="n">
        <v>0</v>
      </c>
      <c r="M590" t="n">
        <v>0</v>
      </c>
      <c r="N590" t="n">
        <v>0</v>
      </c>
      <c r="O590" t="n">
        <v>0</v>
      </c>
      <c r="P590" t="n">
        <v>0</v>
      </c>
      <c r="Q590" t="n">
        <v>0</v>
      </c>
      <c r="R590" s="2" t="inlineStr"/>
    </row>
    <row r="591" ht="15" customHeight="1">
      <c r="A591" t="inlineStr">
        <is>
          <t>A 7849-2026</t>
        </is>
      </c>
      <c r="B591" s="1" t="n">
        <v>46062</v>
      </c>
      <c r="C591" s="1" t="n">
        <v>46192</v>
      </c>
      <c r="D591" t="inlineStr">
        <is>
          <t>DALARNAS LÄN</t>
        </is>
      </c>
      <c r="E591" t="inlineStr">
        <is>
          <t>MORA</t>
        </is>
      </c>
      <c r="G591" t="n">
        <v>1.7</v>
      </c>
      <c r="H591" t="n">
        <v>0</v>
      </c>
      <c r="I591" t="n">
        <v>0</v>
      </c>
      <c r="J591" t="n">
        <v>0</v>
      </c>
      <c r="K591" t="n">
        <v>0</v>
      </c>
      <c r="L591" t="n">
        <v>0</v>
      </c>
      <c r="M591" t="n">
        <v>0</v>
      </c>
      <c r="N591" t="n">
        <v>0</v>
      </c>
      <c r="O591" t="n">
        <v>0</v>
      </c>
      <c r="P591" t="n">
        <v>0</v>
      </c>
      <c r="Q591" t="n">
        <v>0</v>
      </c>
      <c r="R591" s="2" t="inlineStr"/>
    </row>
    <row r="592" ht="15" customHeight="1">
      <c r="A592" t="inlineStr">
        <is>
          <t>A 57091-2021</t>
        </is>
      </c>
      <c r="B592" s="1" t="n">
        <v>44482</v>
      </c>
      <c r="C592" s="1" t="n">
        <v>46192</v>
      </c>
      <c r="D592" t="inlineStr">
        <is>
          <t>DALARNAS LÄN</t>
        </is>
      </c>
      <c r="E592" t="inlineStr">
        <is>
          <t>MORA</t>
        </is>
      </c>
      <c r="G592" t="n">
        <v>1</v>
      </c>
      <c r="H592" t="n">
        <v>0</v>
      </c>
      <c r="I592" t="n">
        <v>0</v>
      </c>
      <c r="J592" t="n">
        <v>0</v>
      </c>
      <c r="K592" t="n">
        <v>0</v>
      </c>
      <c r="L592" t="n">
        <v>0</v>
      </c>
      <c r="M592" t="n">
        <v>0</v>
      </c>
      <c r="N592" t="n">
        <v>0</v>
      </c>
      <c r="O592" t="n">
        <v>0</v>
      </c>
      <c r="P592" t="n">
        <v>0</v>
      </c>
      <c r="Q592" t="n">
        <v>0</v>
      </c>
      <c r="R592" s="2" t="inlineStr"/>
    </row>
    <row r="593" ht="15" customHeight="1">
      <c r="A593" t="inlineStr">
        <is>
          <t>A 50685-2023</t>
        </is>
      </c>
      <c r="B593" s="1" t="n">
        <v>45210</v>
      </c>
      <c r="C593" s="1" t="n">
        <v>46192</v>
      </c>
      <c r="D593" t="inlineStr">
        <is>
          <t>DALARNAS LÄN</t>
        </is>
      </c>
      <c r="E593" t="inlineStr">
        <is>
          <t>MORA</t>
        </is>
      </c>
      <c r="G593" t="n">
        <v>1.7</v>
      </c>
      <c r="H593" t="n">
        <v>0</v>
      </c>
      <c r="I593" t="n">
        <v>0</v>
      </c>
      <c r="J593" t="n">
        <v>0</v>
      </c>
      <c r="K593" t="n">
        <v>0</v>
      </c>
      <c r="L593" t="n">
        <v>0</v>
      </c>
      <c r="M593" t="n">
        <v>0</v>
      </c>
      <c r="N593" t="n">
        <v>0</v>
      </c>
      <c r="O593" t="n">
        <v>0</v>
      </c>
      <c r="P593" t="n">
        <v>0</v>
      </c>
      <c r="Q593" t="n">
        <v>0</v>
      </c>
      <c r="R593" s="2" t="inlineStr"/>
    </row>
    <row r="594" ht="15" customHeight="1">
      <c r="A594" t="inlineStr">
        <is>
          <t>A 36740-2023</t>
        </is>
      </c>
      <c r="B594" s="1" t="n">
        <v>45153</v>
      </c>
      <c r="C594" s="1" t="n">
        <v>46192</v>
      </c>
      <c r="D594" t="inlineStr">
        <is>
          <t>DALARNAS LÄN</t>
        </is>
      </c>
      <c r="E594" t="inlineStr">
        <is>
          <t>MORA</t>
        </is>
      </c>
      <c r="G594" t="n">
        <v>0.2</v>
      </c>
      <c r="H594" t="n">
        <v>0</v>
      </c>
      <c r="I594" t="n">
        <v>0</v>
      </c>
      <c r="J594" t="n">
        <v>0</v>
      </c>
      <c r="K594" t="n">
        <v>0</v>
      </c>
      <c r="L594" t="n">
        <v>0</v>
      </c>
      <c r="M594" t="n">
        <v>0</v>
      </c>
      <c r="N594" t="n">
        <v>0</v>
      </c>
      <c r="O594" t="n">
        <v>0</v>
      </c>
      <c r="P594" t="n">
        <v>0</v>
      </c>
      <c r="Q594" t="n">
        <v>0</v>
      </c>
      <c r="R594" s="2" t="inlineStr"/>
    </row>
    <row r="595" ht="15" customHeight="1">
      <c r="A595" t="inlineStr">
        <is>
          <t>A 56767-2024</t>
        </is>
      </c>
      <c r="B595" s="1" t="n">
        <v>45628</v>
      </c>
      <c r="C595" s="1" t="n">
        <v>46192</v>
      </c>
      <c r="D595" t="inlineStr">
        <is>
          <t>DALARNAS LÄN</t>
        </is>
      </c>
      <c r="E595" t="inlineStr">
        <is>
          <t>MORA</t>
        </is>
      </c>
      <c r="G595" t="n">
        <v>5</v>
      </c>
      <c r="H595" t="n">
        <v>0</v>
      </c>
      <c r="I595" t="n">
        <v>0</v>
      </c>
      <c r="J595" t="n">
        <v>0</v>
      </c>
      <c r="K595" t="n">
        <v>0</v>
      </c>
      <c r="L595" t="n">
        <v>0</v>
      </c>
      <c r="M595" t="n">
        <v>0</v>
      </c>
      <c r="N595" t="n">
        <v>0</v>
      </c>
      <c r="O595" t="n">
        <v>0</v>
      </c>
      <c r="P595" t="n">
        <v>0</v>
      </c>
      <c r="Q595" t="n">
        <v>0</v>
      </c>
      <c r="R595" s="2" t="inlineStr"/>
    </row>
    <row r="596" ht="15" customHeight="1">
      <c r="A596" t="inlineStr">
        <is>
          <t>A 28925-2025</t>
        </is>
      </c>
      <c r="B596" s="1" t="n">
        <v>45820</v>
      </c>
      <c r="C596" s="1" t="n">
        <v>46192</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31177-2021</t>
        </is>
      </c>
      <c r="B597" s="1" t="n">
        <v>44368</v>
      </c>
      <c r="C597" s="1" t="n">
        <v>46192</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65186-2021</t>
        </is>
      </c>
      <c r="B598" s="1" t="n">
        <v>44515</v>
      </c>
      <c r="C598" s="1" t="n">
        <v>46192</v>
      </c>
      <c r="D598" t="inlineStr">
        <is>
          <t>DALARNAS LÄN</t>
        </is>
      </c>
      <c r="E598" t="inlineStr">
        <is>
          <t>MORA</t>
        </is>
      </c>
      <c r="G598" t="n">
        <v>1.4</v>
      </c>
      <c r="H598" t="n">
        <v>0</v>
      </c>
      <c r="I598" t="n">
        <v>0</v>
      </c>
      <c r="J598" t="n">
        <v>0</v>
      </c>
      <c r="K598" t="n">
        <v>0</v>
      </c>
      <c r="L598" t="n">
        <v>0</v>
      </c>
      <c r="M598" t="n">
        <v>0</v>
      </c>
      <c r="N598" t="n">
        <v>0</v>
      </c>
      <c r="O598" t="n">
        <v>0</v>
      </c>
      <c r="P598" t="n">
        <v>0</v>
      </c>
      <c r="Q598" t="n">
        <v>0</v>
      </c>
      <c r="R598" s="2" t="inlineStr"/>
    </row>
    <row r="599" ht="15" customHeight="1">
      <c r="A599" t="inlineStr">
        <is>
          <t>A 20270-2026</t>
        </is>
      </c>
      <c r="B599" s="1" t="n">
        <v>46139</v>
      </c>
      <c r="C599" s="1" t="n">
        <v>46192</v>
      </c>
      <c r="D599" t="inlineStr">
        <is>
          <t>DALARNAS LÄN</t>
        </is>
      </c>
      <c r="E599" t="inlineStr">
        <is>
          <t>MORA</t>
        </is>
      </c>
      <c r="G599" t="n">
        <v>3.3</v>
      </c>
      <c r="H599" t="n">
        <v>0</v>
      </c>
      <c r="I599" t="n">
        <v>0</v>
      </c>
      <c r="J599" t="n">
        <v>0</v>
      </c>
      <c r="K599" t="n">
        <v>0</v>
      </c>
      <c r="L599" t="n">
        <v>0</v>
      </c>
      <c r="M599" t="n">
        <v>0</v>
      </c>
      <c r="N599" t="n">
        <v>0</v>
      </c>
      <c r="O599" t="n">
        <v>0</v>
      </c>
      <c r="P599" t="n">
        <v>0</v>
      </c>
      <c r="Q599" t="n">
        <v>0</v>
      </c>
      <c r="R599" s="2" t="inlineStr"/>
    </row>
    <row r="600" ht="15" customHeight="1">
      <c r="A600" t="inlineStr">
        <is>
          <t>A 58473-2025</t>
        </is>
      </c>
      <c r="B600" s="1" t="n">
        <v>45985</v>
      </c>
      <c r="C600" s="1" t="n">
        <v>46192</v>
      </c>
      <c r="D600" t="inlineStr">
        <is>
          <t>DALARNAS LÄN</t>
        </is>
      </c>
      <c r="E600" t="inlineStr">
        <is>
          <t>MORA</t>
        </is>
      </c>
      <c r="G600" t="n">
        <v>2.3</v>
      </c>
      <c r="H600" t="n">
        <v>0</v>
      </c>
      <c r="I600" t="n">
        <v>0</v>
      </c>
      <c r="J600" t="n">
        <v>0</v>
      </c>
      <c r="K600" t="n">
        <v>0</v>
      </c>
      <c r="L600" t="n">
        <v>0</v>
      </c>
      <c r="M600" t="n">
        <v>0</v>
      </c>
      <c r="N600" t="n">
        <v>0</v>
      </c>
      <c r="O600" t="n">
        <v>0</v>
      </c>
      <c r="P600" t="n">
        <v>0</v>
      </c>
      <c r="Q600" t="n">
        <v>0</v>
      </c>
      <c r="R600" s="2" t="inlineStr"/>
    </row>
    <row r="601" ht="15" customHeight="1">
      <c r="A601" t="inlineStr">
        <is>
          <t>A 56268-2024</t>
        </is>
      </c>
      <c r="B601" s="1" t="n">
        <v>45624</v>
      </c>
      <c r="C601" s="1" t="n">
        <v>46192</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58171-2024</t>
        </is>
      </c>
      <c r="B602" s="1" t="n">
        <v>45632</v>
      </c>
      <c r="C602" s="1" t="n">
        <v>46192</v>
      </c>
      <c r="D602" t="inlineStr">
        <is>
          <t>DALARNAS LÄN</t>
        </is>
      </c>
      <c r="E602" t="inlineStr">
        <is>
          <t>MORA</t>
        </is>
      </c>
      <c r="G602" t="n">
        <v>0.5</v>
      </c>
      <c r="H602" t="n">
        <v>0</v>
      </c>
      <c r="I602" t="n">
        <v>0</v>
      </c>
      <c r="J602" t="n">
        <v>0</v>
      </c>
      <c r="K602" t="n">
        <v>0</v>
      </c>
      <c r="L602" t="n">
        <v>0</v>
      </c>
      <c r="M602" t="n">
        <v>0</v>
      </c>
      <c r="N602" t="n">
        <v>0</v>
      </c>
      <c r="O602" t="n">
        <v>0</v>
      </c>
      <c r="P602" t="n">
        <v>0</v>
      </c>
      <c r="Q602" t="n">
        <v>0</v>
      </c>
      <c r="R602" s="2" t="inlineStr"/>
    </row>
    <row r="603" ht="15" customHeight="1">
      <c r="A603" t="inlineStr">
        <is>
          <t>A 66158-2021</t>
        </is>
      </c>
      <c r="B603" s="1" t="n">
        <v>44517</v>
      </c>
      <c r="C603" s="1" t="n">
        <v>46192</v>
      </c>
      <c r="D603" t="inlineStr">
        <is>
          <t>DALARNAS LÄN</t>
        </is>
      </c>
      <c r="E603" t="inlineStr">
        <is>
          <t>MORA</t>
        </is>
      </c>
      <c r="G603" t="n">
        <v>3.3</v>
      </c>
      <c r="H603" t="n">
        <v>0</v>
      </c>
      <c r="I603" t="n">
        <v>0</v>
      </c>
      <c r="J603" t="n">
        <v>0</v>
      </c>
      <c r="K603" t="n">
        <v>0</v>
      </c>
      <c r="L603" t="n">
        <v>0</v>
      </c>
      <c r="M603" t="n">
        <v>0</v>
      </c>
      <c r="N603" t="n">
        <v>0</v>
      </c>
      <c r="O603" t="n">
        <v>0</v>
      </c>
      <c r="P603" t="n">
        <v>0</v>
      </c>
      <c r="Q603" t="n">
        <v>0</v>
      </c>
      <c r="R603" s="2" t="inlineStr"/>
    </row>
    <row r="604" ht="15" customHeight="1">
      <c r="A604" t="inlineStr">
        <is>
          <t>A 37971-2024</t>
        </is>
      </c>
      <c r="B604" s="1" t="n">
        <v>45544</v>
      </c>
      <c r="C604" s="1" t="n">
        <v>46192</v>
      </c>
      <c r="D604" t="inlineStr">
        <is>
          <t>DALARNAS LÄN</t>
        </is>
      </c>
      <c r="E604" t="inlineStr">
        <is>
          <t>MORA</t>
        </is>
      </c>
      <c r="G604" t="n">
        <v>2.3</v>
      </c>
      <c r="H604" t="n">
        <v>0</v>
      </c>
      <c r="I604" t="n">
        <v>0</v>
      </c>
      <c r="J604" t="n">
        <v>0</v>
      </c>
      <c r="K604" t="n">
        <v>0</v>
      </c>
      <c r="L604" t="n">
        <v>0</v>
      </c>
      <c r="M604" t="n">
        <v>0</v>
      </c>
      <c r="N604" t="n">
        <v>0</v>
      </c>
      <c r="O604" t="n">
        <v>0</v>
      </c>
      <c r="P604" t="n">
        <v>0</v>
      </c>
      <c r="Q604" t="n">
        <v>0</v>
      </c>
      <c r="R604" s="2" t="inlineStr"/>
    </row>
    <row r="605" ht="15" customHeight="1">
      <c r="A605" t="inlineStr">
        <is>
          <t>A 17167-2025</t>
        </is>
      </c>
      <c r="B605" s="1" t="n">
        <v>45756</v>
      </c>
      <c r="C605" s="1" t="n">
        <v>46192</v>
      </c>
      <c r="D605" t="inlineStr">
        <is>
          <t>DALARNAS LÄN</t>
        </is>
      </c>
      <c r="E605" t="inlineStr">
        <is>
          <t>MORA</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20504-2023</t>
        </is>
      </c>
      <c r="B606" s="1" t="n">
        <v>45057</v>
      </c>
      <c r="C606" s="1" t="n">
        <v>46192</v>
      </c>
      <c r="D606" t="inlineStr">
        <is>
          <t>DALARNAS LÄN</t>
        </is>
      </c>
      <c r="E606" t="inlineStr">
        <is>
          <t>MORA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45462-2022</t>
        </is>
      </c>
      <c r="B607" s="1" t="n">
        <v>44845</v>
      </c>
      <c r="C607" s="1" t="n">
        <v>46192</v>
      </c>
      <c r="D607" t="inlineStr">
        <is>
          <t>DALARNAS LÄN</t>
        </is>
      </c>
      <c r="E607" t="inlineStr">
        <is>
          <t>MORA</t>
        </is>
      </c>
      <c r="G607" t="n">
        <v>6.9</v>
      </c>
      <c r="H607" t="n">
        <v>0</v>
      </c>
      <c r="I607" t="n">
        <v>0</v>
      </c>
      <c r="J607" t="n">
        <v>0</v>
      </c>
      <c r="K607" t="n">
        <v>0</v>
      </c>
      <c r="L607" t="n">
        <v>0</v>
      </c>
      <c r="M607" t="n">
        <v>0</v>
      </c>
      <c r="N607" t="n">
        <v>0</v>
      </c>
      <c r="O607" t="n">
        <v>0</v>
      </c>
      <c r="P607" t="n">
        <v>0</v>
      </c>
      <c r="Q607" t="n">
        <v>0</v>
      </c>
      <c r="R607" s="2" t="inlineStr"/>
    </row>
    <row r="608" ht="15" customHeight="1">
      <c r="A608" t="inlineStr">
        <is>
          <t>A 36184-2021</t>
        </is>
      </c>
      <c r="B608" s="1" t="n">
        <v>44389</v>
      </c>
      <c r="C608" s="1" t="n">
        <v>46192</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17529-2023</t>
        </is>
      </c>
      <c r="B609" s="1" t="n">
        <v>45036</v>
      </c>
      <c r="C609" s="1" t="n">
        <v>46192</v>
      </c>
      <c r="D609" t="inlineStr">
        <is>
          <t>DALARNAS LÄN</t>
        </is>
      </c>
      <c r="E609" t="inlineStr">
        <is>
          <t>MORA</t>
        </is>
      </c>
      <c r="G609" t="n">
        <v>6</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46192</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15127-2022</t>
        </is>
      </c>
      <c r="B611" s="1" t="n">
        <v>44658</v>
      </c>
      <c r="C611" s="1" t="n">
        <v>46192</v>
      </c>
      <c r="D611" t="inlineStr">
        <is>
          <t>DALARNAS LÄN</t>
        </is>
      </c>
      <c r="E611" t="inlineStr">
        <is>
          <t>MORA</t>
        </is>
      </c>
      <c r="G611" t="n">
        <v>4.9</v>
      </c>
      <c r="H611" t="n">
        <v>0</v>
      </c>
      <c r="I611" t="n">
        <v>0</v>
      </c>
      <c r="J611" t="n">
        <v>0</v>
      </c>
      <c r="K611" t="n">
        <v>0</v>
      </c>
      <c r="L611" t="n">
        <v>0</v>
      </c>
      <c r="M611" t="n">
        <v>0</v>
      </c>
      <c r="N611" t="n">
        <v>0</v>
      </c>
      <c r="O611" t="n">
        <v>0</v>
      </c>
      <c r="P611" t="n">
        <v>0</v>
      </c>
      <c r="Q611" t="n">
        <v>0</v>
      </c>
      <c r="R611" s="2" t="inlineStr"/>
    </row>
    <row r="612" ht="15" customHeight="1">
      <c r="A612" t="inlineStr">
        <is>
          <t>A 2865-2022</t>
        </is>
      </c>
      <c r="B612" s="1" t="n">
        <v>44581</v>
      </c>
      <c r="C612" s="1" t="n">
        <v>46192</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56834-2024</t>
        </is>
      </c>
      <c r="B613" s="1" t="n">
        <v>45628</v>
      </c>
      <c r="C613" s="1" t="n">
        <v>46192</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60718-2023</t>
        </is>
      </c>
      <c r="B614" s="1" t="n">
        <v>45260</v>
      </c>
      <c r="C614" s="1" t="n">
        <v>46192</v>
      </c>
      <c r="D614" t="inlineStr">
        <is>
          <t>DALARNAS LÄN</t>
        </is>
      </c>
      <c r="E614" t="inlineStr">
        <is>
          <t>MORA</t>
        </is>
      </c>
      <c r="G614" t="n">
        <v>2.6</v>
      </c>
      <c r="H614" t="n">
        <v>0</v>
      </c>
      <c r="I614" t="n">
        <v>0</v>
      </c>
      <c r="J614" t="n">
        <v>0</v>
      </c>
      <c r="K614" t="n">
        <v>0</v>
      </c>
      <c r="L614" t="n">
        <v>0</v>
      </c>
      <c r="M614" t="n">
        <v>0</v>
      </c>
      <c r="N614" t="n">
        <v>0</v>
      </c>
      <c r="O614" t="n">
        <v>0</v>
      </c>
      <c r="P614" t="n">
        <v>0</v>
      </c>
      <c r="Q614" t="n">
        <v>0</v>
      </c>
      <c r="R614" s="2" t="inlineStr"/>
    </row>
    <row r="615" ht="15" customHeight="1">
      <c r="A615" t="inlineStr">
        <is>
          <t>A 47036-2023</t>
        </is>
      </c>
      <c r="B615" s="1" t="n">
        <v>45196</v>
      </c>
      <c r="C615" s="1" t="n">
        <v>46192</v>
      </c>
      <c r="D615" t="inlineStr">
        <is>
          <t>DALARNAS LÄN</t>
        </is>
      </c>
      <c r="E615" t="inlineStr">
        <is>
          <t>MORA</t>
        </is>
      </c>
      <c r="G615" t="n">
        <v>2.7</v>
      </c>
      <c r="H615" t="n">
        <v>0</v>
      </c>
      <c r="I615" t="n">
        <v>0</v>
      </c>
      <c r="J615" t="n">
        <v>0</v>
      </c>
      <c r="K615" t="n">
        <v>0</v>
      </c>
      <c r="L615" t="n">
        <v>0</v>
      </c>
      <c r="M615" t="n">
        <v>0</v>
      </c>
      <c r="N615" t="n">
        <v>0</v>
      </c>
      <c r="O615" t="n">
        <v>0</v>
      </c>
      <c r="P615" t="n">
        <v>0</v>
      </c>
      <c r="Q615" t="n">
        <v>0</v>
      </c>
      <c r="R615" s="2" t="inlineStr"/>
    </row>
    <row r="616" ht="15" customHeight="1">
      <c r="A616" t="inlineStr">
        <is>
          <t>A 20544-2025</t>
        </is>
      </c>
      <c r="B616" s="1" t="n">
        <v>45775</v>
      </c>
      <c r="C616" s="1" t="n">
        <v>46192</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4906-2026</t>
        </is>
      </c>
      <c r="B617" s="1" t="n">
        <v>46048</v>
      </c>
      <c r="C617" s="1" t="n">
        <v>46192</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17237-2026</t>
        </is>
      </c>
      <c r="B618" s="1" t="n">
        <v>46119</v>
      </c>
      <c r="C618" s="1" t="n">
        <v>46192</v>
      </c>
      <c r="D618" t="inlineStr">
        <is>
          <t>DALARNAS LÄN</t>
        </is>
      </c>
      <c r="E618" t="inlineStr">
        <is>
          <t>MORA</t>
        </is>
      </c>
      <c r="F618" t="inlineStr">
        <is>
          <t>Bergvik skog öst AB</t>
        </is>
      </c>
      <c r="G618" t="n">
        <v>10</v>
      </c>
      <c r="H618" t="n">
        <v>0</v>
      </c>
      <c r="I618" t="n">
        <v>0</v>
      </c>
      <c r="J618" t="n">
        <v>0</v>
      </c>
      <c r="K618" t="n">
        <v>0</v>
      </c>
      <c r="L618" t="n">
        <v>0</v>
      </c>
      <c r="M618" t="n">
        <v>0</v>
      </c>
      <c r="N618" t="n">
        <v>0</v>
      </c>
      <c r="O618" t="n">
        <v>0</v>
      </c>
      <c r="P618" t="n">
        <v>0</v>
      </c>
      <c r="Q618" t="n">
        <v>0</v>
      </c>
      <c r="R618" s="2" t="inlineStr"/>
    </row>
    <row r="619" ht="15" customHeight="1">
      <c r="A619" t="inlineStr">
        <is>
          <t>A 27177-2025</t>
        </is>
      </c>
      <c r="B619" s="1" t="n">
        <v>45812</v>
      </c>
      <c r="C619" s="1" t="n">
        <v>46192</v>
      </c>
      <c r="D619" t="inlineStr">
        <is>
          <t>DALARNAS LÄN</t>
        </is>
      </c>
      <c r="E619" t="inlineStr">
        <is>
          <t>MORA</t>
        </is>
      </c>
      <c r="F619" t="inlineStr">
        <is>
          <t>Bergvik skog öst AB</t>
        </is>
      </c>
      <c r="G619" t="n">
        <v>2.5</v>
      </c>
      <c r="H619" t="n">
        <v>0</v>
      </c>
      <c r="I619" t="n">
        <v>0</v>
      </c>
      <c r="J619" t="n">
        <v>0</v>
      </c>
      <c r="K619" t="n">
        <v>0</v>
      </c>
      <c r="L619" t="n">
        <v>0</v>
      </c>
      <c r="M619" t="n">
        <v>0</v>
      </c>
      <c r="N619" t="n">
        <v>0</v>
      </c>
      <c r="O619" t="n">
        <v>0</v>
      </c>
      <c r="P619" t="n">
        <v>0</v>
      </c>
      <c r="Q619" t="n">
        <v>0</v>
      </c>
      <c r="R619" s="2" t="inlineStr"/>
    </row>
    <row r="620" ht="15" customHeight="1">
      <c r="A620" t="inlineStr">
        <is>
          <t>A 58892-2023</t>
        </is>
      </c>
      <c r="B620" s="1" t="n">
        <v>45252</v>
      </c>
      <c r="C620" s="1" t="n">
        <v>46192</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20401-2022</t>
        </is>
      </c>
      <c r="B621" s="1" t="n">
        <v>44699</v>
      </c>
      <c r="C621" s="1" t="n">
        <v>46192</v>
      </c>
      <c r="D621" t="inlineStr">
        <is>
          <t>DALARNAS LÄN</t>
        </is>
      </c>
      <c r="E621" t="inlineStr">
        <is>
          <t>MORA</t>
        </is>
      </c>
      <c r="G621" t="n">
        <v>3.2</v>
      </c>
      <c r="H621" t="n">
        <v>0</v>
      </c>
      <c r="I621" t="n">
        <v>0</v>
      </c>
      <c r="J621" t="n">
        <v>0</v>
      </c>
      <c r="K621" t="n">
        <v>0</v>
      </c>
      <c r="L621" t="n">
        <v>0</v>
      </c>
      <c r="M621" t="n">
        <v>0</v>
      </c>
      <c r="N621" t="n">
        <v>0</v>
      </c>
      <c r="O621" t="n">
        <v>0</v>
      </c>
      <c r="P621" t="n">
        <v>0</v>
      </c>
      <c r="Q621" t="n">
        <v>0</v>
      </c>
      <c r="R621" s="2" t="inlineStr"/>
    </row>
    <row r="622" ht="15" customHeight="1">
      <c r="A622" t="inlineStr">
        <is>
          <t>A 42085-2024</t>
        </is>
      </c>
      <c r="B622" s="1" t="n">
        <v>45562</v>
      </c>
      <c r="C622" s="1" t="n">
        <v>46192</v>
      </c>
      <c r="D622" t="inlineStr">
        <is>
          <t>DALARNAS LÄN</t>
        </is>
      </c>
      <c r="E622" t="inlineStr">
        <is>
          <t>MORA</t>
        </is>
      </c>
      <c r="G622" t="n">
        <v>4.9</v>
      </c>
      <c r="H622" t="n">
        <v>0</v>
      </c>
      <c r="I622" t="n">
        <v>0</v>
      </c>
      <c r="J622" t="n">
        <v>0</v>
      </c>
      <c r="K622" t="n">
        <v>0</v>
      </c>
      <c r="L622" t="n">
        <v>0</v>
      </c>
      <c r="M622" t="n">
        <v>0</v>
      </c>
      <c r="N622" t="n">
        <v>0</v>
      </c>
      <c r="O622" t="n">
        <v>0</v>
      </c>
      <c r="P622" t="n">
        <v>0</v>
      </c>
      <c r="Q622" t="n">
        <v>0</v>
      </c>
      <c r="R622" s="2" t="inlineStr"/>
    </row>
    <row r="623" ht="15" customHeight="1">
      <c r="A623" t="inlineStr">
        <is>
          <t>A 20649-2026</t>
        </is>
      </c>
      <c r="B623" s="1" t="n">
        <v>46141</v>
      </c>
      <c r="C623" s="1" t="n">
        <v>46192</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20655-2026</t>
        </is>
      </c>
      <c r="B624" s="1" t="n">
        <v>46141</v>
      </c>
      <c r="C624" s="1" t="n">
        <v>46192</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26425-2026</t>
        </is>
      </c>
      <c r="B625" s="1" t="n">
        <v>46183</v>
      </c>
      <c r="C625" s="1" t="n">
        <v>46192</v>
      </c>
      <c r="D625" t="inlineStr">
        <is>
          <t>DALARNAS LÄN</t>
        </is>
      </c>
      <c r="E625" t="inlineStr">
        <is>
          <t>MORA</t>
        </is>
      </c>
      <c r="F625" t="inlineStr">
        <is>
          <t>Bergvik skog väst AB</t>
        </is>
      </c>
      <c r="G625" t="n">
        <v>2.5</v>
      </c>
      <c r="H625" t="n">
        <v>0</v>
      </c>
      <c r="I625" t="n">
        <v>0</v>
      </c>
      <c r="J625" t="n">
        <v>0</v>
      </c>
      <c r="K625" t="n">
        <v>0</v>
      </c>
      <c r="L625" t="n">
        <v>0</v>
      </c>
      <c r="M625" t="n">
        <v>0</v>
      </c>
      <c r="N625" t="n">
        <v>0</v>
      </c>
      <c r="O625" t="n">
        <v>0</v>
      </c>
      <c r="P625" t="n">
        <v>0</v>
      </c>
      <c r="Q625" t="n">
        <v>0</v>
      </c>
      <c r="R625" s="2" t="inlineStr"/>
    </row>
    <row r="626" ht="15" customHeight="1">
      <c r="A626" t="inlineStr">
        <is>
          <t>A 12987-2024</t>
        </is>
      </c>
      <c r="B626" s="1" t="n">
        <v>45385</v>
      </c>
      <c r="C626" s="1" t="n">
        <v>46192</v>
      </c>
      <c r="D626" t="inlineStr">
        <is>
          <t>DALARNAS LÄN</t>
        </is>
      </c>
      <c r="E626" t="inlineStr">
        <is>
          <t>MORA</t>
        </is>
      </c>
      <c r="G626" t="n">
        <v>1.3</v>
      </c>
      <c r="H626" t="n">
        <v>0</v>
      </c>
      <c r="I626" t="n">
        <v>0</v>
      </c>
      <c r="J626" t="n">
        <v>0</v>
      </c>
      <c r="K626" t="n">
        <v>0</v>
      </c>
      <c r="L626" t="n">
        <v>0</v>
      </c>
      <c r="M626" t="n">
        <v>0</v>
      </c>
      <c r="N626" t="n">
        <v>0</v>
      </c>
      <c r="O626" t="n">
        <v>0</v>
      </c>
      <c r="P626" t="n">
        <v>0</v>
      </c>
      <c r="Q626" t="n">
        <v>0</v>
      </c>
      <c r="R626" s="2" t="inlineStr"/>
    </row>
    <row r="627" ht="15" customHeight="1">
      <c r="A627" t="inlineStr">
        <is>
          <t>A 20491-2026</t>
        </is>
      </c>
      <c r="B627" s="1" t="n">
        <v>46140</v>
      </c>
      <c r="C627" s="1" t="n">
        <v>46192</v>
      </c>
      <c r="D627" t="inlineStr">
        <is>
          <t>DALARNAS LÄN</t>
        </is>
      </c>
      <c r="E627" t="inlineStr">
        <is>
          <t>MORA</t>
        </is>
      </c>
      <c r="G627" t="n">
        <v>1.4</v>
      </c>
      <c r="H627" t="n">
        <v>0</v>
      </c>
      <c r="I627" t="n">
        <v>0</v>
      </c>
      <c r="J627" t="n">
        <v>0</v>
      </c>
      <c r="K627" t="n">
        <v>0</v>
      </c>
      <c r="L627" t="n">
        <v>0</v>
      </c>
      <c r="M627" t="n">
        <v>0</v>
      </c>
      <c r="N627" t="n">
        <v>0</v>
      </c>
      <c r="O627" t="n">
        <v>0</v>
      </c>
      <c r="P627" t="n">
        <v>0</v>
      </c>
      <c r="Q627" t="n">
        <v>0</v>
      </c>
      <c r="R627" s="2" t="inlineStr"/>
    </row>
    <row r="628" ht="15" customHeight="1">
      <c r="A628" t="inlineStr">
        <is>
          <t>A 20652-2026</t>
        </is>
      </c>
      <c r="B628" s="1" t="n">
        <v>46141</v>
      </c>
      <c r="C628" s="1" t="n">
        <v>46192</v>
      </c>
      <c r="D628" t="inlineStr">
        <is>
          <t>DALARNAS LÄN</t>
        </is>
      </c>
      <c r="E628" t="inlineStr">
        <is>
          <t>MORA</t>
        </is>
      </c>
      <c r="G628" t="n">
        <v>3</v>
      </c>
      <c r="H628" t="n">
        <v>0</v>
      </c>
      <c r="I628" t="n">
        <v>0</v>
      </c>
      <c r="J628" t="n">
        <v>0</v>
      </c>
      <c r="K628" t="n">
        <v>0</v>
      </c>
      <c r="L628" t="n">
        <v>0</v>
      </c>
      <c r="M628" t="n">
        <v>0</v>
      </c>
      <c r="N628" t="n">
        <v>0</v>
      </c>
      <c r="O628" t="n">
        <v>0</v>
      </c>
      <c r="P628" t="n">
        <v>0</v>
      </c>
      <c r="Q628" t="n">
        <v>0</v>
      </c>
      <c r="R628" s="2" t="inlineStr"/>
    </row>
    <row r="629" ht="15" customHeight="1">
      <c r="A629" t="inlineStr">
        <is>
          <t>A 20656-2026</t>
        </is>
      </c>
      <c r="B629" s="1" t="n">
        <v>46141</v>
      </c>
      <c r="C629" s="1" t="n">
        <v>46192</v>
      </c>
      <c r="D629" t="inlineStr">
        <is>
          <t>DALARNAS LÄN</t>
        </is>
      </c>
      <c r="E629" t="inlineStr">
        <is>
          <t>MORA</t>
        </is>
      </c>
      <c r="G629" t="n">
        <v>0.5</v>
      </c>
      <c r="H629" t="n">
        <v>0</v>
      </c>
      <c r="I629" t="n">
        <v>0</v>
      </c>
      <c r="J629" t="n">
        <v>0</v>
      </c>
      <c r="K629" t="n">
        <v>0</v>
      </c>
      <c r="L629" t="n">
        <v>0</v>
      </c>
      <c r="M629" t="n">
        <v>0</v>
      </c>
      <c r="N629" t="n">
        <v>0</v>
      </c>
      <c r="O629" t="n">
        <v>0</v>
      </c>
      <c r="P629" t="n">
        <v>0</v>
      </c>
      <c r="Q629" t="n">
        <v>0</v>
      </c>
      <c r="R629" s="2" t="inlineStr"/>
    </row>
    <row r="630" ht="15" customHeight="1">
      <c r="A630" t="inlineStr">
        <is>
          <t>A 26306-2026</t>
        </is>
      </c>
      <c r="B630" s="1" t="n">
        <v>46182</v>
      </c>
      <c r="C630" s="1" t="n">
        <v>46192</v>
      </c>
      <c r="D630" t="inlineStr">
        <is>
          <t>DALARNAS LÄN</t>
        </is>
      </c>
      <c r="E630" t="inlineStr">
        <is>
          <t>MORA</t>
        </is>
      </c>
      <c r="G630" t="n">
        <v>1.2</v>
      </c>
      <c r="H630" t="n">
        <v>0</v>
      </c>
      <c r="I630" t="n">
        <v>0</v>
      </c>
      <c r="J630" t="n">
        <v>0</v>
      </c>
      <c r="K630" t="n">
        <v>0</v>
      </c>
      <c r="L630" t="n">
        <v>0</v>
      </c>
      <c r="M630" t="n">
        <v>0</v>
      </c>
      <c r="N630" t="n">
        <v>0</v>
      </c>
      <c r="O630" t="n">
        <v>0</v>
      </c>
      <c r="P630" t="n">
        <v>0</v>
      </c>
      <c r="Q630" t="n">
        <v>0</v>
      </c>
      <c r="R630" s="2" t="inlineStr"/>
    </row>
    <row r="631" ht="15" customHeight="1">
      <c r="A631" t="inlineStr">
        <is>
          <t>A 20650-2026</t>
        </is>
      </c>
      <c r="B631" s="1" t="n">
        <v>46141</v>
      </c>
      <c r="C631" s="1" t="n">
        <v>46192</v>
      </c>
      <c r="D631" t="inlineStr">
        <is>
          <t>DALARNAS LÄN</t>
        </is>
      </c>
      <c r="E631" t="inlineStr">
        <is>
          <t>MORA</t>
        </is>
      </c>
      <c r="G631" t="n">
        <v>9.9</v>
      </c>
      <c r="H631" t="n">
        <v>0</v>
      </c>
      <c r="I631" t="n">
        <v>0</v>
      </c>
      <c r="J631" t="n">
        <v>0</v>
      </c>
      <c r="K631" t="n">
        <v>0</v>
      </c>
      <c r="L631" t="n">
        <v>0</v>
      </c>
      <c r="M631" t="n">
        <v>0</v>
      </c>
      <c r="N631" t="n">
        <v>0</v>
      </c>
      <c r="O631" t="n">
        <v>0</v>
      </c>
      <c r="P631" t="n">
        <v>0</v>
      </c>
      <c r="Q631" t="n">
        <v>0</v>
      </c>
      <c r="R631" s="2" t="inlineStr"/>
    </row>
    <row r="632" ht="15" customHeight="1">
      <c r="A632" t="inlineStr">
        <is>
          <t>A 20677-2026</t>
        </is>
      </c>
      <c r="B632" s="1" t="n">
        <v>46141</v>
      </c>
      <c r="C632" s="1" t="n">
        <v>46192</v>
      </c>
      <c r="D632" t="inlineStr">
        <is>
          <t>DALARNAS LÄN</t>
        </is>
      </c>
      <c r="E632" t="inlineStr">
        <is>
          <t>MORA</t>
        </is>
      </c>
      <c r="G632" t="n">
        <v>1.7</v>
      </c>
      <c r="H632" t="n">
        <v>0</v>
      </c>
      <c r="I632" t="n">
        <v>0</v>
      </c>
      <c r="J632" t="n">
        <v>0</v>
      </c>
      <c r="K632" t="n">
        <v>0</v>
      </c>
      <c r="L632" t="n">
        <v>0</v>
      </c>
      <c r="M632" t="n">
        <v>0</v>
      </c>
      <c r="N632" t="n">
        <v>0</v>
      </c>
      <c r="O632" t="n">
        <v>0</v>
      </c>
      <c r="P632" t="n">
        <v>0</v>
      </c>
      <c r="Q632" t="n">
        <v>0</v>
      </c>
      <c r="R632" s="2" t="inlineStr"/>
    </row>
    <row r="633" ht="15" customHeight="1">
      <c r="A633" t="inlineStr">
        <is>
          <t>A 45355-2024</t>
        </is>
      </c>
      <c r="B633" s="1" t="n">
        <v>45576</v>
      </c>
      <c r="C633" s="1" t="n">
        <v>46192</v>
      </c>
      <c r="D633" t="inlineStr">
        <is>
          <t>DALARNAS LÄN</t>
        </is>
      </c>
      <c r="E633" t="inlineStr">
        <is>
          <t>MORA</t>
        </is>
      </c>
      <c r="G633" t="n">
        <v>1.4</v>
      </c>
      <c r="H633" t="n">
        <v>0</v>
      </c>
      <c r="I633" t="n">
        <v>0</v>
      </c>
      <c r="J633" t="n">
        <v>0</v>
      </c>
      <c r="K633" t="n">
        <v>0</v>
      </c>
      <c r="L633" t="n">
        <v>0</v>
      </c>
      <c r="M633" t="n">
        <v>0</v>
      </c>
      <c r="N633" t="n">
        <v>0</v>
      </c>
      <c r="O633" t="n">
        <v>0</v>
      </c>
      <c r="P633" t="n">
        <v>0</v>
      </c>
      <c r="Q633" t="n">
        <v>0</v>
      </c>
      <c r="R633" s="2" t="inlineStr"/>
    </row>
    <row r="634" ht="15" customHeight="1">
      <c r="A634" t="inlineStr">
        <is>
          <t>A 24899-2026</t>
        </is>
      </c>
      <c r="B634" s="1" t="n">
        <v>46174</v>
      </c>
      <c r="C634" s="1" t="n">
        <v>46192</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4744-2026</t>
        </is>
      </c>
      <c r="B635" s="1" t="n">
        <v>46048</v>
      </c>
      <c r="C635" s="1" t="n">
        <v>46192</v>
      </c>
      <c r="D635" t="inlineStr">
        <is>
          <t>DALARNAS LÄN</t>
        </is>
      </c>
      <c r="E635" t="inlineStr">
        <is>
          <t>MORA</t>
        </is>
      </c>
      <c r="G635" t="n">
        <v>15.8</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46192</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20594-2025</t>
        </is>
      </c>
      <c r="B637" s="1" t="n">
        <v>45775</v>
      </c>
      <c r="C637" s="1" t="n">
        <v>46192</v>
      </c>
      <c r="D637" t="inlineStr">
        <is>
          <t>DALARNAS LÄN</t>
        </is>
      </c>
      <c r="E637" t="inlineStr">
        <is>
          <t>MORA</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26761-2026</t>
        </is>
      </c>
      <c r="B638" s="1" t="n">
        <v>46184</v>
      </c>
      <c r="C638" s="1" t="n">
        <v>46192</v>
      </c>
      <c r="D638" t="inlineStr">
        <is>
          <t>DALARNAS LÄN</t>
        </is>
      </c>
      <c r="E638" t="inlineStr">
        <is>
          <t>MORA</t>
        </is>
      </c>
      <c r="G638" t="n">
        <v>3.8</v>
      </c>
      <c r="H638" t="n">
        <v>0</v>
      </c>
      <c r="I638" t="n">
        <v>0</v>
      </c>
      <c r="J638" t="n">
        <v>0</v>
      </c>
      <c r="K638" t="n">
        <v>0</v>
      </c>
      <c r="L638" t="n">
        <v>0</v>
      </c>
      <c r="M638" t="n">
        <v>0</v>
      </c>
      <c r="N638" t="n">
        <v>0</v>
      </c>
      <c r="O638" t="n">
        <v>0</v>
      </c>
      <c r="P638" t="n">
        <v>0</v>
      </c>
      <c r="Q638" t="n">
        <v>0</v>
      </c>
      <c r="R638" s="2" t="inlineStr"/>
    </row>
    <row r="639" ht="15" customHeight="1">
      <c r="A639" t="inlineStr">
        <is>
          <t>A 26827-2026</t>
        </is>
      </c>
      <c r="B639" s="1" t="n">
        <v>46185</v>
      </c>
      <c r="C639" s="1" t="n">
        <v>46192</v>
      </c>
      <c r="D639" t="inlineStr">
        <is>
          <t>DALARNAS LÄN</t>
        </is>
      </c>
      <c r="E639" t="inlineStr">
        <is>
          <t>MORA</t>
        </is>
      </c>
      <c r="F639" t="inlineStr">
        <is>
          <t>Bergvik skog öst AB</t>
        </is>
      </c>
      <c r="G639" t="n">
        <v>2.9</v>
      </c>
      <c r="H639" t="n">
        <v>0</v>
      </c>
      <c r="I639" t="n">
        <v>0</v>
      </c>
      <c r="J639" t="n">
        <v>0</v>
      </c>
      <c r="K639" t="n">
        <v>0</v>
      </c>
      <c r="L639" t="n">
        <v>0</v>
      </c>
      <c r="M639" t="n">
        <v>0</v>
      </c>
      <c r="N639" t="n">
        <v>0</v>
      </c>
      <c r="O639" t="n">
        <v>0</v>
      </c>
      <c r="P639" t="n">
        <v>0</v>
      </c>
      <c r="Q639" t="n">
        <v>0</v>
      </c>
      <c r="R639" s="2" t="inlineStr"/>
    </row>
    <row r="640" ht="15" customHeight="1">
      <c r="A640" t="inlineStr">
        <is>
          <t>A 20972-2026</t>
        </is>
      </c>
      <c r="B640" s="1" t="n">
        <v>46142</v>
      </c>
      <c r="C640" s="1" t="n">
        <v>46192</v>
      </c>
      <c r="D640" t="inlineStr">
        <is>
          <t>DALARNAS LÄN</t>
        </is>
      </c>
      <c r="E640" t="inlineStr">
        <is>
          <t>MORA</t>
        </is>
      </c>
      <c r="F640" t="inlineStr">
        <is>
          <t>Bergvik skog öst AB</t>
        </is>
      </c>
      <c r="G640" t="n">
        <v>0.9</v>
      </c>
      <c r="H640" t="n">
        <v>0</v>
      </c>
      <c r="I640" t="n">
        <v>0</v>
      </c>
      <c r="J640" t="n">
        <v>0</v>
      </c>
      <c r="K640" t="n">
        <v>0</v>
      </c>
      <c r="L640" t="n">
        <v>0</v>
      </c>
      <c r="M640" t="n">
        <v>0</v>
      </c>
      <c r="N640" t="n">
        <v>0</v>
      </c>
      <c r="O640" t="n">
        <v>0</v>
      </c>
      <c r="P640" t="n">
        <v>0</v>
      </c>
      <c r="Q640" t="n">
        <v>0</v>
      </c>
      <c r="R640" s="2" t="inlineStr"/>
    </row>
    <row r="641" ht="15" customHeight="1">
      <c r="A641" t="inlineStr">
        <is>
          <t>A 20978-2026</t>
        </is>
      </c>
      <c r="B641" s="1" t="n">
        <v>46142</v>
      </c>
      <c r="C641" s="1" t="n">
        <v>46192</v>
      </c>
      <c r="D641" t="inlineStr">
        <is>
          <t>DALARNAS LÄN</t>
        </is>
      </c>
      <c r="E641" t="inlineStr">
        <is>
          <t>MORA</t>
        </is>
      </c>
      <c r="F641" t="inlineStr">
        <is>
          <t>Bergvik skog öst AB</t>
        </is>
      </c>
      <c r="G641" t="n">
        <v>5.2</v>
      </c>
      <c r="H641" t="n">
        <v>0</v>
      </c>
      <c r="I641" t="n">
        <v>0</v>
      </c>
      <c r="J641" t="n">
        <v>0</v>
      </c>
      <c r="K641" t="n">
        <v>0</v>
      </c>
      <c r="L641" t="n">
        <v>0</v>
      </c>
      <c r="M641" t="n">
        <v>0</v>
      </c>
      <c r="N641" t="n">
        <v>0</v>
      </c>
      <c r="O641" t="n">
        <v>0</v>
      </c>
      <c r="P641" t="n">
        <v>0</v>
      </c>
      <c r="Q641" t="n">
        <v>0</v>
      </c>
      <c r="R641" s="2" t="inlineStr"/>
    </row>
    <row r="642" ht="15" customHeight="1">
      <c r="A642" t="inlineStr">
        <is>
          <t>A 20837-2026</t>
        </is>
      </c>
      <c r="B642" s="1" t="n">
        <v>46142</v>
      </c>
      <c r="C642" s="1" t="n">
        <v>46192</v>
      </c>
      <c r="D642" t="inlineStr">
        <is>
          <t>DALARNAS LÄN</t>
        </is>
      </c>
      <c r="E642" t="inlineStr">
        <is>
          <t>MORA</t>
        </is>
      </c>
      <c r="G642" t="n">
        <v>12.4</v>
      </c>
      <c r="H642" t="n">
        <v>0</v>
      </c>
      <c r="I642" t="n">
        <v>0</v>
      </c>
      <c r="J642" t="n">
        <v>0</v>
      </c>
      <c r="K642" t="n">
        <v>0</v>
      </c>
      <c r="L642" t="n">
        <v>0</v>
      </c>
      <c r="M642" t="n">
        <v>0</v>
      </c>
      <c r="N642" t="n">
        <v>0</v>
      </c>
      <c r="O642" t="n">
        <v>0</v>
      </c>
      <c r="P642" t="n">
        <v>0</v>
      </c>
      <c r="Q642" t="n">
        <v>0</v>
      </c>
      <c r="R642" s="2" t="inlineStr"/>
    </row>
    <row r="643" ht="15" customHeight="1">
      <c r="A643" t="inlineStr">
        <is>
          <t>A 26774-2026</t>
        </is>
      </c>
      <c r="B643" s="1" t="n">
        <v>46184</v>
      </c>
      <c r="C643" s="1" t="n">
        <v>46192</v>
      </c>
      <c r="D643" t="inlineStr">
        <is>
          <t>DALARNAS LÄN</t>
        </is>
      </c>
      <c r="E643" t="inlineStr">
        <is>
          <t>MORA</t>
        </is>
      </c>
      <c r="F643" t="inlineStr">
        <is>
          <t>Bergvik skog öst AB</t>
        </is>
      </c>
      <c r="G643" t="n">
        <v>0.7</v>
      </c>
      <c r="H643" t="n">
        <v>0</v>
      </c>
      <c r="I643" t="n">
        <v>0</v>
      </c>
      <c r="J643" t="n">
        <v>0</v>
      </c>
      <c r="K643" t="n">
        <v>0</v>
      </c>
      <c r="L643" t="n">
        <v>0</v>
      </c>
      <c r="M643" t="n">
        <v>0</v>
      </c>
      <c r="N643" t="n">
        <v>0</v>
      </c>
      <c r="O643" t="n">
        <v>0</v>
      </c>
      <c r="P643" t="n">
        <v>0</v>
      </c>
      <c r="Q643" t="n">
        <v>0</v>
      </c>
      <c r="R643" s="2" t="inlineStr"/>
    </row>
    <row r="644" ht="15" customHeight="1">
      <c r="A644" t="inlineStr">
        <is>
          <t>A 20952-2026</t>
        </is>
      </c>
      <c r="B644" s="1" t="n">
        <v>46142</v>
      </c>
      <c r="C644" s="1" t="n">
        <v>46192</v>
      </c>
      <c r="D644" t="inlineStr">
        <is>
          <t>DALARNAS LÄN</t>
        </is>
      </c>
      <c r="E644" t="inlineStr">
        <is>
          <t>MORA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23437-2026</t>
        </is>
      </c>
      <c r="B645" s="1" t="n">
        <v>46163</v>
      </c>
      <c r="C645" s="1" t="n">
        <v>46192</v>
      </c>
      <c r="D645" t="inlineStr">
        <is>
          <t>DALARNAS LÄN</t>
        </is>
      </c>
      <c r="E645" t="inlineStr">
        <is>
          <t>MORA</t>
        </is>
      </c>
      <c r="G645" t="n">
        <v>15.5</v>
      </c>
      <c r="H645" t="n">
        <v>0</v>
      </c>
      <c r="I645" t="n">
        <v>0</v>
      </c>
      <c r="J645" t="n">
        <v>0</v>
      </c>
      <c r="K645" t="n">
        <v>0</v>
      </c>
      <c r="L645" t="n">
        <v>0</v>
      </c>
      <c r="M645" t="n">
        <v>0</v>
      </c>
      <c r="N645" t="n">
        <v>0</v>
      </c>
      <c r="O645" t="n">
        <v>0</v>
      </c>
      <c r="P645" t="n">
        <v>0</v>
      </c>
      <c r="Q645" t="n">
        <v>0</v>
      </c>
      <c r="R645" s="2" t="inlineStr"/>
    </row>
    <row r="646" ht="15" customHeight="1">
      <c r="A646" t="inlineStr">
        <is>
          <t>A 21391-2026</t>
        </is>
      </c>
      <c r="B646" s="1" t="n">
        <v>46147</v>
      </c>
      <c r="C646" s="1" t="n">
        <v>46192</v>
      </c>
      <c r="D646" t="inlineStr">
        <is>
          <t>DALARNAS LÄN</t>
        </is>
      </c>
      <c r="E646" t="inlineStr">
        <is>
          <t>MORA</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21393-2026</t>
        </is>
      </c>
      <c r="B647" s="1" t="n">
        <v>46147</v>
      </c>
      <c r="C647" s="1" t="n">
        <v>46192</v>
      </c>
      <c r="D647" t="inlineStr">
        <is>
          <t>DALARNAS LÄN</t>
        </is>
      </c>
      <c r="E647" t="inlineStr">
        <is>
          <t>MORA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23435-2026</t>
        </is>
      </c>
      <c r="B648" s="1" t="n">
        <v>46163</v>
      </c>
      <c r="C648" s="1" t="n">
        <v>46192</v>
      </c>
      <c r="D648" t="inlineStr">
        <is>
          <t>DALARNAS LÄN</t>
        </is>
      </c>
      <c r="E648" t="inlineStr">
        <is>
          <t>MORA</t>
        </is>
      </c>
      <c r="G648" t="n">
        <v>2.9</v>
      </c>
      <c r="H648" t="n">
        <v>0</v>
      </c>
      <c r="I648" t="n">
        <v>0</v>
      </c>
      <c r="J648" t="n">
        <v>0</v>
      </c>
      <c r="K648" t="n">
        <v>0</v>
      </c>
      <c r="L648" t="n">
        <v>0</v>
      </c>
      <c r="M648" t="n">
        <v>0</v>
      </c>
      <c r="N648" t="n">
        <v>0</v>
      </c>
      <c r="O648" t="n">
        <v>0</v>
      </c>
      <c r="P648" t="n">
        <v>0</v>
      </c>
      <c r="Q648" t="n">
        <v>0</v>
      </c>
      <c r="R648" s="2" t="inlineStr"/>
    </row>
    <row r="649" ht="15" customHeight="1">
      <c r="A649" t="inlineStr">
        <is>
          <t>A 23442-2026</t>
        </is>
      </c>
      <c r="B649" s="1" t="n">
        <v>46163</v>
      </c>
      <c r="C649" s="1" t="n">
        <v>46192</v>
      </c>
      <c r="D649" t="inlineStr">
        <is>
          <t>DALARNAS LÄN</t>
        </is>
      </c>
      <c r="E649" t="inlineStr">
        <is>
          <t>MORA</t>
        </is>
      </c>
      <c r="G649" t="n">
        <v>1.9</v>
      </c>
      <c r="H649" t="n">
        <v>0</v>
      </c>
      <c r="I649" t="n">
        <v>0</v>
      </c>
      <c r="J649" t="n">
        <v>0</v>
      </c>
      <c r="K649" t="n">
        <v>0</v>
      </c>
      <c r="L649" t="n">
        <v>0</v>
      </c>
      <c r="M649" t="n">
        <v>0</v>
      </c>
      <c r="N649" t="n">
        <v>0</v>
      </c>
      <c r="O649" t="n">
        <v>0</v>
      </c>
      <c r="P649" t="n">
        <v>0</v>
      </c>
      <c r="Q649" t="n">
        <v>0</v>
      </c>
      <c r="R649" s="2" t="inlineStr"/>
    </row>
    <row r="650" ht="15" customHeight="1">
      <c r="A650" t="inlineStr">
        <is>
          <t>A 20634-2026</t>
        </is>
      </c>
      <c r="B650" s="1" t="n">
        <v>46141</v>
      </c>
      <c r="C650" s="1" t="n">
        <v>46192</v>
      </c>
      <c r="D650" t="inlineStr">
        <is>
          <t>DALARNAS LÄN</t>
        </is>
      </c>
      <c r="E650" t="inlineStr">
        <is>
          <t>MORA</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21209-2026</t>
        </is>
      </c>
      <c r="B651" s="1" t="n">
        <v>46146</v>
      </c>
      <c r="C651" s="1" t="n">
        <v>46192</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27168-2026</t>
        </is>
      </c>
      <c r="B652" s="1" t="n">
        <v>46188</v>
      </c>
      <c r="C652" s="1" t="n">
        <v>46192</v>
      </c>
      <c r="D652" t="inlineStr">
        <is>
          <t>DALARNAS LÄN</t>
        </is>
      </c>
      <c r="E652" t="inlineStr">
        <is>
          <t>MORA</t>
        </is>
      </c>
      <c r="G652" t="n">
        <v>0.9</v>
      </c>
      <c r="H652" t="n">
        <v>0</v>
      </c>
      <c r="I652" t="n">
        <v>0</v>
      </c>
      <c r="J652" t="n">
        <v>0</v>
      </c>
      <c r="K652" t="n">
        <v>0</v>
      </c>
      <c r="L652" t="n">
        <v>0</v>
      </c>
      <c r="M652" t="n">
        <v>0</v>
      </c>
      <c r="N652" t="n">
        <v>0</v>
      </c>
      <c r="O652" t="n">
        <v>0</v>
      </c>
      <c r="P652" t="n">
        <v>0</v>
      </c>
      <c r="Q652" t="n">
        <v>0</v>
      </c>
      <c r="R652" s="2" t="inlineStr"/>
    </row>
    <row r="653" ht="15" customHeight="1">
      <c r="A653" t="inlineStr">
        <is>
          <t>A 20400-2026</t>
        </is>
      </c>
      <c r="B653" s="1" t="n">
        <v>46139</v>
      </c>
      <c r="C653" s="1" t="n">
        <v>46192</v>
      </c>
      <c r="D653" t="inlineStr">
        <is>
          <t>DALARNAS LÄN</t>
        </is>
      </c>
      <c r="E653" t="inlineStr">
        <is>
          <t>MORA</t>
        </is>
      </c>
      <c r="F653" t="inlineStr">
        <is>
          <t>Bergvik skog öst AB</t>
        </is>
      </c>
      <c r="G653" t="n">
        <v>3.8</v>
      </c>
      <c r="H653" t="n">
        <v>0</v>
      </c>
      <c r="I653" t="n">
        <v>0</v>
      </c>
      <c r="J653" t="n">
        <v>0</v>
      </c>
      <c r="K653" t="n">
        <v>0</v>
      </c>
      <c r="L653" t="n">
        <v>0</v>
      </c>
      <c r="M653" t="n">
        <v>0</v>
      </c>
      <c r="N653" t="n">
        <v>0</v>
      </c>
      <c r="O653" t="n">
        <v>0</v>
      </c>
      <c r="P653" t="n">
        <v>0</v>
      </c>
      <c r="Q653" t="n">
        <v>0</v>
      </c>
      <c r="R653" s="2" t="inlineStr"/>
    </row>
    <row r="654" ht="15" customHeight="1">
      <c r="A654" t="inlineStr">
        <is>
          <t>A 14745-2026</t>
        </is>
      </c>
      <c r="B654" s="1" t="n">
        <v>46101</v>
      </c>
      <c r="C654" s="1" t="n">
        <v>46192</v>
      </c>
      <c r="D654" t="inlineStr">
        <is>
          <t>DALARNAS LÄN</t>
        </is>
      </c>
      <c r="E654" t="inlineStr">
        <is>
          <t>MORA</t>
        </is>
      </c>
      <c r="F654" t="inlineStr">
        <is>
          <t>Bergvik skog öst AB</t>
        </is>
      </c>
      <c r="G654" t="n">
        <v>10.9</v>
      </c>
      <c r="H654" t="n">
        <v>0</v>
      </c>
      <c r="I654" t="n">
        <v>0</v>
      </c>
      <c r="J654" t="n">
        <v>0</v>
      </c>
      <c r="K654" t="n">
        <v>0</v>
      </c>
      <c r="L654" t="n">
        <v>0</v>
      </c>
      <c r="M654" t="n">
        <v>0</v>
      </c>
      <c r="N654" t="n">
        <v>0</v>
      </c>
      <c r="O654" t="n">
        <v>0</v>
      </c>
      <c r="P654" t="n">
        <v>0</v>
      </c>
      <c r="Q654" t="n">
        <v>0</v>
      </c>
      <c r="R654" s="2" t="inlineStr"/>
    </row>
    <row r="655" ht="15" customHeight="1">
      <c r="A655" t="inlineStr">
        <is>
          <t>A 5763-2026</t>
        </is>
      </c>
      <c r="B655" s="1" t="n">
        <v>46051</v>
      </c>
      <c r="C655" s="1" t="n">
        <v>46192</v>
      </c>
      <c r="D655" t="inlineStr">
        <is>
          <t>DALARNAS LÄN</t>
        </is>
      </c>
      <c r="E655" t="inlineStr">
        <is>
          <t>MORA</t>
        </is>
      </c>
      <c r="G655" t="n">
        <v>0.3</v>
      </c>
      <c r="H655" t="n">
        <v>0</v>
      </c>
      <c r="I655" t="n">
        <v>0</v>
      </c>
      <c r="J655" t="n">
        <v>0</v>
      </c>
      <c r="K655" t="n">
        <v>0</v>
      </c>
      <c r="L655" t="n">
        <v>0</v>
      </c>
      <c r="M655" t="n">
        <v>0</v>
      </c>
      <c r="N655" t="n">
        <v>0</v>
      </c>
      <c r="O655" t="n">
        <v>0</v>
      </c>
      <c r="P655" t="n">
        <v>0</v>
      </c>
      <c r="Q655" t="n">
        <v>0</v>
      </c>
      <c r="R655" s="2" t="inlineStr"/>
    </row>
    <row r="656" ht="15" customHeight="1">
      <c r="A656" t="inlineStr">
        <is>
          <t>A 21498-2026</t>
        </is>
      </c>
      <c r="B656" s="1" t="n">
        <v>46148</v>
      </c>
      <c r="C656" s="1" t="n">
        <v>46192</v>
      </c>
      <c r="D656" t="inlineStr">
        <is>
          <t>DALARNAS LÄN</t>
        </is>
      </c>
      <c r="E656" t="inlineStr">
        <is>
          <t>MORA</t>
        </is>
      </c>
      <c r="F656" t="inlineStr">
        <is>
          <t>Bergvik skog öst AB</t>
        </is>
      </c>
      <c r="G656" t="n">
        <v>4</v>
      </c>
      <c r="H656" t="n">
        <v>0</v>
      </c>
      <c r="I656" t="n">
        <v>0</v>
      </c>
      <c r="J656" t="n">
        <v>0</v>
      </c>
      <c r="K656" t="n">
        <v>0</v>
      </c>
      <c r="L656" t="n">
        <v>0</v>
      </c>
      <c r="M656" t="n">
        <v>0</v>
      </c>
      <c r="N656" t="n">
        <v>0</v>
      </c>
      <c r="O656" t="n">
        <v>0</v>
      </c>
      <c r="P656" t="n">
        <v>0</v>
      </c>
      <c r="Q656" t="n">
        <v>0</v>
      </c>
      <c r="R656" s="2" t="inlineStr"/>
    </row>
    <row r="657" ht="15" customHeight="1">
      <c r="A657" t="inlineStr">
        <is>
          <t>A 22909-2026</t>
        </is>
      </c>
      <c r="B657" s="1" t="n">
        <v>46160</v>
      </c>
      <c r="C657" s="1" t="n">
        <v>46192</v>
      </c>
      <c r="D657" t="inlineStr">
        <is>
          <t>DALARNAS LÄN</t>
        </is>
      </c>
      <c r="E657" t="inlineStr">
        <is>
          <t>MORA</t>
        </is>
      </c>
      <c r="G657" t="n">
        <v>3.5</v>
      </c>
      <c r="H657" t="n">
        <v>0</v>
      </c>
      <c r="I657" t="n">
        <v>0</v>
      </c>
      <c r="J657" t="n">
        <v>0</v>
      </c>
      <c r="K657" t="n">
        <v>0</v>
      </c>
      <c r="L657" t="n">
        <v>0</v>
      </c>
      <c r="M657" t="n">
        <v>0</v>
      </c>
      <c r="N657" t="n">
        <v>0</v>
      </c>
      <c r="O657" t="n">
        <v>0</v>
      </c>
      <c r="P657" t="n">
        <v>0</v>
      </c>
      <c r="Q657" t="n">
        <v>0</v>
      </c>
      <c r="R657" s="2" t="inlineStr"/>
    </row>
    <row r="658" ht="15" customHeight="1">
      <c r="A658" t="inlineStr">
        <is>
          <t>A 21480-2026</t>
        </is>
      </c>
      <c r="B658" s="1" t="n">
        <v>46148</v>
      </c>
      <c r="C658" s="1" t="n">
        <v>46192</v>
      </c>
      <c r="D658" t="inlineStr">
        <is>
          <t>DALARNAS LÄN</t>
        </is>
      </c>
      <c r="E658" t="inlineStr">
        <is>
          <t>MORA</t>
        </is>
      </c>
      <c r="G658" t="n">
        <v>12.8</v>
      </c>
      <c r="H658" t="n">
        <v>0</v>
      </c>
      <c r="I658" t="n">
        <v>0</v>
      </c>
      <c r="J658" t="n">
        <v>0</v>
      </c>
      <c r="K658" t="n">
        <v>0</v>
      </c>
      <c r="L658" t="n">
        <v>0</v>
      </c>
      <c r="M658" t="n">
        <v>0</v>
      </c>
      <c r="N658" t="n">
        <v>0</v>
      </c>
      <c r="O658" t="n">
        <v>0</v>
      </c>
      <c r="P658" t="n">
        <v>0</v>
      </c>
      <c r="Q658" t="n">
        <v>0</v>
      </c>
      <c r="R658" s="2" t="inlineStr"/>
    </row>
    <row r="659" ht="15" customHeight="1">
      <c r="A659" t="inlineStr">
        <is>
          <t>A 27696-2026</t>
        </is>
      </c>
      <c r="B659" s="1" t="n">
        <v>46190</v>
      </c>
      <c r="C659" s="1" t="n">
        <v>46192</v>
      </c>
      <c r="D659" t="inlineStr">
        <is>
          <t>DALARNAS LÄN</t>
        </is>
      </c>
      <c r="E659" t="inlineStr">
        <is>
          <t>MORA</t>
        </is>
      </c>
      <c r="F659" t="inlineStr">
        <is>
          <t>Bergvik skog öst AB</t>
        </is>
      </c>
      <c r="G659" t="n">
        <v>3.7</v>
      </c>
      <c r="H659" t="n">
        <v>0</v>
      </c>
      <c r="I659" t="n">
        <v>0</v>
      </c>
      <c r="J659" t="n">
        <v>0</v>
      </c>
      <c r="K659" t="n">
        <v>0</v>
      </c>
      <c r="L659" t="n">
        <v>0</v>
      </c>
      <c r="M659" t="n">
        <v>0</v>
      </c>
      <c r="N659" t="n">
        <v>0</v>
      </c>
      <c r="O659" t="n">
        <v>0</v>
      </c>
      <c r="P659" t="n">
        <v>0</v>
      </c>
      <c r="Q659" t="n">
        <v>0</v>
      </c>
      <c r="R659" s="2" t="inlineStr"/>
    </row>
    <row r="660" ht="15" customHeight="1">
      <c r="A660" t="inlineStr">
        <is>
          <t>A 27901-2026</t>
        </is>
      </c>
      <c r="B660" s="1" t="n">
        <v>46191</v>
      </c>
      <c r="C660" s="1" t="n">
        <v>46192</v>
      </c>
      <c r="D660" t="inlineStr">
        <is>
          <t>DALARNAS LÄN</t>
        </is>
      </c>
      <c r="E660" t="inlineStr">
        <is>
          <t>MORA</t>
        </is>
      </c>
      <c r="G660" t="n">
        <v>1.7</v>
      </c>
      <c r="H660" t="n">
        <v>0</v>
      </c>
      <c r="I660" t="n">
        <v>0</v>
      </c>
      <c r="J660" t="n">
        <v>0</v>
      </c>
      <c r="K660" t="n">
        <v>0</v>
      </c>
      <c r="L660" t="n">
        <v>0</v>
      </c>
      <c r="M660" t="n">
        <v>0</v>
      </c>
      <c r="N660" t="n">
        <v>0</v>
      </c>
      <c r="O660" t="n">
        <v>0</v>
      </c>
      <c r="P660" t="n">
        <v>0</v>
      </c>
      <c r="Q660" t="n">
        <v>0</v>
      </c>
      <c r="R660" s="2" t="inlineStr"/>
    </row>
    <row r="661" ht="15" customHeight="1">
      <c r="A661" t="inlineStr">
        <is>
          <t>A 21506-2026</t>
        </is>
      </c>
      <c r="B661" s="1" t="n">
        <v>46148</v>
      </c>
      <c r="C661" s="1" t="n">
        <v>46192</v>
      </c>
      <c r="D661" t="inlineStr">
        <is>
          <t>DALARNAS LÄN</t>
        </is>
      </c>
      <c r="E661" t="inlineStr">
        <is>
          <t>MORA</t>
        </is>
      </c>
      <c r="F661" t="inlineStr">
        <is>
          <t>Bergvik skog öst AB</t>
        </is>
      </c>
      <c r="G661" t="n">
        <v>4.7</v>
      </c>
      <c r="H661" t="n">
        <v>0</v>
      </c>
      <c r="I661" t="n">
        <v>0</v>
      </c>
      <c r="J661" t="n">
        <v>0</v>
      </c>
      <c r="K661" t="n">
        <v>0</v>
      </c>
      <c r="L661" t="n">
        <v>0</v>
      </c>
      <c r="M661" t="n">
        <v>0</v>
      </c>
      <c r="N661" t="n">
        <v>0</v>
      </c>
      <c r="O661" t="n">
        <v>0</v>
      </c>
      <c r="P661" t="n">
        <v>0</v>
      </c>
      <c r="Q661" t="n">
        <v>0</v>
      </c>
      <c r="R661" s="2" t="inlineStr"/>
    </row>
    <row r="662" ht="15" customHeight="1">
      <c r="A662" t="inlineStr">
        <is>
          <t>A 27792-2026</t>
        </is>
      </c>
      <c r="B662" s="1" t="n">
        <v>46191</v>
      </c>
      <c r="C662" s="1" t="n">
        <v>46192</v>
      </c>
      <c r="D662" t="inlineStr">
        <is>
          <t>DALARNAS LÄN</t>
        </is>
      </c>
      <c r="E662" t="inlineStr">
        <is>
          <t>MORA</t>
        </is>
      </c>
      <c r="F662" t="inlineStr">
        <is>
          <t>Bergvik skog väst AB</t>
        </is>
      </c>
      <c r="G662" t="n">
        <v>5.4</v>
      </c>
      <c r="H662" t="n">
        <v>0</v>
      </c>
      <c r="I662" t="n">
        <v>0</v>
      </c>
      <c r="J662" t="n">
        <v>0</v>
      </c>
      <c r="K662" t="n">
        <v>0</v>
      </c>
      <c r="L662" t="n">
        <v>0</v>
      </c>
      <c r="M662" t="n">
        <v>0</v>
      </c>
      <c r="N662" t="n">
        <v>0</v>
      </c>
      <c r="O662" t="n">
        <v>0</v>
      </c>
      <c r="P662" t="n">
        <v>0</v>
      </c>
      <c r="Q662" t="n">
        <v>0</v>
      </c>
      <c r="R662" s="2" t="inlineStr"/>
    </row>
    <row r="663" ht="15" customHeight="1">
      <c r="A663" t="inlineStr">
        <is>
          <t>A 21502-2026</t>
        </is>
      </c>
      <c r="B663" s="1" t="n">
        <v>46148</v>
      </c>
      <c r="C663" s="1" t="n">
        <v>46192</v>
      </c>
      <c r="D663" t="inlineStr">
        <is>
          <t>DALARNAS LÄN</t>
        </is>
      </c>
      <c r="E663" t="inlineStr">
        <is>
          <t>MORA</t>
        </is>
      </c>
      <c r="F663" t="inlineStr">
        <is>
          <t>Bergvik skog öst AB</t>
        </is>
      </c>
      <c r="G663" t="n">
        <v>5.1</v>
      </c>
      <c r="H663" t="n">
        <v>0</v>
      </c>
      <c r="I663" t="n">
        <v>0</v>
      </c>
      <c r="J663" t="n">
        <v>0</v>
      </c>
      <c r="K663" t="n">
        <v>0</v>
      </c>
      <c r="L663" t="n">
        <v>0</v>
      </c>
      <c r="M663" t="n">
        <v>0</v>
      </c>
      <c r="N663" t="n">
        <v>0</v>
      </c>
      <c r="O663" t="n">
        <v>0</v>
      </c>
      <c r="P663" t="n">
        <v>0</v>
      </c>
      <c r="Q663" t="n">
        <v>0</v>
      </c>
      <c r="R663" s="2" t="inlineStr"/>
    </row>
    <row r="664" ht="15" customHeight="1">
      <c r="A664" t="inlineStr">
        <is>
          <t>A 27885-2026</t>
        </is>
      </c>
      <c r="B664" s="1" t="n">
        <v>46191</v>
      </c>
      <c r="C664" s="1" t="n">
        <v>46192</v>
      </c>
      <c r="D664" t="inlineStr">
        <is>
          <t>DALARNAS LÄN</t>
        </is>
      </c>
      <c r="E664" t="inlineStr">
        <is>
          <t>MORA</t>
        </is>
      </c>
      <c r="F664" t="inlineStr">
        <is>
          <t>Bergvik skog väst AB</t>
        </is>
      </c>
      <c r="G664" t="n">
        <v>9.5</v>
      </c>
      <c r="H664" t="n">
        <v>0</v>
      </c>
      <c r="I664" t="n">
        <v>0</v>
      </c>
      <c r="J664" t="n">
        <v>0</v>
      </c>
      <c r="K664" t="n">
        <v>0</v>
      </c>
      <c r="L664" t="n">
        <v>0</v>
      </c>
      <c r="M664" t="n">
        <v>0</v>
      </c>
      <c r="N664" t="n">
        <v>0</v>
      </c>
      <c r="O664" t="n">
        <v>0</v>
      </c>
      <c r="P664" t="n">
        <v>0</v>
      </c>
      <c r="Q664" t="n">
        <v>0</v>
      </c>
      <c r="R664" s="2" t="inlineStr"/>
    </row>
    <row r="665" ht="15" customHeight="1">
      <c r="A665" t="inlineStr">
        <is>
          <t>A 21499-2026</t>
        </is>
      </c>
      <c r="B665" s="1" t="n">
        <v>46148</v>
      </c>
      <c r="C665" s="1" t="n">
        <v>46192</v>
      </c>
      <c r="D665" t="inlineStr">
        <is>
          <t>DALARNAS LÄN</t>
        </is>
      </c>
      <c r="E665" t="inlineStr">
        <is>
          <t>MORA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27871-2026</t>
        </is>
      </c>
      <c r="B666" s="1" t="n">
        <v>46191</v>
      </c>
      <c r="C666" s="1" t="n">
        <v>46192</v>
      </c>
      <c r="D666" t="inlineStr">
        <is>
          <t>DALARNAS LÄN</t>
        </is>
      </c>
      <c r="E666" t="inlineStr">
        <is>
          <t>MORA</t>
        </is>
      </c>
      <c r="F666" t="inlineStr">
        <is>
          <t>Bergvik skog väst AB</t>
        </is>
      </c>
      <c r="G666" t="n">
        <v>4</v>
      </c>
      <c r="H666" t="n">
        <v>0</v>
      </c>
      <c r="I666" t="n">
        <v>0</v>
      </c>
      <c r="J666" t="n">
        <v>0</v>
      </c>
      <c r="K666" t="n">
        <v>0</v>
      </c>
      <c r="L666" t="n">
        <v>0</v>
      </c>
      <c r="M666" t="n">
        <v>0</v>
      </c>
      <c r="N666" t="n">
        <v>0</v>
      </c>
      <c r="O666" t="n">
        <v>0</v>
      </c>
      <c r="P666" t="n">
        <v>0</v>
      </c>
      <c r="Q666" t="n">
        <v>0</v>
      </c>
      <c r="R666" s="2" t="inlineStr"/>
    </row>
    <row r="667" ht="15" customHeight="1">
      <c r="A667" t="inlineStr">
        <is>
          <t>A 27886-2026</t>
        </is>
      </c>
      <c r="B667" s="1" t="n">
        <v>46191</v>
      </c>
      <c r="C667" s="1" t="n">
        <v>46192</v>
      </c>
      <c r="D667" t="inlineStr">
        <is>
          <t>DALARNAS LÄN</t>
        </is>
      </c>
      <c r="E667" t="inlineStr">
        <is>
          <t>MORA</t>
        </is>
      </c>
      <c r="G667" t="n">
        <v>2.4</v>
      </c>
      <c r="H667" t="n">
        <v>0</v>
      </c>
      <c r="I667" t="n">
        <v>0</v>
      </c>
      <c r="J667" t="n">
        <v>0</v>
      </c>
      <c r="K667" t="n">
        <v>0</v>
      </c>
      <c r="L667" t="n">
        <v>0</v>
      </c>
      <c r="M667" t="n">
        <v>0</v>
      </c>
      <c r="N667" t="n">
        <v>0</v>
      </c>
      <c r="O667" t="n">
        <v>0</v>
      </c>
      <c r="P667" t="n">
        <v>0</v>
      </c>
      <c r="Q667" t="n">
        <v>0</v>
      </c>
      <c r="R667" s="2" t="inlineStr"/>
    </row>
    <row r="668" ht="15" customHeight="1">
      <c r="A668" t="inlineStr">
        <is>
          <t>A 27699-2026</t>
        </is>
      </c>
      <c r="B668" s="1" t="n">
        <v>46190</v>
      </c>
      <c r="C668" s="1" t="n">
        <v>46192</v>
      </c>
      <c r="D668" t="inlineStr">
        <is>
          <t>DALARNAS LÄN</t>
        </is>
      </c>
      <c r="E668" t="inlineStr">
        <is>
          <t>MORA</t>
        </is>
      </c>
      <c r="F668" t="inlineStr">
        <is>
          <t>Bergvik skog öst AB</t>
        </is>
      </c>
      <c r="G668" t="n">
        <v>1.8</v>
      </c>
      <c r="H668" t="n">
        <v>0</v>
      </c>
      <c r="I668" t="n">
        <v>0</v>
      </c>
      <c r="J668" t="n">
        <v>0</v>
      </c>
      <c r="K668" t="n">
        <v>0</v>
      </c>
      <c r="L668" t="n">
        <v>0</v>
      </c>
      <c r="M668" t="n">
        <v>0</v>
      </c>
      <c r="N668" t="n">
        <v>0</v>
      </c>
      <c r="O668" t="n">
        <v>0</v>
      </c>
      <c r="P668" t="n">
        <v>0</v>
      </c>
      <c r="Q668" t="n">
        <v>0</v>
      </c>
      <c r="R668" s="2" t="inlineStr"/>
    </row>
    <row r="669" ht="15" customHeight="1">
      <c r="A669" t="inlineStr">
        <is>
          <t>A 27938-2026</t>
        </is>
      </c>
      <c r="B669" s="1" t="n">
        <v>46191</v>
      </c>
      <c r="C669" s="1" t="n">
        <v>46192</v>
      </c>
      <c r="D669" t="inlineStr">
        <is>
          <t>DALARNAS LÄN</t>
        </is>
      </c>
      <c r="E669" t="inlineStr">
        <is>
          <t>MORA</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27939-2026</t>
        </is>
      </c>
      <c r="B670" s="1" t="n">
        <v>46191</v>
      </c>
      <c r="C670" s="1" t="n">
        <v>46192</v>
      </c>
      <c r="D670" t="inlineStr">
        <is>
          <t>DALARNAS LÄN</t>
        </is>
      </c>
      <c r="E670" t="inlineStr">
        <is>
          <t>MORA</t>
        </is>
      </c>
      <c r="F670" t="inlineStr">
        <is>
          <t>Bergvik skog väst AB</t>
        </is>
      </c>
      <c r="G670" t="n">
        <v>1.8</v>
      </c>
      <c r="H670" t="n">
        <v>0</v>
      </c>
      <c r="I670" t="n">
        <v>0</v>
      </c>
      <c r="J670" t="n">
        <v>0</v>
      </c>
      <c r="K670" t="n">
        <v>0</v>
      </c>
      <c r="L670" t="n">
        <v>0</v>
      </c>
      <c r="M670" t="n">
        <v>0</v>
      </c>
      <c r="N670" t="n">
        <v>0</v>
      </c>
      <c r="O670" t="n">
        <v>0</v>
      </c>
      <c r="P670" t="n">
        <v>0</v>
      </c>
      <c r="Q670" t="n">
        <v>0</v>
      </c>
      <c r="R670" s="2" t="inlineStr"/>
    </row>
    <row r="671">
      <c r="A671" t="inlineStr">
        <is>
          <t>A 27936-2026</t>
        </is>
      </c>
      <c r="B671" s="1" t="n">
        <v>46191</v>
      </c>
      <c r="C671" s="1" t="n">
        <v>46192</v>
      </c>
      <c r="D671" t="inlineStr">
        <is>
          <t>DALARNAS LÄN</t>
        </is>
      </c>
      <c r="E671" t="inlineStr">
        <is>
          <t>MORA</t>
        </is>
      </c>
      <c r="F671" t="inlineStr">
        <is>
          <t>Bergvik skog väst AB</t>
        </is>
      </c>
      <c r="G671" t="n">
        <v>10</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2026-06-19T00:44:00Z</dcterms:created>
  <dcterms:modified xmlns:dcterms="http://purl.org/dc/terms/" xmlns:xsi="http://www.w3.org/2001/XMLSchema-instance" xsi:type="dcterms:W3CDTF">2026-06-19T00:44:00Z</dcterms:modified>
</cp:coreProperties>
</file>