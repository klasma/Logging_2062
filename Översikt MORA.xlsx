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45789</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45789</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45789</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45789</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45789</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45789</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45789</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45789</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45789</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45789</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45789</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45789</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45789</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45789</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45789</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45789</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45789</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45789</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18527-2025</t>
        </is>
      </c>
      <c r="B22" s="1" t="n">
        <v>45763</v>
      </c>
      <c r="C22" s="1" t="n">
        <v>45789</v>
      </c>
      <c r="D22" t="inlineStr">
        <is>
          <t>DALARNAS LÄN</t>
        </is>
      </c>
      <c r="E22" t="inlineStr">
        <is>
          <t>MORA</t>
        </is>
      </c>
      <c r="G22" t="n">
        <v>10.6</v>
      </c>
      <c r="H22" t="n">
        <v>3</v>
      </c>
      <c r="I22" t="n">
        <v>1</v>
      </c>
      <c r="J22" t="n">
        <v>7</v>
      </c>
      <c r="K22" t="n">
        <v>0</v>
      </c>
      <c r="L22" t="n">
        <v>0</v>
      </c>
      <c r="M22" t="n">
        <v>0</v>
      </c>
      <c r="N22" t="n">
        <v>0</v>
      </c>
      <c r="O22" t="n">
        <v>7</v>
      </c>
      <c r="P22" t="n">
        <v>0</v>
      </c>
      <c r="Q22" t="n">
        <v>9</v>
      </c>
      <c r="R22" s="2" t="inlineStr">
        <is>
          <t>Garnlav
Kolflarnlav
Spillkråka
Talltita
Vedflamlav
Vedskivlav
Vitgrynig nållav
Mindre märgborre
Tjäder</t>
        </is>
      </c>
      <c r="S22">
        <f>HYPERLINK("https://klasma.github.io/Logging_202062/artfynd/A 18527-2025 artfynd.xlsx", "A 18527-2025")</f>
        <v/>
      </c>
      <c r="T22">
        <f>HYPERLINK("https://klasma.github.io/Logging_202062/kartor/A 18527-2025 karta.png", "A 18527-2025")</f>
        <v/>
      </c>
      <c r="V22">
        <f>HYPERLINK("https://klasma.github.io/Logging_202062/klagomål/A 18527-2025 FSC-klagomål.docx", "A 18527-2025")</f>
        <v/>
      </c>
      <c r="W22">
        <f>HYPERLINK("https://klasma.github.io/Logging_202062/klagomålsmail/A 18527-2025 FSC-klagomål mail.docx", "A 18527-2025")</f>
        <v/>
      </c>
      <c r="X22">
        <f>HYPERLINK("https://klasma.github.io/Logging_202062/tillsyn/A 18527-2025 tillsynsbegäran.docx", "A 18527-2025")</f>
        <v/>
      </c>
      <c r="Y22">
        <f>HYPERLINK("https://klasma.github.io/Logging_202062/tillsynsmail/A 18527-2025 tillsynsbegäran mail.docx", "A 18527-2025")</f>
        <v/>
      </c>
      <c r="Z22">
        <f>HYPERLINK("https://klasma.github.io/Logging_202062/fåglar/A 18527-2025 prioriterade fågelarter.docx", "A 18527-2025")</f>
        <v/>
      </c>
    </row>
    <row r="23" ht="15" customHeight="1">
      <c r="A23" t="inlineStr">
        <is>
          <t>A 54028-2020</t>
        </is>
      </c>
      <c r="B23" s="1" t="n">
        <v>44125</v>
      </c>
      <c r="C23" s="1" t="n">
        <v>45789</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45789</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45789</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45789</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45789</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45789</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45789</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45789</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45789</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45789</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45789</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45789</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45789</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45789</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45789</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45789</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45789</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45789</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45789</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5484-2023</t>
        </is>
      </c>
      <c r="B42" s="1" t="n">
        <v>44957</v>
      </c>
      <c r="C42" s="1" t="n">
        <v>45789</v>
      </c>
      <c r="D42" t="inlineStr">
        <is>
          <t>DALARNAS LÄN</t>
        </is>
      </c>
      <c r="E42" t="inlineStr">
        <is>
          <t>MORA</t>
        </is>
      </c>
      <c r="F42" t="inlineStr">
        <is>
          <t>Allmännings- och besparingsskogar</t>
        </is>
      </c>
      <c r="G42" t="n">
        <v>14.9</v>
      </c>
      <c r="H42" t="n">
        <v>0</v>
      </c>
      <c r="I42" t="n">
        <v>1</v>
      </c>
      <c r="J42" t="n">
        <v>0</v>
      </c>
      <c r="K42" t="n">
        <v>2</v>
      </c>
      <c r="L42" t="n">
        <v>0</v>
      </c>
      <c r="M42" t="n">
        <v>0</v>
      </c>
      <c r="N42" t="n">
        <v>0</v>
      </c>
      <c r="O42" t="n">
        <v>2</v>
      </c>
      <c r="P42" t="n">
        <v>2</v>
      </c>
      <c r="Q42" t="n">
        <v>3</v>
      </c>
      <c r="R42" s="2" t="inlineStr">
        <is>
          <t>Raggbock
Tallbarksvartbagge
Mindre märgborre</t>
        </is>
      </c>
      <c r="S42">
        <f>HYPERLINK("https://klasma.github.io/Logging_2062/artfynd/A 5484-2023 artfynd.xlsx", "A 5484-2023")</f>
        <v/>
      </c>
      <c r="T42">
        <f>HYPERLINK("https://klasma.github.io/Logging_2062/kartor/A 5484-2023 karta.png", "A 5484-2023")</f>
        <v/>
      </c>
      <c r="V42">
        <f>HYPERLINK("https://klasma.github.io/Logging_2062/klagomål/A 5484-2023 FSC-klagomål.docx", "A 5484-2023")</f>
        <v/>
      </c>
      <c r="W42">
        <f>HYPERLINK("https://klasma.github.io/Logging_2062/klagomålsmail/A 5484-2023 FSC-klagomål mail.docx", "A 5484-2023")</f>
        <v/>
      </c>
      <c r="X42">
        <f>HYPERLINK("https://klasma.github.io/Logging_2062/tillsyn/A 5484-2023 tillsynsbegäran.docx", "A 5484-2023")</f>
        <v/>
      </c>
      <c r="Y42">
        <f>HYPERLINK("https://klasma.github.io/Logging_2062/tillsynsmail/A 5484-2023 tillsynsbegäran mail.docx", "A 5484-2023")</f>
        <v/>
      </c>
    </row>
    <row r="43" ht="15" customHeight="1">
      <c r="A43" t="inlineStr">
        <is>
          <t>A 33185-2019</t>
        </is>
      </c>
      <c r="B43" s="1" t="n">
        <v>43649</v>
      </c>
      <c r="C43" s="1" t="n">
        <v>45789</v>
      </c>
      <c r="D43" t="inlineStr">
        <is>
          <t>DALARNAS LÄN</t>
        </is>
      </c>
      <c r="E43" t="inlineStr">
        <is>
          <t>MORA</t>
        </is>
      </c>
      <c r="G43" t="n">
        <v>8</v>
      </c>
      <c r="H43" t="n">
        <v>0</v>
      </c>
      <c r="I43" t="n">
        <v>0</v>
      </c>
      <c r="J43" t="n">
        <v>2</v>
      </c>
      <c r="K43" t="n">
        <v>0</v>
      </c>
      <c r="L43" t="n">
        <v>0</v>
      </c>
      <c r="M43" t="n">
        <v>0</v>
      </c>
      <c r="N43" t="n">
        <v>0</v>
      </c>
      <c r="O43" t="n">
        <v>2</v>
      </c>
      <c r="P43" t="n">
        <v>0</v>
      </c>
      <c r="Q43" t="n">
        <v>2</v>
      </c>
      <c r="R43" s="2" t="inlineStr">
        <is>
          <t>Mörk kolflarnlav
Vedskivlav</t>
        </is>
      </c>
      <c r="S43">
        <f>HYPERLINK("https://klasma.github.io/Logging_2062/artfynd/A 33185-2019 artfynd.xlsx", "A 33185-2019")</f>
        <v/>
      </c>
      <c r="T43">
        <f>HYPERLINK("https://klasma.github.io/Logging_2062/kartor/A 33185-2019 karta.png", "A 33185-2019")</f>
        <v/>
      </c>
      <c r="V43">
        <f>HYPERLINK("https://klasma.github.io/Logging_2062/klagomål/A 33185-2019 FSC-klagomål.docx", "A 33185-2019")</f>
        <v/>
      </c>
      <c r="W43">
        <f>HYPERLINK("https://klasma.github.io/Logging_2062/klagomålsmail/A 33185-2019 FSC-klagomål mail.docx", "A 33185-2019")</f>
        <v/>
      </c>
      <c r="X43">
        <f>HYPERLINK("https://klasma.github.io/Logging_2062/tillsyn/A 33185-2019 tillsynsbegäran.docx", "A 33185-2019")</f>
        <v/>
      </c>
      <c r="Y43">
        <f>HYPERLINK("https://klasma.github.io/Logging_2062/tillsynsmail/A 33185-2019 tillsynsbegäran mail.docx", "A 33185-2019")</f>
        <v/>
      </c>
    </row>
    <row r="44" ht="15" customHeight="1">
      <c r="A44" t="inlineStr">
        <is>
          <t>A 64812-2019</t>
        </is>
      </c>
      <c r="B44" s="1" t="n">
        <v>43801</v>
      </c>
      <c r="C44" s="1" t="n">
        <v>45789</v>
      </c>
      <c r="D44" t="inlineStr">
        <is>
          <t>DALARNAS LÄN</t>
        </is>
      </c>
      <c r="E44" t="inlineStr">
        <is>
          <t>MORA</t>
        </is>
      </c>
      <c r="G44" t="n">
        <v>5.6</v>
      </c>
      <c r="H44" t="n">
        <v>0</v>
      </c>
      <c r="I44" t="n">
        <v>0</v>
      </c>
      <c r="J44" t="n">
        <v>2</v>
      </c>
      <c r="K44" t="n">
        <v>0</v>
      </c>
      <c r="L44" t="n">
        <v>0</v>
      </c>
      <c r="M44" t="n">
        <v>0</v>
      </c>
      <c r="N44" t="n">
        <v>0</v>
      </c>
      <c r="O44" t="n">
        <v>2</v>
      </c>
      <c r="P44" t="n">
        <v>0</v>
      </c>
      <c r="Q44" t="n">
        <v>2</v>
      </c>
      <c r="R44" s="2" t="inlineStr">
        <is>
          <t>Rosenticka
Ullticka</t>
        </is>
      </c>
      <c r="S44">
        <f>HYPERLINK("https://klasma.github.io/Logging_2062/artfynd/A 64812-2019 artfynd.xlsx", "A 64812-2019")</f>
        <v/>
      </c>
      <c r="T44">
        <f>HYPERLINK("https://klasma.github.io/Logging_2062/kartor/A 64812-2019 karta.png", "A 64812-2019")</f>
        <v/>
      </c>
      <c r="V44">
        <f>HYPERLINK("https://klasma.github.io/Logging_2062/klagomål/A 64812-2019 FSC-klagomål.docx", "A 64812-2019")</f>
        <v/>
      </c>
      <c r="W44">
        <f>HYPERLINK("https://klasma.github.io/Logging_2062/klagomålsmail/A 64812-2019 FSC-klagomål mail.docx", "A 64812-2019")</f>
        <v/>
      </c>
      <c r="X44">
        <f>HYPERLINK("https://klasma.github.io/Logging_2062/tillsyn/A 64812-2019 tillsynsbegäran.docx", "A 64812-2019")</f>
        <v/>
      </c>
      <c r="Y44">
        <f>HYPERLINK("https://klasma.github.io/Logging_2062/tillsynsmail/A 64812-2019 tillsynsbegäran mail.docx", "A 64812-2019")</f>
        <v/>
      </c>
    </row>
    <row r="45" ht="15" customHeight="1">
      <c r="A45" t="inlineStr">
        <is>
          <t>A 59626-2020</t>
        </is>
      </c>
      <c r="B45" s="1" t="n">
        <v>44150</v>
      </c>
      <c r="C45" s="1" t="n">
        <v>45789</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45789</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25881-2023</t>
        </is>
      </c>
      <c r="B47" s="1" t="n">
        <v>45090</v>
      </c>
      <c r="C47" s="1" t="n">
        <v>45789</v>
      </c>
      <c r="D47" t="inlineStr">
        <is>
          <t>DALARNAS LÄN</t>
        </is>
      </c>
      <c r="E47" t="inlineStr">
        <is>
          <t>MORA</t>
        </is>
      </c>
      <c r="G47" t="n">
        <v>8.5</v>
      </c>
      <c r="H47" t="n">
        <v>2</v>
      </c>
      <c r="I47" t="n">
        <v>0</v>
      </c>
      <c r="J47" t="n">
        <v>2</v>
      </c>
      <c r="K47" t="n">
        <v>0</v>
      </c>
      <c r="L47" t="n">
        <v>0</v>
      </c>
      <c r="M47" t="n">
        <v>0</v>
      </c>
      <c r="N47" t="n">
        <v>0</v>
      </c>
      <c r="O47" t="n">
        <v>2</v>
      </c>
      <c r="P47" t="n">
        <v>0</v>
      </c>
      <c r="Q47" t="n">
        <v>2</v>
      </c>
      <c r="R47" s="2" t="inlineStr">
        <is>
          <t>Talltita
Tretåig hackspett</t>
        </is>
      </c>
      <c r="S47">
        <f>HYPERLINK("https://klasma.github.io/Logging_2062/artfynd/A 25881-2023 artfynd.xlsx", "A 25881-2023")</f>
        <v/>
      </c>
      <c r="T47">
        <f>HYPERLINK("https://klasma.github.io/Logging_2062/kartor/A 25881-2023 karta.png", "A 25881-2023")</f>
        <v/>
      </c>
      <c r="V47">
        <f>HYPERLINK("https://klasma.github.io/Logging_2062/klagomål/A 25881-2023 FSC-klagomål.docx", "A 25881-2023")</f>
        <v/>
      </c>
      <c r="W47">
        <f>HYPERLINK("https://klasma.github.io/Logging_2062/klagomålsmail/A 25881-2023 FSC-klagomål mail.docx", "A 25881-2023")</f>
        <v/>
      </c>
      <c r="X47">
        <f>HYPERLINK("https://klasma.github.io/Logging_2062/tillsyn/A 25881-2023 tillsynsbegäran.docx", "A 25881-2023")</f>
        <v/>
      </c>
      <c r="Y47">
        <f>HYPERLINK("https://klasma.github.io/Logging_2062/tillsynsmail/A 25881-2023 tillsynsbegäran mail.docx", "A 25881-2023")</f>
        <v/>
      </c>
      <c r="Z47">
        <f>HYPERLINK("https://klasma.github.io/Logging_2062/fåglar/A 25881-2023 prioriterade fågelarter.docx", "A 25881-2023")</f>
        <v/>
      </c>
    </row>
    <row r="48" ht="15" customHeight="1">
      <c r="A48" t="inlineStr">
        <is>
          <t>A 26587-2023</t>
        </is>
      </c>
      <c r="B48" s="1" t="n">
        <v>45092</v>
      </c>
      <c r="C48" s="1" t="n">
        <v>45789</v>
      </c>
      <c r="D48" t="inlineStr">
        <is>
          <t>DALARNAS LÄN</t>
        </is>
      </c>
      <c r="E48" t="inlineStr">
        <is>
          <t>MORA</t>
        </is>
      </c>
      <c r="G48" t="n">
        <v>2.1</v>
      </c>
      <c r="H48" t="n">
        <v>0</v>
      </c>
      <c r="I48" t="n">
        <v>1</v>
      </c>
      <c r="J48" t="n">
        <v>1</v>
      </c>
      <c r="K48" t="n">
        <v>0</v>
      </c>
      <c r="L48" t="n">
        <v>0</v>
      </c>
      <c r="M48" t="n">
        <v>0</v>
      </c>
      <c r="N48" t="n">
        <v>0</v>
      </c>
      <c r="O48" t="n">
        <v>1</v>
      </c>
      <c r="P48" t="n">
        <v>0</v>
      </c>
      <c r="Q48" t="n">
        <v>2</v>
      </c>
      <c r="R48" s="2" t="inlineStr">
        <is>
          <t>Motaggsvamp
Mindre märgborre</t>
        </is>
      </c>
      <c r="S48">
        <f>HYPERLINK("https://klasma.github.io/Logging_2062/artfynd/A 26587-2023 artfynd.xlsx", "A 26587-2023")</f>
        <v/>
      </c>
      <c r="T48">
        <f>HYPERLINK("https://klasma.github.io/Logging_2062/kartor/A 26587-2023 karta.png", "A 26587-2023")</f>
        <v/>
      </c>
      <c r="V48">
        <f>HYPERLINK("https://klasma.github.io/Logging_2062/klagomål/A 26587-2023 FSC-klagomål.docx", "A 26587-2023")</f>
        <v/>
      </c>
      <c r="W48">
        <f>HYPERLINK("https://klasma.github.io/Logging_2062/klagomålsmail/A 26587-2023 FSC-klagomål mail.docx", "A 26587-2023")</f>
        <v/>
      </c>
      <c r="X48">
        <f>HYPERLINK("https://klasma.github.io/Logging_2062/tillsyn/A 26587-2023 tillsynsbegäran.docx", "A 26587-2023")</f>
        <v/>
      </c>
      <c r="Y48">
        <f>HYPERLINK("https://klasma.github.io/Logging_2062/tillsynsmail/A 26587-2023 tillsynsbegäran mail.docx", "A 26587-2023")</f>
        <v/>
      </c>
    </row>
    <row r="49" ht="15" customHeight="1">
      <c r="A49" t="inlineStr">
        <is>
          <t>A 30278-2023</t>
        </is>
      </c>
      <c r="B49" s="1" t="n">
        <v>45110</v>
      </c>
      <c r="C49" s="1" t="n">
        <v>45789</v>
      </c>
      <c r="D49" t="inlineStr">
        <is>
          <t>DALARNAS LÄN</t>
        </is>
      </c>
      <c r="E49" t="inlineStr">
        <is>
          <t>MORA</t>
        </is>
      </c>
      <c r="G49" t="n">
        <v>16</v>
      </c>
      <c r="H49" t="n">
        <v>0</v>
      </c>
      <c r="I49" t="n">
        <v>1</v>
      </c>
      <c r="J49" t="n">
        <v>0</v>
      </c>
      <c r="K49" t="n">
        <v>1</v>
      </c>
      <c r="L49" t="n">
        <v>0</v>
      </c>
      <c r="M49" t="n">
        <v>0</v>
      </c>
      <c r="N49" t="n">
        <v>0</v>
      </c>
      <c r="O49" t="n">
        <v>1</v>
      </c>
      <c r="P49" t="n">
        <v>1</v>
      </c>
      <c r="Q49" t="n">
        <v>2</v>
      </c>
      <c r="R49" s="2" t="inlineStr">
        <is>
          <t>Tallbarksvartbagge
Mindre märgborre</t>
        </is>
      </c>
      <c r="S49">
        <f>HYPERLINK("https://klasma.github.io/Logging_2062/artfynd/A 30278-2023 artfynd.xlsx", "A 30278-2023")</f>
        <v/>
      </c>
      <c r="T49">
        <f>HYPERLINK("https://klasma.github.io/Logging_2062/kartor/A 30278-2023 karta.png", "A 30278-2023")</f>
        <v/>
      </c>
      <c r="V49">
        <f>HYPERLINK("https://klasma.github.io/Logging_2062/klagomål/A 30278-2023 FSC-klagomål.docx", "A 30278-2023")</f>
        <v/>
      </c>
      <c r="W49">
        <f>HYPERLINK("https://klasma.github.io/Logging_2062/klagomålsmail/A 30278-2023 FSC-klagomål mail.docx", "A 30278-2023")</f>
        <v/>
      </c>
      <c r="X49">
        <f>HYPERLINK("https://klasma.github.io/Logging_2062/tillsyn/A 30278-2023 tillsynsbegäran.docx", "A 30278-2023")</f>
        <v/>
      </c>
      <c r="Y49">
        <f>HYPERLINK("https://klasma.github.io/Logging_2062/tillsynsmail/A 30278-2023 tillsynsbegäran mail.docx", "A 30278-2023")</f>
        <v/>
      </c>
    </row>
    <row r="50" ht="15" customHeight="1">
      <c r="A50" t="inlineStr">
        <is>
          <t>A 42028-2023</t>
        </is>
      </c>
      <c r="B50" s="1" t="n">
        <v>45177</v>
      </c>
      <c r="C50" s="1" t="n">
        <v>45789</v>
      </c>
      <c r="D50" t="inlineStr">
        <is>
          <t>DALARNAS LÄN</t>
        </is>
      </c>
      <c r="E50" t="inlineStr">
        <is>
          <t>MORA</t>
        </is>
      </c>
      <c r="F50" t="inlineStr">
        <is>
          <t>Allmännings- och besparingsskogar</t>
        </is>
      </c>
      <c r="G50" t="n">
        <v>6.5</v>
      </c>
      <c r="H50" t="n">
        <v>0</v>
      </c>
      <c r="I50" t="n">
        <v>0</v>
      </c>
      <c r="J50" t="n">
        <v>2</v>
      </c>
      <c r="K50" t="n">
        <v>0</v>
      </c>
      <c r="L50" t="n">
        <v>0</v>
      </c>
      <c r="M50" t="n">
        <v>0</v>
      </c>
      <c r="N50" t="n">
        <v>0</v>
      </c>
      <c r="O50" t="n">
        <v>2</v>
      </c>
      <c r="P50" t="n">
        <v>0</v>
      </c>
      <c r="Q50" t="n">
        <v>2</v>
      </c>
      <c r="R50" s="2" t="inlineStr">
        <is>
          <t>Dvärgbägarlav
Vedskivlav</t>
        </is>
      </c>
      <c r="S50">
        <f>HYPERLINK("https://klasma.github.io/Logging_2062/artfynd/A 42028-2023 artfynd.xlsx", "A 42028-2023")</f>
        <v/>
      </c>
      <c r="T50">
        <f>HYPERLINK("https://klasma.github.io/Logging_2062/kartor/A 42028-2023 karta.png", "A 42028-2023")</f>
        <v/>
      </c>
      <c r="V50">
        <f>HYPERLINK("https://klasma.github.io/Logging_2062/klagomål/A 42028-2023 FSC-klagomål.docx", "A 42028-2023")</f>
        <v/>
      </c>
      <c r="W50">
        <f>HYPERLINK("https://klasma.github.io/Logging_2062/klagomålsmail/A 42028-2023 FSC-klagomål mail.docx", "A 42028-2023")</f>
        <v/>
      </c>
      <c r="X50">
        <f>HYPERLINK("https://klasma.github.io/Logging_2062/tillsyn/A 42028-2023 tillsynsbegäran.docx", "A 42028-2023")</f>
        <v/>
      </c>
      <c r="Y50">
        <f>HYPERLINK("https://klasma.github.io/Logging_2062/tillsynsmail/A 42028-2023 tillsynsbegäran mail.docx", "A 42028-2023")</f>
        <v/>
      </c>
    </row>
    <row r="51" ht="15" customHeight="1">
      <c r="A51" t="inlineStr">
        <is>
          <t>A 33968-2020</t>
        </is>
      </c>
      <c r="B51" s="1" t="n">
        <v>44028</v>
      </c>
      <c r="C51" s="1" t="n">
        <v>45789</v>
      </c>
      <c r="D51" t="inlineStr">
        <is>
          <t>DALARNAS LÄN</t>
        </is>
      </c>
      <c r="E51" t="inlineStr">
        <is>
          <t>MORA</t>
        </is>
      </c>
      <c r="G51" t="n">
        <v>0.5</v>
      </c>
      <c r="H51" t="n">
        <v>1</v>
      </c>
      <c r="I51" t="n">
        <v>0</v>
      </c>
      <c r="J51" t="n">
        <v>1</v>
      </c>
      <c r="K51" t="n">
        <v>0</v>
      </c>
      <c r="L51" t="n">
        <v>0</v>
      </c>
      <c r="M51" t="n">
        <v>0</v>
      </c>
      <c r="N51" t="n">
        <v>0</v>
      </c>
      <c r="O51" t="n">
        <v>1</v>
      </c>
      <c r="P51" t="n">
        <v>0</v>
      </c>
      <c r="Q51" t="n">
        <v>1</v>
      </c>
      <c r="R51" s="2" t="inlineStr">
        <is>
          <t>Spillkråka</t>
        </is>
      </c>
      <c r="S51">
        <f>HYPERLINK("https://klasma.github.io/Logging_2062/artfynd/A 33968-2020 artfynd.xlsx", "A 33968-2020")</f>
        <v/>
      </c>
      <c r="T51">
        <f>HYPERLINK("https://klasma.github.io/Logging_2062/kartor/A 33968-2020 karta.png", "A 33968-2020")</f>
        <v/>
      </c>
      <c r="V51">
        <f>HYPERLINK("https://klasma.github.io/Logging_2062/klagomål/A 33968-2020 FSC-klagomål.docx", "A 33968-2020")</f>
        <v/>
      </c>
      <c r="W51">
        <f>HYPERLINK("https://klasma.github.io/Logging_2062/klagomålsmail/A 33968-2020 FSC-klagomål mail.docx", "A 33968-2020")</f>
        <v/>
      </c>
      <c r="X51">
        <f>HYPERLINK("https://klasma.github.io/Logging_2062/tillsyn/A 33968-2020 tillsynsbegäran.docx", "A 33968-2020")</f>
        <v/>
      </c>
      <c r="Y51">
        <f>HYPERLINK("https://klasma.github.io/Logging_2062/tillsynsmail/A 33968-2020 tillsynsbegäran mail.docx", "A 33968-2020")</f>
        <v/>
      </c>
      <c r="Z51">
        <f>HYPERLINK("https://klasma.github.io/Logging_2062/fåglar/A 33968-2020 prioriterade fågelarter.docx", "A 33968-2020")</f>
        <v/>
      </c>
    </row>
    <row r="52" ht="15" customHeight="1">
      <c r="A52" t="inlineStr">
        <is>
          <t>A 30328-2021</t>
        </is>
      </c>
      <c r="B52" s="1" t="n">
        <v>44364</v>
      </c>
      <c r="C52" s="1" t="n">
        <v>45789</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44426-2021</t>
        </is>
      </c>
      <c r="B53" s="1" t="n">
        <v>44435</v>
      </c>
      <c r="C53" s="1" t="n">
        <v>45789</v>
      </c>
      <c r="D53" t="inlineStr">
        <is>
          <t>DALARNAS LÄN</t>
        </is>
      </c>
      <c r="E53" t="inlineStr">
        <is>
          <t>MORA</t>
        </is>
      </c>
      <c r="G53" t="n">
        <v>2.2</v>
      </c>
      <c r="H53" t="n">
        <v>0</v>
      </c>
      <c r="I53" t="n">
        <v>0</v>
      </c>
      <c r="J53" t="n">
        <v>1</v>
      </c>
      <c r="K53" t="n">
        <v>0</v>
      </c>
      <c r="L53" t="n">
        <v>0</v>
      </c>
      <c r="M53" t="n">
        <v>0</v>
      </c>
      <c r="N53" t="n">
        <v>0</v>
      </c>
      <c r="O53" t="n">
        <v>1</v>
      </c>
      <c r="P53" t="n">
        <v>0</v>
      </c>
      <c r="Q53" t="n">
        <v>1</v>
      </c>
      <c r="R53" s="2" t="inlineStr">
        <is>
          <t>Garnlav</t>
        </is>
      </c>
      <c r="S53">
        <f>HYPERLINK("https://klasma.github.io/Logging_2062/artfynd/A 44426-2021 artfynd.xlsx", "A 44426-2021")</f>
        <v/>
      </c>
      <c r="T53">
        <f>HYPERLINK("https://klasma.github.io/Logging_2062/kartor/A 44426-2021 karta.png", "A 44426-2021")</f>
        <v/>
      </c>
      <c r="V53">
        <f>HYPERLINK("https://klasma.github.io/Logging_2062/klagomål/A 44426-2021 FSC-klagomål.docx", "A 44426-2021")</f>
        <v/>
      </c>
      <c r="W53">
        <f>HYPERLINK("https://klasma.github.io/Logging_2062/klagomålsmail/A 44426-2021 FSC-klagomål mail.docx", "A 44426-2021")</f>
        <v/>
      </c>
      <c r="X53">
        <f>HYPERLINK("https://klasma.github.io/Logging_2062/tillsyn/A 44426-2021 tillsynsbegäran.docx", "A 44426-2021")</f>
        <v/>
      </c>
      <c r="Y53">
        <f>HYPERLINK("https://klasma.github.io/Logging_2062/tillsynsmail/A 44426-2021 tillsynsbegäran mail.docx", "A 44426-2021")</f>
        <v/>
      </c>
    </row>
    <row r="54" ht="15" customHeight="1">
      <c r="A54" t="inlineStr">
        <is>
          <t>A 57669-2022</t>
        </is>
      </c>
      <c r="B54" s="1" t="n">
        <v>44897</v>
      </c>
      <c r="C54" s="1" t="n">
        <v>45789</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5304-2023</t>
        </is>
      </c>
      <c r="B55" s="1" t="n">
        <v>44959</v>
      </c>
      <c r="C55" s="1" t="n">
        <v>45789</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23736-2023</t>
        </is>
      </c>
      <c r="B56" s="1" t="n">
        <v>45077</v>
      </c>
      <c r="C56" s="1" t="n">
        <v>45789</v>
      </c>
      <c r="D56" t="inlineStr">
        <is>
          <t>DALARNAS LÄN</t>
        </is>
      </c>
      <c r="E56" t="inlineStr">
        <is>
          <t>MORA</t>
        </is>
      </c>
      <c r="G56" t="n">
        <v>7.2</v>
      </c>
      <c r="H56" t="n">
        <v>0</v>
      </c>
      <c r="I56" t="n">
        <v>0</v>
      </c>
      <c r="J56" t="n">
        <v>1</v>
      </c>
      <c r="K56" t="n">
        <v>0</v>
      </c>
      <c r="L56" t="n">
        <v>0</v>
      </c>
      <c r="M56" t="n">
        <v>0</v>
      </c>
      <c r="N56" t="n">
        <v>0</v>
      </c>
      <c r="O56" t="n">
        <v>1</v>
      </c>
      <c r="P56" t="n">
        <v>0</v>
      </c>
      <c r="Q56" t="n">
        <v>1</v>
      </c>
      <c r="R56" s="2" t="inlineStr">
        <is>
          <t>Reliktbock</t>
        </is>
      </c>
      <c r="S56">
        <f>HYPERLINK("https://klasma.github.io/Logging_2062/artfynd/A 23736-2023 artfynd.xlsx", "A 23736-2023")</f>
        <v/>
      </c>
      <c r="T56">
        <f>HYPERLINK("https://klasma.github.io/Logging_2062/kartor/A 23736-2023 karta.png", "A 23736-2023")</f>
        <v/>
      </c>
      <c r="V56">
        <f>HYPERLINK("https://klasma.github.io/Logging_2062/klagomål/A 23736-2023 FSC-klagomål.docx", "A 23736-2023")</f>
        <v/>
      </c>
      <c r="W56">
        <f>HYPERLINK("https://klasma.github.io/Logging_2062/klagomålsmail/A 23736-2023 FSC-klagomål mail.docx", "A 23736-2023")</f>
        <v/>
      </c>
      <c r="X56">
        <f>HYPERLINK("https://klasma.github.io/Logging_2062/tillsyn/A 23736-2023 tillsynsbegäran.docx", "A 23736-2023")</f>
        <v/>
      </c>
      <c r="Y56">
        <f>HYPERLINK("https://klasma.github.io/Logging_2062/tillsynsmail/A 23736-2023 tillsynsbegäran mail.docx", "A 23736-2023")</f>
        <v/>
      </c>
    </row>
    <row r="57" ht="15" customHeight="1">
      <c r="A57" t="inlineStr">
        <is>
          <t>A 24681-2023</t>
        </is>
      </c>
      <c r="B57" s="1" t="n">
        <v>45084</v>
      </c>
      <c r="C57" s="1" t="n">
        <v>45789</v>
      </c>
      <c r="D57" t="inlineStr">
        <is>
          <t>DALARNAS LÄN</t>
        </is>
      </c>
      <c r="E57" t="inlineStr">
        <is>
          <t>MORA</t>
        </is>
      </c>
      <c r="G57" t="n">
        <v>8.199999999999999</v>
      </c>
      <c r="H57" t="n">
        <v>0</v>
      </c>
      <c r="I57" t="n">
        <v>0</v>
      </c>
      <c r="J57" t="n">
        <v>1</v>
      </c>
      <c r="K57" t="n">
        <v>0</v>
      </c>
      <c r="L57" t="n">
        <v>0</v>
      </c>
      <c r="M57" t="n">
        <v>0</v>
      </c>
      <c r="N57" t="n">
        <v>0</v>
      </c>
      <c r="O57" t="n">
        <v>1</v>
      </c>
      <c r="P57" t="n">
        <v>0</v>
      </c>
      <c r="Q57" t="n">
        <v>1</v>
      </c>
      <c r="R57" s="2" t="inlineStr">
        <is>
          <t>Dvärgbägarlav</t>
        </is>
      </c>
      <c r="S57">
        <f>HYPERLINK("https://klasma.github.io/Logging_2062/artfynd/A 24681-2023 artfynd.xlsx", "A 24681-2023")</f>
        <v/>
      </c>
      <c r="T57">
        <f>HYPERLINK("https://klasma.github.io/Logging_2062/kartor/A 24681-2023 karta.png", "A 24681-2023")</f>
        <v/>
      </c>
      <c r="V57">
        <f>HYPERLINK("https://klasma.github.io/Logging_2062/klagomål/A 24681-2023 FSC-klagomål.docx", "A 24681-2023")</f>
        <v/>
      </c>
      <c r="W57">
        <f>HYPERLINK("https://klasma.github.io/Logging_2062/klagomålsmail/A 24681-2023 FSC-klagomål mail.docx", "A 24681-2023")</f>
        <v/>
      </c>
      <c r="X57">
        <f>HYPERLINK("https://klasma.github.io/Logging_2062/tillsyn/A 24681-2023 tillsynsbegäran.docx", "A 24681-2023")</f>
        <v/>
      </c>
      <c r="Y57">
        <f>HYPERLINK("https://klasma.github.io/Logging_2062/tillsynsmail/A 24681-2023 tillsynsbegäran mail.docx", "A 24681-2023")</f>
        <v/>
      </c>
    </row>
    <row r="58" ht="15" customHeight="1">
      <c r="A58" t="inlineStr">
        <is>
          <t>A 30906-2023</t>
        </is>
      </c>
      <c r="B58" s="1" t="n">
        <v>45113</v>
      </c>
      <c r="C58" s="1" t="n">
        <v>45789</v>
      </c>
      <c r="D58" t="inlineStr">
        <is>
          <t>DALARNAS LÄN</t>
        </is>
      </c>
      <c r="E58" t="inlineStr">
        <is>
          <t>MORA</t>
        </is>
      </c>
      <c r="G58" t="n">
        <v>3.1</v>
      </c>
      <c r="H58" t="n">
        <v>0</v>
      </c>
      <c r="I58" t="n">
        <v>0</v>
      </c>
      <c r="J58" t="n">
        <v>0</v>
      </c>
      <c r="K58" t="n">
        <v>1</v>
      </c>
      <c r="L58" t="n">
        <v>0</v>
      </c>
      <c r="M58" t="n">
        <v>0</v>
      </c>
      <c r="N58" t="n">
        <v>0</v>
      </c>
      <c r="O58" t="n">
        <v>1</v>
      </c>
      <c r="P58" t="n">
        <v>1</v>
      </c>
      <c r="Q58" t="n">
        <v>1</v>
      </c>
      <c r="R58" s="2" t="inlineStr">
        <is>
          <t>Jättemusseron</t>
        </is>
      </c>
      <c r="S58">
        <f>HYPERLINK("https://klasma.github.io/Logging_2062/artfynd/A 30906-2023 artfynd.xlsx", "A 30906-2023")</f>
        <v/>
      </c>
      <c r="T58">
        <f>HYPERLINK("https://klasma.github.io/Logging_2062/kartor/A 30906-2023 karta.png", "A 30906-2023")</f>
        <v/>
      </c>
      <c r="V58">
        <f>HYPERLINK("https://klasma.github.io/Logging_2062/klagomål/A 30906-2023 FSC-klagomål.docx", "A 30906-2023")</f>
        <v/>
      </c>
      <c r="W58">
        <f>HYPERLINK("https://klasma.github.io/Logging_2062/klagomålsmail/A 30906-2023 FSC-klagomål mail.docx", "A 30906-2023")</f>
        <v/>
      </c>
      <c r="X58">
        <f>HYPERLINK("https://klasma.github.io/Logging_2062/tillsyn/A 30906-2023 tillsynsbegäran.docx", "A 30906-2023")</f>
        <v/>
      </c>
      <c r="Y58">
        <f>HYPERLINK("https://klasma.github.io/Logging_2062/tillsynsmail/A 30906-2023 tillsynsbegäran mail.docx", "A 30906-2023")</f>
        <v/>
      </c>
    </row>
    <row r="59" ht="15" customHeight="1">
      <c r="A59" t="inlineStr">
        <is>
          <t>A 34194-2023</t>
        </is>
      </c>
      <c r="B59" s="1" t="n">
        <v>45138</v>
      </c>
      <c r="C59" s="1" t="n">
        <v>45789</v>
      </c>
      <c r="D59" t="inlineStr">
        <is>
          <t>DALARNAS LÄN</t>
        </is>
      </c>
      <c r="E59" t="inlineStr">
        <is>
          <t>MORA</t>
        </is>
      </c>
      <c r="G59" t="n">
        <v>8.699999999999999</v>
      </c>
      <c r="H59" t="n">
        <v>0</v>
      </c>
      <c r="I59" t="n">
        <v>0</v>
      </c>
      <c r="J59" t="n">
        <v>1</v>
      </c>
      <c r="K59" t="n">
        <v>0</v>
      </c>
      <c r="L59" t="n">
        <v>0</v>
      </c>
      <c r="M59" t="n">
        <v>0</v>
      </c>
      <c r="N59" t="n">
        <v>0</v>
      </c>
      <c r="O59" t="n">
        <v>1</v>
      </c>
      <c r="P59" t="n">
        <v>0</v>
      </c>
      <c r="Q59" t="n">
        <v>1</v>
      </c>
      <c r="R59" s="2" t="inlineStr">
        <is>
          <t>Motaggsvamp</t>
        </is>
      </c>
      <c r="S59">
        <f>HYPERLINK("https://klasma.github.io/Logging_2062/artfynd/A 34194-2023 artfynd.xlsx", "A 34194-2023")</f>
        <v/>
      </c>
      <c r="T59">
        <f>HYPERLINK("https://klasma.github.io/Logging_2062/kartor/A 34194-2023 karta.png", "A 34194-2023")</f>
        <v/>
      </c>
      <c r="V59">
        <f>HYPERLINK("https://klasma.github.io/Logging_2062/klagomål/A 34194-2023 FSC-klagomål.docx", "A 34194-2023")</f>
        <v/>
      </c>
      <c r="W59">
        <f>HYPERLINK("https://klasma.github.io/Logging_2062/klagomålsmail/A 34194-2023 FSC-klagomål mail.docx", "A 34194-2023")</f>
        <v/>
      </c>
      <c r="X59">
        <f>HYPERLINK("https://klasma.github.io/Logging_2062/tillsyn/A 34194-2023 tillsynsbegäran.docx", "A 34194-2023")</f>
        <v/>
      </c>
      <c r="Y59">
        <f>HYPERLINK("https://klasma.github.io/Logging_2062/tillsynsmail/A 34194-2023 tillsynsbegäran mail.docx", "A 34194-2023")</f>
        <v/>
      </c>
    </row>
    <row r="60" ht="15" customHeight="1">
      <c r="A60" t="inlineStr">
        <is>
          <t>A 54132-2023</t>
        </is>
      </c>
      <c r="B60" s="1" t="n">
        <v>45232</v>
      </c>
      <c r="C60" s="1" t="n">
        <v>45789</v>
      </c>
      <c r="D60" t="inlineStr">
        <is>
          <t>DALARNAS LÄN</t>
        </is>
      </c>
      <c r="E60" t="inlineStr">
        <is>
          <t>MORA</t>
        </is>
      </c>
      <c r="G60" t="n">
        <v>0.9</v>
      </c>
      <c r="H60" t="n">
        <v>0</v>
      </c>
      <c r="I60" t="n">
        <v>0</v>
      </c>
      <c r="J60" t="n">
        <v>0</v>
      </c>
      <c r="K60" t="n">
        <v>1</v>
      </c>
      <c r="L60" t="n">
        <v>0</v>
      </c>
      <c r="M60" t="n">
        <v>0</v>
      </c>
      <c r="N60" t="n">
        <v>0</v>
      </c>
      <c r="O60" t="n">
        <v>1</v>
      </c>
      <c r="P60" t="n">
        <v>1</v>
      </c>
      <c r="Q60" t="n">
        <v>1</v>
      </c>
      <c r="R60" s="2" t="inlineStr">
        <is>
          <t>Jättemusseron</t>
        </is>
      </c>
      <c r="S60">
        <f>HYPERLINK("https://klasma.github.io/Logging_2062/artfynd/A 54132-2023 artfynd.xlsx", "A 54132-2023")</f>
        <v/>
      </c>
      <c r="T60">
        <f>HYPERLINK("https://klasma.github.io/Logging_2062/kartor/A 54132-2023 karta.png", "A 54132-2023")</f>
        <v/>
      </c>
      <c r="V60">
        <f>HYPERLINK("https://klasma.github.io/Logging_2062/klagomål/A 54132-2023 FSC-klagomål.docx", "A 54132-2023")</f>
        <v/>
      </c>
      <c r="W60">
        <f>HYPERLINK("https://klasma.github.io/Logging_2062/klagomålsmail/A 54132-2023 FSC-klagomål mail.docx", "A 54132-2023")</f>
        <v/>
      </c>
      <c r="X60">
        <f>HYPERLINK("https://klasma.github.io/Logging_2062/tillsyn/A 54132-2023 tillsynsbegäran.docx", "A 54132-2023")</f>
        <v/>
      </c>
      <c r="Y60">
        <f>HYPERLINK("https://klasma.github.io/Logging_2062/tillsynsmail/A 54132-2023 tillsynsbegäran mail.docx", "A 54132-2023")</f>
        <v/>
      </c>
    </row>
    <row r="61" ht="15" customHeight="1">
      <c r="A61" t="inlineStr">
        <is>
          <t>A 5691-2024</t>
        </is>
      </c>
      <c r="B61" s="1" t="n">
        <v>45334</v>
      </c>
      <c r="C61" s="1" t="n">
        <v>45789</v>
      </c>
      <c r="D61" t="inlineStr">
        <is>
          <t>DALARNAS LÄN</t>
        </is>
      </c>
      <c r="E61" t="inlineStr">
        <is>
          <t>MORA</t>
        </is>
      </c>
      <c r="G61" t="n">
        <v>3.7</v>
      </c>
      <c r="H61" t="n">
        <v>1</v>
      </c>
      <c r="I61" t="n">
        <v>0</v>
      </c>
      <c r="J61" t="n">
        <v>0</v>
      </c>
      <c r="K61" t="n">
        <v>0</v>
      </c>
      <c r="L61" t="n">
        <v>0</v>
      </c>
      <c r="M61" t="n">
        <v>0</v>
      </c>
      <c r="N61" t="n">
        <v>0</v>
      </c>
      <c r="O61" t="n">
        <v>0</v>
      </c>
      <c r="P61" t="n">
        <v>0</v>
      </c>
      <c r="Q61" t="n">
        <v>1</v>
      </c>
      <c r="R61" s="2" t="inlineStr">
        <is>
          <t>Blåsippa</t>
        </is>
      </c>
      <c r="S61">
        <f>HYPERLINK("https://klasma.github.io/Logging_2062/artfynd/A 5691-2024 artfynd.xlsx", "A 5691-2024")</f>
        <v/>
      </c>
      <c r="T61">
        <f>HYPERLINK("https://klasma.github.io/Logging_2062/kartor/A 5691-2024 karta.png", "A 5691-2024")</f>
        <v/>
      </c>
      <c r="V61">
        <f>HYPERLINK("https://klasma.github.io/Logging_2062/klagomål/A 5691-2024 FSC-klagomål.docx", "A 5691-2024")</f>
        <v/>
      </c>
      <c r="W61">
        <f>HYPERLINK("https://klasma.github.io/Logging_2062/klagomålsmail/A 5691-2024 FSC-klagomål mail.docx", "A 5691-2024")</f>
        <v/>
      </c>
      <c r="X61">
        <f>HYPERLINK("https://klasma.github.io/Logging_2062/tillsyn/A 5691-2024 tillsynsbegäran.docx", "A 5691-2024")</f>
        <v/>
      </c>
      <c r="Y61">
        <f>HYPERLINK("https://klasma.github.io/Logging_2062/tillsynsmail/A 5691-2024 tillsynsbegäran mail.docx", "A 5691-2024")</f>
        <v/>
      </c>
    </row>
    <row r="62" ht="15" customHeight="1">
      <c r="A62" t="inlineStr">
        <is>
          <t>A 15820-2024</t>
        </is>
      </c>
      <c r="B62" s="1" t="n">
        <v>45404</v>
      </c>
      <c r="C62" s="1" t="n">
        <v>45789</v>
      </c>
      <c r="D62" t="inlineStr">
        <is>
          <t>DALARNAS LÄN</t>
        </is>
      </c>
      <c r="E62" t="inlineStr">
        <is>
          <t>MORA</t>
        </is>
      </c>
      <c r="G62" t="n">
        <v>3</v>
      </c>
      <c r="H62" t="n">
        <v>1</v>
      </c>
      <c r="I62" t="n">
        <v>0</v>
      </c>
      <c r="J62" t="n">
        <v>1</v>
      </c>
      <c r="K62" t="n">
        <v>0</v>
      </c>
      <c r="L62" t="n">
        <v>0</v>
      </c>
      <c r="M62" t="n">
        <v>0</v>
      </c>
      <c r="N62" t="n">
        <v>0</v>
      </c>
      <c r="O62" t="n">
        <v>1</v>
      </c>
      <c r="P62" t="n">
        <v>0</v>
      </c>
      <c r="Q62" t="n">
        <v>1</v>
      </c>
      <c r="R62" s="2" t="inlineStr">
        <is>
          <t>Slaguggla</t>
        </is>
      </c>
      <c r="S62">
        <f>HYPERLINK("https://klasma.github.io/Logging_2062/artfynd/A 15820-2024 artfynd.xlsx", "A 15820-2024")</f>
        <v/>
      </c>
      <c r="T62">
        <f>HYPERLINK("https://klasma.github.io/Logging_2062/kartor/A 15820-2024 karta.png", "A 15820-2024")</f>
        <v/>
      </c>
      <c r="V62">
        <f>HYPERLINK("https://klasma.github.io/Logging_2062/klagomål/A 15820-2024 FSC-klagomål.docx", "A 15820-2024")</f>
        <v/>
      </c>
      <c r="W62">
        <f>HYPERLINK("https://klasma.github.io/Logging_2062/klagomålsmail/A 15820-2024 FSC-klagomål mail.docx", "A 15820-2024")</f>
        <v/>
      </c>
      <c r="X62">
        <f>HYPERLINK("https://klasma.github.io/Logging_2062/tillsyn/A 15820-2024 tillsynsbegäran.docx", "A 15820-2024")</f>
        <v/>
      </c>
      <c r="Y62">
        <f>HYPERLINK("https://klasma.github.io/Logging_2062/tillsynsmail/A 15820-2024 tillsynsbegäran mail.docx", "A 15820-2024")</f>
        <v/>
      </c>
      <c r="Z62">
        <f>HYPERLINK("https://klasma.github.io/Logging_2062/fåglar/A 15820-2024 prioriterade fågelarter.docx", "A 15820-2024")</f>
        <v/>
      </c>
    </row>
    <row r="63" ht="15" customHeight="1">
      <c r="A63" t="inlineStr">
        <is>
          <t>A 16094-2024</t>
        </is>
      </c>
      <c r="B63" s="1" t="n">
        <v>45406</v>
      </c>
      <c r="C63" s="1" t="n">
        <v>45789</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26808-2024</t>
        </is>
      </c>
      <c r="B64" s="1" t="n">
        <v>45470</v>
      </c>
      <c r="C64" s="1" t="n">
        <v>45789</v>
      </c>
      <c r="D64" t="inlineStr">
        <is>
          <t>DALARNAS LÄN</t>
        </is>
      </c>
      <c r="E64" t="inlineStr">
        <is>
          <t>MORA</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HYPERLINK("https://klasma.github.io/Logging_2062/artfynd/A 26808-2024 artfynd.xlsx", "A 26808-2024")</f>
        <v/>
      </c>
      <c r="T64">
        <f>HYPERLINK("https://klasma.github.io/Logging_2062/kartor/A 26808-2024 karta.png", "A 26808-2024")</f>
        <v/>
      </c>
      <c r="V64">
        <f>HYPERLINK("https://klasma.github.io/Logging_2062/klagomål/A 26808-2024 FSC-klagomål.docx", "A 26808-2024")</f>
        <v/>
      </c>
      <c r="W64">
        <f>HYPERLINK("https://klasma.github.io/Logging_2062/klagomålsmail/A 26808-2024 FSC-klagomål mail.docx", "A 26808-2024")</f>
        <v/>
      </c>
      <c r="X64">
        <f>HYPERLINK("https://klasma.github.io/Logging_2062/tillsyn/A 26808-2024 tillsynsbegäran.docx", "A 26808-2024")</f>
        <v/>
      </c>
      <c r="Y64">
        <f>HYPERLINK("https://klasma.github.io/Logging_2062/tillsynsmail/A 26808-2024 tillsynsbegäran mail.docx", "A 26808-2024")</f>
        <v/>
      </c>
    </row>
    <row r="65" ht="15" customHeight="1">
      <c r="A65" t="inlineStr">
        <is>
          <t>A 27113-2024</t>
        </is>
      </c>
      <c r="B65" s="1" t="n">
        <v>45471</v>
      </c>
      <c r="C65" s="1" t="n">
        <v>45789</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30662-2024</t>
        </is>
      </c>
      <c r="B66" s="1" t="n">
        <v>45495</v>
      </c>
      <c r="C66" s="1" t="n">
        <v>45789</v>
      </c>
      <c r="D66" t="inlineStr">
        <is>
          <t>DALARNAS LÄN</t>
        </is>
      </c>
      <c r="E66" t="inlineStr">
        <is>
          <t>MORA</t>
        </is>
      </c>
      <c r="G66" t="n">
        <v>5.4</v>
      </c>
      <c r="H66" t="n">
        <v>0</v>
      </c>
      <c r="I66" t="n">
        <v>1</v>
      </c>
      <c r="J66" t="n">
        <v>0</v>
      </c>
      <c r="K66" t="n">
        <v>0</v>
      </c>
      <c r="L66" t="n">
        <v>0</v>
      </c>
      <c r="M66" t="n">
        <v>0</v>
      </c>
      <c r="N66" t="n">
        <v>0</v>
      </c>
      <c r="O66" t="n">
        <v>0</v>
      </c>
      <c r="P66" t="n">
        <v>0</v>
      </c>
      <c r="Q66" t="n">
        <v>1</v>
      </c>
      <c r="R66" s="2" t="inlineStr">
        <is>
          <t>Mindre märgborre</t>
        </is>
      </c>
      <c r="S66">
        <f>HYPERLINK("https://klasma.github.io/Logging_2062/artfynd/A 30662-2024 artfynd.xlsx", "A 30662-2024")</f>
        <v/>
      </c>
      <c r="T66">
        <f>HYPERLINK("https://klasma.github.io/Logging_2062/kartor/A 30662-2024 karta.png", "A 30662-2024")</f>
        <v/>
      </c>
      <c r="V66">
        <f>HYPERLINK("https://klasma.github.io/Logging_2062/klagomål/A 30662-2024 FSC-klagomål.docx", "A 30662-2024")</f>
        <v/>
      </c>
      <c r="W66">
        <f>HYPERLINK("https://klasma.github.io/Logging_2062/klagomålsmail/A 30662-2024 FSC-klagomål mail.docx", "A 30662-2024")</f>
        <v/>
      </c>
      <c r="X66">
        <f>HYPERLINK("https://klasma.github.io/Logging_2062/tillsyn/A 30662-2024 tillsynsbegäran.docx", "A 30662-2024")</f>
        <v/>
      </c>
      <c r="Y66">
        <f>HYPERLINK("https://klasma.github.io/Logging_2062/tillsynsmail/A 30662-2024 tillsynsbegäran mail.docx", "A 30662-2024")</f>
        <v/>
      </c>
    </row>
    <row r="67" ht="15" customHeight="1">
      <c r="A67" t="inlineStr">
        <is>
          <t>A 45410-2024</t>
        </is>
      </c>
      <c r="B67" s="1" t="n">
        <v>45576</v>
      </c>
      <c r="C67" s="1" t="n">
        <v>45789</v>
      </c>
      <c r="D67" t="inlineStr">
        <is>
          <t>DALARNAS LÄN</t>
        </is>
      </c>
      <c r="E67" t="inlineStr">
        <is>
          <t>MORA</t>
        </is>
      </c>
      <c r="G67" t="n">
        <v>1.1</v>
      </c>
      <c r="H67" t="n">
        <v>0</v>
      </c>
      <c r="I67" t="n">
        <v>0</v>
      </c>
      <c r="J67" t="n">
        <v>1</v>
      </c>
      <c r="K67" t="n">
        <v>0</v>
      </c>
      <c r="L67" t="n">
        <v>0</v>
      </c>
      <c r="M67" t="n">
        <v>0</v>
      </c>
      <c r="N67" t="n">
        <v>0</v>
      </c>
      <c r="O67" t="n">
        <v>1</v>
      </c>
      <c r="P67" t="n">
        <v>0</v>
      </c>
      <c r="Q67" t="n">
        <v>1</v>
      </c>
      <c r="R67" s="2" t="inlineStr">
        <is>
          <t>Tallticka</t>
        </is>
      </c>
      <c r="S67">
        <f>HYPERLINK("https://klasma.github.io/Logging_2062/artfynd/A 45410-2024 artfynd.xlsx", "A 45410-2024")</f>
        <v/>
      </c>
      <c r="T67">
        <f>HYPERLINK("https://klasma.github.io/Logging_2062/kartor/A 45410-2024 karta.png", "A 45410-2024")</f>
        <v/>
      </c>
      <c r="V67">
        <f>HYPERLINK("https://klasma.github.io/Logging_2062/klagomål/A 45410-2024 FSC-klagomål.docx", "A 45410-2024")</f>
        <v/>
      </c>
      <c r="W67">
        <f>HYPERLINK("https://klasma.github.io/Logging_2062/klagomålsmail/A 45410-2024 FSC-klagomål mail.docx", "A 45410-2024")</f>
        <v/>
      </c>
      <c r="X67">
        <f>HYPERLINK("https://klasma.github.io/Logging_2062/tillsyn/A 45410-2024 tillsynsbegäran.docx", "A 45410-2024")</f>
        <v/>
      </c>
      <c r="Y67">
        <f>HYPERLINK("https://klasma.github.io/Logging_2062/tillsynsmail/A 45410-2024 tillsynsbegäran mail.docx", "A 45410-2024")</f>
        <v/>
      </c>
    </row>
    <row r="68" ht="15" customHeight="1">
      <c r="A68" t="inlineStr">
        <is>
          <t>A 45344-2024</t>
        </is>
      </c>
      <c r="B68" s="1" t="n">
        <v>45576</v>
      </c>
      <c r="C68" s="1" t="n">
        <v>45789</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51213-2024</t>
        </is>
      </c>
      <c r="B69" s="1" t="n">
        <v>45603</v>
      </c>
      <c r="C69" s="1" t="n">
        <v>45789</v>
      </c>
      <c r="D69" t="inlineStr">
        <is>
          <t>DALARNAS LÄN</t>
        </is>
      </c>
      <c r="E69" t="inlineStr">
        <is>
          <t>MORA</t>
        </is>
      </c>
      <c r="G69" t="n">
        <v>0.5</v>
      </c>
      <c r="H69" t="n">
        <v>1</v>
      </c>
      <c r="I69" t="n">
        <v>0</v>
      </c>
      <c r="J69" t="n">
        <v>0</v>
      </c>
      <c r="K69" t="n">
        <v>1</v>
      </c>
      <c r="L69" t="n">
        <v>0</v>
      </c>
      <c r="M69" t="n">
        <v>0</v>
      </c>
      <c r="N69" t="n">
        <v>0</v>
      </c>
      <c r="O69" t="n">
        <v>1</v>
      </c>
      <c r="P69" t="n">
        <v>1</v>
      </c>
      <c r="Q69" t="n">
        <v>1</v>
      </c>
      <c r="R69" s="2" t="inlineStr">
        <is>
          <t>Knärot</t>
        </is>
      </c>
      <c r="S69">
        <f>HYPERLINK("https://klasma.github.io/Logging_2062/artfynd/A 51213-2024 artfynd.xlsx", "A 51213-2024")</f>
        <v/>
      </c>
      <c r="T69">
        <f>HYPERLINK("https://klasma.github.io/Logging_2062/kartor/A 51213-2024 karta.png", "A 51213-2024")</f>
        <v/>
      </c>
      <c r="U69">
        <f>HYPERLINK("https://klasma.github.io/Logging_2062/knärot/A 51213-2024 karta knärot.png", "A 51213-2024")</f>
        <v/>
      </c>
      <c r="V69">
        <f>HYPERLINK("https://klasma.github.io/Logging_2062/klagomål/A 51213-2024 FSC-klagomål.docx", "A 51213-2024")</f>
        <v/>
      </c>
      <c r="W69">
        <f>HYPERLINK("https://klasma.github.io/Logging_2062/klagomålsmail/A 51213-2024 FSC-klagomål mail.docx", "A 51213-2024")</f>
        <v/>
      </c>
      <c r="X69">
        <f>HYPERLINK("https://klasma.github.io/Logging_2062/tillsyn/A 51213-2024 tillsynsbegäran.docx", "A 51213-2024")</f>
        <v/>
      </c>
      <c r="Y69">
        <f>HYPERLINK("https://klasma.github.io/Logging_2062/tillsynsmail/A 51213-2024 tillsynsbegäran mail.docx", "A 51213-2024")</f>
        <v/>
      </c>
    </row>
    <row r="70" ht="15" customHeight="1">
      <c r="A70" t="inlineStr">
        <is>
          <t>A 57395-2024</t>
        </is>
      </c>
      <c r="B70" s="1" t="n">
        <v>45629</v>
      </c>
      <c r="C70" s="1" t="n">
        <v>45789</v>
      </c>
      <c r="D70" t="inlineStr">
        <is>
          <t>DALARNAS LÄN</t>
        </is>
      </c>
      <c r="E70" t="inlineStr">
        <is>
          <t>MORA</t>
        </is>
      </c>
      <c r="G70" t="n">
        <v>3.1</v>
      </c>
      <c r="H70" t="n">
        <v>1</v>
      </c>
      <c r="I70" t="n">
        <v>0</v>
      </c>
      <c r="J70" t="n">
        <v>1</v>
      </c>
      <c r="K70" t="n">
        <v>0</v>
      </c>
      <c r="L70" t="n">
        <v>0</v>
      </c>
      <c r="M70" t="n">
        <v>0</v>
      </c>
      <c r="N70" t="n">
        <v>0</v>
      </c>
      <c r="O70" t="n">
        <v>1</v>
      </c>
      <c r="P70" t="n">
        <v>0</v>
      </c>
      <c r="Q70" t="n">
        <v>1</v>
      </c>
      <c r="R70" s="2" t="inlineStr">
        <is>
          <t>Spillkråka</t>
        </is>
      </c>
      <c r="S70">
        <f>HYPERLINK("https://klasma.github.io/Logging_2062/artfynd/A 57395-2024 artfynd.xlsx", "A 57395-2024")</f>
        <v/>
      </c>
      <c r="T70">
        <f>HYPERLINK("https://klasma.github.io/Logging_2062/kartor/A 57395-2024 karta.png", "A 57395-2024")</f>
        <v/>
      </c>
      <c r="V70">
        <f>HYPERLINK("https://klasma.github.io/Logging_2062/klagomål/A 57395-2024 FSC-klagomål.docx", "A 57395-2024")</f>
        <v/>
      </c>
      <c r="W70">
        <f>HYPERLINK("https://klasma.github.io/Logging_2062/klagomålsmail/A 57395-2024 FSC-klagomål mail.docx", "A 57395-2024")</f>
        <v/>
      </c>
      <c r="X70">
        <f>HYPERLINK("https://klasma.github.io/Logging_2062/tillsyn/A 57395-2024 tillsynsbegäran.docx", "A 57395-2024")</f>
        <v/>
      </c>
      <c r="Y70">
        <f>HYPERLINK("https://klasma.github.io/Logging_2062/tillsynsmail/A 57395-2024 tillsynsbegäran mail.docx", "A 57395-2024")</f>
        <v/>
      </c>
      <c r="Z70">
        <f>HYPERLINK("https://klasma.github.io/Logging_2062/fåglar/A 57395-2024 prioriterade fågelarter.docx", "A 57395-2024")</f>
        <v/>
      </c>
    </row>
    <row r="71" ht="15" customHeight="1">
      <c r="A71" t="inlineStr">
        <is>
          <t>A 831-2025</t>
        </is>
      </c>
      <c r="B71" s="1" t="n">
        <v>45665</v>
      </c>
      <c r="C71" s="1" t="n">
        <v>45789</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20226-2019</t>
        </is>
      </c>
      <c r="B72" s="1" t="n">
        <v>43570</v>
      </c>
      <c r="C72" s="1" t="n">
        <v>45789</v>
      </c>
      <c r="D72" t="inlineStr">
        <is>
          <t>DALARNAS LÄN</t>
        </is>
      </c>
      <c r="E72" t="inlineStr">
        <is>
          <t>MORA</t>
        </is>
      </c>
      <c r="G72" t="n">
        <v>4.2</v>
      </c>
      <c r="H72" t="n">
        <v>0</v>
      </c>
      <c r="I72" t="n">
        <v>0</v>
      </c>
      <c r="J72" t="n">
        <v>0</v>
      </c>
      <c r="K72" t="n">
        <v>0</v>
      </c>
      <c r="L72" t="n">
        <v>0</v>
      </c>
      <c r="M72" t="n">
        <v>0</v>
      </c>
      <c r="N72" t="n">
        <v>0</v>
      </c>
      <c r="O72" t="n">
        <v>0</v>
      </c>
      <c r="P72" t="n">
        <v>0</v>
      </c>
      <c r="Q72" t="n">
        <v>0</v>
      </c>
      <c r="R72" s="2" t="inlineStr"/>
    </row>
    <row r="73" ht="15" customHeight="1">
      <c r="A73" t="inlineStr">
        <is>
          <t>A 20464-2019</t>
        </is>
      </c>
      <c r="B73" s="1" t="n">
        <v>43572</v>
      </c>
      <c r="C73" s="1" t="n">
        <v>45789</v>
      </c>
      <c r="D73" t="inlineStr">
        <is>
          <t>DALARNAS LÄN</t>
        </is>
      </c>
      <c r="E73" t="inlineStr">
        <is>
          <t>MORA</t>
        </is>
      </c>
      <c r="G73" t="n">
        <v>12.1</v>
      </c>
      <c r="H73" t="n">
        <v>0</v>
      </c>
      <c r="I73" t="n">
        <v>0</v>
      </c>
      <c r="J73" t="n">
        <v>0</v>
      </c>
      <c r="K73" t="n">
        <v>0</v>
      </c>
      <c r="L73" t="n">
        <v>0</v>
      </c>
      <c r="M73" t="n">
        <v>0</v>
      </c>
      <c r="N73" t="n">
        <v>0</v>
      </c>
      <c r="O73" t="n">
        <v>0</v>
      </c>
      <c r="P73" t="n">
        <v>0</v>
      </c>
      <c r="Q73" t="n">
        <v>0</v>
      </c>
      <c r="R73" s="2" t="inlineStr"/>
    </row>
    <row r="74" ht="15" customHeight="1">
      <c r="A74" t="inlineStr">
        <is>
          <t>A 22970-2019</t>
        </is>
      </c>
      <c r="B74" s="1" t="n">
        <v>43591</v>
      </c>
      <c r="C74" s="1" t="n">
        <v>45789</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23665-2019</t>
        </is>
      </c>
      <c r="B75" s="1" t="n">
        <v>43594</v>
      </c>
      <c r="C75" s="1" t="n">
        <v>45789</v>
      </c>
      <c r="D75" t="inlineStr">
        <is>
          <t>DALARNAS LÄN</t>
        </is>
      </c>
      <c r="E75" t="inlineStr">
        <is>
          <t>MORA</t>
        </is>
      </c>
      <c r="G75" t="n">
        <v>1.1</v>
      </c>
      <c r="H75" t="n">
        <v>0</v>
      </c>
      <c r="I75" t="n">
        <v>0</v>
      </c>
      <c r="J75" t="n">
        <v>0</v>
      </c>
      <c r="K75" t="n">
        <v>0</v>
      </c>
      <c r="L75" t="n">
        <v>0</v>
      </c>
      <c r="M75" t="n">
        <v>0</v>
      </c>
      <c r="N75" t="n">
        <v>0</v>
      </c>
      <c r="O75" t="n">
        <v>0</v>
      </c>
      <c r="P75" t="n">
        <v>0</v>
      </c>
      <c r="Q75" t="n">
        <v>0</v>
      </c>
      <c r="R75" s="2" t="inlineStr"/>
    </row>
    <row r="76" ht="15" customHeight="1">
      <c r="A76" t="inlineStr">
        <is>
          <t>A 23636-2019</t>
        </is>
      </c>
      <c r="B76" s="1" t="n">
        <v>43594</v>
      </c>
      <c r="C76" s="1" t="n">
        <v>45789</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24630-2019</t>
        </is>
      </c>
      <c r="B77" s="1" t="n">
        <v>43601</v>
      </c>
      <c r="C77" s="1" t="n">
        <v>45789</v>
      </c>
      <c r="D77" t="inlineStr">
        <is>
          <t>DALARNAS LÄN</t>
        </is>
      </c>
      <c r="E77" t="inlineStr">
        <is>
          <t>MORA</t>
        </is>
      </c>
      <c r="G77" t="n">
        <v>5.8</v>
      </c>
      <c r="H77" t="n">
        <v>0</v>
      </c>
      <c r="I77" t="n">
        <v>0</v>
      </c>
      <c r="J77" t="n">
        <v>0</v>
      </c>
      <c r="K77" t="n">
        <v>0</v>
      </c>
      <c r="L77" t="n">
        <v>0</v>
      </c>
      <c r="M77" t="n">
        <v>0</v>
      </c>
      <c r="N77" t="n">
        <v>0</v>
      </c>
      <c r="O77" t="n">
        <v>0</v>
      </c>
      <c r="P77" t="n">
        <v>0</v>
      </c>
      <c r="Q77" t="n">
        <v>0</v>
      </c>
      <c r="R77" s="2" t="inlineStr"/>
    </row>
    <row r="78" ht="15" customHeight="1">
      <c r="A78" t="inlineStr">
        <is>
          <t>A 25235-2019</t>
        </is>
      </c>
      <c r="B78" s="1" t="n">
        <v>43601</v>
      </c>
      <c r="C78" s="1" t="n">
        <v>45789</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24960-2019</t>
        </is>
      </c>
      <c r="B79" s="1" t="n">
        <v>43602</v>
      </c>
      <c r="C79" s="1" t="n">
        <v>45789</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28917-2019</t>
        </is>
      </c>
      <c r="B80" s="1" t="n">
        <v>43612</v>
      </c>
      <c r="C80" s="1" t="n">
        <v>45789</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26405-2019</t>
        </is>
      </c>
      <c r="B81" s="1" t="n">
        <v>43612</v>
      </c>
      <c r="C81" s="1" t="n">
        <v>45789</v>
      </c>
      <c r="D81" t="inlineStr">
        <is>
          <t>DALARNAS LÄN</t>
        </is>
      </c>
      <c r="E81" t="inlineStr">
        <is>
          <t>MORA</t>
        </is>
      </c>
      <c r="G81" t="n">
        <v>3.2</v>
      </c>
      <c r="H81" t="n">
        <v>0</v>
      </c>
      <c r="I81" t="n">
        <v>0</v>
      </c>
      <c r="J81" t="n">
        <v>0</v>
      </c>
      <c r="K81" t="n">
        <v>0</v>
      </c>
      <c r="L81" t="n">
        <v>0</v>
      </c>
      <c r="M81" t="n">
        <v>0</v>
      </c>
      <c r="N81" t="n">
        <v>0</v>
      </c>
      <c r="O81" t="n">
        <v>0</v>
      </c>
      <c r="P81" t="n">
        <v>0</v>
      </c>
      <c r="Q81" t="n">
        <v>0</v>
      </c>
      <c r="R81" s="2" t="inlineStr"/>
    </row>
    <row r="82" ht="15" customHeight="1">
      <c r="A82" t="inlineStr">
        <is>
          <t>A 29231-2019</t>
        </is>
      </c>
      <c r="B82" s="1" t="n">
        <v>43623</v>
      </c>
      <c r="C82" s="1" t="n">
        <v>45789</v>
      </c>
      <c r="D82" t="inlineStr">
        <is>
          <t>DALARNAS LÄN</t>
        </is>
      </c>
      <c r="E82" t="inlineStr">
        <is>
          <t>MORA</t>
        </is>
      </c>
      <c r="G82" t="n">
        <v>24.2</v>
      </c>
      <c r="H82" t="n">
        <v>0</v>
      </c>
      <c r="I82" t="n">
        <v>0</v>
      </c>
      <c r="J82" t="n">
        <v>0</v>
      </c>
      <c r="K82" t="n">
        <v>0</v>
      </c>
      <c r="L82" t="n">
        <v>0</v>
      </c>
      <c r="M82" t="n">
        <v>0</v>
      </c>
      <c r="N82" t="n">
        <v>0</v>
      </c>
      <c r="O82" t="n">
        <v>0</v>
      </c>
      <c r="P82" t="n">
        <v>0</v>
      </c>
      <c r="Q82" t="n">
        <v>0</v>
      </c>
      <c r="R82" s="2" t="inlineStr"/>
    </row>
    <row r="83" ht="15" customHeight="1">
      <c r="A83" t="inlineStr">
        <is>
          <t>A 29370-2019</t>
        </is>
      </c>
      <c r="B83" s="1" t="n">
        <v>43629</v>
      </c>
      <c r="C83" s="1" t="n">
        <v>45789</v>
      </c>
      <c r="D83" t="inlineStr">
        <is>
          <t>DALARNAS LÄN</t>
        </is>
      </c>
      <c r="E83" t="inlineStr">
        <is>
          <t>MORA</t>
        </is>
      </c>
      <c r="G83" t="n">
        <v>2.4</v>
      </c>
      <c r="H83" t="n">
        <v>0</v>
      </c>
      <c r="I83" t="n">
        <v>0</v>
      </c>
      <c r="J83" t="n">
        <v>0</v>
      </c>
      <c r="K83" t="n">
        <v>0</v>
      </c>
      <c r="L83" t="n">
        <v>0</v>
      </c>
      <c r="M83" t="n">
        <v>0</v>
      </c>
      <c r="N83" t="n">
        <v>0</v>
      </c>
      <c r="O83" t="n">
        <v>0</v>
      </c>
      <c r="P83" t="n">
        <v>0</v>
      </c>
      <c r="Q83" t="n">
        <v>0</v>
      </c>
      <c r="R83" s="2" t="inlineStr"/>
    </row>
    <row r="84" ht="15" customHeight="1">
      <c r="A84" t="inlineStr">
        <is>
          <t>A 29395-2019</t>
        </is>
      </c>
      <c r="B84" s="1" t="n">
        <v>43629</v>
      </c>
      <c r="C84" s="1" t="n">
        <v>45789</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30487-2019</t>
        </is>
      </c>
      <c r="B85" s="1" t="n">
        <v>43635</v>
      </c>
      <c r="C85" s="1" t="n">
        <v>45789</v>
      </c>
      <c r="D85" t="inlineStr">
        <is>
          <t>DALARNAS LÄN</t>
        </is>
      </c>
      <c r="E85" t="inlineStr">
        <is>
          <t>MORA</t>
        </is>
      </c>
      <c r="G85" t="n">
        <v>11.5</v>
      </c>
      <c r="H85" t="n">
        <v>0</v>
      </c>
      <c r="I85" t="n">
        <v>0</v>
      </c>
      <c r="J85" t="n">
        <v>0</v>
      </c>
      <c r="K85" t="n">
        <v>0</v>
      </c>
      <c r="L85" t="n">
        <v>0</v>
      </c>
      <c r="M85" t="n">
        <v>0</v>
      </c>
      <c r="N85" t="n">
        <v>0</v>
      </c>
      <c r="O85" t="n">
        <v>0</v>
      </c>
      <c r="P85" t="n">
        <v>0</v>
      </c>
      <c r="Q85" t="n">
        <v>0</v>
      </c>
      <c r="R85" s="2" t="inlineStr"/>
    </row>
    <row r="86" ht="15" customHeight="1">
      <c r="A86" t="inlineStr">
        <is>
          <t>A 30558-2019</t>
        </is>
      </c>
      <c r="B86" s="1" t="n">
        <v>43635</v>
      </c>
      <c r="C86" s="1" t="n">
        <v>45789</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30585-2019</t>
        </is>
      </c>
      <c r="B87" s="1" t="n">
        <v>43635</v>
      </c>
      <c r="C87" s="1" t="n">
        <v>45789</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30665-2019</t>
        </is>
      </c>
      <c r="B88" s="1" t="n">
        <v>43636</v>
      </c>
      <c r="C88" s="1" t="n">
        <v>45789</v>
      </c>
      <c r="D88" t="inlineStr">
        <is>
          <t>DALARNAS LÄN</t>
        </is>
      </c>
      <c r="E88" t="inlineStr">
        <is>
          <t>MORA</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30674-2019</t>
        </is>
      </c>
      <c r="B89" s="1" t="n">
        <v>43636</v>
      </c>
      <c r="C89" s="1" t="n">
        <v>45789</v>
      </c>
      <c r="D89" t="inlineStr">
        <is>
          <t>DALARNAS LÄN</t>
        </is>
      </c>
      <c r="E89" t="inlineStr">
        <is>
          <t>MORA</t>
        </is>
      </c>
      <c r="F89" t="inlineStr">
        <is>
          <t>Kyrkan</t>
        </is>
      </c>
      <c r="G89" t="n">
        <v>1.4</v>
      </c>
      <c r="H89" t="n">
        <v>0</v>
      </c>
      <c r="I89" t="n">
        <v>0</v>
      </c>
      <c r="J89" t="n">
        <v>0</v>
      </c>
      <c r="K89" t="n">
        <v>0</v>
      </c>
      <c r="L89" t="n">
        <v>0</v>
      </c>
      <c r="M89" t="n">
        <v>0</v>
      </c>
      <c r="N89" t="n">
        <v>0</v>
      </c>
      <c r="O89" t="n">
        <v>0</v>
      </c>
      <c r="P89" t="n">
        <v>0</v>
      </c>
      <c r="Q89" t="n">
        <v>0</v>
      </c>
      <c r="R89" s="2" t="inlineStr"/>
    </row>
    <row r="90" ht="15" customHeight="1">
      <c r="A90" t="inlineStr">
        <is>
          <t>A 31007-2019</t>
        </is>
      </c>
      <c r="B90" s="1" t="n">
        <v>43640</v>
      </c>
      <c r="C90" s="1" t="n">
        <v>45789</v>
      </c>
      <c r="D90" t="inlineStr">
        <is>
          <t>DALARNAS LÄN</t>
        </is>
      </c>
      <c r="E90" t="inlineStr">
        <is>
          <t>MORA</t>
        </is>
      </c>
      <c r="G90" t="n">
        <v>15.2</v>
      </c>
      <c r="H90" t="n">
        <v>0</v>
      </c>
      <c r="I90" t="n">
        <v>0</v>
      </c>
      <c r="J90" t="n">
        <v>0</v>
      </c>
      <c r="K90" t="n">
        <v>0</v>
      </c>
      <c r="L90" t="n">
        <v>0</v>
      </c>
      <c r="M90" t="n">
        <v>0</v>
      </c>
      <c r="N90" t="n">
        <v>0</v>
      </c>
      <c r="O90" t="n">
        <v>0</v>
      </c>
      <c r="P90" t="n">
        <v>0</v>
      </c>
      <c r="Q90" t="n">
        <v>0</v>
      </c>
      <c r="R90" s="2" t="inlineStr"/>
    </row>
    <row r="91" ht="15" customHeight="1">
      <c r="A91" t="inlineStr">
        <is>
          <t>A 31786-2019</t>
        </is>
      </c>
      <c r="B91" s="1" t="n">
        <v>43642</v>
      </c>
      <c r="C91" s="1" t="n">
        <v>45789</v>
      </c>
      <c r="D91" t="inlineStr">
        <is>
          <t>DALARNAS LÄN</t>
        </is>
      </c>
      <c r="E91" t="inlineStr">
        <is>
          <t>MORA</t>
        </is>
      </c>
      <c r="F91" t="inlineStr">
        <is>
          <t>Bergvik skog väst AB</t>
        </is>
      </c>
      <c r="G91" t="n">
        <v>2.9</v>
      </c>
      <c r="H91" t="n">
        <v>0</v>
      </c>
      <c r="I91" t="n">
        <v>0</v>
      </c>
      <c r="J91" t="n">
        <v>0</v>
      </c>
      <c r="K91" t="n">
        <v>0</v>
      </c>
      <c r="L91" t="n">
        <v>0</v>
      </c>
      <c r="M91" t="n">
        <v>0</v>
      </c>
      <c r="N91" t="n">
        <v>0</v>
      </c>
      <c r="O91" t="n">
        <v>0</v>
      </c>
      <c r="P91" t="n">
        <v>0</v>
      </c>
      <c r="Q91" t="n">
        <v>0</v>
      </c>
      <c r="R91" s="2" t="inlineStr"/>
    </row>
    <row r="92" ht="15" customHeight="1">
      <c r="A92" t="inlineStr">
        <is>
          <t>A 32085-2019</t>
        </is>
      </c>
      <c r="B92" s="1" t="n">
        <v>43643</v>
      </c>
      <c r="C92" s="1" t="n">
        <v>45789</v>
      </c>
      <c r="D92" t="inlineStr">
        <is>
          <t>DALARNAS LÄN</t>
        </is>
      </c>
      <c r="E92" t="inlineStr">
        <is>
          <t>MORA</t>
        </is>
      </c>
      <c r="G92" t="n">
        <v>4.6</v>
      </c>
      <c r="H92" t="n">
        <v>0</v>
      </c>
      <c r="I92" t="n">
        <v>0</v>
      </c>
      <c r="J92" t="n">
        <v>0</v>
      </c>
      <c r="K92" t="n">
        <v>0</v>
      </c>
      <c r="L92" t="n">
        <v>0</v>
      </c>
      <c r="M92" t="n">
        <v>0</v>
      </c>
      <c r="N92" t="n">
        <v>0</v>
      </c>
      <c r="O92" t="n">
        <v>0</v>
      </c>
      <c r="P92" t="n">
        <v>0</v>
      </c>
      <c r="Q92" t="n">
        <v>0</v>
      </c>
      <c r="R92" s="2" t="inlineStr"/>
    </row>
    <row r="93" ht="15" customHeight="1">
      <c r="A93" t="inlineStr">
        <is>
          <t>A 33184-2019</t>
        </is>
      </c>
      <c r="B93" s="1" t="n">
        <v>43649</v>
      </c>
      <c r="C93" s="1" t="n">
        <v>45789</v>
      </c>
      <c r="D93" t="inlineStr">
        <is>
          <t>DALARNAS LÄN</t>
        </is>
      </c>
      <c r="E93" t="inlineStr">
        <is>
          <t>MORA</t>
        </is>
      </c>
      <c r="G93" t="n">
        <v>8.1</v>
      </c>
      <c r="H93" t="n">
        <v>0</v>
      </c>
      <c r="I93" t="n">
        <v>0</v>
      </c>
      <c r="J93" t="n">
        <v>0</v>
      </c>
      <c r="K93" t="n">
        <v>0</v>
      </c>
      <c r="L93" t="n">
        <v>0</v>
      </c>
      <c r="M93" t="n">
        <v>0</v>
      </c>
      <c r="N93" t="n">
        <v>0</v>
      </c>
      <c r="O93" t="n">
        <v>0</v>
      </c>
      <c r="P93" t="n">
        <v>0</v>
      </c>
      <c r="Q93" t="n">
        <v>0</v>
      </c>
      <c r="R93" s="2" t="inlineStr"/>
    </row>
    <row r="94" ht="15" customHeight="1">
      <c r="A94" t="inlineStr">
        <is>
          <t>A 33187-2019</t>
        </is>
      </c>
      <c r="B94" s="1" t="n">
        <v>43649</v>
      </c>
      <c r="C94" s="1" t="n">
        <v>45789</v>
      </c>
      <c r="D94" t="inlineStr">
        <is>
          <t>DALARNAS LÄN</t>
        </is>
      </c>
      <c r="E94" t="inlineStr">
        <is>
          <t>MORA</t>
        </is>
      </c>
      <c r="G94" t="n">
        <v>7.1</v>
      </c>
      <c r="H94" t="n">
        <v>0</v>
      </c>
      <c r="I94" t="n">
        <v>0</v>
      </c>
      <c r="J94" t="n">
        <v>0</v>
      </c>
      <c r="K94" t="n">
        <v>0</v>
      </c>
      <c r="L94" t="n">
        <v>0</v>
      </c>
      <c r="M94" t="n">
        <v>0</v>
      </c>
      <c r="N94" t="n">
        <v>0</v>
      </c>
      <c r="O94" t="n">
        <v>0</v>
      </c>
      <c r="P94" t="n">
        <v>0</v>
      </c>
      <c r="Q94" t="n">
        <v>0</v>
      </c>
      <c r="R94" s="2" t="inlineStr"/>
    </row>
    <row r="95" ht="15" customHeight="1">
      <c r="A95" t="inlineStr">
        <is>
          <t>A 33188-2019</t>
        </is>
      </c>
      <c r="B95" s="1" t="n">
        <v>43649</v>
      </c>
      <c r="C95" s="1" t="n">
        <v>45789</v>
      </c>
      <c r="D95" t="inlineStr">
        <is>
          <t>DALARNAS LÄN</t>
        </is>
      </c>
      <c r="E95" t="inlineStr">
        <is>
          <t>MORA</t>
        </is>
      </c>
      <c r="G95" t="n">
        <v>3.9</v>
      </c>
      <c r="H95" t="n">
        <v>0</v>
      </c>
      <c r="I95" t="n">
        <v>0</v>
      </c>
      <c r="J95" t="n">
        <v>0</v>
      </c>
      <c r="K95" t="n">
        <v>0</v>
      </c>
      <c r="L95" t="n">
        <v>0</v>
      </c>
      <c r="M95" t="n">
        <v>0</v>
      </c>
      <c r="N95" t="n">
        <v>0</v>
      </c>
      <c r="O95" t="n">
        <v>0</v>
      </c>
      <c r="P95" t="n">
        <v>0</v>
      </c>
      <c r="Q95" t="n">
        <v>0</v>
      </c>
      <c r="R95" s="2" t="inlineStr"/>
    </row>
    <row r="96" ht="15" customHeight="1">
      <c r="A96" t="inlineStr">
        <is>
          <t>A 33183-2019</t>
        </is>
      </c>
      <c r="B96" s="1" t="n">
        <v>43649</v>
      </c>
      <c r="C96" s="1" t="n">
        <v>45789</v>
      </c>
      <c r="D96" t="inlineStr">
        <is>
          <t>DALARNAS LÄN</t>
        </is>
      </c>
      <c r="E96" t="inlineStr">
        <is>
          <t>MORA</t>
        </is>
      </c>
      <c r="G96" t="n">
        <v>20.1</v>
      </c>
      <c r="H96" t="n">
        <v>0</v>
      </c>
      <c r="I96" t="n">
        <v>0</v>
      </c>
      <c r="J96" t="n">
        <v>0</v>
      </c>
      <c r="K96" t="n">
        <v>0</v>
      </c>
      <c r="L96" t="n">
        <v>0</v>
      </c>
      <c r="M96" t="n">
        <v>0</v>
      </c>
      <c r="N96" t="n">
        <v>0</v>
      </c>
      <c r="O96" t="n">
        <v>0</v>
      </c>
      <c r="P96" t="n">
        <v>0</v>
      </c>
      <c r="Q96" t="n">
        <v>0</v>
      </c>
      <c r="R96" s="2" t="inlineStr"/>
    </row>
    <row r="97" ht="15" customHeight="1">
      <c r="A97" t="inlineStr">
        <is>
          <t>A 33318-2019</t>
        </is>
      </c>
      <c r="B97" s="1" t="n">
        <v>43650</v>
      </c>
      <c r="C97" s="1" t="n">
        <v>45789</v>
      </c>
      <c r="D97" t="inlineStr">
        <is>
          <t>DALARNAS LÄN</t>
        </is>
      </c>
      <c r="E97" t="inlineStr">
        <is>
          <t>MORA</t>
        </is>
      </c>
      <c r="G97" t="n">
        <v>11.8</v>
      </c>
      <c r="H97" t="n">
        <v>0</v>
      </c>
      <c r="I97" t="n">
        <v>0</v>
      </c>
      <c r="J97" t="n">
        <v>0</v>
      </c>
      <c r="K97" t="n">
        <v>0</v>
      </c>
      <c r="L97" t="n">
        <v>0</v>
      </c>
      <c r="M97" t="n">
        <v>0</v>
      </c>
      <c r="N97" t="n">
        <v>0</v>
      </c>
      <c r="O97" t="n">
        <v>0</v>
      </c>
      <c r="P97" t="n">
        <v>0</v>
      </c>
      <c r="Q97" t="n">
        <v>0</v>
      </c>
      <c r="R97" s="2" t="inlineStr"/>
    </row>
    <row r="98" ht="15" customHeight="1">
      <c r="A98" t="inlineStr">
        <is>
          <t>A 35360-2019</t>
        </is>
      </c>
      <c r="B98" s="1" t="n">
        <v>43651</v>
      </c>
      <c r="C98" s="1" t="n">
        <v>45789</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34330-2019</t>
        </is>
      </c>
      <c r="B99" s="1" t="n">
        <v>43656</v>
      </c>
      <c r="C99" s="1" t="n">
        <v>45789</v>
      </c>
      <c r="D99" t="inlineStr">
        <is>
          <t>DALARNAS LÄN</t>
        </is>
      </c>
      <c r="E99" t="inlineStr">
        <is>
          <t>MORA</t>
        </is>
      </c>
      <c r="G99" t="n">
        <v>2.6</v>
      </c>
      <c r="H99" t="n">
        <v>0</v>
      </c>
      <c r="I99" t="n">
        <v>0</v>
      </c>
      <c r="J99" t="n">
        <v>0</v>
      </c>
      <c r="K99" t="n">
        <v>0</v>
      </c>
      <c r="L99" t="n">
        <v>0</v>
      </c>
      <c r="M99" t="n">
        <v>0</v>
      </c>
      <c r="N99" t="n">
        <v>0</v>
      </c>
      <c r="O99" t="n">
        <v>0</v>
      </c>
      <c r="P99" t="n">
        <v>0</v>
      </c>
      <c r="Q99" t="n">
        <v>0</v>
      </c>
      <c r="R99" s="2" t="inlineStr"/>
    </row>
    <row r="100" ht="15" customHeight="1">
      <c r="A100" t="inlineStr">
        <is>
          <t>A 36275-2019</t>
        </is>
      </c>
      <c r="B100" s="1" t="n">
        <v>43661</v>
      </c>
      <c r="C100" s="1" t="n">
        <v>45789</v>
      </c>
      <c r="D100" t="inlineStr">
        <is>
          <t>DALARNAS LÄN</t>
        </is>
      </c>
      <c r="E100" t="inlineStr">
        <is>
          <t>MORA</t>
        </is>
      </c>
      <c r="G100" t="n">
        <v>7.3</v>
      </c>
      <c r="H100" t="n">
        <v>0</v>
      </c>
      <c r="I100" t="n">
        <v>0</v>
      </c>
      <c r="J100" t="n">
        <v>0</v>
      </c>
      <c r="K100" t="n">
        <v>0</v>
      </c>
      <c r="L100" t="n">
        <v>0</v>
      </c>
      <c r="M100" t="n">
        <v>0</v>
      </c>
      <c r="N100" t="n">
        <v>0</v>
      </c>
      <c r="O100" t="n">
        <v>0</v>
      </c>
      <c r="P100" t="n">
        <v>0</v>
      </c>
      <c r="Q100" t="n">
        <v>0</v>
      </c>
      <c r="R100" s="2" t="inlineStr"/>
    </row>
    <row r="101" ht="15" customHeight="1">
      <c r="A101" t="inlineStr">
        <is>
          <t>A 36440-2019</t>
        </is>
      </c>
      <c r="B101" s="1" t="n">
        <v>43664</v>
      </c>
      <c r="C101" s="1" t="n">
        <v>45789</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37801-2019</t>
        </is>
      </c>
      <c r="B102" s="1" t="n">
        <v>43675</v>
      </c>
      <c r="C102" s="1" t="n">
        <v>45789</v>
      </c>
      <c r="D102" t="inlineStr">
        <is>
          <t>DALARNAS LÄN</t>
        </is>
      </c>
      <c r="E102" t="inlineStr">
        <is>
          <t>MORA</t>
        </is>
      </c>
      <c r="F102" t="inlineStr">
        <is>
          <t>Allmännings- och besparingsskogar</t>
        </is>
      </c>
      <c r="G102" t="n">
        <v>6.2</v>
      </c>
      <c r="H102" t="n">
        <v>0</v>
      </c>
      <c r="I102" t="n">
        <v>0</v>
      </c>
      <c r="J102" t="n">
        <v>0</v>
      </c>
      <c r="K102" t="n">
        <v>0</v>
      </c>
      <c r="L102" t="n">
        <v>0</v>
      </c>
      <c r="M102" t="n">
        <v>0</v>
      </c>
      <c r="N102" t="n">
        <v>0</v>
      </c>
      <c r="O102" t="n">
        <v>0</v>
      </c>
      <c r="P102" t="n">
        <v>0</v>
      </c>
      <c r="Q102" t="n">
        <v>0</v>
      </c>
      <c r="R102" s="2" t="inlineStr"/>
    </row>
    <row r="103" ht="15" customHeight="1">
      <c r="A103" t="inlineStr">
        <is>
          <t>A 37816-2019</t>
        </is>
      </c>
      <c r="B103" s="1" t="n">
        <v>43675</v>
      </c>
      <c r="C103" s="1" t="n">
        <v>45789</v>
      </c>
      <c r="D103" t="inlineStr">
        <is>
          <t>DALARNAS LÄN</t>
        </is>
      </c>
      <c r="E103" t="inlineStr">
        <is>
          <t>MORA</t>
        </is>
      </c>
      <c r="F103" t="inlineStr">
        <is>
          <t>Allmännings- och besparingsskogar</t>
        </is>
      </c>
      <c r="G103" t="n">
        <v>29.9</v>
      </c>
      <c r="H103" t="n">
        <v>0</v>
      </c>
      <c r="I103" t="n">
        <v>0</v>
      </c>
      <c r="J103" t="n">
        <v>0</v>
      </c>
      <c r="K103" t="n">
        <v>0</v>
      </c>
      <c r="L103" t="n">
        <v>0</v>
      </c>
      <c r="M103" t="n">
        <v>0</v>
      </c>
      <c r="N103" t="n">
        <v>0</v>
      </c>
      <c r="O103" t="n">
        <v>0</v>
      </c>
      <c r="P103" t="n">
        <v>0</v>
      </c>
      <c r="Q103" t="n">
        <v>0</v>
      </c>
      <c r="R103" s="2" t="inlineStr"/>
    </row>
    <row r="104" ht="15" customHeight="1">
      <c r="A104" t="inlineStr">
        <is>
          <t>A 36991-2019</t>
        </is>
      </c>
      <c r="B104" s="1" t="n">
        <v>43676</v>
      </c>
      <c r="C104" s="1" t="n">
        <v>45789</v>
      </c>
      <c r="D104" t="inlineStr">
        <is>
          <t>DALARNAS LÄN</t>
        </is>
      </c>
      <c r="E104" t="inlineStr">
        <is>
          <t>MORA</t>
        </is>
      </c>
      <c r="G104" t="n">
        <v>2.7</v>
      </c>
      <c r="H104" t="n">
        <v>0</v>
      </c>
      <c r="I104" t="n">
        <v>0</v>
      </c>
      <c r="J104" t="n">
        <v>0</v>
      </c>
      <c r="K104" t="n">
        <v>0</v>
      </c>
      <c r="L104" t="n">
        <v>0</v>
      </c>
      <c r="M104" t="n">
        <v>0</v>
      </c>
      <c r="N104" t="n">
        <v>0</v>
      </c>
      <c r="O104" t="n">
        <v>0</v>
      </c>
      <c r="P104" t="n">
        <v>0</v>
      </c>
      <c r="Q104" t="n">
        <v>0</v>
      </c>
      <c r="R104" s="2" t="inlineStr"/>
    </row>
    <row r="105" ht="15" customHeight="1">
      <c r="A105" t="inlineStr">
        <is>
          <t>A 38821-2019</t>
        </is>
      </c>
      <c r="B105" s="1" t="n">
        <v>43682</v>
      </c>
      <c r="C105" s="1" t="n">
        <v>45789</v>
      </c>
      <c r="D105" t="inlineStr">
        <is>
          <t>DALARNAS LÄN</t>
        </is>
      </c>
      <c r="E105" t="inlineStr">
        <is>
          <t>MORA</t>
        </is>
      </c>
      <c r="F105" t="inlineStr">
        <is>
          <t>Allmännings- och besparingsskogar</t>
        </is>
      </c>
      <c r="G105" t="n">
        <v>7.1</v>
      </c>
      <c r="H105" t="n">
        <v>0</v>
      </c>
      <c r="I105" t="n">
        <v>0</v>
      </c>
      <c r="J105" t="n">
        <v>0</v>
      </c>
      <c r="K105" t="n">
        <v>0</v>
      </c>
      <c r="L105" t="n">
        <v>0</v>
      </c>
      <c r="M105" t="n">
        <v>0</v>
      </c>
      <c r="N105" t="n">
        <v>0</v>
      </c>
      <c r="O105" t="n">
        <v>0</v>
      </c>
      <c r="P105" t="n">
        <v>0</v>
      </c>
      <c r="Q105" t="n">
        <v>0</v>
      </c>
      <c r="R105" s="2" t="inlineStr"/>
    </row>
    <row r="106" ht="15" customHeight="1">
      <c r="A106" t="inlineStr">
        <is>
          <t>A 38514-2019</t>
        </is>
      </c>
      <c r="B106" s="1" t="n">
        <v>43685</v>
      </c>
      <c r="C106" s="1" t="n">
        <v>45789</v>
      </c>
      <c r="D106" t="inlineStr">
        <is>
          <t>DALARNAS LÄN</t>
        </is>
      </c>
      <c r="E106" t="inlineStr">
        <is>
          <t>MORA</t>
        </is>
      </c>
      <c r="F106" t="inlineStr">
        <is>
          <t>Bergvik skog öst AB</t>
        </is>
      </c>
      <c r="G106" t="n">
        <v>7.4</v>
      </c>
      <c r="H106" t="n">
        <v>0</v>
      </c>
      <c r="I106" t="n">
        <v>0</v>
      </c>
      <c r="J106" t="n">
        <v>0</v>
      </c>
      <c r="K106" t="n">
        <v>0</v>
      </c>
      <c r="L106" t="n">
        <v>0</v>
      </c>
      <c r="M106" t="n">
        <v>0</v>
      </c>
      <c r="N106" t="n">
        <v>0</v>
      </c>
      <c r="O106" t="n">
        <v>0</v>
      </c>
      <c r="P106" t="n">
        <v>0</v>
      </c>
      <c r="Q106" t="n">
        <v>0</v>
      </c>
      <c r="R106" s="2" t="inlineStr"/>
    </row>
    <row r="107" ht="15" customHeight="1">
      <c r="A107" t="inlineStr">
        <is>
          <t>A 39809-2019</t>
        </is>
      </c>
      <c r="B107" s="1" t="n">
        <v>43692</v>
      </c>
      <c r="C107" s="1" t="n">
        <v>45789</v>
      </c>
      <c r="D107" t="inlineStr">
        <is>
          <t>DALARNAS LÄN</t>
        </is>
      </c>
      <c r="E107" t="inlineStr">
        <is>
          <t>MORA</t>
        </is>
      </c>
      <c r="F107" t="inlineStr">
        <is>
          <t>Bergvik skog öst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39811-2019</t>
        </is>
      </c>
      <c r="B108" s="1" t="n">
        <v>43692</v>
      </c>
      <c r="C108" s="1" t="n">
        <v>45789</v>
      </c>
      <c r="D108" t="inlineStr">
        <is>
          <t>DALARNAS LÄN</t>
        </is>
      </c>
      <c r="E108" t="inlineStr">
        <is>
          <t>MORA</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40910-2019</t>
        </is>
      </c>
      <c r="B109" s="1" t="n">
        <v>43693</v>
      </c>
      <c r="C109" s="1" t="n">
        <v>45789</v>
      </c>
      <c r="D109" t="inlineStr">
        <is>
          <t>DALARNAS LÄN</t>
        </is>
      </c>
      <c r="E109" t="inlineStr">
        <is>
          <t>MORA</t>
        </is>
      </c>
      <c r="G109" t="n">
        <v>4.2</v>
      </c>
      <c r="H109" t="n">
        <v>0</v>
      </c>
      <c r="I109" t="n">
        <v>0</v>
      </c>
      <c r="J109" t="n">
        <v>0</v>
      </c>
      <c r="K109" t="n">
        <v>0</v>
      </c>
      <c r="L109" t="n">
        <v>0</v>
      </c>
      <c r="M109" t="n">
        <v>0</v>
      </c>
      <c r="N109" t="n">
        <v>0</v>
      </c>
      <c r="O109" t="n">
        <v>0</v>
      </c>
      <c r="P109" t="n">
        <v>0</v>
      </c>
      <c r="Q109" t="n">
        <v>0</v>
      </c>
      <c r="R109" s="2" t="inlineStr"/>
    </row>
    <row r="110" ht="15" customHeight="1">
      <c r="A110" t="inlineStr">
        <is>
          <t>A 42530-2019</t>
        </is>
      </c>
      <c r="B110" s="1" t="n">
        <v>43698</v>
      </c>
      <c r="C110" s="1" t="n">
        <v>45789</v>
      </c>
      <c r="D110" t="inlineStr">
        <is>
          <t>DALARNAS LÄN</t>
        </is>
      </c>
      <c r="E110" t="inlineStr">
        <is>
          <t>MORA</t>
        </is>
      </c>
      <c r="G110" t="n">
        <v>4.7</v>
      </c>
      <c r="H110" t="n">
        <v>0</v>
      </c>
      <c r="I110" t="n">
        <v>0</v>
      </c>
      <c r="J110" t="n">
        <v>0</v>
      </c>
      <c r="K110" t="n">
        <v>0</v>
      </c>
      <c r="L110" t="n">
        <v>0</v>
      </c>
      <c r="M110" t="n">
        <v>0</v>
      </c>
      <c r="N110" t="n">
        <v>0</v>
      </c>
      <c r="O110" t="n">
        <v>0</v>
      </c>
      <c r="P110" t="n">
        <v>0</v>
      </c>
      <c r="Q110" t="n">
        <v>0</v>
      </c>
      <c r="R110" s="2" t="inlineStr"/>
    </row>
    <row r="111" ht="15" customHeight="1">
      <c r="A111" t="inlineStr">
        <is>
          <t>A 43396-2019</t>
        </is>
      </c>
      <c r="B111" s="1" t="n">
        <v>43703</v>
      </c>
      <c r="C111" s="1" t="n">
        <v>45789</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43744-2019</t>
        </is>
      </c>
      <c r="B112" s="1" t="n">
        <v>43707</v>
      </c>
      <c r="C112" s="1" t="n">
        <v>45789</v>
      </c>
      <c r="D112" t="inlineStr">
        <is>
          <t>DALARNAS LÄN</t>
        </is>
      </c>
      <c r="E112" t="inlineStr">
        <is>
          <t>MORA</t>
        </is>
      </c>
      <c r="G112" t="n">
        <v>1.3</v>
      </c>
      <c r="H112" t="n">
        <v>0</v>
      </c>
      <c r="I112" t="n">
        <v>0</v>
      </c>
      <c r="J112" t="n">
        <v>0</v>
      </c>
      <c r="K112" t="n">
        <v>0</v>
      </c>
      <c r="L112" t="n">
        <v>0</v>
      </c>
      <c r="M112" t="n">
        <v>0</v>
      </c>
      <c r="N112" t="n">
        <v>0</v>
      </c>
      <c r="O112" t="n">
        <v>0</v>
      </c>
      <c r="P112" t="n">
        <v>0</v>
      </c>
      <c r="Q112" t="n">
        <v>0</v>
      </c>
      <c r="R112" s="2" t="inlineStr"/>
    </row>
    <row r="113" ht="15" customHeight="1">
      <c r="A113" t="inlineStr">
        <is>
          <t>A 43718-2019</t>
        </is>
      </c>
      <c r="B113" s="1" t="n">
        <v>43707</v>
      </c>
      <c r="C113" s="1" t="n">
        <v>45789</v>
      </c>
      <c r="D113" t="inlineStr">
        <is>
          <t>DALARNAS LÄN</t>
        </is>
      </c>
      <c r="E113" t="inlineStr">
        <is>
          <t>MORA</t>
        </is>
      </c>
      <c r="G113" t="n">
        <v>10.7</v>
      </c>
      <c r="H113" t="n">
        <v>0</v>
      </c>
      <c r="I113" t="n">
        <v>0</v>
      </c>
      <c r="J113" t="n">
        <v>0</v>
      </c>
      <c r="K113" t="n">
        <v>0</v>
      </c>
      <c r="L113" t="n">
        <v>0</v>
      </c>
      <c r="M113" t="n">
        <v>0</v>
      </c>
      <c r="N113" t="n">
        <v>0</v>
      </c>
      <c r="O113" t="n">
        <v>0</v>
      </c>
      <c r="P113" t="n">
        <v>0</v>
      </c>
      <c r="Q113" t="n">
        <v>0</v>
      </c>
      <c r="R113" s="2" t="inlineStr"/>
    </row>
    <row r="114" ht="15" customHeight="1">
      <c r="A114" t="inlineStr">
        <is>
          <t>A 44759-2019</t>
        </is>
      </c>
      <c r="B114" s="1" t="n">
        <v>43707</v>
      </c>
      <c r="C114" s="1" t="n">
        <v>45789</v>
      </c>
      <c r="D114" t="inlineStr">
        <is>
          <t>DALARNAS LÄN</t>
        </is>
      </c>
      <c r="E114" t="inlineStr">
        <is>
          <t>MORA</t>
        </is>
      </c>
      <c r="F114" t="inlineStr">
        <is>
          <t>Allmännings- och besparingsskogar</t>
        </is>
      </c>
      <c r="G114" t="n">
        <v>6.8</v>
      </c>
      <c r="H114" t="n">
        <v>0</v>
      </c>
      <c r="I114" t="n">
        <v>0</v>
      </c>
      <c r="J114" t="n">
        <v>0</v>
      </c>
      <c r="K114" t="n">
        <v>0</v>
      </c>
      <c r="L114" t="n">
        <v>0</v>
      </c>
      <c r="M114" t="n">
        <v>0</v>
      </c>
      <c r="N114" t="n">
        <v>0</v>
      </c>
      <c r="O114" t="n">
        <v>0</v>
      </c>
      <c r="P114" t="n">
        <v>0</v>
      </c>
      <c r="Q114" t="n">
        <v>0</v>
      </c>
      <c r="R114" s="2" t="inlineStr"/>
    </row>
    <row r="115" ht="15" customHeight="1">
      <c r="A115" t="inlineStr">
        <is>
          <t>A 44766-2019</t>
        </is>
      </c>
      <c r="B115" s="1" t="n">
        <v>43707</v>
      </c>
      <c r="C115" s="1" t="n">
        <v>45789</v>
      </c>
      <c r="D115" t="inlineStr">
        <is>
          <t>DALARNAS LÄN</t>
        </is>
      </c>
      <c r="E115" t="inlineStr">
        <is>
          <t>MORA</t>
        </is>
      </c>
      <c r="F115" t="inlineStr">
        <is>
          <t>Allmännings- och besparingsskogar</t>
        </is>
      </c>
      <c r="G115" t="n">
        <v>32.2</v>
      </c>
      <c r="H115" t="n">
        <v>0</v>
      </c>
      <c r="I115" t="n">
        <v>0</v>
      </c>
      <c r="J115" t="n">
        <v>0</v>
      </c>
      <c r="K115" t="n">
        <v>0</v>
      </c>
      <c r="L115" t="n">
        <v>0</v>
      </c>
      <c r="M115" t="n">
        <v>0</v>
      </c>
      <c r="N115" t="n">
        <v>0</v>
      </c>
      <c r="O115" t="n">
        <v>0</v>
      </c>
      <c r="P115" t="n">
        <v>0</v>
      </c>
      <c r="Q115" t="n">
        <v>0</v>
      </c>
      <c r="R115" s="2" t="inlineStr"/>
    </row>
    <row r="116" ht="15" customHeight="1">
      <c r="A116" t="inlineStr">
        <is>
          <t>A 45989-2019</t>
        </is>
      </c>
      <c r="B116" s="1" t="n">
        <v>43718</v>
      </c>
      <c r="C116" s="1" t="n">
        <v>45789</v>
      </c>
      <c r="D116" t="inlineStr">
        <is>
          <t>DALARNAS LÄN</t>
        </is>
      </c>
      <c r="E116" t="inlineStr">
        <is>
          <t>MORA</t>
        </is>
      </c>
      <c r="G116" t="n">
        <v>12.9</v>
      </c>
      <c r="H116" t="n">
        <v>0</v>
      </c>
      <c r="I116" t="n">
        <v>0</v>
      </c>
      <c r="J116" t="n">
        <v>0</v>
      </c>
      <c r="K116" t="n">
        <v>0</v>
      </c>
      <c r="L116" t="n">
        <v>0</v>
      </c>
      <c r="M116" t="n">
        <v>0</v>
      </c>
      <c r="N116" t="n">
        <v>0</v>
      </c>
      <c r="O116" t="n">
        <v>0</v>
      </c>
      <c r="P116" t="n">
        <v>0</v>
      </c>
      <c r="Q116" t="n">
        <v>0</v>
      </c>
      <c r="R116" s="2" t="inlineStr"/>
    </row>
    <row r="117" ht="15" customHeight="1">
      <c r="A117" t="inlineStr">
        <is>
          <t>A 46119-2019</t>
        </is>
      </c>
      <c r="B117" s="1" t="n">
        <v>43718</v>
      </c>
      <c r="C117" s="1" t="n">
        <v>45789</v>
      </c>
      <c r="D117" t="inlineStr">
        <is>
          <t>DALARNAS LÄN</t>
        </is>
      </c>
      <c r="E117" t="inlineStr">
        <is>
          <t>MORA</t>
        </is>
      </c>
      <c r="G117" t="n">
        <v>3.2</v>
      </c>
      <c r="H117" t="n">
        <v>0</v>
      </c>
      <c r="I117" t="n">
        <v>0</v>
      </c>
      <c r="J117" t="n">
        <v>0</v>
      </c>
      <c r="K117" t="n">
        <v>0</v>
      </c>
      <c r="L117" t="n">
        <v>0</v>
      </c>
      <c r="M117" t="n">
        <v>0</v>
      </c>
      <c r="N117" t="n">
        <v>0</v>
      </c>
      <c r="O117" t="n">
        <v>0</v>
      </c>
      <c r="P117" t="n">
        <v>0</v>
      </c>
      <c r="Q117" t="n">
        <v>0</v>
      </c>
      <c r="R117" s="2" t="inlineStr"/>
    </row>
    <row r="118" ht="15" customHeight="1">
      <c r="A118" t="inlineStr">
        <is>
          <t>A 46171-2019</t>
        </is>
      </c>
      <c r="B118" s="1" t="n">
        <v>43718</v>
      </c>
      <c r="C118" s="1" t="n">
        <v>45789</v>
      </c>
      <c r="D118" t="inlineStr">
        <is>
          <t>DALARNAS LÄN</t>
        </is>
      </c>
      <c r="E118" t="inlineStr">
        <is>
          <t>MORA</t>
        </is>
      </c>
      <c r="G118" t="n">
        <v>6.1</v>
      </c>
      <c r="H118" t="n">
        <v>0</v>
      </c>
      <c r="I118" t="n">
        <v>0</v>
      </c>
      <c r="J118" t="n">
        <v>0</v>
      </c>
      <c r="K118" t="n">
        <v>0</v>
      </c>
      <c r="L118" t="n">
        <v>0</v>
      </c>
      <c r="M118" t="n">
        <v>0</v>
      </c>
      <c r="N118" t="n">
        <v>0</v>
      </c>
      <c r="O118" t="n">
        <v>0</v>
      </c>
      <c r="P118" t="n">
        <v>0</v>
      </c>
      <c r="Q118" t="n">
        <v>0</v>
      </c>
      <c r="R118" s="2" t="inlineStr"/>
    </row>
    <row r="119" ht="15" customHeight="1">
      <c r="A119" t="inlineStr">
        <is>
          <t>A 47713-2019</t>
        </is>
      </c>
      <c r="B119" s="1" t="n">
        <v>43724</v>
      </c>
      <c r="C119" s="1" t="n">
        <v>45789</v>
      </c>
      <c r="D119" t="inlineStr">
        <is>
          <t>DALARNAS LÄN</t>
        </is>
      </c>
      <c r="E119" t="inlineStr">
        <is>
          <t>MORA</t>
        </is>
      </c>
      <c r="G119" t="n">
        <v>11.4</v>
      </c>
      <c r="H119" t="n">
        <v>0</v>
      </c>
      <c r="I119" t="n">
        <v>0</v>
      </c>
      <c r="J119" t="n">
        <v>0</v>
      </c>
      <c r="K119" t="n">
        <v>0</v>
      </c>
      <c r="L119" t="n">
        <v>0</v>
      </c>
      <c r="M119" t="n">
        <v>0</v>
      </c>
      <c r="N119" t="n">
        <v>0</v>
      </c>
      <c r="O119" t="n">
        <v>0</v>
      </c>
      <c r="P119" t="n">
        <v>0</v>
      </c>
      <c r="Q119" t="n">
        <v>0</v>
      </c>
      <c r="R119" s="2" t="inlineStr"/>
    </row>
    <row r="120" ht="15" customHeight="1">
      <c r="A120" t="inlineStr">
        <is>
          <t>A 49193-2019</t>
        </is>
      </c>
      <c r="B120" s="1" t="n">
        <v>43724</v>
      </c>
      <c r="C120" s="1" t="n">
        <v>45789</v>
      </c>
      <c r="D120" t="inlineStr">
        <is>
          <t>DALARNAS LÄN</t>
        </is>
      </c>
      <c r="E120" t="inlineStr">
        <is>
          <t>MORA</t>
        </is>
      </c>
      <c r="G120" t="n">
        <v>4.3</v>
      </c>
      <c r="H120" t="n">
        <v>0</v>
      </c>
      <c r="I120" t="n">
        <v>0</v>
      </c>
      <c r="J120" t="n">
        <v>0</v>
      </c>
      <c r="K120" t="n">
        <v>0</v>
      </c>
      <c r="L120" t="n">
        <v>0</v>
      </c>
      <c r="M120" t="n">
        <v>0</v>
      </c>
      <c r="N120" t="n">
        <v>0</v>
      </c>
      <c r="O120" t="n">
        <v>0</v>
      </c>
      <c r="P120" t="n">
        <v>0</v>
      </c>
      <c r="Q120" t="n">
        <v>0</v>
      </c>
      <c r="R120" s="2" t="inlineStr"/>
    </row>
    <row r="121" ht="15" customHeight="1">
      <c r="A121" t="inlineStr">
        <is>
          <t>A 48445-2019</t>
        </is>
      </c>
      <c r="B121" s="1" t="n">
        <v>43727</v>
      </c>
      <c r="C121" s="1" t="n">
        <v>45789</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48460-2019</t>
        </is>
      </c>
      <c r="B122" s="1" t="n">
        <v>43727</v>
      </c>
      <c r="C122" s="1" t="n">
        <v>45789</v>
      </c>
      <c r="D122" t="inlineStr">
        <is>
          <t>DALARNAS LÄN</t>
        </is>
      </c>
      <c r="E122" t="inlineStr">
        <is>
          <t>MORA</t>
        </is>
      </c>
      <c r="G122" t="n">
        <v>1.2</v>
      </c>
      <c r="H122" t="n">
        <v>0</v>
      </c>
      <c r="I122" t="n">
        <v>0</v>
      </c>
      <c r="J122" t="n">
        <v>0</v>
      </c>
      <c r="K122" t="n">
        <v>0</v>
      </c>
      <c r="L122" t="n">
        <v>0</v>
      </c>
      <c r="M122" t="n">
        <v>0</v>
      </c>
      <c r="N122" t="n">
        <v>0</v>
      </c>
      <c r="O122" t="n">
        <v>0</v>
      </c>
      <c r="P122" t="n">
        <v>0</v>
      </c>
      <c r="Q122" t="n">
        <v>0</v>
      </c>
      <c r="R122" s="2" t="inlineStr"/>
    </row>
    <row r="123" ht="15" customHeight="1">
      <c r="A123" t="inlineStr">
        <is>
          <t>A 49051-2019</t>
        </is>
      </c>
      <c r="B123" s="1" t="n">
        <v>43731</v>
      </c>
      <c r="C123" s="1" t="n">
        <v>45789</v>
      </c>
      <c r="D123" t="inlineStr">
        <is>
          <t>DALARNAS LÄN</t>
        </is>
      </c>
      <c r="E123" t="inlineStr">
        <is>
          <t>MORA</t>
        </is>
      </c>
      <c r="G123" t="n">
        <v>16</v>
      </c>
      <c r="H123" t="n">
        <v>0</v>
      </c>
      <c r="I123" t="n">
        <v>0</v>
      </c>
      <c r="J123" t="n">
        <v>0</v>
      </c>
      <c r="K123" t="n">
        <v>0</v>
      </c>
      <c r="L123" t="n">
        <v>0</v>
      </c>
      <c r="M123" t="n">
        <v>0</v>
      </c>
      <c r="N123" t="n">
        <v>0</v>
      </c>
      <c r="O123" t="n">
        <v>0</v>
      </c>
      <c r="P123" t="n">
        <v>0</v>
      </c>
      <c r="Q123" t="n">
        <v>0</v>
      </c>
      <c r="R123" s="2" t="inlineStr"/>
    </row>
    <row r="124" ht="15" customHeight="1">
      <c r="A124" t="inlineStr">
        <is>
          <t>A 49290-2019</t>
        </is>
      </c>
      <c r="B124" s="1" t="n">
        <v>43731</v>
      </c>
      <c r="C124" s="1" t="n">
        <v>45789</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49765-2019</t>
        </is>
      </c>
      <c r="B125" s="1" t="n">
        <v>43733</v>
      </c>
      <c r="C125" s="1" t="n">
        <v>45789</v>
      </c>
      <c r="D125" t="inlineStr">
        <is>
          <t>DALARNAS LÄN</t>
        </is>
      </c>
      <c r="E125" t="inlineStr">
        <is>
          <t>MORA</t>
        </is>
      </c>
      <c r="F125" t="inlineStr">
        <is>
          <t>Bergvik skog väst AB</t>
        </is>
      </c>
      <c r="G125" t="n">
        <v>9.6</v>
      </c>
      <c r="H125" t="n">
        <v>0</v>
      </c>
      <c r="I125" t="n">
        <v>0</v>
      </c>
      <c r="J125" t="n">
        <v>0</v>
      </c>
      <c r="K125" t="n">
        <v>0</v>
      </c>
      <c r="L125" t="n">
        <v>0</v>
      </c>
      <c r="M125" t="n">
        <v>0</v>
      </c>
      <c r="N125" t="n">
        <v>0</v>
      </c>
      <c r="O125" t="n">
        <v>0</v>
      </c>
      <c r="P125" t="n">
        <v>0</v>
      </c>
      <c r="Q125" t="n">
        <v>0</v>
      </c>
      <c r="R125" s="2" t="inlineStr"/>
    </row>
    <row r="126" ht="15" customHeight="1">
      <c r="A126" t="inlineStr">
        <is>
          <t>A 52958-2019</t>
        </is>
      </c>
      <c r="B126" s="1" t="n">
        <v>43747</v>
      </c>
      <c r="C126" s="1" t="n">
        <v>45789</v>
      </c>
      <c r="D126" t="inlineStr">
        <is>
          <t>DALARNAS LÄN</t>
        </is>
      </c>
      <c r="E126" t="inlineStr">
        <is>
          <t>MORA</t>
        </is>
      </c>
      <c r="G126" t="n">
        <v>6.8</v>
      </c>
      <c r="H126" t="n">
        <v>0</v>
      </c>
      <c r="I126" t="n">
        <v>0</v>
      </c>
      <c r="J126" t="n">
        <v>0</v>
      </c>
      <c r="K126" t="n">
        <v>0</v>
      </c>
      <c r="L126" t="n">
        <v>0</v>
      </c>
      <c r="M126" t="n">
        <v>0</v>
      </c>
      <c r="N126" t="n">
        <v>0</v>
      </c>
      <c r="O126" t="n">
        <v>0</v>
      </c>
      <c r="P126" t="n">
        <v>0</v>
      </c>
      <c r="Q126" t="n">
        <v>0</v>
      </c>
      <c r="R126" s="2" t="inlineStr"/>
    </row>
    <row r="127" ht="15" customHeight="1">
      <c r="A127" t="inlineStr">
        <is>
          <t>A 53336-2019</t>
        </is>
      </c>
      <c r="B127" s="1" t="n">
        <v>43748</v>
      </c>
      <c r="C127" s="1" t="n">
        <v>45789</v>
      </c>
      <c r="D127" t="inlineStr">
        <is>
          <t>DALARNAS LÄN</t>
        </is>
      </c>
      <c r="E127" t="inlineStr">
        <is>
          <t>MORA</t>
        </is>
      </c>
      <c r="G127" t="n">
        <v>4.4</v>
      </c>
      <c r="H127" t="n">
        <v>0</v>
      </c>
      <c r="I127" t="n">
        <v>0</v>
      </c>
      <c r="J127" t="n">
        <v>0</v>
      </c>
      <c r="K127" t="n">
        <v>0</v>
      </c>
      <c r="L127" t="n">
        <v>0</v>
      </c>
      <c r="M127" t="n">
        <v>0</v>
      </c>
      <c r="N127" t="n">
        <v>0</v>
      </c>
      <c r="O127" t="n">
        <v>0</v>
      </c>
      <c r="P127" t="n">
        <v>0</v>
      </c>
      <c r="Q127" t="n">
        <v>0</v>
      </c>
      <c r="R127" s="2" t="inlineStr"/>
    </row>
    <row r="128" ht="15" customHeight="1">
      <c r="A128" t="inlineStr">
        <is>
          <t>A 54605-2019</t>
        </is>
      </c>
      <c r="B128" s="1" t="n">
        <v>43754</v>
      </c>
      <c r="C128" s="1" t="n">
        <v>45789</v>
      </c>
      <c r="D128" t="inlineStr">
        <is>
          <t>DALARNAS LÄN</t>
        </is>
      </c>
      <c r="E128" t="inlineStr">
        <is>
          <t>MORA</t>
        </is>
      </c>
      <c r="F128" t="inlineStr">
        <is>
          <t>Övriga Aktiebolag</t>
        </is>
      </c>
      <c r="G128" t="n">
        <v>12.7</v>
      </c>
      <c r="H128" t="n">
        <v>0</v>
      </c>
      <c r="I128" t="n">
        <v>0</v>
      </c>
      <c r="J128" t="n">
        <v>0</v>
      </c>
      <c r="K128" t="n">
        <v>0</v>
      </c>
      <c r="L128" t="n">
        <v>0</v>
      </c>
      <c r="M128" t="n">
        <v>0</v>
      </c>
      <c r="N128" t="n">
        <v>0</v>
      </c>
      <c r="O128" t="n">
        <v>0</v>
      </c>
      <c r="P128" t="n">
        <v>0</v>
      </c>
      <c r="Q128" t="n">
        <v>0</v>
      </c>
      <c r="R128" s="2" t="inlineStr"/>
    </row>
    <row r="129" ht="15" customHeight="1">
      <c r="A129" t="inlineStr">
        <is>
          <t>A 56145-2019</t>
        </is>
      </c>
      <c r="B129" s="1" t="n">
        <v>43761</v>
      </c>
      <c r="C129" s="1" t="n">
        <v>45789</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57254-2019</t>
        </is>
      </c>
      <c r="B130" s="1" t="n">
        <v>43767</v>
      </c>
      <c r="C130" s="1" t="n">
        <v>45789</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57640-2019</t>
        </is>
      </c>
      <c r="B131" s="1" t="n">
        <v>43768</v>
      </c>
      <c r="C131" s="1" t="n">
        <v>45789</v>
      </c>
      <c r="D131" t="inlineStr">
        <is>
          <t>DALARNAS LÄN</t>
        </is>
      </c>
      <c r="E131" t="inlineStr">
        <is>
          <t>MORA</t>
        </is>
      </c>
      <c r="G131" t="n">
        <v>2.8</v>
      </c>
      <c r="H131" t="n">
        <v>0</v>
      </c>
      <c r="I131" t="n">
        <v>0</v>
      </c>
      <c r="J131" t="n">
        <v>0</v>
      </c>
      <c r="K131" t="n">
        <v>0</v>
      </c>
      <c r="L131" t="n">
        <v>0</v>
      </c>
      <c r="M131" t="n">
        <v>0</v>
      </c>
      <c r="N131" t="n">
        <v>0</v>
      </c>
      <c r="O131" t="n">
        <v>0</v>
      </c>
      <c r="P131" t="n">
        <v>0</v>
      </c>
      <c r="Q131" t="n">
        <v>0</v>
      </c>
      <c r="R131" s="2" t="inlineStr"/>
    </row>
    <row r="132" ht="15" customHeight="1">
      <c r="A132" t="inlineStr">
        <is>
          <t>A 57989-2019</t>
        </is>
      </c>
      <c r="B132" s="1" t="n">
        <v>43769</v>
      </c>
      <c r="C132" s="1" t="n">
        <v>45789</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57984-2019</t>
        </is>
      </c>
      <c r="B133" s="1" t="n">
        <v>43769</v>
      </c>
      <c r="C133" s="1" t="n">
        <v>45789</v>
      </c>
      <c r="D133" t="inlineStr">
        <is>
          <t>DALARNAS LÄN</t>
        </is>
      </c>
      <c r="E133" t="inlineStr">
        <is>
          <t>MORA</t>
        </is>
      </c>
      <c r="G133" t="n">
        <v>1</v>
      </c>
      <c r="H133" t="n">
        <v>0</v>
      </c>
      <c r="I133" t="n">
        <v>0</v>
      </c>
      <c r="J133" t="n">
        <v>0</v>
      </c>
      <c r="K133" t="n">
        <v>0</v>
      </c>
      <c r="L133" t="n">
        <v>0</v>
      </c>
      <c r="M133" t="n">
        <v>0</v>
      </c>
      <c r="N133" t="n">
        <v>0</v>
      </c>
      <c r="O133" t="n">
        <v>0</v>
      </c>
      <c r="P133" t="n">
        <v>0</v>
      </c>
      <c r="Q133" t="n">
        <v>0</v>
      </c>
      <c r="R133" s="2" t="inlineStr"/>
    </row>
    <row r="134" ht="15" customHeight="1">
      <c r="A134" t="inlineStr">
        <is>
          <t>A 58335-2019</t>
        </is>
      </c>
      <c r="B134" s="1" t="n">
        <v>43770</v>
      </c>
      <c r="C134" s="1" t="n">
        <v>45789</v>
      </c>
      <c r="D134" t="inlineStr">
        <is>
          <t>DALARNAS LÄN</t>
        </is>
      </c>
      <c r="E134" t="inlineStr">
        <is>
          <t>MORA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61077-2019</t>
        </is>
      </c>
      <c r="B135" s="1" t="n">
        <v>43782</v>
      </c>
      <c r="C135" s="1" t="n">
        <v>45789</v>
      </c>
      <c r="D135" t="inlineStr">
        <is>
          <t>DALARNAS LÄN</t>
        </is>
      </c>
      <c r="E135" t="inlineStr">
        <is>
          <t>MORA</t>
        </is>
      </c>
      <c r="F135" t="inlineStr">
        <is>
          <t>Bergvik skog öst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61063-2019</t>
        </is>
      </c>
      <c r="B136" s="1" t="n">
        <v>43782</v>
      </c>
      <c r="C136" s="1" t="n">
        <v>45789</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61324-2019</t>
        </is>
      </c>
      <c r="B137" s="1" t="n">
        <v>43783</v>
      </c>
      <c r="C137" s="1" t="n">
        <v>45789</v>
      </c>
      <c r="D137" t="inlineStr">
        <is>
          <t>DALARNAS LÄN</t>
        </is>
      </c>
      <c r="E137" t="inlineStr">
        <is>
          <t>MORA</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61646-2019</t>
        </is>
      </c>
      <c r="B138" s="1" t="n">
        <v>43784</v>
      </c>
      <c r="C138" s="1" t="n">
        <v>45789</v>
      </c>
      <c r="D138" t="inlineStr">
        <is>
          <t>DALARNAS LÄN</t>
        </is>
      </c>
      <c r="E138" t="inlineStr">
        <is>
          <t>MORA</t>
        </is>
      </c>
      <c r="G138" t="n">
        <v>1.2</v>
      </c>
      <c r="H138" t="n">
        <v>0</v>
      </c>
      <c r="I138" t="n">
        <v>0</v>
      </c>
      <c r="J138" t="n">
        <v>0</v>
      </c>
      <c r="K138" t="n">
        <v>0</v>
      </c>
      <c r="L138" t="n">
        <v>0</v>
      </c>
      <c r="M138" t="n">
        <v>0</v>
      </c>
      <c r="N138" t="n">
        <v>0</v>
      </c>
      <c r="O138" t="n">
        <v>0</v>
      </c>
      <c r="P138" t="n">
        <v>0</v>
      </c>
      <c r="Q138" t="n">
        <v>0</v>
      </c>
      <c r="R138" s="2" t="inlineStr"/>
    </row>
    <row r="139" ht="15" customHeight="1">
      <c r="A139" t="inlineStr">
        <is>
          <t>A 62001-2019</t>
        </is>
      </c>
      <c r="B139" s="1" t="n">
        <v>43787</v>
      </c>
      <c r="C139" s="1" t="n">
        <v>45789</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63093-2019</t>
        </is>
      </c>
      <c r="B140" s="1" t="n">
        <v>43791</v>
      </c>
      <c r="C140" s="1" t="n">
        <v>45789</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63072-2019</t>
        </is>
      </c>
      <c r="B141" s="1" t="n">
        <v>43791</v>
      </c>
      <c r="C141" s="1" t="n">
        <v>45789</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63655-2019</t>
        </is>
      </c>
      <c r="B142" s="1" t="n">
        <v>43795</v>
      </c>
      <c r="C142" s="1" t="n">
        <v>45789</v>
      </c>
      <c r="D142" t="inlineStr">
        <is>
          <t>DALARNAS LÄN</t>
        </is>
      </c>
      <c r="E142" t="inlineStr">
        <is>
          <t>MORA</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65090-2019</t>
        </is>
      </c>
      <c r="B143" s="1" t="n">
        <v>43802</v>
      </c>
      <c r="C143" s="1" t="n">
        <v>45789</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65460-2019</t>
        </is>
      </c>
      <c r="B144" s="1" t="n">
        <v>43803</v>
      </c>
      <c r="C144" s="1" t="n">
        <v>45789</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65633-2019</t>
        </is>
      </c>
      <c r="B145" s="1" t="n">
        <v>43804</v>
      </c>
      <c r="C145" s="1" t="n">
        <v>45789</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66214-2019</t>
        </is>
      </c>
      <c r="B146" s="1" t="n">
        <v>43808</v>
      </c>
      <c r="C146" s="1" t="n">
        <v>45789</v>
      </c>
      <c r="D146" t="inlineStr">
        <is>
          <t>DALARNAS LÄN</t>
        </is>
      </c>
      <c r="E146" t="inlineStr">
        <is>
          <t>MORA</t>
        </is>
      </c>
      <c r="G146" t="n">
        <v>5.8</v>
      </c>
      <c r="H146" t="n">
        <v>0</v>
      </c>
      <c r="I146" t="n">
        <v>0</v>
      </c>
      <c r="J146" t="n">
        <v>0</v>
      </c>
      <c r="K146" t="n">
        <v>0</v>
      </c>
      <c r="L146" t="n">
        <v>0</v>
      </c>
      <c r="M146" t="n">
        <v>0</v>
      </c>
      <c r="N146" t="n">
        <v>0</v>
      </c>
      <c r="O146" t="n">
        <v>0</v>
      </c>
      <c r="P146" t="n">
        <v>0</v>
      </c>
      <c r="Q146" t="n">
        <v>0</v>
      </c>
      <c r="R146" s="2" t="inlineStr"/>
    </row>
    <row r="147" ht="15" customHeight="1">
      <c r="A147" t="inlineStr">
        <is>
          <t>A 66873-2019</t>
        </is>
      </c>
      <c r="B147" s="1" t="n">
        <v>43810</v>
      </c>
      <c r="C147" s="1" t="n">
        <v>45789</v>
      </c>
      <c r="D147" t="inlineStr">
        <is>
          <t>DALARNAS LÄN</t>
        </is>
      </c>
      <c r="E147" t="inlineStr">
        <is>
          <t>MORA</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66868-2019</t>
        </is>
      </c>
      <c r="B148" s="1" t="n">
        <v>43810</v>
      </c>
      <c r="C148" s="1" t="n">
        <v>45789</v>
      </c>
      <c r="D148" t="inlineStr">
        <is>
          <t>DALARNAS LÄN</t>
        </is>
      </c>
      <c r="E148" t="inlineStr">
        <is>
          <t>MORA</t>
        </is>
      </c>
      <c r="G148" t="n">
        <v>3.3</v>
      </c>
      <c r="H148" t="n">
        <v>0</v>
      </c>
      <c r="I148" t="n">
        <v>0</v>
      </c>
      <c r="J148" t="n">
        <v>0</v>
      </c>
      <c r="K148" t="n">
        <v>0</v>
      </c>
      <c r="L148" t="n">
        <v>0</v>
      </c>
      <c r="M148" t="n">
        <v>0</v>
      </c>
      <c r="N148" t="n">
        <v>0</v>
      </c>
      <c r="O148" t="n">
        <v>0</v>
      </c>
      <c r="P148" t="n">
        <v>0</v>
      </c>
      <c r="Q148" t="n">
        <v>0</v>
      </c>
      <c r="R148" s="2" t="inlineStr"/>
    </row>
    <row r="149" ht="15" customHeight="1">
      <c r="A149" t="inlineStr">
        <is>
          <t>A 66878-2019</t>
        </is>
      </c>
      <c r="B149" s="1" t="n">
        <v>43810</v>
      </c>
      <c r="C149" s="1" t="n">
        <v>45789</v>
      </c>
      <c r="D149" t="inlineStr">
        <is>
          <t>DALARNAS LÄN</t>
        </is>
      </c>
      <c r="E149" t="inlineStr">
        <is>
          <t>MORA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67986-2019</t>
        </is>
      </c>
      <c r="B150" s="1" t="n">
        <v>43811</v>
      </c>
      <c r="C150" s="1" t="n">
        <v>45789</v>
      </c>
      <c r="D150" t="inlineStr">
        <is>
          <t>DALARNAS LÄN</t>
        </is>
      </c>
      <c r="E150" t="inlineStr">
        <is>
          <t>MORA</t>
        </is>
      </c>
      <c r="G150" t="n">
        <v>3.8</v>
      </c>
      <c r="H150" t="n">
        <v>0</v>
      </c>
      <c r="I150" t="n">
        <v>0</v>
      </c>
      <c r="J150" t="n">
        <v>0</v>
      </c>
      <c r="K150" t="n">
        <v>0</v>
      </c>
      <c r="L150" t="n">
        <v>0</v>
      </c>
      <c r="M150" t="n">
        <v>0</v>
      </c>
      <c r="N150" t="n">
        <v>0</v>
      </c>
      <c r="O150" t="n">
        <v>0</v>
      </c>
      <c r="P150" t="n">
        <v>0</v>
      </c>
      <c r="Q150" t="n">
        <v>0</v>
      </c>
      <c r="R150" s="2" t="inlineStr"/>
    </row>
    <row r="151" ht="15" customHeight="1">
      <c r="A151" t="inlineStr">
        <is>
          <t>A 67633-2019</t>
        </is>
      </c>
      <c r="B151" s="1" t="n">
        <v>43815</v>
      </c>
      <c r="C151" s="1" t="n">
        <v>45789</v>
      </c>
      <c r="D151" t="inlineStr">
        <is>
          <t>DALARNAS LÄN</t>
        </is>
      </c>
      <c r="E151" t="inlineStr">
        <is>
          <t>MORA</t>
        </is>
      </c>
      <c r="G151" t="n">
        <v>4.7</v>
      </c>
      <c r="H151" t="n">
        <v>0</v>
      </c>
      <c r="I151" t="n">
        <v>0</v>
      </c>
      <c r="J151" t="n">
        <v>0</v>
      </c>
      <c r="K151" t="n">
        <v>0</v>
      </c>
      <c r="L151" t="n">
        <v>0</v>
      </c>
      <c r="M151" t="n">
        <v>0</v>
      </c>
      <c r="N151" t="n">
        <v>0</v>
      </c>
      <c r="O151" t="n">
        <v>0</v>
      </c>
      <c r="P151" t="n">
        <v>0</v>
      </c>
      <c r="Q151" t="n">
        <v>0</v>
      </c>
      <c r="R151" s="2" t="inlineStr"/>
    </row>
    <row r="152" ht="15" customHeight="1">
      <c r="A152" t="inlineStr">
        <is>
          <t>A 564-2020</t>
        </is>
      </c>
      <c r="B152" s="1" t="n">
        <v>43817</v>
      </c>
      <c r="C152" s="1" t="n">
        <v>45789</v>
      </c>
      <c r="D152" t="inlineStr">
        <is>
          <t>DALARNAS LÄN</t>
        </is>
      </c>
      <c r="E152" t="inlineStr">
        <is>
          <t>MORA</t>
        </is>
      </c>
      <c r="F152" t="inlineStr">
        <is>
          <t>Kommuner</t>
        </is>
      </c>
      <c r="G152" t="n">
        <v>56.1</v>
      </c>
      <c r="H152" t="n">
        <v>0</v>
      </c>
      <c r="I152" t="n">
        <v>0</v>
      </c>
      <c r="J152" t="n">
        <v>0</v>
      </c>
      <c r="K152" t="n">
        <v>0</v>
      </c>
      <c r="L152" t="n">
        <v>0</v>
      </c>
      <c r="M152" t="n">
        <v>0</v>
      </c>
      <c r="N152" t="n">
        <v>0</v>
      </c>
      <c r="O152" t="n">
        <v>0</v>
      </c>
      <c r="P152" t="n">
        <v>0</v>
      </c>
      <c r="Q152" t="n">
        <v>0</v>
      </c>
      <c r="R152" s="2" t="inlineStr"/>
    </row>
    <row r="153" ht="15" customHeight="1">
      <c r="A153" t="inlineStr">
        <is>
          <t>A 68092-2019</t>
        </is>
      </c>
      <c r="B153" s="1" t="n">
        <v>43817</v>
      </c>
      <c r="C153" s="1" t="n">
        <v>45789</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1506-2020</t>
        </is>
      </c>
      <c r="B154" s="1" t="n">
        <v>43826</v>
      </c>
      <c r="C154" s="1" t="n">
        <v>45789</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472-2020</t>
        </is>
      </c>
      <c r="B155" s="1" t="n">
        <v>43837</v>
      </c>
      <c r="C155" s="1" t="n">
        <v>45789</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1841-2020</t>
        </is>
      </c>
      <c r="B156" s="1" t="n">
        <v>43844</v>
      </c>
      <c r="C156" s="1" t="n">
        <v>45789</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3588-2020</t>
        </is>
      </c>
      <c r="B157" s="1" t="n">
        <v>43845</v>
      </c>
      <c r="C157" s="1" t="n">
        <v>45789</v>
      </c>
      <c r="D157" t="inlineStr">
        <is>
          <t>DALARNAS LÄN</t>
        </is>
      </c>
      <c r="E157" t="inlineStr">
        <is>
          <t>MORA</t>
        </is>
      </c>
      <c r="G157" t="n">
        <v>3</v>
      </c>
      <c r="H157" t="n">
        <v>0</v>
      </c>
      <c r="I157" t="n">
        <v>0</v>
      </c>
      <c r="J157" t="n">
        <v>0</v>
      </c>
      <c r="K157" t="n">
        <v>0</v>
      </c>
      <c r="L157" t="n">
        <v>0</v>
      </c>
      <c r="M157" t="n">
        <v>0</v>
      </c>
      <c r="N157" t="n">
        <v>0</v>
      </c>
      <c r="O157" t="n">
        <v>0</v>
      </c>
      <c r="P157" t="n">
        <v>0</v>
      </c>
      <c r="Q157" t="n">
        <v>0</v>
      </c>
      <c r="R157" s="2" t="inlineStr"/>
    </row>
    <row r="158" ht="15" customHeight="1">
      <c r="A158" t="inlineStr">
        <is>
          <t>A 4106-2020</t>
        </is>
      </c>
      <c r="B158" s="1" t="n">
        <v>43857</v>
      </c>
      <c r="C158" s="1" t="n">
        <v>45789</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4818-2020</t>
        </is>
      </c>
      <c r="B159" s="1" t="n">
        <v>43859</v>
      </c>
      <c r="C159" s="1" t="n">
        <v>45789</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6012-2020</t>
        </is>
      </c>
      <c r="B160" s="1" t="n">
        <v>43865</v>
      </c>
      <c r="C160" s="1" t="n">
        <v>45789</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7093-2020</t>
        </is>
      </c>
      <c r="B161" s="1" t="n">
        <v>43868</v>
      </c>
      <c r="C161" s="1" t="n">
        <v>45789</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7382-2020</t>
        </is>
      </c>
      <c r="B162" s="1" t="n">
        <v>43871</v>
      </c>
      <c r="C162" s="1" t="n">
        <v>45789</v>
      </c>
      <c r="D162" t="inlineStr">
        <is>
          <t>DALARNAS LÄN</t>
        </is>
      </c>
      <c r="E162" t="inlineStr">
        <is>
          <t>MORA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10704-2020</t>
        </is>
      </c>
      <c r="B163" s="1" t="n">
        <v>43888</v>
      </c>
      <c r="C163" s="1" t="n">
        <v>45789</v>
      </c>
      <c r="D163" t="inlineStr">
        <is>
          <t>DALARNAS LÄN</t>
        </is>
      </c>
      <c r="E163" t="inlineStr">
        <is>
          <t>MORA</t>
        </is>
      </c>
      <c r="G163" t="n">
        <v>2.6</v>
      </c>
      <c r="H163" t="n">
        <v>0</v>
      </c>
      <c r="I163" t="n">
        <v>0</v>
      </c>
      <c r="J163" t="n">
        <v>0</v>
      </c>
      <c r="K163" t="n">
        <v>0</v>
      </c>
      <c r="L163" t="n">
        <v>0</v>
      </c>
      <c r="M163" t="n">
        <v>0</v>
      </c>
      <c r="N163" t="n">
        <v>0</v>
      </c>
      <c r="O163" t="n">
        <v>0</v>
      </c>
      <c r="P163" t="n">
        <v>0</v>
      </c>
      <c r="Q163" t="n">
        <v>0</v>
      </c>
      <c r="R163" s="2" t="inlineStr"/>
    </row>
    <row r="164" ht="15" customHeight="1">
      <c r="A164" t="inlineStr">
        <is>
          <t>A 12360-2020</t>
        </is>
      </c>
      <c r="B164" s="1" t="n">
        <v>43896</v>
      </c>
      <c r="C164" s="1" t="n">
        <v>45789</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12723-2020</t>
        </is>
      </c>
      <c r="B165" s="1" t="n">
        <v>43899</v>
      </c>
      <c r="C165" s="1" t="n">
        <v>45789</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13943-2020</t>
        </is>
      </c>
      <c r="B166" s="1" t="n">
        <v>43906</v>
      </c>
      <c r="C166" s="1" t="n">
        <v>45789</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16636-2020</t>
        </is>
      </c>
      <c r="B167" s="1" t="n">
        <v>43910</v>
      </c>
      <c r="C167" s="1" t="n">
        <v>45789</v>
      </c>
      <c r="D167" t="inlineStr">
        <is>
          <t>DALARNAS LÄN</t>
        </is>
      </c>
      <c r="E167" t="inlineStr">
        <is>
          <t>MORA</t>
        </is>
      </c>
      <c r="G167" t="n">
        <v>1.9</v>
      </c>
      <c r="H167" t="n">
        <v>0</v>
      </c>
      <c r="I167" t="n">
        <v>0</v>
      </c>
      <c r="J167" t="n">
        <v>0</v>
      </c>
      <c r="K167" t="n">
        <v>0</v>
      </c>
      <c r="L167" t="n">
        <v>0</v>
      </c>
      <c r="M167" t="n">
        <v>0</v>
      </c>
      <c r="N167" t="n">
        <v>0</v>
      </c>
      <c r="O167" t="n">
        <v>0</v>
      </c>
      <c r="P167" t="n">
        <v>0</v>
      </c>
      <c r="Q167" t="n">
        <v>0</v>
      </c>
      <c r="R167" s="2" t="inlineStr"/>
    </row>
    <row r="168" ht="15" customHeight="1">
      <c r="A168" t="inlineStr">
        <is>
          <t>A 16194-2020</t>
        </is>
      </c>
      <c r="B168" s="1" t="n">
        <v>43917</v>
      </c>
      <c r="C168" s="1" t="n">
        <v>45789</v>
      </c>
      <c r="D168" t="inlineStr">
        <is>
          <t>DALARNAS LÄN</t>
        </is>
      </c>
      <c r="E168" t="inlineStr">
        <is>
          <t>MORA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16195-2020</t>
        </is>
      </c>
      <c r="B169" s="1" t="n">
        <v>43917</v>
      </c>
      <c r="C169" s="1" t="n">
        <v>45789</v>
      </c>
      <c r="D169" t="inlineStr">
        <is>
          <t>DALARNAS LÄN</t>
        </is>
      </c>
      <c r="E169" t="inlineStr">
        <is>
          <t>MORA</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18989-2020</t>
        </is>
      </c>
      <c r="B170" s="1" t="n">
        <v>43935</v>
      </c>
      <c r="C170" s="1" t="n">
        <v>45789</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18978-2020</t>
        </is>
      </c>
      <c r="B171" s="1" t="n">
        <v>43935</v>
      </c>
      <c r="C171" s="1" t="n">
        <v>45789</v>
      </c>
      <c r="D171" t="inlineStr">
        <is>
          <t>DALARNAS LÄN</t>
        </is>
      </c>
      <c r="E171" t="inlineStr">
        <is>
          <t>MORA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19507-2020</t>
        </is>
      </c>
      <c r="B172" s="1" t="n">
        <v>43938</v>
      </c>
      <c r="C172" s="1" t="n">
        <v>45789</v>
      </c>
      <c r="D172" t="inlineStr">
        <is>
          <t>DALARNAS LÄN</t>
        </is>
      </c>
      <c r="E172" t="inlineStr">
        <is>
          <t>MORA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21122-2020</t>
        </is>
      </c>
      <c r="B173" s="1" t="n">
        <v>43951</v>
      </c>
      <c r="C173" s="1" t="n">
        <v>45789</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21951-2020</t>
        </is>
      </c>
      <c r="B174" s="1" t="n">
        <v>43958</v>
      </c>
      <c r="C174" s="1" t="n">
        <v>45789</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24719-2020</t>
        </is>
      </c>
      <c r="B175" s="1" t="n">
        <v>43978</v>
      </c>
      <c r="C175" s="1" t="n">
        <v>45789</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25852-2020</t>
        </is>
      </c>
      <c r="B176" s="1" t="n">
        <v>43984</v>
      </c>
      <c r="C176" s="1" t="n">
        <v>45789</v>
      </c>
      <c r="D176" t="inlineStr">
        <is>
          <t>DALARNAS LÄN</t>
        </is>
      </c>
      <c r="E176" t="inlineStr">
        <is>
          <t>MORA</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26454-2020</t>
        </is>
      </c>
      <c r="B177" s="1" t="n">
        <v>43987</v>
      </c>
      <c r="C177" s="1" t="n">
        <v>45789</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26460-2020</t>
        </is>
      </c>
      <c r="B178" s="1" t="n">
        <v>43987</v>
      </c>
      <c r="C178" s="1" t="n">
        <v>45789</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29751-2020</t>
        </is>
      </c>
      <c r="B179" s="1" t="n">
        <v>44005</v>
      </c>
      <c r="C179" s="1" t="n">
        <v>45789</v>
      </c>
      <c r="D179" t="inlineStr">
        <is>
          <t>DALARNAS LÄN</t>
        </is>
      </c>
      <c r="E179" t="inlineStr">
        <is>
          <t>MORA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29881-2020</t>
        </is>
      </c>
      <c r="B180" s="1" t="n">
        <v>44006</v>
      </c>
      <c r="C180" s="1" t="n">
        <v>45789</v>
      </c>
      <c r="D180" t="inlineStr">
        <is>
          <t>DALARNAS LÄN</t>
        </is>
      </c>
      <c r="E180" t="inlineStr">
        <is>
          <t>MORA</t>
        </is>
      </c>
      <c r="G180" t="n">
        <v>3.7</v>
      </c>
      <c r="H180" t="n">
        <v>0</v>
      </c>
      <c r="I180" t="n">
        <v>0</v>
      </c>
      <c r="J180" t="n">
        <v>0</v>
      </c>
      <c r="K180" t="n">
        <v>0</v>
      </c>
      <c r="L180" t="n">
        <v>0</v>
      </c>
      <c r="M180" t="n">
        <v>0</v>
      </c>
      <c r="N180" t="n">
        <v>0</v>
      </c>
      <c r="O180" t="n">
        <v>0</v>
      </c>
      <c r="P180" t="n">
        <v>0</v>
      </c>
      <c r="Q180" t="n">
        <v>0</v>
      </c>
      <c r="R180" s="2" t="inlineStr"/>
    </row>
    <row r="181" ht="15" customHeight="1">
      <c r="A181" t="inlineStr">
        <is>
          <t>A 29960-2020</t>
        </is>
      </c>
      <c r="B181" s="1" t="n">
        <v>44006</v>
      </c>
      <c r="C181" s="1" t="n">
        <v>45789</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33581-2020</t>
        </is>
      </c>
      <c r="B182" s="1" t="n">
        <v>44022</v>
      </c>
      <c r="C182" s="1" t="n">
        <v>45789</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34455-2020</t>
        </is>
      </c>
      <c r="B183" s="1" t="n">
        <v>44032</v>
      </c>
      <c r="C183" s="1" t="n">
        <v>45789</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34454-2020</t>
        </is>
      </c>
      <c r="B184" s="1" t="n">
        <v>44032</v>
      </c>
      <c r="C184" s="1" t="n">
        <v>45789</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34446-2020</t>
        </is>
      </c>
      <c r="B185" s="1" t="n">
        <v>44032</v>
      </c>
      <c r="C185" s="1" t="n">
        <v>45789</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35976-2020</t>
        </is>
      </c>
      <c r="B186" s="1" t="n">
        <v>44047</v>
      </c>
      <c r="C186" s="1" t="n">
        <v>45789</v>
      </c>
      <c r="D186" t="inlineStr">
        <is>
          <t>DALARNAS LÄN</t>
        </is>
      </c>
      <c r="E186" t="inlineStr">
        <is>
          <t>MORA</t>
        </is>
      </c>
      <c r="G186" t="n">
        <v>6.7</v>
      </c>
      <c r="H186" t="n">
        <v>0</v>
      </c>
      <c r="I186" t="n">
        <v>0</v>
      </c>
      <c r="J186" t="n">
        <v>0</v>
      </c>
      <c r="K186" t="n">
        <v>0</v>
      </c>
      <c r="L186" t="n">
        <v>0</v>
      </c>
      <c r="M186" t="n">
        <v>0</v>
      </c>
      <c r="N186" t="n">
        <v>0</v>
      </c>
      <c r="O186" t="n">
        <v>0</v>
      </c>
      <c r="P186" t="n">
        <v>0</v>
      </c>
      <c r="Q186" t="n">
        <v>0</v>
      </c>
      <c r="R186" s="2" t="inlineStr"/>
    </row>
    <row r="187" ht="15" customHeight="1">
      <c r="A187" t="inlineStr">
        <is>
          <t>A 37403-2020</t>
        </is>
      </c>
      <c r="B187" s="1" t="n">
        <v>44055</v>
      </c>
      <c r="C187" s="1" t="n">
        <v>45789</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37840-2020</t>
        </is>
      </c>
      <c r="B188" s="1" t="n">
        <v>44057</v>
      </c>
      <c r="C188" s="1" t="n">
        <v>45789</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38910-2020</t>
        </is>
      </c>
      <c r="B189" s="1" t="n">
        <v>44062</v>
      </c>
      <c r="C189" s="1" t="n">
        <v>45789</v>
      </c>
      <c r="D189" t="inlineStr">
        <is>
          <t>DALARNAS LÄN</t>
        </is>
      </c>
      <c r="E189" t="inlineStr">
        <is>
          <t>MORA</t>
        </is>
      </c>
      <c r="G189" t="n">
        <v>7.8</v>
      </c>
      <c r="H189" t="n">
        <v>0</v>
      </c>
      <c r="I189" t="n">
        <v>0</v>
      </c>
      <c r="J189" t="n">
        <v>0</v>
      </c>
      <c r="K189" t="n">
        <v>0</v>
      </c>
      <c r="L189" t="n">
        <v>0</v>
      </c>
      <c r="M189" t="n">
        <v>0</v>
      </c>
      <c r="N189" t="n">
        <v>0</v>
      </c>
      <c r="O189" t="n">
        <v>0</v>
      </c>
      <c r="P189" t="n">
        <v>0</v>
      </c>
      <c r="Q189" t="n">
        <v>0</v>
      </c>
      <c r="R189" s="2" t="inlineStr"/>
    </row>
    <row r="190" ht="15" customHeight="1">
      <c r="A190" t="inlineStr">
        <is>
          <t>A 39585-2020</t>
        </is>
      </c>
      <c r="B190" s="1" t="n">
        <v>44064</v>
      </c>
      <c r="C190" s="1" t="n">
        <v>45789</v>
      </c>
      <c r="D190" t="inlineStr">
        <is>
          <t>DALARNAS LÄN</t>
        </is>
      </c>
      <c r="E190" t="inlineStr">
        <is>
          <t>MORA</t>
        </is>
      </c>
      <c r="G190" t="n">
        <v>6.5</v>
      </c>
      <c r="H190" t="n">
        <v>0</v>
      </c>
      <c r="I190" t="n">
        <v>0</v>
      </c>
      <c r="J190" t="n">
        <v>0</v>
      </c>
      <c r="K190" t="n">
        <v>0</v>
      </c>
      <c r="L190" t="n">
        <v>0</v>
      </c>
      <c r="M190" t="n">
        <v>0</v>
      </c>
      <c r="N190" t="n">
        <v>0</v>
      </c>
      <c r="O190" t="n">
        <v>0</v>
      </c>
      <c r="P190" t="n">
        <v>0</v>
      </c>
      <c r="Q190" t="n">
        <v>0</v>
      </c>
      <c r="R190" s="2" t="inlineStr"/>
    </row>
    <row r="191" ht="15" customHeight="1">
      <c r="A191" t="inlineStr">
        <is>
          <t>A 39959-2020</t>
        </is>
      </c>
      <c r="B191" s="1" t="n">
        <v>44067</v>
      </c>
      <c r="C191" s="1" t="n">
        <v>45789</v>
      </c>
      <c r="D191" t="inlineStr">
        <is>
          <t>DALARNAS LÄN</t>
        </is>
      </c>
      <c r="E191" t="inlineStr">
        <is>
          <t>MORA</t>
        </is>
      </c>
      <c r="G191" t="n">
        <v>25.7</v>
      </c>
      <c r="H191" t="n">
        <v>0</v>
      </c>
      <c r="I191" t="n">
        <v>0</v>
      </c>
      <c r="J191" t="n">
        <v>0</v>
      </c>
      <c r="K191" t="n">
        <v>0</v>
      </c>
      <c r="L191" t="n">
        <v>0</v>
      </c>
      <c r="M191" t="n">
        <v>0</v>
      </c>
      <c r="N191" t="n">
        <v>0</v>
      </c>
      <c r="O191" t="n">
        <v>0</v>
      </c>
      <c r="P191" t="n">
        <v>0</v>
      </c>
      <c r="Q191" t="n">
        <v>0</v>
      </c>
      <c r="R191" s="2" t="inlineStr"/>
    </row>
    <row r="192" ht="15" customHeight="1">
      <c r="A192" t="inlineStr">
        <is>
          <t>A 41768-2020</t>
        </is>
      </c>
      <c r="B192" s="1" t="n">
        <v>44074</v>
      </c>
      <c r="C192" s="1" t="n">
        <v>45789</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42362-2020</t>
        </is>
      </c>
      <c r="B193" s="1" t="n">
        <v>44074</v>
      </c>
      <c r="C193" s="1" t="n">
        <v>45789</v>
      </c>
      <c r="D193" t="inlineStr">
        <is>
          <t>DALARNAS LÄN</t>
        </is>
      </c>
      <c r="E193" t="inlineStr">
        <is>
          <t>MORA</t>
        </is>
      </c>
      <c r="G193" t="n">
        <v>4.5</v>
      </c>
      <c r="H193" t="n">
        <v>0</v>
      </c>
      <c r="I193" t="n">
        <v>0</v>
      </c>
      <c r="J193" t="n">
        <v>0</v>
      </c>
      <c r="K193" t="n">
        <v>0</v>
      </c>
      <c r="L193" t="n">
        <v>0</v>
      </c>
      <c r="M193" t="n">
        <v>0</v>
      </c>
      <c r="N193" t="n">
        <v>0</v>
      </c>
      <c r="O193" t="n">
        <v>0</v>
      </c>
      <c r="P193" t="n">
        <v>0</v>
      </c>
      <c r="Q193" t="n">
        <v>0</v>
      </c>
      <c r="R193" s="2" t="inlineStr"/>
    </row>
    <row r="194" ht="15" customHeight="1">
      <c r="A194" t="inlineStr">
        <is>
          <t>A 42377-2020</t>
        </is>
      </c>
      <c r="B194" s="1" t="n">
        <v>44076</v>
      </c>
      <c r="C194" s="1" t="n">
        <v>45789</v>
      </c>
      <c r="D194" t="inlineStr">
        <is>
          <t>DALARNAS LÄN</t>
        </is>
      </c>
      <c r="E194" t="inlineStr">
        <is>
          <t>MORA</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43284-2020</t>
        </is>
      </c>
      <c r="B195" s="1" t="n">
        <v>44081</v>
      </c>
      <c r="C195" s="1" t="n">
        <v>45789</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48065-2020</t>
        </is>
      </c>
      <c r="B196" s="1" t="n">
        <v>44100</v>
      </c>
      <c r="C196" s="1" t="n">
        <v>45789</v>
      </c>
      <c r="D196" t="inlineStr">
        <is>
          <t>DALARNAS LÄN</t>
        </is>
      </c>
      <c r="E196" t="inlineStr">
        <is>
          <t>MORA</t>
        </is>
      </c>
      <c r="G196" t="n">
        <v>8.6</v>
      </c>
      <c r="H196" t="n">
        <v>0</v>
      </c>
      <c r="I196" t="n">
        <v>0</v>
      </c>
      <c r="J196" t="n">
        <v>0</v>
      </c>
      <c r="K196" t="n">
        <v>0</v>
      </c>
      <c r="L196" t="n">
        <v>0</v>
      </c>
      <c r="M196" t="n">
        <v>0</v>
      </c>
      <c r="N196" t="n">
        <v>0</v>
      </c>
      <c r="O196" t="n">
        <v>0</v>
      </c>
      <c r="P196" t="n">
        <v>0</v>
      </c>
      <c r="Q196" t="n">
        <v>0</v>
      </c>
      <c r="R196" s="2" t="inlineStr"/>
    </row>
    <row r="197" ht="15" customHeight="1">
      <c r="A197" t="inlineStr">
        <is>
          <t>A 51621-2020</t>
        </is>
      </c>
      <c r="B197" s="1" t="n">
        <v>44109</v>
      </c>
      <c r="C197" s="1" t="n">
        <v>45789</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51608-2020</t>
        </is>
      </c>
      <c r="B198" s="1" t="n">
        <v>44109</v>
      </c>
      <c r="C198" s="1" t="n">
        <v>45789</v>
      </c>
      <c r="D198" t="inlineStr">
        <is>
          <t>DALARNAS LÄN</t>
        </is>
      </c>
      <c r="E198" t="inlineStr">
        <is>
          <t>MORA</t>
        </is>
      </c>
      <c r="G198" t="n">
        <v>4.6</v>
      </c>
      <c r="H198" t="n">
        <v>0</v>
      </c>
      <c r="I198" t="n">
        <v>0</v>
      </c>
      <c r="J198" t="n">
        <v>0</v>
      </c>
      <c r="K198" t="n">
        <v>0</v>
      </c>
      <c r="L198" t="n">
        <v>0</v>
      </c>
      <c r="M198" t="n">
        <v>0</v>
      </c>
      <c r="N198" t="n">
        <v>0</v>
      </c>
      <c r="O198" t="n">
        <v>0</v>
      </c>
      <c r="P198" t="n">
        <v>0</v>
      </c>
      <c r="Q198" t="n">
        <v>0</v>
      </c>
      <c r="R198" s="2" t="inlineStr"/>
    </row>
    <row r="199" ht="15" customHeight="1">
      <c r="A199" t="inlineStr">
        <is>
          <t>A 52732-2020</t>
        </is>
      </c>
      <c r="B199" s="1" t="n">
        <v>44118</v>
      </c>
      <c r="C199" s="1" t="n">
        <v>45789</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55249-2020</t>
        </is>
      </c>
      <c r="B200" s="1" t="n">
        <v>44130</v>
      </c>
      <c r="C200" s="1" t="n">
        <v>45789</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56071-2020</t>
        </is>
      </c>
      <c r="B201" s="1" t="n">
        <v>44133</v>
      </c>
      <c r="C201" s="1" t="n">
        <v>45789</v>
      </c>
      <c r="D201" t="inlineStr">
        <is>
          <t>DALARNAS LÄN</t>
        </is>
      </c>
      <c r="E201" t="inlineStr">
        <is>
          <t>MORA</t>
        </is>
      </c>
      <c r="G201" t="n">
        <v>6.6</v>
      </c>
      <c r="H201" t="n">
        <v>0</v>
      </c>
      <c r="I201" t="n">
        <v>0</v>
      </c>
      <c r="J201" t="n">
        <v>0</v>
      </c>
      <c r="K201" t="n">
        <v>0</v>
      </c>
      <c r="L201" t="n">
        <v>0</v>
      </c>
      <c r="M201" t="n">
        <v>0</v>
      </c>
      <c r="N201" t="n">
        <v>0</v>
      </c>
      <c r="O201" t="n">
        <v>0</v>
      </c>
      <c r="P201" t="n">
        <v>0</v>
      </c>
      <c r="Q201" t="n">
        <v>0</v>
      </c>
      <c r="R201" s="2" t="inlineStr"/>
    </row>
    <row r="202" ht="15" customHeight="1">
      <c r="A202" t="inlineStr">
        <is>
          <t>A 56501-2020</t>
        </is>
      </c>
      <c r="B202" s="1" t="n">
        <v>44137</v>
      </c>
      <c r="C202" s="1" t="n">
        <v>45789</v>
      </c>
      <c r="D202" t="inlineStr">
        <is>
          <t>DALARNAS LÄN</t>
        </is>
      </c>
      <c r="E202" t="inlineStr">
        <is>
          <t>MORA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56976-2020</t>
        </is>
      </c>
      <c r="B203" s="1" t="n">
        <v>44138</v>
      </c>
      <c r="C203" s="1" t="n">
        <v>45789</v>
      </c>
      <c r="D203" t="inlineStr">
        <is>
          <t>DALARNAS LÄN</t>
        </is>
      </c>
      <c r="E203" t="inlineStr">
        <is>
          <t>MORA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56974-2020</t>
        </is>
      </c>
      <c r="B204" s="1" t="n">
        <v>44138</v>
      </c>
      <c r="C204" s="1" t="n">
        <v>45789</v>
      </c>
      <c r="D204" t="inlineStr">
        <is>
          <t>DALARNAS LÄN</t>
        </is>
      </c>
      <c r="E204" t="inlineStr">
        <is>
          <t>MORA</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57268-2020</t>
        </is>
      </c>
      <c r="B205" s="1" t="n">
        <v>44139</v>
      </c>
      <c r="C205" s="1" t="n">
        <v>45789</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57848-2020</t>
        </is>
      </c>
      <c r="B206" s="1" t="n">
        <v>44141</v>
      </c>
      <c r="C206" s="1" t="n">
        <v>45789</v>
      </c>
      <c r="D206" t="inlineStr">
        <is>
          <t>DALARNAS LÄN</t>
        </is>
      </c>
      <c r="E206" t="inlineStr">
        <is>
          <t>MORA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57926-2020</t>
        </is>
      </c>
      <c r="B207" s="1" t="n">
        <v>44141</v>
      </c>
      <c r="C207" s="1" t="n">
        <v>45789</v>
      </c>
      <c r="D207" t="inlineStr">
        <is>
          <t>DALARNAS LÄN</t>
        </is>
      </c>
      <c r="E207" t="inlineStr">
        <is>
          <t>MORA</t>
        </is>
      </c>
      <c r="F207" t="inlineStr">
        <is>
          <t>Bergvik skog väst AB</t>
        </is>
      </c>
      <c r="G207" t="n">
        <v>13.1</v>
      </c>
      <c r="H207" t="n">
        <v>0</v>
      </c>
      <c r="I207" t="n">
        <v>0</v>
      </c>
      <c r="J207" t="n">
        <v>0</v>
      </c>
      <c r="K207" t="n">
        <v>0</v>
      </c>
      <c r="L207" t="n">
        <v>0</v>
      </c>
      <c r="M207" t="n">
        <v>0</v>
      </c>
      <c r="N207" t="n">
        <v>0</v>
      </c>
      <c r="O207" t="n">
        <v>0</v>
      </c>
      <c r="P207" t="n">
        <v>0</v>
      </c>
      <c r="Q207" t="n">
        <v>0</v>
      </c>
      <c r="R207" s="2" t="inlineStr"/>
    </row>
    <row r="208" ht="15" customHeight="1">
      <c r="A208" t="inlineStr">
        <is>
          <t>A 60250-2020</t>
        </is>
      </c>
      <c r="B208" s="1" t="n">
        <v>44152</v>
      </c>
      <c r="C208" s="1" t="n">
        <v>45789</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61338-2020</t>
        </is>
      </c>
      <c r="B209" s="1" t="n">
        <v>44155</v>
      </c>
      <c r="C209" s="1" t="n">
        <v>45789</v>
      </c>
      <c r="D209" t="inlineStr">
        <is>
          <t>DALARNAS LÄN</t>
        </is>
      </c>
      <c r="E209" t="inlineStr">
        <is>
          <t>MORA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62301-2020</t>
        </is>
      </c>
      <c r="B210" s="1" t="n">
        <v>44160</v>
      </c>
      <c r="C210" s="1" t="n">
        <v>45789</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62266-2020</t>
        </is>
      </c>
      <c r="B211" s="1" t="n">
        <v>44160</v>
      </c>
      <c r="C211" s="1" t="n">
        <v>45789</v>
      </c>
      <c r="D211" t="inlineStr">
        <is>
          <t>DALARNAS LÄN</t>
        </is>
      </c>
      <c r="E211" t="inlineStr">
        <is>
          <t>MORA</t>
        </is>
      </c>
      <c r="F211" t="inlineStr">
        <is>
          <t>Bergvik skog väst AB</t>
        </is>
      </c>
      <c r="G211" t="n">
        <v>5.9</v>
      </c>
      <c r="H211" t="n">
        <v>0</v>
      </c>
      <c r="I211" t="n">
        <v>0</v>
      </c>
      <c r="J211" t="n">
        <v>0</v>
      </c>
      <c r="K211" t="n">
        <v>0</v>
      </c>
      <c r="L211" t="n">
        <v>0</v>
      </c>
      <c r="M211" t="n">
        <v>0</v>
      </c>
      <c r="N211" t="n">
        <v>0</v>
      </c>
      <c r="O211" t="n">
        <v>0</v>
      </c>
      <c r="P211" t="n">
        <v>0</v>
      </c>
      <c r="Q211" t="n">
        <v>0</v>
      </c>
      <c r="R211" s="2" t="inlineStr"/>
    </row>
    <row r="212" ht="15" customHeight="1">
      <c r="A212" t="inlineStr">
        <is>
          <t>A 62268-2020</t>
        </is>
      </c>
      <c r="B212" s="1" t="n">
        <v>44160</v>
      </c>
      <c r="C212" s="1" t="n">
        <v>45789</v>
      </c>
      <c r="D212" t="inlineStr">
        <is>
          <t>DALARNAS LÄN</t>
        </is>
      </c>
      <c r="E212" t="inlineStr">
        <is>
          <t>MORA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65301-2020</t>
        </is>
      </c>
      <c r="B213" s="1" t="n">
        <v>44169</v>
      </c>
      <c r="C213" s="1" t="n">
        <v>45789</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67028-2020</t>
        </is>
      </c>
      <c r="B214" s="1" t="n">
        <v>44180</v>
      </c>
      <c r="C214" s="1" t="n">
        <v>45789</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66990-2020</t>
        </is>
      </c>
      <c r="B215" s="1" t="n">
        <v>44180</v>
      </c>
      <c r="C215" s="1" t="n">
        <v>45789</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68468-2020</t>
        </is>
      </c>
      <c r="B216" s="1" t="n">
        <v>44186</v>
      </c>
      <c r="C216" s="1" t="n">
        <v>45789</v>
      </c>
      <c r="D216" t="inlineStr">
        <is>
          <t>DALARNAS LÄN</t>
        </is>
      </c>
      <c r="E216" t="inlineStr">
        <is>
          <t>MORA</t>
        </is>
      </c>
      <c r="F216" t="inlineStr">
        <is>
          <t>Bergvik skog öst AB</t>
        </is>
      </c>
      <c r="G216" t="n">
        <v>6.5</v>
      </c>
      <c r="H216" t="n">
        <v>0</v>
      </c>
      <c r="I216" t="n">
        <v>0</v>
      </c>
      <c r="J216" t="n">
        <v>0</v>
      </c>
      <c r="K216" t="n">
        <v>0</v>
      </c>
      <c r="L216" t="n">
        <v>0</v>
      </c>
      <c r="M216" t="n">
        <v>0</v>
      </c>
      <c r="N216" t="n">
        <v>0</v>
      </c>
      <c r="O216" t="n">
        <v>0</v>
      </c>
      <c r="P216" t="n">
        <v>0</v>
      </c>
      <c r="Q216" t="n">
        <v>0</v>
      </c>
      <c r="R216" s="2" t="inlineStr"/>
    </row>
    <row r="217" ht="15" customHeight="1">
      <c r="A217" t="inlineStr">
        <is>
          <t>A 68832-2020</t>
        </is>
      </c>
      <c r="B217" s="1" t="n">
        <v>44187</v>
      </c>
      <c r="C217" s="1" t="n">
        <v>45789</v>
      </c>
      <c r="D217" t="inlineStr">
        <is>
          <t>DALARNAS LÄN</t>
        </is>
      </c>
      <c r="E217" t="inlineStr">
        <is>
          <t>MORA</t>
        </is>
      </c>
      <c r="G217" t="n">
        <v>7.7</v>
      </c>
      <c r="H217" t="n">
        <v>0</v>
      </c>
      <c r="I217" t="n">
        <v>0</v>
      </c>
      <c r="J217" t="n">
        <v>0</v>
      </c>
      <c r="K217" t="n">
        <v>0</v>
      </c>
      <c r="L217" t="n">
        <v>0</v>
      </c>
      <c r="M217" t="n">
        <v>0</v>
      </c>
      <c r="N217" t="n">
        <v>0</v>
      </c>
      <c r="O217" t="n">
        <v>0</v>
      </c>
      <c r="P217" t="n">
        <v>0</v>
      </c>
      <c r="Q217" t="n">
        <v>0</v>
      </c>
      <c r="R217" s="2" t="inlineStr"/>
    </row>
    <row r="218" ht="15" customHeight="1">
      <c r="A218" t="inlineStr">
        <is>
          <t>A 69517-2020</t>
        </is>
      </c>
      <c r="B218" s="1" t="n">
        <v>44194</v>
      </c>
      <c r="C218" s="1" t="n">
        <v>45789</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69519-2020</t>
        </is>
      </c>
      <c r="B219" s="1" t="n">
        <v>44194</v>
      </c>
      <c r="C219" s="1" t="n">
        <v>45789</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45789</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768-2021</t>
        </is>
      </c>
      <c r="B221" s="1" t="n">
        <v>44203</v>
      </c>
      <c r="C221" s="1" t="n">
        <v>45789</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770-2021</t>
        </is>
      </c>
      <c r="B222" s="1" t="n">
        <v>44203</v>
      </c>
      <c r="C222" s="1" t="n">
        <v>45789</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782-2021</t>
        </is>
      </c>
      <c r="B223" s="1" t="n">
        <v>44203</v>
      </c>
      <c r="C223" s="1" t="n">
        <v>45789</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787-2021</t>
        </is>
      </c>
      <c r="B224" s="1" t="n">
        <v>44203</v>
      </c>
      <c r="C224" s="1" t="n">
        <v>45789</v>
      </c>
      <c r="D224" t="inlineStr">
        <is>
          <t>DALARNAS LÄN</t>
        </is>
      </c>
      <c r="E224" t="inlineStr">
        <is>
          <t>MORA</t>
        </is>
      </c>
      <c r="G224" t="n">
        <v>3.9</v>
      </c>
      <c r="H224" t="n">
        <v>0</v>
      </c>
      <c r="I224" t="n">
        <v>0</v>
      </c>
      <c r="J224" t="n">
        <v>0</v>
      </c>
      <c r="K224" t="n">
        <v>0</v>
      </c>
      <c r="L224" t="n">
        <v>0</v>
      </c>
      <c r="M224" t="n">
        <v>0</v>
      </c>
      <c r="N224" t="n">
        <v>0</v>
      </c>
      <c r="O224" t="n">
        <v>0</v>
      </c>
      <c r="P224" t="n">
        <v>0</v>
      </c>
      <c r="Q224" t="n">
        <v>0</v>
      </c>
      <c r="R224" s="2" t="inlineStr"/>
    </row>
    <row r="225" ht="15" customHeight="1">
      <c r="A225" t="inlineStr">
        <is>
          <t>A 657-2021</t>
        </is>
      </c>
      <c r="B225" s="1" t="n">
        <v>44203</v>
      </c>
      <c r="C225" s="1" t="n">
        <v>45789</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769-2021</t>
        </is>
      </c>
      <c r="B226" s="1" t="n">
        <v>44203</v>
      </c>
      <c r="C226" s="1" t="n">
        <v>45789</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790-2021</t>
        </is>
      </c>
      <c r="B227" s="1" t="n">
        <v>44203</v>
      </c>
      <c r="C227" s="1" t="n">
        <v>45789</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837-2021</t>
        </is>
      </c>
      <c r="B228" s="1" t="n">
        <v>44204</v>
      </c>
      <c r="C228" s="1" t="n">
        <v>45789</v>
      </c>
      <c r="D228" t="inlineStr">
        <is>
          <t>DALARNAS LÄN</t>
        </is>
      </c>
      <c r="E228" t="inlineStr">
        <is>
          <t>MORA</t>
        </is>
      </c>
      <c r="G228" t="n">
        <v>10.4</v>
      </c>
      <c r="H228" t="n">
        <v>0</v>
      </c>
      <c r="I228" t="n">
        <v>0</v>
      </c>
      <c r="J228" t="n">
        <v>0</v>
      </c>
      <c r="K228" t="n">
        <v>0</v>
      </c>
      <c r="L228" t="n">
        <v>0</v>
      </c>
      <c r="M228" t="n">
        <v>0</v>
      </c>
      <c r="N228" t="n">
        <v>0</v>
      </c>
      <c r="O228" t="n">
        <v>0</v>
      </c>
      <c r="P228" t="n">
        <v>0</v>
      </c>
      <c r="Q228" t="n">
        <v>0</v>
      </c>
      <c r="R228" s="2" t="inlineStr"/>
    </row>
    <row r="229" ht="15" customHeight="1">
      <c r="A229" t="inlineStr">
        <is>
          <t>A 1951-2021</t>
        </is>
      </c>
      <c r="B229" s="1" t="n">
        <v>44210</v>
      </c>
      <c r="C229" s="1" t="n">
        <v>45789</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8064-2021</t>
        </is>
      </c>
      <c r="B230" s="1" t="n">
        <v>44243</v>
      </c>
      <c r="C230" s="1" t="n">
        <v>45789</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8146-2021</t>
        </is>
      </c>
      <c r="B231" s="1" t="n">
        <v>44244</v>
      </c>
      <c r="C231" s="1" t="n">
        <v>45789</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8153-2021</t>
        </is>
      </c>
      <c r="B232" s="1" t="n">
        <v>44244</v>
      </c>
      <c r="C232" s="1" t="n">
        <v>45789</v>
      </c>
      <c r="D232" t="inlineStr">
        <is>
          <t>DALARNAS LÄN</t>
        </is>
      </c>
      <c r="E232" t="inlineStr">
        <is>
          <t>MORA</t>
        </is>
      </c>
      <c r="G232" t="n">
        <v>2.5</v>
      </c>
      <c r="H232" t="n">
        <v>0</v>
      </c>
      <c r="I232" t="n">
        <v>0</v>
      </c>
      <c r="J232" t="n">
        <v>0</v>
      </c>
      <c r="K232" t="n">
        <v>0</v>
      </c>
      <c r="L232" t="n">
        <v>0</v>
      </c>
      <c r="M232" t="n">
        <v>0</v>
      </c>
      <c r="N232" t="n">
        <v>0</v>
      </c>
      <c r="O232" t="n">
        <v>0</v>
      </c>
      <c r="P232" t="n">
        <v>0</v>
      </c>
      <c r="Q232" t="n">
        <v>0</v>
      </c>
      <c r="R232" s="2" t="inlineStr"/>
    </row>
    <row r="233" ht="15" customHeight="1">
      <c r="A233" t="inlineStr">
        <is>
          <t>A 12151-2021</t>
        </is>
      </c>
      <c r="B233" s="1" t="n">
        <v>44266</v>
      </c>
      <c r="C233" s="1" t="n">
        <v>45789</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16840-2021</t>
        </is>
      </c>
      <c r="B234" s="1" t="n">
        <v>44295</v>
      </c>
      <c r="C234" s="1" t="n">
        <v>45789</v>
      </c>
      <c r="D234" t="inlineStr">
        <is>
          <t>DALARNAS LÄN</t>
        </is>
      </c>
      <c r="E234" t="inlineStr">
        <is>
          <t>MORA</t>
        </is>
      </c>
      <c r="G234" t="n">
        <v>11.5</v>
      </c>
      <c r="H234" t="n">
        <v>0</v>
      </c>
      <c r="I234" t="n">
        <v>0</v>
      </c>
      <c r="J234" t="n">
        <v>0</v>
      </c>
      <c r="K234" t="n">
        <v>0</v>
      </c>
      <c r="L234" t="n">
        <v>0</v>
      </c>
      <c r="M234" t="n">
        <v>0</v>
      </c>
      <c r="N234" t="n">
        <v>0</v>
      </c>
      <c r="O234" t="n">
        <v>0</v>
      </c>
      <c r="P234" t="n">
        <v>0</v>
      </c>
      <c r="Q234" t="n">
        <v>0</v>
      </c>
      <c r="R234" s="2" t="inlineStr"/>
    </row>
    <row r="235" ht="15" customHeight="1">
      <c r="A235" t="inlineStr">
        <is>
          <t>A 17915-2021</t>
        </is>
      </c>
      <c r="B235" s="1" t="n">
        <v>44301</v>
      </c>
      <c r="C235" s="1" t="n">
        <v>45789</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17904-2021</t>
        </is>
      </c>
      <c r="B236" s="1" t="n">
        <v>44301</v>
      </c>
      <c r="C236" s="1" t="n">
        <v>45789</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19383-2021</t>
        </is>
      </c>
      <c r="B237" s="1" t="n">
        <v>44309</v>
      </c>
      <c r="C237" s="1" t="n">
        <v>45789</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v>
      </c>
      <c r="C238" s="1" t="n">
        <v>45789</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20125-2021</t>
        </is>
      </c>
      <c r="B239" s="1" t="n">
        <v>44314</v>
      </c>
      <c r="C239" s="1" t="n">
        <v>45789</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22931-2021</t>
        </is>
      </c>
      <c r="B240" s="1" t="n">
        <v>44326</v>
      </c>
      <c r="C240" s="1" t="n">
        <v>45789</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45789</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45789</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45789</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45789</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45789</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45789</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45789</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45789</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45789</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45789</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45789</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45789</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45789</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45789</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45789</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45789</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45789</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45789</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45789</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45789</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45789</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45789</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45789</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45789</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45789</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45789</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45789</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45789</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45789</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45789</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45789</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45789</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45789</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45789</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45789</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45789</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45789</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45789</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45789</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45789</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45789</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45789</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45789</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45789</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45789</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45789</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45789</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45789</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45789</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45789</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45789</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45789</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45789</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45789</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45789</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45789</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45789</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45789</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45789</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45789</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45789</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45789</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45789</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45789</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45789</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45789</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45789</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45789</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45789</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45789</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45789</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45789</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45789</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45789</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45789</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45789</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45789</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45789</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45789</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45789</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45789</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45789</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45789</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45789</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45789</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45789</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45789</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45789</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45789</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45789</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45789</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45789</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45789</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45789</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45789</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45789</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45789</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45789</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45789</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45789</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45789</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45789</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45789</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45789</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45789</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45789</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45789</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45789</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45789</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45789</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45789</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45789</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45789</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45789</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45789</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45789</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45789</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45789</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45789</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45789</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45789</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45789</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45789</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45789</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45789</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45789</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45789</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45789</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45789</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45789</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45789</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45789</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45789</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45789</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45789</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45789</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45789</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45789</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45789</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45789</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45789</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45789</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45789</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45789</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45789</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45789</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45789</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45789</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45789</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45789</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45789</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45789</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45789</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45789</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45789</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45789</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45789</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45789</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45789</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45789</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45789</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45789</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45789</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45789</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45789</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45789</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45789</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45789</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45789</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45789</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45789</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45789</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45789</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45789</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45789</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45789</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45789</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45789</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45789</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45789</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45789</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45789</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45789</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45789</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45789</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45789</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45789</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45789</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45789</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45789</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45789</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45789</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45789</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45789</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45789</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45789</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45789</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45789</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45789</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45789</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45789</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45789</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45789</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45789</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45789</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45789</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45789</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45789</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45789</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45789</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45789</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45789</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45789</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45789</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45789</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45789</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45789</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45789</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45789</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45789</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45789</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45789</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45789</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45789</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45789</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45789</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45789</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45789</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45789</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45789</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45789</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45789</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45789</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45789</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45789</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45789</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45789</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45789</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45789</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45789</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45789</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45789</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45789</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45789</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45789</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45789</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45789</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45789</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45789</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45789</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45789</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45789</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45789</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45789</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45789</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45789</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45789</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45789</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45789</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45789</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45789</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45789</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45789</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45789</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45789</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45789</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45789</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45789</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45789</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45789</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45789</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45789</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45789</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45789</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45789</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45789</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45789</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45789</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45789</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45789</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45789</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45789</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45789</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45789</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45789</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45789</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45789</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45789</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45789</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45789</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45789</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45789</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45789</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45789</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45789</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45789</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45789</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45789</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45789</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45789</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45789</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45789</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45789</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45789</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45789</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45789</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45789</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45789</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45789</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45789</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45789</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45789</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45789</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45789</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45789</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45789</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45789</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45789</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45789</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45789</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45789</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45789</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45789</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45789</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45789</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45789</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45789</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45789</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45789</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45789</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45789</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45789</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45789</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45789</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45789</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45789</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45789</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45789</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45789</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45789</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45789</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45789</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45789</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45789</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45789</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45789</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45789</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45789</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45789</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45789</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45789</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45789</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45789</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45789</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45789</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45789</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45789</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45789</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45789</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45789</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45789</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45789</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45789</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45789</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45789</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45789</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45789</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45789</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45789</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45789</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45789</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45789</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45789</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45789</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45789</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45789</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45789</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45789</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45789</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45789</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45789</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45789</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45789</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45789</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45789</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45789</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45789</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45789</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45789</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45789</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45789</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45789</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45789</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45789</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45789</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45789</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45789</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45789</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45789</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45789</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45789</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45789</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45789</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45789</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45789</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45789</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45789</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45789</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45789</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45789</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45789</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45789</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45789</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45789</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45789</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45789</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45789</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45789</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45789</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45789</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45789</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45789</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45789</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45789</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45789</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45789</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45789</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45789</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45789</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45789</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45789</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45789</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45789</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45789</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45789</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45789</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45789</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45789</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45789</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45789</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45789</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45789</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45789</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45789</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45789</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45789</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45789</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45789</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45789</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45789</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45789</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45789</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45789</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45789</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45789</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45789</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45789</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45789</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45789</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45789</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45789</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45789</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45789</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45789</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45789</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45789</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45789</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45789</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45789</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45789</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45789</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45789</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45789</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45789</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45789</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45789</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45789</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45789</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45789</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45789</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45789</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45789</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45789</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45789</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45789</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45789</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45789</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45789</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45789</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45789</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45789</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45789</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45789</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45789</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45789</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45789</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45789</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45789</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45789</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45789</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45789</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45789</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45789</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45789</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45789</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45789</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45789</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45789</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45789</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45789</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45789</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45789</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45789</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45789</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45789</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45789</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45789</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45789</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45789</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45789</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45789</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45789</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45789</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45789</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45789</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45789</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45789</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45789</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45789</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45789</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45789</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45789</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45789</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45789</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45789</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45789</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45789</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45789</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45789</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45789</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45789</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45789</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45789</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45789</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45789</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45789</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45789</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45789</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45789</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45789</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45789</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45789</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45789</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45789</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45789</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45789</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45789</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45789</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45789</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45789</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45789</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45789</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45789</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45789</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45789</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45789</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45789</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45789</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45789</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45789</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45789</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45789</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45789</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45789</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45789</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45789</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45789</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45789</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45789</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45789</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45789</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45789</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45789</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45789</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45789</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45789</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45789</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45789</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45789</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45789</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45789</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45789</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45789</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45789</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45789</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45789</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45789</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45789</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45789</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45789</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45789</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45789</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45789</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45789</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45789</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45789</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45789</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45789</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45789</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45789</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45789</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45789</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45789</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45789</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45789</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45789</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45789</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45789</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45789</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45789</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45789</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45789</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45789</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45789</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45789</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45789</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45789</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45789</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45789</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45789</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45789</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45789</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45789</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45789</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45789</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45789</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45789</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45789</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45789</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45789</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45789</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45789</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45789</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45789</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45789</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45789</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45789</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45789</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45789</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45789</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45789</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45789</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45789</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45789</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45789</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45789</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45789</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45789</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45789</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45789</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45789</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45789</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45789</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45789</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45789</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45789</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45789</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45789</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45789</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45789</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45789</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45789</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45789</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45789</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45789</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45789</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45789</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45789</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45789</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45789</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45789</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45789</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45789</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45789</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45789</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45789</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45789</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45789</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45789</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45789</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45789</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45789</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45789</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45789</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45789</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45789</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45789</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45789</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45789</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45789</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45789</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45789</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45789</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45789</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45789</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45789</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45789</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45789</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45789</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45789</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45789</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45789</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45789</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45789</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45789</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45789</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45789</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45789</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45789</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45789</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45789</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45789</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45789</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45789</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45789</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45789</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45789</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45789</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45789</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45789</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45789</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45789</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45789</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45789</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45789</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45789</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45789</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45789</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45789</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45789</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45789</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45789</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45789</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45789</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45789</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45789</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45789</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45789</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45789</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45789</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45789</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45789</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45789</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45789</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45789</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45789</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45789</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45789</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45789</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45789</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45789</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45789</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45789</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45789</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45789</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45789</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45789</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45789</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45789</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45789</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45789</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45789</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45789</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45789</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45789</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45789</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45789</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45789</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45789</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45789</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45789</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45789</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45789</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45789</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45789</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45789</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45789</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45789</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45789</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45789</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45789</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45789</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45789</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45789</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45789</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45789</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45789</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45789</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45789</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45789</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45789</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45789</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45789</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45789</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45789</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45789</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45789</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45789</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45789</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45789</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45789</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45789</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45789</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45789</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45789</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45789</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45789</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45789</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45789</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45789</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45789</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45789</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45789</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45789</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45789</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45789</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45789</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45789</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45789</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45789</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45789</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45789</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45789</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45789</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45789</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45789</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45789</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45789</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45789</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45789</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45789</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45789</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45789</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45789</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45789</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45789</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45789</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45789</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45789</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45789</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45789</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45789</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45789</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45789</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45789</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45789</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45789</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45789</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45789</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45789</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45789</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45789</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45789</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45789</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45789</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45789</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45789</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45789</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45789</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45789</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45789</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45789</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45789</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45789</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45789</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45789</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45789</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45789</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45789</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45789</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45789</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45789</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45789</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45789</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45789</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45789</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45789</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45789</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45789</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45789</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45789</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45789</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45789</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45789</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45789</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45789</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45789</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45789</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45789</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45789</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45789</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45789</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45789</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45789</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45789</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45789</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45789</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45789</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45789</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45789</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45789</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45789</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45789</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45789</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45789</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45789</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45789</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45789</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45789</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45789</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45789</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45789</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45789</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45789</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45789</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45789</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45789</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45789</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45789</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45789</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45789</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45789</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45789</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45789</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45789</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45789</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45789</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45789</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45789</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45789</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45789</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45789</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45789</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45789</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45789</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45789</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45789</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45789</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45789</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45789</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45789</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45789</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45789</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45789</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45789</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45789</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45789</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45789</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45789</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45789</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45789</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45789</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45789</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45789</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45789</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45789</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45789</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45789</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16961-2025</t>
        </is>
      </c>
      <c r="B1209" s="1" t="n">
        <v>45755</v>
      </c>
      <c r="C1209" s="1" t="n">
        <v>45789</v>
      </c>
      <c r="D1209" t="inlineStr">
        <is>
          <t>DALARNAS LÄN</t>
        </is>
      </c>
      <c r="E1209" t="inlineStr">
        <is>
          <t>MORA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45789</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16967-2025</t>
        </is>
      </c>
      <c r="B1211" s="1" t="n">
        <v>45755</v>
      </c>
      <c r="C1211" s="1" t="n">
        <v>45789</v>
      </c>
      <c r="D1211" t="inlineStr">
        <is>
          <t>DALARNAS LÄN</t>
        </is>
      </c>
      <c r="E1211" t="inlineStr">
        <is>
          <t>MORA</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45789</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45789</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17268-2025</t>
        </is>
      </c>
      <c r="B1214" s="1" t="n">
        <v>45756</v>
      </c>
      <c r="C1214" s="1" t="n">
        <v>45789</v>
      </c>
      <c r="D1214" t="inlineStr">
        <is>
          <t>DALARNAS LÄN</t>
        </is>
      </c>
      <c r="E1214" t="inlineStr">
        <is>
          <t>MORA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17280-2025</t>
        </is>
      </c>
      <c r="B1215" s="1" t="n">
        <v>45756</v>
      </c>
      <c r="C1215" s="1" t="n">
        <v>45789</v>
      </c>
      <c r="D1215" t="inlineStr">
        <is>
          <t>DALARNAS LÄN</t>
        </is>
      </c>
      <c r="E1215" t="inlineStr">
        <is>
          <t>MORA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17163-2025</t>
        </is>
      </c>
      <c r="B1216" s="1" t="n">
        <v>45756</v>
      </c>
      <c r="C1216" s="1" t="n">
        <v>45789</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17167-2025</t>
        </is>
      </c>
      <c r="B1217" s="1" t="n">
        <v>45756</v>
      </c>
      <c r="C1217" s="1" t="n">
        <v>45789</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17288-2025</t>
        </is>
      </c>
      <c r="B1218" s="1" t="n">
        <v>45756</v>
      </c>
      <c r="C1218" s="1" t="n">
        <v>45789</v>
      </c>
      <c r="D1218" t="inlineStr">
        <is>
          <t>DALARNAS LÄN</t>
        </is>
      </c>
      <c r="E1218" t="inlineStr">
        <is>
          <t>MORA</t>
        </is>
      </c>
      <c r="F1218" t="inlineStr">
        <is>
          <t>Kyrkan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17164-2025</t>
        </is>
      </c>
      <c r="B1219" s="1" t="n">
        <v>45756</v>
      </c>
      <c r="C1219" s="1" t="n">
        <v>45789</v>
      </c>
      <c r="D1219" t="inlineStr">
        <is>
          <t>DALARNAS LÄN</t>
        </is>
      </c>
      <c r="E1219" t="inlineStr">
        <is>
          <t>MORA</t>
        </is>
      </c>
      <c r="F1219" t="inlineStr">
        <is>
          <t>Bergvik skog öst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17172-2025</t>
        </is>
      </c>
      <c r="B1220" s="1" t="n">
        <v>45756</v>
      </c>
      <c r="C1220" s="1" t="n">
        <v>45789</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45789</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17393-2025</t>
        </is>
      </c>
      <c r="B1222" s="1" t="n">
        <v>45757</v>
      </c>
      <c r="C1222" s="1" t="n">
        <v>45789</v>
      </c>
      <c r="D1222" t="inlineStr">
        <is>
          <t>DALARNAS LÄN</t>
        </is>
      </c>
      <c r="E1222" t="inlineStr">
        <is>
          <t>MORA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17674-2025</t>
        </is>
      </c>
      <c r="B1223" s="1" t="n">
        <v>45758</v>
      </c>
      <c r="C1223" s="1" t="n">
        <v>45789</v>
      </c>
      <c r="D1223" t="inlineStr">
        <is>
          <t>DALARNAS LÄN</t>
        </is>
      </c>
      <c r="E1223" t="inlineStr">
        <is>
          <t>MORA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45789</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17865-2025</t>
        </is>
      </c>
      <c r="B1225" s="1" t="n">
        <v>45758</v>
      </c>
      <c r="C1225" s="1" t="n">
        <v>45789</v>
      </c>
      <c r="D1225" t="inlineStr">
        <is>
          <t>DALARNAS LÄN</t>
        </is>
      </c>
      <c r="E1225" t="inlineStr">
        <is>
          <t>MORA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18139-2025</t>
        </is>
      </c>
      <c r="B1226" s="1" t="n">
        <v>45761</v>
      </c>
      <c r="C1226" s="1" t="n">
        <v>45789</v>
      </c>
      <c r="D1226" t="inlineStr">
        <is>
          <t>DALARNAS LÄN</t>
        </is>
      </c>
      <c r="E1226" t="inlineStr">
        <is>
          <t>MORA</t>
        </is>
      </c>
      <c r="F1226" t="inlineStr">
        <is>
          <t>Bergvik skog öst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18122-2025</t>
        </is>
      </c>
      <c r="B1227" s="1" t="n">
        <v>45761</v>
      </c>
      <c r="C1227" s="1" t="n">
        <v>45789</v>
      </c>
      <c r="D1227" t="inlineStr">
        <is>
          <t>DALARNAS LÄN</t>
        </is>
      </c>
      <c r="E1227" t="inlineStr">
        <is>
          <t>MORA</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45789</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18134-2025</t>
        </is>
      </c>
      <c r="B1229" s="1" t="n">
        <v>45761</v>
      </c>
      <c r="C1229" s="1" t="n">
        <v>45789</v>
      </c>
      <c r="D1229" t="inlineStr">
        <is>
          <t>DALARNAS LÄN</t>
        </is>
      </c>
      <c r="E1229" t="inlineStr">
        <is>
          <t>MORA</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45789</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45789</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45789</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45789</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45789</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19814-2025</t>
        </is>
      </c>
      <c r="B1235" s="1" t="n">
        <v>45771</v>
      </c>
      <c r="C1235" s="1" t="n">
        <v>45789</v>
      </c>
      <c r="D1235" t="inlineStr">
        <is>
          <t>DALARNAS LÄN</t>
        </is>
      </c>
      <c r="E1235" t="inlineStr">
        <is>
          <t>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19906-2025</t>
        </is>
      </c>
      <c r="B1236" s="1" t="n">
        <v>45771</v>
      </c>
      <c r="C1236" s="1" t="n">
        <v>45789</v>
      </c>
      <c r="D1236" t="inlineStr">
        <is>
          <t>DALARNAS LÄN</t>
        </is>
      </c>
      <c r="E1236" t="inlineStr">
        <is>
          <t>MORA</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19842-2025</t>
        </is>
      </c>
      <c r="B1237" s="1" t="n">
        <v>45771</v>
      </c>
      <c r="C1237" s="1" t="n">
        <v>45789</v>
      </c>
      <c r="D1237" t="inlineStr">
        <is>
          <t>DALARNAS LÄN</t>
        </is>
      </c>
      <c r="E1237" t="inlineStr">
        <is>
          <t>MORA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20126-2025</t>
        </is>
      </c>
      <c r="B1238" s="1" t="n">
        <v>45772</v>
      </c>
      <c r="C1238" s="1" t="n">
        <v>45789</v>
      </c>
      <c r="D1238" t="inlineStr">
        <is>
          <t>DALARNAS LÄN</t>
        </is>
      </c>
      <c r="E1238" t="inlineStr">
        <is>
          <t>MORA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20067-2025</t>
        </is>
      </c>
      <c r="B1239" s="1" t="n">
        <v>45772</v>
      </c>
      <c r="C1239" s="1" t="n">
        <v>45789</v>
      </c>
      <c r="D1239" t="inlineStr">
        <is>
          <t>DALARNAS LÄN</t>
        </is>
      </c>
      <c r="E1239" t="inlineStr">
        <is>
          <t>MORA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20531-2025</t>
        </is>
      </c>
      <c r="B1240" s="1" t="n">
        <v>45775</v>
      </c>
      <c r="C1240" s="1" t="n">
        <v>45789</v>
      </c>
      <c r="D1240" t="inlineStr">
        <is>
          <t>DALARNAS LÄN</t>
        </is>
      </c>
      <c r="E1240" t="inlineStr">
        <is>
          <t>MORA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20544-2025</t>
        </is>
      </c>
      <c r="B1241" s="1" t="n">
        <v>45775</v>
      </c>
      <c r="C1241" s="1" t="n">
        <v>45789</v>
      </c>
      <c r="D1241" t="inlineStr">
        <is>
          <t>DALARNAS LÄN</t>
        </is>
      </c>
      <c r="E1241" t="inlineStr">
        <is>
          <t>MORA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20594-2025</t>
        </is>
      </c>
      <c r="B1242" s="1" t="n">
        <v>45775</v>
      </c>
      <c r="C1242" s="1" t="n">
        <v>45789</v>
      </c>
      <c r="D1242" t="inlineStr">
        <is>
          <t>DALARNAS LÄN</t>
        </is>
      </c>
      <c r="E1242" t="inlineStr">
        <is>
          <t>MORA</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20377-2025</t>
        </is>
      </c>
      <c r="B1243" s="1" t="n">
        <v>45775</v>
      </c>
      <c r="C1243" s="1" t="n">
        <v>45789</v>
      </c>
      <c r="D1243" t="inlineStr">
        <is>
          <t>DALARNAS LÄN</t>
        </is>
      </c>
      <c r="E1243" t="inlineStr">
        <is>
          <t>MORA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45789</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45789</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21877-2025</t>
        </is>
      </c>
      <c r="B1246" s="1" t="n">
        <v>45784</v>
      </c>
      <c r="C1246" s="1" t="n">
        <v>45789</v>
      </c>
      <c r="D1246" t="inlineStr">
        <is>
          <t>DALARNAS LÄN</t>
        </is>
      </c>
      <c r="E1246" t="inlineStr">
        <is>
          <t>MORA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21894-2025</t>
        </is>
      </c>
      <c r="B1247" s="1" t="n">
        <v>45784</v>
      </c>
      <c r="C1247" s="1" t="n">
        <v>45789</v>
      </c>
      <c r="D1247" t="inlineStr">
        <is>
          <t>DALARNAS LÄN</t>
        </is>
      </c>
      <c r="E1247" t="inlineStr">
        <is>
          <t>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45789</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21895-2025</t>
        </is>
      </c>
      <c r="B1249" s="1" t="n">
        <v>45784</v>
      </c>
      <c r="C1249" s="1" t="n">
        <v>45789</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22185-2025</t>
        </is>
      </c>
      <c r="B1250" s="1" t="n">
        <v>45785</v>
      </c>
      <c r="C1250" s="1" t="n">
        <v>45789</v>
      </c>
      <c r="D1250" t="inlineStr">
        <is>
          <t>DALARNAS LÄN</t>
        </is>
      </c>
      <c r="E1250" t="inlineStr">
        <is>
          <t>MORA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22354-2025</t>
        </is>
      </c>
      <c r="B1251" s="1" t="n">
        <v>45786</v>
      </c>
      <c r="C1251" s="1" t="n">
        <v>45789</v>
      </c>
      <c r="D1251" t="inlineStr">
        <is>
          <t>DALARNAS LÄN</t>
        </is>
      </c>
      <c r="E1251" t="inlineStr">
        <is>
          <t>MORA</t>
        </is>
      </c>
      <c r="F1251" t="inlineStr">
        <is>
          <t>Bergvik skog öst AB</t>
        </is>
      </c>
      <c r="G1251" t="n">
        <v>2</v>
      </c>
      <c r="H1251" t="n">
        <v>0</v>
      </c>
      <c r="I1251" t="n">
        <v>0</v>
      </c>
      <c r="J1251" t="n">
        <v>0</v>
      </c>
      <c r="K1251" t="n">
        <v>0</v>
      </c>
      <c r="L1251" t="n">
        <v>0</v>
      </c>
      <c r="M1251" t="n">
        <v>0</v>
      </c>
      <c r="N1251" t="n">
        <v>0</v>
      </c>
      <c r="O1251" t="n">
        <v>0</v>
      </c>
      <c r="P1251" t="n">
        <v>0</v>
      </c>
      <c r="Q1251" t="n">
        <v>0</v>
      </c>
      <c r="R1251" s="2" t="inlineStr"/>
    </row>
    <row r="1252">
      <c r="A1252" t="inlineStr">
        <is>
          <t>A 22409-2025</t>
        </is>
      </c>
      <c r="B1252" s="1" t="n">
        <v>45786</v>
      </c>
      <c r="C1252" s="1" t="n">
        <v>45789</v>
      </c>
      <c r="D1252" t="inlineStr">
        <is>
          <t>DALARNAS LÄN</t>
        </is>
      </c>
      <c r="E1252" t="inlineStr">
        <is>
          <t>MORA</t>
        </is>
      </c>
      <c r="F1252" t="inlineStr">
        <is>
          <t>Bergvik skog öst AB</t>
        </is>
      </c>
      <c r="G1252" t="n">
        <v>5</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2025-05-12T17:37:39Z</dcterms:created>
  <dcterms:modified xmlns:dcterms="http://purl.org/dc/terms/" xmlns:xsi="http://www.w3.org/2001/XMLSchema-instance" xsi:type="dcterms:W3CDTF">2025-05-12T17:37:40Z</dcterms:modified>
</cp:coreProperties>
</file>