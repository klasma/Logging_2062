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46062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46062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46062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46062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46062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46062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46062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46062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46062</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46062</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46062</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46062</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46062</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46062</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46062</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46062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46062</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46062</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46062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46062</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46062</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46062</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46062</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46062</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46062</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46062</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56940-2025</t>
        </is>
      </c>
      <c r="B28" s="1" t="n">
        <v>45978.62241898148</v>
      </c>
      <c r="C28" s="1" t="n">
        <v>46062</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46062</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46062</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46062</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61943-2024</t>
        </is>
      </c>
      <c r="B32" s="1" t="n">
        <v>45653.49774305556</v>
      </c>
      <c r="C32" s="1" t="n">
        <v>46062</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41794-2025</t>
        </is>
      </c>
      <c r="B33" s="1" t="n">
        <v>45902.60008101852</v>
      </c>
      <c r="C33" s="1" t="n">
        <v>46062</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46062</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46062</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46062</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46062</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46062</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46062</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46062</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46062</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46062</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46062</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58839-2025</t>
        </is>
      </c>
      <c r="B44" s="1" t="n">
        <v>45987.36070601852</v>
      </c>
      <c r="C44" s="1" t="n">
        <v>46062</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34719-2025</t>
        </is>
      </c>
      <c r="B45" s="1" t="n">
        <v>45848</v>
      </c>
      <c r="C45" s="1" t="n">
        <v>46062</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58169-2025</t>
        </is>
      </c>
      <c r="B46" s="1" t="n">
        <v>45982.72690972222</v>
      </c>
      <c r="C46" s="1" t="n">
        <v>46062</v>
      </c>
      <c r="D46" t="inlineStr">
        <is>
          <t>DALARNAS LÄN</t>
        </is>
      </c>
      <c r="E46" t="inlineStr">
        <is>
          <t>MORA</t>
        </is>
      </c>
      <c r="F46" t="inlineStr">
        <is>
          <t>Bergvik skog väst AB</t>
        </is>
      </c>
      <c r="G46" t="n">
        <v>7.7</v>
      </c>
      <c r="H46" t="n">
        <v>2</v>
      </c>
      <c r="I46" t="n">
        <v>1</v>
      </c>
      <c r="J46" t="n">
        <v>5</v>
      </c>
      <c r="K46" t="n">
        <v>0</v>
      </c>
      <c r="L46" t="n">
        <v>0</v>
      </c>
      <c r="M46" t="n">
        <v>0</v>
      </c>
      <c r="N46" t="n">
        <v>0</v>
      </c>
      <c r="O46" t="n">
        <v>5</v>
      </c>
      <c r="P46" t="n">
        <v>0</v>
      </c>
      <c r="Q46" t="n">
        <v>6</v>
      </c>
      <c r="R46" s="2" t="inlineStr">
        <is>
          <t>Garnlav
Spillkråka
Tretåig hackspett
Vedflamlav
Vedskivlav
Mindre märgborre</t>
        </is>
      </c>
      <c r="S46">
        <f>HYPERLINK("https://klasma.github.io/Logging_2062/artfynd/A 58169-2025 artfynd.xlsx", "A 58169-2025")</f>
        <v/>
      </c>
      <c r="T46">
        <f>HYPERLINK("https://klasma.github.io/Logging_2062/kartor/A 58169-2025 karta.png", "A 58169-2025")</f>
        <v/>
      </c>
      <c r="V46">
        <f>HYPERLINK("https://klasma.github.io/Logging_2062/klagomål/A 58169-2025 FSC-klagomål.docx", "A 58169-2025")</f>
        <v/>
      </c>
      <c r="W46">
        <f>HYPERLINK("https://klasma.github.io/Logging_2062/klagomålsmail/A 58169-2025 FSC-klagomål mail.docx", "A 58169-2025")</f>
        <v/>
      </c>
      <c r="X46">
        <f>HYPERLINK("https://klasma.github.io/Logging_2062/tillsyn/A 58169-2025 tillsynsbegäran.docx", "A 58169-2025")</f>
        <v/>
      </c>
      <c r="Y46">
        <f>HYPERLINK("https://klasma.github.io/Logging_2062/tillsynsmail/A 58169-2025 tillsynsbegäran mail.docx", "A 58169-2025")</f>
        <v/>
      </c>
      <c r="Z46">
        <f>HYPERLINK("https://klasma.github.io/Logging_2062/fåglar/A 58169-2025 prioriterade fågelarter.docx", "A 58169-2025")</f>
        <v/>
      </c>
    </row>
    <row r="47" ht="15" customHeight="1">
      <c r="A47" t="inlineStr">
        <is>
          <t>A 62154-2025</t>
        </is>
      </c>
      <c r="B47" s="1" t="n">
        <v>46006.48664351852</v>
      </c>
      <c r="C47" s="1" t="n">
        <v>46062</v>
      </c>
      <c r="D47" t="inlineStr">
        <is>
          <t>DALARNAS LÄN</t>
        </is>
      </c>
      <c r="E47" t="inlineStr">
        <is>
          <t>MORA</t>
        </is>
      </c>
      <c r="G47" t="n">
        <v>7.2</v>
      </c>
      <c r="H47" t="n">
        <v>2</v>
      </c>
      <c r="I47" t="n">
        <v>3</v>
      </c>
      <c r="J47" t="n">
        <v>3</v>
      </c>
      <c r="K47" t="n">
        <v>0</v>
      </c>
      <c r="L47" t="n">
        <v>0</v>
      </c>
      <c r="M47" t="n">
        <v>0</v>
      </c>
      <c r="N47" t="n">
        <v>0</v>
      </c>
      <c r="O47" t="n">
        <v>3</v>
      </c>
      <c r="P47" t="n">
        <v>0</v>
      </c>
      <c r="Q47" t="n">
        <v>6</v>
      </c>
      <c r="R47" s="2" t="inlineStr">
        <is>
          <t>Garnlav
Spillkråka
Tretåig hackspett
Bronshjon
Mindre märgborre
Vågbandad barkbock</t>
        </is>
      </c>
      <c r="S47">
        <f>HYPERLINK("https://klasma.github.io/Logging_2062/artfynd/A 62154-2025 artfynd.xlsx", "A 62154-2025")</f>
        <v/>
      </c>
      <c r="T47">
        <f>HYPERLINK("https://klasma.github.io/Logging_2062/kartor/A 62154-2025 karta.png", "A 62154-2025")</f>
        <v/>
      </c>
      <c r="V47">
        <f>HYPERLINK("https://klasma.github.io/Logging_2062/klagomål/A 62154-2025 FSC-klagomål.docx", "A 62154-2025")</f>
        <v/>
      </c>
      <c r="W47">
        <f>HYPERLINK("https://klasma.github.io/Logging_2062/klagomålsmail/A 62154-2025 FSC-klagomål mail.docx", "A 62154-2025")</f>
        <v/>
      </c>
      <c r="X47">
        <f>HYPERLINK("https://klasma.github.io/Logging_2062/tillsyn/A 62154-2025 tillsynsbegäran.docx", "A 62154-2025")</f>
        <v/>
      </c>
      <c r="Y47">
        <f>HYPERLINK("https://klasma.github.io/Logging_2062/tillsynsmail/A 62154-2025 tillsynsbegäran mail.docx", "A 62154-2025")</f>
        <v/>
      </c>
      <c r="Z47">
        <f>HYPERLINK("https://klasma.github.io/Logging_2062/fåglar/A 62154-2025 prioriterade fågelarter.docx", "A 62154-2025")</f>
        <v/>
      </c>
    </row>
    <row r="48" ht="15" customHeight="1">
      <c r="A48" t="inlineStr">
        <is>
          <t>A 34447-2024</t>
        </is>
      </c>
      <c r="B48" s="1" t="n">
        <v>45525</v>
      </c>
      <c r="C48" s="1" t="n">
        <v>46062</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8760-2025</t>
        </is>
      </c>
      <c r="B49" s="1" t="n">
        <v>45712.57467592593</v>
      </c>
      <c r="C49" s="1" t="n">
        <v>46062</v>
      </c>
      <c r="D49" t="inlineStr">
        <is>
          <t>DALARNAS LÄN</t>
        </is>
      </c>
      <c r="E49" t="inlineStr">
        <is>
          <t>MORA</t>
        </is>
      </c>
      <c r="F49" t="inlineStr">
        <is>
          <t>Allmännings- och besparingsskogar</t>
        </is>
      </c>
      <c r="G49" t="n">
        <v>36.6</v>
      </c>
      <c r="H49" t="n">
        <v>0</v>
      </c>
      <c r="I49" t="n">
        <v>0</v>
      </c>
      <c r="J49" t="n">
        <v>5</v>
      </c>
      <c r="K49" t="n">
        <v>0</v>
      </c>
      <c r="L49" t="n">
        <v>0</v>
      </c>
      <c r="M49" t="n">
        <v>0</v>
      </c>
      <c r="N49" t="n">
        <v>0</v>
      </c>
      <c r="O49" t="n">
        <v>5</v>
      </c>
      <c r="P49" t="n">
        <v>0</v>
      </c>
      <c r="Q49" t="n">
        <v>5</v>
      </c>
      <c r="R49" s="2" t="inlineStr">
        <is>
          <t>Garnlav
Mörk kolflarnlav
Skogshare
Vedflamlav
Vedskivlav</t>
        </is>
      </c>
      <c r="S49">
        <f>HYPERLINK("https://klasma.github.io/Logging_2062/artfynd/A 8760-2025 artfynd.xlsx", "A 8760-2025")</f>
        <v/>
      </c>
      <c r="T49">
        <f>HYPERLINK("https://klasma.github.io/Logging_2062/kartor/A 8760-2025 karta.png", "A 8760-2025")</f>
        <v/>
      </c>
      <c r="V49">
        <f>HYPERLINK("https://klasma.github.io/Logging_2062/klagomål/A 8760-2025 FSC-klagomål.docx", "A 8760-2025")</f>
        <v/>
      </c>
      <c r="W49">
        <f>HYPERLINK("https://klasma.github.io/Logging_2062/klagomålsmail/A 8760-2025 FSC-klagomål mail.docx", "A 8760-2025")</f>
        <v/>
      </c>
      <c r="X49">
        <f>HYPERLINK("https://klasma.github.io/Logging_2062/tillsyn/A 8760-2025 tillsynsbegäran.docx", "A 8760-2025")</f>
        <v/>
      </c>
      <c r="Y49">
        <f>HYPERLINK("https://klasma.github.io/Logging_2062/tillsynsmail/A 8760-2025 tillsynsbegäran mail.docx", "A 8760-2025")</f>
        <v/>
      </c>
    </row>
    <row r="50" ht="15" customHeight="1">
      <c r="A50" t="inlineStr">
        <is>
          <t>A 53426-2025</t>
        </is>
      </c>
      <c r="B50" s="1" t="n">
        <v>45959.6131712963</v>
      </c>
      <c r="C50" s="1" t="n">
        <v>46062</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25750-2021</t>
        </is>
      </c>
      <c r="B51" s="1" t="n">
        <v>44343</v>
      </c>
      <c r="C51" s="1" t="n">
        <v>46062</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31539-2025</t>
        </is>
      </c>
      <c r="B52" s="1" t="n">
        <v>45833</v>
      </c>
      <c r="C52" s="1" t="n">
        <v>46062</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58478-2025</t>
        </is>
      </c>
      <c r="B53" s="1" t="n">
        <v>45985.64645833334</v>
      </c>
      <c r="C53" s="1" t="n">
        <v>46062</v>
      </c>
      <c r="D53" t="inlineStr">
        <is>
          <t>DALARNAS LÄN</t>
        </is>
      </c>
      <c r="E53" t="inlineStr">
        <is>
          <t>MORA</t>
        </is>
      </c>
      <c r="G53" t="n">
        <v>6</v>
      </c>
      <c r="H53" t="n">
        <v>2</v>
      </c>
      <c r="I53" t="n">
        <v>1</v>
      </c>
      <c r="J53" t="n">
        <v>4</v>
      </c>
      <c r="K53" t="n">
        <v>0</v>
      </c>
      <c r="L53" t="n">
        <v>0</v>
      </c>
      <c r="M53" t="n">
        <v>0</v>
      </c>
      <c r="N53" t="n">
        <v>0</v>
      </c>
      <c r="O53" t="n">
        <v>4</v>
      </c>
      <c r="P53" t="n">
        <v>0</v>
      </c>
      <c r="Q53" t="n">
        <v>5</v>
      </c>
      <c r="R53" s="2" t="inlineStr">
        <is>
          <t>Garnlav
Skogshare
Spillkråka
Tretåig hackspett
Mindre märgborre</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35487-2025</t>
        </is>
      </c>
      <c r="B54" s="1" t="n">
        <v>45855</v>
      </c>
      <c r="C54" s="1" t="n">
        <v>46062</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39478-2025</t>
        </is>
      </c>
      <c r="B55" s="1" t="n">
        <v>45890.3469212963</v>
      </c>
      <c r="C55" s="1" t="n">
        <v>46062</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46062</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46062</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14829-2025</t>
        </is>
      </c>
      <c r="B58" s="1" t="n">
        <v>45743.36951388889</v>
      </c>
      <c r="C58" s="1" t="n">
        <v>46062</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34715-2025</t>
        </is>
      </c>
      <c r="B59" s="1" t="n">
        <v>45848</v>
      </c>
      <c r="C59" s="1" t="n">
        <v>46062</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61770-2025</t>
        </is>
      </c>
      <c r="B60" s="1" t="n">
        <v>46002.64605324074</v>
      </c>
      <c r="C60" s="1" t="n">
        <v>46062</v>
      </c>
      <c r="D60" t="inlineStr">
        <is>
          <t>DALARNAS LÄN</t>
        </is>
      </c>
      <c r="E60" t="inlineStr">
        <is>
          <t>MORA</t>
        </is>
      </c>
      <c r="G60" t="n">
        <v>10.2</v>
      </c>
      <c r="H60" t="n">
        <v>2</v>
      </c>
      <c r="I60" t="n">
        <v>1</v>
      </c>
      <c r="J60" t="n">
        <v>3</v>
      </c>
      <c r="K60" t="n">
        <v>0</v>
      </c>
      <c r="L60" t="n">
        <v>0</v>
      </c>
      <c r="M60" t="n">
        <v>0</v>
      </c>
      <c r="N60" t="n">
        <v>0</v>
      </c>
      <c r="O60" t="n">
        <v>3</v>
      </c>
      <c r="P60" t="n">
        <v>0</v>
      </c>
      <c r="Q60" t="n">
        <v>4</v>
      </c>
      <c r="R60" s="2" t="inlineStr">
        <is>
          <t>Garnlav
Spillkråka
Tretåig hackspett
Mindre märgborre</t>
        </is>
      </c>
      <c r="S60">
        <f>HYPERLINK("https://klasma.github.io/Logging_2062/artfynd/A 61770-2025 artfynd.xlsx", "A 61770-2025")</f>
        <v/>
      </c>
      <c r="T60">
        <f>HYPERLINK("https://klasma.github.io/Logging_2062/kartor/A 61770-2025 karta.png", "A 61770-2025")</f>
        <v/>
      </c>
      <c r="V60">
        <f>HYPERLINK("https://klasma.github.io/Logging_2062/klagomål/A 61770-2025 FSC-klagomål.docx", "A 61770-2025")</f>
        <v/>
      </c>
      <c r="W60">
        <f>HYPERLINK("https://klasma.github.io/Logging_2062/klagomålsmail/A 61770-2025 FSC-klagomål mail.docx", "A 61770-2025")</f>
        <v/>
      </c>
      <c r="X60">
        <f>HYPERLINK("https://klasma.github.io/Logging_2062/tillsyn/A 61770-2025 tillsynsbegäran.docx", "A 61770-2025")</f>
        <v/>
      </c>
      <c r="Y60">
        <f>HYPERLINK("https://klasma.github.io/Logging_2062/tillsynsmail/A 61770-2025 tillsynsbegäran mail.docx", "A 61770-2025")</f>
        <v/>
      </c>
      <c r="Z60">
        <f>HYPERLINK("https://klasma.github.io/Logging_2062/fåglar/A 61770-2025 prioriterade fågelarter.docx", "A 61770-2025")</f>
        <v/>
      </c>
    </row>
    <row r="61" ht="15" customHeight="1">
      <c r="A61" t="inlineStr">
        <is>
          <t>A 14293-2024</t>
        </is>
      </c>
      <c r="B61" s="1" t="n">
        <v>45393.63902777778</v>
      </c>
      <c r="C61" s="1" t="n">
        <v>46062</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17648-2024</t>
        </is>
      </c>
      <c r="B62" s="1" t="n">
        <v>45418.39261574074</v>
      </c>
      <c r="C62" s="1" t="n">
        <v>46062</v>
      </c>
      <c r="D62" t="inlineStr">
        <is>
          <t>DALARNAS LÄN</t>
        </is>
      </c>
      <c r="E62" t="inlineStr">
        <is>
          <t>MORA</t>
        </is>
      </c>
      <c r="G62" t="n">
        <v>1.7</v>
      </c>
      <c r="H62" t="n">
        <v>4</v>
      </c>
      <c r="I62" t="n">
        <v>0</v>
      </c>
      <c r="J62" t="n">
        <v>2</v>
      </c>
      <c r="K62" t="n">
        <v>0</v>
      </c>
      <c r="L62" t="n">
        <v>0</v>
      </c>
      <c r="M62" t="n">
        <v>0</v>
      </c>
      <c r="N62" t="n">
        <v>0</v>
      </c>
      <c r="O62" t="n">
        <v>2</v>
      </c>
      <c r="P62" t="n">
        <v>0</v>
      </c>
      <c r="Q62" t="n">
        <v>4</v>
      </c>
      <c r="R62" s="2" t="inlineStr">
        <is>
          <t>Brunlångöra
Nordfladdermus
Dvärgpipistrell
Vattenfladdermus</t>
        </is>
      </c>
      <c r="S62">
        <f>HYPERLINK("https://klasma.github.io/Logging_2062/artfynd/A 17648-2024 artfynd.xlsx", "A 17648-2024")</f>
        <v/>
      </c>
      <c r="T62">
        <f>HYPERLINK("https://klasma.github.io/Logging_2062/kartor/A 17648-2024 karta.png", "A 17648-2024")</f>
        <v/>
      </c>
      <c r="V62">
        <f>HYPERLINK("https://klasma.github.io/Logging_2062/klagomål/A 17648-2024 FSC-klagomål.docx", "A 17648-2024")</f>
        <v/>
      </c>
      <c r="W62">
        <f>HYPERLINK("https://klasma.github.io/Logging_2062/klagomålsmail/A 17648-2024 FSC-klagomål mail.docx", "A 17648-2024")</f>
        <v/>
      </c>
      <c r="X62">
        <f>HYPERLINK("https://klasma.github.io/Logging_2062/tillsyn/A 17648-2024 tillsynsbegäran.docx", "A 17648-2024")</f>
        <v/>
      </c>
      <c r="Y62">
        <f>HYPERLINK("https://klasma.github.io/Logging_2062/tillsynsmail/A 17648-2024 tillsynsbegäran mail.docx", "A 17648-2024")</f>
        <v/>
      </c>
    </row>
    <row r="63" ht="15" customHeight="1">
      <c r="A63" t="inlineStr">
        <is>
          <t>A 39481-2025</t>
        </is>
      </c>
      <c r="B63" s="1" t="n">
        <v>45890.35545138889</v>
      </c>
      <c r="C63" s="1" t="n">
        <v>46062</v>
      </c>
      <c r="D63" t="inlineStr">
        <is>
          <t>DALARNAS LÄN</t>
        </is>
      </c>
      <c r="E63" t="inlineStr">
        <is>
          <t>MORA</t>
        </is>
      </c>
      <c r="G63" t="n">
        <v>0.6</v>
      </c>
      <c r="H63" t="n">
        <v>1</v>
      </c>
      <c r="I63" t="n">
        <v>0</v>
      </c>
      <c r="J63" t="n">
        <v>3</v>
      </c>
      <c r="K63" t="n">
        <v>0</v>
      </c>
      <c r="L63" t="n">
        <v>0</v>
      </c>
      <c r="M63" t="n">
        <v>0</v>
      </c>
      <c r="N63" t="n">
        <v>0</v>
      </c>
      <c r="O63" t="n">
        <v>3</v>
      </c>
      <c r="P63" t="n">
        <v>0</v>
      </c>
      <c r="Q63" t="n">
        <v>3</v>
      </c>
      <c r="R63" s="2" t="inlineStr">
        <is>
          <t>Garnlav
Tretåig hackspett
Vedskivlav</t>
        </is>
      </c>
      <c r="S63">
        <f>HYPERLINK("https://klasma.github.io/Logging_2062/artfynd/A 39481-2025 artfynd.xlsx", "A 39481-2025")</f>
        <v/>
      </c>
      <c r="T63">
        <f>HYPERLINK("https://klasma.github.io/Logging_2062/kartor/A 39481-2025 karta.png", "A 39481-2025")</f>
        <v/>
      </c>
      <c r="V63">
        <f>HYPERLINK("https://klasma.github.io/Logging_2062/klagomål/A 39481-2025 FSC-klagomål.docx", "A 39481-2025")</f>
        <v/>
      </c>
      <c r="W63">
        <f>HYPERLINK("https://klasma.github.io/Logging_2062/klagomålsmail/A 39481-2025 FSC-klagomål mail.docx", "A 39481-2025")</f>
        <v/>
      </c>
      <c r="X63">
        <f>HYPERLINK("https://klasma.github.io/Logging_2062/tillsyn/A 39481-2025 tillsynsbegäran.docx", "A 39481-2025")</f>
        <v/>
      </c>
      <c r="Y63">
        <f>HYPERLINK("https://klasma.github.io/Logging_2062/tillsynsmail/A 39481-2025 tillsynsbegäran mail.docx", "A 39481-2025")</f>
        <v/>
      </c>
      <c r="Z63">
        <f>HYPERLINK("https://klasma.github.io/Logging_2062/fåglar/A 39481-2025 prioriterade fågelarter.docx", "A 39481-2025")</f>
        <v/>
      </c>
    </row>
    <row r="64" ht="15" customHeight="1">
      <c r="A64" t="inlineStr">
        <is>
          <t>A 29392-2025</t>
        </is>
      </c>
      <c r="B64" s="1" t="n">
        <v>45824.60537037037</v>
      </c>
      <c r="C64" s="1" t="n">
        <v>46062</v>
      </c>
      <c r="D64" t="inlineStr">
        <is>
          <t>DALARNAS LÄN</t>
        </is>
      </c>
      <c r="E64" t="inlineStr">
        <is>
          <t>MORA</t>
        </is>
      </c>
      <c r="G64" t="n">
        <v>1</v>
      </c>
      <c r="H64" t="n">
        <v>1</v>
      </c>
      <c r="I64" t="n">
        <v>2</v>
      </c>
      <c r="J64" t="n">
        <v>1</v>
      </c>
      <c r="K64" t="n">
        <v>0</v>
      </c>
      <c r="L64" t="n">
        <v>0</v>
      </c>
      <c r="M64" t="n">
        <v>0</v>
      </c>
      <c r="N64" t="n">
        <v>0</v>
      </c>
      <c r="O64" t="n">
        <v>1</v>
      </c>
      <c r="P64" t="n">
        <v>0</v>
      </c>
      <c r="Q64" t="n">
        <v>3</v>
      </c>
      <c r="R64" s="2" t="inlineStr">
        <is>
          <t>Garnlav
Mindre märgborre
Plattlummer</t>
        </is>
      </c>
      <c r="S64">
        <f>HYPERLINK("https://klasma.github.io/Logging_2062/artfynd/A 29392-2025 artfynd.xlsx", "A 29392-2025")</f>
        <v/>
      </c>
      <c r="T64">
        <f>HYPERLINK("https://klasma.github.io/Logging_2062/kartor/A 29392-2025 karta.png", "A 29392-2025")</f>
        <v/>
      </c>
      <c r="V64">
        <f>HYPERLINK("https://klasma.github.io/Logging_2062/klagomål/A 29392-2025 FSC-klagomål.docx", "A 29392-2025")</f>
        <v/>
      </c>
      <c r="W64">
        <f>HYPERLINK("https://klasma.github.io/Logging_2062/klagomålsmail/A 29392-2025 FSC-klagomål mail.docx", "A 29392-2025")</f>
        <v/>
      </c>
      <c r="X64">
        <f>HYPERLINK("https://klasma.github.io/Logging_2062/tillsyn/A 29392-2025 tillsynsbegäran.docx", "A 29392-2025")</f>
        <v/>
      </c>
      <c r="Y64">
        <f>HYPERLINK("https://klasma.github.io/Logging_2062/tillsynsmail/A 29392-2025 tillsynsbegäran mail.docx", "A 29392-2025")</f>
        <v/>
      </c>
    </row>
    <row r="65" ht="15" customHeight="1">
      <c r="A65" t="inlineStr">
        <is>
          <t>A 49695-2025</t>
        </is>
      </c>
      <c r="B65" s="1" t="n">
        <v>45939.67418981482</v>
      </c>
      <c r="C65" s="1" t="n">
        <v>46062</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62620-2025</t>
        </is>
      </c>
      <c r="B66" s="1" t="n">
        <v>46008.34148148148</v>
      </c>
      <c r="C66" s="1" t="n">
        <v>46062</v>
      </c>
      <c r="D66" t="inlineStr">
        <is>
          <t>DALARNAS LÄN</t>
        </is>
      </c>
      <c r="E66" t="inlineStr">
        <is>
          <t>MORA</t>
        </is>
      </c>
      <c r="G66" t="n">
        <v>3.3</v>
      </c>
      <c r="H66" t="n">
        <v>1</v>
      </c>
      <c r="I66" t="n">
        <v>1</v>
      </c>
      <c r="J66" t="n">
        <v>2</v>
      </c>
      <c r="K66" t="n">
        <v>0</v>
      </c>
      <c r="L66" t="n">
        <v>0</v>
      </c>
      <c r="M66" t="n">
        <v>0</v>
      </c>
      <c r="N66" t="n">
        <v>0</v>
      </c>
      <c r="O66" t="n">
        <v>2</v>
      </c>
      <c r="P66" t="n">
        <v>0</v>
      </c>
      <c r="Q66" t="n">
        <v>3</v>
      </c>
      <c r="R66" s="2" t="inlineStr">
        <is>
          <t>Garnlav
Tretåig hackspett
Mindre märgborre</t>
        </is>
      </c>
      <c r="S66">
        <f>HYPERLINK("https://klasma.github.io/Logging_2062/artfynd/A 62620-2025 artfynd.xlsx", "A 62620-2025")</f>
        <v/>
      </c>
      <c r="T66">
        <f>HYPERLINK("https://klasma.github.io/Logging_2062/kartor/A 62620-2025 karta.png", "A 62620-2025")</f>
        <v/>
      </c>
      <c r="V66">
        <f>HYPERLINK("https://klasma.github.io/Logging_2062/klagomål/A 62620-2025 FSC-klagomål.docx", "A 62620-2025")</f>
        <v/>
      </c>
      <c r="W66">
        <f>HYPERLINK("https://klasma.github.io/Logging_2062/klagomålsmail/A 62620-2025 FSC-klagomål mail.docx", "A 62620-2025")</f>
        <v/>
      </c>
      <c r="X66">
        <f>HYPERLINK("https://klasma.github.io/Logging_2062/tillsyn/A 62620-2025 tillsynsbegäran.docx", "A 62620-2025")</f>
        <v/>
      </c>
      <c r="Y66">
        <f>HYPERLINK("https://klasma.github.io/Logging_2062/tillsynsmail/A 62620-2025 tillsynsbegäran mail.docx", "A 62620-2025")</f>
        <v/>
      </c>
      <c r="Z66">
        <f>HYPERLINK("https://klasma.github.io/Logging_2062/fåglar/A 62620-2025 prioriterade fågelarter.docx", "A 62620-2025")</f>
        <v/>
      </c>
    </row>
    <row r="67" ht="15" customHeight="1">
      <c r="A67" t="inlineStr">
        <is>
          <t>A 23163-2025</t>
        </is>
      </c>
      <c r="B67" s="1" t="n">
        <v>45791.41832175926</v>
      </c>
      <c r="C67" s="1" t="n">
        <v>46062</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42028-2023</t>
        </is>
      </c>
      <c r="B68" s="1" t="n">
        <v>45177.49715277777</v>
      </c>
      <c r="C68" s="1" t="n">
        <v>46062</v>
      </c>
      <c r="D68" t="inlineStr">
        <is>
          <t>DALARNAS LÄN</t>
        </is>
      </c>
      <c r="E68" t="inlineStr">
        <is>
          <t>MORA</t>
        </is>
      </c>
      <c r="F68" t="inlineStr">
        <is>
          <t>Allmännings- och besparingsskogar</t>
        </is>
      </c>
      <c r="G68" t="n">
        <v>6.5</v>
      </c>
      <c r="H68" t="n">
        <v>0</v>
      </c>
      <c r="I68" t="n">
        <v>0</v>
      </c>
      <c r="J68" t="n">
        <v>2</v>
      </c>
      <c r="K68" t="n">
        <v>0</v>
      </c>
      <c r="L68" t="n">
        <v>0</v>
      </c>
      <c r="M68" t="n">
        <v>0</v>
      </c>
      <c r="N68" t="n">
        <v>0</v>
      </c>
      <c r="O68" t="n">
        <v>2</v>
      </c>
      <c r="P68" t="n">
        <v>0</v>
      </c>
      <c r="Q68" t="n">
        <v>2</v>
      </c>
      <c r="R68" s="2" t="inlineStr">
        <is>
          <t>Dvärgbägarlav
Vedskivlav</t>
        </is>
      </c>
      <c r="S68">
        <f>HYPERLINK("https://klasma.github.io/Logging_2062/artfynd/A 42028-2023 artfynd.xlsx", "A 42028-2023")</f>
        <v/>
      </c>
      <c r="T68">
        <f>HYPERLINK("https://klasma.github.io/Logging_2062/kartor/A 42028-2023 karta.png", "A 42028-2023")</f>
        <v/>
      </c>
      <c r="V68">
        <f>HYPERLINK("https://klasma.github.io/Logging_2062/klagomål/A 42028-2023 FSC-klagomål.docx", "A 42028-2023")</f>
        <v/>
      </c>
      <c r="W68">
        <f>HYPERLINK("https://klasma.github.io/Logging_2062/klagomålsmail/A 42028-2023 FSC-klagomål mail.docx", "A 42028-2023")</f>
        <v/>
      </c>
      <c r="X68">
        <f>HYPERLINK("https://klasma.github.io/Logging_2062/tillsyn/A 42028-2023 tillsynsbegäran.docx", "A 42028-2023")</f>
        <v/>
      </c>
      <c r="Y68">
        <f>HYPERLINK("https://klasma.github.io/Logging_2062/tillsynsmail/A 42028-2023 tillsynsbegäran mail.docx", "A 42028-2023")</f>
        <v/>
      </c>
    </row>
    <row r="69" ht="15" customHeight="1">
      <c r="A69" t="inlineStr">
        <is>
          <t>A 37552-2023</t>
        </is>
      </c>
      <c r="B69" s="1" t="n">
        <v>45159.32799768518</v>
      </c>
      <c r="C69" s="1" t="n">
        <v>46062</v>
      </c>
      <c r="D69" t="inlineStr">
        <is>
          <t>DALARNAS LÄN</t>
        </is>
      </c>
      <c r="E69" t="inlineStr">
        <is>
          <t>MORA</t>
        </is>
      </c>
      <c r="G69" t="n">
        <v>4</v>
      </c>
      <c r="H69" t="n">
        <v>0</v>
      </c>
      <c r="I69" t="n">
        <v>0</v>
      </c>
      <c r="J69" t="n">
        <v>2</v>
      </c>
      <c r="K69" t="n">
        <v>0</v>
      </c>
      <c r="L69" t="n">
        <v>0</v>
      </c>
      <c r="M69" t="n">
        <v>0</v>
      </c>
      <c r="N69" t="n">
        <v>0</v>
      </c>
      <c r="O69" t="n">
        <v>2</v>
      </c>
      <c r="P69" t="n">
        <v>0</v>
      </c>
      <c r="Q69" t="n">
        <v>2</v>
      </c>
      <c r="R69" s="2" t="inlineStr">
        <is>
          <t>Garnlav
Tallticka</t>
        </is>
      </c>
      <c r="S69">
        <f>HYPERLINK("https://klasma.github.io/Logging_2062/artfynd/A 37552-2023 artfynd.xlsx", "A 37552-2023")</f>
        <v/>
      </c>
      <c r="T69">
        <f>HYPERLINK("https://klasma.github.io/Logging_2062/kartor/A 37552-2023 karta.png", "A 37552-2023")</f>
        <v/>
      </c>
      <c r="V69">
        <f>HYPERLINK("https://klasma.github.io/Logging_2062/klagomål/A 37552-2023 FSC-klagomål.docx", "A 37552-2023")</f>
        <v/>
      </c>
      <c r="W69">
        <f>HYPERLINK("https://klasma.github.io/Logging_2062/klagomålsmail/A 37552-2023 FSC-klagomål mail.docx", "A 37552-2023")</f>
        <v/>
      </c>
      <c r="X69">
        <f>HYPERLINK("https://klasma.github.io/Logging_2062/tillsyn/A 37552-2023 tillsynsbegäran.docx", "A 37552-2023")</f>
        <v/>
      </c>
      <c r="Y69">
        <f>HYPERLINK("https://klasma.github.io/Logging_2062/tillsynsmail/A 37552-2023 tillsynsbegäran mail.docx", "A 37552-2023")</f>
        <v/>
      </c>
    </row>
    <row r="70" ht="15" customHeight="1">
      <c r="A70" t="inlineStr">
        <is>
          <t>A 35068-2025</t>
        </is>
      </c>
      <c r="B70" s="1" t="n">
        <v>45852.45686342593</v>
      </c>
      <c r="C70" s="1" t="n">
        <v>46062</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16094-2024</t>
        </is>
      </c>
      <c r="B71" s="1" t="n">
        <v>45406.41648148148</v>
      </c>
      <c r="C71" s="1" t="n">
        <v>46062</v>
      </c>
      <c r="D71" t="inlineStr">
        <is>
          <t>DALARNAS LÄN</t>
        </is>
      </c>
      <c r="E71" t="inlineStr">
        <is>
          <t>MORA</t>
        </is>
      </c>
      <c r="F71" t="inlineStr">
        <is>
          <t>Bergvik skog väst AB</t>
        </is>
      </c>
      <c r="G71" t="n">
        <v>22.6</v>
      </c>
      <c r="H71" t="n">
        <v>0</v>
      </c>
      <c r="I71" t="n">
        <v>0</v>
      </c>
      <c r="J71" t="n">
        <v>1</v>
      </c>
      <c r="K71" t="n">
        <v>0</v>
      </c>
      <c r="L71" t="n">
        <v>0</v>
      </c>
      <c r="M71" t="n">
        <v>0</v>
      </c>
      <c r="N71" t="n">
        <v>0</v>
      </c>
      <c r="O71" t="n">
        <v>1</v>
      </c>
      <c r="P71" t="n">
        <v>0</v>
      </c>
      <c r="Q71" t="n">
        <v>1</v>
      </c>
      <c r="R71" s="2" t="inlineStr">
        <is>
          <t>Reliktbock</t>
        </is>
      </c>
      <c r="S71">
        <f>HYPERLINK("https://klasma.github.io/Logging_2062/artfynd/A 16094-2024 artfynd.xlsx", "A 16094-2024")</f>
        <v/>
      </c>
      <c r="T71">
        <f>HYPERLINK("https://klasma.github.io/Logging_2062/kartor/A 16094-2024 karta.png", "A 16094-2024")</f>
        <v/>
      </c>
      <c r="V71">
        <f>HYPERLINK("https://klasma.github.io/Logging_2062/klagomål/A 16094-2024 FSC-klagomål.docx", "A 16094-2024")</f>
        <v/>
      </c>
      <c r="W71">
        <f>HYPERLINK("https://klasma.github.io/Logging_2062/klagomålsmail/A 16094-2024 FSC-klagomål mail.docx", "A 16094-2024")</f>
        <v/>
      </c>
      <c r="X71">
        <f>HYPERLINK("https://klasma.github.io/Logging_2062/tillsyn/A 16094-2024 tillsynsbegäran.docx", "A 16094-2024")</f>
        <v/>
      </c>
      <c r="Y71">
        <f>HYPERLINK("https://klasma.github.io/Logging_2062/tillsynsmail/A 16094-2024 tillsynsbegäran mail.docx", "A 16094-2024")</f>
        <v/>
      </c>
    </row>
    <row r="72" ht="15" customHeight="1">
      <c r="A72" t="inlineStr">
        <is>
          <t>A 5304-2023</t>
        </is>
      </c>
      <c r="B72" s="1" t="n">
        <v>44959.55116898148</v>
      </c>
      <c r="C72" s="1" t="n">
        <v>46062</v>
      </c>
      <c r="D72" t="inlineStr">
        <is>
          <t>DALARNAS LÄN</t>
        </is>
      </c>
      <c r="E72" t="inlineStr">
        <is>
          <t>MORA</t>
        </is>
      </c>
      <c r="F72" t="inlineStr">
        <is>
          <t>Bergvik skog väst AB</t>
        </is>
      </c>
      <c r="G72" t="n">
        <v>7.3</v>
      </c>
      <c r="H72" t="n">
        <v>0</v>
      </c>
      <c r="I72" t="n">
        <v>0</v>
      </c>
      <c r="J72" t="n">
        <v>1</v>
      </c>
      <c r="K72" t="n">
        <v>0</v>
      </c>
      <c r="L72" t="n">
        <v>0</v>
      </c>
      <c r="M72" t="n">
        <v>0</v>
      </c>
      <c r="N72" t="n">
        <v>0</v>
      </c>
      <c r="O72" t="n">
        <v>1</v>
      </c>
      <c r="P72" t="n">
        <v>0</v>
      </c>
      <c r="Q72" t="n">
        <v>1</v>
      </c>
      <c r="R72" s="2" t="inlineStr">
        <is>
          <t>Backruta</t>
        </is>
      </c>
      <c r="S72">
        <f>HYPERLINK("https://klasma.github.io/Logging_2062/artfynd/A 5304-2023 artfynd.xlsx", "A 5304-2023")</f>
        <v/>
      </c>
      <c r="T72">
        <f>HYPERLINK("https://klasma.github.io/Logging_2062/kartor/A 5304-2023 karta.png", "A 5304-2023")</f>
        <v/>
      </c>
      <c r="V72">
        <f>HYPERLINK("https://klasma.github.io/Logging_2062/klagomål/A 5304-2023 FSC-klagomål.docx", "A 5304-2023")</f>
        <v/>
      </c>
      <c r="W72">
        <f>HYPERLINK("https://klasma.github.io/Logging_2062/klagomålsmail/A 5304-2023 FSC-klagomål mail.docx", "A 5304-2023")</f>
        <v/>
      </c>
      <c r="X72">
        <f>HYPERLINK("https://klasma.github.io/Logging_2062/tillsyn/A 5304-2023 tillsynsbegäran.docx", "A 5304-2023")</f>
        <v/>
      </c>
      <c r="Y72">
        <f>HYPERLINK("https://klasma.github.io/Logging_2062/tillsynsmail/A 5304-2023 tillsynsbegäran mail.docx", "A 5304-2023")</f>
        <v/>
      </c>
    </row>
    <row r="73" ht="15" customHeight="1">
      <c r="A73" t="inlineStr">
        <is>
          <t>A 27113-2024</t>
        </is>
      </c>
      <c r="B73" s="1" t="n">
        <v>45471</v>
      </c>
      <c r="C73" s="1" t="n">
        <v>46062</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831-2025</t>
        </is>
      </c>
      <c r="B74" s="1" t="n">
        <v>45665.58001157407</v>
      </c>
      <c r="C74" s="1" t="n">
        <v>46062</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68415-2021</t>
        </is>
      </c>
      <c r="B75" s="1" t="n">
        <v>44529</v>
      </c>
      <c r="C75" s="1" t="n">
        <v>46062</v>
      </c>
      <c r="D75" t="inlineStr">
        <is>
          <t>DALARNAS LÄN</t>
        </is>
      </c>
      <c r="E75" t="inlineStr">
        <is>
          <t>MORA</t>
        </is>
      </c>
      <c r="G75" t="n">
        <v>1.2</v>
      </c>
      <c r="H75" t="n">
        <v>1</v>
      </c>
      <c r="I75" t="n">
        <v>0</v>
      </c>
      <c r="J75" t="n">
        <v>0</v>
      </c>
      <c r="K75" t="n">
        <v>0</v>
      </c>
      <c r="L75" t="n">
        <v>0</v>
      </c>
      <c r="M75" t="n">
        <v>0</v>
      </c>
      <c r="N75" t="n">
        <v>0</v>
      </c>
      <c r="O75" t="n">
        <v>0</v>
      </c>
      <c r="P75" t="n">
        <v>0</v>
      </c>
      <c r="Q75" t="n">
        <v>1</v>
      </c>
      <c r="R75" s="2" t="inlineStr">
        <is>
          <t>Sparvuggla</t>
        </is>
      </c>
      <c r="S75">
        <f>HYPERLINK("https://klasma.github.io/Logging_2062/artfynd/A 68415-2021 artfynd.xlsx", "A 68415-2021")</f>
        <v/>
      </c>
      <c r="T75">
        <f>HYPERLINK("https://klasma.github.io/Logging_2062/kartor/A 68415-2021 karta.png", "A 68415-2021")</f>
        <v/>
      </c>
      <c r="V75">
        <f>HYPERLINK("https://klasma.github.io/Logging_2062/klagomål/A 68415-2021 FSC-klagomål.docx", "A 68415-2021")</f>
        <v/>
      </c>
      <c r="W75">
        <f>HYPERLINK("https://klasma.github.io/Logging_2062/klagomålsmail/A 68415-2021 FSC-klagomål mail.docx", "A 68415-2021")</f>
        <v/>
      </c>
      <c r="X75">
        <f>HYPERLINK("https://klasma.github.io/Logging_2062/tillsyn/A 68415-2021 tillsynsbegäran.docx", "A 68415-2021")</f>
        <v/>
      </c>
      <c r="Y75">
        <f>HYPERLINK("https://klasma.github.io/Logging_2062/tillsynsmail/A 68415-2021 tillsynsbegäran mail.docx", "A 68415-2021")</f>
        <v/>
      </c>
      <c r="Z75">
        <f>HYPERLINK("https://klasma.github.io/Logging_2062/fåglar/A 68415-2021 prioriterade fågelarter.docx", "A 68415-2021")</f>
        <v/>
      </c>
    </row>
    <row r="76" ht="15" customHeight="1">
      <c r="A76" t="inlineStr">
        <is>
          <t>A 57669-2022</t>
        </is>
      </c>
      <c r="B76" s="1" t="n">
        <v>44897</v>
      </c>
      <c r="C76" s="1" t="n">
        <v>46062</v>
      </c>
      <c r="D76" t="inlineStr">
        <is>
          <t>DALARNAS LÄN</t>
        </is>
      </c>
      <c r="E76" t="inlineStr">
        <is>
          <t>MORA</t>
        </is>
      </c>
      <c r="G76" t="n">
        <v>4.1</v>
      </c>
      <c r="H76" t="n">
        <v>0</v>
      </c>
      <c r="I76" t="n">
        <v>0</v>
      </c>
      <c r="J76" t="n">
        <v>1</v>
      </c>
      <c r="K76" t="n">
        <v>0</v>
      </c>
      <c r="L76" t="n">
        <v>0</v>
      </c>
      <c r="M76" t="n">
        <v>0</v>
      </c>
      <c r="N76" t="n">
        <v>0</v>
      </c>
      <c r="O76" t="n">
        <v>1</v>
      </c>
      <c r="P76" t="n">
        <v>0</v>
      </c>
      <c r="Q76" t="n">
        <v>1</v>
      </c>
      <c r="R76" s="2" t="inlineStr">
        <is>
          <t>Igelkott</t>
        </is>
      </c>
      <c r="S76">
        <f>HYPERLINK("https://klasma.github.io/Logging_2062/artfynd/A 57669-2022 artfynd.xlsx", "A 57669-2022")</f>
        <v/>
      </c>
      <c r="T76">
        <f>HYPERLINK("https://klasma.github.io/Logging_2062/kartor/A 57669-2022 karta.png", "A 57669-2022")</f>
        <v/>
      </c>
      <c r="V76">
        <f>HYPERLINK("https://klasma.github.io/Logging_2062/klagomål/A 57669-2022 FSC-klagomål.docx", "A 57669-2022")</f>
        <v/>
      </c>
      <c r="W76">
        <f>HYPERLINK("https://klasma.github.io/Logging_2062/klagomålsmail/A 57669-2022 FSC-klagomål mail.docx", "A 57669-2022")</f>
        <v/>
      </c>
      <c r="X76">
        <f>HYPERLINK("https://klasma.github.io/Logging_2062/tillsyn/A 57669-2022 tillsynsbegäran.docx", "A 57669-2022")</f>
        <v/>
      </c>
      <c r="Y76">
        <f>HYPERLINK("https://klasma.github.io/Logging_2062/tillsynsmail/A 57669-2022 tillsynsbegäran mail.docx", "A 57669-2022")</f>
        <v/>
      </c>
    </row>
    <row r="77" ht="15" customHeight="1">
      <c r="A77" t="inlineStr">
        <is>
          <t>A 23736-2023</t>
        </is>
      </c>
      <c r="B77" s="1" t="n">
        <v>45077</v>
      </c>
      <c r="C77" s="1" t="n">
        <v>46062</v>
      </c>
      <c r="D77" t="inlineStr">
        <is>
          <t>DALARNAS LÄN</t>
        </is>
      </c>
      <c r="E77" t="inlineStr">
        <is>
          <t>MORA</t>
        </is>
      </c>
      <c r="G77" t="n">
        <v>7.2</v>
      </c>
      <c r="H77" t="n">
        <v>0</v>
      </c>
      <c r="I77" t="n">
        <v>0</v>
      </c>
      <c r="J77" t="n">
        <v>1</v>
      </c>
      <c r="K77" t="n">
        <v>0</v>
      </c>
      <c r="L77" t="n">
        <v>0</v>
      </c>
      <c r="M77" t="n">
        <v>0</v>
      </c>
      <c r="N77" t="n">
        <v>0</v>
      </c>
      <c r="O77" t="n">
        <v>1</v>
      </c>
      <c r="P77" t="n">
        <v>0</v>
      </c>
      <c r="Q77" t="n">
        <v>1</v>
      </c>
      <c r="R77" s="2" t="inlineStr">
        <is>
          <t>Reliktbock</t>
        </is>
      </c>
      <c r="S77">
        <f>HYPERLINK("https://klasma.github.io/Logging_2062/artfynd/A 23736-2023 artfynd.xlsx", "A 23736-2023")</f>
        <v/>
      </c>
      <c r="T77">
        <f>HYPERLINK("https://klasma.github.io/Logging_2062/kartor/A 23736-2023 karta.png", "A 23736-2023")</f>
        <v/>
      </c>
      <c r="V77">
        <f>HYPERLINK("https://klasma.github.io/Logging_2062/klagomål/A 23736-2023 FSC-klagomål.docx", "A 23736-2023")</f>
        <v/>
      </c>
      <c r="W77">
        <f>HYPERLINK("https://klasma.github.io/Logging_2062/klagomålsmail/A 23736-2023 FSC-klagomål mail.docx", "A 23736-2023")</f>
        <v/>
      </c>
      <c r="X77">
        <f>HYPERLINK("https://klasma.github.io/Logging_2062/tillsyn/A 23736-2023 tillsynsbegäran.docx", "A 23736-2023")</f>
        <v/>
      </c>
      <c r="Y77">
        <f>HYPERLINK("https://klasma.github.io/Logging_2062/tillsynsmail/A 23736-2023 tillsynsbegäran mail.docx", "A 23736-2023")</f>
        <v/>
      </c>
    </row>
    <row r="78" ht="15" customHeight="1">
      <c r="A78" t="inlineStr">
        <is>
          <t>A 62096-2025</t>
        </is>
      </c>
      <c r="B78" s="1" t="n">
        <v>46006.38961805555</v>
      </c>
      <c r="C78" s="1" t="n">
        <v>46062</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Garnlav</t>
        </is>
      </c>
      <c r="S78">
        <f>HYPERLINK("https://klasma.github.io/Logging_2062/artfynd/A 62096-2025 artfynd.xlsx", "A 62096-2025")</f>
        <v/>
      </c>
      <c r="T78">
        <f>HYPERLINK("https://klasma.github.io/Logging_2062/kartor/A 62096-2025 karta.png", "A 62096-2025")</f>
        <v/>
      </c>
      <c r="V78">
        <f>HYPERLINK("https://klasma.github.io/Logging_2062/klagomål/A 62096-2025 FSC-klagomål.docx", "A 62096-2025")</f>
        <v/>
      </c>
      <c r="W78">
        <f>HYPERLINK("https://klasma.github.io/Logging_2062/klagomålsmail/A 62096-2025 FSC-klagomål mail.docx", "A 62096-2025")</f>
        <v/>
      </c>
      <c r="X78">
        <f>HYPERLINK("https://klasma.github.io/Logging_2062/tillsyn/A 62096-2025 tillsynsbegäran.docx", "A 62096-2025")</f>
        <v/>
      </c>
      <c r="Y78">
        <f>HYPERLINK("https://klasma.github.io/Logging_2062/tillsynsmail/A 62096-2025 tillsynsbegäran mail.docx", "A 62096-2025")</f>
        <v/>
      </c>
    </row>
    <row r="79" ht="15" customHeight="1">
      <c r="A79" t="inlineStr">
        <is>
          <t>A 45344-2024</t>
        </is>
      </c>
      <c r="B79" s="1" t="n">
        <v>45576</v>
      </c>
      <c r="C79" s="1" t="n">
        <v>46062</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30328-2021</t>
        </is>
      </c>
      <c r="B80" s="1" t="n">
        <v>44364</v>
      </c>
      <c r="C80" s="1" t="n">
        <v>46062</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13717-2023</t>
        </is>
      </c>
      <c r="B81" s="1" t="n">
        <v>45007</v>
      </c>
      <c r="C81" s="1" t="n">
        <v>46062</v>
      </c>
      <c r="D81" t="inlineStr">
        <is>
          <t>DALARNAS LÄN</t>
        </is>
      </c>
      <c r="E81" t="inlineStr">
        <is>
          <t>MORA</t>
        </is>
      </c>
      <c r="G81" t="n">
        <v>5.6</v>
      </c>
      <c r="H81" t="n">
        <v>0</v>
      </c>
      <c r="I81" t="n">
        <v>0</v>
      </c>
      <c r="J81" t="n">
        <v>1</v>
      </c>
      <c r="K81" t="n">
        <v>0</v>
      </c>
      <c r="L81" t="n">
        <v>0</v>
      </c>
      <c r="M81" t="n">
        <v>0</v>
      </c>
      <c r="N81" t="n">
        <v>0</v>
      </c>
      <c r="O81" t="n">
        <v>1</v>
      </c>
      <c r="P81" t="n">
        <v>0</v>
      </c>
      <c r="Q81" t="n">
        <v>1</v>
      </c>
      <c r="R81" s="2" t="inlineStr">
        <is>
          <t>Slåtterfibbla</t>
        </is>
      </c>
      <c r="S81">
        <f>HYPERLINK("https://klasma.github.io/Logging_2062/artfynd/A 13717-2023 artfynd.xlsx", "A 13717-2023")</f>
        <v/>
      </c>
      <c r="T81">
        <f>HYPERLINK("https://klasma.github.io/Logging_2062/kartor/A 13717-2023 karta.png", "A 13717-2023")</f>
        <v/>
      </c>
      <c r="U81">
        <f>HYPERLINK("https://klasma.github.io/Logging_2062/knärot/A 13717-2023 karta knärot.png", "A 13717-2023")</f>
        <v/>
      </c>
      <c r="V81">
        <f>HYPERLINK("https://klasma.github.io/Logging_2062/klagomål/A 13717-2023 FSC-klagomål.docx", "A 13717-2023")</f>
        <v/>
      </c>
      <c r="W81">
        <f>HYPERLINK("https://klasma.github.io/Logging_2062/klagomålsmail/A 13717-2023 FSC-klagomål mail.docx", "A 13717-2023")</f>
        <v/>
      </c>
      <c r="X81">
        <f>HYPERLINK("https://klasma.github.io/Logging_2062/tillsyn/A 13717-2023 tillsynsbegäran.docx", "A 13717-2023")</f>
        <v/>
      </c>
      <c r="Y81">
        <f>HYPERLINK("https://klasma.github.io/Logging_2062/tillsynsmail/A 13717-2023 tillsynsbegäran mail.docx", "A 13717-2023")</f>
        <v/>
      </c>
    </row>
    <row r="82" ht="15" customHeight="1">
      <c r="A82" t="inlineStr">
        <is>
          <t>A 20538-2025</t>
        </is>
      </c>
      <c r="B82" s="1" t="n">
        <v>45775.62283564815</v>
      </c>
      <c r="C82" s="1" t="n">
        <v>46062</v>
      </c>
      <c r="D82" t="inlineStr">
        <is>
          <t>DALARNAS LÄN</t>
        </is>
      </c>
      <c r="E82" t="inlineStr">
        <is>
          <t>MORA</t>
        </is>
      </c>
      <c r="G82" t="n">
        <v>0.9</v>
      </c>
      <c r="H82" t="n">
        <v>0</v>
      </c>
      <c r="I82" t="n">
        <v>0</v>
      </c>
      <c r="J82" t="n">
        <v>1</v>
      </c>
      <c r="K82" t="n">
        <v>0</v>
      </c>
      <c r="L82" t="n">
        <v>0</v>
      </c>
      <c r="M82" t="n">
        <v>0</v>
      </c>
      <c r="N82" t="n">
        <v>0</v>
      </c>
      <c r="O82" t="n">
        <v>1</v>
      </c>
      <c r="P82" t="n">
        <v>0</v>
      </c>
      <c r="Q82" t="n">
        <v>1</v>
      </c>
      <c r="R82" s="2" t="inlineStr">
        <is>
          <t>Garnlav</t>
        </is>
      </c>
      <c r="S82">
        <f>HYPERLINK("https://klasma.github.io/Logging_2062/artfynd/A 20538-2025 artfynd.xlsx", "A 20538-2025")</f>
        <v/>
      </c>
      <c r="T82">
        <f>HYPERLINK("https://klasma.github.io/Logging_2062/kartor/A 20538-2025 karta.png", "A 20538-2025")</f>
        <v/>
      </c>
      <c r="V82">
        <f>HYPERLINK("https://klasma.github.io/Logging_2062/klagomål/A 20538-2025 FSC-klagomål.docx", "A 20538-2025")</f>
        <v/>
      </c>
      <c r="W82">
        <f>HYPERLINK("https://klasma.github.io/Logging_2062/klagomålsmail/A 20538-2025 FSC-klagomål mail.docx", "A 20538-2025")</f>
        <v/>
      </c>
      <c r="X82">
        <f>HYPERLINK("https://klasma.github.io/Logging_2062/tillsyn/A 20538-2025 tillsynsbegäran.docx", "A 20538-2025")</f>
        <v/>
      </c>
      <c r="Y82">
        <f>HYPERLINK("https://klasma.github.io/Logging_2062/tillsynsmail/A 20538-2025 tillsynsbegäran mail.docx", "A 20538-2025")</f>
        <v/>
      </c>
    </row>
    <row r="83" ht="15" customHeight="1">
      <c r="A83" t="inlineStr">
        <is>
          <t>A 38769-2021</t>
        </is>
      </c>
      <c r="B83" s="1" t="n">
        <v>44410</v>
      </c>
      <c r="C83" s="1" t="n">
        <v>46062</v>
      </c>
      <c r="D83" t="inlineStr">
        <is>
          <t>DALARNAS LÄN</t>
        </is>
      </c>
      <c r="E83" t="inlineStr">
        <is>
          <t>MORA</t>
        </is>
      </c>
      <c r="G83" t="n">
        <v>0.8</v>
      </c>
      <c r="H83" t="n">
        <v>0</v>
      </c>
      <c r="I83" t="n">
        <v>0</v>
      </c>
      <c r="J83" t="n">
        <v>0</v>
      </c>
      <c r="K83" t="n">
        <v>0</v>
      </c>
      <c r="L83" t="n">
        <v>0</v>
      </c>
      <c r="M83" t="n">
        <v>0</v>
      </c>
      <c r="N83" t="n">
        <v>0</v>
      </c>
      <c r="O83" t="n">
        <v>0</v>
      </c>
      <c r="P83" t="n">
        <v>0</v>
      </c>
      <c r="Q83" t="n">
        <v>0</v>
      </c>
      <c r="R83" s="2" t="inlineStr"/>
    </row>
    <row r="84" ht="15" customHeight="1">
      <c r="A84" t="inlineStr">
        <is>
          <t>A 73930-2021</t>
        </is>
      </c>
      <c r="B84" s="1" t="n">
        <v>44553</v>
      </c>
      <c r="C84" s="1" t="n">
        <v>46062</v>
      </c>
      <c r="D84" t="inlineStr">
        <is>
          <t>DALARNAS LÄN</t>
        </is>
      </c>
      <c r="E84" t="inlineStr">
        <is>
          <t>MORA</t>
        </is>
      </c>
      <c r="G84" t="n">
        <v>0.7</v>
      </c>
      <c r="H84" t="n">
        <v>0</v>
      </c>
      <c r="I84" t="n">
        <v>0</v>
      </c>
      <c r="J84" t="n">
        <v>0</v>
      </c>
      <c r="K84" t="n">
        <v>0</v>
      </c>
      <c r="L84" t="n">
        <v>0</v>
      </c>
      <c r="M84" t="n">
        <v>0</v>
      </c>
      <c r="N84" t="n">
        <v>0</v>
      </c>
      <c r="O84" t="n">
        <v>0</v>
      </c>
      <c r="P84" t="n">
        <v>0</v>
      </c>
      <c r="Q84" t="n">
        <v>0</v>
      </c>
      <c r="R84" s="2" t="inlineStr"/>
    </row>
    <row r="85" ht="15" customHeight="1">
      <c r="A85" t="inlineStr">
        <is>
          <t>A 42505-2021</t>
        </is>
      </c>
      <c r="B85" s="1" t="n">
        <v>44427</v>
      </c>
      <c r="C85" s="1" t="n">
        <v>46062</v>
      </c>
      <c r="D85" t="inlineStr">
        <is>
          <t>DALARNAS LÄN</t>
        </is>
      </c>
      <c r="E85" t="inlineStr">
        <is>
          <t>MORA</t>
        </is>
      </c>
      <c r="G85" t="n">
        <v>0.9</v>
      </c>
      <c r="H85" t="n">
        <v>0</v>
      </c>
      <c r="I85" t="n">
        <v>0</v>
      </c>
      <c r="J85" t="n">
        <v>0</v>
      </c>
      <c r="K85" t="n">
        <v>0</v>
      </c>
      <c r="L85" t="n">
        <v>0</v>
      </c>
      <c r="M85" t="n">
        <v>0</v>
      </c>
      <c r="N85" t="n">
        <v>0</v>
      </c>
      <c r="O85" t="n">
        <v>0</v>
      </c>
      <c r="P85" t="n">
        <v>0</v>
      </c>
      <c r="Q85" t="n">
        <v>0</v>
      </c>
      <c r="R85" s="2" t="inlineStr"/>
    </row>
    <row r="86" ht="15" customHeight="1">
      <c r="A86" t="inlineStr">
        <is>
          <t>A 66158-2021</t>
        </is>
      </c>
      <c r="B86" s="1" t="n">
        <v>44517.934375</v>
      </c>
      <c r="C86" s="1" t="n">
        <v>46062</v>
      </c>
      <c r="D86" t="inlineStr">
        <is>
          <t>DALARNAS LÄN</t>
        </is>
      </c>
      <c r="E86" t="inlineStr">
        <is>
          <t>MORA</t>
        </is>
      </c>
      <c r="G86" t="n">
        <v>3.3</v>
      </c>
      <c r="H86" t="n">
        <v>0</v>
      </c>
      <c r="I86" t="n">
        <v>0</v>
      </c>
      <c r="J86" t="n">
        <v>0</v>
      </c>
      <c r="K86" t="n">
        <v>0</v>
      </c>
      <c r="L86" t="n">
        <v>0</v>
      </c>
      <c r="M86" t="n">
        <v>0</v>
      </c>
      <c r="N86" t="n">
        <v>0</v>
      </c>
      <c r="O86" t="n">
        <v>0</v>
      </c>
      <c r="P86" t="n">
        <v>0</v>
      </c>
      <c r="Q86" t="n">
        <v>0</v>
      </c>
      <c r="R86" s="2" t="inlineStr"/>
    </row>
    <row r="87" ht="15" customHeight="1">
      <c r="A87" t="inlineStr">
        <is>
          <t>A 72648-2021</t>
        </is>
      </c>
      <c r="B87" s="1" t="n">
        <v>44546.5862037037</v>
      </c>
      <c r="C87" s="1" t="n">
        <v>46062</v>
      </c>
      <c r="D87" t="inlineStr">
        <is>
          <t>DALARNAS LÄN</t>
        </is>
      </c>
      <c r="E87" t="inlineStr">
        <is>
          <t>MORA</t>
        </is>
      </c>
      <c r="G87" t="n">
        <v>0.2</v>
      </c>
      <c r="H87" t="n">
        <v>0</v>
      </c>
      <c r="I87" t="n">
        <v>0</v>
      </c>
      <c r="J87" t="n">
        <v>0</v>
      </c>
      <c r="K87" t="n">
        <v>0</v>
      </c>
      <c r="L87" t="n">
        <v>0</v>
      </c>
      <c r="M87" t="n">
        <v>0</v>
      </c>
      <c r="N87" t="n">
        <v>0</v>
      </c>
      <c r="O87" t="n">
        <v>0</v>
      </c>
      <c r="P87" t="n">
        <v>0</v>
      </c>
      <c r="Q87" t="n">
        <v>0</v>
      </c>
      <c r="R87" s="2" t="inlineStr"/>
    </row>
    <row r="88" ht="15" customHeight="1">
      <c r="A88" t="inlineStr">
        <is>
          <t>A 34897-2022</t>
        </is>
      </c>
      <c r="B88" s="1" t="n">
        <v>44796</v>
      </c>
      <c r="C88" s="1" t="n">
        <v>46062</v>
      </c>
      <c r="D88" t="inlineStr">
        <is>
          <t>DALARNAS LÄN</t>
        </is>
      </c>
      <c r="E88" t="inlineStr">
        <is>
          <t>MORA</t>
        </is>
      </c>
      <c r="F88" t="inlineStr">
        <is>
          <t>Bergvik skog väst AB</t>
        </is>
      </c>
      <c r="G88" t="n">
        <v>8</v>
      </c>
      <c r="H88" t="n">
        <v>0</v>
      </c>
      <c r="I88" t="n">
        <v>0</v>
      </c>
      <c r="J88" t="n">
        <v>0</v>
      </c>
      <c r="K88" t="n">
        <v>0</v>
      </c>
      <c r="L88" t="n">
        <v>0</v>
      </c>
      <c r="M88" t="n">
        <v>0</v>
      </c>
      <c r="N88" t="n">
        <v>0</v>
      </c>
      <c r="O88" t="n">
        <v>0</v>
      </c>
      <c r="P88" t="n">
        <v>0</v>
      </c>
      <c r="Q88" t="n">
        <v>0</v>
      </c>
      <c r="R88" s="2" t="inlineStr"/>
    </row>
    <row r="89" ht="15" customHeight="1">
      <c r="A89" t="inlineStr">
        <is>
          <t>A 38651-2022</t>
        </is>
      </c>
      <c r="B89" s="1" t="n">
        <v>44813</v>
      </c>
      <c r="C89" s="1" t="n">
        <v>46062</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65253-2021</t>
        </is>
      </c>
      <c r="B90" s="1" t="n">
        <v>44515</v>
      </c>
      <c r="C90" s="1" t="n">
        <v>46062</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42668-2022</t>
        </is>
      </c>
      <c r="B91" s="1" t="n">
        <v>44832.31839120371</v>
      </c>
      <c r="C91" s="1" t="n">
        <v>46062</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46062</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54239-2021</t>
        </is>
      </c>
      <c r="B93" s="1" t="n">
        <v>44470.63695601852</v>
      </c>
      <c r="C93" s="1" t="n">
        <v>46062</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43944-2022</t>
        </is>
      </c>
      <c r="B94" s="1" t="n">
        <v>44838</v>
      </c>
      <c r="C94" s="1" t="n">
        <v>46062</v>
      </c>
      <c r="D94" t="inlineStr">
        <is>
          <t>DALARNAS LÄN</t>
        </is>
      </c>
      <c r="E94" t="inlineStr">
        <is>
          <t>MORA</t>
        </is>
      </c>
      <c r="F94" t="inlineStr">
        <is>
          <t>Bergvik skog öst AB</t>
        </is>
      </c>
      <c r="G94" t="n">
        <v>1.1</v>
      </c>
      <c r="H94" t="n">
        <v>0</v>
      </c>
      <c r="I94" t="n">
        <v>0</v>
      </c>
      <c r="J94" t="n">
        <v>0</v>
      </c>
      <c r="K94" t="n">
        <v>0</v>
      </c>
      <c r="L94" t="n">
        <v>0</v>
      </c>
      <c r="M94" t="n">
        <v>0</v>
      </c>
      <c r="N94" t="n">
        <v>0</v>
      </c>
      <c r="O94" t="n">
        <v>0</v>
      </c>
      <c r="P94" t="n">
        <v>0</v>
      </c>
      <c r="Q94" t="n">
        <v>0</v>
      </c>
      <c r="R94" s="2" t="inlineStr"/>
    </row>
    <row r="95" ht="15" customHeight="1">
      <c r="A95" t="inlineStr">
        <is>
          <t>A 50620-2021</t>
        </is>
      </c>
      <c r="B95" s="1" t="n">
        <v>44459.68884259259</v>
      </c>
      <c r="C95" s="1" t="n">
        <v>46062</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6574-2022</t>
        </is>
      </c>
      <c r="B96" s="1" t="n">
        <v>44601</v>
      </c>
      <c r="C96" s="1" t="n">
        <v>46062</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21273-2022</t>
        </is>
      </c>
      <c r="B97" s="1" t="n">
        <v>44705</v>
      </c>
      <c r="C97" s="1" t="n">
        <v>46062</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72780-2021</t>
        </is>
      </c>
      <c r="B98" s="1" t="n">
        <v>44545</v>
      </c>
      <c r="C98" s="1" t="n">
        <v>46062</v>
      </c>
      <c r="D98" t="inlineStr">
        <is>
          <t>DALARNAS LÄN</t>
        </is>
      </c>
      <c r="E98" t="inlineStr">
        <is>
          <t>MORA</t>
        </is>
      </c>
      <c r="F98" t="inlineStr">
        <is>
          <t>Allmännings- och besparingsskogar</t>
        </is>
      </c>
      <c r="G98" t="n">
        <v>1</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46062</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49583-2021</t>
        </is>
      </c>
      <c r="B100" s="1" t="n">
        <v>44455</v>
      </c>
      <c r="C100" s="1" t="n">
        <v>46062</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16840-2021</t>
        </is>
      </c>
      <c r="B101" s="1" t="n">
        <v>44295</v>
      </c>
      <c r="C101" s="1" t="n">
        <v>46062</v>
      </c>
      <c r="D101" t="inlineStr">
        <is>
          <t>DALARNAS LÄN</t>
        </is>
      </c>
      <c r="E101" t="inlineStr">
        <is>
          <t>MORA</t>
        </is>
      </c>
      <c r="G101" t="n">
        <v>11.5</v>
      </c>
      <c r="H101" t="n">
        <v>0</v>
      </c>
      <c r="I101" t="n">
        <v>0</v>
      </c>
      <c r="J101" t="n">
        <v>0</v>
      </c>
      <c r="K101" t="n">
        <v>0</v>
      </c>
      <c r="L101" t="n">
        <v>0</v>
      </c>
      <c r="M101" t="n">
        <v>0</v>
      </c>
      <c r="N101" t="n">
        <v>0</v>
      </c>
      <c r="O101" t="n">
        <v>0</v>
      </c>
      <c r="P101" t="n">
        <v>0</v>
      </c>
      <c r="Q101" t="n">
        <v>0</v>
      </c>
      <c r="R101" s="2" t="inlineStr"/>
    </row>
    <row r="102" ht="15" customHeight="1">
      <c r="A102" t="inlineStr">
        <is>
          <t>A 41032-2021</t>
        </is>
      </c>
      <c r="B102" s="1" t="n">
        <v>44421</v>
      </c>
      <c r="C102" s="1" t="n">
        <v>46062</v>
      </c>
      <c r="D102" t="inlineStr">
        <is>
          <t>DALARNAS LÄN</t>
        </is>
      </c>
      <c r="E102" t="inlineStr">
        <is>
          <t>MORA</t>
        </is>
      </c>
      <c r="G102" t="n">
        <v>4.1</v>
      </c>
      <c r="H102" t="n">
        <v>0</v>
      </c>
      <c r="I102" t="n">
        <v>0</v>
      </c>
      <c r="J102" t="n">
        <v>0</v>
      </c>
      <c r="K102" t="n">
        <v>0</v>
      </c>
      <c r="L102" t="n">
        <v>0</v>
      </c>
      <c r="M102" t="n">
        <v>0</v>
      </c>
      <c r="N102" t="n">
        <v>0</v>
      </c>
      <c r="O102" t="n">
        <v>0</v>
      </c>
      <c r="P102" t="n">
        <v>0</v>
      </c>
      <c r="Q102" t="n">
        <v>0</v>
      </c>
      <c r="R102" s="2" t="inlineStr"/>
    </row>
    <row r="103" ht="15" customHeight="1">
      <c r="A103" t="inlineStr">
        <is>
          <t>A 65527-2021</t>
        </is>
      </c>
      <c r="B103" s="1" t="n">
        <v>44516.42728009259</v>
      </c>
      <c r="C103" s="1" t="n">
        <v>46062</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39672-2021</t>
        </is>
      </c>
      <c r="B104" s="1" t="n">
        <v>44417.43135416666</v>
      </c>
      <c r="C104" s="1" t="n">
        <v>46062</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46062</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43458-2021</t>
        </is>
      </c>
      <c r="B106" s="1" t="n">
        <v>44432</v>
      </c>
      <c r="C106" s="1" t="n">
        <v>46062</v>
      </c>
      <c r="D106" t="inlineStr">
        <is>
          <t>DALARNAS LÄN</t>
        </is>
      </c>
      <c r="E106" t="inlineStr">
        <is>
          <t>MORA</t>
        </is>
      </c>
      <c r="G106" t="n">
        <v>2.4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46062</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30895-2021</t>
        </is>
      </c>
      <c r="B108" s="1" t="n">
        <v>44365.59125</v>
      </c>
      <c r="C108" s="1" t="n">
        <v>46062</v>
      </c>
      <c r="D108" t="inlineStr">
        <is>
          <t>DALARNAS LÄN</t>
        </is>
      </c>
      <c r="E108" t="inlineStr">
        <is>
          <t>MORA</t>
        </is>
      </c>
      <c r="G108" t="n">
        <v>2.8</v>
      </c>
      <c r="H108" t="n">
        <v>0</v>
      </c>
      <c r="I108" t="n">
        <v>0</v>
      </c>
      <c r="J108" t="n">
        <v>0</v>
      </c>
      <c r="K108" t="n">
        <v>0</v>
      </c>
      <c r="L108" t="n">
        <v>0</v>
      </c>
      <c r="M108" t="n">
        <v>0</v>
      </c>
      <c r="N108" t="n">
        <v>0</v>
      </c>
      <c r="O108" t="n">
        <v>0</v>
      </c>
      <c r="P108" t="n">
        <v>0</v>
      </c>
      <c r="Q108" t="n">
        <v>0</v>
      </c>
      <c r="R108" s="2" t="inlineStr"/>
    </row>
    <row r="109" ht="15" customHeight="1">
      <c r="A109" t="inlineStr">
        <is>
          <t>A 30888-2021</t>
        </is>
      </c>
      <c r="B109" s="1" t="n">
        <v>44365.58731481482</v>
      </c>
      <c r="C109" s="1" t="n">
        <v>46062</v>
      </c>
      <c r="D109" t="inlineStr">
        <is>
          <t>DALARNAS LÄN</t>
        </is>
      </c>
      <c r="E109" t="inlineStr">
        <is>
          <t>MORA</t>
        </is>
      </c>
      <c r="G109" t="n">
        <v>0.4</v>
      </c>
      <c r="H109" t="n">
        <v>0</v>
      </c>
      <c r="I109" t="n">
        <v>0</v>
      </c>
      <c r="J109" t="n">
        <v>0</v>
      </c>
      <c r="K109" t="n">
        <v>0</v>
      </c>
      <c r="L109" t="n">
        <v>0</v>
      </c>
      <c r="M109" t="n">
        <v>0</v>
      </c>
      <c r="N109" t="n">
        <v>0</v>
      </c>
      <c r="O109" t="n">
        <v>0</v>
      </c>
      <c r="P109" t="n">
        <v>0</v>
      </c>
      <c r="Q109" t="n">
        <v>0</v>
      </c>
      <c r="R109" s="2" t="inlineStr"/>
    </row>
    <row r="110" ht="15" customHeight="1">
      <c r="A110" t="inlineStr">
        <is>
          <t>A 30905-2021</t>
        </is>
      </c>
      <c r="B110" s="1" t="n">
        <v>44365</v>
      </c>
      <c r="C110" s="1" t="n">
        <v>46062</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46062</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46062</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46062</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46062</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46062</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46062</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46062</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46062</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46062</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46062</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46062</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46062</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46062</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46062</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46062</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46062</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46062</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46062</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46062</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46062</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27461-2022</t>
        </is>
      </c>
      <c r="B131" s="1" t="n">
        <v>44742.58386574074</v>
      </c>
      <c r="C131" s="1" t="n">
        <v>46062</v>
      </c>
      <c r="D131" t="inlineStr">
        <is>
          <t>DALARNAS LÄN</t>
        </is>
      </c>
      <c r="E131" t="inlineStr">
        <is>
          <t>MORA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66157-2021</t>
        </is>
      </c>
      <c r="B132" s="1" t="n">
        <v>44517.92888888889</v>
      </c>
      <c r="C132" s="1" t="n">
        <v>46062</v>
      </c>
      <c r="D132" t="inlineStr">
        <is>
          <t>DALARNAS LÄN</t>
        </is>
      </c>
      <c r="E132" t="inlineStr">
        <is>
          <t>MORA</t>
        </is>
      </c>
      <c r="G132" t="n">
        <v>2.9</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46062</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46062</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46062</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46062</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46062</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17904-2021</t>
        </is>
      </c>
      <c r="B138" s="1" t="n">
        <v>44301</v>
      </c>
      <c r="C138" s="1" t="n">
        <v>46062</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46062</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46062</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46062</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34927-2022</t>
        </is>
      </c>
      <c r="B142" s="1" t="n">
        <v>44796.60181712963</v>
      </c>
      <c r="C142" s="1" t="n">
        <v>46062</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46062</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46062</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46062</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46062</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46062</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46062</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46062</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35287-2024</t>
        </is>
      </c>
      <c r="B150" s="1" t="n">
        <v>45530</v>
      </c>
      <c r="C150" s="1" t="n">
        <v>46062</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20594-2025</t>
        </is>
      </c>
      <c r="B151" s="1" t="n">
        <v>45775.74009259259</v>
      </c>
      <c r="C151" s="1" t="n">
        <v>46062</v>
      </c>
      <c r="D151" t="inlineStr">
        <is>
          <t>DALARNAS LÄN</t>
        </is>
      </c>
      <c r="E151" t="inlineStr">
        <is>
          <t>MORA</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59101-2024</t>
        </is>
      </c>
      <c r="B152" s="1" t="n">
        <v>45637.34074074074</v>
      </c>
      <c r="C152" s="1" t="n">
        <v>46062</v>
      </c>
      <c r="D152" t="inlineStr">
        <is>
          <t>DALARNAS LÄN</t>
        </is>
      </c>
      <c r="E152" t="inlineStr">
        <is>
          <t>MORA</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8068-2024</t>
        </is>
      </c>
      <c r="B153" s="1" t="n">
        <v>45351.41524305556</v>
      </c>
      <c r="C153" s="1" t="n">
        <v>46062</v>
      </c>
      <c r="D153" t="inlineStr">
        <is>
          <t>DALARNAS LÄN</t>
        </is>
      </c>
      <c r="E153" t="inlineStr">
        <is>
          <t>MORA</t>
        </is>
      </c>
      <c r="G153" t="n">
        <v>6.4</v>
      </c>
      <c r="H153" t="n">
        <v>0</v>
      </c>
      <c r="I153" t="n">
        <v>0</v>
      </c>
      <c r="J153" t="n">
        <v>0</v>
      </c>
      <c r="K153" t="n">
        <v>0</v>
      </c>
      <c r="L153" t="n">
        <v>0</v>
      </c>
      <c r="M153" t="n">
        <v>0</v>
      </c>
      <c r="N153" t="n">
        <v>0</v>
      </c>
      <c r="O153" t="n">
        <v>0</v>
      </c>
      <c r="P153" t="n">
        <v>0</v>
      </c>
      <c r="Q153" t="n">
        <v>0</v>
      </c>
      <c r="R153" s="2" t="inlineStr"/>
    </row>
    <row r="154" ht="15" customHeight="1">
      <c r="A154" t="inlineStr">
        <is>
          <t>A 8100-2024</t>
        </is>
      </c>
      <c r="B154" s="1" t="n">
        <v>45351.46583333334</v>
      </c>
      <c r="C154" s="1" t="n">
        <v>46062</v>
      </c>
      <c r="D154" t="inlineStr">
        <is>
          <t>DALARNAS LÄN</t>
        </is>
      </c>
      <c r="E154" t="inlineStr">
        <is>
          <t>MORA</t>
        </is>
      </c>
      <c r="G154" t="n">
        <v>3.2</v>
      </c>
      <c r="H154" t="n">
        <v>0</v>
      </c>
      <c r="I154" t="n">
        <v>0</v>
      </c>
      <c r="J154" t="n">
        <v>0</v>
      </c>
      <c r="K154" t="n">
        <v>0</v>
      </c>
      <c r="L154" t="n">
        <v>0</v>
      </c>
      <c r="M154" t="n">
        <v>0</v>
      </c>
      <c r="N154" t="n">
        <v>0</v>
      </c>
      <c r="O154" t="n">
        <v>0</v>
      </c>
      <c r="P154" t="n">
        <v>0</v>
      </c>
      <c r="Q154" t="n">
        <v>0</v>
      </c>
      <c r="R154" s="2" t="inlineStr"/>
    </row>
    <row r="155" ht="15" customHeight="1">
      <c r="A155" t="inlineStr">
        <is>
          <t>A 5418-2025</t>
        </is>
      </c>
      <c r="B155" s="1" t="n">
        <v>45692.68561342593</v>
      </c>
      <c r="C155" s="1" t="n">
        <v>46062</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36058-2024</t>
        </is>
      </c>
      <c r="B156" s="1" t="n">
        <v>45533</v>
      </c>
      <c r="C156" s="1" t="n">
        <v>46062</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17176-2025</t>
        </is>
      </c>
      <c r="B157" s="1" t="n">
        <v>45756.37520833333</v>
      </c>
      <c r="C157" s="1" t="n">
        <v>46062</v>
      </c>
      <c r="D157" t="inlineStr">
        <is>
          <t>DALARNAS LÄN</t>
        </is>
      </c>
      <c r="E157" t="inlineStr">
        <is>
          <t>MORA</t>
        </is>
      </c>
      <c r="F157" t="inlineStr">
        <is>
          <t>Bergvik skog öst AB</t>
        </is>
      </c>
      <c r="G157" t="n">
        <v>1.7</v>
      </c>
      <c r="H157" t="n">
        <v>0</v>
      </c>
      <c r="I157" t="n">
        <v>0</v>
      </c>
      <c r="J157" t="n">
        <v>0</v>
      </c>
      <c r="K157" t="n">
        <v>0</v>
      </c>
      <c r="L157" t="n">
        <v>0</v>
      </c>
      <c r="M157" t="n">
        <v>0</v>
      </c>
      <c r="N157" t="n">
        <v>0</v>
      </c>
      <c r="O157" t="n">
        <v>0</v>
      </c>
      <c r="P157" t="n">
        <v>0</v>
      </c>
      <c r="Q157" t="n">
        <v>0</v>
      </c>
      <c r="R157" s="2" t="inlineStr"/>
    </row>
    <row r="158" ht="15" customHeight="1">
      <c r="A158" t="inlineStr">
        <is>
          <t>A 52525-2022</t>
        </is>
      </c>
      <c r="B158" s="1" t="n">
        <v>44874</v>
      </c>
      <c r="C158" s="1" t="n">
        <v>46062</v>
      </c>
      <c r="D158" t="inlineStr">
        <is>
          <t>DALARNAS LÄN</t>
        </is>
      </c>
      <c r="E158" t="inlineStr">
        <is>
          <t>MORA</t>
        </is>
      </c>
      <c r="F158" t="inlineStr">
        <is>
          <t>Bergvik skog öst AB</t>
        </is>
      </c>
      <c r="G158" t="n">
        <v>0.9</v>
      </c>
      <c r="H158" t="n">
        <v>0</v>
      </c>
      <c r="I158" t="n">
        <v>0</v>
      </c>
      <c r="J158" t="n">
        <v>0</v>
      </c>
      <c r="K158" t="n">
        <v>0</v>
      </c>
      <c r="L158" t="n">
        <v>0</v>
      </c>
      <c r="M158" t="n">
        <v>0</v>
      </c>
      <c r="N158" t="n">
        <v>0</v>
      </c>
      <c r="O158" t="n">
        <v>0</v>
      </c>
      <c r="P158" t="n">
        <v>0</v>
      </c>
      <c r="Q158" t="n">
        <v>0</v>
      </c>
      <c r="R158" s="2" t="inlineStr"/>
    </row>
    <row r="159" ht="15" customHeight="1">
      <c r="A159" t="inlineStr">
        <is>
          <t>A 48390-2024</t>
        </is>
      </c>
      <c r="B159" s="1" t="n">
        <v>45590.60216435185</v>
      </c>
      <c r="C159" s="1" t="n">
        <v>46062</v>
      </c>
      <c r="D159" t="inlineStr">
        <is>
          <t>DALARNAS LÄN</t>
        </is>
      </c>
      <c r="E159" t="inlineStr">
        <is>
          <t>MORA</t>
        </is>
      </c>
      <c r="G159" t="n">
        <v>5</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46062</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43874-2024</t>
        </is>
      </c>
      <c r="B161" s="1" t="n">
        <v>45572.38476851852</v>
      </c>
      <c r="C161" s="1" t="n">
        <v>46062</v>
      </c>
      <c r="D161" t="inlineStr">
        <is>
          <t>DALARNAS LÄN</t>
        </is>
      </c>
      <c r="E161" t="inlineStr">
        <is>
          <t>MORA</t>
        </is>
      </c>
      <c r="G161" t="n">
        <v>3.6</v>
      </c>
      <c r="H161" t="n">
        <v>0</v>
      </c>
      <c r="I161" t="n">
        <v>0</v>
      </c>
      <c r="J161" t="n">
        <v>0</v>
      </c>
      <c r="K161" t="n">
        <v>0</v>
      </c>
      <c r="L161" t="n">
        <v>0</v>
      </c>
      <c r="M161" t="n">
        <v>0</v>
      </c>
      <c r="N161" t="n">
        <v>0</v>
      </c>
      <c r="O161" t="n">
        <v>0</v>
      </c>
      <c r="P161" t="n">
        <v>0</v>
      </c>
      <c r="Q161" t="n">
        <v>0</v>
      </c>
      <c r="R161" s="2" t="inlineStr"/>
    </row>
    <row r="162" ht="15" customHeight="1">
      <c r="A162" t="inlineStr">
        <is>
          <t>A 60099-2024</t>
        </is>
      </c>
      <c r="B162" s="1" t="n">
        <v>45642.55645833333</v>
      </c>
      <c r="C162" s="1" t="n">
        <v>46062</v>
      </c>
      <c r="D162" t="inlineStr">
        <is>
          <t>DALARNAS LÄN</t>
        </is>
      </c>
      <c r="E162" t="inlineStr">
        <is>
          <t>MORA</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15443-2025</t>
        </is>
      </c>
      <c r="B163" s="1" t="n">
        <v>45747.48371527778</v>
      </c>
      <c r="C163" s="1" t="n">
        <v>46062</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61405-2023</t>
        </is>
      </c>
      <c r="B164" s="1" t="n">
        <v>45264.65987268519</v>
      </c>
      <c r="C164" s="1" t="n">
        <v>46062</v>
      </c>
      <c r="D164" t="inlineStr">
        <is>
          <t>DALARNAS LÄN</t>
        </is>
      </c>
      <c r="E164" t="inlineStr">
        <is>
          <t>MORA</t>
        </is>
      </c>
      <c r="G164" t="n">
        <v>0.4</v>
      </c>
      <c r="H164" t="n">
        <v>0</v>
      </c>
      <c r="I164" t="n">
        <v>0</v>
      </c>
      <c r="J164" t="n">
        <v>0</v>
      </c>
      <c r="K164" t="n">
        <v>0</v>
      </c>
      <c r="L164" t="n">
        <v>0</v>
      </c>
      <c r="M164" t="n">
        <v>0</v>
      </c>
      <c r="N164" t="n">
        <v>0</v>
      </c>
      <c r="O164" t="n">
        <v>0</v>
      </c>
      <c r="P164" t="n">
        <v>0</v>
      </c>
      <c r="Q164" t="n">
        <v>0</v>
      </c>
      <c r="R164" s="2" t="inlineStr"/>
    </row>
    <row r="165" ht="15" customHeight="1">
      <c r="A165" t="inlineStr">
        <is>
          <t>A 39674-2023</t>
        </is>
      </c>
      <c r="B165" s="1" t="n">
        <v>45167</v>
      </c>
      <c r="C165" s="1" t="n">
        <v>46062</v>
      </c>
      <c r="D165" t="inlineStr">
        <is>
          <t>DALARNAS LÄN</t>
        </is>
      </c>
      <c r="E165" t="inlineStr">
        <is>
          <t>MORA</t>
        </is>
      </c>
      <c r="G165" t="n">
        <v>2.4</v>
      </c>
      <c r="H165" t="n">
        <v>0</v>
      </c>
      <c r="I165" t="n">
        <v>0</v>
      </c>
      <c r="J165" t="n">
        <v>0</v>
      </c>
      <c r="K165" t="n">
        <v>0</v>
      </c>
      <c r="L165" t="n">
        <v>0</v>
      </c>
      <c r="M165" t="n">
        <v>0</v>
      </c>
      <c r="N165" t="n">
        <v>0</v>
      </c>
      <c r="O165" t="n">
        <v>0</v>
      </c>
      <c r="P165" t="n">
        <v>0</v>
      </c>
      <c r="Q165" t="n">
        <v>0</v>
      </c>
      <c r="R165" s="2" t="inlineStr"/>
    </row>
    <row r="166" ht="15" customHeight="1">
      <c r="A166" t="inlineStr">
        <is>
          <t>A 14832-2025</t>
        </is>
      </c>
      <c r="B166" s="1" t="n">
        <v>45743</v>
      </c>
      <c r="C166" s="1" t="n">
        <v>46062</v>
      </c>
      <c r="D166" t="inlineStr">
        <is>
          <t>DALARNAS LÄN</t>
        </is>
      </c>
      <c r="E166" t="inlineStr">
        <is>
          <t>MORA</t>
        </is>
      </c>
      <c r="G166" t="n">
        <v>9.1</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46062</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43432-2024</t>
        </is>
      </c>
      <c r="B168" s="1" t="n">
        <v>45568.64337962963</v>
      </c>
      <c r="C168" s="1" t="n">
        <v>46062</v>
      </c>
      <c r="D168" t="inlineStr">
        <is>
          <t>DALARNAS LÄN</t>
        </is>
      </c>
      <c r="E168" t="inlineStr">
        <is>
          <t>MORA</t>
        </is>
      </c>
      <c r="G168" t="n">
        <v>0.4</v>
      </c>
      <c r="H168" t="n">
        <v>0</v>
      </c>
      <c r="I168" t="n">
        <v>0</v>
      </c>
      <c r="J168" t="n">
        <v>0</v>
      </c>
      <c r="K168" t="n">
        <v>0</v>
      </c>
      <c r="L168" t="n">
        <v>0</v>
      </c>
      <c r="M168" t="n">
        <v>0</v>
      </c>
      <c r="N168" t="n">
        <v>0</v>
      </c>
      <c r="O168" t="n">
        <v>0</v>
      </c>
      <c r="P168" t="n">
        <v>0</v>
      </c>
      <c r="Q168" t="n">
        <v>0</v>
      </c>
      <c r="R168" s="2" t="inlineStr"/>
    </row>
    <row r="169" ht="15" customHeight="1">
      <c r="A169" t="inlineStr">
        <is>
          <t>A 12490-2025</t>
        </is>
      </c>
      <c r="B169" s="1" t="n">
        <v>45730.59239583334</v>
      </c>
      <c r="C169" s="1" t="n">
        <v>46062</v>
      </c>
      <c r="D169" t="inlineStr">
        <is>
          <t>DALARNAS LÄN</t>
        </is>
      </c>
      <c r="E169" t="inlineStr">
        <is>
          <t>MORA</t>
        </is>
      </c>
      <c r="F169" t="inlineStr">
        <is>
          <t>Bergvik skog öst AB</t>
        </is>
      </c>
      <c r="G169" t="n">
        <v>1.6</v>
      </c>
      <c r="H169" t="n">
        <v>0</v>
      </c>
      <c r="I169" t="n">
        <v>0</v>
      </c>
      <c r="J169" t="n">
        <v>0</v>
      </c>
      <c r="K169" t="n">
        <v>0</v>
      </c>
      <c r="L169" t="n">
        <v>0</v>
      </c>
      <c r="M169" t="n">
        <v>0</v>
      </c>
      <c r="N169" t="n">
        <v>0</v>
      </c>
      <c r="O169" t="n">
        <v>0</v>
      </c>
      <c r="P169" t="n">
        <v>0</v>
      </c>
      <c r="Q169" t="n">
        <v>0</v>
      </c>
      <c r="R169" s="2" t="inlineStr"/>
    </row>
    <row r="170" ht="15" customHeight="1">
      <c r="A170" t="inlineStr">
        <is>
          <t>A 45349-2024</t>
        </is>
      </c>
      <c r="B170" s="1" t="n">
        <v>45576</v>
      </c>
      <c r="C170" s="1" t="n">
        <v>46062</v>
      </c>
      <c r="D170" t="inlineStr">
        <is>
          <t>DALARNAS LÄN</t>
        </is>
      </c>
      <c r="E170" t="inlineStr">
        <is>
          <t>MORA</t>
        </is>
      </c>
      <c r="G170" t="n">
        <v>0.6</v>
      </c>
      <c r="H170" t="n">
        <v>0</v>
      </c>
      <c r="I170" t="n">
        <v>0</v>
      </c>
      <c r="J170" t="n">
        <v>0</v>
      </c>
      <c r="K170" t="n">
        <v>0</v>
      </c>
      <c r="L170" t="n">
        <v>0</v>
      </c>
      <c r="M170" t="n">
        <v>0</v>
      </c>
      <c r="N170" t="n">
        <v>0</v>
      </c>
      <c r="O170" t="n">
        <v>0</v>
      </c>
      <c r="P170" t="n">
        <v>0</v>
      </c>
      <c r="Q170" t="n">
        <v>0</v>
      </c>
      <c r="R170" s="2" t="inlineStr"/>
    </row>
    <row r="171" ht="15" customHeight="1">
      <c r="A171" t="inlineStr">
        <is>
          <t>A 55671-2024</t>
        </is>
      </c>
      <c r="B171" s="1" t="n">
        <v>45622.65269675926</v>
      </c>
      <c r="C171" s="1" t="n">
        <v>46062</v>
      </c>
      <c r="D171" t="inlineStr">
        <is>
          <t>DALARNAS LÄN</t>
        </is>
      </c>
      <c r="E171" t="inlineStr">
        <is>
          <t>MORA</t>
        </is>
      </c>
      <c r="G171" t="n">
        <v>1.2</v>
      </c>
      <c r="H171" t="n">
        <v>0</v>
      </c>
      <c r="I171" t="n">
        <v>0</v>
      </c>
      <c r="J171" t="n">
        <v>0</v>
      </c>
      <c r="K171" t="n">
        <v>0</v>
      </c>
      <c r="L171" t="n">
        <v>0</v>
      </c>
      <c r="M171" t="n">
        <v>0</v>
      </c>
      <c r="N171" t="n">
        <v>0</v>
      </c>
      <c r="O171" t="n">
        <v>0</v>
      </c>
      <c r="P171" t="n">
        <v>0</v>
      </c>
      <c r="Q171" t="n">
        <v>0</v>
      </c>
      <c r="R171" s="2" t="inlineStr"/>
    </row>
    <row r="172" ht="15" customHeight="1">
      <c r="A172" t="inlineStr">
        <is>
          <t>A 18702-2025</t>
        </is>
      </c>
      <c r="B172" s="1" t="n">
        <v>45763.63166666667</v>
      </c>
      <c r="C172" s="1" t="n">
        <v>46062</v>
      </c>
      <c r="D172" t="inlineStr">
        <is>
          <t>DALARNAS LÄN</t>
        </is>
      </c>
      <c r="E172" t="inlineStr">
        <is>
          <t>MORA</t>
        </is>
      </c>
      <c r="G172" t="n">
        <v>3.6</v>
      </c>
      <c r="H172" t="n">
        <v>0</v>
      </c>
      <c r="I172" t="n">
        <v>0</v>
      </c>
      <c r="J172" t="n">
        <v>0</v>
      </c>
      <c r="K172" t="n">
        <v>0</v>
      </c>
      <c r="L172" t="n">
        <v>0</v>
      </c>
      <c r="M172" t="n">
        <v>0</v>
      </c>
      <c r="N172" t="n">
        <v>0</v>
      </c>
      <c r="O172" t="n">
        <v>0</v>
      </c>
      <c r="P172" t="n">
        <v>0</v>
      </c>
      <c r="Q172" t="n">
        <v>0</v>
      </c>
      <c r="R172" s="2" t="inlineStr"/>
    </row>
    <row r="173" ht="15" customHeight="1">
      <c r="A173" t="inlineStr">
        <is>
          <t>A 37971-2024</t>
        </is>
      </c>
      <c r="B173" s="1" t="n">
        <v>45544</v>
      </c>
      <c r="C173" s="1" t="n">
        <v>46062</v>
      </c>
      <c r="D173" t="inlineStr">
        <is>
          <t>DALARNAS LÄN</t>
        </is>
      </c>
      <c r="E173" t="inlineStr">
        <is>
          <t>MORA</t>
        </is>
      </c>
      <c r="G173" t="n">
        <v>2.3</v>
      </c>
      <c r="H173" t="n">
        <v>0</v>
      </c>
      <c r="I173" t="n">
        <v>0</v>
      </c>
      <c r="J173" t="n">
        <v>0</v>
      </c>
      <c r="K173" t="n">
        <v>0</v>
      </c>
      <c r="L173" t="n">
        <v>0</v>
      </c>
      <c r="M173" t="n">
        <v>0</v>
      </c>
      <c r="N173" t="n">
        <v>0</v>
      </c>
      <c r="O173" t="n">
        <v>0</v>
      </c>
      <c r="P173" t="n">
        <v>0</v>
      </c>
      <c r="Q173" t="n">
        <v>0</v>
      </c>
      <c r="R173" s="2" t="inlineStr"/>
    </row>
    <row r="174" ht="15" customHeight="1">
      <c r="A174" t="inlineStr">
        <is>
          <t>A 30998-2022</t>
        </is>
      </c>
      <c r="B174" s="1" t="n">
        <v>44768</v>
      </c>
      <c r="C174" s="1" t="n">
        <v>46062</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47143-2022</t>
        </is>
      </c>
      <c r="B175" s="1" t="n">
        <v>44852</v>
      </c>
      <c r="C175" s="1" t="n">
        <v>46062</v>
      </c>
      <c r="D175" t="inlineStr">
        <is>
          <t>DALARNAS LÄN</t>
        </is>
      </c>
      <c r="E175" t="inlineStr">
        <is>
          <t>MORA</t>
        </is>
      </c>
      <c r="G175" t="n">
        <v>3.9</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46062</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17494-2025</t>
        </is>
      </c>
      <c r="B177" s="1" t="n">
        <v>45757.52033564815</v>
      </c>
      <c r="C177" s="1" t="n">
        <v>46062</v>
      </c>
      <c r="D177" t="inlineStr">
        <is>
          <t>DALARNAS LÄN</t>
        </is>
      </c>
      <c r="E177" t="inlineStr">
        <is>
          <t>MORA</t>
        </is>
      </c>
      <c r="G177" t="n">
        <v>5.3</v>
      </c>
      <c r="H177" t="n">
        <v>0</v>
      </c>
      <c r="I177" t="n">
        <v>0</v>
      </c>
      <c r="J177" t="n">
        <v>0</v>
      </c>
      <c r="K177" t="n">
        <v>0</v>
      </c>
      <c r="L177" t="n">
        <v>0</v>
      </c>
      <c r="M177" t="n">
        <v>0</v>
      </c>
      <c r="N177" t="n">
        <v>0</v>
      </c>
      <c r="O177" t="n">
        <v>0</v>
      </c>
      <c r="P177" t="n">
        <v>0</v>
      </c>
      <c r="Q177" t="n">
        <v>0</v>
      </c>
      <c r="R177" s="2" t="inlineStr"/>
    </row>
    <row r="178" ht="15" customHeight="1">
      <c r="A178" t="inlineStr">
        <is>
          <t>A 50911-2024</t>
        </is>
      </c>
      <c r="B178" s="1" t="n">
        <v>45602.7022337963</v>
      </c>
      <c r="C178" s="1" t="n">
        <v>46062</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57475-2022</t>
        </is>
      </c>
      <c r="B179" s="1" t="n">
        <v>44896</v>
      </c>
      <c r="C179" s="1" t="n">
        <v>46062</v>
      </c>
      <c r="D179" t="inlineStr">
        <is>
          <t>DALARNAS LÄN</t>
        </is>
      </c>
      <c r="E179" t="inlineStr">
        <is>
          <t>MORA</t>
        </is>
      </c>
      <c r="G179" t="n">
        <v>5.7</v>
      </c>
      <c r="H179" t="n">
        <v>0</v>
      </c>
      <c r="I179" t="n">
        <v>0</v>
      </c>
      <c r="J179" t="n">
        <v>0</v>
      </c>
      <c r="K179" t="n">
        <v>0</v>
      </c>
      <c r="L179" t="n">
        <v>0</v>
      </c>
      <c r="M179" t="n">
        <v>0</v>
      </c>
      <c r="N179" t="n">
        <v>0</v>
      </c>
      <c r="O179" t="n">
        <v>0</v>
      </c>
      <c r="P179" t="n">
        <v>0</v>
      </c>
      <c r="Q179" t="n">
        <v>0</v>
      </c>
      <c r="R179" s="2" t="inlineStr"/>
    </row>
    <row r="180" ht="15" customHeight="1">
      <c r="A180" t="inlineStr">
        <is>
          <t>A 15440-2024</t>
        </is>
      </c>
      <c r="B180" s="1" t="n">
        <v>45401.4194212963</v>
      </c>
      <c r="C180" s="1" t="n">
        <v>46062</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35363-2024</t>
        </is>
      </c>
      <c r="B181" s="1" t="n">
        <v>45531.34050925926</v>
      </c>
      <c r="C181" s="1" t="n">
        <v>46062</v>
      </c>
      <c r="D181" t="inlineStr">
        <is>
          <t>DALARNAS LÄN</t>
        </is>
      </c>
      <c r="E181" t="inlineStr">
        <is>
          <t>MORA</t>
        </is>
      </c>
      <c r="G181" t="n">
        <v>2.5</v>
      </c>
      <c r="H181" t="n">
        <v>0</v>
      </c>
      <c r="I181" t="n">
        <v>0</v>
      </c>
      <c r="J181" t="n">
        <v>0</v>
      </c>
      <c r="K181" t="n">
        <v>0</v>
      </c>
      <c r="L181" t="n">
        <v>0</v>
      </c>
      <c r="M181" t="n">
        <v>0</v>
      </c>
      <c r="N181" t="n">
        <v>0</v>
      </c>
      <c r="O181" t="n">
        <v>0</v>
      </c>
      <c r="P181" t="n">
        <v>0</v>
      </c>
      <c r="Q181" t="n">
        <v>0</v>
      </c>
      <c r="R181" s="2" t="inlineStr"/>
    </row>
    <row r="182" ht="15" customHeight="1">
      <c r="A182" t="inlineStr">
        <is>
          <t>A 44307-2021</t>
        </is>
      </c>
      <c r="B182" s="1" t="n">
        <v>44435</v>
      </c>
      <c r="C182" s="1" t="n">
        <v>46062</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34923-2022</t>
        </is>
      </c>
      <c r="B183" s="1" t="n">
        <v>44796</v>
      </c>
      <c r="C183" s="1" t="n">
        <v>46062</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37774-2022</t>
        </is>
      </c>
      <c r="B184" s="1" t="n">
        <v>44810.64164351852</v>
      </c>
      <c r="C184" s="1" t="n">
        <v>46062</v>
      </c>
      <c r="D184" t="inlineStr">
        <is>
          <t>DALARNAS LÄN</t>
        </is>
      </c>
      <c r="E184" t="inlineStr">
        <is>
          <t>MORA</t>
        </is>
      </c>
      <c r="F184" t="inlineStr">
        <is>
          <t>Bergvik skog väst AB</t>
        </is>
      </c>
      <c r="G184" t="n">
        <v>8.5</v>
      </c>
      <c r="H184" t="n">
        <v>0</v>
      </c>
      <c r="I184" t="n">
        <v>0</v>
      </c>
      <c r="J184" t="n">
        <v>0</v>
      </c>
      <c r="K184" t="n">
        <v>0</v>
      </c>
      <c r="L184" t="n">
        <v>0</v>
      </c>
      <c r="M184" t="n">
        <v>0</v>
      </c>
      <c r="N184" t="n">
        <v>0</v>
      </c>
      <c r="O184" t="n">
        <v>0</v>
      </c>
      <c r="P184" t="n">
        <v>0</v>
      </c>
      <c r="Q184" t="n">
        <v>0</v>
      </c>
      <c r="R184" s="2" t="inlineStr"/>
    </row>
    <row r="185" ht="15" customHeight="1">
      <c r="A185" t="inlineStr">
        <is>
          <t>A 48728-2022</t>
        </is>
      </c>
      <c r="B185" s="1" t="n">
        <v>44859.52145833334</v>
      </c>
      <c r="C185" s="1" t="n">
        <v>46062</v>
      </c>
      <c r="D185" t="inlineStr">
        <is>
          <t>DALARNAS LÄN</t>
        </is>
      </c>
      <c r="E185" t="inlineStr">
        <is>
          <t>MORA</t>
        </is>
      </c>
      <c r="G185" t="n">
        <v>0.6</v>
      </c>
      <c r="H185" t="n">
        <v>0</v>
      </c>
      <c r="I185" t="n">
        <v>0</v>
      </c>
      <c r="J185" t="n">
        <v>0</v>
      </c>
      <c r="K185" t="n">
        <v>0</v>
      </c>
      <c r="L185" t="n">
        <v>0</v>
      </c>
      <c r="M185" t="n">
        <v>0</v>
      </c>
      <c r="N185" t="n">
        <v>0</v>
      </c>
      <c r="O185" t="n">
        <v>0</v>
      </c>
      <c r="P185" t="n">
        <v>0</v>
      </c>
      <c r="Q185" t="n">
        <v>0</v>
      </c>
      <c r="R185" s="2" t="inlineStr"/>
    </row>
    <row r="186" ht="15" customHeight="1">
      <c r="A186" t="inlineStr">
        <is>
          <t>A 5922-2025</t>
        </is>
      </c>
      <c r="B186" s="1" t="n">
        <v>45695.42762731481</v>
      </c>
      <c r="C186" s="1" t="n">
        <v>46062</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64327-2023</t>
        </is>
      </c>
      <c r="B187" s="1" t="n">
        <v>45280</v>
      </c>
      <c r="C187" s="1" t="n">
        <v>46062</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43533-2023</t>
        </is>
      </c>
      <c r="B188" s="1" t="n">
        <v>45184.53412037037</v>
      </c>
      <c r="C188" s="1" t="n">
        <v>46062</v>
      </c>
      <c r="D188" t="inlineStr">
        <is>
          <t>DALARNAS LÄN</t>
        </is>
      </c>
      <c r="E188" t="inlineStr">
        <is>
          <t>MORA</t>
        </is>
      </c>
      <c r="F188" t="inlineStr">
        <is>
          <t>Bergvik skog väst AB</t>
        </is>
      </c>
      <c r="G188" t="n">
        <v>10.3</v>
      </c>
      <c r="H188" t="n">
        <v>0</v>
      </c>
      <c r="I188" t="n">
        <v>0</v>
      </c>
      <c r="J188" t="n">
        <v>0</v>
      </c>
      <c r="K188" t="n">
        <v>0</v>
      </c>
      <c r="L188" t="n">
        <v>0</v>
      </c>
      <c r="M188" t="n">
        <v>0</v>
      </c>
      <c r="N188" t="n">
        <v>0</v>
      </c>
      <c r="O188" t="n">
        <v>0</v>
      </c>
      <c r="P188" t="n">
        <v>0</v>
      </c>
      <c r="Q188" t="n">
        <v>0</v>
      </c>
      <c r="R188" s="2" t="inlineStr"/>
    </row>
    <row r="189" ht="15" customHeight="1">
      <c r="A189" t="inlineStr">
        <is>
          <t>A 17145-2024</t>
        </is>
      </c>
      <c r="B189" s="1" t="n">
        <v>45412</v>
      </c>
      <c r="C189" s="1" t="n">
        <v>46062</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24640-2025</t>
        </is>
      </c>
      <c r="B190" s="1" t="n">
        <v>45798.62243055556</v>
      </c>
      <c r="C190" s="1" t="n">
        <v>46062</v>
      </c>
      <c r="D190" t="inlineStr">
        <is>
          <t>DALARNAS LÄN</t>
        </is>
      </c>
      <c r="E190" t="inlineStr">
        <is>
          <t>MORA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32410-2024</t>
        </is>
      </c>
      <c r="B191" s="1" t="n">
        <v>45512.70077546296</v>
      </c>
      <c r="C191" s="1" t="n">
        <v>46062</v>
      </c>
      <c r="D191" t="inlineStr">
        <is>
          <t>DALARNAS LÄN</t>
        </is>
      </c>
      <c r="E191" t="inlineStr">
        <is>
          <t>MORA</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4994-2025</t>
        </is>
      </c>
      <c r="B192" s="1" t="n">
        <v>45691.35427083333</v>
      </c>
      <c r="C192" s="1" t="n">
        <v>46062</v>
      </c>
      <c r="D192" t="inlineStr">
        <is>
          <t>DALARNAS LÄN</t>
        </is>
      </c>
      <c r="E192" t="inlineStr">
        <is>
          <t>MORA</t>
        </is>
      </c>
      <c r="G192" t="n">
        <v>4.6</v>
      </c>
      <c r="H192" t="n">
        <v>0</v>
      </c>
      <c r="I192" t="n">
        <v>0</v>
      </c>
      <c r="J192" t="n">
        <v>0</v>
      </c>
      <c r="K192" t="n">
        <v>0</v>
      </c>
      <c r="L192" t="n">
        <v>0</v>
      </c>
      <c r="M192" t="n">
        <v>0</v>
      </c>
      <c r="N192" t="n">
        <v>0</v>
      </c>
      <c r="O192" t="n">
        <v>0</v>
      </c>
      <c r="P192" t="n">
        <v>0</v>
      </c>
      <c r="Q192" t="n">
        <v>0</v>
      </c>
      <c r="R192" s="2" t="inlineStr"/>
    </row>
    <row r="193" ht="15" customHeight="1">
      <c r="A193" t="inlineStr">
        <is>
          <t>A 15993-2025</t>
        </is>
      </c>
      <c r="B193" s="1" t="n">
        <v>45749.58428240741</v>
      </c>
      <c r="C193" s="1" t="n">
        <v>46062</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51253-2023</t>
        </is>
      </c>
      <c r="B194" s="1" t="n">
        <v>45219</v>
      </c>
      <c r="C194" s="1" t="n">
        <v>46062</v>
      </c>
      <c r="D194" t="inlineStr">
        <is>
          <t>DALARNAS LÄN</t>
        </is>
      </c>
      <c r="E194" t="inlineStr">
        <is>
          <t>MORA</t>
        </is>
      </c>
      <c r="G194" t="n">
        <v>5</v>
      </c>
      <c r="H194" t="n">
        <v>0</v>
      </c>
      <c r="I194" t="n">
        <v>0</v>
      </c>
      <c r="J194" t="n">
        <v>0</v>
      </c>
      <c r="K194" t="n">
        <v>0</v>
      </c>
      <c r="L194" t="n">
        <v>0</v>
      </c>
      <c r="M194" t="n">
        <v>0</v>
      </c>
      <c r="N194" t="n">
        <v>0</v>
      </c>
      <c r="O194" t="n">
        <v>0</v>
      </c>
      <c r="P194" t="n">
        <v>0</v>
      </c>
      <c r="Q194" t="n">
        <v>0</v>
      </c>
      <c r="R194" s="2" t="inlineStr"/>
    </row>
    <row r="195" ht="15" customHeight="1">
      <c r="A195" t="inlineStr">
        <is>
          <t>A 57110-2021</t>
        </is>
      </c>
      <c r="B195" s="1" t="n">
        <v>44482</v>
      </c>
      <c r="C195" s="1" t="n">
        <v>46062</v>
      </c>
      <c r="D195" t="inlineStr">
        <is>
          <t>DALARNAS LÄN</t>
        </is>
      </c>
      <c r="E195" t="inlineStr">
        <is>
          <t>MORA</t>
        </is>
      </c>
      <c r="G195" t="n">
        <v>5.4</v>
      </c>
      <c r="H195" t="n">
        <v>0</v>
      </c>
      <c r="I195" t="n">
        <v>0</v>
      </c>
      <c r="J195" t="n">
        <v>0</v>
      </c>
      <c r="K195" t="n">
        <v>0</v>
      </c>
      <c r="L195" t="n">
        <v>0</v>
      </c>
      <c r="M195" t="n">
        <v>0</v>
      </c>
      <c r="N195" t="n">
        <v>0</v>
      </c>
      <c r="O195" t="n">
        <v>0</v>
      </c>
      <c r="P195" t="n">
        <v>0</v>
      </c>
      <c r="Q195" t="n">
        <v>0</v>
      </c>
      <c r="R195" s="2" t="inlineStr"/>
    </row>
    <row r="196" ht="15" customHeight="1">
      <c r="A196" t="inlineStr">
        <is>
          <t>A 11857-2023</t>
        </is>
      </c>
      <c r="B196" s="1" t="n">
        <v>44995</v>
      </c>
      <c r="C196" s="1" t="n">
        <v>46062</v>
      </c>
      <c r="D196" t="inlineStr">
        <is>
          <t>DALARNAS LÄN</t>
        </is>
      </c>
      <c r="E196" t="inlineStr">
        <is>
          <t>MORA</t>
        </is>
      </c>
      <c r="G196" t="n">
        <v>1</v>
      </c>
      <c r="H196" t="n">
        <v>0</v>
      </c>
      <c r="I196" t="n">
        <v>0</v>
      </c>
      <c r="J196" t="n">
        <v>0</v>
      </c>
      <c r="K196" t="n">
        <v>0</v>
      </c>
      <c r="L196" t="n">
        <v>0</v>
      </c>
      <c r="M196" t="n">
        <v>0</v>
      </c>
      <c r="N196" t="n">
        <v>0</v>
      </c>
      <c r="O196" t="n">
        <v>0</v>
      </c>
      <c r="P196" t="n">
        <v>0</v>
      </c>
      <c r="Q196" t="n">
        <v>0</v>
      </c>
      <c r="R196" s="2" t="inlineStr"/>
    </row>
    <row r="197" ht="15" customHeight="1">
      <c r="A197" t="inlineStr">
        <is>
          <t>A 24947-2025</t>
        </is>
      </c>
      <c r="B197" s="1" t="n">
        <v>45799.56524305556</v>
      </c>
      <c r="C197" s="1" t="n">
        <v>46062</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24630-2025</t>
        </is>
      </c>
      <c r="B198" s="1" t="n">
        <v>45798.6003587963</v>
      </c>
      <c r="C198" s="1" t="n">
        <v>46062</v>
      </c>
      <c r="D198" t="inlineStr">
        <is>
          <t>DALARNAS LÄN</t>
        </is>
      </c>
      <c r="E198" t="inlineStr">
        <is>
          <t>MORA</t>
        </is>
      </c>
      <c r="F198" t="inlineStr">
        <is>
          <t>Bergvik skog väst AB</t>
        </is>
      </c>
      <c r="G198" t="n">
        <v>10.4</v>
      </c>
      <c r="H198" t="n">
        <v>0</v>
      </c>
      <c r="I198" t="n">
        <v>0</v>
      </c>
      <c r="J198" t="n">
        <v>0</v>
      </c>
      <c r="K198" t="n">
        <v>0</v>
      </c>
      <c r="L198" t="n">
        <v>0</v>
      </c>
      <c r="M198" t="n">
        <v>0</v>
      </c>
      <c r="N198" t="n">
        <v>0</v>
      </c>
      <c r="O198" t="n">
        <v>0</v>
      </c>
      <c r="P198" t="n">
        <v>0</v>
      </c>
      <c r="Q198" t="n">
        <v>0</v>
      </c>
      <c r="R198" s="2" t="inlineStr"/>
    </row>
    <row r="199" ht="15" customHeight="1">
      <c r="A199" t="inlineStr">
        <is>
          <t>A 24960-2025</t>
        </is>
      </c>
      <c r="B199" s="1" t="n">
        <v>45799.57666666667</v>
      </c>
      <c r="C199" s="1" t="n">
        <v>46062</v>
      </c>
      <c r="D199" t="inlineStr">
        <is>
          <t>DALARNAS LÄN</t>
        </is>
      </c>
      <c r="E199" t="inlineStr">
        <is>
          <t>MORA</t>
        </is>
      </c>
      <c r="G199" t="n">
        <v>3.2</v>
      </c>
      <c r="H199" t="n">
        <v>0</v>
      </c>
      <c r="I199" t="n">
        <v>0</v>
      </c>
      <c r="J199" t="n">
        <v>0</v>
      </c>
      <c r="K199" t="n">
        <v>0</v>
      </c>
      <c r="L199" t="n">
        <v>0</v>
      </c>
      <c r="M199" t="n">
        <v>0</v>
      </c>
      <c r="N199" t="n">
        <v>0</v>
      </c>
      <c r="O199" t="n">
        <v>0</v>
      </c>
      <c r="P199" t="n">
        <v>0</v>
      </c>
      <c r="Q199" t="n">
        <v>0</v>
      </c>
      <c r="R199" s="2" t="inlineStr"/>
    </row>
    <row r="200" ht="15" customHeight="1">
      <c r="A200" t="inlineStr">
        <is>
          <t>A 24642-2025</t>
        </is>
      </c>
      <c r="B200" s="1" t="n">
        <v>45798.62894675926</v>
      </c>
      <c r="C200" s="1" t="n">
        <v>46062</v>
      </c>
      <c r="D200" t="inlineStr">
        <is>
          <t>DALARNAS LÄN</t>
        </is>
      </c>
      <c r="E200" t="inlineStr">
        <is>
          <t>MORA</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56012-2023</t>
        </is>
      </c>
      <c r="B201" s="1" t="n">
        <v>45240</v>
      </c>
      <c r="C201" s="1" t="n">
        <v>46062</v>
      </c>
      <c r="D201" t="inlineStr">
        <is>
          <t>DALARNAS LÄN</t>
        </is>
      </c>
      <c r="E201" t="inlineStr">
        <is>
          <t>MORA</t>
        </is>
      </c>
      <c r="G201" t="n">
        <v>0.3</v>
      </c>
      <c r="H201" t="n">
        <v>0</v>
      </c>
      <c r="I201" t="n">
        <v>0</v>
      </c>
      <c r="J201" t="n">
        <v>0</v>
      </c>
      <c r="K201" t="n">
        <v>0</v>
      </c>
      <c r="L201" t="n">
        <v>0</v>
      </c>
      <c r="M201" t="n">
        <v>0</v>
      </c>
      <c r="N201" t="n">
        <v>0</v>
      </c>
      <c r="O201" t="n">
        <v>0</v>
      </c>
      <c r="P201" t="n">
        <v>0</v>
      </c>
      <c r="Q201" t="n">
        <v>0</v>
      </c>
      <c r="R201" s="2" t="inlineStr"/>
    </row>
    <row r="202" ht="15" customHeight="1">
      <c r="A202" t="inlineStr">
        <is>
          <t>A 60674-2023</t>
        </is>
      </c>
      <c r="B202" s="1" t="n">
        <v>45260.46609953704</v>
      </c>
      <c r="C202" s="1" t="n">
        <v>46062</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5298-2023</t>
        </is>
      </c>
      <c r="B203" s="1" t="n">
        <v>44959.54355324074</v>
      </c>
      <c r="C203" s="1" t="n">
        <v>46062</v>
      </c>
      <c r="D203" t="inlineStr">
        <is>
          <t>DALARNAS LÄN</t>
        </is>
      </c>
      <c r="E203" t="inlineStr">
        <is>
          <t>MORA</t>
        </is>
      </c>
      <c r="F203" t="inlineStr">
        <is>
          <t>Bergvik skog väst AB</t>
        </is>
      </c>
      <c r="G203" t="n">
        <v>6.2</v>
      </c>
      <c r="H203" t="n">
        <v>0</v>
      </c>
      <c r="I203" t="n">
        <v>0</v>
      </c>
      <c r="J203" t="n">
        <v>0</v>
      </c>
      <c r="K203" t="n">
        <v>0</v>
      </c>
      <c r="L203" t="n">
        <v>0</v>
      </c>
      <c r="M203" t="n">
        <v>0</v>
      </c>
      <c r="N203" t="n">
        <v>0</v>
      </c>
      <c r="O203" t="n">
        <v>0</v>
      </c>
      <c r="P203" t="n">
        <v>0</v>
      </c>
      <c r="Q203" t="n">
        <v>0</v>
      </c>
      <c r="R203" s="2" t="inlineStr"/>
    </row>
    <row r="204" ht="15" customHeight="1">
      <c r="A204" t="inlineStr">
        <is>
          <t>A 57859-2022</t>
        </is>
      </c>
      <c r="B204" s="1" t="n">
        <v>44898</v>
      </c>
      <c r="C204" s="1" t="n">
        <v>46062</v>
      </c>
      <c r="D204" t="inlineStr">
        <is>
          <t>DALARNAS LÄN</t>
        </is>
      </c>
      <c r="E204" t="inlineStr">
        <is>
          <t>MORA</t>
        </is>
      </c>
      <c r="G204" t="n">
        <v>1.4</v>
      </c>
      <c r="H204" t="n">
        <v>0</v>
      </c>
      <c r="I204" t="n">
        <v>0</v>
      </c>
      <c r="J204" t="n">
        <v>0</v>
      </c>
      <c r="K204" t="n">
        <v>0</v>
      </c>
      <c r="L204" t="n">
        <v>0</v>
      </c>
      <c r="M204" t="n">
        <v>0</v>
      </c>
      <c r="N204" t="n">
        <v>0</v>
      </c>
      <c r="O204" t="n">
        <v>0</v>
      </c>
      <c r="P204" t="n">
        <v>0</v>
      </c>
      <c r="Q204" t="n">
        <v>0</v>
      </c>
      <c r="R204" s="2" t="inlineStr"/>
    </row>
    <row r="205" ht="15" customHeight="1">
      <c r="A205" t="inlineStr">
        <is>
          <t>A 61249-2023</t>
        </is>
      </c>
      <c r="B205" s="1" t="n">
        <v>45264</v>
      </c>
      <c r="C205" s="1" t="n">
        <v>46062</v>
      </c>
      <c r="D205" t="inlineStr">
        <is>
          <t>DALARNAS LÄN</t>
        </is>
      </c>
      <c r="E205" t="inlineStr">
        <is>
          <t>MORA</t>
        </is>
      </c>
      <c r="F205" t="inlineStr">
        <is>
          <t>Allmännings- och besparingsskogar</t>
        </is>
      </c>
      <c r="G205" t="n">
        <v>1.7</v>
      </c>
      <c r="H205" t="n">
        <v>0</v>
      </c>
      <c r="I205" t="n">
        <v>0</v>
      </c>
      <c r="J205" t="n">
        <v>0</v>
      </c>
      <c r="K205" t="n">
        <v>0</v>
      </c>
      <c r="L205" t="n">
        <v>0</v>
      </c>
      <c r="M205" t="n">
        <v>0</v>
      </c>
      <c r="N205" t="n">
        <v>0</v>
      </c>
      <c r="O205" t="n">
        <v>0</v>
      </c>
      <c r="P205" t="n">
        <v>0</v>
      </c>
      <c r="Q205" t="n">
        <v>0</v>
      </c>
      <c r="R205" s="2" t="inlineStr"/>
    </row>
    <row r="206" ht="15" customHeight="1">
      <c r="A206" t="inlineStr">
        <is>
          <t>A 54398-2021</t>
        </is>
      </c>
      <c r="B206" s="1" t="n">
        <v>44473.39252314815</v>
      </c>
      <c r="C206" s="1" t="n">
        <v>46062</v>
      </c>
      <c r="D206" t="inlineStr">
        <is>
          <t>DALARNAS LÄN</t>
        </is>
      </c>
      <c r="E206" t="inlineStr">
        <is>
          <t>MORA</t>
        </is>
      </c>
      <c r="G206" t="n">
        <v>0.9</v>
      </c>
      <c r="H206" t="n">
        <v>0</v>
      </c>
      <c r="I206" t="n">
        <v>0</v>
      </c>
      <c r="J206" t="n">
        <v>0</v>
      </c>
      <c r="K206" t="n">
        <v>0</v>
      </c>
      <c r="L206" t="n">
        <v>0</v>
      </c>
      <c r="M206" t="n">
        <v>0</v>
      </c>
      <c r="N206" t="n">
        <v>0</v>
      </c>
      <c r="O206" t="n">
        <v>0</v>
      </c>
      <c r="P206" t="n">
        <v>0</v>
      </c>
      <c r="Q206" t="n">
        <v>0</v>
      </c>
      <c r="R206" s="2" t="inlineStr"/>
    </row>
    <row r="207" ht="15" customHeight="1">
      <c r="A207" t="inlineStr">
        <is>
          <t>A 25935-2023</t>
        </is>
      </c>
      <c r="B207" s="1" t="n">
        <v>45090.68675925926</v>
      </c>
      <c r="C207" s="1" t="n">
        <v>46062</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23057-2024</t>
        </is>
      </c>
      <c r="B208" s="1" t="n">
        <v>45450</v>
      </c>
      <c r="C208" s="1" t="n">
        <v>46062</v>
      </c>
      <c r="D208" t="inlineStr">
        <is>
          <t>DALARNAS LÄN</t>
        </is>
      </c>
      <c r="E208" t="inlineStr">
        <is>
          <t>MORA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51168-2024</t>
        </is>
      </c>
      <c r="B209" s="1" t="n">
        <v>45603.58619212963</v>
      </c>
      <c r="C209" s="1" t="n">
        <v>46062</v>
      </c>
      <c r="D209" t="inlineStr">
        <is>
          <t>DALARNAS LÄN</t>
        </is>
      </c>
      <c r="E209" t="inlineStr">
        <is>
          <t>MORA</t>
        </is>
      </c>
      <c r="G209" t="n">
        <v>3</v>
      </c>
      <c r="H209" t="n">
        <v>0</v>
      </c>
      <c r="I209" t="n">
        <v>0</v>
      </c>
      <c r="J209" t="n">
        <v>0</v>
      </c>
      <c r="K209" t="n">
        <v>0</v>
      </c>
      <c r="L209" t="n">
        <v>0</v>
      </c>
      <c r="M209" t="n">
        <v>0</v>
      </c>
      <c r="N209" t="n">
        <v>0</v>
      </c>
      <c r="O209" t="n">
        <v>0</v>
      </c>
      <c r="P209" t="n">
        <v>0</v>
      </c>
      <c r="Q209" t="n">
        <v>0</v>
      </c>
      <c r="R209" s="2" t="inlineStr"/>
    </row>
    <row r="210" ht="15" customHeight="1">
      <c r="A210" t="inlineStr">
        <is>
          <t>A 59182-2023</t>
        </is>
      </c>
      <c r="B210" s="1" t="n">
        <v>45253</v>
      </c>
      <c r="C210" s="1" t="n">
        <v>46062</v>
      </c>
      <c r="D210" t="inlineStr">
        <is>
          <t>DALARNAS LÄN</t>
        </is>
      </c>
      <c r="E210" t="inlineStr">
        <is>
          <t>MORA</t>
        </is>
      </c>
      <c r="G210" t="n">
        <v>3.3</v>
      </c>
      <c r="H210" t="n">
        <v>0</v>
      </c>
      <c r="I210" t="n">
        <v>0</v>
      </c>
      <c r="J210" t="n">
        <v>0</v>
      </c>
      <c r="K210" t="n">
        <v>0</v>
      </c>
      <c r="L210" t="n">
        <v>0</v>
      </c>
      <c r="M210" t="n">
        <v>0</v>
      </c>
      <c r="N210" t="n">
        <v>0</v>
      </c>
      <c r="O210" t="n">
        <v>0</v>
      </c>
      <c r="P210" t="n">
        <v>0</v>
      </c>
      <c r="Q210" t="n">
        <v>0</v>
      </c>
      <c r="R210" s="2" t="inlineStr"/>
    </row>
    <row r="211" ht="15" customHeight="1">
      <c r="A211" t="inlineStr">
        <is>
          <t>A 36600-2023</t>
        </is>
      </c>
      <c r="B211" s="1" t="n">
        <v>45153</v>
      </c>
      <c r="C211" s="1" t="n">
        <v>46062</v>
      </c>
      <c r="D211" t="inlineStr">
        <is>
          <t>DALARNAS LÄN</t>
        </is>
      </c>
      <c r="E211" t="inlineStr">
        <is>
          <t>MORA</t>
        </is>
      </c>
      <c r="G211" t="n">
        <v>7.3</v>
      </c>
      <c r="H211" t="n">
        <v>0</v>
      </c>
      <c r="I211" t="n">
        <v>0</v>
      </c>
      <c r="J211" t="n">
        <v>0</v>
      </c>
      <c r="K211" t="n">
        <v>0</v>
      </c>
      <c r="L211" t="n">
        <v>0</v>
      </c>
      <c r="M211" t="n">
        <v>0</v>
      </c>
      <c r="N211" t="n">
        <v>0</v>
      </c>
      <c r="O211" t="n">
        <v>0</v>
      </c>
      <c r="P211" t="n">
        <v>0</v>
      </c>
      <c r="Q211" t="n">
        <v>0</v>
      </c>
      <c r="R211" s="2" t="inlineStr"/>
    </row>
    <row r="212" ht="15" customHeight="1">
      <c r="A212" t="inlineStr">
        <is>
          <t>A 35325-2024</t>
        </is>
      </c>
      <c r="B212" s="1" t="n">
        <v>45530.71158564815</v>
      </c>
      <c r="C212" s="1" t="n">
        <v>46062</v>
      </c>
      <c r="D212" t="inlineStr">
        <is>
          <t>DALARNAS LÄN</t>
        </is>
      </c>
      <c r="E212" t="inlineStr">
        <is>
          <t>MORA</t>
        </is>
      </c>
      <c r="G212" t="n">
        <v>5</v>
      </c>
      <c r="H212" t="n">
        <v>0</v>
      </c>
      <c r="I212" t="n">
        <v>0</v>
      </c>
      <c r="J212" t="n">
        <v>0</v>
      </c>
      <c r="K212" t="n">
        <v>0</v>
      </c>
      <c r="L212" t="n">
        <v>0</v>
      </c>
      <c r="M212" t="n">
        <v>0</v>
      </c>
      <c r="N212" t="n">
        <v>0</v>
      </c>
      <c r="O212" t="n">
        <v>0</v>
      </c>
      <c r="P212" t="n">
        <v>0</v>
      </c>
      <c r="Q212" t="n">
        <v>0</v>
      </c>
      <c r="R212" s="2" t="inlineStr"/>
    </row>
    <row r="213" ht="15" customHeight="1">
      <c r="A213" t="inlineStr">
        <is>
          <t>A 66232-2021</t>
        </is>
      </c>
      <c r="B213" s="1" t="n">
        <v>44518.39234953704</v>
      </c>
      <c r="C213" s="1" t="n">
        <v>46062</v>
      </c>
      <c r="D213" t="inlineStr">
        <is>
          <t>DALARNAS LÄN</t>
        </is>
      </c>
      <c r="E213" t="inlineStr">
        <is>
          <t>MORA</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45562-2023</t>
        </is>
      </c>
      <c r="B214" s="1" t="n">
        <v>45194.59378472222</v>
      </c>
      <c r="C214" s="1" t="n">
        <v>46062</v>
      </c>
      <c r="D214" t="inlineStr">
        <is>
          <t>DALARNAS LÄN</t>
        </is>
      </c>
      <c r="E214" t="inlineStr">
        <is>
          <t>MORA</t>
        </is>
      </c>
      <c r="G214" t="n">
        <v>0.7</v>
      </c>
      <c r="H214" t="n">
        <v>0</v>
      </c>
      <c r="I214" t="n">
        <v>0</v>
      </c>
      <c r="J214" t="n">
        <v>0</v>
      </c>
      <c r="K214" t="n">
        <v>0</v>
      </c>
      <c r="L214" t="n">
        <v>0</v>
      </c>
      <c r="M214" t="n">
        <v>0</v>
      </c>
      <c r="N214" t="n">
        <v>0</v>
      </c>
      <c r="O214" t="n">
        <v>0</v>
      </c>
      <c r="P214" t="n">
        <v>0</v>
      </c>
      <c r="Q214" t="n">
        <v>0</v>
      </c>
      <c r="R214" s="2" t="inlineStr"/>
    </row>
    <row r="215" ht="15" customHeight="1">
      <c r="A215" t="inlineStr">
        <is>
          <t>A 51570-2023</t>
        </is>
      </c>
      <c r="B215" s="1" t="n">
        <v>45222</v>
      </c>
      <c r="C215" s="1" t="n">
        <v>46062</v>
      </c>
      <c r="D215" t="inlineStr">
        <is>
          <t>DALARNAS LÄN</t>
        </is>
      </c>
      <c r="E215" t="inlineStr">
        <is>
          <t>MORA</t>
        </is>
      </c>
      <c r="G215" t="n">
        <v>10.1</v>
      </c>
      <c r="H215" t="n">
        <v>0</v>
      </c>
      <c r="I215" t="n">
        <v>0</v>
      </c>
      <c r="J215" t="n">
        <v>0</v>
      </c>
      <c r="K215" t="n">
        <v>0</v>
      </c>
      <c r="L215" t="n">
        <v>0</v>
      </c>
      <c r="M215" t="n">
        <v>0</v>
      </c>
      <c r="N215" t="n">
        <v>0</v>
      </c>
      <c r="O215" t="n">
        <v>0</v>
      </c>
      <c r="P215" t="n">
        <v>0</v>
      </c>
      <c r="Q215" t="n">
        <v>0</v>
      </c>
      <c r="R215" s="2" t="inlineStr"/>
    </row>
    <row r="216" ht="15" customHeight="1">
      <c r="A216" t="inlineStr">
        <is>
          <t>A 59995-2023</t>
        </is>
      </c>
      <c r="B216" s="1" t="n">
        <v>45254</v>
      </c>
      <c r="C216" s="1" t="n">
        <v>46062</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26532-2025</t>
        </is>
      </c>
      <c r="B217" s="1" t="n">
        <v>45807</v>
      </c>
      <c r="C217" s="1" t="n">
        <v>46062</v>
      </c>
      <c r="D217" t="inlineStr">
        <is>
          <t>DALARNAS LÄN</t>
        </is>
      </c>
      <c r="E217" t="inlineStr">
        <is>
          <t>MORA</t>
        </is>
      </c>
      <c r="G217" t="n">
        <v>4.4</v>
      </c>
      <c r="H217" t="n">
        <v>0</v>
      </c>
      <c r="I217" t="n">
        <v>0</v>
      </c>
      <c r="J217" t="n">
        <v>0</v>
      </c>
      <c r="K217" t="n">
        <v>0</v>
      </c>
      <c r="L217" t="n">
        <v>0</v>
      </c>
      <c r="M217" t="n">
        <v>0</v>
      </c>
      <c r="N217" t="n">
        <v>0</v>
      </c>
      <c r="O217" t="n">
        <v>0</v>
      </c>
      <c r="P217" t="n">
        <v>0</v>
      </c>
      <c r="Q217" t="n">
        <v>0</v>
      </c>
      <c r="R217" s="2" t="inlineStr"/>
    </row>
    <row r="218" ht="15" customHeight="1">
      <c r="A218" t="inlineStr">
        <is>
          <t>A 30819-2024</t>
        </is>
      </c>
      <c r="B218" s="1" t="n">
        <v>45497</v>
      </c>
      <c r="C218" s="1" t="n">
        <v>46062</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60673-2023</t>
        </is>
      </c>
      <c r="B219" s="1" t="n">
        <v>45260.46438657407</v>
      </c>
      <c r="C219" s="1" t="n">
        <v>46062</v>
      </c>
      <c r="D219" t="inlineStr">
        <is>
          <t>DALARNAS LÄN</t>
        </is>
      </c>
      <c r="E219" t="inlineStr">
        <is>
          <t>MORA</t>
        </is>
      </c>
      <c r="G219" t="n">
        <v>0.7</v>
      </c>
      <c r="H219" t="n">
        <v>0</v>
      </c>
      <c r="I219" t="n">
        <v>0</v>
      </c>
      <c r="J219" t="n">
        <v>0</v>
      </c>
      <c r="K219" t="n">
        <v>0</v>
      </c>
      <c r="L219" t="n">
        <v>0</v>
      </c>
      <c r="M219" t="n">
        <v>0</v>
      </c>
      <c r="N219" t="n">
        <v>0</v>
      </c>
      <c r="O219" t="n">
        <v>0</v>
      </c>
      <c r="P219" t="n">
        <v>0</v>
      </c>
      <c r="Q219" t="n">
        <v>0</v>
      </c>
      <c r="R219" s="2" t="inlineStr"/>
    </row>
    <row r="220" ht="15" customHeight="1">
      <c r="A220" t="inlineStr">
        <is>
          <t>A 26731-2025</t>
        </is>
      </c>
      <c r="B220" s="1" t="n">
        <v>45810.50702546296</v>
      </c>
      <c r="C220" s="1" t="n">
        <v>46062</v>
      </c>
      <c r="D220" t="inlineStr">
        <is>
          <t>DALARNAS LÄN</t>
        </is>
      </c>
      <c r="E220" t="inlineStr">
        <is>
          <t>MORA</t>
        </is>
      </c>
      <c r="G220" t="n">
        <v>0.6</v>
      </c>
      <c r="H220" t="n">
        <v>0</v>
      </c>
      <c r="I220" t="n">
        <v>0</v>
      </c>
      <c r="J220" t="n">
        <v>0</v>
      </c>
      <c r="K220" t="n">
        <v>0</v>
      </c>
      <c r="L220" t="n">
        <v>0</v>
      </c>
      <c r="M220" t="n">
        <v>0</v>
      </c>
      <c r="N220" t="n">
        <v>0</v>
      </c>
      <c r="O220" t="n">
        <v>0</v>
      </c>
      <c r="P220" t="n">
        <v>0</v>
      </c>
      <c r="Q220" t="n">
        <v>0</v>
      </c>
      <c r="R220" s="2" t="inlineStr"/>
    </row>
    <row r="221" ht="15" customHeight="1">
      <c r="A221" t="inlineStr">
        <is>
          <t>A 20885-2024</t>
        </is>
      </c>
      <c r="B221" s="1" t="n">
        <v>45439.45527777778</v>
      </c>
      <c r="C221" s="1" t="n">
        <v>46062</v>
      </c>
      <c r="D221" t="inlineStr">
        <is>
          <t>DALARNAS LÄN</t>
        </is>
      </c>
      <c r="E221" t="inlineStr">
        <is>
          <t>MORA</t>
        </is>
      </c>
      <c r="G221" t="n">
        <v>5</v>
      </c>
      <c r="H221" t="n">
        <v>0</v>
      </c>
      <c r="I221" t="n">
        <v>0</v>
      </c>
      <c r="J221" t="n">
        <v>0</v>
      </c>
      <c r="K221" t="n">
        <v>0</v>
      </c>
      <c r="L221" t="n">
        <v>0</v>
      </c>
      <c r="M221" t="n">
        <v>0</v>
      </c>
      <c r="N221" t="n">
        <v>0</v>
      </c>
      <c r="O221" t="n">
        <v>0</v>
      </c>
      <c r="P221" t="n">
        <v>0</v>
      </c>
      <c r="Q221" t="n">
        <v>0</v>
      </c>
      <c r="R221" s="2" t="inlineStr"/>
    </row>
    <row r="222" ht="15" customHeight="1">
      <c r="A222" t="inlineStr">
        <is>
          <t>A 56425-2024</t>
        </is>
      </c>
      <c r="B222" s="1" t="n">
        <v>45625.38677083333</v>
      </c>
      <c r="C222" s="1" t="n">
        <v>46062</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26711-2025</t>
        </is>
      </c>
      <c r="B223" s="1" t="n">
        <v>45810.46144675926</v>
      </c>
      <c r="C223" s="1" t="n">
        <v>46062</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7565-2025</t>
        </is>
      </c>
      <c r="B224" s="1" t="n">
        <v>45705.59269675926</v>
      </c>
      <c r="C224" s="1" t="n">
        <v>46062</v>
      </c>
      <c r="D224" t="inlineStr">
        <is>
          <t>DALARNAS LÄN</t>
        </is>
      </c>
      <c r="E224" t="inlineStr">
        <is>
          <t>MORA</t>
        </is>
      </c>
      <c r="G224" t="n">
        <v>3</v>
      </c>
      <c r="H224" t="n">
        <v>0</v>
      </c>
      <c r="I224" t="n">
        <v>0</v>
      </c>
      <c r="J224" t="n">
        <v>0</v>
      </c>
      <c r="K224" t="n">
        <v>0</v>
      </c>
      <c r="L224" t="n">
        <v>0</v>
      </c>
      <c r="M224" t="n">
        <v>0</v>
      </c>
      <c r="N224" t="n">
        <v>0</v>
      </c>
      <c r="O224" t="n">
        <v>0</v>
      </c>
      <c r="P224" t="n">
        <v>0</v>
      </c>
      <c r="Q224" t="n">
        <v>0</v>
      </c>
      <c r="R224" s="2" t="inlineStr"/>
    </row>
    <row r="225" ht="15" customHeight="1">
      <c r="A225" t="inlineStr">
        <is>
          <t>A 26854-2025</t>
        </is>
      </c>
      <c r="B225" s="1" t="n">
        <v>45810.67462962963</v>
      </c>
      <c r="C225" s="1" t="n">
        <v>46062</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26647-2025</t>
        </is>
      </c>
      <c r="B226" s="1" t="n">
        <v>45810.38439814815</v>
      </c>
      <c r="C226" s="1" t="n">
        <v>46062</v>
      </c>
      <c r="D226" t="inlineStr">
        <is>
          <t>DALARNAS LÄN</t>
        </is>
      </c>
      <c r="E226" t="inlineStr">
        <is>
          <t>MORA</t>
        </is>
      </c>
      <c r="G226" t="n">
        <v>7.9</v>
      </c>
      <c r="H226" t="n">
        <v>0</v>
      </c>
      <c r="I226" t="n">
        <v>0</v>
      </c>
      <c r="J226" t="n">
        <v>0</v>
      </c>
      <c r="K226" t="n">
        <v>0</v>
      </c>
      <c r="L226" t="n">
        <v>0</v>
      </c>
      <c r="M226" t="n">
        <v>0</v>
      </c>
      <c r="N226" t="n">
        <v>0</v>
      </c>
      <c r="O226" t="n">
        <v>0</v>
      </c>
      <c r="P226" t="n">
        <v>0</v>
      </c>
      <c r="Q226" t="n">
        <v>0</v>
      </c>
      <c r="R226" s="2" t="inlineStr"/>
    </row>
    <row r="227" ht="15" customHeight="1">
      <c r="A227" t="inlineStr">
        <is>
          <t>A 24465-2021</t>
        </is>
      </c>
      <c r="B227" s="1" t="n">
        <v>44337</v>
      </c>
      <c r="C227" s="1" t="n">
        <v>46062</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61270-2024</t>
        </is>
      </c>
      <c r="B228" s="1" t="n">
        <v>45645.74694444444</v>
      </c>
      <c r="C228" s="1" t="n">
        <v>46062</v>
      </c>
      <c r="D228" t="inlineStr">
        <is>
          <t>DALARNAS LÄN</t>
        </is>
      </c>
      <c r="E228" t="inlineStr">
        <is>
          <t>MORA</t>
        </is>
      </c>
      <c r="G228" t="n">
        <v>5.1</v>
      </c>
      <c r="H228" t="n">
        <v>0</v>
      </c>
      <c r="I228" t="n">
        <v>0</v>
      </c>
      <c r="J228" t="n">
        <v>0</v>
      </c>
      <c r="K228" t="n">
        <v>0</v>
      </c>
      <c r="L228" t="n">
        <v>0</v>
      </c>
      <c r="M228" t="n">
        <v>0</v>
      </c>
      <c r="N228" t="n">
        <v>0</v>
      </c>
      <c r="O228" t="n">
        <v>0</v>
      </c>
      <c r="P228" t="n">
        <v>0</v>
      </c>
      <c r="Q228" t="n">
        <v>0</v>
      </c>
      <c r="R228" s="2" t="inlineStr"/>
    </row>
    <row r="229" ht="15" customHeight="1">
      <c r="A229" t="inlineStr">
        <is>
          <t>A 26630-2025</t>
        </is>
      </c>
      <c r="B229" s="1" t="n">
        <v>45809</v>
      </c>
      <c r="C229" s="1" t="n">
        <v>46062</v>
      </c>
      <c r="D229" t="inlineStr">
        <is>
          <t>DALARNAS LÄN</t>
        </is>
      </c>
      <c r="E229" t="inlineStr">
        <is>
          <t>MORA</t>
        </is>
      </c>
      <c r="G229" t="n">
        <v>32.1</v>
      </c>
      <c r="H229" t="n">
        <v>0</v>
      </c>
      <c r="I229" t="n">
        <v>0</v>
      </c>
      <c r="J229" t="n">
        <v>0</v>
      </c>
      <c r="K229" t="n">
        <v>0</v>
      </c>
      <c r="L229" t="n">
        <v>0</v>
      </c>
      <c r="M229" t="n">
        <v>0</v>
      </c>
      <c r="N229" t="n">
        <v>0</v>
      </c>
      <c r="O229" t="n">
        <v>0</v>
      </c>
      <c r="P229" t="n">
        <v>0</v>
      </c>
      <c r="Q229" t="n">
        <v>0</v>
      </c>
      <c r="R229" s="2" t="inlineStr"/>
    </row>
    <row r="230" ht="15" customHeight="1">
      <c r="A230" t="inlineStr">
        <is>
          <t>A 27194-2025</t>
        </is>
      </c>
      <c r="B230" s="1" t="n">
        <v>45812.37965277778</v>
      </c>
      <c r="C230" s="1" t="n">
        <v>46062</v>
      </c>
      <c r="D230" t="inlineStr">
        <is>
          <t>DALARNAS LÄN</t>
        </is>
      </c>
      <c r="E230" t="inlineStr">
        <is>
          <t>MORA</t>
        </is>
      </c>
      <c r="G230" t="n">
        <v>2.4</v>
      </c>
      <c r="H230" t="n">
        <v>0</v>
      </c>
      <c r="I230" t="n">
        <v>0</v>
      </c>
      <c r="J230" t="n">
        <v>0</v>
      </c>
      <c r="K230" t="n">
        <v>0</v>
      </c>
      <c r="L230" t="n">
        <v>0</v>
      </c>
      <c r="M230" t="n">
        <v>0</v>
      </c>
      <c r="N230" t="n">
        <v>0</v>
      </c>
      <c r="O230" t="n">
        <v>0</v>
      </c>
      <c r="P230" t="n">
        <v>0</v>
      </c>
      <c r="Q230" t="n">
        <v>0</v>
      </c>
      <c r="R230" s="2" t="inlineStr"/>
    </row>
    <row r="231" ht="15" customHeight="1">
      <c r="A231" t="inlineStr">
        <is>
          <t>A 39456-2025</t>
        </is>
      </c>
      <c r="B231" s="1" t="n">
        <v>45889.76200231481</v>
      </c>
      <c r="C231" s="1" t="n">
        <v>46062</v>
      </c>
      <c r="D231" t="inlineStr">
        <is>
          <t>DALARNAS LÄN</t>
        </is>
      </c>
      <c r="E231" t="inlineStr">
        <is>
          <t>MORA</t>
        </is>
      </c>
      <c r="F231" t="inlineStr">
        <is>
          <t>Bergvik skog öst AB</t>
        </is>
      </c>
      <c r="G231" t="n">
        <v>16.7</v>
      </c>
      <c r="H231" t="n">
        <v>0</v>
      </c>
      <c r="I231" t="n">
        <v>0</v>
      </c>
      <c r="J231" t="n">
        <v>0</v>
      </c>
      <c r="K231" t="n">
        <v>0</v>
      </c>
      <c r="L231" t="n">
        <v>0</v>
      </c>
      <c r="M231" t="n">
        <v>0</v>
      </c>
      <c r="N231" t="n">
        <v>0</v>
      </c>
      <c r="O231" t="n">
        <v>0</v>
      </c>
      <c r="P231" t="n">
        <v>0</v>
      </c>
      <c r="Q231" t="n">
        <v>0</v>
      </c>
      <c r="R231" s="2" t="inlineStr"/>
    </row>
    <row r="232" ht="15" customHeight="1">
      <c r="A232" t="inlineStr">
        <is>
          <t>A 17268-2025</t>
        </is>
      </c>
      <c r="B232" s="1" t="n">
        <v>45756</v>
      </c>
      <c r="C232" s="1" t="n">
        <v>46062</v>
      </c>
      <c r="D232" t="inlineStr">
        <is>
          <t>DALARNAS LÄN</t>
        </is>
      </c>
      <c r="E232" t="inlineStr">
        <is>
          <t>MORA</t>
        </is>
      </c>
      <c r="G232" t="n">
        <v>6.8</v>
      </c>
      <c r="H232" t="n">
        <v>0</v>
      </c>
      <c r="I232" t="n">
        <v>0</v>
      </c>
      <c r="J232" t="n">
        <v>0</v>
      </c>
      <c r="K232" t="n">
        <v>0</v>
      </c>
      <c r="L232" t="n">
        <v>0</v>
      </c>
      <c r="M232" t="n">
        <v>0</v>
      </c>
      <c r="N232" t="n">
        <v>0</v>
      </c>
      <c r="O232" t="n">
        <v>0</v>
      </c>
      <c r="P232" t="n">
        <v>0</v>
      </c>
      <c r="Q232" t="n">
        <v>0</v>
      </c>
      <c r="R232" s="2" t="inlineStr"/>
    </row>
    <row r="233" ht="15" customHeight="1">
      <c r="A233" t="inlineStr">
        <is>
          <t>A 39824-2025</t>
        </is>
      </c>
      <c r="B233" s="1" t="n">
        <v>45891</v>
      </c>
      <c r="C233" s="1" t="n">
        <v>46062</v>
      </c>
      <c r="D233" t="inlineStr">
        <is>
          <t>DALARNAS LÄN</t>
        </is>
      </c>
      <c r="E233" t="inlineStr">
        <is>
          <t>MORA</t>
        </is>
      </c>
      <c r="G233" t="n">
        <v>2</v>
      </c>
      <c r="H233" t="n">
        <v>0</v>
      </c>
      <c r="I233" t="n">
        <v>0</v>
      </c>
      <c r="J233" t="n">
        <v>0</v>
      </c>
      <c r="K233" t="n">
        <v>0</v>
      </c>
      <c r="L233" t="n">
        <v>0</v>
      </c>
      <c r="M233" t="n">
        <v>0</v>
      </c>
      <c r="N233" t="n">
        <v>0</v>
      </c>
      <c r="O233" t="n">
        <v>0</v>
      </c>
      <c r="P233" t="n">
        <v>0</v>
      </c>
      <c r="Q233" t="n">
        <v>0</v>
      </c>
      <c r="R233" s="2" t="inlineStr"/>
    </row>
    <row r="234" ht="15" customHeight="1">
      <c r="A234" t="inlineStr">
        <is>
          <t>A 20930-2024</t>
        </is>
      </c>
      <c r="B234" s="1" t="n">
        <v>45439.51907407407</v>
      </c>
      <c r="C234" s="1" t="n">
        <v>46062</v>
      </c>
      <c r="D234" t="inlineStr">
        <is>
          <t>DALARNAS LÄN</t>
        </is>
      </c>
      <c r="E234" t="inlineStr">
        <is>
          <t>MORA</t>
        </is>
      </c>
      <c r="F234" t="inlineStr">
        <is>
          <t>Bergvik skog väst AB</t>
        </is>
      </c>
      <c r="G234" t="n">
        <v>5.3</v>
      </c>
      <c r="H234" t="n">
        <v>0</v>
      </c>
      <c r="I234" t="n">
        <v>0</v>
      </c>
      <c r="J234" t="n">
        <v>0</v>
      </c>
      <c r="K234" t="n">
        <v>0</v>
      </c>
      <c r="L234" t="n">
        <v>0</v>
      </c>
      <c r="M234" t="n">
        <v>0</v>
      </c>
      <c r="N234" t="n">
        <v>0</v>
      </c>
      <c r="O234" t="n">
        <v>0</v>
      </c>
      <c r="P234" t="n">
        <v>0</v>
      </c>
      <c r="Q234" t="n">
        <v>0</v>
      </c>
      <c r="R234" s="2" t="inlineStr"/>
    </row>
    <row r="235" ht="15" customHeight="1">
      <c r="A235" t="inlineStr">
        <is>
          <t>A 42611-2022</t>
        </is>
      </c>
      <c r="B235" s="1" t="n">
        <v>44831.81482638889</v>
      </c>
      <c r="C235" s="1" t="n">
        <v>46062</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27642-2025</t>
        </is>
      </c>
      <c r="B236" s="1" t="n">
        <v>45813.59405092592</v>
      </c>
      <c r="C236" s="1" t="n">
        <v>46062</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39787-2025</t>
        </is>
      </c>
      <c r="B237" s="1" t="n">
        <v>45891</v>
      </c>
      <c r="C237" s="1" t="n">
        <v>46062</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27184-2025</t>
        </is>
      </c>
      <c r="B238" s="1" t="n">
        <v>45812.36133101852</v>
      </c>
      <c r="C238" s="1" t="n">
        <v>46062</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27177-2025</t>
        </is>
      </c>
      <c r="B239" s="1" t="n">
        <v>45812.3533912037</v>
      </c>
      <c r="C239" s="1" t="n">
        <v>46062</v>
      </c>
      <c r="D239" t="inlineStr">
        <is>
          <t>DALARNAS LÄN</t>
        </is>
      </c>
      <c r="E239" t="inlineStr">
        <is>
          <t>MORA</t>
        </is>
      </c>
      <c r="F239" t="inlineStr">
        <is>
          <t>Bergvik skog öst AB</t>
        </is>
      </c>
      <c r="G239" t="n">
        <v>2.5</v>
      </c>
      <c r="H239" t="n">
        <v>0</v>
      </c>
      <c r="I239" t="n">
        <v>0</v>
      </c>
      <c r="J239" t="n">
        <v>0</v>
      </c>
      <c r="K239" t="n">
        <v>0</v>
      </c>
      <c r="L239" t="n">
        <v>0</v>
      </c>
      <c r="M239" t="n">
        <v>0</v>
      </c>
      <c r="N239" t="n">
        <v>0</v>
      </c>
      <c r="O239" t="n">
        <v>0</v>
      </c>
      <c r="P239" t="n">
        <v>0</v>
      </c>
      <c r="Q239" t="n">
        <v>0</v>
      </c>
      <c r="R239" s="2" t="inlineStr"/>
    </row>
    <row r="240" ht="15" customHeight="1">
      <c r="A240" t="inlineStr">
        <is>
          <t>A 14611-2025</t>
        </is>
      </c>
      <c r="B240" s="1" t="n">
        <v>45742.38511574074</v>
      </c>
      <c r="C240" s="1" t="n">
        <v>46062</v>
      </c>
      <c r="D240" t="inlineStr">
        <is>
          <t>DALARNAS LÄN</t>
        </is>
      </c>
      <c r="E240" t="inlineStr">
        <is>
          <t>MORA</t>
        </is>
      </c>
      <c r="F240" t="inlineStr">
        <is>
          <t>Bergvik skog väst AB</t>
        </is>
      </c>
      <c r="G240" t="n">
        <v>2.9</v>
      </c>
      <c r="H240" t="n">
        <v>0</v>
      </c>
      <c r="I240" t="n">
        <v>0</v>
      </c>
      <c r="J240" t="n">
        <v>0</v>
      </c>
      <c r="K240" t="n">
        <v>0</v>
      </c>
      <c r="L240" t="n">
        <v>0</v>
      </c>
      <c r="M240" t="n">
        <v>0</v>
      </c>
      <c r="N240" t="n">
        <v>0</v>
      </c>
      <c r="O240" t="n">
        <v>0</v>
      </c>
      <c r="P240" t="n">
        <v>0</v>
      </c>
      <c r="Q240" t="n">
        <v>0</v>
      </c>
      <c r="R240" s="2" t="inlineStr"/>
    </row>
    <row r="241" ht="15" customHeight="1">
      <c r="A241" t="inlineStr">
        <is>
          <t>A 27175-2025</t>
        </is>
      </c>
      <c r="B241" s="1" t="n">
        <v>45812.35072916667</v>
      </c>
      <c r="C241" s="1" t="n">
        <v>46062</v>
      </c>
      <c r="D241" t="inlineStr">
        <is>
          <t>DALARNAS LÄN</t>
        </is>
      </c>
      <c r="E241" t="inlineStr">
        <is>
          <t>MORA</t>
        </is>
      </c>
      <c r="F241" t="inlineStr">
        <is>
          <t>Bergvik skog öst AB</t>
        </is>
      </c>
      <c r="G241" t="n">
        <v>4</v>
      </c>
      <c r="H241" t="n">
        <v>0</v>
      </c>
      <c r="I241" t="n">
        <v>0</v>
      </c>
      <c r="J241" t="n">
        <v>0</v>
      </c>
      <c r="K241" t="n">
        <v>0</v>
      </c>
      <c r="L241" t="n">
        <v>0</v>
      </c>
      <c r="M241" t="n">
        <v>0</v>
      </c>
      <c r="N241" t="n">
        <v>0</v>
      </c>
      <c r="O241" t="n">
        <v>0</v>
      </c>
      <c r="P241" t="n">
        <v>0</v>
      </c>
      <c r="Q241" t="n">
        <v>0</v>
      </c>
      <c r="R241" s="2" t="inlineStr"/>
    </row>
    <row r="242" ht="15" customHeight="1">
      <c r="A242" t="inlineStr">
        <is>
          <t>A 40471-2025</t>
        </is>
      </c>
      <c r="B242" s="1" t="n">
        <v>45895.67356481482</v>
      </c>
      <c r="C242" s="1" t="n">
        <v>46062</v>
      </c>
      <c r="D242" t="inlineStr">
        <is>
          <t>DALARNAS LÄN</t>
        </is>
      </c>
      <c r="E242" t="inlineStr">
        <is>
          <t>MORA</t>
        </is>
      </c>
      <c r="G242" t="n">
        <v>2.8</v>
      </c>
      <c r="H242" t="n">
        <v>0</v>
      </c>
      <c r="I242" t="n">
        <v>0</v>
      </c>
      <c r="J242" t="n">
        <v>0</v>
      </c>
      <c r="K242" t="n">
        <v>0</v>
      </c>
      <c r="L242" t="n">
        <v>0</v>
      </c>
      <c r="M242" t="n">
        <v>0</v>
      </c>
      <c r="N242" t="n">
        <v>0</v>
      </c>
      <c r="O242" t="n">
        <v>0</v>
      </c>
      <c r="P242" t="n">
        <v>0</v>
      </c>
      <c r="Q242" t="n">
        <v>0</v>
      </c>
      <c r="R242" s="2" t="inlineStr"/>
    </row>
    <row r="243" ht="15" customHeight="1">
      <c r="A243" t="inlineStr">
        <is>
          <t>A 17865-2025</t>
        </is>
      </c>
      <c r="B243" s="1" t="n">
        <v>45758.62951388889</v>
      </c>
      <c r="C243" s="1" t="n">
        <v>46062</v>
      </c>
      <c r="D243" t="inlineStr">
        <is>
          <t>DALARNAS LÄN</t>
        </is>
      </c>
      <c r="E243" t="inlineStr">
        <is>
          <t>MORA</t>
        </is>
      </c>
      <c r="G243" t="n">
        <v>1.6</v>
      </c>
      <c r="H243" t="n">
        <v>0</v>
      </c>
      <c r="I243" t="n">
        <v>0</v>
      </c>
      <c r="J243" t="n">
        <v>0</v>
      </c>
      <c r="K243" t="n">
        <v>0</v>
      </c>
      <c r="L243" t="n">
        <v>0</v>
      </c>
      <c r="M243" t="n">
        <v>0</v>
      </c>
      <c r="N243" t="n">
        <v>0</v>
      </c>
      <c r="O243" t="n">
        <v>0</v>
      </c>
      <c r="P243" t="n">
        <v>0</v>
      </c>
      <c r="Q243" t="n">
        <v>0</v>
      </c>
      <c r="R243" s="2" t="inlineStr"/>
    </row>
    <row r="244" ht="15" customHeight="1">
      <c r="A244" t="inlineStr">
        <is>
          <t>A 33676-2023</t>
        </is>
      </c>
      <c r="B244" s="1" t="n">
        <v>45132.6291550926</v>
      </c>
      <c r="C244" s="1" t="n">
        <v>46062</v>
      </c>
      <c r="D244" t="inlineStr">
        <is>
          <t>DALARNAS LÄN</t>
        </is>
      </c>
      <c r="E244" t="inlineStr">
        <is>
          <t>MORA</t>
        </is>
      </c>
      <c r="F244" t="inlineStr">
        <is>
          <t>Bergvik skog öst AB</t>
        </is>
      </c>
      <c r="G244" t="n">
        <v>2.7</v>
      </c>
      <c r="H244" t="n">
        <v>0</v>
      </c>
      <c r="I244" t="n">
        <v>0</v>
      </c>
      <c r="J244" t="n">
        <v>0</v>
      </c>
      <c r="K244" t="n">
        <v>0</v>
      </c>
      <c r="L244" t="n">
        <v>0</v>
      </c>
      <c r="M244" t="n">
        <v>0</v>
      </c>
      <c r="N244" t="n">
        <v>0</v>
      </c>
      <c r="O244" t="n">
        <v>0</v>
      </c>
      <c r="P244" t="n">
        <v>0</v>
      </c>
      <c r="Q244" t="n">
        <v>0</v>
      </c>
      <c r="R244" s="2" t="inlineStr"/>
    </row>
    <row r="245" ht="15" customHeight="1">
      <c r="A245" t="inlineStr">
        <is>
          <t>A 28033-2025</t>
        </is>
      </c>
      <c r="B245" s="1" t="n">
        <v>45817.6325462963</v>
      </c>
      <c r="C245" s="1" t="n">
        <v>46062</v>
      </c>
      <c r="D245" t="inlineStr">
        <is>
          <t>DALARNAS LÄN</t>
        </is>
      </c>
      <c r="E245" t="inlineStr">
        <is>
          <t>MORA</t>
        </is>
      </c>
      <c r="F245" t="inlineStr">
        <is>
          <t>Bergvik skog öst AB</t>
        </is>
      </c>
      <c r="G245" t="n">
        <v>12.8</v>
      </c>
      <c r="H245" t="n">
        <v>0</v>
      </c>
      <c r="I245" t="n">
        <v>0</v>
      </c>
      <c r="J245" t="n">
        <v>0</v>
      </c>
      <c r="K245" t="n">
        <v>0</v>
      </c>
      <c r="L245" t="n">
        <v>0</v>
      </c>
      <c r="M245" t="n">
        <v>0</v>
      </c>
      <c r="N245" t="n">
        <v>0</v>
      </c>
      <c r="O245" t="n">
        <v>0</v>
      </c>
      <c r="P245" t="n">
        <v>0</v>
      </c>
      <c r="Q245" t="n">
        <v>0</v>
      </c>
      <c r="R245" s="2" t="inlineStr"/>
    </row>
    <row r="246" ht="15" customHeight="1">
      <c r="A246" t="inlineStr">
        <is>
          <t>A 61188-2024</t>
        </is>
      </c>
      <c r="B246" s="1" t="n">
        <v>45645.62282407407</v>
      </c>
      <c r="C246" s="1" t="n">
        <v>46062</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25737-2025</t>
        </is>
      </c>
      <c r="B247" s="1" t="n">
        <v>45800</v>
      </c>
      <c r="C247" s="1" t="n">
        <v>46062</v>
      </c>
      <c r="D247" t="inlineStr">
        <is>
          <t>DALARNAS LÄN</t>
        </is>
      </c>
      <c r="E247" t="inlineStr">
        <is>
          <t>MORA</t>
        </is>
      </c>
      <c r="G247" t="n">
        <v>9.6</v>
      </c>
      <c r="H247" t="n">
        <v>0</v>
      </c>
      <c r="I247" t="n">
        <v>0</v>
      </c>
      <c r="J247" t="n">
        <v>0</v>
      </c>
      <c r="K247" t="n">
        <v>0</v>
      </c>
      <c r="L247" t="n">
        <v>0</v>
      </c>
      <c r="M247" t="n">
        <v>0</v>
      </c>
      <c r="N247" t="n">
        <v>0</v>
      </c>
      <c r="O247" t="n">
        <v>0</v>
      </c>
      <c r="P247" t="n">
        <v>0</v>
      </c>
      <c r="Q247" t="n">
        <v>0</v>
      </c>
      <c r="R247" s="2" t="inlineStr"/>
    </row>
    <row r="248" ht="15" customHeight="1">
      <c r="A248" t="inlineStr">
        <is>
          <t>A 37710-2023</t>
        </is>
      </c>
      <c r="B248" s="1" t="n">
        <v>45159.59186342593</v>
      </c>
      <c r="C248" s="1" t="n">
        <v>46062</v>
      </c>
      <c r="D248" t="inlineStr">
        <is>
          <t>DALARNAS LÄN</t>
        </is>
      </c>
      <c r="E248" t="inlineStr">
        <is>
          <t>MORA</t>
        </is>
      </c>
      <c r="G248" t="n">
        <v>1.9</v>
      </c>
      <c r="H248" t="n">
        <v>0</v>
      </c>
      <c r="I248" t="n">
        <v>0</v>
      </c>
      <c r="J248" t="n">
        <v>0</v>
      </c>
      <c r="K248" t="n">
        <v>0</v>
      </c>
      <c r="L248" t="n">
        <v>0</v>
      </c>
      <c r="M248" t="n">
        <v>0</v>
      </c>
      <c r="N248" t="n">
        <v>0</v>
      </c>
      <c r="O248" t="n">
        <v>0</v>
      </c>
      <c r="P248" t="n">
        <v>0</v>
      </c>
      <c r="Q248" t="n">
        <v>0</v>
      </c>
      <c r="R248" s="2" t="inlineStr"/>
    </row>
    <row r="249" ht="15" customHeight="1">
      <c r="A249" t="inlineStr">
        <is>
          <t>A 40140-2025</t>
        </is>
      </c>
      <c r="B249" s="1" t="n">
        <v>45894.57016203704</v>
      </c>
      <c r="C249" s="1" t="n">
        <v>46062</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40142-2025</t>
        </is>
      </c>
      <c r="B250" s="1" t="n">
        <v>45894.57202546296</v>
      </c>
      <c r="C250" s="1" t="n">
        <v>46062</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45355-2024</t>
        </is>
      </c>
      <c r="B251" s="1" t="n">
        <v>45576</v>
      </c>
      <c r="C251" s="1" t="n">
        <v>46062</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40147-2025</t>
        </is>
      </c>
      <c r="B252" s="1" t="n">
        <v>45894.57918981482</v>
      </c>
      <c r="C252" s="1" t="n">
        <v>46062</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37695-2024</t>
        </is>
      </c>
      <c r="B253" s="1" t="n">
        <v>45541.61094907407</v>
      </c>
      <c r="C253" s="1" t="n">
        <v>46062</v>
      </c>
      <c r="D253" t="inlineStr">
        <is>
          <t>DALARNAS LÄN</t>
        </is>
      </c>
      <c r="E253" t="inlineStr">
        <is>
          <t>MORA</t>
        </is>
      </c>
      <c r="G253" t="n">
        <v>19.7</v>
      </c>
      <c r="H253" t="n">
        <v>0</v>
      </c>
      <c r="I253" t="n">
        <v>0</v>
      </c>
      <c r="J253" t="n">
        <v>0</v>
      </c>
      <c r="K253" t="n">
        <v>0</v>
      </c>
      <c r="L253" t="n">
        <v>0</v>
      </c>
      <c r="M253" t="n">
        <v>0</v>
      </c>
      <c r="N253" t="n">
        <v>0</v>
      </c>
      <c r="O253" t="n">
        <v>0</v>
      </c>
      <c r="P253" t="n">
        <v>0</v>
      </c>
      <c r="Q253" t="n">
        <v>0</v>
      </c>
      <c r="R253" s="2" t="inlineStr"/>
    </row>
    <row r="254" ht="15" customHeight="1">
      <c r="A254" t="inlineStr">
        <is>
          <t>A 28934-2023</t>
        </is>
      </c>
      <c r="B254" s="1" t="n">
        <v>45104</v>
      </c>
      <c r="C254" s="1" t="n">
        <v>46062</v>
      </c>
      <c r="D254" t="inlineStr">
        <is>
          <t>DALARNAS LÄN</t>
        </is>
      </c>
      <c r="E254" t="inlineStr">
        <is>
          <t>MORA</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40660-2025</t>
        </is>
      </c>
      <c r="B255" s="1" t="n">
        <v>45896.64631944444</v>
      </c>
      <c r="C255" s="1" t="n">
        <v>46062</v>
      </c>
      <c r="D255" t="inlineStr">
        <is>
          <t>DALARNAS LÄN</t>
        </is>
      </c>
      <c r="E255" t="inlineStr">
        <is>
          <t>MORA</t>
        </is>
      </c>
      <c r="F255" t="inlineStr">
        <is>
          <t>Bergvik skog väst AB</t>
        </is>
      </c>
      <c r="G255" t="n">
        <v>5.4</v>
      </c>
      <c r="H255" t="n">
        <v>0</v>
      </c>
      <c r="I255" t="n">
        <v>0</v>
      </c>
      <c r="J255" t="n">
        <v>0</v>
      </c>
      <c r="K255" t="n">
        <v>0</v>
      </c>
      <c r="L255" t="n">
        <v>0</v>
      </c>
      <c r="M255" t="n">
        <v>0</v>
      </c>
      <c r="N255" t="n">
        <v>0</v>
      </c>
      <c r="O255" t="n">
        <v>0</v>
      </c>
      <c r="P255" t="n">
        <v>0</v>
      </c>
      <c r="Q255" t="n">
        <v>0</v>
      </c>
      <c r="R255" s="2" t="inlineStr"/>
    </row>
    <row r="256" ht="15" customHeight="1">
      <c r="A256" t="inlineStr">
        <is>
          <t>A 40805-2025</t>
        </is>
      </c>
      <c r="B256" s="1" t="n">
        <v>45897.46659722222</v>
      </c>
      <c r="C256" s="1" t="n">
        <v>46062</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40661-2025</t>
        </is>
      </c>
      <c r="B257" s="1" t="n">
        <v>45896.64715277778</v>
      </c>
      <c r="C257" s="1" t="n">
        <v>46062</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15416-2023</t>
        </is>
      </c>
      <c r="B258" s="1" t="n">
        <v>45019.71342592593</v>
      </c>
      <c r="C258" s="1" t="n">
        <v>46062</v>
      </c>
      <c r="D258" t="inlineStr">
        <is>
          <t>DALARNAS LÄN</t>
        </is>
      </c>
      <c r="E258" t="inlineStr">
        <is>
          <t>MORA</t>
        </is>
      </c>
      <c r="G258" t="n">
        <v>2</v>
      </c>
      <c r="H258" t="n">
        <v>0</v>
      </c>
      <c r="I258" t="n">
        <v>0</v>
      </c>
      <c r="J258" t="n">
        <v>0</v>
      </c>
      <c r="K258" t="n">
        <v>0</v>
      </c>
      <c r="L258" t="n">
        <v>0</v>
      </c>
      <c r="M258" t="n">
        <v>0</v>
      </c>
      <c r="N258" t="n">
        <v>0</v>
      </c>
      <c r="O258" t="n">
        <v>0</v>
      </c>
      <c r="P258" t="n">
        <v>0</v>
      </c>
      <c r="Q258" t="n">
        <v>0</v>
      </c>
      <c r="R258" s="2" t="inlineStr"/>
    </row>
    <row r="259" ht="15" customHeight="1">
      <c r="A259" t="inlineStr">
        <is>
          <t>A 25345-2025</t>
        </is>
      </c>
      <c r="B259" s="1" t="n">
        <v>45799</v>
      </c>
      <c r="C259" s="1" t="n">
        <v>46062</v>
      </c>
      <c r="D259" t="inlineStr">
        <is>
          <t>DALARNAS LÄN</t>
        </is>
      </c>
      <c r="E259" t="inlineStr">
        <is>
          <t>MORA</t>
        </is>
      </c>
      <c r="G259" t="n">
        <v>3.1</v>
      </c>
      <c r="H259" t="n">
        <v>0</v>
      </c>
      <c r="I259" t="n">
        <v>0</v>
      </c>
      <c r="J259" t="n">
        <v>0</v>
      </c>
      <c r="K259" t="n">
        <v>0</v>
      </c>
      <c r="L259" t="n">
        <v>0</v>
      </c>
      <c r="M259" t="n">
        <v>0</v>
      </c>
      <c r="N259" t="n">
        <v>0</v>
      </c>
      <c r="O259" t="n">
        <v>0</v>
      </c>
      <c r="P259" t="n">
        <v>0</v>
      </c>
      <c r="Q259" t="n">
        <v>0</v>
      </c>
      <c r="R259" s="2" t="inlineStr"/>
    </row>
    <row r="260" ht="15" customHeight="1">
      <c r="A260" t="inlineStr">
        <is>
          <t>A 5769-2025</t>
        </is>
      </c>
      <c r="B260" s="1" t="n">
        <v>45694.59288194445</v>
      </c>
      <c r="C260" s="1" t="n">
        <v>46062</v>
      </c>
      <c r="D260" t="inlineStr">
        <is>
          <t>DALARNAS LÄN</t>
        </is>
      </c>
      <c r="E260" t="inlineStr">
        <is>
          <t>MORA</t>
        </is>
      </c>
      <c r="G260" t="n">
        <v>15.7</v>
      </c>
      <c r="H260" t="n">
        <v>0</v>
      </c>
      <c r="I260" t="n">
        <v>0</v>
      </c>
      <c r="J260" t="n">
        <v>0</v>
      </c>
      <c r="K260" t="n">
        <v>0</v>
      </c>
      <c r="L260" t="n">
        <v>0</v>
      </c>
      <c r="M260" t="n">
        <v>0</v>
      </c>
      <c r="N260" t="n">
        <v>0</v>
      </c>
      <c r="O260" t="n">
        <v>0</v>
      </c>
      <c r="P260" t="n">
        <v>0</v>
      </c>
      <c r="Q260" t="n">
        <v>0</v>
      </c>
      <c r="R260" s="2" t="inlineStr"/>
    </row>
    <row r="261" ht="15" customHeight="1">
      <c r="A261" t="inlineStr">
        <is>
          <t>A 5309-2023</t>
        </is>
      </c>
      <c r="B261" s="1" t="n">
        <v>44956</v>
      </c>
      <c r="C261" s="1" t="n">
        <v>46062</v>
      </c>
      <c r="D261" t="inlineStr">
        <is>
          <t>DALARNAS LÄN</t>
        </is>
      </c>
      <c r="E261" t="inlineStr">
        <is>
          <t>MORA</t>
        </is>
      </c>
      <c r="G261" t="n">
        <v>1.1</v>
      </c>
      <c r="H261" t="n">
        <v>0</v>
      </c>
      <c r="I261" t="n">
        <v>0</v>
      </c>
      <c r="J261" t="n">
        <v>0</v>
      </c>
      <c r="K261" t="n">
        <v>0</v>
      </c>
      <c r="L261" t="n">
        <v>0</v>
      </c>
      <c r="M261" t="n">
        <v>0</v>
      </c>
      <c r="N261" t="n">
        <v>0</v>
      </c>
      <c r="O261" t="n">
        <v>0</v>
      </c>
      <c r="P261" t="n">
        <v>0</v>
      </c>
      <c r="Q261" t="n">
        <v>0</v>
      </c>
      <c r="R261" s="2" t="inlineStr"/>
    </row>
    <row r="262" ht="15" customHeight="1">
      <c r="A262" t="inlineStr">
        <is>
          <t>A 41200-2025</t>
        </is>
      </c>
      <c r="B262" s="1" t="n">
        <v>45898.5738425926</v>
      </c>
      <c r="C262" s="1" t="n">
        <v>46062</v>
      </c>
      <c r="D262" t="inlineStr">
        <is>
          <t>DALARNAS LÄN</t>
        </is>
      </c>
      <c r="E262" t="inlineStr">
        <is>
          <t>MORA</t>
        </is>
      </c>
      <c r="G262" t="n">
        <v>8.9</v>
      </c>
      <c r="H262" t="n">
        <v>0</v>
      </c>
      <c r="I262" t="n">
        <v>0</v>
      </c>
      <c r="J262" t="n">
        <v>0</v>
      </c>
      <c r="K262" t="n">
        <v>0</v>
      </c>
      <c r="L262" t="n">
        <v>0</v>
      </c>
      <c r="M262" t="n">
        <v>0</v>
      </c>
      <c r="N262" t="n">
        <v>0</v>
      </c>
      <c r="O262" t="n">
        <v>0</v>
      </c>
      <c r="P262" t="n">
        <v>0</v>
      </c>
      <c r="Q262" t="n">
        <v>0</v>
      </c>
      <c r="R262" s="2" t="inlineStr"/>
    </row>
    <row r="263" ht="15" customHeight="1">
      <c r="A263" t="inlineStr">
        <is>
          <t>A 54253-2023</t>
        </is>
      </c>
      <c r="B263" s="1" t="n">
        <v>45232.63217592592</v>
      </c>
      <c r="C263" s="1" t="n">
        <v>46062</v>
      </c>
      <c r="D263" t="inlineStr">
        <is>
          <t>DALARNAS LÄN</t>
        </is>
      </c>
      <c r="E263" t="inlineStr">
        <is>
          <t>MORA</t>
        </is>
      </c>
      <c r="G263" t="n">
        <v>4.5</v>
      </c>
      <c r="H263" t="n">
        <v>0</v>
      </c>
      <c r="I263" t="n">
        <v>0</v>
      </c>
      <c r="J263" t="n">
        <v>0</v>
      </c>
      <c r="K263" t="n">
        <v>0</v>
      </c>
      <c r="L263" t="n">
        <v>0</v>
      </c>
      <c r="M263" t="n">
        <v>0</v>
      </c>
      <c r="N263" t="n">
        <v>0</v>
      </c>
      <c r="O263" t="n">
        <v>0</v>
      </c>
      <c r="P263" t="n">
        <v>0</v>
      </c>
      <c r="Q263" t="n">
        <v>0</v>
      </c>
      <c r="R263" s="2" t="inlineStr"/>
    </row>
    <row r="264" ht="15" customHeight="1">
      <c r="A264" t="inlineStr">
        <is>
          <t>A 41175-2025</t>
        </is>
      </c>
      <c r="B264" s="1" t="n">
        <v>45898.55165509259</v>
      </c>
      <c r="C264" s="1" t="n">
        <v>46062</v>
      </c>
      <c r="D264" t="inlineStr">
        <is>
          <t>DALARNAS LÄN</t>
        </is>
      </c>
      <c r="E264" t="inlineStr">
        <is>
          <t>MORA</t>
        </is>
      </c>
      <c r="G264" t="n">
        <v>4.5</v>
      </c>
      <c r="H264" t="n">
        <v>0</v>
      </c>
      <c r="I264" t="n">
        <v>0</v>
      </c>
      <c r="J264" t="n">
        <v>0</v>
      </c>
      <c r="K264" t="n">
        <v>0</v>
      </c>
      <c r="L264" t="n">
        <v>0</v>
      </c>
      <c r="M264" t="n">
        <v>0</v>
      </c>
      <c r="N264" t="n">
        <v>0</v>
      </c>
      <c r="O264" t="n">
        <v>0</v>
      </c>
      <c r="P264" t="n">
        <v>0</v>
      </c>
      <c r="Q264" t="n">
        <v>0</v>
      </c>
      <c r="R264" s="2" t="inlineStr"/>
    </row>
    <row r="265" ht="15" customHeight="1">
      <c r="A265" t="inlineStr">
        <is>
          <t>A 57608-2021</t>
        </is>
      </c>
      <c r="B265" s="1" t="n">
        <v>44484</v>
      </c>
      <c r="C265" s="1" t="n">
        <v>46062</v>
      </c>
      <c r="D265" t="inlineStr">
        <is>
          <t>DALARNAS LÄN</t>
        </is>
      </c>
      <c r="E265" t="inlineStr">
        <is>
          <t>MORA</t>
        </is>
      </c>
      <c r="G265" t="n">
        <v>6.3</v>
      </c>
      <c r="H265" t="n">
        <v>0</v>
      </c>
      <c r="I265" t="n">
        <v>0</v>
      </c>
      <c r="J265" t="n">
        <v>0</v>
      </c>
      <c r="K265" t="n">
        <v>0</v>
      </c>
      <c r="L265" t="n">
        <v>0</v>
      </c>
      <c r="M265" t="n">
        <v>0</v>
      </c>
      <c r="N265" t="n">
        <v>0</v>
      </c>
      <c r="O265" t="n">
        <v>0</v>
      </c>
      <c r="P265" t="n">
        <v>0</v>
      </c>
      <c r="Q265" t="n">
        <v>0</v>
      </c>
      <c r="R265" s="2" t="inlineStr"/>
    </row>
    <row r="266" ht="15" customHeight="1">
      <c r="A266" t="inlineStr">
        <is>
          <t>A 41614-2025</t>
        </is>
      </c>
      <c r="B266" s="1" t="n">
        <v>45901.68267361111</v>
      </c>
      <c r="C266" s="1" t="n">
        <v>46062</v>
      </c>
      <c r="D266" t="inlineStr">
        <is>
          <t>DALARNAS LÄN</t>
        </is>
      </c>
      <c r="E266" t="inlineStr">
        <is>
          <t>MORA</t>
        </is>
      </c>
      <c r="F266" t="inlineStr">
        <is>
          <t>Bergvik skog väst AB</t>
        </is>
      </c>
      <c r="G266" t="n">
        <v>13.8</v>
      </c>
      <c r="H266" t="n">
        <v>0</v>
      </c>
      <c r="I266" t="n">
        <v>0</v>
      </c>
      <c r="J266" t="n">
        <v>0</v>
      </c>
      <c r="K266" t="n">
        <v>0</v>
      </c>
      <c r="L266" t="n">
        <v>0</v>
      </c>
      <c r="M266" t="n">
        <v>0</v>
      </c>
      <c r="N266" t="n">
        <v>0</v>
      </c>
      <c r="O266" t="n">
        <v>0</v>
      </c>
      <c r="P266" t="n">
        <v>0</v>
      </c>
      <c r="Q266" t="n">
        <v>0</v>
      </c>
      <c r="R266" s="2" t="inlineStr"/>
    </row>
    <row r="267" ht="15" customHeight="1">
      <c r="A267" t="inlineStr">
        <is>
          <t>A 2879-2022</t>
        </is>
      </c>
      <c r="B267" s="1" t="n">
        <v>44581</v>
      </c>
      <c r="C267" s="1" t="n">
        <v>46062</v>
      </c>
      <c r="D267" t="inlineStr">
        <is>
          <t>DALARNAS LÄN</t>
        </is>
      </c>
      <c r="E267" t="inlineStr">
        <is>
          <t>MORA</t>
        </is>
      </c>
      <c r="G267" t="n">
        <v>2.3</v>
      </c>
      <c r="H267" t="n">
        <v>0</v>
      </c>
      <c r="I267" t="n">
        <v>0</v>
      </c>
      <c r="J267" t="n">
        <v>0</v>
      </c>
      <c r="K267" t="n">
        <v>0</v>
      </c>
      <c r="L267" t="n">
        <v>0</v>
      </c>
      <c r="M267" t="n">
        <v>0</v>
      </c>
      <c r="N267" t="n">
        <v>0</v>
      </c>
      <c r="O267" t="n">
        <v>0</v>
      </c>
      <c r="P267" t="n">
        <v>0</v>
      </c>
      <c r="Q267" t="n">
        <v>0</v>
      </c>
      <c r="R267" s="2" t="inlineStr"/>
    </row>
    <row r="268" ht="15" customHeight="1">
      <c r="A268" t="inlineStr">
        <is>
          <t>A 24620-2025</t>
        </is>
      </c>
      <c r="B268" s="1" t="n">
        <v>45798.59290509259</v>
      </c>
      <c r="C268" s="1" t="n">
        <v>46062</v>
      </c>
      <c r="D268" t="inlineStr">
        <is>
          <t>DALARNAS LÄN</t>
        </is>
      </c>
      <c r="E268" t="inlineStr">
        <is>
          <t>MORA</t>
        </is>
      </c>
      <c r="F268" t="inlineStr">
        <is>
          <t>Bergvik skog väst AB</t>
        </is>
      </c>
      <c r="G268" t="n">
        <v>4.9</v>
      </c>
      <c r="H268" t="n">
        <v>0</v>
      </c>
      <c r="I268" t="n">
        <v>0</v>
      </c>
      <c r="J268" t="n">
        <v>0</v>
      </c>
      <c r="K268" t="n">
        <v>0</v>
      </c>
      <c r="L268" t="n">
        <v>0</v>
      </c>
      <c r="M268" t="n">
        <v>0</v>
      </c>
      <c r="N268" t="n">
        <v>0</v>
      </c>
      <c r="O268" t="n">
        <v>0</v>
      </c>
      <c r="P268" t="n">
        <v>0</v>
      </c>
      <c r="Q268" t="n">
        <v>0</v>
      </c>
      <c r="R268" s="2" t="inlineStr"/>
    </row>
    <row r="269" ht="15" customHeight="1">
      <c r="A269" t="inlineStr">
        <is>
          <t>A 24653-2025</t>
        </is>
      </c>
      <c r="B269" s="1" t="n">
        <v>45798.63875</v>
      </c>
      <c r="C269" s="1" t="n">
        <v>46062</v>
      </c>
      <c r="D269" t="inlineStr">
        <is>
          <t>DALARNAS LÄN</t>
        </is>
      </c>
      <c r="E269" t="inlineStr">
        <is>
          <t>MORA</t>
        </is>
      </c>
      <c r="F269" t="inlineStr">
        <is>
          <t>Bergvik skog väst AB</t>
        </is>
      </c>
      <c r="G269" t="n">
        <v>4.9</v>
      </c>
      <c r="H269" t="n">
        <v>0</v>
      </c>
      <c r="I269" t="n">
        <v>0</v>
      </c>
      <c r="J269" t="n">
        <v>0</v>
      </c>
      <c r="K269" t="n">
        <v>0</v>
      </c>
      <c r="L269" t="n">
        <v>0</v>
      </c>
      <c r="M269" t="n">
        <v>0</v>
      </c>
      <c r="N269" t="n">
        <v>0</v>
      </c>
      <c r="O269" t="n">
        <v>0</v>
      </c>
      <c r="P269" t="n">
        <v>0</v>
      </c>
      <c r="Q269" t="n">
        <v>0</v>
      </c>
      <c r="R269" s="2" t="inlineStr"/>
    </row>
    <row r="270" ht="15" customHeight="1">
      <c r="A270" t="inlineStr">
        <is>
          <t>A 29068-2025</t>
        </is>
      </c>
      <c r="B270" s="1" t="n">
        <v>45821.50900462963</v>
      </c>
      <c r="C270" s="1" t="n">
        <v>46062</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41783-2025</t>
        </is>
      </c>
      <c r="B271" s="1" t="n">
        <v>45902.58721064815</v>
      </c>
      <c r="C271" s="1" t="n">
        <v>46062</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28976-2025</t>
        </is>
      </c>
      <c r="B272" s="1" t="n">
        <v>45821.34855324074</v>
      </c>
      <c r="C272" s="1" t="n">
        <v>46062</v>
      </c>
      <c r="D272" t="inlineStr">
        <is>
          <t>DALARNAS LÄN</t>
        </is>
      </c>
      <c r="E272" t="inlineStr">
        <is>
          <t>MORA</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28925-2025</t>
        </is>
      </c>
      <c r="B273" s="1" t="n">
        <v>45820.67107638889</v>
      </c>
      <c r="C273" s="1" t="n">
        <v>46062</v>
      </c>
      <c r="D273" t="inlineStr">
        <is>
          <t>DALARNAS LÄN</t>
        </is>
      </c>
      <c r="E273" t="inlineStr">
        <is>
          <t>MORA</t>
        </is>
      </c>
      <c r="G273" t="n">
        <v>3.7</v>
      </c>
      <c r="H273" t="n">
        <v>0</v>
      </c>
      <c r="I273" t="n">
        <v>0</v>
      </c>
      <c r="J273" t="n">
        <v>0</v>
      </c>
      <c r="K273" t="n">
        <v>0</v>
      </c>
      <c r="L273" t="n">
        <v>0</v>
      </c>
      <c r="M273" t="n">
        <v>0</v>
      </c>
      <c r="N273" t="n">
        <v>0</v>
      </c>
      <c r="O273" t="n">
        <v>0</v>
      </c>
      <c r="P273" t="n">
        <v>0</v>
      </c>
      <c r="Q273" t="n">
        <v>0</v>
      </c>
      <c r="R273" s="2" t="inlineStr"/>
    </row>
    <row r="274" ht="15" customHeight="1">
      <c r="A274" t="inlineStr">
        <is>
          <t>A 28927-2025</t>
        </is>
      </c>
      <c r="B274" s="1" t="n">
        <v>45820.67221064815</v>
      </c>
      <c r="C274" s="1" t="n">
        <v>46062</v>
      </c>
      <c r="D274" t="inlineStr">
        <is>
          <t>DALARNAS LÄN</t>
        </is>
      </c>
      <c r="E274" t="inlineStr">
        <is>
          <t>MORA</t>
        </is>
      </c>
      <c r="G274" t="n">
        <v>0.4</v>
      </c>
      <c r="H274" t="n">
        <v>0</v>
      </c>
      <c r="I274" t="n">
        <v>0</v>
      </c>
      <c r="J274" t="n">
        <v>0</v>
      </c>
      <c r="K274" t="n">
        <v>0</v>
      </c>
      <c r="L274" t="n">
        <v>0</v>
      </c>
      <c r="M274" t="n">
        <v>0</v>
      </c>
      <c r="N274" t="n">
        <v>0</v>
      </c>
      <c r="O274" t="n">
        <v>0</v>
      </c>
      <c r="P274" t="n">
        <v>0</v>
      </c>
      <c r="Q274" t="n">
        <v>0</v>
      </c>
      <c r="R274" s="2" t="inlineStr"/>
    </row>
    <row r="275" ht="15" customHeight="1">
      <c r="A275" t="inlineStr">
        <is>
          <t>A 17393-2025</t>
        </is>
      </c>
      <c r="B275" s="1" t="n">
        <v>45757.34350694445</v>
      </c>
      <c r="C275" s="1" t="n">
        <v>46062</v>
      </c>
      <c r="D275" t="inlineStr">
        <is>
          <t>DALARNAS LÄN</t>
        </is>
      </c>
      <c r="E275" t="inlineStr">
        <is>
          <t>MORA</t>
        </is>
      </c>
      <c r="G275" t="n">
        <v>10.1</v>
      </c>
      <c r="H275" t="n">
        <v>0</v>
      </c>
      <c r="I275" t="n">
        <v>0</v>
      </c>
      <c r="J275" t="n">
        <v>0</v>
      </c>
      <c r="K275" t="n">
        <v>0</v>
      </c>
      <c r="L275" t="n">
        <v>0</v>
      </c>
      <c r="M275" t="n">
        <v>0</v>
      </c>
      <c r="N275" t="n">
        <v>0</v>
      </c>
      <c r="O275" t="n">
        <v>0</v>
      </c>
      <c r="P275" t="n">
        <v>0</v>
      </c>
      <c r="Q275" t="n">
        <v>0</v>
      </c>
      <c r="R275" s="2" t="inlineStr"/>
    </row>
    <row r="276" ht="15" customHeight="1">
      <c r="A276" t="inlineStr">
        <is>
          <t>A 28924-2025</t>
        </is>
      </c>
      <c r="B276" s="1" t="n">
        <v>45820.66846064815</v>
      </c>
      <c r="C276" s="1" t="n">
        <v>46062</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28751-2025</t>
        </is>
      </c>
      <c r="B277" s="1" t="n">
        <v>45820.40034722222</v>
      </c>
      <c r="C277" s="1" t="n">
        <v>46062</v>
      </c>
      <c r="D277" t="inlineStr">
        <is>
          <t>DALARNAS LÄN</t>
        </is>
      </c>
      <c r="E277" t="inlineStr">
        <is>
          <t>MORA</t>
        </is>
      </c>
      <c r="F277" t="inlineStr">
        <is>
          <t>Bergvik skog öst AB</t>
        </is>
      </c>
      <c r="G277" t="n">
        <v>1</v>
      </c>
      <c r="H277" t="n">
        <v>0</v>
      </c>
      <c r="I277" t="n">
        <v>0</v>
      </c>
      <c r="J277" t="n">
        <v>0</v>
      </c>
      <c r="K277" t="n">
        <v>0</v>
      </c>
      <c r="L277" t="n">
        <v>0</v>
      </c>
      <c r="M277" t="n">
        <v>0</v>
      </c>
      <c r="N277" t="n">
        <v>0</v>
      </c>
      <c r="O277" t="n">
        <v>0</v>
      </c>
      <c r="P277" t="n">
        <v>0</v>
      </c>
      <c r="Q277" t="n">
        <v>0</v>
      </c>
      <c r="R277" s="2" t="inlineStr"/>
    </row>
    <row r="278" ht="15" customHeight="1">
      <c r="A278" t="inlineStr">
        <is>
          <t>A 25887-2023</t>
        </is>
      </c>
      <c r="B278" s="1" t="n">
        <v>45090.62493055555</v>
      </c>
      <c r="C278" s="1" t="n">
        <v>46062</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41855-2025</t>
        </is>
      </c>
      <c r="B279" s="1" t="n">
        <v>45902.93693287037</v>
      </c>
      <c r="C279" s="1" t="n">
        <v>46062</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42319-2025</t>
        </is>
      </c>
      <c r="B280" s="1" t="n">
        <v>45903</v>
      </c>
      <c r="C280" s="1" t="n">
        <v>46062</v>
      </c>
      <c r="D280" t="inlineStr">
        <is>
          <t>DALARNAS LÄN</t>
        </is>
      </c>
      <c r="E280" t="inlineStr">
        <is>
          <t>MORA</t>
        </is>
      </c>
      <c r="G280" t="n">
        <v>2.3</v>
      </c>
      <c r="H280" t="n">
        <v>0</v>
      </c>
      <c r="I280" t="n">
        <v>0</v>
      </c>
      <c r="J280" t="n">
        <v>0</v>
      </c>
      <c r="K280" t="n">
        <v>0</v>
      </c>
      <c r="L280" t="n">
        <v>0</v>
      </c>
      <c r="M280" t="n">
        <v>0</v>
      </c>
      <c r="N280" t="n">
        <v>0</v>
      </c>
      <c r="O280" t="n">
        <v>0</v>
      </c>
      <c r="P280" t="n">
        <v>0</v>
      </c>
      <c r="Q280" t="n">
        <v>0</v>
      </c>
      <c r="R280" s="2" t="inlineStr"/>
    </row>
    <row r="281" ht="15" customHeight="1">
      <c r="A281" t="inlineStr">
        <is>
          <t>A 64099-2023</t>
        </is>
      </c>
      <c r="B281" s="1" t="n">
        <v>45279.46009259259</v>
      </c>
      <c r="C281" s="1" t="n">
        <v>46062</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42112-2025</t>
        </is>
      </c>
      <c r="B282" s="1" t="n">
        <v>45904.32134259259</v>
      </c>
      <c r="C282" s="1" t="n">
        <v>46062</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19910-2024</t>
        </is>
      </c>
      <c r="B283" s="1" t="n">
        <v>45433.5741087963</v>
      </c>
      <c r="C283" s="1" t="n">
        <v>46062</v>
      </c>
      <c r="D283" t="inlineStr">
        <is>
          <t>DALARNAS LÄN</t>
        </is>
      </c>
      <c r="E283" t="inlineStr">
        <is>
          <t>MORA</t>
        </is>
      </c>
      <c r="G283" t="n">
        <v>0.9</v>
      </c>
      <c r="H283" t="n">
        <v>0</v>
      </c>
      <c r="I283" t="n">
        <v>0</v>
      </c>
      <c r="J283" t="n">
        <v>0</v>
      </c>
      <c r="K283" t="n">
        <v>0</v>
      </c>
      <c r="L283" t="n">
        <v>0</v>
      </c>
      <c r="M283" t="n">
        <v>0</v>
      </c>
      <c r="N283" t="n">
        <v>0</v>
      </c>
      <c r="O283" t="n">
        <v>0</v>
      </c>
      <c r="P283" t="n">
        <v>0</v>
      </c>
      <c r="Q283" t="n">
        <v>0</v>
      </c>
      <c r="R283" s="2" t="inlineStr"/>
    </row>
    <row r="284" ht="15" customHeight="1">
      <c r="A284" t="inlineStr">
        <is>
          <t>A 23300-2024</t>
        </is>
      </c>
      <c r="B284" s="1" t="n">
        <v>45453.43695601852</v>
      </c>
      <c r="C284" s="1" t="n">
        <v>46062</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42813-2025</t>
        </is>
      </c>
      <c r="B285" s="1" t="n">
        <v>45908.56168981481</v>
      </c>
      <c r="C285" s="1" t="n">
        <v>46062</v>
      </c>
      <c r="D285" t="inlineStr">
        <is>
          <t>DALARNAS LÄN</t>
        </is>
      </c>
      <c r="E285" t="inlineStr">
        <is>
          <t>MORA</t>
        </is>
      </c>
      <c r="G285" t="n">
        <v>4.3</v>
      </c>
      <c r="H285" t="n">
        <v>0</v>
      </c>
      <c r="I285" t="n">
        <v>0</v>
      </c>
      <c r="J285" t="n">
        <v>0</v>
      </c>
      <c r="K285" t="n">
        <v>0</v>
      </c>
      <c r="L285" t="n">
        <v>0</v>
      </c>
      <c r="M285" t="n">
        <v>0</v>
      </c>
      <c r="N285" t="n">
        <v>0</v>
      </c>
      <c r="O285" t="n">
        <v>0</v>
      </c>
      <c r="P285" t="n">
        <v>0</v>
      </c>
      <c r="Q285" t="n">
        <v>0</v>
      </c>
      <c r="R285" s="2" t="inlineStr"/>
    </row>
    <row r="286" ht="15" customHeight="1">
      <c r="A286" t="inlineStr">
        <is>
          <t>A 42947-2025</t>
        </is>
      </c>
      <c r="B286" s="1" t="n">
        <v>45909.34799768519</v>
      </c>
      <c r="C286" s="1" t="n">
        <v>46062</v>
      </c>
      <c r="D286" t="inlineStr">
        <is>
          <t>DALARNAS LÄN</t>
        </is>
      </c>
      <c r="E286" t="inlineStr">
        <is>
          <t>MORA</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42960-2025</t>
        </is>
      </c>
      <c r="B287" s="1" t="n">
        <v>45909.36631944445</v>
      </c>
      <c r="C287" s="1" t="n">
        <v>46062</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19896-2021</t>
        </is>
      </c>
      <c r="B288" s="1" t="n">
        <v>44313.54942129629</v>
      </c>
      <c r="C288" s="1" t="n">
        <v>46062</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29528-2025</t>
        </is>
      </c>
      <c r="B289" s="1" t="n">
        <v>45825.34322916667</v>
      </c>
      <c r="C289" s="1" t="n">
        <v>46062</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9599-2022</t>
        </is>
      </c>
      <c r="B290" s="1" t="n">
        <v>44617.48909722222</v>
      </c>
      <c r="C290" s="1" t="n">
        <v>46062</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42954-2025</t>
        </is>
      </c>
      <c r="B291" s="1" t="n">
        <v>45909.3578125</v>
      </c>
      <c r="C291" s="1" t="n">
        <v>46062</v>
      </c>
      <c r="D291" t="inlineStr">
        <is>
          <t>DALARNAS LÄN</t>
        </is>
      </c>
      <c r="E291" t="inlineStr">
        <is>
          <t>MORA</t>
        </is>
      </c>
      <c r="G291" t="n">
        <v>2.5</v>
      </c>
      <c r="H291" t="n">
        <v>0</v>
      </c>
      <c r="I291" t="n">
        <v>0</v>
      </c>
      <c r="J291" t="n">
        <v>0</v>
      </c>
      <c r="K291" t="n">
        <v>0</v>
      </c>
      <c r="L291" t="n">
        <v>0</v>
      </c>
      <c r="M291" t="n">
        <v>0</v>
      </c>
      <c r="N291" t="n">
        <v>0</v>
      </c>
      <c r="O291" t="n">
        <v>0</v>
      </c>
      <c r="P291" t="n">
        <v>0</v>
      </c>
      <c r="Q291" t="n">
        <v>0</v>
      </c>
      <c r="R291" s="2" t="inlineStr"/>
    </row>
    <row r="292" ht="15" customHeight="1">
      <c r="A292" t="inlineStr">
        <is>
          <t>A 35521-2023</t>
        </is>
      </c>
      <c r="B292" s="1" t="n">
        <v>45147.33251157407</v>
      </c>
      <c r="C292" s="1" t="n">
        <v>46062</v>
      </c>
      <c r="D292" t="inlineStr">
        <is>
          <t>DALARNAS LÄN</t>
        </is>
      </c>
      <c r="E292" t="inlineStr">
        <is>
          <t>MORA</t>
        </is>
      </c>
      <c r="G292" t="n">
        <v>3.7</v>
      </c>
      <c r="H292" t="n">
        <v>0</v>
      </c>
      <c r="I292" t="n">
        <v>0</v>
      </c>
      <c r="J292" t="n">
        <v>0</v>
      </c>
      <c r="K292" t="n">
        <v>0</v>
      </c>
      <c r="L292" t="n">
        <v>0</v>
      </c>
      <c r="M292" t="n">
        <v>0</v>
      </c>
      <c r="N292" t="n">
        <v>0</v>
      </c>
      <c r="O292" t="n">
        <v>0</v>
      </c>
      <c r="P292" t="n">
        <v>0</v>
      </c>
      <c r="Q292" t="n">
        <v>0</v>
      </c>
      <c r="R292" s="2" t="inlineStr"/>
    </row>
    <row r="293" ht="15" customHeight="1">
      <c r="A293" t="inlineStr">
        <is>
          <t>A 42830-2025</t>
        </is>
      </c>
      <c r="B293" s="1" t="n">
        <v>45908.57753472222</v>
      </c>
      <c r="C293" s="1" t="n">
        <v>46062</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29440-2025</t>
        </is>
      </c>
      <c r="B294" s="1" t="n">
        <v>45824.65862268519</v>
      </c>
      <c r="C294" s="1" t="n">
        <v>46062</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46062</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43569-2025</t>
        </is>
      </c>
      <c r="B296" s="1" t="n">
        <v>45911.63363425926</v>
      </c>
      <c r="C296" s="1" t="n">
        <v>46062</v>
      </c>
      <c r="D296" t="inlineStr">
        <is>
          <t>DALARNAS LÄN</t>
        </is>
      </c>
      <c r="E296" t="inlineStr">
        <is>
          <t>MORA</t>
        </is>
      </c>
      <c r="G296" t="n">
        <v>4.7</v>
      </c>
      <c r="H296" t="n">
        <v>0</v>
      </c>
      <c r="I296" t="n">
        <v>0</v>
      </c>
      <c r="J296" t="n">
        <v>0</v>
      </c>
      <c r="K296" t="n">
        <v>0</v>
      </c>
      <c r="L296" t="n">
        <v>0</v>
      </c>
      <c r="M296" t="n">
        <v>0</v>
      </c>
      <c r="N296" t="n">
        <v>0</v>
      </c>
      <c r="O296" t="n">
        <v>0</v>
      </c>
      <c r="P296" t="n">
        <v>0</v>
      </c>
      <c r="Q296" t="n">
        <v>0</v>
      </c>
      <c r="R296" s="2" t="inlineStr"/>
    </row>
    <row r="297" ht="15" customHeight="1">
      <c r="A297" t="inlineStr">
        <is>
          <t>A 29425-2025</t>
        </is>
      </c>
      <c r="B297" s="1" t="n">
        <v>45824.64524305556</v>
      </c>
      <c r="C297" s="1" t="n">
        <v>46062</v>
      </c>
      <c r="D297" t="inlineStr">
        <is>
          <t>DALARNAS LÄN</t>
        </is>
      </c>
      <c r="E297" t="inlineStr">
        <is>
          <t>MORA</t>
        </is>
      </c>
      <c r="G297" t="n">
        <v>4.4</v>
      </c>
      <c r="H297" t="n">
        <v>0</v>
      </c>
      <c r="I297" t="n">
        <v>0</v>
      </c>
      <c r="J297" t="n">
        <v>0</v>
      </c>
      <c r="K297" t="n">
        <v>0</v>
      </c>
      <c r="L297" t="n">
        <v>0</v>
      </c>
      <c r="M297" t="n">
        <v>0</v>
      </c>
      <c r="N297" t="n">
        <v>0</v>
      </c>
      <c r="O297" t="n">
        <v>0</v>
      </c>
      <c r="P297" t="n">
        <v>0</v>
      </c>
      <c r="Q297" t="n">
        <v>0</v>
      </c>
      <c r="R297" s="2" t="inlineStr"/>
    </row>
    <row r="298" ht="15" customHeight="1">
      <c r="A298" t="inlineStr">
        <is>
          <t>A 43153-2025</t>
        </is>
      </c>
      <c r="B298" s="1" t="n">
        <v>45910.34449074074</v>
      </c>
      <c r="C298" s="1" t="n">
        <v>46062</v>
      </c>
      <c r="D298" t="inlineStr">
        <is>
          <t>DALARNAS LÄN</t>
        </is>
      </c>
      <c r="E298" t="inlineStr">
        <is>
          <t>MORA</t>
        </is>
      </c>
      <c r="G298" t="n">
        <v>3.9</v>
      </c>
      <c r="H298" t="n">
        <v>0</v>
      </c>
      <c r="I298" t="n">
        <v>0</v>
      </c>
      <c r="J298" t="n">
        <v>0</v>
      </c>
      <c r="K298" t="n">
        <v>0</v>
      </c>
      <c r="L298" t="n">
        <v>0</v>
      </c>
      <c r="M298" t="n">
        <v>0</v>
      </c>
      <c r="N298" t="n">
        <v>0</v>
      </c>
      <c r="O298" t="n">
        <v>0</v>
      </c>
      <c r="P298" t="n">
        <v>0</v>
      </c>
      <c r="Q298" t="n">
        <v>0</v>
      </c>
      <c r="R298" s="2" t="inlineStr"/>
    </row>
    <row r="299" ht="15" customHeight="1">
      <c r="A299" t="inlineStr">
        <is>
          <t>A 60715-2023</t>
        </is>
      </c>
      <c r="B299" s="1" t="n">
        <v>45260.52684027778</v>
      </c>
      <c r="C299" s="1" t="n">
        <v>46062</v>
      </c>
      <c r="D299" t="inlineStr">
        <is>
          <t>DALARNAS LÄN</t>
        </is>
      </c>
      <c r="E299" t="inlineStr">
        <is>
          <t>MORA</t>
        </is>
      </c>
      <c r="G299" t="n">
        <v>1.7</v>
      </c>
      <c r="H299" t="n">
        <v>0</v>
      </c>
      <c r="I299" t="n">
        <v>0</v>
      </c>
      <c r="J299" t="n">
        <v>0</v>
      </c>
      <c r="K299" t="n">
        <v>0</v>
      </c>
      <c r="L299" t="n">
        <v>0</v>
      </c>
      <c r="M299" t="n">
        <v>0</v>
      </c>
      <c r="N299" t="n">
        <v>0</v>
      </c>
      <c r="O299" t="n">
        <v>0</v>
      </c>
      <c r="P299" t="n">
        <v>0</v>
      </c>
      <c r="Q299" t="n">
        <v>0</v>
      </c>
      <c r="R299" s="2" t="inlineStr"/>
    </row>
    <row r="300" ht="15" customHeight="1">
      <c r="A300" t="inlineStr">
        <is>
          <t>A 54257-2023</t>
        </is>
      </c>
      <c r="B300" s="1" t="n">
        <v>45232.64195601852</v>
      </c>
      <c r="C300" s="1" t="n">
        <v>46062</v>
      </c>
      <c r="D300" t="inlineStr">
        <is>
          <t>DALARNAS LÄN</t>
        </is>
      </c>
      <c r="E300" t="inlineStr">
        <is>
          <t>MORA</t>
        </is>
      </c>
      <c r="G300" t="n">
        <v>4</v>
      </c>
      <c r="H300" t="n">
        <v>0</v>
      </c>
      <c r="I300" t="n">
        <v>0</v>
      </c>
      <c r="J300" t="n">
        <v>0</v>
      </c>
      <c r="K300" t="n">
        <v>0</v>
      </c>
      <c r="L300" t="n">
        <v>0</v>
      </c>
      <c r="M300" t="n">
        <v>0</v>
      </c>
      <c r="N300" t="n">
        <v>0</v>
      </c>
      <c r="O300" t="n">
        <v>0</v>
      </c>
      <c r="P300" t="n">
        <v>0</v>
      </c>
      <c r="Q300" t="n">
        <v>0</v>
      </c>
      <c r="R300" s="2" t="inlineStr"/>
    </row>
    <row r="301" ht="15" customHeight="1">
      <c r="A301" t="inlineStr">
        <is>
          <t>A 43474-2025</t>
        </is>
      </c>
      <c r="B301" s="1" t="n">
        <v>45911.48967592593</v>
      </c>
      <c r="C301" s="1" t="n">
        <v>46062</v>
      </c>
      <c r="D301" t="inlineStr">
        <is>
          <t>DALARNAS LÄN</t>
        </is>
      </c>
      <c r="E301" t="inlineStr">
        <is>
          <t>MORA</t>
        </is>
      </c>
      <c r="G301" t="n">
        <v>1.8</v>
      </c>
      <c r="H301" t="n">
        <v>0</v>
      </c>
      <c r="I301" t="n">
        <v>0</v>
      </c>
      <c r="J301" t="n">
        <v>0</v>
      </c>
      <c r="K301" t="n">
        <v>0</v>
      </c>
      <c r="L301" t="n">
        <v>0</v>
      </c>
      <c r="M301" t="n">
        <v>0</v>
      </c>
      <c r="N301" t="n">
        <v>0</v>
      </c>
      <c r="O301" t="n">
        <v>0</v>
      </c>
      <c r="P301" t="n">
        <v>0</v>
      </c>
      <c r="Q301" t="n">
        <v>0</v>
      </c>
      <c r="R301" s="2" t="inlineStr"/>
    </row>
    <row r="302" ht="15" customHeight="1">
      <c r="A302" t="inlineStr">
        <is>
          <t>A 30087-2025</t>
        </is>
      </c>
      <c r="B302" s="1" t="n">
        <v>45826.6575</v>
      </c>
      <c r="C302" s="1" t="n">
        <v>46062</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25499-2024</t>
        </is>
      </c>
      <c r="B303" s="1" t="n">
        <v>45463</v>
      </c>
      <c r="C303" s="1" t="n">
        <v>46062</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43811-2025</t>
        </is>
      </c>
      <c r="B304" s="1" t="n">
        <v>45912.58710648148</v>
      </c>
      <c r="C304" s="1" t="n">
        <v>46062</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58958-2022</t>
        </is>
      </c>
      <c r="B305" s="1" t="n">
        <v>44903.6605324074</v>
      </c>
      <c r="C305" s="1" t="n">
        <v>46062</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44384-2025</t>
        </is>
      </c>
      <c r="B306" s="1" t="n">
        <v>45916.48513888889</v>
      </c>
      <c r="C306" s="1" t="n">
        <v>46062</v>
      </c>
      <c r="D306" t="inlineStr">
        <is>
          <t>DALARNAS LÄN</t>
        </is>
      </c>
      <c r="E306" t="inlineStr">
        <is>
          <t>MORA</t>
        </is>
      </c>
      <c r="F306" t="inlineStr">
        <is>
          <t>Kyrkan</t>
        </is>
      </c>
      <c r="G306" t="n">
        <v>5.1</v>
      </c>
      <c r="H306" t="n">
        <v>0</v>
      </c>
      <c r="I306" t="n">
        <v>0</v>
      </c>
      <c r="J306" t="n">
        <v>0</v>
      </c>
      <c r="K306" t="n">
        <v>0</v>
      </c>
      <c r="L306" t="n">
        <v>0</v>
      </c>
      <c r="M306" t="n">
        <v>0</v>
      </c>
      <c r="N306" t="n">
        <v>0</v>
      </c>
      <c r="O306" t="n">
        <v>0</v>
      </c>
      <c r="P306" t="n">
        <v>0</v>
      </c>
      <c r="Q306" t="n">
        <v>0</v>
      </c>
      <c r="R306" s="2" t="inlineStr"/>
    </row>
    <row r="307" ht="15" customHeight="1">
      <c r="A307" t="inlineStr">
        <is>
          <t>A 30166-2025</t>
        </is>
      </c>
      <c r="B307" s="1" t="n">
        <v>45827.33116898148</v>
      </c>
      <c r="C307" s="1" t="n">
        <v>46062</v>
      </c>
      <c r="D307" t="inlineStr">
        <is>
          <t>DALARNAS LÄN</t>
        </is>
      </c>
      <c r="E307" t="inlineStr">
        <is>
          <t>MORA</t>
        </is>
      </c>
      <c r="G307" t="n">
        <v>1.3</v>
      </c>
      <c r="H307" t="n">
        <v>0</v>
      </c>
      <c r="I307" t="n">
        <v>0</v>
      </c>
      <c r="J307" t="n">
        <v>0</v>
      </c>
      <c r="K307" t="n">
        <v>0</v>
      </c>
      <c r="L307" t="n">
        <v>0</v>
      </c>
      <c r="M307" t="n">
        <v>0</v>
      </c>
      <c r="N307" t="n">
        <v>0</v>
      </c>
      <c r="O307" t="n">
        <v>0</v>
      </c>
      <c r="P307" t="n">
        <v>0</v>
      </c>
      <c r="Q307" t="n">
        <v>0</v>
      </c>
      <c r="R307" s="2" t="inlineStr"/>
    </row>
    <row r="308" ht="15" customHeight="1">
      <c r="A308" t="inlineStr">
        <is>
          <t>A 29870-2025</t>
        </is>
      </c>
      <c r="B308" s="1" t="n">
        <v>45826.35716435185</v>
      </c>
      <c r="C308" s="1" t="n">
        <v>46062</v>
      </c>
      <c r="D308" t="inlineStr">
        <is>
          <t>DALARNAS LÄN</t>
        </is>
      </c>
      <c r="E308" t="inlineStr">
        <is>
          <t>MORA</t>
        </is>
      </c>
      <c r="G308" t="n">
        <v>1.2</v>
      </c>
      <c r="H308" t="n">
        <v>0</v>
      </c>
      <c r="I308" t="n">
        <v>0</v>
      </c>
      <c r="J308" t="n">
        <v>0</v>
      </c>
      <c r="K308" t="n">
        <v>0</v>
      </c>
      <c r="L308" t="n">
        <v>0</v>
      </c>
      <c r="M308" t="n">
        <v>0</v>
      </c>
      <c r="N308" t="n">
        <v>0</v>
      </c>
      <c r="O308" t="n">
        <v>0</v>
      </c>
      <c r="P308" t="n">
        <v>0</v>
      </c>
      <c r="Q308" t="n">
        <v>0</v>
      </c>
      <c r="R308" s="2" t="inlineStr"/>
    </row>
    <row r="309" ht="15" customHeight="1">
      <c r="A309" t="inlineStr">
        <is>
          <t>A 29873-2025</t>
        </is>
      </c>
      <c r="B309" s="1" t="n">
        <v>45826</v>
      </c>
      <c r="C309" s="1" t="n">
        <v>46062</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52908-2023</t>
        </is>
      </c>
      <c r="B310" s="1" t="n">
        <v>45226.49950231481</v>
      </c>
      <c r="C310" s="1" t="n">
        <v>46062</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18214-2024</t>
        </is>
      </c>
      <c r="B311" s="1" t="n">
        <v>45420</v>
      </c>
      <c r="C311" s="1" t="n">
        <v>46062</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44621-2025</t>
        </is>
      </c>
      <c r="B312" s="1" t="n">
        <v>45917.466875</v>
      </c>
      <c r="C312" s="1" t="n">
        <v>46062</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45181-2025</t>
        </is>
      </c>
      <c r="B313" s="1" t="n">
        <v>45919.53329861111</v>
      </c>
      <c r="C313" s="1" t="n">
        <v>46062</v>
      </c>
      <c r="D313" t="inlineStr">
        <is>
          <t>DALARNAS LÄN</t>
        </is>
      </c>
      <c r="E313" t="inlineStr">
        <is>
          <t>MORA</t>
        </is>
      </c>
      <c r="G313" t="n">
        <v>4.5</v>
      </c>
      <c r="H313" t="n">
        <v>0</v>
      </c>
      <c r="I313" t="n">
        <v>0</v>
      </c>
      <c r="J313" t="n">
        <v>0</v>
      </c>
      <c r="K313" t="n">
        <v>0</v>
      </c>
      <c r="L313" t="n">
        <v>0</v>
      </c>
      <c r="M313" t="n">
        <v>0</v>
      </c>
      <c r="N313" t="n">
        <v>0</v>
      </c>
      <c r="O313" t="n">
        <v>0</v>
      </c>
      <c r="P313" t="n">
        <v>0</v>
      </c>
      <c r="Q313" t="n">
        <v>0</v>
      </c>
      <c r="R313" s="2" t="inlineStr"/>
    </row>
    <row r="314" ht="15" customHeight="1">
      <c r="A314" t="inlineStr">
        <is>
          <t>A 30507-2025</t>
        </is>
      </c>
      <c r="B314" s="1" t="n">
        <v>45831.24760416667</v>
      </c>
      <c r="C314" s="1" t="n">
        <v>46062</v>
      </c>
      <c r="D314" t="inlineStr">
        <is>
          <t>DALARNAS LÄN</t>
        </is>
      </c>
      <c r="E314" t="inlineStr">
        <is>
          <t>MORA</t>
        </is>
      </c>
      <c r="G314" t="n">
        <v>1.6</v>
      </c>
      <c r="H314" t="n">
        <v>0</v>
      </c>
      <c r="I314" t="n">
        <v>0</v>
      </c>
      <c r="J314" t="n">
        <v>0</v>
      </c>
      <c r="K314" t="n">
        <v>0</v>
      </c>
      <c r="L314" t="n">
        <v>0</v>
      </c>
      <c r="M314" t="n">
        <v>0</v>
      </c>
      <c r="N314" t="n">
        <v>0</v>
      </c>
      <c r="O314" t="n">
        <v>0</v>
      </c>
      <c r="P314" t="n">
        <v>0</v>
      </c>
      <c r="Q314" t="n">
        <v>0</v>
      </c>
      <c r="R314" s="2" t="inlineStr"/>
    </row>
    <row r="315" ht="15" customHeight="1">
      <c r="A315" t="inlineStr">
        <is>
          <t>A 60465-2023</t>
        </is>
      </c>
      <c r="B315" s="1" t="n">
        <v>45259.57872685185</v>
      </c>
      <c r="C315" s="1" t="n">
        <v>46062</v>
      </c>
      <c r="D315" t="inlineStr">
        <is>
          <t>DALARNAS LÄN</t>
        </is>
      </c>
      <c r="E315" t="inlineStr">
        <is>
          <t>MORA</t>
        </is>
      </c>
      <c r="G315" t="n">
        <v>1.3</v>
      </c>
      <c r="H315" t="n">
        <v>0</v>
      </c>
      <c r="I315" t="n">
        <v>0</v>
      </c>
      <c r="J315" t="n">
        <v>0</v>
      </c>
      <c r="K315" t="n">
        <v>0</v>
      </c>
      <c r="L315" t="n">
        <v>0</v>
      </c>
      <c r="M315" t="n">
        <v>0</v>
      </c>
      <c r="N315" t="n">
        <v>0</v>
      </c>
      <c r="O315" t="n">
        <v>0</v>
      </c>
      <c r="P315" t="n">
        <v>0</v>
      </c>
      <c r="Q315" t="n">
        <v>0</v>
      </c>
      <c r="R315" s="2" t="inlineStr"/>
    </row>
    <row r="316" ht="15" customHeight="1">
      <c r="A316" t="inlineStr">
        <is>
          <t>A 30509-2025</t>
        </is>
      </c>
      <c r="B316" s="1" t="n">
        <v>45831.25519675926</v>
      </c>
      <c r="C316" s="1" t="n">
        <v>46062</v>
      </c>
      <c r="D316" t="inlineStr">
        <is>
          <t>DALARNAS LÄN</t>
        </is>
      </c>
      <c r="E316" t="inlineStr">
        <is>
          <t>MORA</t>
        </is>
      </c>
      <c r="G316" t="n">
        <v>1.7</v>
      </c>
      <c r="H316" t="n">
        <v>0</v>
      </c>
      <c r="I316" t="n">
        <v>0</v>
      </c>
      <c r="J316" t="n">
        <v>0</v>
      </c>
      <c r="K316" t="n">
        <v>0</v>
      </c>
      <c r="L316" t="n">
        <v>0</v>
      </c>
      <c r="M316" t="n">
        <v>0</v>
      </c>
      <c r="N316" t="n">
        <v>0</v>
      </c>
      <c r="O316" t="n">
        <v>0</v>
      </c>
      <c r="P316" t="n">
        <v>0</v>
      </c>
      <c r="Q316" t="n">
        <v>0</v>
      </c>
      <c r="R316" s="2" t="inlineStr"/>
    </row>
    <row r="317" ht="15" customHeight="1">
      <c r="A317" t="inlineStr">
        <is>
          <t>A 61654-2024</t>
        </is>
      </c>
      <c r="B317" s="1" t="n">
        <v>45646.74988425926</v>
      </c>
      <c r="C317" s="1" t="n">
        <v>46062</v>
      </c>
      <c r="D317" t="inlineStr">
        <is>
          <t>DALARNAS LÄN</t>
        </is>
      </c>
      <c r="E317" t="inlineStr">
        <is>
          <t>MORA</t>
        </is>
      </c>
      <c r="G317" t="n">
        <v>1.7</v>
      </c>
      <c r="H317" t="n">
        <v>0</v>
      </c>
      <c r="I317" t="n">
        <v>0</v>
      </c>
      <c r="J317" t="n">
        <v>0</v>
      </c>
      <c r="K317" t="n">
        <v>0</v>
      </c>
      <c r="L317" t="n">
        <v>0</v>
      </c>
      <c r="M317" t="n">
        <v>0</v>
      </c>
      <c r="N317" t="n">
        <v>0</v>
      </c>
      <c r="O317" t="n">
        <v>0</v>
      </c>
      <c r="P317" t="n">
        <v>0</v>
      </c>
      <c r="Q317" t="n">
        <v>0</v>
      </c>
      <c r="R317" s="2" t="inlineStr"/>
    </row>
    <row r="318" ht="15" customHeight="1">
      <c r="A318" t="inlineStr">
        <is>
          <t>A 60428-2023</t>
        </is>
      </c>
      <c r="B318" s="1" t="n">
        <v>45259.50996527778</v>
      </c>
      <c r="C318" s="1" t="n">
        <v>46062</v>
      </c>
      <c r="D318" t="inlineStr">
        <is>
          <t>DALARNAS LÄN</t>
        </is>
      </c>
      <c r="E318" t="inlineStr">
        <is>
          <t>MORA</t>
        </is>
      </c>
      <c r="G318" t="n">
        <v>4.9</v>
      </c>
      <c r="H318" t="n">
        <v>0</v>
      </c>
      <c r="I318" t="n">
        <v>0</v>
      </c>
      <c r="J318" t="n">
        <v>0</v>
      </c>
      <c r="K318" t="n">
        <v>0</v>
      </c>
      <c r="L318" t="n">
        <v>0</v>
      </c>
      <c r="M318" t="n">
        <v>0</v>
      </c>
      <c r="N318" t="n">
        <v>0</v>
      </c>
      <c r="O318" t="n">
        <v>0</v>
      </c>
      <c r="P318" t="n">
        <v>0</v>
      </c>
      <c r="Q318" t="n">
        <v>0</v>
      </c>
      <c r="R318" s="2" t="inlineStr"/>
    </row>
    <row r="319" ht="15" customHeight="1">
      <c r="A319" t="inlineStr">
        <is>
          <t>A 2308-2023</t>
        </is>
      </c>
      <c r="B319" s="1" t="n">
        <v>44942.57987268519</v>
      </c>
      <c r="C319" s="1" t="n">
        <v>46062</v>
      </c>
      <c r="D319" t="inlineStr">
        <is>
          <t>DALARNAS LÄN</t>
        </is>
      </c>
      <c r="E319" t="inlineStr">
        <is>
          <t>MORA</t>
        </is>
      </c>
      <c r="G319" t="n">
        <v>2.2</v>
      </c>
      <c r="H319" t="n">
        <v>0</v>
      </c>
      <c r="I319" t="n">
        <v>0</v>
      </c>
      <c r="J319" t="n">
        <v>0</v>
      </c>
      <c r="K319" t="n">
        <v>0</v>
      </c>
      <c r="L319" t="n">
        <v>0</v>
      </c>
      <c r="M319" t="n">
        <v>0</v>
      </c>
      <c r="N319" t="n">
        <v>0</v>
      </c>
      <c r="O319" t="n">
        <v>0</v>
      </c>
      <c r="P319" t="n">
        <v>0</v>
      </c>
      <c r="Q319" t="n">
        <v>0</v>
      </c>
      <c r="R319" s="2" t="inlineStr"/>
    </row>
    <row r="320" ht="15" customHeight="1">
      <c r="A320" t="inlineStr">
        <is>
          <t>A 45191-2025</t>
        </is>
      </c>
      <c r="B320" s="1" t="n">
        <v>45919.54811342592</v>
      </c>
      <c r="C320" s="1" t="n">
        <v>46062</v>
      </c>
      <c r="D320" t="inlineStr">
        <is>
          <t>DALARNAS LÄN</t>
        </is>
      </c>
      <c r="E320" t="inlineStr">
        <is>
          <t>MORA</t>
        </is>
      </c>
      <c r="G320" t="n">
        <v>2.2</v>
      </c>
      <c r="H320" t="n">
        <v>0</v>
      </c>
      <c r="I320" t="n">
        <v>0</v>
      </c>
      <c r="J320" t="n">
        <v>0</v>
      </c>
      <c r="K320" t="n">
        <v>0</v>
      </c>
      <c r="L320" t="n">
        <v>0</v>
      </c>
      <c r="M320" t="n">
        <v>0</v>
      </c>
      <c r="N320" t="n">
        <v>0</v>
      </c>
      <c r="O320" t="n">
        <v>0</v>
      </c>
      <c r="P320" t="n">
        <v>0</v>
      </c>
      <c r="Q320" t="n">
        <v>0</v>
      </c>
      <c r="R320" s="2" t="inlineStr"/>
    </row>
    <row r="321" ht="15" customHeight="1">
      <c r="A321" t="inlineStr">
        <is>
          <t>A 30989-2025</t>
        </is>
      </c>
      <c r="B321" s="1" t="n">
        <v>45832.48185185185</v>
      </c>
      <c r="C321" s="1" t="n">
        <v>46062</v>
      </c>
      <c r="D321" t="inlineStr">
        <is>
          <t>DALARNAS LÄN</t>
        </is>
      </c>
      <c r="E321" t="inlineStr">
        <is>
          <t>MORA</t>
        </is>
      </c>
      <c r="F321" t="inlineStr">
        <is>
          <t>Bergvik skog öst AB</t>
        </is>
      </c>
      <c r="G321" t="n">
        <v>4.1</v>
      </c>
      <c r="H321" t="n">
        <v>0</v>
      </c>
      <c r="I321" t="n">
        <v>0</v>
      </c>
      <c r="J321" t="n">
        <v>0</v>
      </c>
      <c r="K321" t="n">
        <v>0</v>
      </c>
      <c r="L321" t="n">
        <v>0</v>
      </c>
      <c r="M321" t="n">
        <v>0</v>
      </c>
      <c r="N321" t="n">
        <v>0</v>
      </c>
      <c r="O321" t="n">
        <v>0</v>
      </c>
      <c r="P321" t="n">
        <v>0</v>
      </c>
      <c r="Q321" t="n">
        <v>0</v>
      </c>
      <c r="R321" s="2" t="inlineStr"/>
    </row>
    <row r="322" ht="15" customHeight="1">
      <c r="A322" t="inlineStr">
        <is>
          <t>A 53159-2024</t>
        </is>
      </c>
      <c r="B322" s="1" t="n">
        <v>45611.63849537037</v>
      </c>
      <c r="C322" s="1" t="n">
        <v>46062</v>
      </c>
      <c r="D322" t="inlineStr">
        <is>
          <t>DALARNAS LÄN</t>
        </is>
      </c>
      <c r="E322" t="inlineStr">
        <is>
          <t>MORA</t>
        </is>
      </c>
      <c r="G322" t="n">
        <v>3.3</v>
      </c>
      <c r="H322" t="n">
        <v>0</v>
      </c>
      <c r="I322" t="n">
        <v>0</v>
      </c>
      <c r="J322" t="n">
        <v>0</v>
      </c>
      <c r="K322" t="n">
        <v>0</v>
      </c>
      <c r="L322" t="n">
        <v>0</v>
      </c>
      <c r="M322" t="n">
        <v>0</v>
      </c>
      <c r="N322" t="n">
        <v>0</v>
      </c>
      <c r="O322" t="n">
        <v>0</v>
      </c>
      <c r="P322" t="n">
        <v>0</v>
      </c>
      <c r="Q322" t="n">
        <v>0</v>
      </c>
      <c r="R322" s="2" t="inlineStr"/>
    </row>
    <row r="323" ht="15" customHeight="1">
      <c r="A323" t="inlineStr">
        <is>
          <t>A 29754-2022</t>
        </is>
      </c>
      <c r="B323" s="1" t="n">
        <v>44755.59188657408</v>
      </c>
      <c r="C323" s="1" t="n">
        <v>46062</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27188-2023</t>
        </is>
      </c>
      <c r="B324" s="1" t="n">
        <v>45096</v>
      </c>
      <c r="C324" s="1" t="n">
        <v>46062</v>
      </c>
      <c r="D324" t="inlineStr">
        <is>
          <t>DALARNAS LÄN</t>
        </is>
      </c>
      <c r="E324" t="inlineStr">
        <is>
          <t>MORA</t>
        </is>
      </c>
      <c r="G324" t="n">
        <v>4.8</v>
      </c>
      <c r="H324" t="n">
        <v>0</v>
      </c>
      <c r="I324" t="n">
        <v>0</v>
      </c>
      <c r="J324" t="n">
        <v>0</v>
      </c>
      <c r="K324" t="n">
        <v>0</v>
      </c>
      <c r="L324" t="n">
        <v>0</v>
      </c>
      <c r="M324" t="n">
        <v>0</v>
      </c>
      <c r="N324" t="n">
        <v>0</v>
      </c>
      <c r="O324" t="n">
        <v>0</v>
      </c>
      <c r="P324" t="n">
        <v>0</v>
      </c>
      <c r="Q324" t="n">
        <v>0</v>
      </c>
      <c r="R324" s="2" t="inlineStr"/>
    </row>
    <row r="325" ht="15" customHeight="1">
      <c r="A325" t="inlineStr">
        <is>
          <t>A 56268-2024</t>
        </is>
      </c>
      <c r="B325" s="1" t="n">
        <v>45624.65785879629</v>
      </c>
      <c r="C325" s="1" t="n">
        <v>46062</v>
      </c>
      <c r="D325" t="inlineStr">
        <is>
          <t>DALARNAS LÄN</t>
        </is>
      </c>
      <c r="E325" t="inlineStr">
        <is>
          <t>MORA</t>
        </is>
      </c>
      <c r="G325" t="n">
        <v>2.7</v>
      </c>
      <c r="H325" t="n">
        <v>0</v>
      </c>
      <c r="I325" t="n">
        <v>0</v>
      </c>
      <c r="J325" t="n">
        <v>0</v>
      </c>
      <c r="K325" t="n">
        <v>0</v>
      </c>
      <c r="L325" t="n">
        <v>0</v>
      </c>
      <c r="M325" t="n">
        <v>0</v>
      </c>
      <c r="N325" t="n">
        <v>0</v>
      </c>
      <c r="O325" t="n">
        <v>0</v>
      </c>
      <c r="P325" t="n">
        <v>0</v>
      </c>
      <c r="Q325" t="n">
        <v>0</v>
      </c>
      <c r="R325" s="2" t="inlineStr"/>
    </row>
    <row r="326" ht="15" customHeight="1">
      <c r="A326" t="inlineStr">
        <is>
          <t>A 14641-2023</t>
        </is>
      </c>
      <c r="B326" s="1" t="n">
        <v>45013</v>
      </c>
      <c r="C326" s="1" t="n">
        <v>46062</v>
      </c>
      <c r="D326" t="inlineStr">
        <is>
          <t>DALARNAS LÄN</t>
        </is>
      </c>
      <c r="E326" t="inlineStr">
        <is>
          <t>MORA</t>
        </is>
      </c>
      <c r="G326" t="n">
        <v>1.5</v>
      </c>
      <c r="H326" t="n">
        <v>0</v>
      </c>
      <c r="I326" t="n">
        <v>0</v>
      </c>
      <c r="J326" t="n">
        <v>0</v>
      </c>
      <c r="K326" t="n">
        <v>0</v>
      </c>
      <c r="L326" t="n">
        <v>0</v>
      </c>
      <c r="M326" t="n">
        <v>0</v>
      </c>
      <c r="N326" t="n">
        <v>0</v>
      </c>
      <c r="O326" t="n">
        <v>0</v>
      </c>
      <c r="P326" t="n">
        <v>0</v>
      </c>
      <c r="Q326" t="n">
        <v>0</v>
      </c>
      <c r="R326" s="2" t="inlineStr"/>
    </row>
    <row r="327" ht="15" customHeight="1">
      <c r="A327" t="inlineStr">
        <is>
          <t>A 30858-2025</t>
        </is>
      </c>
      <c r="B327" s="1" t="n">
        <v>45831.92416666666</v>
      </c>
      <c r="C327" s="1" t="n">
        <v>46062</v>
      </c>
      <c r="D327" t="inlineStr">
        <is>
          <t>DALARNAS LÄN</t>
        </is>
      </c>
      <c r="E327" t="inlineStr">
        <is>
          <t>MORA</t>
        </is>
      </c>
      <c r="G327" t="n">
        <v>2.9</v>
      </c>
      <c r="H327" t="n">
        <v>0</v>
      </c>
      <c r="I327" t="n">
        <v>0</v>
      </c>
      <c r="J327" t="n">
        <v>0</v>
      </c>
      <c r="K327" t="n">
        <v>0</v>
      </c>
      <c r="L327" t="n">
        <v>0</v>
      </c>
      <c r="M327" t="n">
        <v>0</v>
      </c>
      <c r="N327" t="n">
        <v>0</v>
      </c>
      <c r="O327" t="n">
        <v>0</v>
      </c>
      <c r="P327" t="n">
        <v>0</v>
      </c>
      <c r="Q327" t="n">
        <v>0</v>
      </c>
      <c r="R327" s="2" t="inlineStr"/>
    </row>
    <row r="328" ht="15" customHeight="1">
      <c r="A328" t="inlineStr">
        <is>
          <t>A 30859-2025</t>
        </is>
      </c>
      <c r="B328" s="1" t="n">
        <v>45831.93105324074</v>
      </c>
      <c r="C328" s="1" t="n">
        <v>46062</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57408-2024</t>
        </is>
      </c>
      <c r="B329" s="1" t="n">
        <v>45629</v>
      </c>
      <c r="C329" s="1" t="n">
        <v>46062</v>
      </c>
      <c r="D329" t="inlineStr">
        <is>
          <t>DALARNAS LÄN</t>
        </is>
      </c>
      <c r="E329" t="inlineStr">
        <is>
          <t>MORA</t>
        </is>
      </c>
      <c r="F329" t="inlineStr">
        <is>
          <t>Allmännings- och besparingsskogar</t>
        </is>
      </c>
      <c r="G329" t="n">
        <v>2.5</v>
      </c>
      <c r="H329" t="n">
        <v>0</v>
      </c>
      <c r="I329" t="n">
        <v>0</v>
      </c>
      <c r="J329" t="n">
        <v>0</v>
      </c>
      <c r="K329" t="n">
        <v>0</v>
      </c>
      <c r="L329" t="n">
        <v>0</v>
      </c>
      <c r="M329" t="n">
        <v>0</v>
      </c>
      <c r="N329" t="n">
        <v>0</v>
      </c>
      <c r="O329" t="n">
        <v>0</v>
      </c>
      <c r="P329" t="n">
        <v>0</v>
      </c>
      <c r="Q329" t="n">
        <v>0</v>
      </c>
      <c r="R329" s="2" t="inlineStr"/>
    </row>
    <row r="330" ht="15" customHeight="1">
      <c r="A330" t="inlineStr">
        <is>
          <t>A 46090-2025</t>
        </is>
      </c>
      <c r="B330" s="1" t="n">
        <v>45924.5253125</v>
      </c>
      <c r="C330" s="1" t="n">
        <v>46062</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46091-2025</t>
        </is>
      </c>
      <c r="B331" s="1" t="n">
        <v>45924.52871527777</v>
      </c>
      <c r="C331" s="1" t="n">
        <v>46062</v>
      </c>
      <c r="D331" t="inlineStr">
        <is>
          <t>DALARNAS LÄN</t>
        </is>
      </c>
      <c r="E331" t="inlineStr">
        <is>
          <t>MORA</t>
        </is>
      </c>
      <c r="G331" t="n">
        <v>1.2</v>
      </c>
      <c r="H331" t="n">
        <v>0</v>
      </c>
      <c r="I331" t="n">
        <v>0</v>
      </c>
      <c r="J331" t="n">
        <v>0</v>
      </c>
      <c r="K331" t="n">
        <v>0</v>
      </c>
      <c r="L331" t="n">
        <v>0</v>
      </c>
      <c r="M331" t="n">
        <v>0</v>
      </c>
      <c r="N331" t="n">
        <v>0</v>
      </c>
      <c r="O331" t="n">
        <v>0</v>
      </c>
      <c r="P331" t="n">
        <v>0</v>
      </c>
      <c r="Q331" t="n">
        <v>0</v>
      </c>
      <c r="R331" s="2" t="inlineStr"/>
    </row>
    <row r="332" ht="15" customHeight="1">
      <c r="A332" t="inlineStr">
        <is>
          <t>A 1252-2025</t>
        </is>
      </c>
      <c r="B332" s="1" t="n">
        <v>45667.46648148148</v>
      </c>
      <c r="C332" s="1" t="n">
        <v>46062</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46283-2025</t>
        </is>
      </c>
      <c r="B333" s="1" t="n">
        <v>45925</v>
      </c>
      <c r="C333" s="1" t="n">
        <v>46062</v>
      </c>
      <c r="D333" t="inlineStr">
        <is>
          <t>DALARNAS LÄN</t>
        </is>
      </c>
      <c r="E333" t="inlineStr">
        <is>
          <t>MORA</t>
        </is>
      </c>
      <c r="G333" t="n">
        <v>0.5</v>
      </c>
      <c r="H333" t="n">
        <v>0</v>
      </c>
      <c r="I333" t="n">
        <v>0</v>
      </c>
      <c r="J333" t="n">
        <v>0</v>
      </c>
      <c r="K333" t="n">
        <v>0</v>
      </c>
      <c r="L333" t="n">
        <v>0</v>
      </c>
      <c r="M333" t="n">
        <v>0</v>
      </c>
      <c r="N333" t="n">
        <v>0</v>
      </c>
      <c r="O333" t="n">
        <v>0</v>
      </c>
      <c r="P333" t="n">
        <v>0</v>
      </c>
      <c r="Q333" t="n">
        <v>0</v>
      </c>
      <c r="R333" s="2" t="inlineStr"/>
    </row>
    <row r="334" ht="15" customHeight="1">
      <c r="A334" t="inlineStr">
        <is>
          <t>A 9554-2025</t>
        </is>
      </c>
      <c r="B334" s="1" t="n">
        <v>45715.59936342593</v>
      </c>
      <c r="C334" s="1" t="n">
        <v>46062</v>
      </c>
      <c r="D334" t="inlineStr">
        <is>
          <t>DALARNAS LÄN</t>
        </is>
      </c>
      <c r="E334" t="inlineStr">
        <is>
          <t>MORA</t>
        </is>
      </c>
      <c r="G334" t="n">
        <v>0.9</v>
      </c>
      <c r="H334" t="n">
        <v>0</v>
      </c>
      <c r="I334" t="n">
        <v>0</v>
      </c>
      <c r="J334" t="n">
        <v>0</v>
      </c>
      <c r="K334" t="n">
        <v>0</v>
      </c>
      <c r="L334" t="n">
        <v>0</v>
      </c>
      <c r="M334" t="n">
        <v>0</v>
      </c>
      <c r="N334" t="n">
        <v>0</v>
      </c>
      <c r="O334" t="n">
        <v>0</v>
      </c>
      <c r="P334" t="n">
        <v>0</v>
      </c>
      <c r="Q334" t="n">
        <v>0</v>
      </c>
      <c r="R334" s="2" t="inlineStr"/>
    </row>
    <row r="335" ht="15" customHeight="1">
      <c r="A335" t="inlineStr">
        <is>
          <t>A 46525-2025</t>
        </is>
      </c>
      <c r="B335" s="1" t="n">
        <v>45926.3312962963</v>
      </c>
      <c r="C335" s="1" t="n">
        <v>46062</v>
      </c>
      <c r="D335" t="inlineStr">
        <is>
          <t>DALARNAS LÄN</t>
        </is>
      </c>
      <c r="E335" t="inlineStr">
        <is>
          <t>MORA</t>
        </is>
      </c>
      <c r="G335" t="n">
        <v>6.3</v>
      </c>
      <c r="H335" t="n">
        <v>0</v>
      </c>
      <c r="I335" t="n">
        <v>0</v>
      </c>
      <c r="J335" t="n">
        <v>0</v>
      </c>
      <c r="K335" t="n">
        <v>0</v>
      </c>
      <c r="L335" t="n">
        <v>0</v>
      </c>
      <c r="M335" t="n">
        <v>0</v>
      </c>
      <c r="N335" t="n">
        <v>0</v>
      </c>
      <c r="O335" t="n">
        <v>0</v>
      </c>
      <c r="P335" t="n">
        <v>0</v>
      </c>
      <c r="Q335" t="n">
        <v>0</v>
      </c>
      <c r="R335" s="2" t="inlineStr"/>
    </row>
    <row r="336" ht="15" customHeight="1">
      <c r="A336" t="inlineStr">
        <is>
          <t>A 571-2024</t>
        </is>
      </c>
      <c r="B336" s="1" t="n">
        <v>45299</v>
      </c>
      <c r="C336" s="1" t="n">
        <v>46062</v>
      </c>
      <c r="D336" t="inlineStr">
        <is>
          <t>DALARNAS LÄN</t>
        </is>
      </c>
      <c r="E336" t="inlineStr">
        <is>
          <t>MORA</t>
        </is>
      </c>
      <c r="G336" t="n">
        <v>3.3</v>
      </c>
      <c r="H336" t="n">
        <v>0</v>
      </c>
      <c r="I336" t="n">
        <v>0</v>
      </c>
      <c r="J336" t="n">
        <v>0</v>
      </c>
      <c r="K336" t="n">
        <v>0</v>
      </c>
      <c r="L336" t="n">
        <v>0</v>
      </c>
      <c r="M336" t="n">
        <v>0</v>
      </c>
      <c r="N336" t="n">
        <v>0</v>
      </c>
      <c r="O336" t="n">
        <v>0</v>
      </c>
      <c r="P336" t="n">
        <v>0</v>
      </c>
      <c r="Q336" t="n">
        <v>0</v>
      </c>
      <c r="R336" s="2" t="inlineStr"/>
    </row>
    <row r="337" ht="15" customHeight="1">
      <c r="A337" t="inlineStr">
        <is>
          <t>A 20549-2025</t>
        </is>
      </c>
      <c r="B337" s="1" t="n">
        <v>45775.63459490741</v>
      </c>
      <c r="C337" s="1" t="n">
        <v>46062</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31846-2025</t>
        </is>
      </c>
      <c r="B338" s="1" t="n">
        <v>45834.60209490741</v>
      </c>
      <c r="C338" s="1" t="n">
        <v>46062</v>
      </c>
      <c r="D338" t="inlineStr">
        <is>
          <t>DALARNAS LÄN</t>
        </is>
      </c>
      <c r="E338" t="inlineStr">
        <is>
          <t>MORA</t>
        </is>
      </c>
      <c r="G338" t="n">
        <v>3.6</v>
      </c>
      <c r="H338" t="n">
        <v>0</v>
      </c>
      <c r="I338" t="n">
        <v>0</v>
      </c>
      <c r="J338" t="n">
        <v>0</v>
      </c>
      <c r="K338" t="n">
        <v>0</v>
      </c>
      <c r="L338" t="n">
        <v>0</v>
      </c>
      <c r="M338" t="n">
        <v>0</v>
      </c>
      <c r="N338" t="n">
        <v>0</v>
      </c>
      <c r="O338" t="n">
        <v>0</v>
      </c>
      <c r="P338" t="n">
        <v>0</v>
      </c>
      <c r="Q338" t="n">
        <v>0</v>
      </c>
      <c r="R338" s="2" t="inlineStr"/>
    </row>
    <row r="339" ht="15" customHeight="1">
      <c r="A339" t="inlineStr">
        <is>
          <t>A 31849-2025</t>
        </is>
      </c>
      <c r="B339" s="1" t="n">
        <v>45834.60525462963</v>
      </c>
      <c r="C339" s="1" t="n">
        <v>46062</v>
      </c>
      <c r="D339" t="inlineStr">
        <is>
          <t>DALARNAS LÄN</t>
        </is>
      </c>
      <c r="E339" t="inlineStr">
        <is>
          <t>MORA</t>
        </is>
      </c>
      <c r="G339" t="n">
        <v>3.9</v>
      </c>
      <c r="H339" t="n">
        <v>0</v>
      </c>
      <c r="I339" t="n">
        <v>0</v>
      </c>
      <c r="J339" t="n">
        <v>0</v>
      </c>
      <c r="K339" t="n">
        <v>0</v>
      </c>
      <c r="L339" t="n">
        <v>0</v>
      </c>
      <c r="M339" t="n">
        <v>0</v>
      </c>
      <c r="N339" t="n">
        <v>0</v>
      </c>
      <c r="O339" t="n">
        <v>0</v>
      </c>
      <c r="P339" t="n">
        <v>0</v>
      </c>
      <c r="Q339" t="n">
        <v>0</v>
      </c>
      <c r="R339" s="2" t="inlineStr"/>
    </row>
    <row r="340" ht="15" customHeight="1">
      <c r="A340" t="inlineStr">
        <is>
          <t>A 12478-2025</t>
        </is>
      </c>
      <c r="B340" s="1" t="n">
        <v>45730.57429398148</v>
      </c>
      <c r="C340" s="1" t="n">
        <v>46062</v>
      </c>
      <c r="D340" t="inlineStr">
        <is>
          <t>DALARNAS LÄN</t>
        </is>
      </c>
      <c r="E340" t="inlineStr">
        <is>
          <t>MORA</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46537-2025</t>
        </is>
      </c>
      <c r="B341" s="1" t="n">
        <v>45926.34195601852</v>
      </c>
      <c r="C341" s="1" t="n">
        <v>46062</v>
      </c>
      <c r="D341" t="inlineStr">
        <is>
          <t>DALARNAS LÄN</t>
        </is>
      </c>
      <c r="E341" t="inlineStr">
        <is>
          <t>MORA</t>
        </is>
      </c>
      <c r="G341" t="n">
        <v>10.6</v>
      </c>
      <c r="H341" t="n">
        <v>0</v>
      </c>
      <c r="I341" t="n">
        <v>0</v>
      </c>
      <c r="J341" t="n">
        <v>0</v>
      </c>
      <c r="K341" t="n">
        <v>0</v>
      </c>
      <c r="L341" t="n">
        <v>0</v>
      </c>
      <c r="M341" t="n">
        <v>0</v>
      </c>
      <c r="N341" t="n">
        <v>0</v>
      </c>
      <c r="O341" t="n">
        <v>0</v>
      </c>
      <c r="P341" t="n">
        <v>0</v>
      </c>
      <c r="Q341" t="n">
        <v>0</v>
      </c>
      <c r="R341" s="2" t="inlineStr"/>
    </row>
    <row r="342" ht="15" customHeight="1">
      <c r="A342" t="inlineStr">
        <is>
          <t>A 53743-2024</t>
        </is>
      </c>
      <c r="B342" s="1" t="n">
        <v>45615.47137731482</v>
      </c>
      <c r="C342" s="1" t="n">
        <v>46062</v>
      </c>
      <c r="D342" t="inlineStr">
        <is>
          <t>DALARNAS LÄN</t>
        </is>
      </c>
      <c r="E342" t="inlineStr">
        <is>
          <t>MORA</t>
        </is>
      </c>
      <c r="G342" t="n">
        <v>1.4</v>
      </c>
      <c r="H342" t="n">
        <v>0</v>
      </c>
      <c r="I342" t="n">
        <v>0</v>
      </c>
      <c r="J342" t="n">
        <v>0</v>
      </c>
      <c r="K342" t="n">
        <v>0</v>
      </c>
      <c r="L342" t="n">
        <v>0</v>
      </c>
      <c r="M342" t="n">
        <v>0</v>
      </c>
      <c r="N342" t="n">
        <v>0</v>
      </c>
      <c r="O342" t="n">
        <v>0</v>
      </c>
      <c r="P342" t="n">
        <v>0</v>
      </c>
      <c r="Q342" t="n">
        <v>0</v>
      </c>
      <c r="R342" s="2" t="inlineStr"/>
    </row>
    <row r="343" ht="15" customHeight="1">
      <c r="A343" t="inlineStr">
        <is>
          <t>A 47140-2025</t>
        </is>
      </c>
      <c r="B343" s="1" t="n">
        <v>45929</v>
      </c>
      <c r="C343" s="1" t="n">
        <v>46062</v>
      </c>
      <c r="D343" t="inlineStr">
        <is>
          <t>DALARNAS LÄN</t>
        </is>
      </c>
      <c r="E343" t="inlineStr">
        <is>
          <t>MORA</t>
        </is>
      </c>
      <c r="G343" t="n">
        <v>6.7</v>
      </c>
      <c r="H343" t="n">
        <v>0</v>
      </c>
      <c r="I343" t="n">
        <v>0</v>
      </c>
      <c r="J343" t="n">
        <v>0</v>
      </c>
      <c r="K343" t="n">
        <v>0</v>
      </c>
      <c r="L343" t="n">
        <v>0</v>
      </c>
      <c r="M343" t="n">
        <v>0</v>
      </c>
      <c r="N343" t="n">
        <v>0</v>
      </c>
      <c r="O343" t="n">
        <v>0</v>
      </c>
      <c r="P343" t="n">
        <v>0</v>
      </c>
      <c r="Q343" t="n">
        <v>0</v>
      </c>
      <c r="R343" s="2" t="inlineStr"/>
    </row>
    <row r="344" ht="15" customHeight="1">
      <c r="A344" t="inlineStr">
        <is>
          <t>A 47055-2025</t>
        </is>
      </c>
      <c r="B344" s="1" t="n">
        <v>45929.61931712963</v>
      </c>
      <c r="C344" s="1" t="n">
        <v>46062</v>
      </c>
      <c r="D344" t="inlineStr">
        <is>
          <t>DALARNAS LÄN</t>
        </is>
      </c>
      <c r="E344" t="inlineStr">
        <is>
          <t>MORA</t>
        </is>
      </c>
      <c r="G344" t="n">
        <v>28.1</v>
      </c>
      <c r="H344" t="n">
        <v>0</v>
      </c>
      <c r="I344" t="n">
        <v>0</v>
      </c>
      <c r="J344" t="n">
        <v>0</v>
      </c>
      <c r="K344" t="n">
        <v>0</v>
      </c>
      <c r="L344" t="n">
        <v>0</v>
      </c>
      <c r="M344" t="n">
        <v>0</v>
      </c>
      <c r="N344" t="n">
        <v>0</v>
      </c>
      <c r="O344" t="n">
        <v>0</v>
      </c>
      <c r="P344" t="n">
        <v>0</v>
      </c>
      <c r="Q344" t="n">
        <v>0</v>
      </c>
      <c r="R344" s="2" t="inlineStr"/>
    </row>
    <row r="345" ht="15" customHeight="1">
      <c r="A345" t="inlineStr">
        <is>
          <t>A 47072-2025</t>
        </is>
      </c>
      <c r="B345" s="1" t="n">
        <v>45929.6365162037</v>
      </c>
      <c r="C345" s="1" t="n">
        <v>46062</v>
      </c>
      <c r="D345" t="inlineStr">
        <is>
          <t>DALARNAS LÄN</t>
        </is>
      </c>
      <c r="E345" t="inlineStr">
        <is>
          <t>MORA</t>
        </is>
      </c>
      <c r="G345" t="n">
        <v>3.4</v>
      </c>
      <c r="H345" t="n">
        <v>0</v>
      </c>
      <c r="I345" t="n">
        <v>0</v>
      </c>
      <c r="J345" t="n">
        <v>0</v>
      </c>
      <c r="K345" t="n">
        <v>0</v>
      </c>
      <c r="L345" t="n">
        <v>0</v>
      </c>
      <c r="M345" t="n">
        <v>0</v>
      </c>
      <c r="N345" t="n">
        <v>0</v>
      </c>
      <c r="O345" t="n">
        <v>0</v>
      </c>
      <c r="P345" t="n">
        <v>0</v>
      </c>
      <c r="Q345" t="n">
        <v>0</v>
      </c>
      <c r="R345" s="2" t="inlineStr"/>
    </row>
    <row r="346" ht="15" customHeight="1">
      <c r="A346" t="inlineStr">
        <is>
          <t>A 31842-2025</t>
        </is>
      </c>
      <c r="B346" s="1" t="n">
        <v>45834.59822916667</v>
      </c>
      <c r="C346" s="1" t="n">
        <v>46062</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18806-2025</t>
        </is>
      </c>
      <c r="B347" s="1" t="n">
        <v>45764.35269675926</v>
      </c>
      <c r="C347" s="1" t="n">
        <v>46062</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47414-2025</t>
        </is>
      </c>
      <c r="B348" s="1" t="n">
        <v>45930.61896990741</v>
      </c>
      <c r="C348" s="1" t="n">
        <v>46062</v>
      </c>
      <c r="D348" t="inlineStr">
        <is>
          <t>DALARNAS LÄN</t>
        </is>
      </c>
      <c r="E348" t="inlineStr">
        <is>
          <t>MORA</t>
        </is>
      </c>
      <c r="G348" t="n">
        <v>6.1</v>
      </c>
      <c r="H348" t="n">
        <v>0</v>
      </c>
      <c r="I348" t="n">
        <v>0</v>
      </c>
      <c r="J348" t="n">
        <v>0</v>
      </c>
      <c r="K348" t="n">
        <v>0</v>
      </c>
      <c r="L348" t="n">
        <v>0</v>
      </c>
      <c r="M348" t="n">
        <v>0</v>
      </c>
      <c r="N348" t="n">
        <v>0</v>
      </c>
      <c r="O348" t="n">
        <v>0</v>
      </c>
      <c r="P348" t="n">
        <v>0</v>
      </c>
      <c r="Q348" t="n">
        <v>0</v>
      </c>
      <c r="R348" s="2" t="inlineStr"/>
    </row>
    <row r="349" ht="15" customHeight="1">
      <c r="A349" t="inlineStr">
        <is>
          <t>A 47765-2025</t>
        </is>
      </c>
      <c r="B349" s="1" t="n">
        <v>45931.69100694444</v>
      </c>
      <c r="C349" s="1" t="n">
        <v>46062</v>
      </c>
      <c r="D349" t="inlineStr">
        <is>
          <t>DALARNAS LÄN</t>
        </is>
      </c>
      <c r="E349" t="inlineStr">
        <is>
          <t>MORA</t>
        </is>
      </c>
      <c r="G349" t="n">
        <v>1.7</v>
      </c>
      <c r="H349" t="n">
        <v>0</v>
      </c>
      <c r="I349" t="n">
        <v>0</v>
      </c>
      <c r="J349" t="n">
        <v>0</v>
      </c>
      <c r="K349" t="n">
        <v>0</v>
      </c>
      <c r="L349" t="n">
        <v>0</v>
      </c>
      <c r="M349" t="n">
        <v>0</v>
      </c>
      <c r="N349" t="n">
        <v>0</v>
      </c>
      <c r="O349" t="n">
        <v>0</v>
      </c>
      <c r="P349" t="n">
        <v>0</v>
      </c>
      <c r="Q349" t="n">
        <v>0</v>
      </c>
      <c r="R349" s="2" t="inlineStr"/>
    </row>
    <row r="350" ht="15" customHeight="1">
      <c r="A350" t="inlineStr">
        <is>
          <t>A 47769-2025</t>
        </is>
      </c>
      <c r="B350" s="1" t="n">
        <v>45931.70715277778</v>
      </c>
      <c r="C350" s="1" t="n">
        <v>46062</v>
      </c>
      <c r="D350" t="inlineStr">
        <is>
          <t>DALARNAS LÄN</t>
        </is>
      </c>
      <c r="E350" t="inlineStr">
        <is>
          <t>MORA</t>
        </is>
      </c>
      <c r="G350" t="n">
        <v>6.7</v>
      </c>
      <c r="H350" t="n">
        <v>0</v>
      </c>
      <c r="I350" t="n">
        <v>0</v>
      </c>
      <c r="J350" t="n">
        <v>0</v>
      </c>
      <c r="K350" t="n">
        <v>0</v>
      </c>
      <c r="L350" t="n">
        <v>0</v>
      </c>
      <c r="M350" t="n">
        <v>0</v>
      </c>
      <c r="N350" t="n">
        <v>0</v>
      </c>
      <c r="O350" t="n">
        <v>0</v>
      </c>
      <c r="P350" t="n">
        <v>0</v>
      </c>
      <c r="Q350" t="n">
        <v>0</v>
      </c>
      <c r="R350" s="2" t="inlineStr"/>
    </row>
    <row r="351" ht="15" customHeight="1">
      <c r="A351" t="inlineStr">
        <is>
          <t>A 54628-2024</t>
        </is>
      </c>
      <c r="B351" s="1" t="n">
        <v>45617.83969907407</v>
      </c>
      <c r="C351" s="1" t="n">
        <v>46062</v>
      </c>
      <c r="D351" t="inlineStr">
        <is>
          <t>DALARNAS LÄN</t>
        </is>
      </c>
      <c r="E351" t="inlineStr">
        <is>
          <t>MORA</t>
        </is>
      </c>
      <c r="G351" t="n">
        <v>1.1</v>
      </c>
      <c r="H351" t="n">
        <v>0</v>
      </c>
      <c r="I351" t="n">
        <v>0</v>
      </c>
      <c r="J351" t="n">
        <v>0</v>
      </c>
      <c r="K351" t="n">
        <v>0</v>
      </c>
      <c r="L351" t="n">
        <v>0</v>
      </c>
      <c r="M351" t="n">
        <v>0</v>
      </c>
      <c r="N351" t="n">
        <v>0</v>
      </c>
      <c r="O351" t="n">
        <v>0</v>
      </c>
      <c r="P351" t="n">
        <v>0</v>
      </c>
      <c r="Q351" t="n">
        <v>0</v>
      </c>
      <c r="R351" s="2" t="inlineStr"/>
    </row>
    <row r="352" ht="15" customHeight="1">
      <c r="A352" t="inlineStr">
        <is>
          <t>A 48376-2025</t>
        </is>
      </c>
      <c r="B352" s="1" t="n">
        <v>45933.71648148148</v>
      </c>
      <c r="C352" s="1" t="n">
        <v>46062</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47860-2025</t>
        </is>
      </c>
      <c r="B353" s="1" t="n">
        <v>45932.42298611111</v>
      </c>
      <c r="C353" s="1" t="n">
        <v>46062</v>
      </c>
      <c r="D353" t="inlineStr">
        <is>
          <t>DALARNAS LÄN</t>
        </is>
      </c>
      <c r="E353" t="inlineStr">
        <is>
          <t>MORA</t>
        </is>
      </c>
      <c r="G353" t="n">
        <v>2.1</v>
      </c>
      <c r="H353" t="n">
        <v>0</v>
      </c>
      <c r="I353" t="n">
        <v>0</v>
      </c>
      <c r="J353" t="n">
        <v>0</v>
      </c>
      <c r="K353" t="n">
        <v>0</v>
      </c>
      <c r="L353" t="n">
        <v>0</v>
      </c>
      <c r="M353" t="n">
        <v>0</v>
      </c>
      <c r="N353" t="n">
        <v>0</v>
      </c>
      <c r="O353" t="n">
        <v>0</v>
      </c>
      <c r="P353" t="n">
        <v>0</v>
      </c>
      <c r="Q353" t="n">
        <v>0</v>
      </c>
      <c r="R353" s="2" t="inlineStr"/>
    </row>
    <row r="354" ht="15" customHeight="1">
      <c r="A354" t="inlineStr">
        <is>
          <t>A 32852-2025</t>
        </is>
      </c>
      <c r="B354" s="1" t="n">
        <v>45839.57559027777</v>
      </c>
      <c r="C354" s="1" t="n">
        <v>46062</v>
      </c>
      <c r="D354" t="inlineStr">
        <is>
          <t>DALARNAS LÄN</t>
        </is>
      </c>
      <c r="E354" t="inlineStr">
        <is>
          <t>MORA</t>
        </is>
      </c>
      <c r="G354" t="n">
        <v>1.7</v>
      </c>
      <c r="H354" t="n">
        <v>0</v>
      </c>
      <c r="I354" t="n">
        <v>0</v>
      </c>
      <c r="J354" t="n">
        <v>0</v>
      </c>
      <c r="K354" t="n">
        <v>0</v>
      </c>
      <c r="L354" t="n">
        <v>0</v>
      </c>
      <c r="M354" t="n">
        <v>0</v>
      </c>
      <c r="N354" t="n">
        <v>0</v>
      </c>
      <c r="O354" t="n">
        <v>0</v>
      </c>
      <c r="P354" t="n">
        <v>0</v>
      </c>
      <c r="Q354" t="n">
        <v>0</v>
      </c>
      <c r="R354" s="2" t="inlineStr"/>
    </row>
    <row r="355" ht="15" customHeight="1">
      <c r="A355" t="inlineStr">
        <is>
          <t>A 59448-2022</t>
        </is>
      </c>
      <c r="B355" s="1" t="n">
        <v>44907</v>
      </c>
      <c r="C355" s="1" t="n">
        <v>46062</v>
      </c>
      <c r="D355" t="inlineStr">
        <is>
          <t>DALARNAS LÄN</t>
        </is>
      </c>
      <c r="E355" t="inlineStr">
        <is>
          <t>MORA</t>
        </is>
      </c>
      <c r="G355" t="n">
        <v>35.7</v>
      </c>
      <c r="H355" t="n">
        <v>0</v>
      </c>
      <c r="I355" t="n">
        <v>0</v>
      </c>
      <c r="J355" t="n">
        <v>0</v>
      </c>
      <c r="K355" t="n">
        <v>0</v>
      </c>
      <c r="L355" t="n">
        <v>0</v>
      </c>
      <c r="M355" t="n">
        <v>0</v>
      </c>
      <c r="N355" t="n">
        <v>0</v>
      </c>
      <c r="O355" t="n">
        <v>0</v>
      </c>
      <c r="P355" t="n">
        <v>0</v>
      </c>
      <c r="Q355" t="n">
        <v>0</v>
      </c>
      <c r="R355" s="2" t="inlineStr"/>
    </row>
    <row r="356" ht="15" customHeight="1">
      <c r="A356" t="inlineStr">
        <is>
          <t>A 48377-2025</t>
        </is>
      </c>
      <c r="B356" s="1" t="n">
        <v>45933.71896990741</v>
      </c>
      <c r="C356" s="1" t="n">
        <v>46062</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57319-2023</t>
        </is>
      </c>
      <c r="B357" s="1" t="n">
        <v>45245.64877314815</v>
      </c>
      <c r="C357" s="1" t="n">
        <v>46062</v>
      </c>
      <c r="D357" t="inlineStr">
        <is>
          <t>DALARNAS LÄN</t>
        </is>
      </c>
      <c r="E357" t="inlineStr">
        <is>
          <t>MORA</t>
        </is>
      </c>
      <c r="G357" t="n">
        <v>2</v>
      </c>
      <c r="H357" t="n">
        <v>0</v>
      </c>
      <c r="I357" t="n">
        <v>0</v>
      </c>
      <c r="J357" t="n">
        <v>0</v>
      </c>
      <c r="K357" t="n">
        <v>0</v>
      </c>
      <c r="L357" t="n">
        <v>0</v>
      </c>
      <c r="M357" t="n">
        <v>0</v>
      </c>
      <c r="N357" t="n">
        <v>0</v>
      </c>
      <c r="O357" t="n">
        <v>0</v>
      </c>
      <c r="P357" t="n">
        <v>0</v>
      </c>
      <c r="Q357" t="n">
        <v>0</v>
      </c>
      <c r="R357" s="2" t="inlineStr"/>
    </row>
    <row r="358" ht="15" customHeight="1">
      <c r="A358" t="inlineStr">
        <is>
          <t>A 43498-2023</t>
        </is>
      </c>
      <c r="B358" s="1" t="n">
        <v>45184</v>
      </c>
      <c r="C358" s="1" t="n">
        <v>46062</v>
      </c>
      <c r="D358" t="inlineStr">
        <is>
          <t>DALARNAS LÄN</t>
        </is>
      </c>
      <c r="E358" t="inlineStr">
        <is>
          <t>MORA</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32261-2022</t>
        </is>
      </c>
      <c r="B359" s="1" t="n">
        <v>44781.5350925926</v>
      </c>
      <c r="C359" s="1" t="n">
        <v>46062</v>
      </c>
      <c r="D359" t="inlineStr">
        <is>
          <t>DALARNAS LÄN</t>
        </is>
      </c>
      <c r="E359" t="inlineStr">
        <is>
          <t>MORA</t>
        </is>
      </c>
      <c r="G359" t="n">
        <v>2.7</v>
      </c>
      <c r="H359" t="n">
        <v>0</v>
      </c>
      <c r="I359" t="n">
        <v>0</v>
      </c>
      <c r="J359" t="n">
        <v>0</v>
      </c>
      <c r="K359" t="n">
        <v>0</v>
      </c>
      <c r="L359" t="n">
        <v>0</v>
      </c>
      <c r="M359" t="n">
        <v>0</v>
      </c>
      <c r="N359" t="n">
        <v>0</v>
      </c>
      <c r="O359" t="n">
        <v>0</v>
      </c>
      <c r="P359" t="n">
        <v>0</v>
      </c>
      <c r="Q359" t="n">
        <v>0</v>
      </c>
      <c r="R359" s="2" t="inlineStr"/>
    </row>
    <row r="360" ht="15" customHeight="1">
      <c r="A360" t="inlineStr">
        <is>
          <t>A 35381-2024</t>
        </is>
      </c>
      <c r="B360" s="1" t="n">
        <v>45531.38372685185</v>
      </c>
      <c r="C360" s="1" t="n">
        <v>46062</v>
      </c>
      <c r="D360" t="inlineStr">
        <is>
          <t>DALARNAS LÄN</t>
        </is>
      </c>
      <c r="E360" t="inlineStr">
        <is>
          <t>MORA</t>
        </is>
      </c>
      <c r="G360" t="n">
        <v>3.7</v>
      </c>
      <c r="H360" t="n">
        <v>0</v>
      </c>
      <c r="I360" t="n">
        <v>0</v>
      </c>
      <c r="J360" t="n">
        <v>0</v>
      </c>
      <c r="K360" t="n">
        <v>0</v>
      </c>
      <c r="L360" t="n">
        <v>0</v>
      </c>
      <c r="M360" t="n">
        <v>0</v>
      </c>
      <c r="N360" t="n">
        <v>0</v>
      </c>
      <c r="O360" t="n">
        <v>0</v>
      </c>
      <c r="P360" t="n">
        <v>0</v>
      </c>
      <c r="Q360" t="n">
        <v>0</v>
      </c>
      <c r="R360" s="2" t="inlineStr"/>
    </row>
    <row r="361" ht="15" customHeight="1">
      <c r="A361" t="inlineStr">
        <is>
          <t>A 13479-2024</t>
        </is>
      </c>
      <c r="B361" s="1" t="n">
        <v>45387.5900925926</v>
      </c>
      <c r="C361" s="1" t="n">
        <v>46062</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47716-2025</t>
        </is>
      </c>
      <c r="B362" s="1" t="n">
        <v>45931</v>
      </c>
      <c r="C362" s="1" t="n">
        <v>46062</v>
      </c>
      <c r="D362" t="inlineStr">
        <is>
          <t>DALARNAS LÄN</t>
        </is>
      </c>
      <c r="E362" t="inlineStr">
        <is>
          <t>MORA</t>
        </is>
      </c>
      <c r="G362" t="n">
        <v>8.9</v>
      </c>
      <c r="H362" t="n">
        <v>0</v>
      </c>
      <c r="I362" t="n">
        <v>0</v>
      </c>
      <c r="J362" t="n">
        <v>0</v>
      </c>
      <c r="K362" t="n">
        <v>0</v>
      </c>
      <c r="L362" t="n">
        <v>0</v>
      </c>
      <c r="M362" t="n">
        <v>0</v>
      </c>
      <c r="N362" t="n">
        <v>0</v>
      </c>
      <c r="O362" t="n">
        <v>0</v>
      </c>
      <c r="P362" t="n">
        <v>0</v>
      </c>
      <c r="Q362" t="n">
        <v>0</v>
      </c>
      <c r="R362" s="2" t="inlineStr"/>
    </row>
    <row r="363" ht="15" customHeight="1">
      <c r="A363" t="inlineStr">
        <is>
          <t>A 48927-2025</t>
        </is>
      </c>
      <c r="B363" s="1" t="n">
        <v>45931</v>
      </c>
      <c r="C363" s="1" t="n">
        <v>46062</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48926-2025</t>
        </is>
      </c>
      <c r="B364" s="1" t="n">
        <v>45937.50666666667</v>
      </c>
      <c r="C364" s="1" t="n">
        <v>46062</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48929-2025</t>
        </is>
      </c>
      <c r="B365" s="1" t="n">
        <v>45937.51315972222</v>
      </c>
      <c r="C365" s="1" t="n">
        <v>46062</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49404-2025</t>
        </is>
      </c>
      <c r="B366" s="1" t="n">
        <v>45938.67662037037</v>
      </c>
      <c r="C366" s="1" t="n">
        <v>46062</v>
      </c>
      <c r="D366" t="inlineStr">
        <is>
          <t>DALARNAS LÄN</t>
        </is>
      </c>
      <c r="E366" t="inlineStr">
        <is>
          <t>MORA</t>
        </is>
      </c>
      <c r="F366" t="inlineStr">
        <is>
          <t>Bergvik skog väst AB</t>
        </is>
      </c>
      <c r="G366" t="n">
        <v>0.9</v>
      </c>
      <c r="H366" t="n">
        <v>0</v>
      </c>
      <c r="I366" t="n">
        <v>0</v>
      </c>
      <c r="J366" t="n">
        <v>0</v>
      </c>
      <c r="K366" t="n">
        <v>0</v>
      </c>
      <c r="L366" t="n">
        <v>0</v>
      </c>
      <c r="M366" t="n">
        <v>0</v>
      </c>
      <c r="N366" t="n">
        <v>0</v>
      </c>
      <c r="O366" t="n">
        <v>0</v>
      </c>
      <c r="P366" t="n">
        <v>0</v>
      </c>
      <c r="Q366" t="n">
        <v>0</v>
      </c>
      <c r="R366" s="2" t="inlineStr"/>
    </row>
    <row r="367" ht="15" customHeight="1">
      <c r="A367" t="inlineStr">
        <is>
          <t>A 33443-2025</t>
        </is>
      </c>
      <c r="B367" s="1" t="n">
        <v>45841</v>
      </c>
      <c r="C367" s="1" t="n">
        <v>46062</v>
      </c>
      <c r="D367" t="inlineStr">
        <is>
          <t>DALARNAS LÄN</t>
        </is>
      </c>
      <c r="E367" t="inlineStr">
        <is>
          <t>MORA</t>
        </is>
      </c>
      <c r="G367" t="n">
        <v>2.7</v>
      </c>
      <c r="H367" t="n">
        <v>0</v>
      </c>
      <c r="I367" t="n">
        <v>0</v>
      </c>
      <c r="J367" t="n">
        <v>0</v>
      </c>
      <c r="K367" t="n">
        <v>0</v>
      </c>
      <c r="L367" t="n">
        <v>0</v>
      </c>
      <c r="M367" t="n">
        <v>0</v>
      </c>
      <c r="N367" t="n">
        <v>0</v>
      </c>
      <c r="O367" t="n">
        <v>0</v>
      </c>
      <c r="P367" t="n">
        <v>0</v>
      </c>
      <c r="Q367" t="n">
        <v>0</v>
      </c>
      <c r="R367" s="2" t="inlineStr"/>
    </row>
    <row r="368" ht="15" customHeight="1">
      <c r="A368" t="inlineStr">
        <is>
          <t>A 49401-2025</t>
        </is>
      </c>
      <c r="B368" s="1" t="n">
        <v>45938.66932870371</v>
      </c>
      <c r="C368" s="1" t="n">
        <v>46062</v>
      </c>
      <c r="D368" t="inlineStr">
        <is>
          <t>DALARNAS LÄN</t>
        </is>
      </c>
      <c r="E368" t="inlineStr">
        <is>
          <t>MORA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20299-2023</t>
        </is>
      </c>
      <c r="B369" s="1" t="n">
        <v>45056</v>
      </c>
      <c r="C369" s="1" t="n">
        <v>46062</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49574-2025</t>
        </is>
      </c>
      <c r="B370" s="1" t="n">
        <v>45939.49045138889</v>
      </c>
      <c r="C370" s="1" t="n">
        <v>46062</v>
      </c>
      <c r="D370" t="inlineStr">
        <is>
          <t>DALARNAS LÄN</t>
        </is>
      </c>
      <c r="E370" t="inlineStr">
        <is>
          <t>MORA</t>
        </is>
      </c>
      <c r="G370" t="n">
        <v>6.3</v>
      </c>
      <c r="H370" t="n">
        <v>0</v>
      </c>
      <c r="I370" t="n">
        <v>0</v>
      </c>
      <c r="J370" t="n">
        <v>0</v>
      </c>
      <c r="K370" t="n">
        <v>0</v>
      </c>
      <c r="L370" t="n">
        <v>0</v>
      </c>
      <c r="M370" t="n">
        <v>0</v>
      </c>
      <c r="N370" t="n">
        <v>0</v>
      </c>
      <c r="O370" t="n">
        <v>0</v>
      </c>
      <c r="P370" t="n">
        <v>0</v>
      </c>
      <c r="Q370" t="n">
        <v>0</v>
      </c>
      <c r="R370" s="2" t="inlineStr"/>
    </row>
    <row r="371" ht="15" customHeight="1">
      <c r="A371" t="inlineStr">
        <is>
          <t>A 28487-2024</t>
        </is>
      </c>
      <c r="B371" s="1" t="n">
        <v>45477.75744212963</v>
      </c>
      <c r="C371" s="1" t="n">
        <v>46062</v>
      </c>
      <c r="D371" t="inlineStr">
        <is>
          <t>DALARNAS LÄN</t>
        </is>
      </c>
      <c r="E371" t="inlineStr">
        <is>
          <t>MORA</t>
        </is>
      </c>
      <c r="G371" t="n">
        <v>3.1</v>
      </c>
      <c r="H371" t="n">
        <v>0</v>
      </c>
      <c r="I371" t="n">
        <v>0</v>
      </c>
      <c r="J371" t="n">
        <v>0</v>
      </c>
      <c r="K371" t="n">
        <v>0</v>
      </c>
      <c r="L371" t="n">
        <v>0</v>
      </c>
      <c r="M371" t="n">
        <v>0</v>
      </c>
      <c r="N371" t="n">
        <v>0</v>
      </c>
      <c r="O371" t="n">
        <v>0</v>
      </c>
      <c r="P371" t="n">
        <v>0</v>
      </c>
      <c r="Q371" t="n">
        <v>0</v>
      </c>
      <c r="R371" s="2" t="inlineStr"/>
    </row>
    <row r="372" ht="15" customHeight="1">
      <c r="A372" t="inlineStr">
        <is>
          <t>A 23586-2023</t>
        </is>
      </c>
      <c r="B372" s="1" t="n">
        <v>45077</v>
      </c>
      <c r="C372" s="1" t="n">
        <v>46062</v>
      </c>
      <c r="D372" t="inlineStr">
        <is>
          <t>DALARNAS LÄN</t>
        </is>
      </c>
      <c r="E372" t="inlineStr">
        <is>
          <t>MORA</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49828-2025</t>
        </is>
      </c>
      <c r="B373" s="1" t="n">
        <v>45940.44993055556</v>
      </c>
      <c r="C373" s="1" t="n">
        <v>46062</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58972-2023</t>
        </is>
      </c>
      <c r="B374" s="1" t="n">
        <v>45252</v>
      </c>
      <c r="C374" s="1" t="n">
        <v>46062</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34182-2025</t>
        </is>
      </c>
      <c r="B375" s="1" t="n">
        <v>45845.60520833333</v>
      </c>
      <c r="C375" s="1" t="n">
        <v>46062</v>
      </c>
      <c r="D375" t="inlineStr">
        <is>
          <t>DALARNAS LÄN</t>
        </is>
      </c>
      <c r="E375" t="inlineStr">
        <is>
          <t>MORA</t>
        </is>
      </c>
      <c r="G375" t="n">
        <v>3.4</v>
      </c>
      <c r="H375" t="n">
        <v>0</v>
      </c>
      <c r="I375" t="n">
        <v>0</v>
      </c>
      <c r="J375" t="n">
        <v>0</v>
      </c>
      <c r="K375" t="n">
        <v>0</v>
      </c>
      <c r="L375" t="n">
        <v>0</v>
      </c>
      <c r="M375" t="n">
        <v>0</v>
      </c>
      <c r="N375" t="n">
        <v>0</v>
      </c>
      <c r="O375" t="n">
        <v>0</v>
      </c>
      <c r="P375" t="n">
        <v>0</v>
      </c>
      <c r="Q375" t="n">
        <v>0</v>
      </c>
      <c r="R375" s="2" t="inlineStr"/>
    </row>
    <row r="376" ht="15" customHeight="1">
      <c r="A376" t="inlineStr">
        <is>
          <t>A 34005-2025</t>
        </is>
      </c>
      <c r="B376" s="1" t="n">
        <v>45844.58890046296</v>
      </c>
      <c r="C376" s="1" t="n">
        <v>46062</v>
      </c>
      <c r="D376" t="inlineStr">
        <is>
          <t>DALARNAS LÄN</t>
        </is>
      </c>
      <c r="E376" t="inlineStr">
        <is>
          <t>MORA</t>
        </is>
      </c>
      <c r="G376" t="n">
        <v>7.2</v>
      </c>
      <c r="H376" t="n">
        <v>0</v>
      </c>
      <c r="I376" t="n">
        <v>0</v>
      </c>
      <c r="J376" t="n">
        <v>0</v>
      </c>
      <c r="K376" t="n">
        <v>0</v>
      </c>
      <c r="L376" t="n">
        <v>0</v>
      </c>
      <c r="M376" t="n">
        <v>0</v>
      </c>
      <c r="N376" t="n">
        <v>0</v>
      </c>
      <c r="O376" t="n">
        <v>0</v>
      </c>
      <c r="P376" t="n">
        <v>0</v>
      </c>
      <c r="Q376" t="n">
        <v>0</v>
      </c>
      <c r="R376" s="2" t="inlineStr"/>
    </row>
    <row r="377" ht="15" customHeight="1">
      <c r="A377" t="inlineStr">
        <is>
          <t>A 47686-2025</t>
        </is>
      </c>
      <c r="B377" s="1" t="n">
        <v>45931</v>
      </c>
      <c r="C377" s="1" t="n">
        <v>46062</v>
      </c>
      <c r="D377" t="inlineStr">
        <is>
          <t>DALARNAS LÄN</t>
        </is>
      </c>
      <c r="E377" t="inlineStr">
        <is>
          <t>MORA</t>
        </is>
      </c>
      <c r="G377" t="n">
        <v>1.3</v>
      </c>
      <c r="H377" t="n">
        <v>0</v>
      </c>
      <c r="I377" t="n">
        <v>0</v>
      </c>
      <c r="J377" t="n">
        <v>0</v>
      </c>
      <c r="K377" t="n">
        <v>0</v>
      </c>
      <c r="L377" t="n">
        <v>0</v>
      </c>
      <c r="M377" t="n">
        <v>0</v>
      </c>
      <c r="N377" t="n">
        <v>0</v>
      </c>
      <c r="O377" t="n">
        <v>0</v>
      </c>
      <c r="P377" t="n">
        <v>0</v>
      </c>
      <c r="Q377" t="n">
        <v>0</v>
      </c>
      <c r="R377" s="2" t="inlineStr"/>
    </row>
    <row r="378" ht="15" customHeight="1">
      <c r="A378" t="inlineStr">
        <is>
          <t>A 34482-2025</t>
        </is>
      </c>
      <c r="B378" s="1" t="n">
        <v>45847.38469907407</v>
      </c>
      <c r="C378" s="1" t="n">
        <v>46062</v>
      </c>
      <c r="D378" t="inlineStr">
        <is>
          <t>DALARNAS LÄN</t>
        </is>
      </c>
      <c r="E378" t="inlineStr">
        <is>
          <t>MORA</t>
        </is>
      </c>
      <c r="G378" t="n">
        <v>1.5</v>
      </c>
      <c r="H378" t="n">
        <v>0</v>
      </c>
      <c r="I378" t="n">
        <v>0</v>
      </c>
      <c r="J378" t="n">
        <v>0</v>
      </c>
      <c r="K378" t="n">
        <v>0</v>
      </c>
      <c r="L378" t="n">
        <v>0</v>
      </c>
      <c r="M378" t="n">
        <v>0</v>
      </c>
      <c r="N378" t="n">
        <v>0</v>
      </c>
      <c r="O378" t="n">
        <v>0</v>
      </c>
      <c r="P378" t="n">
        <v>0</v>
      </c>
      <c r="Q378" t="n">
        <v>0</v>
      </c>
      <c r="R378" s="2" t="inlineStr"/>
    </row>
    <row r="379" ht="15" customHeight="1">
      <c r="A379" t="inlineStr">
        <is>
          <t>A 46188-2022</t>
        </is>
      </c>
      <c r="B379" s="1" t="n">
        <v>44847.518125</v>
      </c>
      <c r="C379" s="1" t="n">
        <v>46062</v>
      </c>
      <c r="D379" t="inlineStr">
        <is>
          <t>DALARNAS LÄN</t>
        </is>
      </c>
      <c r="E379" t="inlineStr">
        <is>
          <t>MORA</t>
        </is>
      </c>
      <c r="G379" t="n">
        <v>1.8</v>
      </c>
      <c r="H379" t="n">
        <v>0</v>
      </c>
      <c r="I379" t="n">
        <v>0</v>
      </c>
      <c r="J379" t="n">
        <v>0</v>
      </c>
      <c r="K379" t="n">
        <v>0</v>
      </c>
      <c r="L379" t="n">
        <v>0</v>
      </c>
      <c r="M379" t="n">
        <v>0</v>
      </c>
      <c r="N379" t="n">
        <v>0</v>
      </c>
      <c r="O379" t="n">
        <v>0</v>
      </c>
      <c r="P379" t="n">
        <v>0</v>
      </c>
      <c r="Q379" t="n">
        <v>0</v>
      </c>
      <c r="R379" s="2" t="inlineStr"/>
    </row>
    <row r="380" ht="15" customHeight="1">
      <c r="A380" t="inlineStr">
        <is>
          <t>A 34382-2025</t>
        </is>
      </c>
      <c r="B380" s="1" t="n">
        <v>45846</v>
      </c>
      <c r="C380" s="1" t="n">
        <v>46062</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34933-2025</t>
        </is>
      </c>
      <c r="B381" s="1" t="n">
        <v>45849.57297453703</v>
      </c>
      <c r="C381" s="1" t="n">
        <v>46062</v>
      </c>
      <c r="D381" t="inlineStr">
        <is>
          <t>DALARNAS LÄN</t>
        </is>
      </c>
      <c r="E381" t="inlineStr">
        <is>
          <t>MORA</t>
        </is>
      </c>
      <c r="F381" t="inlineStr">
        <is>
          <t>Bergvik skog väst AB</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42035-2022</t>
        </is>
      </c>
      <c r="B382" s="1" t="n">
        <v>44830</v>
      </c>
      <c r="C382" s="1" t="n">
        <v>46062</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51771-2025</t>
        </is>
      </c>
      <c r="B383" s="1" t="n">
        <v>45951.64653935185</v>
      </c>
      <c r="C383" s="1" t="n">
        <v>46062</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35121-2025</t>
        </is>
      </c>
      <c r="B384" s="1" t="n">
        <v>45852.60936342592</v>
      </c>
      <c r="C384" s="1" t="n">
        <v>46062</v>
      </c>
      <c r="D384" t="inlineStr">
        <is>
          <t>DALARNAS LÄN</t>
        </is>
      </c>
      <c r="E384" t="inlineStr">
        <is>
          <t>MORA</t>
        </is>
      </c>
      <c r="F384" t="inlineStr">
        <is>
          <t>Bergvik skog öst AB</t>
        </is>
      </c>
      <c r="G384" t="n">
        <v>15.9</v>
      </c>
      <c r="H384" t="n">
        <v>0</v>
      </c>
      <c r="I384" t="n">
        <v>0</v>
      </c>
      <c r="J384" t="n">
        <v>0</v>
      </c>
      <c r="K384" t="n">
        <v>0</v>
      </c>
      <c r="L384" t="n">
        <v>0</v>
      </c>
      <c r="M384" t="n">
        <v>0</v>
      </c>
      <c r="N384" t="n">
        <v>0</v>
      </c>
      <c r="O384" t="n">
        <v>0</v>
      </c>
      <c r="P384" t="n">
        <v>0</v>
      </c>
      <c r="Q384" t="n">
        <v>0</v>
      </c>
      <c r="R384" s="2" t="inlineStr"/>
    </row>
    <row r="385" ht="15" customHeight="1">
      <c r="A385" t="inlineStr">
        <is>
          <t>A 35407-2025</t>
        </is>
      </c>
      <c r="B385" s="1" t="n">
        <v>45855.35989583333</v>
      </c>
      <c r="C385" s="1" t="n">
        <v>46062</v>
      </c>
      <c r="D385" t="inlineStr">
        <is>
          <t>DALARNAS LÄN</t>
        </is>
      </c>
      <c r="E385" t="inlineStr">
        <is>
          <t>MORA</t>
        </is>
      </c>
      <c r="G385" t="n">
        <v>1.4</v>
      </c>
      <c r="H385" t="n">
        <v>0</v>
      </c>
      <c r="I385" t="n">
        <v>0</v>
      </c>
      <c r="J385" t="n">
        <v>0</v>
      </c>
      <c r="K385" t="n">
        <v>0</v>
      </c>
      <c r="L385" t="n">
        <v>0</v>
      </c>
      <c r="M385" t="n">
        <v>0</v>
      </c>
      <c r="N385" t="n">
        <v>0</v>
      </c>
      <c r="O385" t="n">
        <v>0</v>
      </c>
      <c r="P385" t="n">
        <v>0</v>
      </c>
      <c r="Q385" t="n">
        <v>0</v>
      </c>
      <c r="R385" s="2" t="inlineStr"/>
    </row>
    <row r="386" ht="15" customHeight="1">
      <c r="A386" t="inlineStr">
        <is>
          <t>A 9277-2024</t>
        </is>
      </c>
      <c r="B386" s="1" t="n">
        <v>45358.63265046296</v>
      </c>
      <c r="C386" s="1" t="n">
        <v>46062</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15817-2024</t>
        </is>
      </c>
      <c r="B387" s="1" t="n">
        <v>45404.67387731482</v>
      </c>
      <c r="C387" s="1" t="n">
        <v>46062</v>
      </c>
      <c r="D387" t="inlineStr">
        <is>
          <t>DALARNAS LÄN</t>
        </is>
      </c>
      <c r="E387" t="inlineStr">
        <is>
          <t>MORA</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35611-2025</t>
        </is>
      </c>
      <c r="B388" s="1" t="n">
        <v>45859.35384259259</v>
      </c>
      <c r="C388" s="1" t="n">
        <v>46062</v>
      </c>
      <c r="D388" t="inlineStr">
        <is>
          <t>DALARNAS LÄN</t>
        </is>
      </c>
      <c r="E388" t="inlineStr">
        <is>
          <t>MORA</t>
        </is>
      </c>
      <c r="G388" t="n">
        <v>2.5</v>
      </c>
      <c r="H388" t="n">
        <v>0</v>
      </c>
      <c r="I388" t="n">
        <v>0</v>
      </c>
      <c r="J388" t="n">
        <v>0</v>
      </c>
      <c r="K388" t="n">
        <v>0</v>
      </c>
      <c r="L388" t="n">
        <v>0</v>
      </c>
      <c r="M388" t="n">
        <v>0</v>
      </c>
      <c r="N388" t="n">
        <v>0</v>
      </c>
      <c r="O388" t="n">
        <v>0</v>
      </c>
      <c r="P388" t="n">
        <v>0</v>
      </c>
      <c r="Q388" t="n">
        <v>0</v>
      </c>
      <c r="R388" s="2" t="inlineStr"/>
    </row>
    <row r="389" ht="15" customHeight="1">
      <c r="A389" t="inlineStr">
        <is>
          <t>A 35734-2025</t>
        </is>
      </c>
      <c r="B389" s="1" t="n">
        <v>45860.471875</v>
      </c>
      <c r="C389" s="1" t="n">
        <v>46062</v>
      </c>
      <c r="D389" t="inlineStr">
        <is>
          <t>DALARNAS LÄN</t>
        </is>
      </c>
      <c r="E389" t="inlineStr">
        <is>
          <t>MORA</t>
        </is>
      </c>
      <c r="G389" t="n">
        <v>1.3</v>
      </c>
      <c r="H389" t="n">
        <v>0</v>
      </c>
      <c r="I389" t="n">
        <v>0</v>
      </c>
      <c r="J389" t="n">
        <v>0</v>
      </c>
      <c r="K389" t="n">
        <v>0</v>
      </c>
      <c r="L389" t="n">
        <v>0</v>
      </c>
      <c r="M389" t="n">
        <v>0</v>
      </c>
      <c r="N389" t="n">
        <v>0</v>
      </c>
      <c r="O389" t="n">
        <v>0</v>
      </c>
      <c r="P389" t="n">
        <v>0</v>
      </c>
      <c r="Q389" t="n">
        <v>0</v>
      </c>
      <c r="R389" s="2" t="inlineStr"/>
    </row>
    <row r="390" ht="15" customHeight="1">
      <c r="A390" t="inlineStr">
        <is>
          <t>A 35623-2025</t>
        </is>
      </c>
      <c r="B390" s="1" t="n">
        <v>45859</v>
      </c>
      <c r="C390" s="1" t="n">
        <v>46062</v>
      </c>
      <c r="D390" t="inlineStr">
        <is>
          <t>DALARNAS LÄN</t>
        </is>
      </c>
      <c r="E390" t="inlineStr">
        <is>
          <t>MORA</t>
        </is>
      </c>
      <c r="F390" t="inlineStr">
        <is>
          <t>Bergvik skog öst AB</t>
        </is>
      </c>
      <c r="G390" t="n">
        <v>1</v>
      </c>
      <c r="H390" t="n">
        <v>0</v>
      </c>
      <c r="I390" t="n">
        <v>0</v>
      </c>
      <c r="J390" t="n">
        <v>0</v>
      </c>
      <c r="K390" t="n">
        <v>0</v>
      </c>
      <c r="L390" t="n">
        <v>0</v>
      </c>
      <c r="M390" t="n">
        <v>0</v>
      </c>
      <c r="N390" t="n">
        <v>0</v>
      </c>
      <c r="O390" t="n">
        <v>0</v>
      </c>
      <c r="P390" t="n">
        <v>0</v>
      </c>
      <c r="Q390" t="n">
        <v>0</v>
      </c>
      <c r="R390" s="2" t="inlineStr"/>
    </row>
    <row r="391" ht="15" customHeight="1">
      <c r="A391" t="inlineStr">
        <is>
          <t>A 58116-2022</t>
        </is>
      </c>
      <c r="B391" s="1" t="n">
        <v>44900.65716435185</v>
      </c>
      <c r="C391" s="1" t="n">
        <v>46062</v>
      </c>
      <c r="D391" t="inlineStr">
        <is>
          <t>DALARNAS LÄN</t>
        </is>
      </c>
      <c r="E391" t="inlineStr">
        <is>
          <t>MORA</t>
        </is>
      </c>
      <c r="G391" t="n">
        <v>2.9</v>
      </c>
      <c r="H391" t="n">
        <v>0</v>
      </c>
      <c r="I391" t="n">
        <v>0</v>
      </c>
      <c r="J391" t="n">
        <v>0</v>
      </c>
      <c r="K391" t="n">
        <v>0</v>
      </c>
      <c r="L391" t="n">
        <v>0</v>
      </c>
      <c r="M391" t="n">
        <v>0</v>
      </c>
      <c r="N391" t="n">
        <v>0</v>
      </c>
      <c r="O391" t="n">
        <v>0</v>
      </c>
      <c r="P391" t="n">
        <v>0</v>
      </c>
      <c r="Q391" t="n">
        <v>0</v>
      </c>
      <c r="R391" s="2" t="inlineStr"/>
    </row>
    <row r="392" ht="15" customHeight="1">
      <c r="A392" t="inlineStr">
        <is>
          <t>A 35622-2025</t>
        </is>
      </c>
      <c r="B392" s="1" t="n">
        <v>45859</v>
      </c>
      <c r="C392" s="1" t="n">
        <v>46062</v>
      </c>
      <c r="D392" t="inlineStr">
        <is>
          <t>DALARNAS LÄN</t>
        </is>
      </c>
      <c r="E392" t="inlineStr">
        <is>
          <t>MORA</t>
        </is>
      </c>
      <c r="F392" t="inlineStr">
        <is>
          <t>Bergvik skog öst AB</t>
        </is>
      </c>
      <c r="G392" t="n">
        <v>5.8</v>
      </c>
      <c r="H392" t="n">
        <v>0</v>
      </c>
      <c r="I392" t="n">
        <v>0</v>
      </c>
      <c r="J392" t="n">
        <v>0</v>
      </c>
      <c r="K392" t="n">
        <v>0</v>
      </c>
      <c r="L392" t="n">
        <v>0</v>
      </c>
      <c r="M392" t="n">
        <v>0</v>
      </c>
      <c r="N392" t="n">
        <v>0</v>
      </c>
      <c r="O392" t="n">
        <v>0</v>
      </c>
      <c r="P392" t="n">
        <v>0</v>
      </c>
      <c r="Q392" t="n">
        <v>0</v>
      </c>
      <c r="R392" s="2" t="inlineStr"/>
    </row>
    <row r="393" ht="15" customHeight="1">
      <c r="A393" t="inlineStr">
        <is>
          <t>A 35624-2025</t>
        </is>
      </c>
      <c r="B393" s="1" t="n">
        <v>45859</v>
      </c>
      <c r="C393" s="1" t="n">
        <v>46062</v>
      </c>
      <c r="D393" t="inlineStr">
        <is>
          <t>DALARNAS LÄN</t>
        </is>
      </c>
      <c r="E393" t="inlineStr">
        <is>
          <t>MORA</t>
        </is>
      </c>
      <c r="F393" t="inlineStr">
        <is>
          <t>Bergvik skog öst AB</t>
        </is>
      </c>
      <c r="G393" t="n">
        <v>0.8</v>
      </c>
      <c r="H393" t="n">
        <v>0</v>
      </c>
      <c r="I393" t="n">
        <v>0</v>
      </c>
      <c r="J393" t="n">
        <v>0</v>
      </c>
      <c r="K393" t="n">
        <v>0</v>
      </c>
      <c r="L393" t="n">
        <v>0</v>
      </c>
      <c r="M393" t="n">
        <v>0</v>
      </c>
      <c r="N393" t="n">
        <v>0</v>
      </c>
      <c r="O393" t="n">
        <v>0</v>
      </c>
      <c r="P393" t="n">
        <v>0</v>
      </c>
      <c r="Q393" t="n">
        <v>0</v>
      </c>
      <c r="R393" s="2" t="inlineStr"/>
    </row>
    <row r="394" ht="15" customHeight="1">
      <c r="A394" t="inlineStr">
        <is>
          <t>A 18992-2024</t>
        </is>
      </c>
      <c r="B394" s="1" t="n">
        <v>45427.61516203704</v>
      </c>
      <c r="C394" s="1" t="n">
        <v>46062</v>
      </c>
      <c r="D394" t="inlineStr">
        <is>
          <t>DALARNAS LÄN</t>
        </is>
      </c>
      <c r="E394" t="inlineStr">
        <is>
          <t>MORA</t>
        </is>
      </c>
      <c r="G394" t="n">
        <v>9.9</v>
      </c>
      <c r="H394" t="n">
        <v>0</v>
      </c>
      <c r="I394" t="n">
        <v>0</v>
      </c>
      <c r="J394" t="n">
        <v>0</v>
      </c>
      <c r="K394" t="n">
        <v>0</v>
      </c>
      <c r="L394" t="n">
        <v>0</v>
      </c>
      <c r="M394" t="n">
        <v>0</v>
      </c>
      <c r="N394" t="n">
        <v>0</v>
      </c>
      <c r="O394" t="n">
        <v>0</v>
      </c>
      <c r="P394" t="n">
        <v>0</v>
      </c>
      <c r="Q394" t="n">
        <v>0</v>
      </c>
      <c r="R394" s="2" t="inlineStr"/>
    </row>
    <row r="395" ht="15" customHeight="1">
      <c r="A395" t="inlineStr">
        <is>
          <t>A 52110-2025</t>
        </is>
      </c>
      <c r="B395" s="1" t="n">
        <v>45952.69306712963</v>
      </c>
      <c r="C395" s="1" t="n">
        <v>46062</v>
      </c>
      <c r="D395" t="inlineStr">
        <is>
          <t>DALARNAS LÄN</t>
        </is>
      </c>
      <c r="E395" t="inlineStr">
        <is>
          <t>MORA</t>
        </is>
      </c>
      <c r="G395" t="n">
        <v>2.2</v>
      </c>
      <c r="H395" t="n">
        <v>0</v>
      </c>
      <c r="I395" t="n">
        <v>0</v>
      </c>
      <c r="J395" t="n">
        <v>0</v>
      </c>
      <c r="K395" t="n">
        <v>0</v>
      </c>
      <c r="L395" t="n">
        <v>0</v>
      </c>
      <c r="M395" t="n">
        <v>0</v>
      </c>
      <c r="N395" t="n">
        <v>0</v>
      </c>
      <c r="O395" t="n">
        <v>0</v>
      </c>
      <c r="P395" t="n">
        <v>0</v>
      </c>
      <c r="Q395" t="n">
        <v>0</v>
      </c>
      <c r="R395" s="2" t="inlineStr"/>
    </row>
    <row r="396" ht="15" customHeight="1">
      <c r="A396" t="inlineStr">
        <is>
          <t>A 60647-2022</t>
        </is>
      </c>
      <c r="B396" s="1" t="n">
        <v>44911</v>
      </c>
      <c r="C396" s="1" t="n">
        <v>46062</v>
      </c>
      <c r="D396" t="inlineStr">
        <is>
          <t>DALARNAS LÄN</t>
        </is>
      </c>
      <c r="E396" t="inlineStr">
        <is>
          <t>MORA</t>
        </is>
      </c>
      <c r="G396" t="n">
        <v>4.8</v>
      </c>
      <c r="H396" t="n">
        <v>0</v>
      </c>
      <c r="I396" t="n">
        <v>0</v>
      </c>
      <c r="J396" t="n">
        <v>0</v>
      </c>
      <c r="K396" t="n">
        <v>0</v>
      </c>
      <c r="L396" t="n">
        <v>0</v>
      </c>
      <c r="M396" t="n">
        <v>0</v>
      </c>
      <c r="N396" t="n">
        <v>0</v>
      </c>
      <c r="O396" t="n">
        <v>0</v>
      </c>
      <c r="P396" t="n">
        <v>0</v>
      </c>
      <c r="Q396" t="n">
        <v>0</v>
      </c>
      <c r="R396" s="2" t="inlineStr"/>
    </row>
    <row r="397" ht="15" customHeight="1">
      <c r="A397" t="inlineStr">
        <is>
          <t>A 36041-2025</t>
        </is>
      </c>
      <c r="B397" s="1" t="n">
        <v>45866.34385416667</v>
      </c>
      <c r="C397" s="1" t="n">
        <v>46062</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16174-2025</t>
        </is>
      </c>
      <c r="B398" s="1" t="n">
        <v>45750</v>
      </c>
      <c r="C398" s="1" t="n">
        <v>46062</v>
      </c>
      <c r="D398" t="inlineStr">
        <is>
          <t>DALARNAS LÄN</t>
        </is>
      </c>
      <c r="E398" t="inlineStr">
        <is>
          <t>MORA</t>
        </is>
      </c>
      <c r="G398" t="n">
        <v>0.9</v>
      </c>
      <c r="H398" t="n">
        <v>0</v>
      </c>
      <c r="I398" t="n">
        <v>0</v>
      </c>
      <c r="J398" t="n">
        <v>0</v>
      </c>
      <c r="K398" t="n">
        <v>0</v>
      </c>
      <c r="L398" t="n">
        <v>0</v>
      </c>
      <c r="M398" t="n">
        <v>0</v>
      </c>
      <c r="N398" t="n">
        <v>0</v>
      </c>
      <c r="O398" t="n">
        <v>0</v>
      </c>
      <c r="P398" t="n">
        <v>0</v>
      </c>
      <c r="Q398" t="n">
        <v>0</v>
      </c>
      <c r="R398" s="2" t="inlineStr"/>
    </row>
    <row r="399" ht="15" customHeight="1">
      <c r="A399" t="inlineStr">
        <is>
          <t>A 52804-2025</t>
        </is>
      </c>
      <c r="B399" s="1" t="n">
        <v>45957.44552083333</v>
      </c>
      <c r="C399" s="1" t="n">
        <v>46062</v>
      </c>
      <c r="D399" t="inlineStr">
        <is>
          <t>DALARNAS LÄN</t>
        </is>
      </c>
      <c r="E399" t="inlineStr">
        <is>
          <t>MORA</t>
        </is>
      </c>
      <c r="G399" t="n">
        <v>2.9</v>
      </c>
      <c r="H399" t="n">
        <v>0</v>
      </c>
      <c r="I399" t="n">
        <v>0</v>
      </c>
      <c r="J399" t="n">
        <v>0</v>
      </c>
      <c r="K399" t="n">
        <v>0</v>
      </c>
      <c r="L399" t="n">
        <v>0</v>
      </c>
      <c r="M399" t="n">
        <v>0</v>
      </c>
      <c r="N399" t="n">
        <v>0</v>
      </c>
      <c r="O399" t="n">
        <v>0</v>
      </c>
      <c r="P399" t="n">
        <v>0</v>
      </c>
      <c r="Q399" t="n">
        <v>0</v>
      </c>
      <c r="R399" s="2" t="inlineStr"/>
    </row>
    <row r="400" ht="15" customHeight="1">
      <c r="A400" t="inlineStr">
        <is>
          <t>A 36586-2025</t>
        </is>
      </c>
      <c r="B400" s="1" t="n">
        <v>45869</v>
      </c>
      <c r="C400" s="1" t="n">
        <v>46062</v>
      </c>
      <c r="D400" t="inlineStr">
        <is>
          <t>DALARNAS LÄN</t>
        </is>
      </c>
      <c r="E400" t="inlineStr">
        <is>
          <t>MORA</t>
        </is>
      </c>
      <c r="G400" t="n">
        <v>1.8</v>
      </c>
      <c r="H400" t="n">
        <v>0</v>
      </c>
      <c r="I400" t="n">
        <v>0</v>
      </c>
      <c r="J400" t="n">
        <v>0</v>
      </c>
      <c r="K400" t="n">
        <v>0</v>
      </c>
      <c r="L400" t="n">
        <v>0</v>
      </c>
      <c r="M400" t="n">
        <v>0</v>
      </c>
      <c r="N400" t="n">
        <v>0</v>
      </c>
      <c r="O400" t="n">
        <v>0</v>
      </c>
      <c r="P400" t="n">
        <v>0</v>
      </c>
      <c r="Q400" t="n">
        <v>0</v>
      </c>
      <c r="R400" s="2" t="inlineStr"/>
    </row>
    <row r="401" ht="15" customHeight="1">
      <c r="A401" t="inlineStr">
        <is>
          <t>A 36760-2025</t>
        </is>
      </c>
      <c r="B401" s="1" t="n">
        <v>45873.57319444444</v>
      </c>
      <c r="C401" s="1" t="n">
        <v>46062</v>
      </c>
      <c r="D401" t="inlineStr">
        <is>
          <t>DALARNAS LÄN</t>
        </is>
      </c>
      <c r="E401" t="inlineStr">
        <is>
          <t>MORA</t>
        </is>
      </c>
      <c r="G401" t="n">
        <v>4.6</v>
      </c>
      <c r="H401" t="n">
        <v>0</v>
      </c>
      <c r="I401" t="n">
        <v>0</v>
      </c>
      <c r="J401" t="n">
        <v>0</v>
      </c>
      <c r="K401" t="n">
        <v>0</v>
      </c>
      <c r="L401" t="n">
        <v>0</v>
      </c>
      <c r="M401" t="n">
        <v>0</v>
      </c>
      <c r="N401" t="n">
        <v>0</v>
      </c>
      <c r="O401" t="n">
        <v>0</v>
      </c>
      <c r="P401" t="n">
        <v>0</v>
      </c>
      <c r="Q401" t="n">
        <v>0</v>
      </c>
      <c r="R401" s="2" t="inlineStr"/>
    </row>
    <row r="402" ht="15" customHeight="1">
      <c r="A402" t="inlineStr">
        <is>
          <t>A 56460-2022</t>
        </is>
      </c>
      <c r="B402" s="1" t="n">
        <v>44893</v>
      </c>
      <c r="C402" s="1" t="n">
        <v>46062</v>
      </c>
      <c r="D402" t="inlineStr">
        <is>
          <t>DALARNAS LÄN</t>
        </is>
      </c>
      <c r="E402" t="inlineStr">
        <is>
          <t>MORA</t>
        </is>
      </c>
      <c r="G402" t="n">
        <v>2.2</v>
      </c>
      <c r="H402" t="n">
        <v>0</v>
      </c>
      <c r="I402" t="n">
        <v>0</v>
      </c>
      <c r="J402" t="n">
        <v>0</v>
      </c>
      <c r="K402" t="n">
        <v>0</v>
      </c>
      <c r="L402" t="n">
        <v>0</v>
      </c>
      <c r="M402" t="n">
        <v>0</v>
      </c>
      <c r="N402" t="n">
        <v>0</v>
      </c>
      <c r="O402" t="n">
        <v>0</v>
      </c>
      <c r="P402" t="n">
        <v>0</v>
      </c>
      <c r="Q402" t="n">
        <v>0</v>
      </c>
      <c r="R402" s="2" t="inlineStr"/>
    </row>
    <row r="403" ht="15" customHeight="1">
      <c r="A403" t="inlineStr">
        <is>
          <t>A 437-2024</t>
        </is>
      </c>
      <c r="B403" s="1" t="n">
        <v>45296</v>
      </c>
      <c r="C403" s="1" t="n">
        <v>46062</v>
      </c>
      <c r="D403" t="inlineStr">
        <is>
          <t>DALARNAS LÄN</t>
        </is>
      </c>
      <c r="E403" t="inlineStr">
        <is>
          <t>MORA</t>
        </is>
      </c>
      <c r="G403" t="n">
        <v>1.6</v>
      </c>
      <c r="H403" t="n">
        <v>0</v>
      </c>
      <c r="I403" t="n">
        <v>0</v>
      </c>
      <c r="J403" t="n">
        <v>0</v>
      </c>
      <c r="K403" t="n">
        <v>0</v>
      </c>
      <c r="L403" t="n">
        <v>0</v>
      </c>
      <c r="M403" t="n">
        <v>0</v>
      </c>
      <c r="N403" t="n">
        <v>0</v>
      </c>
      <c r="O403" t="n">
        <v>0</v>
      </c>
      <c r="P403" t="n">
        <v>0</v>
      </c>
      <c r="Q403" t="n">
        <v>0</v>
      </c>
      <c r="R403" s="2" t="inlineStr"/>
    </row>
    <row r="404" ht="15" customHeight="1">
      <c r="A404" t="inlineStr">
        <is>
          <t>A 31395-2024</t>
        </is>
      </c>
      <c r="B404" s="1" t="n">
        <v>45505.47716435185</v>
      </c>
      <c r="C404" s="1" t="n">
        <v>46062</v>
      </c>
      <c r="D404" t="inlineStr">
        <is>
          <t>DALARNAS LÄN</t>
        </is>
      </c>
      <c r="E404" t="inlineStr">
        <is>
          <t>MORA</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53151-2025</t>
        </is>
      </c>
      <c r="B405" s="1" t="n">
        <v>45958.48611111111</v>
      </c>
      <c r="C405" s="1" t="n">
        <v>46062</v>
      </c>
      <c r="D405" t="inlineStr">
        <is>
          <t>DALARNAS LÄN</t>
        </is>
      </c>
      <c r="E405" t="inlineStr">
        <is>
          <t>MORA</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53150-2025</t>
        </is>
      </c>
      <c r="B406" s="1" t="n">
        <v>45958.48280092593</v>
      </c>
      <c r="C406" s="1" t="n">
        <v>46062</v>
      </c>
      <c r="D406" t="inlineStr">
        <is>
          <t>DALARNAS LÄN</t>
        </is>
      </c>
      <c r="E406" t="inlineStr">
        <is>
          <t>MORA</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60847-2021</t>
        </is>
      </c>
      <c r="B407" s="1" t="n">
        <v>44497</v>
      </c>
      <c r="C407" s="1" t="n">
        <v>46062</v>
      </c>
      <c r="D407" t="inlineStr">
        <is>
          <t>DALARNAS LÄN</t>
        </is>
      </c>
      <c r="E407" t="inlineStr">
        <is>
          <t>MORA</t>
        </is>
      </c>
      <c r="G407" t="n">
        <v>1</v>
      </c>
      <c r="H407" t="n">
        <v>0</v>
      </c>
      <c r="I407" t="n">
        <v>0</v>
      </c>
      <c r="J407" t="n">
        <v>0</v>
      </c>
      <c r="K407" t="n">
        <v>0</v>
      </c>
      <c r="L407" t="n">
        <v>0</v>
      </c>
      <c r="M407" t="n">
        <v>0</v>
      </c>
      <c r="N407" t="n">
        <v>0</v>
      </c>
      <c r="O407" t="n">
        <v>0</v>
      </c>
      <c r="P407" t="n">
        <v>0</v>
      </c>
      <c r="Q407" t="n">
        <v>0</v>
      </c>
      <c r="R407" s="2" t="inlineStr"/>
    </row>
    <row r="408" ht="15" customHeight="1">
      <c r="A408" t="inlineStr">
        <is>
          <t>A 15435-2024</t>
        </is>
      </c>
      <c r="B408" s="1" t="n">
        <v>45401.40806712963</v>
      </c>
      <c r="C408" s="1" t="n">
        <v>46062</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31085-2024</t>
        </is>
      </c>
      <c r="B409" s="1" t="n">
        <v>45502.48047453703</v>
      </c>
      <c r="C409" s="1" t="n">
        <v>46062</v>
      </c>
      <c r="D409" t="inlineStr">
        <is>
          <t>DALARNAS LÄN</t>
        </is>
      </c>
      <c r="E409" t="inlineStr">
        <is>
          <t>MORA</t>
        </is>
      </c>
      <c r="G409" t="n">
        <v>1.6</v>
      </c>
      <c r="H409" t="n">
        <v>0</v>
      </c>
      <c r="I409" t="n">
        <v>0</v>
      </c>
      <c r="J409" t="n">
        <v>0</v>
      </c>
      <c r="K409" t="n">
        <v>0</v>
      </c>
      <c r="L409" t="n">
        <v>0</v>
      </c>
      <c r="M409" t="n">
        <v>0</v>
      </c>
      <c r="N409" t="n">
        <v>0</v>
      </c>
      <c r="O409" t="n">
        <v>0</v>
      </c>
      <c r="P409" t="n">
        <v>0</v>
      </c>
      <c r="Q409" t="n">
        <v>0</v>
      </c>
      <c r="R409" s="2" t="inlineStr"/>
    </row>
    <row r="410" ht="15" customHeight="1">
      <c r="A410" t="inlineStr">
        <is>
          <t>A 43863-2023</t>
        </is>
      </c>
      <c r="B410" s="1" t="n">
        <v>45187.62532407408</v>
      </c>
      <c r="C410" s="1" t="n">
        <v>46062</v>
      </c>
      <c r="D410" t="inlineStr">
        <is>
          <t>DALARNAS LÄN</t>
        </is>
      </c>
      <c r="E410" t="inlineStr">
        <is>
          <t>MORA</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60051-2022</t>
        </is>
      </c>
      <c r="B411" s="1" t="n">
        <v>44909.52385416667</v>
      </c>
      <c r="C411" s="1" t="n">
        <v>46062</v>
      </c>
      <c r="D411" t="inlineStr">
        <is>
          <t>DALARNAS LÄN</t>
        </is>
      </c>
      <c r="E411" t="inlineStr">
        <is>
          <t>MORA</t>
        </is>
      </c>
      <c r="G411" t="n">
        <v>0.9</v>
      </c>
      <c r="H411" t="n">
        <v>0</v>
      </c>
      <c r="I411" t="n">
        <v>0</v>
      </c>
      <c r="J411" t="n">
        <v>0</v>
      </c>
      <c r="K411" t="n">
        <v>0</v>
      </c>
      <c r="L411" t="n">
        <v>0</v>
      </c>
      <c r="M411" t="n">
        <v>0</v>
      </c>
      <c r="N411" t="n">
        <v>0</v>
      </c>
      <c r="O411" t="n">
        <v>0</v>
      </c>
      <c r="P411" t="n">
        <v>0</v>
      </c>
      <c r="Q411" t="n">
        <v>0</v>
      </c>
      <c r="R411" s="2" t="inlineStr"/>
    </row>
    <row r="412" ht="15" customHeight="1">
      <c r="A412" t="inlineStr">
        <is>
          <t>A 36846-2025</t>
        </is>
      </c>
      <c r="B412" s="1" t="n">
        <v>45874.38655092593</v>
      </c>
      <c r="C412" s="1" t="n">
        <v>46062</v>
      </c>
      <c r="D412" t="inlineStr">
        <is>
          <t>DALARNAS LÄN</t>
        </is>
      </c>
      <c r="E412" t="inlineStr">
        <is>
          <t>MORA</t>
        </is>
      </c>
      <c r="G412" t="n">
        <v>10.7</v>
      </c>
      <c r="H412" t="n">
        <v>0</v>
      </c>
      <c r="I412" t="n">
        <v>0</v>
      </c>
      <c r="J412" t="n">
        <v>0</v>
      </c>
      <c r="K412" t="n">
        <v>0</v>
      </c>
      <c r="L412" t="n">
        <v>0</v>
      </c>
      <c r="M412" t="n">
        <v>0</v>
      </c>
      <c r="N412" t="n">
        <v>0</v>
      </c>
      <c r="O412" t="n">
        <v>0</v>
      </c>
      <c r="P412" t="n">
        <v>0</v>
      </c>
      <c r="Q412" t="n">
        <v>0</v>
      </c>
      <c r="R412" s="2" t="inlineStr"/>
    </row>
    <row r="413" ht="15" customHeight="1">
      <c r="A413" t="inlineStr">
        <is>
          <t>A 13262-2022</t>
        </is>
      </c>
      <c r="B413" s="1" t="n">
        <v>44644.70184027778</v>
      </c>
      <c r="C413" s="1" t="n">
        <v>46062</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22854-2023</t>
        </is>
      </c>
      <c r="B414" s="1" t="n">
        <v>45072</v>
      </c>
      <c r="C414" s="1" t="n">
        <v>46062</v>
      </c>
      <c r="D414" t="inlineStr">
        <is>
          <t>DALARNAS LÄN</t>
        </is>
      </c>
      <c r="E414" t="inlineStr">
        <is>
          <t>MORA</t>
        </is>
      </c>
      <c r="G414" t="n">
        <v>3.3</v>
      </c>
      <c r="H414" t="n">
        <v>0</v>
      </c>
      <c r="I414" t="n">
        <v>0</v>
      </c>
      <c r="J414" t="n">
        <v>0</v>
      </c>
      <c r="K414" t="n">
        <v>0</v>
      </c>
      <c r="L414" t="n">
        <v>0</v>
      </c>
      <c r="M414" t="n">
        <v>0</v>
      </c>
      <c r="N414" t="n">
        <v>0</v>
      </c>
      <c r="O414" t="n">
        <v>0</v>
      </c>
      <c r="P414" t="n">
        <v>0</v>
      </c>
      <c r="Q414" t="n">
        <v>0</v>
      </c>
      <c r="R414" s="2" t="inlineStr"/>
    </row>
    <row r="415" ht="15" customHeight="1">
      <c r="A415" t="inlineStr">
        <is>
          <t>A 56767-2023</t>
        </is>
      </c>
      <c r="B415" s="1" t="n">
        <v>45244</v>
      </c>
      <c r="C415" s="1" t="n">
        <v>46062</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50056-2022</t>
        </is>
      </c>
      <c r="B416" s="1" t="n">
        <v>44865</v>
      </c>
      <c r="C416" s="1" t="n">
        <v>46062</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37070-2025</t>
        </is>
      </c>
      <c r="B417" s="1" t="n">
        <v>45875.39822916667</v>
      </c>
      <c r="C417" s="1" t="n">
        <v>46062</v>
      </c>
      <c r="D417" t="inlineStr">
        <is>
          <t>DALARNAS LÄN</t>
        </is>
      </c>
      <c r="E417" t="inlineStr">
        <is>
          <t>MORA</t>
        </is>
      </c>
      <c r="G417" t="n">
        <v>2.7</v>
      </c>
      <c r="H417" t="n">
        <v>0</v>
      </c>
      <c r="I417" t="n">
        <v>0</v>
      </c>
      <c r="J417" t="n">
        <v>0</v>
      </c>
      <c r="K417" t="n">
        <v>0</v>
      </c>
      <c r="L417" t="n">
        <v>0</v>
      </c>
      <c r="M417" t="n">
        <v>0</v>
      </c>
      <c r="N417" t="n">
        <v>0</v>
      </c>
      <c r="O417" t="n">
        <v>0</v>
      </c>
      <c r="P417" t="n">
        <v>0</v>
      </c>
      <c r="Q417" t="n">
        <v>0</v>
      </c>
      <c r="R417" s="2" t="inlineStr"/>
    </row>
    <row r="418" ht="15" customHeight="1">
      <c r="A418" t="inlineStr">
        <is>
          <t>A 37268-2025</t>
        </is>
      </c>
      <c r="B418" s="1" t="n">
        <v>45876.46681712963</v>
      </c>
      <c r="C418" s="1" t="n">
        <v>46062</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15499-2024</t>
        </is>
      </c>
      <c r="B419" s="1" t="n">
        <v>45401.53798611111</v>
      </c>
      <c r="C419" s="1" t="n">
        <v>46062</v>
      </c>
      <c r="D419" t="inlineStr">
        <is>
          <t>DALARNAS LÄN</t>
        </is>
      </c>
      <c r="E419" t="inlineStr">
        <is>
          <t>MORA</t>
        </is>
      </c>
      <c r="G419" t="n">
        <v>1.2</v>
      </c>
      <c r="H419" t="n">
        <v>0</v>
      </c>
      <c r="I419" t="n">
        <v>0</v>
      </c>
      <c r="J419" t="n">
        <v>0</v>
      </c>
      <c r="K419" t="n">
        <v>0</v>
      </c>
      <c r="L419" t="n">
        <v>0</v>
      </c>
      <c r="M419" t="n">
        <v>0</v>
      </c>
      <c r="N419" t="n">
        <v>0</v>
      </c>
      <c r="O419" t="n">
        <v>0</v>
      </c>
      <c r="P419" t="n">
        <v>0</v>
      </c>
      <c r="Q419" t="n">
        <v>0</v>
      </c>
      <c r="R419" s="2" t="inlineStr"/>
    </row>
    <row r="420" ht="15" customHeight="1">
      <c r="A420" t="inlineStr">
        <is>
          <t>A 15643-2025</t>
        </is>
      </c>
      <c r="B420" s="1" t="n">
        <v>45748.39222222222</v>
      </c>
      <c r="C420" s="1" t="n">
        <v>46062</v>
      </c>
      <c r="D420" t="inlineStr">
        <is>
          <t>DALARNAS LÄN</t>
        </is>
      </c>
      <c r="E420" t="inlineStr">
        <is>
          <t>MORA</t>
        </is>
      </c>
      <c r="G420" t="n">
        <v>7.6</v>
      </c>
      <c r="H420" t="n">
        <v>0</v>
      </c>
      <c r="I420" t="n">
        <v>0</v>
      </c>
      <c r="J420" t="n">
        <v>0</v>
      </c>
      <c r="K420" t="n">
        <v>0</v>
      </c>
      <c r="L420" t="n">
        <v>0</v>
      </c>
      <c r="M420" t="n">
        <v>0</v>
      </c>
      <c r="N420" t="n">
        <v>0</v>
      </c>
      <c r="O420" t="n">
        <v>0</v>
      </c>
      <c r="P420" t="n">
        <v>0</v>
      </c>
      <c r="Q420" t="n">
        <v>0</v>
      </c>
      <c r="R420" s="2" t="inlineStr"/>
    </row>
    <row r="421" ht="15" customHeight="1">
      <c r="A421" t="inlineStr">
        <is>
          <t>A 53982-2025</t>
        </is>
      </c>
      <c r="B421" s="1" t="n">
        <v>45961.57019675926</v>
      </c>
      <c r="C421" s="1" t="n">
        <v>46062</v>
      </c>
      <c r="D421" t="inlineStr">
        <is>
          <t>DALARNAS LÄN</t>
        </is>
      </c>
      <c r="E421" t="inlineStr">
        <is>
          <t>MORA</t>
        </is>
      </c>
      <c r="G421" t="n">
        <v>0.8</v>
      </c>
      <c r="H421" t="n">
        <v>0</v>
      </c>
      <c r="I421" t="n">
        <v>0</v>
      </c>
      <c r="J421" t="n">
        <v>0</v>
      </c>
      <c r="K421" t="n">
        <v>0</v>
      </c>
      <c r="L421" t="n">
        <v>0</v>
      </c>
      <c r="M421" t="n">
        <v>0</v>
      </c>
      <c r="N421" t="n">
        <v>0</v>
      </c>
      <c r="O421" t="n">
        <v>0</v>
      </c>
      <c r="P421" t="n">
        <v>0</v>
      </c>
      <c r="Q421" t="n">
        <v>0</v>
      </c>
      <c r="R421" s="2" t="inlineStr"/>
    </row>
    <row r="422" ht="15" customHeight="1">
      <c r="A422" t="inlineStr">
        <is>
          <t>A 53565-2025</t>
        </is>
      </c>
      <c r="B422" s="1" t="n">
        <v>45960.40711805555</v>
      </c>
      <c r="C422" s="1" t="n">
        <v>46062</v>
      </c>
      <c r="D422" t="inlineStr">
        <is>
          <t>DALARNAS LÄN</t>
        </is>
      </c>
      <c r="E422" t="inlineStr">
        <is>
          <t>MORA</t>
        </is>
      </c>
      <c r="G422" t="n">
        <v>5.1</v>
      </c>
      <c r="H422" t="n">
        <v>0</v>
      </c>
      <c r="I422" t="n">
        <v>0</v>
      </c>
      <c r="J422" t="n">
        <v>0</v>
      </c>
      <c r="K422" t="n">
        <v>0</v>
      </c>
      <c r="L422" t="n">
        <v>0</v>
      </c>
      <c r="M422" t="n">
        <v>0</v>
      </c>
      <c r="N422" t="n">
        <v>0</v>
      </c>
      <c r="O422" t="n">
        <v>0</v>
      </c>
      <c r="P422" t="n">
        <v>0</v>
      </c>
      <c r="Q422" t="n">
        <v>0</v>
      </c>
      <c r="R422" s="2" t="inlineStr"/>
    </row>
    <row r="423" ht="15" customHeight="1">
      <c r="A423" t="inlineStr">
        <is>
          <t>A 53632-2025</t>
        </is>
      </c>
      <c r="B423" s="1" t="n">
        <v>45960.49972222222</v>
      </c>
      <c r="C423" s="1" t="n">
        <v>46062</v>
      </c>
      <c r="D423" t="inlineStr">
        <is>
          <t>DALARNAS LÄN</t>
        </is>
      </c>
      <c r="E423" t="inlineStr">
        <is>
          <t>MORA</t>
        </is>
      </c>
      <c r="G423" t="n">
        <v>3.1</v>
      </c>
      <c r="H423" t="n">
        <v>0</v>
      </c>
      <c r="I423" t="n">
        <v>0</v>
      </c>
      <c r="J423" t="n">
        <v>0</v>
      </c>
      <c r="K423" t="n">
        <v>0</v>
      </c>
      <c r="L423" t="n">
        <v>0</v>
      </c>
      <c r="M423" t="n">
        <v>0</v>
      </c>
      <c r="N423" t="n">
        <v>0</v>
      </c>
      <c r="O423" t="n">
        <v>0</v>
      </c>
      <c r="P423" t="n">
        <v>0</v>
      </c>
      <c r="Q423" t="n">
        <v>0</v>
      </c>
      <c r="R423" s="2" t="inlineStr"/>
    </row>
    <row r="424" ht="15" customHeight="1">
      <c r="A424" t="inlineStr">
        <is>
          <t>A 46755-2023</t>
        </is>
      </c>
      <c r="B424" s="1" t="n">
        <v>45198.61314814815</v>
      </c>
      <c r="C424" s="1" t="n">
        <v>46062</v>
      </c>
      <c r="D424" t="inlineStr">
        <is>
          <t>DALARNAS LÄN</t>
        </is>
      </c>
      <c r="E424" t="inlineStr">
        <is>
          <t>MORA</t>
        </is>
      </c>
      <c r="G424" t="n">
        <v>0.6</v>
      </c>
      <c r="H424" t="n">
        <v>0</v>
      </c>
      <c r="I424" t="n">
        <v>0</v>
      </c>
      <c r="J424" t="n">
        <v>0</v>
      </c>
      <c r="K424" t="n">
        <v>0</v>
      </c>
      <c r="L424" t="n">
        <v>0</v>
      </c>
      <c r="M424" t="n">
        <v>0</v>
      </c>
      <c r="N424" t="n">
        <v>0</v>
      </c>
      <c r="O424" t="n">
        <v>0</v>
      </c>
      <c r="P424" t="n">
        <v>0</v>
      </c>
      <c r="Q424" t="n">
        <v>0</v>
      </c>
      <c r="R424" s="2" t="inlineStr"/>
    </row>
    <row r="425" ht="15" customHeight="1">
      <c r="A425" t="inlineStr">
        <is>
          <t>A 53560-2025</t>
        </is>
      </c>
      <c r="B425" s="1" t="n">
        <v>45960.39960648148</v>
      </c>
      <c r="C425" s="1" t="n">
        <v>46062</v>
      </c>
      <c r="D425" t="inlineStr">
        <is>
          <t>DALARNAS LÄN</t>
        </is>
      </c>
      <c r="E425" t="inlineStr">
        <is>
          <t>MORA</t>
        </is>
      </c>
      <c r="G425" t="n">
        <v>5.2</v>
      </c>
      <c r="H425" t="n">
        <v>0</v>
      </c>
      <c r="I425" t="n">
        <v>0</v>
      </c>
      <c r="J425" t="n">
        <v>0</v>
      </c>
      <c r="K425" t="n">
        <v>0</v>
      </c>
      <c r="L425" t="n">
        <v>0</v>
      </c>
      <c r="M425" t="n">
        <v>0</v>
      </c>
      <c r="N425" t="n">
        <v>0</v>
      </c>
      <c r="O425" t="n">
        <v>0</v>
      </c>
      <c r="P425" t="n">
        <v>0</v>
      </c>
      <c r="Q425" t="n">
        <v>0</v>
      </c>
      <c r="R425" s="2" t="inlineStr"/>
    </row>
    <row r="426" ht="15" customHeight="1">
      <c r="A426" t="inlineStr">
        <is>
          <t>A 53562-2025</t>
        </is>
      </c>
      <c r="B426" s="1" t="n">
        <v>45960.40662037037</v>
      </c>
      <c r="C426" s="1" t="n">
        <v>46062</v>
      </c>
      <c r="D426" t="inlineStr">
        <is>
          <t>DALARNAS LÄN</t>
        </is>
      </c>
      <c r="E426" t="inlineStr">
        <is>
          <t>MORA</t>
        </is>
      </c>
      <c r="G426" t="n">
        <v>5.1</v>
      </c>
      <c r="H426" t="n">
        <v>0</v>
      </c>
      <c r="I426" t="n">
        <v>0</v>
      </c>
      <c r="J426" t="n">
        <v>0</v>
      </c>
      <c r="K426" t="n">
        <v>0</v>
      </c>
      <c r="L426" t="n">
        <v>0</v>
      </c>
      <c r="M426" t="n">
        <v>0</v>
      </c>
      <c r="N426" t="n">
        <v>0</v>
      </c>
      <c r="O426" t="n">
        <v>0</v>
      </c>
      <c r="P426" t="n">
        <v>0</v>
      </c>
      <c r="Q426" t="n">
        <v>0</v>
      </c>
      <c r="R426" s="2" t="inlineStr"/>
    </row>
    <row r="427" ht="15" customHeight="1">
      <c r="A427" t="inlineStr">
        <is>
          <t>A 53591-2025</t>
        </is>
      </c>
      <c r="B427" s="1" t="n">
        <v>45960.43893518519</v>
      </c>
      <c r="C427" s="1" t="n">
        <v>46062</v>
      </c>
      <c r="D427" t="inlineStr">
        <is>
          <t>DALARNAS LÄN</t>
        </is>
      </c>
      <c r="E427" t="inlineStr">
        <is>
          <t>MORA</t>
        </is>
      </c>
      <c r="G427" t="n">
        <v>3.8</v>
      </c>
      <c r="H427" t="n">
        <v>0</v>
      </c>
      <c r="I427" t="n">
        <v>0</v>
      </c>
      <c r="J427" t="n">
        <v>0</v>
      </c>
      <c r="K427" t="n">
        <v>0</v>
      </c>
      <c r="L427" t="n">
        <v>0</v>
      </c>
      <c r="M427" t="n">
        <v>0</v>
      </c>
      <c r="N427" t="n">
        <v>0</v>
      </c>
      <c r="O427" t="n">
        <v>0</v>
      </c>
      <c r="P427" t="n">
        <v>0</v>
      </c>
      <c r="Q427" t="n">
        <v>0</v>
      </c>
      <c r="R427" s="2" t="inlineStr"/>
    </row>
    <row r="428" ht="15" customHeight="1">
      <c r="A428" t="inlineStr">
        <is>
          <t>A 53418-2025</t>
        </is>
      </c>
      <c r="B428" s="1" t="n">
        <v>45959</v>
      </c>
      <c r="C428" s="1" t="n">
        <v>46062</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18122-2025</t>
        </is>
      </c>
      <c r="B429" s="1" t="n">
        <v>45761.59221064814</v>
      </c>
      <c r="C429" s="1" t="n">
        <v>46062</v>
      </c>
      <c r="D429" t="inlineStr">
        <is>
          <t>DALARNAS LÄN</t>
        </is>
      </c>
      <c r="E429" t="inlineStr">
        <is>
          <t>MORA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53556-2025</t>
        </is>
      </c>
      <c r="B430" s="1" t="n">
        <v>45960.3921875</v>
      </c>
      <c r="C430" s="1" t="n">
        <v>46062</v>
      </c>
      <c r="D430" t="inlineStr">
        <is>
          <t>DALARNAS LÄN</t>
        </is>
      </c>
      <c r="E430" t="inlineStr">
        <is>
          <t>MORA</t>
        </is>
      </c>
      <c r="G430" t="n">
        <v>3.3</v>
      </c>
      <c r="H430" t="n">
        <v>0</v>
      </c>
      <c r="I430" t="n">
        <v>0</v>
      </c>
      <c r="J430" t="n">
        <v>0</v>
      </c>
      <c r="K430" t="n">
        <v>0</v>
      </c>
      <c r="L430" t="n">
        <v>0</v>
      </c>
      <c r="M430" t="n">
        <v>0</v>
      </c>
      <c r="N430" t="n">
        <v>0</v>
      </c>
      <c r="O430" t="n">
        <v>0</v>
      </c>
      <c r="P430" t="n">
        <v>0</v>
      </c>
      <c r="Q430" t="n">
        <v>0</v>
      </c>
      <c r="R430" s="2" t="inlineStr"/>
    </row>
    <row r="431" ht="15" customHeight="1">
      <c r="A431" t="inlineStr">
        <is>
          <t>A 54508-2025</t>
        </is>
      </c>
      <c r="B431" s="1" t="n">
        <v>45965.61844907407</v>
      </c>
      <c r="C431" s="1" t="n">
        <v>46062</v>
      </c>
      <c r="D431" t="inlineStr">
        <is>
          <t>DALARNAS LÄN</t>
        </is>
      </c>
      <c r="E431" t="inlineStr">
        <is>
          <t>MORA</t>
        </is>
      </c>
      <c r="G431" t="n">
        <v>0.9</v>
      </c>
      <c r="H431" t="n">
        <v>0</v>
      </c>
      <c r="I431" t="n">
        <v>0</v>
      </c>
      <c r="J431" t="n">
        <v>0</v>
      </c>
      <c r="K431" t="n">
        <v>0</v>
      </c>
      <c r="L431" t="n">
        <v>0</v>
      </c>
      <c r="M431" t="n">
        <v>0</v>
      </c>
      <c r="N431" t="n">
        <v>0</v>
      </c>
      <c r="O431" t="n">
        <v>0</v>
      </c>
      <c r="P431" t="n">
        <v>0</v>
      </c>
      <c r="Q431" t="n">
        <v>0</v>
      </c>
      <c r="R431" s="2" t="inlineStr"/>
    </row>
    <row r="432" ht="15" customHeight="1">
      <c r="A432" t="inlineStr">
        <is>
          <t>A 44817-2023</t>
        </is>
      </c>
      <c r="B432" s="1" t="n">
        <v>45190.51887731482</v>
      </c>
      <c r="C432" s="1" t="n">
        <v>46062</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54518-2025</t>
        </is>
      </c>
      <c r="B433" s="1" t="n">
        <v>45965.62608796296</v>
      </c>
      <c r="C433" s="1" t="n">
        <v>46062</v>
      </c>
      <c r="D433" t="inlineStr">
        <is>
          <t>DALARNAS LÄN</t>
        </is>
      </c>
      <c r="E433" t="inlineStr">
        <is>
          <t>MORA</t>
        </is>
      </c>
      <c r="G433" t="n">
        <v>7.1</v>
      </c>
      <c r="H433" t="n">
        <v>0</v>
      </c>
      <c r="I433" t="n">
        <v>0</v>
      </c>
      <c r="J433" t="n">
        <v>0</v>
      </c>
      <c r="K433" t="n">
        <v>0</v>
      </c>
      <c r="L433" t="n">
        <v>0</v>
      </c>
      <c r="M433" t="n">
        <v>0</v>
      </c>
      <c r="N433" t="n">
        <v>0</v>
      </c>
      <c r="O433" t="n">
        <v>0</v>
      </c>
      <c r="P433" t="n">
        <v>0</v>
      </c>
      <c r="Q433" t="n">
        <v>0</v>
      </c>
      <c r="R433" s="2" t="inlineStr"/>
    </row>
    <row r="434" ht="15" customHeight="1">
      <c r="A434" t="inlineStr">
        <is>
          <t>A 54099-2025</t>
        </is>
      </c>
      <c r="B434" s="1" t="n">
        <v>45964.41665509259</v>
      </c>
      <c r="C434" s="1" t="n">
        <v>46062</v>
      </c>
      <c r="D434" t="inlineStr">
        <is>
          <t>DALARNAS LÄN</t>
        </is>
      </c>
      <c r="E434" t="inlineStr">
        <is>
          <t>MORA</t>
        </is>
      </c>
      <c r="G434" t="n">
        <v>5.3</v>
      </c>
      <c r="H434" t="n">
        <v>0</v>
      </c>
      <c r="I434" t="n">
        <v>0</v>
      </c>
      <c r="J434" t="n">
        <v>0</v>
      </c>
      <c r="K434" t="n">
        <v>0</v>
      </c>
      <c r="L434" t="n">
        <v>0</v>
      </c>
      <c r="M434" t="n">
        <v>0</v>
      </c>
      <c r="N434" t="n">
        <v>0</v>
      </c>
      <c r="O434" t="n">
        <v>0</v>
      </c>
      <c r="P434" t="n">
        <v>0</v>
      </c>
      <c r="Q434" t="n">
        <v>0</v>
      </c>
      <c r="R434" s="2" t="inlineStr"/>
    </row>
    <row r="435" ht="15" customHeight="1">
      <c r="A435" t="inlineStr">
        <is>
          <t>A 54367-2025</t>
        </is>
      </c>
      <c r="B435" s="1" t="n">
        <v>45965.4031712963</v>
      </c>
      <c r="C435" s="1" t="n">
        <v>46062</v>
      </c>
      <c r="D435" t="inlineStr">
        <is>
          <t>DALARNAS LÄN</t>
        </is>
      </c>
      <c r="E435" t="inlineStr">
        <is>
          <t>MORA</t>
        </is>
      </c>
      <c r="G435" t="n">
        <v>7</v>
      </c>
      <c r="H435" t="n">
        <v>0</v>
      </c>
      <c r="I435" t="n">
        <v>0</v>
      </c>
      <c r="J435" t="n">
        <v>0</v>
      </c>
      <c r="K435" t="n">
        <v>0</v>
      </c>
      <c r="L435" t="n">
        <v>0</v>
      </c>
      <c r="M435" t="n">
        <v>0</v>
      </c>
      <c r="N435" t="n">
        <v>0</v>
      </c>
      <c r="O435" t="n">
        <v>0</v>
      </c>
      <c r="P435" t="n">
        <v>0</v>
      </c>
      <c r="Q435" t="n">
        <v>0</v>
      </c>
      <c r="R435" s="2" t="inlineStr"/>
    </row>
    <row r="436" ht="15" customHeight="1">
      <c r="A436" t="inlineStr">
        <is>
          <t>A 54504-2025</t>
        </is>
      </c>
      <c r="B436" s="1" t="n">
        <v>45965.61686342592</v>
      </c>
      <c r="C436" s="1" t="n">
        <v>46062</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39511-2024</t>
        </is>
      </c>
      <c r="B437" s="1" t="n">
        <v>45551.68347222222</v>
      </c>
      <c r="C437" s="1" t="n">
        <v>46062</v>
      </c>
      <c r="D437" t="inlineStr">
        <is>
          <t>DALARNAS LÄN</t>
        </is>
      </c>
      <c r="E437" t="inlineStr">
        <is>
          <t>MORA</t>
        </is>
      </c>
      <c r="G437" t="n">
        <v>1.2</v>
      </c>
      <c r="H437" t="n">
        <v>0</v>
      </c>
      <c r="I437" t="n">
        <v>0</v>
      </c>
      <c r="J437" t="n">
        <v>0</v>
      </c>
      <c r="K437" t="n">
        <v>0</v>
      </c>
      <c r="L437" t="n">
        <v>0</v>
      </c>
      <c r="M437" t="n">
        <v>0</v>
      </c>
      <c r="N437" t="n">
        <v>0</v>
      </c>
      <c r="O437" t="n">
        <v>0</v>
      </c>
      <c r="P437" t="n">
        <v>0</v>
      </c>
      <c r="Q437" t="n">
        <v>0</v>
      </c>
      <c r="R437" s="2" t="inlineStr"/>
    </row>
    <row r="438" ht="15" customHeight="1">
      <c r="A438" t="inlineStr">
        <is>
          <t>A 54868-2025</t>
        </is>
      </c>
      <c r="B438" s="1" t="n">
        <v>45966.85649305556</v>
      </c>
      <c r="C438" s="1" t="n">
        <v>46062</v>
      </c>
      <c r="D438" t="inlineStr">
        <is>
          <t>DALARNAS LÄN</t>
        </is>
      </c>
      <c r="E438" t="inlineStr">
        <is>
          <t>MORA</t>
        </is>
      </c>
      <c r="F438" t="inlineStr">
        <is>
          <t>Bergvik skog väst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57797-2022</t>
        </is>
      </c>
      <c r="B439" s="1" t="n">
        <v>44897</v>
      </c>
      <c r="C439" s="1" t="n">
        <v>46062</v>
      </c>
      <c r="D439" t="inlineStr">
        <is>
          <t>DALARNAS LÄN</t>
        </is>
      </c>
      <c r="E439" t="inlineStr">
        <is>
          <t>MORA</t>
        </is>
      </c>
      <c r="G439" t="n">
        <v>3.1</v>
      </c>
      <c r="H439" t="n">
        <v>0</v>
      </c>
      <c r="I439" t="n">
        <v>0</v>
      </c>
      <c r="J439" t="n">
        <v>0</v>
      </c>
      <c r="K439" t="n">
        <v>0</v>
      </c>
      <c r="L439" t="n">
        <v>0</v>
      </c>
      <c r="M439" t="n">
        <v>0</v>
      </c>
      <c r="N439" t="n">
        <v>0</v>
      </c>
      <c r="O439" t="n">
        <v>0</v>
      </c>
      <c r="P439" t="n">
        <v>0</v>
      </c>
      <c r="Q439" t="n">
        <v>0</v>
      </c>
      <c r="R439" s="2" t="inlineStr"/>
    </row>
    <row r="440" ht="15" customHeight="1">
      <c r="A440" t="inlineStr">
        <is>
          <t>A 54862-2025</t>
        </is>
      </c>
      <c r="B440" s="1" t="n">
        <v>45966.76542824074</v>
      </c>
      <c r="C440" s="1" t="n">
        <v>46062</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37879-2025</t>
        </is>
      </c>
      <c r="B441" s="1" t="n">
        <v>45881.48791666667</v>
      </c>
      <c r="C441" s="1" t="n">
        <v>46062</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38086-2025</t>
        </is>
      </c>
      <c r="B442" s="1" t="n">
        <v>45882.47625</v>
      </c>
      <c r="C442" s="1" t="n">
        <v>46062</v>
      </c>
      <c r="D442" t="inlineStr">
        <is>
          <t>DALARNAS LÄN</t>
        </is>
      </c>
      <c r="E442" t="inlineStr">
        <is>
          <t>MORA</t>
        </is>
      </c>
      <c r="G442" t="n">
        <v>2.4</v>
      </c>
      <c r="H442" t="n">
        <v>0</v>
      </c>
      <c r="I442" t="n">
        <v>0</v>
      </c>
      <c r="J442" t="n">
        <v>0</v>
      </c>
      <c r="K442" t="n">
        <v>0</v>
      </c>
      <c r="L442" t="n">
        <v>0</v>
      </c>
      <c r="M442" t="n">
        <v>0</v>
      </c>
      <c r="N442" t="n">
        <v>0</v>
      </c>
      <c r="O442" t="n">
        <v>0</v>
      </c>
      <c r="P442" t="n">
        <v>0</v>
      </c>
      <c r="Q442" t="n">
        <v>0</v>
      </c>
      <c r="R442" s="2" t="inlineStr"/>
    </row>
    <row r="443" ht="15" customHeight="1">
      <c r="A443" t="inlineStr">
        <is>
          <t>A 27125-2024</t>
        </is>
      </c>
      <c r="B443" s="1" t="n">
        <v>45471</v>
      </c>
      <c r="C443" s="1" t="n">
        <v>46062</v>
      </c>
      <c r="D443" t="inlineStr">
        <is>
          <t>DALARNAS LÄN</t>
        </is>
      </c>
      <c r="E443" t="inlineStr">
        <is>
          <t>MORA</t>
        </is>
      </c>
      <c r="G443" t="n">
        <v>2.3</v>
      </c>
      <c r="H443" t="n">
        <v>0</v>
      </c>
      <c r="I443" t="n">
        <v>0</v>
      </c>
      <c r="J443" t="n">
        <v>0</v>
      </c>
      <c r="K443" t="n">
        <v>0</v>
      </c>
      <c r="L443" t="n">
        <v>0</v>
      </c>
      <c r="M443" t="n">
        <v>0</v>
      </c>
      <c r="N443" t="n">
        <v>0</v>
      </c>
      <c r="O443" t="n">
        <v>0</v>
      </c>
      <c r="P443" t="n">
        <v>0</v>
      </c>
      <c r="Q443" t="n">
        <v>0</v>
      </c>
      <c r="R443" s="2" t="inlineStr"/>
    </row>
    <row r="444" ht="15" customHeight="1">
      <c r="A444" t="inlineStr">
        <is>
          <t>A 53527-2024</t>
        </is>
      </c>
      <c r="B444" s="1" t="n">
        <v>45614.61569444444</v>
      </c>
      <c r="C444" s="1" t="n">
        <v>46062</v>
      </c>
      <c r="D444" t="inlineStr">
        <is>
          <t>DALARNAS LÄN</t>
        </is>
      </c>
      <c r="E444" t="inlineStr">
        <is>
          <t>MORA</t>
        </is>
      </c>
      <c r="G444" t="n">
        <v>3.3</v>
      </c>
      <c r="H444" t="n">
        <v>0</v>
      </c>
      <c r="I444" t="n">
        <v>0</v>
      </c>
      <c r="J444" t="n">
        <v>0</v>
      </c>
      <c r="K444" t="n">
        <v>0</v>
      </c>
      <c r="L444" t="n">
        <v>0</v>
      </c>
      <c r="M444" t="n">
        <v>0</v>
      </c>
      <c r="N444" t="n">
        <v>0</v>
      </c>
      <c r="O444" t="n">
        <v>0</v>
      </c>
      <c r="P444" t="n">
        <v>0</v>
      </c>
      <c r="Q444" t="n">
        <v>0</v>
      </c>
      <c r="R444" s="2" t="inlineStr"/>
    </row>
    <row r="445" ht="15" customHeight="1">
      <c r="A445" t="inlineStr">
        <is>
          <t>A 54909-2025</t>
        </is>
      </c>
      <c r="B445" s="1" t="n">
        <v>45967.374375</v>
      </c>
      <c r="C445" s="1" t="n">
        <v>46062</v>
      </c>
      <c r="D445" t="inlineStr">
        <is>
          <t>DALARNAS LÄN</t>
        </is>
      </c>
      <c r="E445" t="inlineStr">
        <is>
          <t>MORA</t>
        </is>
      </c>
      <c r="G445" t="n">
        <v>1.7</v>
      </c>
      <c r="H445" t="n">
        <v>0</v>
      </c>
      <c r="I445" t="n">
        <v>0</v>
      </c>
      <c r="J445" t="n">
        <v>0</v>
      </c>
      <c r="K445" t="n">
        <v>0</v>
      </c>
      <c r="L445" t="n">
        <v>0</v>
      </c>
      <c r="M445" t="n">
        <v>0</v>
      </c>
      <c r="N445" t="n">
        <v>0</v>
      </c>
      <c r="O445" t="n">
        <v>0</v>
      </c>
      <c r="P445" t="n">
        <v>0</v>
      </c>
      <c r="Q445" t="n">
        <v>0</v>
      </c>
      <c r="R445" s="2" t="inlineStr"/>
    </row>
    <row r="446" ht="15" customHeight="1">
      <c r="A446" t="inlineStr">
        <is>
          <t>A 54919-2025</t>
        </is>
      </c>
      <c r="B446" s="1" t="n">
        <v>45967.38884259259</v>
      </c>
      <c r="C446" s="1" t="n">
        <v>46062</v>
      </c>
      <c r="D446" t="inlineStr">
        <is>
          <t>DALARNAS LÄN</t>
        </is>
      </c>
      <c r="E446" t="inlineStr">
        <is>
          <t>MORA</t>
        </is>
      </c>
      <c r="F446" t="inlineStr">
        <is>
          <t>Bergvik skog väst AB</t>
        </is>
      </c>
      <c r="G446" t="n">
        <v>5.6</v>
      </c>
      <c r="H446" t="n">
        <v>0</v>
      </c>
      <c r="I446" t="n">
        <v>0</v>
      </c>
      <c r="J446" t="n">
        <v>0</v>
      </c>
      <c r="K446" t="n">
        <v>0</v>
      </c>
      <c r="L446" t="n">
        <v>0</v>
      </c>
      <c r="M446" t="n">
        <v>0</v>
      </c>
      <c r="N446" t="n">
        <v>0</v>
      </c>
      <c r="O446" t="n">
        <v>0</v>
      </c>
      <c r="P446" t="n">
        <v>0</v>
      </c>
      <c r="Q446" t="n">
        <v>0</v>
      </c>
      <c r="R446" s="2" t="inlineStr"/>
    </row>
    <row r="447" ht="15" customHeight="1">
      <c r="A447" t="inlineStr">
        <is>
          <t>A 54905-2025</t>
        </is>
      </c>
      <c r="B447" s="1" t="n">
        <v>45967.3700462963</v>
      </c>
      <c r="C447" s="1" t="n">
        <v>46062</v>
      </c>
      <c r="D447" t="inlineStr">
        <is>
          <t>DALARNAS LÄN</t>
        </is>
      </c>
      <c r="E447" t="inlineStr">
        <is>
          <t>MORA</t>
        </is>
      </c>
      <c r="G447" t="n">
        <v>0.4</v>
      </c>
      <c r="H447" t="n">
        <v>0</v>
      </c>
      <c r="I447" t="n">
        <v>0</v>
      </c>
      <c r="J447" t="n">
        <v>0</v>
      </c>
      <c r="K447" t="n">
        <v>0</v>
      </c>
      <c r="L447" t="n">
        <v>0</v>
      </c>
      <c r="M447" t="n">
        <v>0</v>
      </c>
      <c r="N447" t="n">
        <v>0</v>
      </c>
      <c r="O447" t="n">
        <v>0</v>
      </c>
      <c r="P447" t="n">
        <v>0</v>
      </c>
      <c r="Q447" t="n">
        <v>0</v>
      </c>
      <c r="R447" s="2" t="inlineStr"/>
    </row>
    <row r="448" ht="15" customHeight="1">
      <c r="A448" t="inlineStr">
        <is>
          <t>A 54910-2025</t>
        </is>
      </c>
      <c r="B448" s="1" t="n">
        <v>45967.37679398148</v>
      </c>
      <c r="C448" s="1" t="n">
        <v>46062</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30822-2024</t>
        </is>
      </c>
      <c r="B449" s="1" t="n">
        <v>45497</v>
      </c>
      <c r="C449" s="1" t="n">
        <v>46062</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6371-2022</t>
        </is>
      </c>
      <c r="B450" s="1" t="n">
        <v>44600</v>
      </c>
      <c r="C450" s="1" t="n">
        <v>46062</v>
      </c>
      <c r="D450" t="inlineStr">
        <is>
          <t>DALARNAS LÄN</t>
        </is>
      </c>
      <c r="E450" t="inlineStr">
        <is>
          <t>MORA</t>
        </is>
      </c>
      <c r="G450" t="n">
        <v>4.6</v>
      </c>
      <c r="H450" t="n">
        <v>0</v>
      </c>
      <c r="I450" t="n">
        <v>0</v>
      </c>
      <c r="J450" t="n">
        <v>0</v>
      </c>
      <c r="K450" t="n">
        <v>0</v>
      </c>
      <c r="L450" t="n">
        <v>0</v>
      </c>
      <c r="M450" t="n">
        <v>0</v>
      </c>
      <c r="N450" t="n">
        <v>0</v>
      </c>
      <c r="O450" t="n">
        <v>0</v>
      </c>
      <c r="P450" t="n">
        <v>0</v>
      </c>
      <c r="Q450" t="n">
        <v>0</v>
      </c>
      <c r="R450" s="2" t="inlineStr"/>
    </row>
    <row r="451" ht="15" customHeight="1">
      <c r="A451" t="inlineStr">
        <is>
          <t>A 61350-2024</t>
        </is>
      </c>
      <c r="B451" s="1" t="n">
        <v>45646.37872685185</v>
      </c>
      <c r="C451" s="1" t="n">
        <v>46062</v>
      </c>
      <c r="D451" t="inlineStr">
        <is>
          <t>DALARNAS LÄN</t>
        </is>
      </c>
      <c r="E451" t="inlineStr">
        <is>
          <t>MORA</t>
        </is>
      </c>
      <c r="G451" t="n">
        <v>1.4</v>
      </c>
      <c r="H451" t="n">
        <v>0</v>
      </c>
      <c r="I451" t="n">
        <v>0</v>
      </c>
      <c r="J451" t="n">
        <v>0</v>
      </c>
      <c r="K451" t="n">
        <v>0</v>
      </c>
      <c r="L451" t="n">
        <v>0</v>
      </c>
      <c r="M451" t="n">
        <v>0</v>
      </c>
      <c r="N451" t="n">
        <v>0</v>
      </c>
      <c r="O451" t="n">
        <v>0</v>
      </c>
      <c r="P451" t="n">
        <v>0</v>
      </c>
      <c r="Q451" t="n">
        <v>0</v>
      </c>
      <c r="R451" s="2" t="inlineStr"/>
    </row>
    <row r="452" ht="15" customHeight="1">
      <c r="A452" t="inlineStr">
        <is>
          <t>A 55123-2025</t>
        </is>
      </c>
      <c r="B452" s="1" t="n">
        <v>45968.40056712963</v>
      </c>
      <c r="C452" s="1" t="n">
        <v>46062</v>
      </c>
      <c r="D452" t="inlineStr">
        <is>
          <t>DALARNAS LÄN</t>
        </is>
      </c>
      <c r="E452" t="inlineStr">
        <is>
          <t>MORA</t>
        </is>
      </c>
      <c r="G452" t="n">
        <v>1.6</v>
      </c>
      <c r="H452" t="n">
        <v>0</v>
      </c>
      <c r="I452" t="n">
        <v>0</v>
      </c>
      <c r="J452" t="n">
        <v>0</v>
      </c>
      <c r="K452" t="n">
        <v>0</v>
      </c>
      <c r="L452" t="n">
        <v>0</v>
      </c>
      <c r="M452" t="n">
        <v>0</v>
      </c>
      <c r="N452" t="n">
        <v>0</v>
      </c>
      <c r="O452" t="n">
        <v>0</v>
      </c>
      <c r="P452" t="n">
        <v>0</v>
      </c>
      <c r="Q452" t="n">
        <v>0</v>
      </c>
      <c r="R452" s="2" t="inlineStr"/>
    </row>
    <row r="453" ht="15" customHeight="1">
      <c r="A453" t="inlineStr">
        <is>
          <t>A 55262-2025</t>
        </is>
      </c>
      <c r="B453" s="1" t="n">
        <v>45968.64847222222</v>
      </c>
      <c r="C453" s="1" t="n">
        <v>46062</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55284-2025</t>
        </is>
      </c>
      <c r="B454" s="1" t="n">
        <v>45968.8227662037</v>
      </c>
      <c r="C454" s="1" t="n">
        <v>46062</v>
      </c>
      <c r="D454" t="inlineStr">
        <is>
          <t>DALARNAS LÄN</t>
        </is>
      </c>
      <c r="E454" t="inlineStr">
        <is>
          <t>MORA</t>
        </is>
      </c>
      <c r="G454" t="n">
        <v>2</v>
      </c>
      <c r="H454" t="n">
        <v>0</v>
      </c>
      <c r="I454" t="n">
        <v>0</v>
      </c>
      <c r="J454" t="n">
        <v>0</v>
      </c>
      <c r="K454" t="n">
        <v>0</v>
      </c>
      <c r="L454" t="n">
        <v>0</v>
      </c>
      <c r="M454" t="n">
        <v>0</v>
      </c>
      <c r="N454" t="n">
        <v>0</v>
      </c>
      <c r="O454" t="n">
        <v>0</v>
      </c>
      <c r="P454" t="n">
        <v>0</v>
      </c>
      <c r="Q454" t="n">
        <v>0</v>
      </c>
      <c r="R454" s="2" t="inlineStr"/>
    </row>
    <row r="455" ht="15" customHeight="1">
      <c r="A455" t="inlineStr">
        <is>
          <t>A 38073-2025</t>
        </is>
      </c>
      <c r="B455" s="1" t="n">
        <v>45882</v>
      </c>
      <c r="C455" s="1" t="n">
        <v>46062</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55124-2025</t>
        </is>
      </c>
      <c r="B456" s="1" t="n">
        <v>45968.40621527778</v>
      </c>
      <c r="C456" s="1" t="n">
        <v>46062</v>
      </c>
      <c r="D456" t="inlineStr">
        <is>
          <t>DALARNAS LÄN</t>
        </is>
      </c>
      <c r="E456" t="inlineStr">
        <is>
          <t>MORA</t>
        </is>
      </c>
      <c r="G456" t="n">
        <v>1.2</v>
      </c>
      <c r="H456" t="n">
        <v>0</v>
      </c>
      <c r="I456" t="n">
        <v>0</v>
      </c>
      <c r="J456" t="n">
        <v>0</v>
      </c>
      <c r="K456" t="n">
        <v>0</v>
      </c>
      <c r="L456" t="n">
        <v>0</v>
      </c>
      <c r="M456" t="n">
        <v>0</v>
      </c>
      <c r="N456" t="n">
        <v>0</v>
      </c>
      <c r="O456" t="n">
        <v>0</v>
      </c>
      <c r="P456" t="n">
        <v>0</v>
      </c>
      <c r="Q456" t="n">
        <v>0</v>
      </c>
      <c r="R456" s="2" t="inlineStr"/>
    </row>
    <row r="457" ht="15" customHeight="1">
      <c r="A457" t="inlineStr">
        <is>
          <t>A 20126-2025</t>
        </is>
      </c>
      <c r="B457" s="1" t="n">
        <v>45772.49640046297</v>
      </c>
      <c r="C457" s="1" t="n">
        <v>46062</v>
      </c>
      <c r="D457" t="inlineStr">
        <is>
          <t>DALARNAS LÄN</t>
        </is>
      </c>
      <c r="E457" t="inlineStr">
        <is>
          <t>MORA</t>
        </is>
      </c>
      <c r="G457" t="n">
        <v>12.1</v>
      </c>
      <c r="H457" t="n">
        <v>0</v>
      </c>
      <c r="I457" t="n">
        <v>0</v>
      </c>
      <c r="J457" t="n">
        <v>0</v>
      </c>
      <c r="K457" t="n">
        <v>0</v>
      </c>
      <c r="L457" t="n">
        <v>0</v>
      </c>
      <c r="M457" t="n">
        <v>0</v>
      </c>
      <c r="N457" t="n">
        <v>0</v>
      </c>
      <c r="O457" t="n">
        <v>0</v>
      </c>
      <c r="P457" t="n">
        <v>0</v>
      </c>
      <c r="Q457" t="n">
        <v>0</v>
      </c>
      <c r="R457" s="2" t="inlineStr"/>
    </row>
    <row r="458" ht="15" customHeight="1">
      <c r="A458" t="inlineStr">
        <is>
          <t>A 27420-2024</t>
        </is>
      </c>
      <c r="B458" s="1" t="n">
        <v>45474.37850694444</v>
      </c>
      <c r="C458" s="1" t="n">
        <v>46062</v>
      </c>
      <c r="D458" t="inlineStr">
        <is>
          <t>DALARNAS LÄN</t>
        </is>
      </c>
      <c r="E458" t="inlineStr">
        <is>
          <t>MORA</t>
        </is>
      </c>
      <c r="G458" t="n">
        <v>7.3</v>
      </c>
      <c r="H458" t="n">
        <v>0</v>
      </c>
      <c r="I458" t="n">
        <v>0</v>
      </c>
      <c r="J458" t="n">
        <v>0</v>
      </c>
      <c r="K458" t="n">
        <v>0</v>
      </c>
      <c r="L458" t="n">
        <v>0</v>
      </c>
      <c r="M458" t="n">
        <v>0</v>
      </c>
      <c r="N458" t="n">
        <v>0</v>
      </c>
      <c r="O458" t="n">
        <v>0</v>
      </c>
      <c r="P458" t="n">
        <v>0</v>
      </c>
      <c r="Q458" t="n">
        <v>0</v>
      </c>
      <c r="R458" s="2" t="inlineStr"/>
    </row>
    <row r="459" ht="15" customHeight="1">
      <c r="A459" t="inlineStr">
        <is>
          <t>A 16967-2025</t>
        </is>
      </c>
      <c r="B459" s="1" t="n">
        <v>45755.46106481482</v>
      </c>
      <c r="C459" s="1" t="n">
        <v>46062</v>
      </c>
      <c r="D459" t="inlineStr">
        <is>
          <t>DALARNAS LÄN</t>
        </is>
      </c>
      <c r="E459" t="inlineStr">
        <is>
          <t>MORA</t>
        </is>
      </c>
      <c r="F459" t="inlineStr">
        <is>
          <t>Bergvik skog öst AB</t>
        </is>
      </c>
      <c r="G459" t="n">
        <v>2.9</v>
      </c>
      <c r="H459" t="n">
        <v>0</v>
      </c>
      <c r="I459" t="n">
        <v>0</v>
      </c>
      <c r="J459" t="n">
        <v>0</v>
      </c>
      <c r="K459" t="n">
        <v>0</v>
      </c>
      <c r="L459" t="n">
        <v>0</v>
      </c>
      <c r="M459" t="n">
        <v>0</v>
      </c>
      <c r="N459" t="n">
        <v>0</v>
      </c>
      <c r="O459" t="n">
        <v>0</v>
      </c>
      <c r="P459" t="n">
        <v>0</v>
      </c>
      <c r="Q459" t="n">
        <v>0</v>
      </c>
      <c r="R459" s="2" t="inlineStr"/>
    </row>
    <row r="460" ht="15" customHeight="1">
      <c r="A460" t="inlineStr">
        <is>
          <t>A 39344-2024</t>
        </is>
      </c>
      <c r="B460" s="1" t="n">
        <v>45551.44503472222</v>
      </c>
      <c r="C460" s="1" t="n">
        <v>46062</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61278-2024</t>
        </is>
      </c>
      <c r="B461" s="1" t="n">
        <v>45645.76561342592</v>
      </c>
      <c r="C461" s="1" t="n">
        <v>46062</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24590-2024</t>
        </is>
      </c>
      <c r="B462" s="1" t="n">
        <v>45460</v>
      </c>
      <c r="C462" s="1" t="n">
        <v>46062</v>
      </c>
      <c r="D462" t="inlineStr">
        <is>
          <t>DALARNAS LÄN</t>
        </is>
      </c>
      <c r="E462" t="inlineStr">
        <is>
          <t>MORA</t>
        </is>
      </c>
      <c r="G462" t="n">
        <v>0.6</v>
      </c>
      <c r="H462" t="n">
        <v>0</v>
      </c>
      <c r="I462" t="n">
        <v>0</v>
      </c>
      <c r="J462" t="n">
        <v>0</v>
      </c>
      <c r="K462" t="n">
        <v>0</v>
      </c>
      <c r="L462" t="n">
        <v>0</v>
      </c>
      <c r="M462" t="n">
        <v>0</v>
      </c>
      <c r="N462" t="n">
        <v>0</v>
      </c>
      <c r="O462" t="n">
        <v>0</v>
      </c>
      <c r="P462" t="n">
        <v>0</v>
      </c>
      <c r="Q462" t="n">
        <v>0</v>
      </c>
      <c r="R462" s="2" t="inlineStr"/>
    </row>
    <row r="463" ht="15" customHeight="1">
      <c r="A463" t="inlineStr">
        <is>
          <t>A 24169-2022</t>
        </is>
      </c>
      <c r="B463" s="1" t="n">
        <v>44725.50280092593</v>
      </c>
      <c r="C463" s="1" t="n">
        <v>46062</v>
      </c>
      <c r="D463" t="inlineStr">
        <is>
          <t>DALARNAS LÄN</t>
        </is>
      </c>
      <c r="E463" t="inlineStr">
        <is>
          <t>MORA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43641-2022</t>
        </is>
      </c>
      <c r="B464" s="1" t="n">
        <v>44837</v>
      </c>
      <c r="C464" s="1" t="n">
        <v>46062</v>
      </c>
      <c r="D464" t="inlineStr">
        <is>
          <t>DALARNAS LÄN</t>
        </is>
      </c>
      <c r="E464" t="inlineStr">
        <is>
          <t>MORA</t>
        </is>
      </c>
      <c r="G464" t="n">
        <v>1.8</v>
      </c>
      <c r="H464" t="n">
        <v>0</v>
      </c>
      <c r="I464" t="n">
        <v>0</v>
      </c>
      <c r="J464" t="n">
        <v>0</v>
      </c>
      <c r="K464" t="n">
        <v>0</v>
      </c>
      <c r="L464" t="n">
        <v>0</v>
      </c>
      <c r="M464" t="n">
        <v>0</v>
      </c>
      <c r="N464" t="n">
        <v>0</v>
      </c>
      <c r="O464" t="n">
        <v>0</v>
      </c>
      <c r="P464" t="n">
        <v>0</v>
      </c>
      <c r="Q464" t="n">
        <v>0</v>
      </c>
      <c r="R464" s="2" t="inlineStr"/>
    </row>
    <row r="465" ht="15" customHeight="1">
      <c r="A465" t="inlineStr">
        <is>
          <t>A 53750-2024</t>
        </is>
      </c>
      <c r="B465" s="1" t="n">
        <v>45615.48465277778</v>
      </c>
      <c r="C465" s="1" t="n">
        <v>46062</v>
      </c>
      <c r="D465" t="inlineStr">
        <is>
          <t>DALARNAS LÄN</t>
        </is>
      </c>
      <c r="E465" t="inlineStr">
        <is>
          <t>MORA</t>
        </is>
      </c>
      <c r="G465" t="n">
        <v>2.3</v>
      </c>
      <c r="H465" t="n">
        <v>0</v>
      </c>
      <c r="I465" t="n">
        <v>0</v>
      </c>
      <c r="J465" t="n">
        <v>0</v>
      </c>
      <c r="K465" t="n">
        <v>0</v>
      </c>
      <c r="L465" t="n">
        <v>0</v>
      </c>
      <c r="M465" t="n">
        <v>0</v>
      </c>
      <c r="N465" t="n">
        <v>0</v>
      </c>
      <c r="O465" t="n">
        <v>0</v>
      </c>
      <c r="P465" t="n">
        <v>0</v>
      </c>
      <c r="Q465" t="n">
        <v>0</v>
      </c>
      <c r="R465" s="2" t="inlineStr"/>
    </row>
    <row r="466" ht="15" customHeight="1">
      <c r="A466" t="inlineStr">
        <is>
          <t>A 56702-2025</t>
        </is>
      </c>
      <c r="B466" s="1" t="n">
        <v>45977.45586805556</v>
      </c>
      <c r="C466" s="1" t="n">
        <v>46062</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57097-2025</t>
        </is>
      </c>
      <c r="B467" s="1" t="n">
        <v>45979.43388888889</v>
      </c>
      <c r="C467" s="1" t="n">
        <v>46062</v>
      </c>
      <c r="D467" t="inlineStr">
        <is>
          <t>DALARNAS LÄN</t>
        </is>
      </c>
      <c r="E467" t="inlineStr">
        <is>
          <t>MORA</t>
        </is>
      </c>
      <c r="G467" t="n">
        <v>7.5</v>
      </c>
      <c r="H467" t="n">
        <v>0</v>
      </c>
      <c r="I467" t="n">
        <v>0</v>
      </c>
      <c r="J467" t="n">
        <v>0</v>
      </c>
      <c r="K467" t="n">
        <v>0</v>
      </c>
      <c r="L467" t="n">
        <v>0</v>
      </c>
      <c r="M467" t="n">
        <v>0</v>
      </c>
      <c r="N467" t="n">
        <v>0</v>
      </c>
      <c r="O467" t="n">
        <v>0</v>
      </c>
      <c r="P467" t="n">
        <v>0</v>
      </c>
      <c r="Q467" t="n">
        <v>0</v>
      </c>
      <c r="R467" s="2" t="inlineStr"/>
    </row>
    <row r="468" ht="15" customHeight="1">
      <c r="A468" t="inlineStr">
        <is>
          <t>A 57101-2025</t>
        </is>
      </c>
      <c r="B468" s="1" t="n">
        <v>45979.44006944444</v>
      </c>
      <c r="C468" s="1" t="n">
        <v>46062</v>
      </c>
      <c r="D468" t="inlineStr">
        <is>
          <t>DALARNAS LÄN</t>
        </is>
      </c>
      <c r="E468" t="inlineStr">
        <is>
          <t>MORA</t>
        </is>
      </c>
      <c r="G468" t="n">
        <v>7.5</v>
      </c>
      <c r="H468" t="n">
        <v>0</v>
      </c>
      <c r="I468" t="n">
        <v>0</v>
      </c>
      <c r="J468" t="n">
        <v>0</v>
      </c>
      <c r="K468" t="n">
        <v>0</v>
      </c>
      <c r="L468" t="n">
        <v>0</v>
      </c>
      <c r="M468" t="n">
        <v>0</v>
      </c>
      <c r="N468" t="n">
        <v>0</v>
      </c>
      <c r="O468" t="n">
        <v>0</v>
      </c>
      <c r="P468" t="n">
        <v>0</v>
      </c>
      <c r="Q468" t="n">
        <v>0</v>
      </c>
      <c r="R468" s="2" t="inlineStr"/>
    </row>
    <row r="469" ht="15" customHeight="1">
      <c r="A469" t="inlineStr">
        <is>
          <t>A 10777-2025</t>
        </is>
      </c>
      <c r="B469" s="1" t="n">
        <v>45722.47743055555</v>
      </c>
      <c r="C469" s="1" t="n">
        <v>46062</v>
      </c>
      <c r="D469" t="inlineStr">
        <is>
          <t>DALARNAS LÄN</t>
        </is>
      </c>
      <c r="E469" t="inlineStr">
        <is>
          <t>MORA</t>
        </is>
      </c>
      <c r="G469" t="n">
        <v>9.9</v>
      </c>
      <c r="H469" t="n">
        <v>0</v>
      </c>
      <c r="I469" t="n">
        <v>0</v>
      </c>
      <c r="J469" t="n">
        <v>0</v>
      </c>
      <c r="K469" t="n">
        <v>0</v>
      </c>
      <c r="L469" t="n">
        <v>0</v>
      </c>
      <c r="M469" t="n">
        <v>0</v>
      </c>
      <c r="N469" t="n">
        <v>0</v>
      </c>
      <c r="O469" t="n">
        <v>0</v>
      </c>
      <c r="P469" t="n">
        <v>0</v>
      </c>
      <c r="Q469" t="n">
        <v>0</v>
      </c>
      <c r="R469" s="2" t="inlineStr"/>
    </row>
    <row r="470" ht="15" customHeight="1">
      <c r="A470" t="inlineStr">
        <is>
          <t>A 19842-2025</t>
        </is>
      </c>
      <c r="B470" s="1" t="n">
        <v>45771.47938657407</v>
      </c>
      <c r="C470" s="1" t="n">
        <v>46062</v>
      </c>
      <c r="D470" t="inlineStr">
        <is>
          <t>DALARNAS LÄN</t>
        </is>
      </c>
      <c r="E470" t="inlineStr">
        <is>
          <t>MORA</t>
        </is>
      </c>
      <c r="G470" t="n">
        <v>1.9</v>
      </c>
      <c r="H470" t="n">
        <v>0</v>
      </c>
      <c r="I470" t="n">
        <v>0</v>
      </c>
      <c r="J470" t="n">
        <v>0</v>
      </c>
      <c r="K470" t="n">
        <v>0</v>
      </c>
      <c r="L470" t="n">
        <v>0</v>
      </c>
      <c r="M470" t="n">
        <v>0</v>
      </c>
      <c r="N470" t="n">
        <v>0</v>
      </c>
      <c r="O470" t="n">
        <v>0</v>
      </c>
      <c r="P470" t="n">
        <v>0</v>
      </c>
      <c r="Q470" t="n">
        <v>0</v>
      </c>
      <c r="R470" s="2" t="inlineStr"/>
    </row>
    <row r="471" ht="15" customHeight="1">
      <c r="A471" t="inlineStr">
        <is>
          <t>A 44177-2023</t>
        </is>
      </c>
      <c r="B471" s="1" t="n">
        <v>45188.51439814815</v>
      </c>
      <c r="C471" s="1" t="n">
        <v>46062</v>
      </c>
      <c r="D471" t="inlineStr">
        <is>
          <t>DALARNAS LÄN</t>
        </is>
      </c>
      <c r="E471" t="inlineStr">
        <is>
          <t>MORA</t>
        </is>
      </c>
      <c r="G471" t="n">
        <v>2</v>
      </c>
      <c r="H471" t="n">
        <v>0</v>
      </c>
      <c r="I471" t="n">
        <v>0</v>
      </c>
      <c r="J471" t="n">
        <v>0</v>
      </c>
      <c r="K471" t="n">
        <v>0</v>
      </c>
      <c r="L471" t="n">
        <v>0</v>
      </c>
      <c r="M471" t="n">
        <v>0</v>
      </c>
      <c r="N471" t="n">
        <v>0</v>
      </c>
      <c r="O471" t="n">
        <v>0</v>
      </c>
      <c r="P471" t="n">
        <v>0</v>
      </c>
      <c r="Q471" t="n">
        <v>0</v>
      </c>
      <c r="R471" s="2" t="inlineStr"/>
    </row>
    <row r="472" ht="15" customHeight="1">
      <c r="A472" t="inlineStr">
        <is>
          <t>A 57659-2025</t>
        </is>
      </c>
      <c r="B472" s="1" t="n">
        <v>45981.41228009259</v>
      </c>
      <c r="C472" s="1" t="n">
        <v>46062</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57647-2025</t>
        </is>
      </c>
      <c r="B473" s="1" t="n">
        <v>45981.37621527778</v>
      </c>
      <c r="C473" s="1" t="n">
        <v>46062</v>
      </c>
      <c r="D473" t="inlineStr">
        <is>
          <t>DALARNAS LÄN</t>
        </is>
      </c>
      <c r="E473" t="inlineStr">
        <is>
          <t>MORA</t>
        </is>
      </c>
      <c r="G473" t="n">
        <v>3.9</v>
      </c>
      <c r="H473" t="n">
        <v>0</v>
      </c>
      <c r="I473" t="n">
        <v>0</v>
      </c>
      <c r="J473" t="n">
        <v>0</v>
      </c>
      <c r="K473" t="n">
        <v>0</v>
      </c>
      <c r="L473" t="n">
        <v>0</v>
      </c>
      <c r="M473" t="n">
        <v>0</v>
      </c>
      <c r="N473" t="n">
        <v>0</v>
      </c>
      <c r="O473" t="n">
        <v>0</v>
      </c>
      <c r="P473" t="n">
        <v>0</v>
      </c>
      <c r="Q473" t="n">
        <v>0</v>
      </c>
      <c r="R473" s="2" t="inlineStr"/>
    </row>
    <row r="474" ht="15" customHeight="1">
      <c r="A474" t="inlineStr">
        <is>
          <t>A 57843-2025</t>
        </is>
      </c>
      <c r="B474" s="1" t="n">
        <v>45981.62792824074</v>
      </c>
      <c r="C474" s="1" t="n">
        <v>46062</v>
      </c>
      <c r="D474" t="inlineStr">
        <is>
          <t>DALARNAS LÄN</t>
        </is>
      </c>
      <c r="E474" t="inlineStr">
        <is>
          <t>MORA</t>
        </is>
      </c>
      <c r="G474" t="n">
        <v>4.5</v>
      </c>
      <c r="H474" t="n">
        <v>0</v>
      </c>
      <c r="I474" t="n">
        <v>0</v>
      </c>
      <c r="J474" t="n">
        <v>0</v>
      </c>
      <c r="K474" t="n">
        <v>0</v>
      </c>
      <c r="L474" t="n">
        <v>0</v>
      </c>
      <c r="M474" t="n">
        <v>0</v>
      </c>
      <c r="N474" t="n">
        <v>0</v>
      </c>
      <c r="O474" t="n">
        <v>0</v>
      </c>
      <c r="P474" t="n">
        <v>0</v>
      </c>
      <c r="Q474" t="n">
        <v>0</v>
      </c>
      <c r="R474" s="2" t="inlineStr"/>
    </row>
    <row r="475" ht="15" customHeight="1">
      <c r="A475" t="inlineStr">
        <is>
          <t>A 18134-2025</t>
        </is>
      </c>
      <c r="B475" s="1" t="n">
        <v>45761.60189814815</v>
      </c>
      <c r="C475" s="1" t="n">
        <v>46062</v>
      </c>
      <c r="D475" t="inlineStr">
        <is>
          <t>DALARNAS LÄN</t>
        </is>
      </c>
      <c r="E475" t="inlineStr">
        <is>
          <t>MORA</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57855-2025</t>
        </is>
      </c>
      <c r="B476" s="1" t="n">
        <v>45981.63909722222</v>
      </c>
      <c r="C476" s="1" t="n">
        <v>46062</v>
      </c>
      <c r="D476" t="inlineStr">
        <is>
          <t>DALARNAS LÄN</t>
        </is>
      </c>
      <c r="E476" t="inlineStr">
        <is>
          <t>MORA</t>
        </is>
      </c>
      <c r="G476" t="n">
        <v>9.9</v>
      </c>
      <c r="H476" t="n">
        <v>0</v>
      </c>
      <c r="I476" t="n">
        <v>0</v>
      </c>
      <c r="J476" t="n">
        <v>0</v>
      </c>
      <c r="K476" t="n">
        <v>0</v>
      </c>
      <c r="L476" t="n">
        <v>0</v>
      </c>
      <c r="M476" t="n">
        <v>0</v>
      </c>
      <c r="N476" t="n">
        <v>0</v>
      </c>
      <c r="O476" t="n">
        <v>0</v>
      </c>
      <c r="P476" t="n">
        <v>0</v>
      </c>
      <c r="Q476" t="n">
        <v>0</v>
      </c>
      <c r="R476" s="2" t="inlineStr"/>
    </row>
    <row r="477" ht="15" customHeight="1">
      <c r="A477" t="inlineStr">
        <is>
          <t>A 57453-2025</t>
        </is>
      </c>
      <c r="B477" s="1" t="n">
        <v>45980.5122337963</v>
      </c>
      <c r="C477" s="1" t="n">
        <v>46062</v>
      </c>
      <c r="D477" t="inlineStr">
        <is>
          <t>DALARNAS LÄN</t>
        </is>
      </c>
      <c r="E477" t="inlineStr">
        <is>
          <t>MORA</t>
        </is>
      </c>
      <c r="F477" t="inlineStr">
        <is>
          <t>Allmännings- och besparingsskogar</t>
        </is>
      </c>
      <c r="G477" t="n">
        <v>2.9</v>
      </c>
      <c r="H477" t="n">
        <v>0</v>
      </c>
      <c r="I477" t="n">
        <v>0</v>
      </c>
      <c r="J477" t="n">
        <v>0</v>
      </c>
      <c r="K477" t="n">
        <v>0</v>
      </c>
      <c r="L477" t="n">
        <v>0</v>
      </c>
      <c r="M477" t="n">
        <v>0</v>
      </c>
      <c r="N477" t="n">
        <v>0</v>
      </c>
      <c r="O477" t="n">
        <v>0</v>
      </c>
      <c r="P477" t="n">
        <v>0</v>
      </c>
      <c r="Q477" t="n">
        <v>0</v>
      </c>
      <c r="R477" s="2" t="inlineStr"/>
    </row>
    <row r="478" ht="15" customHeight="1">
      <c r="A478" t="inlineStr">
        <is>
          <t>A 58473-2025</t>
        </is>
      </c>
      <c r="B478" s="1" t="n">
        <v>45985.63859953704</v>
      </c>
      <c r="C478" s="1" t="n">
        <v>46062</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58001-2025</t>
        </is>
      </c>
      <c r="B479" s="1" t="n">
        <v>45982.43615740741</v>
      </c>
      <c r="C479" s="1" t="n">
        <v>46062</v>
      </c>
      <c r="D479" t="inlineStr">
        <is>
          <t>DALARNAS LÄN</t>
        </is>
      </c>
      <c r="E479" t="inlineStr">
        <is>
          <t>MORA</t>
        </is>
      </c>
      <c r="G479" t="n">
        <v>3.2</v>
      </c>
      <c r="H479" t="n">
        <v>0</v>
      </c>
      <c r="I479" t="n">
        <v>0</v>
      </c>
      <c r="J479" t="n">
        <v>0</v>
      </c>
      <c r="K479" t="n">
        <v>0</v>
      </c>
      <c r="L479" t="n">
        <v>0</v>
      </c>
      <c r="M479" t="n">
        <v>0</v>
      </c>
      <c r="N479" t="n">
        <v>0</v>
      </c>
      <c r="O479" t="n">
        <v>0</v>
      </c>
      <c r="P479" t="n">
        <v>0</v>
      </c>
      <c r="Q479" t="n">
        <v>0</v>
      </c>
      <c r="R479" s="2" t="inlineStr"/>
    </row>
    <row r="480" ht="15" customHeight="1">
      <c r="A480" t="inlineStr">
        <is>
          <t>A 35327-2024</t>
        </is>
      </c>
      <c r="B480" s="1" t="n">
        <v>45530.71334490741</v>
      </c>
      <c r="C480" s="1" t="n">
        <v>46062</v>
      </c>
      <c r="D480" t="inlineStr">
        <is>
          <t>DALARNAS LÄN</t>
        </is>
      </c>
      <c r="E480" t="inlineStr">
        <is>
          <t>MORA</t>
        </is>
      </c>
      <c r="G480" t="n">
        <v>5</v>
      </c>
      <c r="H480" t="n">
        <v>0</v>
      </c>
      <c r="I480" t="n">
        <v>0</v>
      </c>
      <c r="J480" t="n">
        <v>0</v>
      </c>
      <c r="K480" t="n">
        <v>0</v>
      </c>
      <c r="L480" t="n">
        <v>0</v>
      </c>
      <c r="M480" t="n">
        <v>0</v>
      </c>
      <c r="N480" t="n">
        <v>0</v>
      </c>
      <c r="O480" t="n">
        <v>0</v>
      </c>
      <c r="P480" t="n">
        <v>0</v>
      </c>
      <c r="Q480" t="n">
        <v>0</v>
      </c>
      <c r="R480" s="2" t="inlineStr"/>
    </row>
    <row r="481" ht="15" customHeight="1">
      <c r="A481" t="inlineStr">
        <is>
          <t>A 57976-2025</t>
        </is>
      </c>
      <c r="B481" s="1" t="n">
        <v>45982.39435185185</v>
      </c>
      <c r="C481" s="1" t="n">
        <v>46062</v>
      </c>
      <c r="D481" t="inlineStr">
        <is>
          <t>DALARNAS LÄN</t>
        </is>
      </c>
      <c r="E481" t="inlineStr">
        <is>
          <t>MORA</t>
        </is>
      </c>
      <c r="G481" t="n">
        <v>7.4</v>
      </c>
      <c r="H481" t="n">
        <v>0</v>
      </c>
      <c r="I481" t="n">
        <v>0</v>
      </c>
      <c r="J481" t="n">
        <v>0</v>
      </c>
      <c r="K481" t="n">
        <v>0</v>
      </c>
      <c r="L481" t="n">
        <v>0</v>
      </c>
      <c r="M481" t="n">
        <v>0</v>
      </c>
      <c r="N481" t="n">
        <v>0</v>
      </c>
      <c r="O481" t="n">
        <v>0</v>
      </c>
      <c r="P481" t="n">
        <v>0</v>
      </c>
      <c r="Q481" t="n">
        <v>0</v>
      </c>
      <c r="R481" s="2" t="inlineStr"/>
    </row>
    <row r="482" ht="15" customHeight="1">
      <c r="A482" t="inlineStr">
        <is>
          <t>A 31112-2024</t>
        </is>
      </c>
      <c r="B482" s="1" t="n">
        <v>45502.55185185185</v>
      </c>
      <c r="C482" s="1" t="n">
        <v>46062</v>
      </c>
      <c r="D482" t="inlineStr">
        <is>
          <t>DALARNAS LÄN</t>
        </is>
      </c>
      <c r="E482" t="inlineStr">
        <is>
          <t>MORA</t>
        </is>
      </c>
      <c r="G482" t="n">
        <v>0.6</v>
      </c>
      <c r="H482" t="n">
        <v>0</v>
      </c>
      <c r="I482" t="n">
        <v>0</v>
      </c>
      <c r="J482" t="n">
        <v>0</v>
      </c>
      <c r="K482" t="n">
        <v>0</v>
      </c>
      <c r="L482" t="n">
        <v>0</v>
      </c>
      <c r="M482" t="n">
        <v>0</v>
      </c>
      <c r="N482" t="n">
        <v>0</v>
      </c>
      <c r="O482" t="n">
        <v>0</v>
      </c>
      <c r="P482" t="n">
        <v>0</v>
      </c>
      <c r="Q482" t="n">
        <v>0</v>
      </c>
      <c r="R482" s="2" t="inlineStr"/>
    </row>
    <row r="483" ht="15" customHeight="1">
      <c r="A483" t="inlineStr">
        <is>
          <t>A 442-2024</t>
        </is>
      </c>
      <c r="B483" s="1" t="n">
        <v>45296.60353009259</v>
      </c>
      <c r="C483" s="1" t="n">
        <v>46062</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501-2024</t>
        </is>
      </c>
      <c r="B484" s="1" t="n">
        <v>45299</v>
      </c>
      <c r="C484" s="1" t="n">
        <v>46062</v>
      </c>
      <c r="D484" t="inlineStr">
        <is>
          <t>DALARNAS LÄN</t>
        </is>
      </c>
      <c r="E484" t="inlineStr">
        <is>
          <t>MORA</t>
        </is>
      </c>
      <c r="G484" t="n">
        <v>2.5</v>
      </c>
      <c r="H484" t="n">
        <v>0</v>
      </c>
      <c r="I484" t="n">
        <v>0</v>
      </c>
      <c r="J484" t="n">
        <v>0</v>
      </c>
      <c r="K484" t="n">
        <v>0</v>
      </c>
      <c r="L484" t="n">
        <v>0</v>
      </c>
      <c r="M484" t="n">
        <v>0</v>
      </c>
      <c r="N484" t="n">
        <v>0</v>
      </c>
      <c r="O484" t="n">
        <v>0</v>
      </c>
      <c r="P484" t="n">
        <v>0</v>
      </c>
      <c r="Q484" t="n">
        <v>0</v>
      </c>
      <c r="R484" s="2" t="inlineStr"/>
    </row>
    <row r="485" ht="15" customHeight="1">
      <c r="A485" t="inlineStr">
        <is>
          <t>A 48570-2022</t>
        </is>
      </c>
      <c r="B485" s="1" t="n">
        <v>44859</v>
      </c>
      <c r="C485" s="1" t="n">
        <v>46062</v>
      </c>
      <c r="D485" t="inlineStr">
        <is>
          <t>DALARNAS LÄN</t>
        </is>
      </c>
      <c r="E485" t="inlineStr">
        <is>
          <t>MORA</t>
        </is>
      </c>
      <c r="G485" t="n">
        <v>6.2</v>
      </c>
      <c r="H485" t="n">
        <v>0</v>
      </c>
      <c r="I485" t="n">
        <v>0</v>
      </c>
      <c r="J485" t="n">
        <v>0</v>
      </c>
      <c r="K485" t="n">
        <v>0</v>
      </c>
      <c r="L485" t="n">
        <v>0</v>
      </c>
      <c r="M485" t="n">
        <v>0</v>
      </c>
      <c r="N485" t="n">
        <v>0</v>
      </c>
      <c r="O485" t="n">
        <v>0</v>
      </c>
      <c r="P485" t="n">
        <v>0</v>
      </c>
      <c r="Q485" t="n">
        <v>0</v>
      </c>
      <c r="R485" s="2" t="inlineStr"/>
    </row>
    <row r="486" ht="15" customHeight="1">
      <c r="A486" t="inlineStr">
        <is>
          <t>A 19814-2025</t>
        </is>
      </c>
      <c r="B486" s="1" t="n">
        <v>45771.45686342593</v>
      </c>
      <c r="C486" s="1" t="n">
        <v>46062</v>
      </c>
      <c r="D486" t="inlineStr">
        <is>
          <t>DALARNAS LÄN</t>
        </is>
      </c>
      <c r="E486" t="inlineStr">
        <is>
          <t>MORA</t>
        </is>
      </c>
      <c r="G486" t="n">
        <v>2.1</v>
      </c>
      <c r="H486" t="n">
        <v>0</v>
      </c>
      <c r="I486" t="n">
        <v>0</v>
      </c>
      <c r="J486" t="n">
        <v>0</v>
      </c>
      <c r="K486" t="n">
        <v>0</v>
      </c>
      <c r="L486" t="n">
        <v>0</v>
      </c>
      <c r="M486" t="n">
        <v>0</v>
      </c>
      <c r="N486" t="n">
        <v>0</v>
      </c>
      <c r="O486" t="n">
        <v>0</v>
      </c>
      <c r="P486" t="n">
        <v>0</v>
      </c>
      <c r="Q486" t="n">
        <v>0</v>
      </c>
      <c r="R486" s="2" t="inlineStr"/>
    </row>
    <row r="487" ht="15" customHeight="1">
      <c r="A487" t="inlineStr">
        <is>
          <t>A 60526-2023</t>
        </is>
      </c>
      <c r="B487" s="1" t="n">
        <v>45259</v>
      </c>
      <c r="C487" s="1" t="n">
        <v>46062</v>
      </c>
      <c r="D487" t="inlineStr">
        <is>
          <t>DALARNAS LÄN</t>
        </is>
      </c>
      <c r="E487" t="inlineStr">
        <is>
          <t>MORA</t>
        </is>
      </c>
      <c r="G487" t="n">
        <v>6.7</v>
      </c>
      <c r="H487" t="n">
        <v>0</v>
      </c>
      <c r="I487" t="n">
        <v>0</v>
      </c>
      <c r="J487" t="n">
        <v>0</v>
      </c>
      <c r="K487" t="n">
        <v>0</v>
      </c>
      <c r="L487" t="n">
        <v>0</v>
      </c>
      <c r="M487" t="n">
        <v>0</v>
      </c>
      <c r="N487" t="n">
        <v>0</v>
      </c>
      <c r="O487" t="n">
        <v>0</v>
      </c>
      <c r="P487" t="n">
        <v>0</v>
      </c>
      <c r="Q487" t="n">
        <v>0</v>
      </c>
      <c r="R487" s="2" t="inlineStr"/>
    </row>
    <row r="488" ht="15" customHeight="1">
      <c r="A488" t="inlineStr">
        <is>
          <t>A 53341-2023</t>
        </is>
      </c>
      <c r="B488" s="1" t="n">
        <v>45229</v>
      </c>
      <c r="C488" s="1" t="n">
        <v>46062</v>
      </c>
      <c r="D488" t="inlineStr">
        <is>
          <t>DALARNAS LÄN</t>
        </is>
      </c>
      <c r="E488" t="inlineStr">
        <is>
          <t>MORA</t>
        </is>
      </c>
      <c r="G488" t="n">
        <v>2.1</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46062</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54548-2025</t>
        </is>
      </c>
      <c r="B490" s="1" t="n">
        <v>45965.6534837963</v>
      </c>
      <c r="C490" s="1" t="n">
        <v>46062</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21410-2023</t>
        </is>
      </c>
      <c r="B491" s="1" t="n">
        <v>45063</v>
      </c>
      <c r="C491" s="1" t="n">
        <v>46062</v>
      </c>
      <c r="D491" t="inlineStr">
        <is>
          <t>DALARNAS LÄN</t>
        </is>
      </c>
      <c r="E491" t="inlineStr">
        <is>
          <t>MORA</t>
        </is>
      </c>
      <c r="G491" t="n">
        <v>7</v>
      </c>
      <c r="H491" t="n">
        <v>0</v>
      </c>
      <c r="I491" t="n">
        <v>0</v>
      </c>
      <c r="J491" t="n">
        <v>0</v>
      </c>
      <c r="K491" t="n">
        <v>0</v>
      </c>
      <c r="L491" t="n">
        <v>0</v>
      </c>
      <c r="M491" t="n">
        <v>0</v>
      </c>
      <c r="N491" t="n">
        <v>0</v>
      </c>
      <c r="O491" t="n">
        <v>0</v>
      </c>
      <c r="P491" t="n">
        <v>0</v>
      </c>
      <c r="Q491" t="n">
        <v>0</v>
      </c>
      <c r="R491" s="2" t="inlineStr"/>
    </row>
    <row r="492" ht="15" customHeight="1">
      <c r="A492" t="inlineStr">
        <is>
          <t>A 55135-2025</t>
        </is>
      </c>
      <c r="B492" s="1" t="n">
        <v>45968.42591435185</v>
      </c>
      <c r="C492" s="1" t="n">
        <v>46062</v>
      </c>
      <c r="D492" t="inlineStr">
        <is>
          <t>DALARNAS LÄN</t>
        </is>
      </c>
      <c r="E492" t="inlineStr">
        <is>
          <t>MORA</t>
        </is>
      </c>
      <c r="G492" t="n">
        <v>5.1</v>
      </c>
      <c r="H492" t="n">
        <v>0</v>
      </c>
      <c r="I492" t="n">
        <v>0</v>
      </c>
      <c r="J492" t="n">
        <v>0</v>
      </c>
      <c r="K492" t="n">
        <v>0</v>
      </c>
      <c r="L492" t="n">
        <v>0</v>
      </c>
      <c r="M492" t="n">
        <v>0</v>
      </c>
      <c r="N492" t="n">
        <v>0</v>
      </c>
      <c r="O492" t="n">
        <v>0</v>
      </c>
      <c r="P492" t="n">
        <v>0</v>
      </c>
      <c r="Q492" t="n">
        <v>0</v>
      </c>
      <c r="R492" s="2" t="inlineStr"/>
    </row>
    <row r="493" ht="15" customHeight="1">
      <c r="A493" t="inlineStr">
        <is>
          <t>A 3531-2024</t>
        </is>
      </c>
      <c r="B493" s="1" t="n">
        <v>45320</v>
      </c>
      <c r="C493" s="1" t="n">
        <v>46062</v>
      </c>
      <c r="D493" t="inlineStr">
        <is>
          <t>DALARNAS LÄN</t>
        </is>
      </c>
      <c r="E493" t="inlineStr">
        <is>
          <t>MORA</t>
        </is>
      </c>
      <c r="G493" t="n">
        <v>1.4</v>
      </c>
      <c r="H493" t="n">
        <v>0</v>
      </c>
      <c r="I493" t="n">
        <v>0</v>
      </c>
      <c r="J493" t="n">
        <v>0</v>
      </c>
      <c r="K493" t="n">
        <v>0</v>
      </c>
      <c r="L493" t="n">
        <v>0</v>
      </c>
      <c r="M493" t="n">
        <v>0</v>
      </c>
      <c r="N493" t="n">
        <v>0</v>
      </c>
      <c r="O493" t="n">
        <v>0</v>
      </c>
      <c r="P493" t="n">
        <v>0</v>
      </c>
      <c r="Q493" t="n">
        <v>0</v>
      </c>
      <c r="R493" s="2" t="inlineStr"/>
      <c r="U493">
        <f>HYPERLINK("https://klasma.github.io/Logging_2062/knärot/A 3531-2024 karta knärot.png", "A 3531-2024")</f>
        <v/>
      </c>
      <c r="V493">
        <f>HYPERLINK("https://klasma.github.io/Logging_2062/klagomål/A 3531-2024 FSC-klagomål.docx", "A 3531-2024")</f>
        <v/>
      </c>
      <c r="W493">
        <f>HYPERLINK("https://klasma.github.io/Logging_2062/klagomålsmail/A 3531-2024 FSC-klagomål mail.docx", "A 3531-2024")</f>
        <v/>
      </c>
      <c r="X493">
        <f>HYPERLINK("https://klasma.github.io/Logging_2062/tillsyn/A 3531-2024 tillsynsbegäran.docx", "A 3531-2024")</f>
        <v/>
      </c>
      <c r="Y493">
        <f>HYPERLINK("https://klasma.github.io/Logging_2062/tillsynsmail/A 3531-2024 tillsynsbegäran mail.docx", "A 3531-2024")</f>
        <v/>
      </c>
    </row>
    <row r="494" ht="15" customHeight="1">
      <c r="A494" t="inlineStr">
        <is>
          <t>A 45475-2023</t>
        </is>
      </c>
      <c r="B494" s="1" t="n">
        <v>45188</v>
      </c>
      <c r="C494" s="1" t="n">
        <v>46062</v>
      </c>
      <c r="D494" t="inlineStr">
        <is>
          <t>DALARNAS LÄN</t>
        </is>
      </c>
      <c r="E494" t="inlineStr">
        <is>
          <t>MORA</t>
        </is>
      </c>
      <c r="G494" t="n">
        <v>1.1</v>
      </c>
      <c r="H494" t="n">
        <v>0</v>
      </c>
      <c r="I494" t="n">
        <v>0</v>
      </c>
      <c r="J494" t="n">
        <v>0</v>
      </c>
      <c r="K494" t="n">
        <v>0</v>
      </c>
      <c r="L494" t="n">
        <v>0</v>
      </c>
      <c r="M494" t="n">
        <v>0</v>
      </c>
      <c r="N494" t="n">
        <v>0</v>
      </c>
      <c r="O494" t="n">
        <v>0</v>
      </c>
      <c r="P494" t="n">
        <v>0</v>
      </c>
      <c r="Q494" t="n">
        <v>0</v>
      </c>
      <c r="R494" s="2" t="inlineStr"/>
    </row>
    <row r="495" ht="15" customHeight="1">
      <c r="A495" t="inlineStr">
        <is>
          <t>A 44071-2024</t>
        </is>
      </c>
      <c r="B495" s="1" t="n">
        <v>45572.60915509259</v>
      </c>
      <c r="C495" s="1" t="n">
        <v>46062</v>
      </c>
      <c r="D495" t="inlineStr">
        <is>
          <t>DALARNAS LÄN</t>
        </is>
      </c>
      <c r="E495" t="inlineStr">
        <is>
          <t>MORA</t>
        </is>
      </c>
      <c r="G495" t="n">
        <v>4.5</v>
      </c>
      <c r="H495" t="n">
        <v>0</v>
      </c>
      <c r="I495" t="n">
        <v>0</v>
      </c>
      <c r="J495" t="n">
        <v>0</v>
      </c>
      <c r="K495" t="n">
        <v>0</v>
      </c>
      <c r="L495" t="n">
        <v>0</v>
      </c>
      <c r="M495" t="n">
        <v>0</v>
      </c>
      <c r="N495" t="n">
        <v>0</v>
      </c>
      <c r="O495" t="n">
        <v>0</v>
      </c>
      <c r="P495" t="n">
        <v>0</v>
      </c>
      <c r="Q495" t="n">
        <v>0</v>
      </c>
      <c r="R495" s="2" t="inlineStr"/>
    </row>
    <row r="496" ht="15" customHeight="1">
      <c r="A496" t="inlineStr">
        <is>
          <t>A 11463-2024</t>
        </is>
      </c>
      <c r="B496" s="1" t="n">
        <v>45372.58969907407</v>
      </c>
      <c r="C496" s="1" t="n">
        <v>46062</v>
      </c>
      <c r="D496" t="inlineStr">
        <is>
          <t>DALARNAS LÄN</t>
        </is>
      </c>
      <c r="E496" t="inlineStr">
        <is>
          <t>MORA</t>
        </is>
      </c>
      <c r="F496" t="inlineStr">
        <is>
          <t>Bergvik skog väst AB</t>
        </is>
      </c>
      <c r="G496" t="n">
        <v>1.8</v>
      </c>
      <c r="H496" t="n">
        <v>0</v>
      </c>
      <c r="I496" t="n">
        <v>0</v>
      </c>
      <c r="J496" t="n">
        <v>0</v>
      </c>
      <c r="K496" t="n">
        <v>0</v>
      </c>
      <c r="L496" t="n">
        <v>0</v>
      </c>
      <c r="M496" t="n">
        <v>0</v>
      </c>
      <c r="N496" t="n">
        <v>0</v>
      </c>
      <c r="O496" t="n">
        <v>0</v>
      </c>
      <c r="P496" t="n">
        <v>0</v>
      </c>
      <c r="Q496" t="n">
        <v>0</v>
      </c>
      <c r="R496" s="2" t="inlineStr"/>
    </row>
    <row r="497" ht="15" customHeight="1">
      <c r="A497" t="inlineStr">
        <is>
          <t>A 57903-2022</t>
        </is>
      </c>
      <c r="B497" s="1" t="n">
        <v>44900.3521412037</v>
      </c>
      <c r="C497" s="1" t="n">
        <v>46062</v>
      </c>
      <c r="D497" t="inlineStr">
        <is>
          <t>DALARNAS LÄN</t>
        </is>
      </c>
      <c r="E497" t="inlineStr">
        <is>
          <t>MORA</t>
        </is>
      </c>
      <c r="G497" t="n">
        <v>4.3</v>
      </c>
      <c r="H497" t="n">
        <v>0</v>
      </c>
      <c r="I497" t="n">
        <v>0</v>
      </c>
      <c r="J497" t="n">
        <v>0</v>
      </c>
      <c r="K497" t="n">
        <v>0</v>
      </c>
      <c r="L497" t="n">
        <v>0</v>
      </c>
      <c r="M497" t="n">
        <v>0</v>
      </c>
      <c r="N497" t="n">
        <v>0</v>
      </c>
      <c r="O497" t="n">
        <v>0</v>
      </c>
      <c r="P497" t="n">
        <v>0</v>
      </c>
      <c r="Q497" t="n">
        <v>0</v>
      </c>
      <c r="R497" s="2" t="inlineStr"/>
    </row>
    <row r="498" ht="15" customHeight="1">
      <c r="A498" t="inlineStr">
        <is>
          <t>A 59094-2025</t>
        </is>
      </c>
      <c r="B498" s="1" t="n">
        <v>45988.45105324074</v>
      </c>
      <c r="C498" s="1" t="n">
        <v>46062</v>
      </c>
      <c r="D498" t="inlineStr">
        <is>
          <t>DALARNAS LÄN</t>
        </is>
      </c>
      <c r="E498" t="inlineStr">
        <is>
          <t>MORA</t>
        </is>
      </c>
      <c r="G498" t="n">
        <v>10</v>
      </c>
      <c r="H498" t="n">
        <v>0</v>
      </c>
      <c r="I498" t="n">
        <v>0</v>
      </c>
      <c r="J498" t="n">
        <v>0</v>
      </c>
      <c r="K498" t="n">
        <v>0</v>
      </c>
      <c r="L498" t="n">
        <v>0</v>
      </c>
      <c r="M498" t="n">
        <v>0</v>
      </c>
      <c r="N498" t="n">
        <v>0</v>
      </c>
      <c r="O498" t="n">
        <v>0</v>
      </c>
      <c r="P498" t="n">
        <v>0</v>
      </c>
      <c r="Q498" t="n">
        <v>0</v>
      </c>
      <c r="R498" s="2" t="inlineStr"/>
    </row>
    <row r="499" ht="15" customHeight="1">
      <c r="A499" t="inlineStr">
        <is>
          <t>A 46129-2024</t>
        </is>
      </c>
      <c r="B499" s="1" t="n">
        <v>45581.43337962963</v>
      </c>
      <c r="C499" s="1" t="n">
        <v>46062</v>
      </c>
      <c r="D499" t="inlineStr">
        <is>
          <t>DALARNAS LÄN</t>
        </is>
      </c>
      <c r="E499" t="inlineStr">
        <is>
          <t>MORA</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19193-2025</t>
        </is>
      </c>
      <c r="B500" s="1" t="n">
        <v>45769.42203703704</v>
      </c>
      <c r="C500" s="1" t="n">
        <v>46062</v>
      </c>
      <c r="D500" t="inlineStr">
        <is>
          <t>DALARNAS LÄN</t>
        </is>
      </c>
      <c r="E500" t="inlineStr">
        <is>
          <t>MORA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59805-2025</t>
        </is>
      </c>
      <c r="B501" s="1" t="n">
        <v>45992.62635416666</v>
      </c>
      <c r="C501" s="1" t="n">
        <v>46062</v>
      </c>
      <c r="D501" t="inlineStr">
        <is>
          <t>DALARNAS LÄN</t>
        </is>
      </c>
      <c r="E501" t="inlineStr">
        <is>
          <t>MORA</t>
        </is>
      </c>
      <c r="G501" t="n">
        <v>4.2</v>
      </c>
      <c r="H501" t="n">
        <v>0</v>
      </c>
      <c r="I501" t="n">
        <v>0</v>
      </c>
      <c r="J501" t="n">
        <v>0</v>
      </c>
      <c r="K501" t="n">
        <v>0</v>
      </c>
      <c r="L501" t="n">
        <v>0</v>
      </c>
      <c r="M501" t="n">
        <v>0</v>
      </c>
      <c r="N501" t="n">
        <v>0</v>
      </c>
      <c r="O501" t="n">
        <v>0</v>
      </c>
      <c r="P501" t="n">
        <v>0</v>
      </c>
      <c r="Q501" t="n">
        <v>0</v>
      </c>
      <c r="R501" s="2" t="inlineStr"/>
    </row>
    <row r="502" ht="15" customHeight="1">
      <c r="A502" t="inlineStr">
        <is>
          <t>A 6183-2024</t>
        </is>
      </c>
      <c r="B502" s="1" t="n">
        <v>45337.54135416666</v>
      </c>
      <c r="C502" s="1" t="n">
        <v>46062</v>
      </c>
      <c r="D502" t="inlineStr">
        <is>
          <t>DALARNAS LÄN</t>
        </is>
      </c>
      <c r="E502" t="inlineStr">
        <is>
          <t>MORA</t>
        </is>
      </c>
      <c r="G502" t="n">
        <v>7.9</v>
      </c>
      <c r="H502" t="n">
        <v>0</v>
      </c>
      <c r="I502" t="n">
        <v>0</v>
      </c>
      <c r="J502" t="n">
        <v>0</v>
      </c>
      <c r="K502" t="n">
        <v>0</v>
      </c>
      <c r="L502" t="n">
        <v>0</v>
      </c>
      <c r="M502" t="n">
        <v>0</v>
      </c>
      <c r="N502" t="n">
        <v>0</v>
      </c>
      <c r="O502" t="n">
        <v>0</v>
      </c>
      <c r="P502" t="n">
        <v>0</v>
      </c>
      <c r="Q502" t="n">
        <v>0</v>
      </c>
      <c r="R502" s="2" t="inlineStr"/>
    </row>
    <row r="503" ht="15" customHeight="1">
      <c r="A503" t="inlineStr">
        <is>
          <t>A 1102-2026</t>
        </is>
      </c>
      <c r="B503" s="1" t="n">
        <v>46030.66743055556</v>
      </c>
      <c r="C503" s="1" t="n">
        <v>46062</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1881-2026</t>
        </is>
      </c>
      <c r="B504" s="1" t="n">
        <v>46035.4731712963</v>
      </c>
      <c r="C504" s="1" t="n">
        <v>46062</v>
      </c>
      <c r="D504" t="inlineStr">
        <is>
          <t>DALARNAS LÄN</t>
        </is>
      </c>
      <c r="E504" t="inlineStr">
        <is>
          <t>MORA</t>
        </is>
      </c>
      <c r="G504" t="n">
        <v>5.2</v>
      </c>
      <c r="H504" t="n">
        <v>0</v>
      </c>
      <c r="I504" t="n">
        <v>0</v>
      </c>
      <c r="J504" t="n">
        <v>0</v>
      </c>
      <c r="K504" t="n">
        <v>0</v>
      </c>
      <c r="L504" t="n">
        <v>0</v>
      </c>
      <c r="M504" t="n">
        <v>0</v>
      </c>
      <c r="N504" t="n">
        <v>0</v>
      </c>
      <c r="O504" t="n">
        <v>0</v>
      </c>
      <c r="P504" t="n">
        <v>0</v>
      </c>
      <c r="Q504" t="n">
        <v>0</v>
      </c>
      <c r="R504" s="2" t="inlineStr"/>
    </row>
    <row r="505" ht="15" customHeight="1">
      <c r="A505" t="inlineStr">
        <is>
          <t>A 59768-2025</t>
        </is>
      </c>
      <c r="B505" s="1" t="n">
        <v>45992</v>
      </c>
      <c r="C505" s="1" t="n">
        <v>46062</v>
      </c>
      <c r="D505" t="inlineStr">
        <is>
          <t>DALARNAS LÄN</t>
        </is>
      </c>
      <c r="E505" t="inlineStr">
        <is>
          <t>MORA</t>
        </is>
      </c>
      <c r="G505" t="n">
        <v>4</v>
      </c>
      <c r="H505" t="n">
        <v>0</v>
      </c>
      <c r="I505" t="n">
        <v>0</v>
      </c>
      <c r="J505" t="n">
        <v>0</v>
      </c>
      <c r="K505" t="n">
        <v>0</v>
      </c>
      <c r="L505" t="n">
        <v>0</v>
      </c>
      <c r="M505" t="n">
        <v>0</v>
      </c>
      <c r="N505" t="n">
        <v>0</v>
      </c>
      <c r="O505" t="n">
        <v>0</v>
      </c>
      <c r="P505" t="n">
        <v>0</v>
      </c>
      <c r="Q505" t="n">
        <v>0</v>
      </c>
      <c r="R505" s="2" t="inlineStr"/>
    </row>
    <row r="506" ht="15" customHeight="1">
      <c r="A506" t="inlineStr">
        <is>
          <t>A 59669-2025</t>
        </is>
      </c>
      <c r="B506" s="1" t="n">
        <v>45992.45640046296</v>
      </c>
      <c r="C506" s="1" t="n">
        <v>46062</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63964-2025</t>
        </is>
      </c>
      <c r="B507" s="1" t="n">
        <v>46020</v>
      </c>
      <c r="C507" s="1" t="n">
        <v>46062</v>
      </c>
      <c r="D507" t="inlineStr">
        <is>
          <t>DALARNAS LÄN</t>
        </is>
      </c>
      <c r="E507" t="inlineStr">
        <is>
          <t>MORA</t>
        </is>
      </c>
      <c r="G507" t="n">
        <v>6.1</v>
      </c>
      <c r="H507" t="n">
        <v>0</v>
      </c>
      <c r="I507" t="n">
        <v>0</v>
      </c>
      <c r="J507" t="n">
        <v>0</v>
      </c>
      <c r="K507" t="n">
        <v>0</v>
      </c>
      <c r="L507" t="n">
        <v>0</v>
      </c>
      <c r="M507" t="n">
        <v>0</v>
      </c>
      <c r="N507" t="n">
        <v>0</v>
      </c>
      <c r="O507" t="n">
        <v>0</v>
      </c>
      <c r="P507" t="n">
        <v>0</v>
      </c>
      <c r="Q507" t="n">
        <v>0</v>
      </c>
      <c r="R507" s="2" t="inlineStr"/>
    </row>
    <row r="508" ht="15" customHeight="1">
      <c r="A508" t="inlineStr">
        <is>
          <t>A 2110-2026</t>
        </is>
      </c>
      <c r="B508" s="1" t="n">
        <v>46036.37797453703</v>
      </c>
      <c r="C508" s="1" t="n">
        <v>46062</v>
      </c>
      <c r="D508" t="inlineStr">
        <is>
          <t>DALARNAS LÄN</t>
        </is>
      </c>
      <c r="E508" t="inlineStr">
        <is>
          <t>MORA</t>
        </is>
      </c>
      <c r="G508" t="n">
        <v>7.2</v>
      </c>
      <c r="H508" t="n">
        <v>0</v>
      </c>
      <c r="I508" t="n">
        <v>0</v>
      </c>
      <c r="J508" t="n">
        <v>0</v>
      </c>
      <c r="K508" t="n">
        <v>0</v>
      </c>
      <c r="L508" t="n">
        <v>0</v>
      </c>
      <c r="M508" t="n">
        <v>0</v>
      </c>
      <c r="N508" t="n">
        <v>0</v>
      </c>
      <c r="O508" t="n">
        <v>0</v>
      </c>
      <c r="P508" t="n">
        <v>0</v>
      </c>
      <c r="Q508" t="n">
        <v>0</v>
      </c>
      <c r="R508" s="2" t="inlineStr"/>
    </row>
    <row r="509" ht="15" customHeight="1">
      <c r="A509" t="inlineStr">
        <is>
          <t>A 46152-2023</t>
        </is>
      </c>
      <c r="B509" s="1" t="n">
        <v>45196.58278935185</v>
      </c>
      <c r="C509" s="1" t="n">
        <v>46062</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28832-2023</t>
        </is>
      </c>
      <c r="B510" s="1" t="n">
        <v>45104.40493055555</v>
      </c>
      <c r="C510" s="1" t="n">
        <v>46062</v>
      </c>
      <c r="D510" t="inlineStr">
        <is>
          <t>DALARNAS LÄN</t>
        </is>
      </c>
      <c r="E510" t="inlineStr">
        <is>
          <t>MORA</t>
        </is>
      </c>
      <c r="F510" t="inlineStr">
        <is>
          <t>Bergvik skog öst AB</t>
        </is>
      </c>
      <c r="G510" t="n">
        <v>2</v>
      </c>
      <c r="H510" t="n">
        <v>0</v>
      </c>
      <c r="I510" t="n">
        <v>0</v>
      </c>
      <c r="J510" t="n">
        <v>0</v>
      </c>
      <c r="K510" t="n">
        <v>0</v>
      </c>
      <c r="L510" t="n">
        <v>0</v>
      </c>
      <c r="M510" t="n">
        <v>0</v>
      </c>
      <c r="N510" t="n">
        <v>0</v>
      </c>
      <c r="O510" t="n">
        <v>0</v>
      </c>
      <c r="P510" t="n">
        <v>0</v>
      </c>
      <c r="Q510" t="n">
        <v>0</v>
      </c>
      <c r="R510" s="2" t="inlineStr"/>
    </row>
    <row r="511" ht="15" customHeight="1">
      <c r="A511" t="inlineStr">
        <is>
          <t>A 2521-2026</t>
        </is>
      </c>
      <c r="B511" s="1" t="n">
        <v>46037.42600694444</v>
      </c>
      <c r="C511" s="1" t="n">
        <v>46062</v>
      </c>
      <c r="D511" t="inlineStr">
        <is>
          <t>DALARNAS LÄN</t>
        </is>
      </c>
      <c r="E511" t="inlineStr">
        <is>
          <t>MORA</t>
        </is>
      </c>
      <c r="G511" t="n">
        <v>0.6</v>
      </c>
      <c r="H511" t="n">
        <v>0</v>
      </c>
      <c r="I511" t="n">
        <v>0</v>
      </c>
      <c r="J511" t="n">
        <v>0</v>
      </c>
      <c r="K511" t="n">
        <v>0</v>
      </c>
      <c r="L511" t="n">
        <v>0</v>
      </c>
      <c r="M511" t="n">
        <v>0</v>
      </c>
      <c r="N511" t="n">
        <v>0</v>
      </c>
      <c r="O511" t="n">
        <v>0</v>
      </c>
      <c r="P511" t="n">
        <v>0</v>
      </c>
      <c r="Q511" t="n">
        <v>0</v>
      </c>
      <c r="R511" s="2" t="inlineStr"/>
    </row>
    <row r="512" ht="15" customHeight="1">
      <c r="A512" t="inlineStr">
        <is>
          <t>A 2637-2026</t>
        </is>
      </c>
      <c r="B512" s="1" t="n">
        <v>46037.61490740741</v>
      </c>
      <c r="C512" s="1" t="n">
        <v>46062</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2729-2026</t>
        </is>
      </c>
      <c r="B513" s="1" t="n">
        <v>46037.84224537037</v>
      </c>
      <c r="C513" s="1" t="n">
        <v>46062</v>
      </c>
      <c r="D513" t="inlineStr">
        <is>
          <t>DALARNAS LÄN</t>
        </is>
      </c>
      <c r="E513" t="inlineStr">
        <is>
          <t>MORA</t>
        </is>
      </c>
      <c r="G513" t="n">
        <v>18.5</v>
      </c>
      <c r="H513" t="n">
        <v>0</v>
      </c>
      <c r="I513" t="n">
        <v>0</v>
      </c>
      <c r="J513" t="n">
        <v>0</v>
      </c>
      <c r="K513" t="n">
        <v>0</v>
      </c>
      <c r="L513" t="n">
        <v>0</v>
      </c>
      <c r="M513" t="n">
        <v>0</v>
      </c>
      <c r="N513" t="n">
        <v>0</v>
      </c>
      <c r="O513" t="n">
        <v>0</v>
      </c>
      <c r="P513" t="n">
        <v>0</v>
      </c>
      <c r="Q513" t="n">
        <v>0</v>
      </c>
      <c r="R513" s="2" t="inlineStr"/>
    </row>
    <row r="514" ht="15" customHeight="1">
      <c r="A514" t="inlineStr">
        <is>
          <t>A 48522-2024</t>
        </is>
      </c>
      <c r="B514" s="1" t="n">
        <v>45593.32924768519</v>
      </c>
      <c r="C514" s="1" t="n">
        <v>46062</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48342-2023</t>
        </is>
      </c>
      <c r="B515" s="1" t="n">
        <v>45205</v>
      </c>
      <c r="C515" s="1" t="n">
        <v>46062</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48824-2023</t>
        </is>
      </c>
      <c r="B516" s="1" t="n">
        <v>45203</v>
      </c>
      <c r="C516" s="1" t="n">
        <v>46062</v>
      </c>
      <c r="D516" t="inlineStr">
        <is>
          <t>DALARNAS LÄN</t>
        </is>
      </c>
      <c r="E516" t="inlineStr">
        <is>
          <t>MORA</t>
        </is>
      </c>
      <c r="G516" t="n">
        <v>3.3</v>
      </c>
      <c r="H516" t="n">
        <v>0</v>
      </c>
      <c r="I516" t="n">
        <v>0</v>
      </c>
      <c r="J516" t="n">
        <v>0</v>
      </c>
      <c r="K516" t="n">
        <v>0</v>
      </c>
      <c r="L516" t="n">
        <v>0</v>
      </c>
      <c r="M516" t="n">
        <v>0</v>
      </c>
      <c r="N516" t="n">
        <v>0</v>
      </c>
      <c r="O516" t="n">
        <v>0</v>
      </c>
      <c r="P516" t="n">
        <v>0</v>
      </c>
      <c r="Q516" t="n">
        <v>0</v>
      </c>
      <c r="R516" s="2" t="inlineStr"/>
    </row>
    <row r="517" ht="15" customHeight="1">
      <c r="A517" t="inlineStr">
        <is>
          <t>A 60962-2025</t>
        </is>
      </c>
      <c r="B517" s="1" t="n">
        <v>45999.66488425926</v>
      </c>
      <c r="C517" s="1" t="n">
        <v>46062</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60957-2025</t>
        </is>
      </c>
      <c r="B518" s="1" t="n">
        <v>45999.65799768519</v>
      </c>
      <c r="C518" s="1" t="n">
        <v>46062</v>
      </c>
      <c r="D518" t="inlineStr">
        <is>
          <t>DALARNAS LÄN</t>
        </is>
      </c>
      <c r="E518" t="inlineStr">
        <is>
          <t>MORA</t>
        </is>
      </c>
      <c r="G518" t="n">
        <v>1.6</v>
      </c>
      <c r="H518" t="n">
        <v>0</v>
      </c>
      <c r="I518" t="n">
        <v>0</v>
      </c>
      <c r="J518" t="n">
        <v>0</v>
      </c>
      <c r="K518" t="n">
        <v>0</v>
      </c>
      <c r="L518" t="n">
        <v>0</v>
      </c>
      <c r="M518" t="n">
        <v>0</v>
      </c>
      <c r="N518" t="n">
        <v>0</v>
      </c>
      <c r="O518" t="n">
        <v>0</v>
      </c>
      <c r="P518" t="n">
        <v>0</v>
      </c>
      <c r="Q518" t="n">
        <v>0</v>
      </c>
      <c r="R518" s="2" t="inlineStr"/>
    </row>
    <row r="519" ht="15" customHeight="1">
      <c r="A519" t="inlineStr">
        <is>
          <t>A 8343-2025</t>
        </is>
      </c>
      <c r="B519" s="1" t="n">
        <v>45708.67253472222</v>
      </c>
      <c r="C519" s="1" t="n">
        <v>46062</v>
      </c>
      <c r="D519" t="inlineStr">
        <is>
          <t>DALARNAS LÄN</t>
        </is>
      </c>
      <c r="E519" t="inlineStr">
        <is>
          <t>MORA</t>
        </is>
      </c>
      <c r="G519" t="n">
        <v>3.4</v>
      </c>
      <c r="H519" t="n">
        <v>0</v>
      </c>
      <c r="I519" t="n">
        <v>0</v>
      </c>
      <c r="J519" t="n">
        <v>0</v>
      </c>
      <c r="K519" t="n">
        <v>0</v>
      </c>
      <c r="L519" t="n">
        <v>0</v>
      </c>
      <c r="M519" t="n">
        <v>0</v>
      </c>
      <c r="N519" t="n">
        <v>0</v>
      </c>
      <c r="O519" t="n">
        <v>0</v>
      </c>
      <c r="P519" t="n">
        <v>0</v>
      </c>
      <c r="Q519" t="n">
        <v>0</v>
      </c>
      <c r="R519" s="2" t="inlineStr"/>
    </row>
    <row r="520" ht="15" customHeight="1">
      <c r="A520" t="inlineStr">
        <is>
          <t>A 17163-2025</t>
        </is>
      </c>
      <c r="B520" s="1" t="n">
        <v>45756.35998842592</v>
      </c>
      <c r="C520" s="1" t="n">
        <v>46062</v>
      </c>
      <c r="D520" t="inlineStr">
        <is>
          <t>DALARNAS LÄN</t>
        </is>
      </c>
      <c r="E520" t="inlineStr">
        <is>
          <t>MORA</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34272-2024</t>
        </is>
      </c>
      <c r="B521" s="1" t="n">
        <v>45524.61752314815</v>
      </c>
      <c r="C521" s="1" t="n">
        <v>46062</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36579-2022</t>
        </is>
      </c>
      <c r="B522" s="1" t="n">
        <v>44804.61636574074</v>
      </c>
      <c r="C522" s="1" t="n">
        <v>46062</v>
      </c>
      <c r="D522" t="inlineStr">
        <is>
          <t>DALARNAS LÄN</t>
        </is>
      </c>
      <c r="E522" t="inlineStr">
        <is>
          <t>MORA</t>
        </is>
      </c>
      <c r="G522" t="n">
        <v>2.3</v>
      </c>
      <c r="H522" t="n">
        <v>0</v>
      </c>
      <c r="I522" t="n">
        <v>0</v>
      </c>
      <c r="J522" t="n">
        <v>0</v>
      </c>
      <c r="K522" t="n">
        <v>0</v>
      </c>
      <c r="L522" t="n">
        <v>0</v>
      </c>
      <c r="M522" t="n">
        <v>0</v>
      </c>
      <c r="N522" t="n">
        <v>0</v>
      </c>
      <c r="O522" t="n">
        <v>0</v>
      </c>
      <c r="P522" t="n">
        <v>0</v>
      </c>
      <c r="Q522" t="n">
        <v>0</v>
      </c>
      <c r="R522" s="2" t="inlineStr"/>
    </row>
    <row r="523" ht="15" customHeight="1">
      <c r="A523" t="inlineStr">
        <is>
          <t>A 30030-2021</t>
        </is>
      </c>
      <c r="B523" s="1" t="n">
        <v>44363</v>
      </c>
      <c r="C523" s="1" t="n">
        <v>46062</v>
      </c>
      <c r="D523" t="inlineStr">
        <is>
          <t>DALARNAS LÄN</t>
        </is>
      </c>
      <c r="E523" t="inlineStr">
        <is>
          <t>MORA</t>
        </is>
      </c>
      <c r="G523" t="n">
        <v>7.1</v>
      </c>
      <c r="H523" t="n">
        <v>0</v>
      </c>
      <c r="I523" t="n">
        <v>0</v>
      </c>
      <c r="J523" t="n">
        <v>0</v>
      </c>
      <c r="K523" t="n">
        <v>0</v>
      </c>
      <c r="L523" t="n">
        <v>0</v>
      </c>
      <c r="M523" t="n">
        <v>0</v>
      </c>
      <c r="N523" t="n">
        <v>0</v>
      </c>
      <c r="O523" t="n">
        <v>0</v>
      </c>
      <c r="P523" t="n">
        <v>0</v>
      </c>
      <c r="Q523" t="n">
        <v>0</v>
      </c>
      <c r="R523" s="2" t="inlineStr"/>
    </row>
    <row r="524" ht="15" customHeight="1">
      <c r="A524" t="inlineStr">
        <is>
          <t>A 55691-2023</t>
        </is>
      </c>
      <c r="B524" s="1" t="n">
        <v>45239.36509259259</v>
      </c>
      <c r="C524" s="1" t="n">
        <v>46062</v>
      </c>
      <c r="D524" t="inlineStr">
        <is>
          <t>DALARNAS LÄN</t>
        </is>
      </c>
      <c r="E524" t="inlineStr">
        <is>
          <t>MORA</t>
        </is>
      </c>
      <c r="G524" t="n">
        <v>2.2</v>
      </c>
      <c r="H524" t="n">
        <v>0</v>
      </c>
      <c r="I524" t="n">
        <v>0</v>
      </c>
      <c r="J524" t="n">
        <v>0</v>
      </c>
      <c r="K524" t="n">
        <v>0</v>
      </c>
      <c r="L524" t="n">
        <v>0</v>
      </c>
      <c r="M524" t="n">
        <v>0</v>
      </c>
      <c r="N524" t="n">
        <v>0</v>
      </c>
      <c r="O524" t="n">
        <v>0</v>
      </c>
      <c r="P524" t="n">
        <v>0</v>
      </c>
      <c r="Q524" t="n">
        <v>0</v>
      </c>
      <c r="R524" s="2" t="inlineStr"/>
    </row>
    <row r="525" ht="15" customHeight="1">
      <c r="A525" t="inlineStr">
        <is>
          <t>A 63958-2023</t>
        </is>
      </c>
      <c r="B525" s="1" t="n">
        <v>45278</v>
      </c>
      <c r="C525" s="1" t="n">
        <v>46062</v>
      </c>
      <c r="D525" t="inlineStr">
        <is>
          <t>DALARNAS LÄN</t>
        </is>
      </c>
      <c r="E525" t="inlineStr">
        <is>
          <t>MORA</t>
        </is>
      </c>
      <c r="G525" t="n">
        <v>1.9</v>
      </c>
      <c r="H525" t="n">
        <v>0</v>
      </c>
      <c r="I525" t="n">
        <v>0</v>
      </c>
      <c r="J525" t="n">
        <v>0</v>
      </c>
      <c r="K525" t="n">
        <v>0</v>
      </c>
      <c r="L525" t="n">
        <v>0</v>
      </c>
      <c r="M525" t="n">
        <v>0</v>
      </c>
      <c r="N525" t="n">
        <v>0</v>
      </c>
      <c r="O525" t="n">
        <v>0</v>
      </c>
      <c r="P525" t="n">
        <v>0</v>
      </c>
      <c r="Q525" t="n">
        <v>0</v>
      </c>
      <c r="R525" s="2" t="inlineStr"/>
    </row>
    <row r="526" ht="15" customHeight="1">
      <c r="A526" t="inlineStr">
        <is>
          <t>A 33531-2024</t>
        </is>
      </c>
      <c r="B526" s="1" t="n">
        <v>45519.67503472222</v>
      </c>
      <c r="C526" s="1" t="n">
        <v>46062</v>
      </c>
      <c r="D526" t="inlineStr">
        <is>
          <t>DALARNAS LÄN</t>
        </is>
      </c>
      <c r="E526" t="inlineStr">
        <is>
          <t>MORA</t>
        </is>
      </c>
      <c r="G526" t="n">
        <v>14.8</v>
      </c>
      <c r="H526" t="n">
        <v>0</v>
      </c>
      <c r="I526" t="n">
        <v>0</v>
      </c>
      <c r="J526" t="n">
        <v>0</v>
      </c>
      <c r="K526" t="n">
        <v>0</v>
      </c>
      <c r="L526" t="n">
        <v>0</v>
      </c>
      <c r="M526" t="n">
        <v>0</v>
      </c>
      <c r="N526" t="n">
        <v>0</v>
      </c>
      <c r="O526" t="n">
        <v>0</v>
      </c>
      <c r="P526" t="n">
        <v>0</v>
      </c>
      <c r="Q526" t="n">
        <v>0</v>
      </c>
      <c r="R526" s="2" t="inlineStr"/>
    </row>
    <row r="527" ht="15" customHeight="1">
      <c r="A527" t="inlineStr">
        <is>
          <t>A 3145-2026</t>
        </is>
      </c>
      <c r="B527" s="1" t="n">
        <v>46041.41971064815</v>
      </c>
      <c r="C527" s="1" t="n">
        <v>46062</v>
      </c>
      <c r="D527" t="inlineStr">
        <is>
          <t>DALARNAS LÄN</t>
        </is>
      </c>
      <c r="E527" t="inlineStr">
        <is>
          <t>MORA</t>
        </is>
      </c>
      <c r="G527" t="n">
        <v>4.3</v>
      </c>
      <c r="H527" t="n">
        <v>0</v>
      </c>
      <c r="I527" t="n">
        <v>0</v>
      </c>
      <c r="J527" t="n">
        <v>0</v>
      </c>
      <c r="K527" t="n">
        <v>0</v>
      </c>
      <c r="L527" t="n">
        <v>0</v>
      </c>
      <c r="M527" t="n">
        <v>0</v>
      </c>
      <c r="N527" t="n">
        <v>0</v>
      </c>
      <c r="O527" t="n">
        <v>0</v>
      </c>
      <c r="P527" t="n">
        <v>0</v>
      </c>
      <c r="Q527" t="n">
        <v>0</v>
      </c>
      <c r="R527" s="2" t="inlineStr"/>
    </row>
    <row r="528" ht="15" customHeight="1">
      <c r="A528" t="inlineStr">
        <is>
          <t>A 2995-2026</t>
        </is>
      </c>
      <c r="B528" s="1" t="n">
        <v>46038</v>
      </c>
      <c r="C528" s="1" t="n">
        <v>46062</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2762-2026</t>
        </is>
      </c>
      <c r="B529" s="1" t="n">
        <v>46036</v>
      </c>
      <c r="C529" s="1" t="n">
        <v>46062</v>
      </c>
      <c r="D529" t="inlineStr">
        <is>
          <t>DALARNAS LÄN</t>
        </is>
      </c>
      <c r="E529" t="inlineStr">
        <is>
          <t>MORA</t>
        </is>
      </c>
      <c r="G529" t="n">
        <v>5.7</v>
      </c>
      <c r="H529" t="n">
        <v>0</v>
      </c>
      <c r="I529" t="n">
        <v>0</v>
      </c>
      <c r="J529" t="n">
        <v>0</v>
      </c>
      <c r="K529" t="n">
        <v>0</v>
      </c>
      <c r="L529" t="n">
        <v>0</v>
      </c>
      <c r="M529" t="n">
        <v>0</v>
      </c>
      <c r="N529" t="n">
        <v>0</v>
      </c>
      <c r="O529" t="n">
        <v>0</v>
      </c>
      <c r="P529" t="n">
        <v>0</v>
      </c>
      <c r="Q529" t="n">
        <v>0</v>
      </c>
      <c r="R529" s="2" t="inlineStr"/>
    </row>
    <row r="530" ht="15" customHeight="1">
      <c r="A530" t="inlineStr">
        <is>
          <t>A 3149-2026</t>
        </is>
      </c>
      <c r="B530" s="1" t="n">
        <v>46041.42416666666</v>
      </c>
      <c r="C530" s="1" t="n">
        <v>46062</v>
      </c>
      <c r="D530" t="inlineStr">
        <is>
          <t>DALARNAS LÄN</t>
        </is>
      </c>
      <c r="E530" t="inlineStr">
        <is>
          <t>MORA</t>
        </is>
      </c>
      <c r="G530" t="n">
        <v>0.7</v>
      </c>
      <c r="H530" t="n">
        <v>0</v>
      </c>
      <c r="I530" t="n">
        <v>0</v>
      </c>
      <c r="J530" t="n">
        <v>0</v>
      </c>
      <c r="K530" t="n">
        <v>0</v>
      </c>
      <c r="L530" t="n">
        <v>0</v>
      </c>
      <c r="M530" t="n">
        <v>0</v>
      </c>
      <c r="N530" t="n">
        <v>0</v>
      </c>
      <c r="O530" t="n">
        <v>0</v>
      </c>
      <c r="P530" t="n">
        <v>0</v>
      </c>
      <c r="Q530" t="n">
        <v>0</v>
      </c>
      <c r="R530" s="2" t="inlineStr"/>
    </row>
    <row r="531" ht="15" customHeight="1">
      <c r="A531" t="inlineStr">
        <is>
          <t>A 25494-2024</t>
        </is>
      </c>
      <c r="B531" s="1" t="n">
        <v>45463</v>
      </c>
      <c r="C531" s="1" t="n">
        <v>46062</v>
      </c>
      <c r="D531" t="inlineStr">
        <is>
          <t>DALARNAS LÄN</t>
        </is>
      </c>
      <c r="E531" t="inlineStr">
        <is>
          <t>MORA</t>
        </is>
      </c>
      <c r="G531" t="n">
        <v>4.9</v>
      </c>
      <c r="H531" t="n">
        <v>0</v>
      </c>
      <c r="I531" t="n">
        <v>0</v>
      </c>
      <c r="J531" t="n">
        <v>0</v>
      </c>
      <c r="K531" t="n">
        <v>0</v>
      </c>
      <c r="L531" t="n">
        <v>0</v>
      </c>
      <c r="M531" t="n">
        <v>0</v>
      </c>
      <c r="N531" t="n">
        <v>0</v>
      </c>
      <c r="O531" t="n">
        <v>0</v>
      </c>
      <c r="P531" t="n">
        <v>0</v>
      </c>
      <c r="Q531" t="n">
        <v>0</v>
      </c>
      <c r="R531" s="2" t="inlineStr"/>
    </row>
    <row r="532" ht="15" customHeight="1">
      <c r="A532" t="inlineStr">
        <is>
          <t>A 141-2026</t>
        </is>
      </c>
      <c r="B532" s="1" t="n">
        <v>46024.62364583334</v>
      </c>
      <c r="C532" s="1" t="n">
        <v>46062</v>
      </c>
      <c r="D532" t="inlineStr">
        <is>
          <t>DALARNAS LÄN</t>
        </is>
      </c>
      <c r="E532" t="inlineStr">
        <is>
          <t>MORA</t>
        </is>
      </c>
      <c r="G532" t="n">
        <v>4.4</v>
      </c>
      <c r="H532" t="n">
        <v>0</v>
      </c>
      <c r="I532" t="n">
        <v>0</v>
      </c>
      <c r="J532" t="n">
        <v>0</v>
      </c>
      <c r="K532" t="n">
        <v>0</v>
      </c>
      <c r="L532" t="n">
        <v>0</v>
      </c>
      <c r="M532" t="n">
        <v>0</v>
      </c>
      <c r="N532" t="n">
        <v>0</v>
      </c>
      <c r="O532" t="n">
        <v>0</v>
      </c>
      <c r="P532" t="n">
        <v>0</v>
      </c>
      <c r="Q532" t="n">
        <v>0</v>
      </c>
      <c r="R532" s="2" t="inlineStr"/>
    </row>
    <row r="533" ht="15" customHeight="1">
      <c r="A533" t="inlineStr">
        <is>
          <t>A 2786-2026</t>
        </is>
      </c>
      <c r="B533" s="1" t="n">
        <v>46038.39023148148</v>
      </c>
      <c r="C533" s="1" t="n">
        <v>46062</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3247-2026</t>
        </is>
      </c>
      <c r="B534" s="1" t="n">
        <v>46041</v>
      </c>
      <c r="C534" s="1" t="n">
        <v>46062</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3669-2026</t>
        </is>
      </c>
      <c r="B535" s="1" t="n">
        <v>46043.41603009259</v>
      </c>
      <c r="C535" s="1" t="n">
        <v>46062</v>
      </c>
      <c r="D535" t="inlineStr">
        <is>
          <t>DALARNAS LÄN</t>
        </is>
      </c>
      <c r="E535" t="inlineStr">
        <is>
          <t>MORA</t>
        </is>
      </c>
      <c r="G535" t="n">
        <v>4.6</v>
      </c>
      <c r="H535" t="n">
        <v>0</v>
      </c>
      <c r="I535" t="n">
        <v>0</v>
      </c>
      <c r="J535" t="n">
        <v>0</v>
      </c>
      <c r="K535" t="n">
        <v>0</v>
      </c>
      <c r="L535" t="n">
        <v>0</v>
      </c>
      <c r="M535" t="n">
        <v>0</v>
      </c>
      <c r="N535" t="n">
        <v>0</v>
      </c>
      <c r="O535" t="n">
        <v>0</v>
      </c>
      <c r="P535" t="n">
        <v>0</v>
      </c>
      <c r="Q535" t="n">
        <v>0</v>
      </c>
      <c r="R535" s="2" t="inlineStr"/>
    </row>
    <row r="536" ht="15" customHeight="1">
      <c r="A536" t="inlineStr">
        <is>
          <t>A 51780-2023</t>
        </is>
      </c>
      <c r="B536" s="1" t="n">
        <v>45222</v>
      </c>
      <c r="C536" s="1" t="n">
        <v>46062</v>
      </c>
      <c r="D536" t="inlineStr">
        <is>
          <t>DALARNAS LÄN</t>
        </is>
      </c>
      <c r="E536" t="inlineStr">
        <is>
          <t>MORA</t>
        </is>
      </c>
      <c r="G536" t="n">
        <v>9.9</v>
      </c>
      <c r="H536" t="n">
        <v>0</v>
      </c>
      <c r="I536" t="n">
        <v>0</v>
      </c>
      <c r="J536" t="n">
        <v>0</v>
      </c>
      <c r="K536" t="n">
        <v>0</v>
      </c>
      <c r="L536" t="n">
        <v>0</v>
      </c>
      <c r="M536" t="n">
        <v>0</v>
      </c>
      <c r="N536" t="n">
        <v>0</v>
      </c>
      <c r="O536" t="n">
        <v>0</v>
      </c>
      <c r="P536" t="n">
        <v>0</v>
      </c>
      <c r="Q536" t="n">
        <v>0</v>
      </c>
      <c r="R536" s="2" t="inlineStr"/>
    </row>
    <row r="537" ht="15" customHeight="1">
      <c r="A537" t="inlineStr">
        <is>
          <t>A 15818-2024</t>
        </is>
      </c>
      <c r="B537" s="1" t="n">
        <v>45404.67442129629</v>
      </c>
      <c r="C537" s="1" t="n">
        <v>46062</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3854-2026</t>
        </is>
      </c>
      <c r="B538" s="1" t="n">
        <v>46043.61261574074</v>
      </c>
      <c r="C538" s="1" t="n">
        <v>46062</v>
      </c>
      <c r="D538" t="inlineStr">
        <is>
          <t>DALARNAS LÄN</t>
        </is>
      </c>
      <c r="E538" t="inlineStr">
        <is>
          <t>MORA</t>
        </is>
      </c>
      <c r="G538" t="n">
        <v>1</v>
      </c>
      <c r="H538" t="n">
        <v>0</v>
      </c>
      <c r="I538" t="n">
        <v>0</v>
      </c>
      <c r="J538" t="n">
        <v>0</v>
      </c>
      <c r="K538" t="n">
        <v>0</v>
      </c>
      <c r="L538" t="n">
        <v>0</v>
      </c>
      <c r="M538" t="n">
        <v>0</v>
      </c>
      <c r="N538" t="n">
        <v>0</v>
      </c>
      <c r="O538" t="n">
        <v>0</v>
      </c>
      <c r="P538" t="n">
        <v>0</v>
      </c>
      <c r="Q538" t="n">
        <v>0</v>
      </c>
      <c r="R538" s="2" t="inlineStr"/>
    </row>
    <row r="539" ht="15" customHeight="1">
      <c r="A539" t="inlineStr">
        <is>
          <t>A 61412-2025</t>
        </is>
      </c>
      <c r="B539" s="1" t="n">
        <v>46001.5266087963</v>
      </c>
      <c r="C539" s="1" t="n">
        <v>46062</v>
      </c>
      <c r="D539" t="inlineStr">
        <is>
          <t>DALARNAS LÄN</t>
        </is>
      </c>
      <c r="E539" t="inlineStr">
        <is>
          <t>MORA</t>
        </is>
      </c>
      <c r="G539" t="n">
        <v>2.9</v>
      </c>
      <c r="H539" t="n">
        <v>0</v>
      </c>
      <c r="I539" t="n">
        <v>0</v>
      </c>
      <c r="J539" t="n">
        <v>0</v>
      </c>
      <c r="K539" t="n">
        <v>0</v>
      </c>
      <c r="L539" t="n">
        <v>0</v>
      </c>
      <c r="M539" t="n">
        <v>0</v>
      </c>
      <c r="N539" t="n">
        <v>0</v>
      </c>
      <c r="O539" t="n">
        <v>0</v>
      </c>
      <c r="P539" t="n">
        <v>0</v>
      </c>
      <c r="Q539" t="n">
        <v>0</v>
      </c>
      <c r="R539" s="2" t="inlineStr"/>
    </row>
    <row r="540" ht="15" customHeight="1">
      <c r="A540" t="inlineStr">
        <is>
          <t>A 33513-2024</t>
        </is>
      </c>
      <c r="B540" s="1" t="n">
        <v>45519.644375</v>
      </c>
      <c r="C540" s="1" t="n">
        <v>46062</v>
      </c>
      <c r="D540" t="inlineStr">
        <is>
          <t>DALARNAS LÄN</t>
        </is>
      </c>
      <c r="E540" t="inlineStr">
        <is>
          <t>MORA</t>
        </is>
      </c>
      <c r="G540" t="n">
        <v>5.9</v>
      </c>
      <c r="H540" t="n">
        <v>0</v>
      </c>
      <c r="I540" t="n">
        <v>0</v>
      </c>
      <c r="J540" t="n">
        <v>0</v>
      </c>
      <c r="K540" t="n">
        <v>0</v>
      </c>
      <c r="L540" t="n">
        <v>0</v>
      </c>
      <c r="M540" t="n">
        <v>0</v>
      </c>
      <c r="N540" t="n">
        <v>0</v>
      </c>
      <c r="O540" t="n">
        <v>0</v>
      </c>
      <c r="P540" t="n">
        <v>0</v>
      </c>
      <c r="Q540" t="n">
        <v>0</v>
      </c>
      <c r="R540" s="2" t="inlineStr"/>
    </row>
    <row r="541" ht="15" customHeight="1">
      <c r="A541" t="inlineStr">
        <is>
          <t>A 3440-2026</t>
        </is>
      </c>
      <c r="B541" s="1" t="n">
        <v>46042.475625</v>
      </c>
      <c r="C541" s="1" t="n">
        <v>46062</v>
      </c>
      <c r="D541" t="inlineStr">
        <is>
          <t>DALARNAS LÄN</t>
        </is>
      </c>
      <c r="E541" t="inlineStr">
        <is>
          <t>MORA</t>
        </is>
      </c>
      <c r="G541" t="n">
        <v>6.7</v>
      </c>
      <c r="H541" t="n">
        <v>0</v>
      </c>
      <c r="I541" t="n">
        <v>0</v>
      </c>
      <c r="J541" t="n">
        <v>0</v>
      </c>
      <c r="K541" t="n">
        <v>0</v>
      </c>
      <c r="L541" t="n">
        <v>0</v>
      </c>
      <c r="M541" t="n">
        <v>0</v>
      </c>
      <c r="N541" t="n">
        <v>0</v>
      </c>
      <c r="O541" t="n">
        <v>0</v>
      </c>
      <c r="P541" t="n">
        <v>0</v>
      </c>
      <c r="Q541" t="n">
        <v>0</v>
      </c>
      <c r="R541" s="2" t="inlineStr"/>
    </row>
    <row r="542" ht="15" customHeight="1">
      <c r="A542" t="inlineStr">
        <is>
          <t>A 3742-2026</t>
        </is>
      </c>
      <c r="B542" s="1" t="n">
        <v>46043</v>
      </c>
      <c r="C542" s="1" t="n">
        <v>46062</v>
      </c>
      <c r="D542" t="inlineStr">
        <is>
          <t>DALARNAS LÄN</t>
        </is>
      </c>
      <c r="E542" t="inlineStr">
        <is>
          <t>MORA</t>
        </is>
      </c>
      <c r="G542" t="n">
        <v>1.7</v>
      </c>
      <c r="H542" t="n">
        <v>0</v>
      </c>
      <c r="I542" t="n">
        <v>0</v>
      </c>
      <c r="J542" t="n">
        <v>0</v>
      </c>
      <c r="K542" t="n">
        <v>0</v>
      </c>
      <c r="L542" t="n">
        <v>0</v>
      </c>
      <c r="M542" t="n">
        <v>0</v>
      </c>
      <c r="N542" t="n">
        <v>0</v>
      </c>
      <c r="O542" t="n">
        <v>0</v>
      </c>
      <c r="P542" t="n">
        <v>0</v>
      </c>
      <c r="Q542" t="n">
        <v>0</v>
      </c>
      <c r="R542" s="2" t="inlineStr"/>
    </row>
    <row r="543" ht="15" customHeight="1">
      <c r="A543" t="inlineStr">
        <is>
          <t>A 3876-2026</t>
        </is>
      </c>
      <c r="B543" s="1" t="n">
        <v>46043.64811342592</v>
      </c>
      <c r="C543" s="1" t="n">
        <v>46062</v>
      </c>
      <c r="D543" t="inlineStr">
        <is>
          <t>DALARNAS LÄN</t>
        </is>
      </c>
      <c r="E543" t="inlineStr">
        <is>
          <t>MORA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35040-2023</t>
        </is>
      </c>
      <c r="B544" s="1" t="n">
        <v>45145.36853009259</v>
      </c>
      <c r="C544" s="1" t="n">
        <v>46062</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61455-2025</t>
        </is>
      </c>
      <c r="B545" s="1" t="n">
        <v>46001.58590277778</v>
      </c>
      <c r="C545" s="1" t="n">
        <v>46062</v>
      </c>
      <c r="D545" t="inlineStr">
        <is>
          <t>DALARNAS LÄN</t>
        </is>
      </c>
      <c r="E545" t="inlineStr">
        <is>
          <t>MORA</t>
        </is>
      </c>
      <c r="G545" t="n">
        <v>3.4</v>
      </c>
      <c r="H545" t="n">
        <v>0</v>
      </c>
      <c r="I545" t="n">
        <v>0</v>
      </c>
      <c r="J545" t="n">
        <v>0</v>
      </c>
      <c r="K545" t="n">
        <v>0</v>
      </c>
      <c r="L545" t="n">
        <v>0</v>
      </c>
      <c r="M545" t="n">
        <v>0</v>
      </c>
      <c r="N545" t="n">
        <v>0</v>
      </c>
      <c r="O545" t="n">
        <v>0</v>
      </c>
      <c r="P545" t="n">
        <v>0</v>
      </c>
      <c r="Q545" t="n">
        <v>0</v>
      </c>
      <c r="R545" s="2" t="inlineStr"/>
    </row>
    <row r="546" ht="15" customHeight="1">
      <c r="A546" t="inlineStr">
        <is>
          <t>A 673-2026</t>
        </is>
      </c>
      <c r="B546" s="1" t="n">
        <v>46029</v>
      </c>
      <c r="C546" s="1" t="n">
        <v>46062</v>
      </c>
      <c r="D546" t="inlineStr">
        <is>
          <t>DALARNAS LÄN</t>
        </is>
      </c>
      <c r="E546" t="inlineStr">
        <is>
          <t>MORA</t>
        </is>
      </c>
      <c r="F546" t="inlineStr">
        <is>
          <t>Kommuner</t>
        </is>
      </c>
      <c r="G546" t="n">
        <v>25.8</v>
      </c>
      <c r="H546" t="n">
        <v>0</v>
      </c>
      <c r="I546" t="n">
        <v>0</v>
      </c>
      <c r="J546" t="n">
        <v>0</v>
      </c>
      <c r="K546" t="n">
        <v>0</v>
      </c>
      <c r="L546" t="n">
        <v>0</v>
      </c>
      <c r="M546" t="n">
        <v>0</v>
      </c>
      <c r="N546" t="n">
        <v>0</v>
      </c>
      <c r="O546" t="n">
        <v>0</v>
      </c>
      <c r="P546" t="n">
        <v>0</v>
      </c>
      <c r="Q546" t="n">
        <v>0</v>
      </c>
      <c r="R546" s="2" t="inlineStr"/>
    </row>
    <row r="547" ht="15" customHeight="1">
      <c r="A547" t="inlineStr">
        <is>
          <t>A 4155-2026</t>
        </is>
      </c>
      <c r="B547" s="1" t="n">
        <v>46044.6533449074</v>
      </c>
      <c r="C547" s="1" t="n">
        <v>46062</v>
      </c>
      <c r="D547" t="inlineStr">
        <is>
          <t>DALARNAS LÄN</t>
        </is>
      </c>
      <c r="E547" t="inlineStr">
        <is>
          <t>MORA</t>
        </is>
      </c>
      <c r="G547" t="n">
        <v>0.8</v>
      </c>
      <c r="H547" t="n">
        <v>0</v>
      </c>
      <c r="I547" t="n">
        <v>0</v>
      </c>
      <c r="J547" t="n">
        <v>0</v>
      </c>
      <c r="K547" t="n">
        <v>0</v>
      </c>
      <c r="L547" t="n">
        <v>0</v>
      </c>
      <c r="M547" t="n">
        <v>0</v>
      </c>
      <c r="N547" t="n">
        <v>0</v>
      </c>
      <c r="O547" t="n">
        <v>0</v>
      </c>
      <c r="P547" t="n">
        <v>0</v>
      </c>
      <c r="Q547" t="n">
        <v>0</v>
      </c>
      <c r="R547" s="2" t="inlineStr"/>
    </row>
    <row r="548" ht="15" customHeight="1">
      <c r="A548" t="inlineStr">
        <is>
          <t>A 4213-2026</t>
        </is>
      </c>
      <c r="B548" s="1" t="n">
        <v>46044.741875</v>
      </c>
      <c r="C548" s="1" t="n">
        <v>46062</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44595-2024</t>
        </is>
      </c>
      <c r="B549" s="1" t="n">
        <v>45574.51053240741</v>
      </c>
      <c r="C549" s="1" t="n">
        <v>46062</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61293-2022</t>
        </is>
      </c>
      <c r="B550" s="1" t="n">
        <v>44915.62751157407</v>
      </c>
      <c r="C550" s="1" t="n">
        <v>46062</v>
      </c>
      <c r="D550" t="inlineStr">
        <is>
          <t>DALARNAS LÄN</t>
        </is>
      </c>
      <c r="E550" t="inlineStr">
        <is>
          <t>MORA</t>
        </is>
      </c>
      <c r="G550" t="n">
        <v>0.3</v>
      </c>
      <c r="H550" t="n">
        <v>0</v>
      </c>
      <c r="I550" t="n">
        <v>0</v>
      </c>
      <c r="J550" t="n">
        <v>0</v>
      </c>
      <c r="K550" t="n">
        <v>0</v>
      </c>
      <c r="L550" t="n">
        <v>0</v>
      </c>
      <c r="M550" t="n">
        <v>0</v>
      </c>
      <c r="N550" t="n">
        <v>0</v>
      </c>
      <c r="O550" t="n">
        <v>0</v>
      </c>
      <c r="P550" t="n">
        <v>0</v>
      </c>
      <c r="Q550" t="n">
        <v>0</v>
      </c>
      <c r="R550" s="2" t="inlineStr"/>
    </row>
    <row r="551" ht="15" customHeight="1">
      <c r="A551" t="inlineStr">
        <is>
          <t>A 61606-2025</t>
        </is>
      </c>
      <c r="B551" s="1" t="n">
        <v>46002.37662037037</v>
      </c>
      <c r="C551" s="1" t="n">
        <v>46062</v>
      </c>
      <c r="D551" t="inlineStr">
        <is>
          <t>DALARNAS LÄN</t>
        </is>
      </c>
      <c r="E551" t="inlineStr">
        <is>
          <t>MORA</t>
        </is>
      </c>
      <c r="G551" t="n">
        <v>6.1</v>
      </c>
      <c r="H551" t="n">
        <v>0</v>
      </c>
      <c r="I551" t="n">
        <v>0</v>
      </c>
      <c r="J551" t="n">
        <v>0</v>
      </c>
      <c r="K551" t="n">
        <v>0</v>
      </c>
      <c r="L551" t="n">
        <v>0</v>
      </c>
      <c r="M551" t="n">
        <v>0</v>
      </c>
      <c r="N551" t="n">
        <v>0</v>
      </c>
      <c r="O551" t="n">
        <v>0</v>
      </c>
      <c r="P551" t="n">
        <v>0</v>
      </c>
      <c r="Q551" t="n">
        <v>0</v>
      </c>
      <c r="R551" s="2" t="inlineStr"/>
    </row>
    <row r="552" ht="15" customHeight="1">
      <c r="A552" t="inlineStr">
        <is>
          <t>A 61624-2025</t>
        </is>
      </c>
      <c r="B552" s="1" t="n">
        <v>46002.39755787037</v>
      </c>
      <c r="C552" s="1" t="n">
        <v>46062</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61620-2025</t>
        </is>
      </c>
      <c r="B553" s="1" t="n">
        <v>46002.39347222223</v>
      </c>
      <c r="C553" s="1" t="n">
        <v>46062</v>
      </c>
      <c r="D553" t="inlineStr">
        <is>
          <t>DALARNAS LÄN</t>
        </is>
      </c>
      <c r="E553" t="inlineStr">
        <is>
          <t>MORA</t>
        </is>
      </c>
      <c r="G553" t="n">
        <v>3</v>
      </c>
      <c r="H553" t="n">
        <v>0</v>
      </c>
      <c r="I553" t="n">
        <v>0</v>
      </c>
      <c r="J553" t="n">
        <v>0</v>
      </c>
      <c r="K553" t="n">
        <v>0</v>
      </c>
      <c r="L553" t="n">
        <v>0</v>
      </c>
      <c r="M553" t="n">
        <v>0</v>
      </c>
      <c r="N553" t="n">
        <v>0</v>
      </c>
      <c r="O553" t="n">
        <v>0</v>
      </c>
      <c r="P553" t="n">
        <v>0</v>
      </c>
      <c r="Q553" t="n">
        <v>0</v>
      </c>
      <c r="R553" s="2" t="inlineStr"/>
    </row>
    <row r="554" ht="15" customHeight="1">
      <c r="A554" t="inlineStr">
        <is>
          <t>A 46412-2024</t>
        </is>
      </c>
      <c r="B554" s="1" t="n">
        <v>45582.44894675926</v>
      </c>
      <c r="C554" s="1" t="n">
        <v>46062</v>
      </c>
      <c r="D554" t="inlineStr">
        <is>
          <t>DALARNAS LÄN</t>
        </is>
      </c>
      <c r="E554" t="inlineStr">
        <is>
          <t>MORA</t>
        </is>
      </c>
      <c r="G554" t="n">
        <v>4.1</v>
      </c>
      <c r="H554" t="n">
        <v>0</v>
      </c>
      <c r="I554" t="n">
        <v>0</v>
      </c>
      <c r="J554" t="n">
        <v>0</v>
      </c>
      <c r="K554" t="n">
        <v>0</v>
      </c>
      <c r="L554" t="n">
        <v>0</v>
      </c>
      <c r="M554" t="n">
        <v>0</v>
      </c>
      <c r="N554" t="n">
        <v>0</v>
      </c>
      <c r="O554" t="n">
        <v>0</v>
      </c>
      <c r="P554" t="n">
        <v>0</v>
      </c>
      <c r="Q554" t="n">
        <v>0</v>
      </c>
      <c r="R554" s="2" t="inlineStr"/>
    </row>
    <row r="555" ht="15" customHeight="1">
      <c r="A555" t="inlineStr">
        <is>
          <t>A 61995-2025</t>
        </is>
      </c>
      <c r="B555" s="1" t="n">
        <v>46003.63954861111</v>
      </c>
      <c r="C555" s="1" t="n">
        <v>46062</v>
      </c>
      <c r="D555" t="inlineStr">
        <is>
          <t>DALARNAS LÄN</t>
        </is>
      </c>
      <c r="E555" t="inlineStr">
        <is>
          <t>MORA</t>
        </is>
      </c>
      <c r="G555" t="n">
        <v>1.3</v>
      </c>
      <c r="H555" t="n">
        <v>0</v>
      </c>
      <c r="I555" t="n">
        <v>0</v>
      </c>
      <c r="J555" t="n">
        <v>0</v>
      </c>
      <c r="K555" t="n">
        <v>0</v>
      </c>
      <c r="L555" t="n">
        <v>0</v>
      </c>
      <c r="M555" t="n">
        <v>0</v>
      </c>
      <c r="N555" t="n">
        <v>0</v>
      </c>
      <c r="O555" t="n">
        <v>0</v>
      </c>
      <c r="P555" t="n">
        <v>0</v>
      </c>
      <c r="Q555" t="n">
        <v>0</v>
      </c>
      <c r="R555" s="2" t="inlineStr"/>
    </row>
    <row r="556" ht="15" customHeight="1">
      <c r="A556" t="inlineStr">
        <is>
          <t>A 57091-2021</t>
        </is>
      </c>
      <c r="B556" s="1" t="n">
        <v>44482</v>
      </c>
      <c r="C556" s="1" t="n">
        <v>46062</v>
      </c>
      <c r="D556" t="inlineStr">
        <is>
          <t>DALARNAS LÄN</t>
        </is>
      </c>
      <c r="E556" t="inlineStr">
        <is>
          <t>MORA</t>
        </is>
      </c>
      <c r="G556" t="n">
        <v>1</v>
      </c>
      <c r="H556" t="n">
        <v>0</v>
      </c>
      <c r="I556" t="n">
        <v>0</v>
      </c>
      <c r="J556" t="n">
        <v>0</v>
      </c>
      <c r="K556" t="n">
        <v>0</v>
      </c>
      <c r="L556" t="n">
        <v>0</v>
      </c>
      <c r="M556" t="n">
        <v>0</v>
      </c>
      <c r="N556" t="n">
        <v>0</v>
      </c>
      <c r="O556" t="n">
        <v>0</v>
      </c>
      <c r="P556" t="n">
        <v>0</v>
      </c>
      <c r="Q556" t="n">
        <v>0</v>
      </c>
      <c r="R556" s="2" t="inlineStr"/>
    </row>
    <row r="557" ht="15" customHeight="1">
      <c r="A557" t="inlineStr">
        <is>
          <t>A 50685-2023</t>
        </is>
      </c>
      <c r="B557" s="1" t="n">
        <v>45210</v>
      </c>
      <c r="C557" s="1" t="n">
        <v>46062</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36740-2023</t>
        </is>
      </c>
      <c r="B558" s="1" t="n">
        <v>45153</v>
      </c>
      <c r="C558" s="1" t="n">
        <v>46062</v>
      </c>
      <c r="D558" t="inlineStr">
        <is>
          <t>DALARNAS LÄN</t>
        </is>
      </c>
      <c r="E558" t="inlineStr">
        <is>
          <t>MORA</t>
        </is>
      </c>
      <c r="G558" t="n">
        <v>0.2</v>
      </c>
      <c r="H558" t="n">
        <v>0</v>
      </c>
      <c r="I558" t="n">
        <v>0</v>
      </c>
      <c r="J558" t="n">
        <v>0</v>
      </c>
      <c r="K558" t="n">
        <v>0</v>
      </c>
      <c r="L558" t="n">
        <v>0</v>
      </c>
      <c r="M558" t="n">
        <v>0</v>
      </c>
      <c r="N558" t="n">
        <v>0</v>
      </c>
      <c r="O558" t="n">
        <v>0</v>
      </c>
      <c r="P558" t="n">
        <v>0</v>
      </c>
      <c r="Q558" t="n">
        <v>0</v>
      </c>
      <c r="R558" s="2" t="inlineStr"/>
    </row>
    <row r="559" ht="15" customHeight="1">
      <c r="A559" t="inlineStr">
        <is>
          <t>A 31177-2021</t>
        </is>
      </c>
      <c r="B559" s="1" t="n">
        <v>44368</v>
      </c>
      <c r="C559" s="1" t="n">
        <v>46062</v>
      </c>
      <c r="D559" t="inlineStr">
        <is>
          <t>DALARNAS LÄN</t>
        </is>
      </c>
      <c r="E559" t="inlineStr">
        <is>
          <t>MORA</t>
        </is>
      </c>
      <c r="G559" t="n">
        <v>1.6</v>
      </c>
      <c r="H559" t="n">
        <v>0</v>
      </c>
      <c r="I559" t="n">
        <v>0</v>
      </c>
      <c r="J559" t="n">
        <v>0</v>
      </c>
      <c r="K559" t="n">
        <v>0</v>
      </c>
      <c r="L559" t="n">
        <v>0</v>
      </c>
      <c r="M559" t="n">
        <v>0</v>
      </c>
      <c r="N559" t="n">
        <v>0</v>
      </c>
      <c r="O559" t="n">
        <v>0</v>
      </c>
      <c r="P559" t="n">
        <v>0</v>
      </c>
      <c r="Q559" t="n">
        <v>0</v>
      </c>
      <c r="R559" s="2" t="inlineStr"/>
    </row>
    <row r="560" ht="15" customHeight="1">
      <c r="A560" t="inlineStr">
        <is>
          <t>A 65186-2021</t>
        </is>
      </c>
      <c r="B560" s="1" t="n">
        <v>44515</v>
      </c>
      <c r="C560" s="1" t="n">
        <v>46062</v>
      </c>
      <c r="D560" t="inlineStr">
        <is>
          <t>DALARNAS LÄN</t>
        </is>
      </c>
      <c r="E560" t="inlineStr">
        <is>
          <t>MORA</t>
        </is>
      </c>
      <c r="G560" t="n">
        <v>1.4</v>
      </c>
      <c r="H560" t="n">
        <v>0</v>
      </c>
      <c r="I560" t="n">
        <v>0</v>
      </c>
      <c r="J560" t="n">
        <v>0</v>
      </c>
      <c r="K560" t="n">
        <v>0</v>
      </c>
      <c r="L560" t="n">
        <v>0</v>
      </c>
      <c r="M560" t="n">
        <v>0</v>
      </c>
      <c r="N560" t="n">
        <v>0</v>
      </c>
      <c r="O560" t="n">
        <v>0</v>
      </c>
      <c r="P560" t="n">
        <v>0</v>
      </c>
      <c r="Q560" t="n">
        <v>0</v>
      </c>
      <c r="R560" s="2" t="inlineStr"/>
    </row>
    <row r="561" ht="15" customHeight="1">
      <c r="A561" t="inlineStr">
        <is>
          <t>A 4752-2026</t>
        </is>
      </c>
      <c r="B561" s="1" t="n">
        <v>46048.51449074074</v>
      </c>
      <c r="C561" s="1" t="n">
        <v>46062</v>
      </c>
      <c r="D561" t="inlineStr">
        <is>
          <t>DALARNAS LÄN</t>
        </is>
      </c>
      <c r="E561" t="inlineStr">
        <is>
          <t>MORA</t>
        </is>
      </c>
      <c r="G561" t="n">
        <v>1.7</v>
      </c>
      <c r="H561" t="n">
        <v>0</v>
      </c>
      <c r="I561" t="n">
        <v>0</v>
      </c>
      <c r="J561" t="n">
        <v>0</v>
      </c>
      <c r="K561" t="n">
        <v>0</v>
      </c>
      <c r="L561" t="n">
        <v>0</v>
      </c>
      <c r="M561" t="n">
        <v>0</v>
      </c>
      <c r="N561" t="n">
        <v>0</v>
      </c>
      <c r="O561" t="n">
        <v>0</v>
      </c>
      <c r="P561" t="n">
        <v>0</v>
      </c>
      <c r="Q561" t="n">
        <v>0</v>
      </c>
      <c r="R561" s="2" t="inlineStr"/>
    </row>
    <row r="562" ht="15" customHeight="1">
      <c r="A562" t="inlineStr">
        <is>
          <t>A 62055-2025</t>
        </is>
      </c>
      <c r="B562" s="1" t="n">
        <v>46006.3365625</v>
      </c>
      <c r="C562" s="1" t="n">
        <v>46062</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5116-2026</t>
        </is>
      </c>
      <c r="B563" s="1" t="n">
        <v>46049.57591435185</v>
      </c>
      <c r="C563" s="1" t="n">
        <v>46062</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62054-2025</t>
        </is>
      </c>
      <c r="B564" s="1" t="n">
        <v>46006.33462962963</v>
      </c>
      <c r="C564" s="1" t="n">
        <v>46062</v>
      </c>
      <c r="D564" t="inlineStr">
        <is>
          <t>DALARNAS LÄN</t>
        </is>
      </c>
      <c r="E564" t="inlineStr">
        <is>
          <t>MORA</t>
        </is>
      </c>
      <c r="G564" t="n">
        <v>1.6</v>
      </c>
      <c r="H564" t="n">
        <v>0</v>
      </c>
      <c r="I564" t="n">
        <v>0</v>
      </c>
      <c r="J564" t="n">
        <v>0</v>
      </c>
      <c r="K564" t="n">
        <v>0</v>
      </c>
      <c r="L564" t="n">
        <v>0</v>
      </c>
      <c r="M564" t="n">
        <v>0</v>
      </c>
      <c r="N564" t="n">
        <v>0</v>
      </c>
      <c r="O564" t="n">
        <v>0</v>
      </c>
      <c r="P564" t="n">
        <v>0</v>
      </c>
      <c r="Q564" t="n">
        <v>0</v>
      </c>
      <c r="R564" s="2" t="inlineStr"/>
    </row>
    <row r="565" ht="15" customHeight="1">
      <c r="A565" t="inlineStr">
        <is>
          <t>A 4906-2026</t>
        </is>
      </c>
      <c r="B565" s="1" t="n">
        <v>46048.70013888889</v>
      </c>
      <c r="C565" s="1" t="n">
        <v>46062</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58171-2024</t>
        </is>
      </c>
      <c r="B566" s="1" t="n">
        <v>45632.46545138889</v>
      </c>
      <c r="C566" s="1" t="n">
        <v>46062</v>
      </c>
      <c r="D566" t="inlineStr">
        <is>
          <t>DALARNAS LÄN</t>
        </is>
      </c>
      <c r="E566" t="inlineStr">
        <is>
          <t>MORA</t>
        </is>
      </c>
      <c r="G566" t="n">
        <v>0.5</v>
      </c>
      <c r="H566" t="n">
        <v>0</v>
      </c>
      <c r="I566" t="n">
        <v>0</v>
      </c>
      <c r="J566" t="n">
        <v>0</v>
      </c>
      <c r="K566" t="n">
        <v>0</v>
      </c>
      <c r="L566" t="n">
        <v>0</v>
      </c>
      <c r="M566" t="n">
        <v>0</v>
      </c>
      <c r="N566" t="n">
        <v>0</v>
      </c>
      <c r="O566" t="n">
        <v>0</v>
      </c>
      <c r="P566" t="n">
        <v>0</v>
      </c>
      <c r="Q566" t="n">
        <v>0</v>
      </c>
      <c r="R566" s="2" t="inlineStr"/>
    </row>
    <row r="567" ht="15" customHeight="1">
      <c r="A567" t="inlineStr">
        <is>
          <t>A 62548-2025</t>
        </is>
      </c>
      <c r="B567" s="1" t="n">
        <v>46007.66275462963</v>
      </c>
      <c r="C567" s="1" t="n">
        <v>46062</v>
      </c>
      <c r="D567" t="inlineStr">
        <is>
          <t>DALARNAS LÄN</t>
        </is>
      </c>
      <c r="E567" t="inlineStr">
        <is>
          <t>MORA</t>
        </is>
      </c>
      <c r="G567" t="n">
        <v>0.8</v>
      </c>
      <c r="H567" t="n">
        <v>0</v>
      </c>
      <c r="I567" t="n">
        <v>0</v>
      </c>
      <c r="J567" t="n">
        <v>0</v>
      </c>
      <c r="K567" t="n">
        <v>0</v>
      </c>
      <c r="L567" t="n">
        <v>0</v>
      </c>
      <c r="M567" t="n">
        <v>0</v>
      </c>
      <c r="N567" t="n">
        <v>0</v>
      </c>
      <c r="O567" t="n">
        <v>0</v>
      </c>
      <c r="P567" t="n">
        <v>0</v>
      </c>
      <c r="Q567" t="n">
        <v>0</v>
      </c>
      <c r="R567" s="2" t="inlineStr"/>
    </row>
    <row r="568" ht="15" customHeight="1">
      <c r="A568" t="inlineStr">
        <is>
          <t>A 902-2026</t>
        </is>
      </c>
      <c r="B568" s="1" t="n">
        <v>46030.46954861111</v>
      </c>
      <c r="C568" s="1" t="n">
        <v>46062</v>
      </c>
      <c r="D568" t="inlineStr">
        <is>
          <t>DALARNAS LÄN</t>
        </is>
      </c>
      <c r="E568" t="inlineStr">
        <is>
          <t>MORA</t>
        </is>
      </c>
      <c r="G568" t="n">
        <v>4.2</v>
      </c>
      <c r="H568" t="n">
        <v>0</v>
      </c>
      <c r="I568" t="n">
        <v>0</v>
      </c>
      <c r="J568" t="n">
        <v>0</v>
      </c>
      <c r="K568" t="n">
        <v>0</v>
      </c>
      <c r="L568" t="n">
        <v>0</v>
      </c>
      <c r="M568" t="n">
        <v>0</v>
      </c>
      <c r="N568" t="n">
        <v>0</v>
      </c>
      <c r="O568" t="n">
        <v>0</v>
      </c>
      <c r="P568" t="n">
        <v>0</v>
      </c>
      <c r="Q568" t="n">
        <v>0</v>
      </c>
      <c r="R568" s="2" t="inlineStr"/>
    </row>
    <row r="569" ht="15" customHeight="1">
      <c r="A569" t="inlineStr">
        <is>
          <t>A 5709-2026</t>
        </is>
      </c>
      <c r="B569" s="1" t="n">
        <v>46051.51640046296</v>
      </c>
      <c r="C569" s="1" t="n">
        <v>46062</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17167-2025</t>
        </is>
      </c>
      <c r="B570" s="1" t="n">
        <v>45756.36844907407</v>
      </c>
      <c r="C570" s="1" t="n">
        <v>46062</v>
      </c>
      <c r="D570" t="inlineStr">
        <is>
          <t>DALARNAS LÄN</t>
        </is>
      </c>
      <c r="E570" t="inlineStr">
        <is>
          <t>MORA</t>
        </is>
      </c>
      <c r="F570" t="inlineStr">
        <is>
          <t>Bergvik skog öst AB</t>
        </is>
      </c>
      <c r="G570" t="n">
        <v>1.7</v>
      </c>
      <c r="H570" t="n">
        <v>0</v>
      </c>
      <c r="I570" t="n">
        <v>0</v>
      </c>
      <c r="J570" t="n">
        <v>0</v>
      </c>
      <c r="K570" t="n">
        <v>0</v>
      </c>
      <c r="L570" t="n">
        <v>0</v>
      </c>
      <c r="M570" t="n">
        <v>0</v>
      </c>
      <c r="N570" t="n">
        <v>0</v>
      </c>
      <c r="O570" t="n">
        <v>0</v>
      </c>
      <c r="P570" t="n">
        <v>0</v>
      </c>
      <c r="Q570" t="n">
        <v>0</v>
      </c>
      <c r="R570" s="2" t="inlineStr"/>
    </row>
    <row r="571" ht="15" customHeight="1">
      <c r="A571" t="inlineStr">
        <is>
          <t>A 20504-2023</t>
        </is>
      </c>
      <c r="B571" s="1" t="n">
        <v>45057</v>
      </c>
      <c r="C571" s="1" t="n">
        <v>46062</v>
      </c>
      <c r="D571" t="inlineStr">
        <is>
          <t>DALARNAS LÄN</t>
        </is>
      </c>
      <c r="E571" t="inlineStr">
        <is>
          <t>MORA</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62959-2025</t>
        </is>
      </c>
      <c r="B572" s="1" t="n">
        <v>46009.45792824074</v>
      </c>
      <c r="C572" s="1" t="n">
        <v>46062</v>
      </c>
      <c r="D572" t="inlineStr">
        <is>
          <t>DALARNAS LÄN</t>
        </is>
      </c>
      <c r="E572" t="inlineStr">
        <is>
          <t>MORA</t>
        </is>
      </c>
      <c r="G572" t="n">
        <v>2.6</v>
      </c>
      <c r="H572" t="n">
        <v>0</v>
      </c>
      <c r="I572" t="n">
        <v>0</v>
      </c>
      <c r="J572" t="n">
        <v>0</v>
      </c>
      <c r="K572" t="n">
        <v>0</v>
      </c>
      <c r="L572" t="n">
        <v>0</v>
      </c>
      <c r="M572" t="n">
        <v>0</v>
      </c>
      <c r="N572" t="n">
        <v>0</v>
      </c>
      <c r="O572" t="n">
        <v>0</v>
      </c>
      <c r="P572" t="n">
        <v>0</v>
      </c>
      <c r="Q572" t="n">
        <v>0</v>
      </c>
      <c r="R572" s="2" t="inlineStr"/>
    </row>
    <row r="573" ht="15" customHeight="1">
      <c r="A573" t="inlineStr">
        <is>
          <t>A 62965-2025</t>
        </is>
      </c>
      <c r="B573" s="1" t="n">
        <v>46009.46129629629</v>
      </c>
      <c r="C573" s="1" t="n">
        <v>46062</v>
      </c>
      <c r="D573" t="inlineStr">
        <is>
          <t>DALARNAS LÄN</t>
        </is>
      </c>
      <c r="E573" t="inlineStr">
        <is>
          <t>MORA</t>
        </is>
      </c>
      <c r="G573" t="n">
        <v>9.1</v>
      </c>
      <c r="H573" t="n">
        <v>0</v>
      </c>
      <c r="I573" t="n">
        <v>0</v>
      </c>
      <c r="J573" t="n">
        <v>0</v>
      </c>
      <c r="K573" t="n">
        <v>0</v>
      </c>
      <c r="L573" t="n">
        <v>0</v>
      </c>
      <c r="M573" t="n">
        <v>0</v>
      </c>
      <c r="N573" t="n">
        <v>0</v>
      </c>
      <c r="O573" t="n">
        <v>0</v>
      </c>
      <c r="P573" t="n">
        <v>0</v>
      </c>
      <c r="Q573" t="n">
        <v>0</v>
      </c>
      <c r="R573" s="2" t="inlineStr"/>
    </row>
    <row r="574" ht="15" customHeight="1">
      <c r="A574" t="inlineStr">
        <is>
          <t>A 665-2026</t>
        </is>
      </c>
      <c r="B574" s="1" t="n">
        <v>46029</v>
      </c>
      <c r="C574" s="1" t="n">
        <v>46062</v>
      </c>
      <c r="D574" t="inlineStr">
        <is>
          <t>DALARNAS LÄN</t>
        </is>
      </c>
      <c r="E574" t="inlineStr">
        <is>
          <t>MORA</t>
        </is>
      </c>
      <c r="F574" t="inlineStr">
        <is>
          <t>Kommuner</t>
        </is>
      </c>
      <c r="G574" t="n">
        <v>20.9</v>
      </c>
      <c r="H574" t="n">
        <v>0</v>
      </c>
      <c r="I574" t="n">
        <v>0</v>
      </c>
      <c r="J574" t="n">
        <v>0</v>
      </c>
      <c r="K574" t="n">
        <v>0</v>
      </c>
      <c r="L574" t="n">
        <v>0</v>
      </c>
      <c r="M574" t="n">
        <v>0</v>
      </c>
      <c r="N574" t="n">
        <v>0</v>
      </c>
      <c r="O574" t="n">
        <v>0</v>
      </c>
      <c r="P574" t="n">
        <v>0</v>
      </c>
      <c r="Q574" t="n">
        <v>0</v>
      </c>
      <c r="R574" s="2" t="inlineStr"/>
    </row>
    <row r="575" ht="15" customHeight="1">
      <c r="A575" t="inlineStr">
        <is>
          <t>A 36184-2021</t>
        </is>
      </c>
      <c r="B575" s="1" t="n">
        <v>44389</v>
      </c>
      <c r="C575" s="1" t="n">
        <v>46062</v>
      </c>
      <c r="D575" t="inlineStr">
        <is>
          <t>DALARNAS LÄN</t>
        </is>
      </c>
      <c r="E575" t="inlineStr">
        <is>
          <t>MORA</t>
        </is>
      </c>
      <c r="G575" t="n">
        <v>0.5</v>
      </c>
      <c r="H575" t="n">
        <v>0</v>
      </c>
      <c r="I575" t="n">
        <v>0</v>
      </c>
      <c r="J575" t="n">
        <v>0</v>
      </c>
      <c r="K575" t="n">
        <v>0</v>
      </c>
      <c r="L575" t="n">
        <v>0</v>
      </c>
      <c r="M575" t="n">
        <v>0</v>
      </c>
      <c r="N575" t="n">
        <v>0</v>
      </c>
      <c r="O575" t="n">
        <v>0</v>
      </c>
      <c r="P575" t="n">
        <v>0</v>
      </c>
      <c r="Q575" t="n">
        <v>0</v>
      </c>
      <c r="R575" s="2" t="inlineStr"/>
    </row>
    <row r="576" ht="15" customHeight="1">
      <c r="A576" t="inlineStr">
        <is>
          <t>A 63030-2025</t>
        </is>
      </c>
      <c r="B576" s="1" t="n">
        <v>46009.60133101852</v>
      </c>
      <c r="C576" s="1" t="n">
        <v>46062</v>
      </c>
      <c r="D576" t="inlineStr">
        <is>
          <t>DALARNAS LÄN</t>
        </is>
      </c>
      <c r="E576" t="inlineStr">
        <is>
          <t>MORA</t>
        </is>
      </c>
      <c r="G576" t="n">
        <v>1.5</v>
      </c>
      <c r="H576" t="n">
        <v>0</v>
      </c>
      <c r="I576" t="n">
        <v>0</v>
      </c>
      <c r="J576" t="n">
        <v>0</v>
      </c>
      <c r="K576" t="n">
        <v>0</v>
      </c>
      <c r="L576" t="n">
        <v>0</v>
      </c>
      <c r="M576" t="n">
        <v>0</v>
      </c>
      <c r="N576" t="n">
        <v>0</v>
      </c>
      <c r="O576" t="n">
        <v>0</v>
      </c>
      <c r="P576" t="n">
        <v>0</v>
      </c>
      <c r="Q576" t="n">
        <v>0</v>
      </c>
      <c r="R576" s="2" t="inlineStr"/>
    </row>
    <row r="577" ht="15" customHeight="1">
      <c r="A577" t="inlineStr">
        <is>
          <t>A 5763-2026</t>
        </is>
      </c>
      <c r="B577" s="1" t="n">
        <v>46051.63380787037</v>
      </c>
      <c r="C577" s="1" t="n">
        <v>46062</v>
      </c>
      <c r="D577" t="inlineStr">
        <is>
          <t>DALARNAS LÄN</t>
        </is>
      </c>
      <c r="E577" t="inlineStr">
        <is>
          <t>MORA</t>
        </is>
      </c>
      <c r="G577" t="n">
        <v>0.3</v>
      </c>
      <c r="H577" t="n">
        <v>0</v>
      </c>
      <c r="I577" t="n">
        <v>0</v>
      </c>
      <c r="J577" t="n">
        <v>0</v>
      </c>
      <c r="K577" t="n">
        <v>0</v>
      </c>
      <c r="L577" t="n">
        <v>0</v>
      </c>
      <c r="M577" t="n">
        <v>0</v>
      </c>
      <c r="N577" t="n">
        <v>0</v>
      </c>
      <c r="O577" t="n">
        <v>0</v>
      </c>
      <c r="P577" t="n">
        <v>0</v>
      </c>
      <c r="Q577" t="n">
        <v>0</v>
      </c>
      <c r="R577" s="2" t="inlineStr"/>
    </row>
    <row r="578" ht="15" customHeight="1">
      <c r="A578" t="inlineStr">
        <is>
          <t>A 17529-2023</t>
        </is>
      </c>
      <c r="B578" s="1" t="n">
        <v>45036.46804398148</v>
      </c>
      <c r="C578" s="1" t="n">
        <v>46062</v>
      </c>
      <c r="D578" t="inlineStr">
        <is>
          <t>DALARNAS LÄN</t>
        </is>
      </c>
      <c r="E578" t="inlineStr">
        <is>
          <t>MORA</t>
        </is>
      </c>
      <c r="G578" t="n">
        <v>6</v>
      </c>
      <c r="H578" t="n">
        <v>0</v>
      </c>
      <c r="I578" t="n">
        <v>0</v>
      </c>
      <c r="J578" t="n">
        <v>0</v>
      </c>
      <c r="K578" t="n">
        <v>0</v>
      </c>
      <c r="L578" t="n">
        <v>0</v>
      </c>
      <c r="M578" t="n">
        <v>0</v>
      </c>
      <c r="N578" t="n">
        <v>0</v>
      </c>
      <c r="O578" t="n">
        <v>0</v>
      </c>
      <c r="P578" t="n">
        <v>0</v>
      </c>
      <c r="Q578" t="n">
        <v>0</v>
      </c>
      <c r="R578" s="2" t="inlineStr"/>
    </row>
    <row r="579" ht="15" customHeight="1">
      <c r="A579" t="inlineStr">
        <is>
          <t>A 62619-2025</t>
        </is>
      </c>
      <c r="B579" s="1" t="n">
        <v>46008.33967592593</v>
      </c>
      <c r="C579" s="1" t="n">
        <v>46062</v>
      </c>
      <c r="D579" t="inlineStr">
        <is>
          <t>DALARNAS LÄN</t>
        </is>
      </c>
      <c r="E579" t="inlineStr">
        <is>
          <t>MORA</t>
        </is>
      </c>
      <c r="G579" t="n">
        <v>3.3</v>
      </c>
      <c r="H579" t="n">
        <v>0</v>
      </c>
      <c r="I579" t="n">
        <v>0</v>
      </c>
      <c r="J579" t="n">
        <v>0</v>
      </c>
      <c r="K579" t="n">
        <v>0</v>
      </c>
      <c r="L579" t="n">
        <v>0</v>
      </c>
      <c r="M579" t="n">
        <v>0</v>
      </c>
      <c r="N579" t="n">
        <v>0</v>
      </c>
      <c r="O579" t="n">
        <v>0</v>
      </c>
      <c r="P579" t="n">
        <v>0</v>
      </c>
      <c r="Q579" t="n">
        <v>0</v>
      </c>
      <c r="R579" s="2" t="inlineStr"/>
    </row>
    <row r="580" ht="15" customHeight="1">
      <c r="A580" t="inlineStr">
        <is>
          <t>A 44201-2023</t>
        </is>
      </c>
      <c r="B580" s="1" t="n">
        <v>45188</v>
      </c>
      <c r="C580" s="1" t="n">
        <v>46062</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16522-2024</t>
        </is>
      </c>
      <c r="B581" s="1" t="n">
        <v>45408.41166666667</v>
      </c>
      <c r="C581" s="1" t="n">
        <v>46062</v>
      </c>
      <c r="D581" t="inlineStr">
        <is>
          <t>DALARNAS LÄN</t>
        </is>
      </c>
      <c r="E581" t="inlineStr">
        <is>
          <t>MORA</t>
        </is>
      </c>
      <c r="G581" t="n">
        <v>11.2</v>
      </c>
      <c r="H581" t="n">
        <v>0</v>
      </c>
      <c r="I581" t="n">
        <v>0</v>
      </c>
      <c r="J581" t="n">
        <v>0</v>
      </c>
      <c r="K581" t="n">
        <v>0</v>
      </c>
      <c r="L581" t="n">
        <v>0</v>
      </c>
      <c r="M581" t="n">
        <v>0</v>
      </c>
      <c r="N581" t="n">
        <v>0</v>
      </c>
      <c r="O581" t="n">
        <v>0</v>
      </c>
      <c r="P581" t="n">
        <v>0</v>
      </c>
      <c r="Q581" t="n">
        <v>0</v>
      </c>
      <c r="R581" s="2" t="inlineStr"/>
    </row>
    <row r="582" ht="15" customHeight="1">
      <c r="A582" t="inlineStr">
        <is>
          <t>A 36038-2024</t>
        </is>
      </c>
      <c r="B582" s="1" t="n">
        <v>45533</v>
      </c>
      <c r="C582" s="1" t="n">
        <v>46062</v>
      </c>
      <c r="D582" t="inlineStr">
        <is>
          <t>DALARNAS LÄN</t>
        </is>
      </c>
      <c r="E582" t="inlineStr">
        <is>
          <t>MORA</t>
        </is>
      </c>
      <c r="G582" t="n">
        <v>5.1</v>
      </c>
      <c r="H582" t="n">
        <v>0</v>
      </c>
      <c r="I582" t="n">
        <v>0</v>
      </c>
      <c r="J582" t="n">
        <v>0</v>
      </c>
      <c r="K582" t="n">
        <v>0</v>
      </c>
      <c r="L582" t="n">
        <v>0</v>
      </c>
      <c r="M582" t="n">
        <v>0</v>
      </c>
      <c r="N582" t="n">
        <v>0</v>
      </c>
      <c r="O582" t="n">
        <v>0</v>
      </c>
      <c r="P582" t="n">
        <v>0</v>
      </c>
      <c r="Q582" t="n">
        <v>0</v>
      </c>
      <c r="R582" s="2" t="inlineStr"/>
    </row>
    <row r="583" ht="15" customHeight="1">
      <c r="A583" t="inlineStr">
        <is>
          <t>A 2865-2022</t>
        </is>
      </c>
      <c r="B583" s="1" t="n">
        <v>44581</v>
      </c>
      <c r="C583" s="1" t="n">
        <v>46062</v>
      </c>
      <c r="D583" t="inlineStr">
        <is>
          <t>DALARNAS LÄN</t>
        </is>
      </c>
      <c r="E583" t="inlineStr">
        <is>
          <t>MORA</t>
        </is>
      </c>
      <c r="G583" t="n">
        <v>2</v>
      </c>
      <c r="H583" t="n">
        <v>0</v>
      </c>
      <c r="I583" t="n">
        <v>0</v>
      </c>
      <c r="J583" t="n">
        <v>0</v>
      </c>
      <c r="K583" t="n">
        <v>0</v>
      </c>
      <c r="L583" t="n">
        <v>0</v>
      </c>
      <c r="M583" t="n">
        <v>0</v>
      </c>
      <c r="N583" t="n">
        <v>0</v>
      </c>
      <c r="O583" t="n">
        <v>0</v>
      </c>
      <c r="P583" t="n">
        <v>0</v>
      </c>
      <c r="Q583" t="n">
        <v>0</v>
      </c>
      <c r="R583" s="2" t="inlineStr"/>
    </row>
    <row r="584" ht="15" customHeight="1">
      <c r="A584" t="inlineStr">
        <is>
          <t>A 62853-2025</t>
        </is>
      </c>
      <c r="B584" s="1" t="n">
        <v>46008.72493055555</v>
      </c>
      <c r="C584" s="1" t="n">
        <v>46062</v>
      </c>
      <c r="D584" t="inlineStr">
        <is>
          <t>DALARNAS LÄN</t>
        </is>
      </c>
      <c r="E584" t="inlineStr">
        <is>
          <t>MORA</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56834-2024</t>
        </is>
      </c>
      <c r="B585" s="1" t="n">
        <v>45628.49931712963</v>
      </c>
      <c r="C585" s="1" t="n">
        <v>46062</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62628-2025</t>
        </is>
      </c>
      <c r="B586" s="1" t="n">
        <v>46008.35011574074</v>
      </c>
      <c r="C586" s="1" t="n">
        <v>46062</v>
      </c>
      <c r="D586" t="inlineStr">
        <is>
          <t>DALARNAS LÄN</t>
        </is>
      </c>
      <c r="E586" t="inlineStr">
        <is>
          <t>MORA</t>
        </is>
      </c>
      <c r="G586" t="n">
        <v>5.7</v>
      </c>
      <c r="H586" t="n">
        <v>0</v>
      </c>
      <c r="I586" t="n">
        <v>0</v>
      </c>
      <c r="J586" t="n">
        <v>0</v>
      </c>
      <c r="K586" t="n">
        <v>0</v>
      </c>
      <c r="L586" t="n">
        <v>0</v>
      </c>
      <c r="M586" t="n">
        <v>0</v>
      </c>
      <c r="N586" t="n">
        <v>0</v>
      </c>
      <c r="O586" t="n">
        <v>0</v>
      </c>
      <c r="P586" t="n">
        <v>0</v>
      </c>
      <c r="Q586" t="n">
        <v>0</v>
      </c>
      <c r="R586" s="2" t="inlineStr"/>
    </row>
    <row r="587" ht="15" customHeight="1">
      <c r="A587" t="inlineStr">
        <is>
          <t>A 47036-2023</t>
        </is>
      </c>
      <c r="B587" s="1" t="n">
        <v>45196</v>
      </c>
      <c r="C587" s="1" t="n">
        <v>46062</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62626-2025</t>
        </is>
      </c>
      <c r="B588" s="1" t="n">
        <v>46008.34541666666</v>
      </c>
      <c r="C588" s="1" t="n">
        <v>46062</v>
      </c>
      <c r="D588" t="inlineStr">
        <is>
          <t>DALARNAS LÄN</t>
        </is>
      </c>
      <c r="E588" t="inlineStr">
        <is>
          <t>MORA</t>
        </is>
      </c>
      <c r="G588" t="n">
        <v>6.7</v>
      </c>
      <c r="H588" t="n">
        <v>0</v>
      </c>
      <c r="I588" t="n">
        <v>0</v>
      </c>
      <c r="J588" t="n">
        <v>0</v>
      </c>
      <c r="K588" t="n">
        <v>0</v>
      </c>
      <c r="L588" t="n">
        <v>0</v>
      </c>
      <c r="M588" t="n">
        <v>0</v>
      </c>
      <c r="N588" t="n">
        <v>0</v>
      </c>
      <c r="O588" t="n">
        <v>0</v>
      </c>
      <c r="P588" t="n">
        <v>0</v>
      </c>
      <c r="Q588" t="n">
        <v>0</v>
      </c>
      <c r="R588" s="2" t="inlineStr"/>
    </row>
    <row r="589" ht="15" customHeight="1">
      <c r="A589" t="inlineStr">
        <is>
          <t>A 1068-2026</t>
        </is>
      </c>
      <c r="B589" s="1" t="n">
        <v>46030</v>
      </c>
      <c r="C589" s="1" t="n">
        <v>46062</v>
      </c>
      <c r="D589" t="inlineStr">
        <is>
          <t>DALARNAS LÄN</t>
        </is>
      </c>
      <c r="E589" t="inlineStr">
        <is>
          <t>MORA</t>
        </is>
      </c>
      <c r="G589" t="n">
        <v>1.4</v>
      </c>
      <c r="H589" t="n">
        <v>0</v>
      </c>
      <c r="I589" t="n">
        <v>0</v>
      </c>
      <c r="J589" t="n">
        <v>0</v>
      </c>
      <c r="K589" t="n">
        <v>0</v>
      </c>
      <c r="L589" t="n">
        <v>0</v>
      </c>
      <c r="M589" t="n">
        <v>0</v>
      </c>
      <c r="N589" t="n">
        <v>0</v>
      </c>
      <c r="O589" t="n">
        <v>0</v>
      </c>
      <c r="P589" t="n">
        <v>0</v>
      </c>
      <c r="Q589" t="n">
        <v>0</v>
      </c>
      <c r="R589" s="2" t="inlineStr"/>
    </row>
    <row r="590" ht="15" customHeight="1">
      <c r="A590" t="inlineStr">
        <is>
          <t>A 20544-2025</t>
        </is>
      </c>
      <c r="B590" s="1" t="n">
        <v>45775.63119212963</v>
      </c>
      <c r="C590" s="1" t="n">
        <v>46062</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5803-2026</t>
        </is>
      </c>
      <c r="B591" s="1" t="n">
        <v>46051.78189814815</v>
      </c>
      <c r="C591" s="1" t="n">
        <v>46062</v>
      </c>
      <c r="D591" t="inlineStr">
        <is>
          <t>DALARNAS LÄN</t>
        </is>
      </c>
      <c r="E591" t="inlineStr">
        <is>
          <t>MORA</t>
        </is>
      </c>
      <c r="G591" t="n">
        <v>0.8</v>
      </c>
      <c r="H591" t="n">
        <v>0</v>
      </c>
      <c r="I591" t="n">
        <v>0</v>
      </c>
      <c r="J591" t="n">
        <v>0</v>
      </c>
      <c r="K591" t="n">
        <v>0</v>
      </c>
      <c r="L591" t="n">
        <v>0</v>
      </c>
      <c r="M591" t="n">
        <v>0</v>
      </c>
      <c r="N591" t="n">
        <v>0</v>
      </c>
      <c r="O591" t="n">
        <v>0</v>
      </c>
      <c r="P591" t="n">
        <v>0</v>
      </c>
      <c r="Q591" t="n">
        <v>0</v>
      </c>
      <c r="R591" s="2" t="inlineStr"/>
    </row>
    <row r="592" ht="15" customHeight="1">
      <c r="A592" t="inlineStr">
        <is>
          <t>A 51965-2024</t>
        </is>
      </c>
      <c r="B592" s="1" t="n">
        <v>45607.65123842593</v>
      </c>
      <c r="C592" s="1" t="n">
        <v>46062</v>
      </c>
      <c r="D592" t="inlineStr">
        <is>
          <t>DALARNAS LÄN</t>
        </is>
      </c>
      <c r="E592" t="inlineStr">
        <is>
          <t>MORA</t>
        </is>
      </c>
      <c r="G592" t="n">
        <v>1.3</v>
      </c>
      <c r="H592" t="n">
        <v>0</v>
      </c>
      <c r="I592" t="n">
        <v>0</v>
      </c>
      <c r="J592" t="n">
        <v>0</v>
      </c>
      <c r="K592" t="n">
        <v>0</v>
      </c>
      <c r="L592" t="n">
        <v>0</v>
      </c>
      <c r="M592" t="n">
        <v>0</v>
      </c>
      <c r="N592" t="n">
        <v>0</v>
      </c>
      <c r="O592" t="n">
        <v>0</v>
      </c>
      <c r="P592" t="n">
        <v>0</v>
      </c>
      <c r="Q592" t="n">
        <v>0</v>
      </c>
      <c r="R592" s="2" t="inlineStr"/>
    </row>
    <row r="593" ht="15" customHeight="1">
      <c r="A593" t="inlineStr">
        <is>
          <t>A 5836-2026</t>
        </is>
      </c>
      <c r="B593" s="1" t="n">
        <v>46052.33809027778</v>
      </c>
      <c r="C593" s="1" t="n">
        <v>46062</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26546-2025</t>
        </is>
      </c>
      <c r="B594" s="1" t="n">
        <v>45807</v>
      </c>
      <c r="C594" s="1" t="n">
        <v>46062</v>
      </c>
      <c r="D594" t="inlineStr">
        <is>
          <t>DALARNAS LÄN</t>
        </is>
      </c>
      <c r="E594" t="inlineStr">
        <is>
          <t>MORA</t>
        </is>
      </c>
      <c r="G594" t="n">
        <v>1</v>
      </c>
      <c r="H594" t="n">
        <v>0</v>
      </c>
      <c r="I594" t="n">
        <v>0</v>
      </c>
      <c r="J594" t="n">
        <v>0</v>
      </c>
      <c r="K594" t="n">
        <v>0</v>
      </c>
      <c r="L594" t="n">
        <v>0</v>
      </c>
      <c r="M594" t="n">
        <v>0</v>
      </c>
      <c r="N594" t="n">
        <v>0</v>
      </c>
      <c r="O594" t="n">
        <v>0</v>
      </c>
      <c r="P594" t="n">
        <v>0</v>
      </c>
      <c r="Q594" t="n">
        <v>0</v>
      </c>
      <c r="R594" s="2" t="inlineStr"/>
    </row>
    <row r="595" ht="15" customHeight="1">
      <c r="A595" t="inlineStr">
        <is>
          <t>A 26573-2025</t>
        </is>
      </c>
      <c r="B595" s="1" t="n">
        <v>45807</v>
      </c>
      <c r="C595" s="1" t="n">
        <v>46062</v>
      </c>
      <c r="D595" t="inlineStr">
        <is>
          <t>DALARNAS LÄN</t>
        </is>
      </c>
      <c r="E595" t="inlineStr">
        <is>
          <t>MORA</t>
        </is>
      </c>
      <c r="G595" t="n">
        <v>4.3</v>
      </c>
      <c r="H595" t="n">
        <v>0</v>
      </c>
      <c r="I595" t="n">
        <v>0</v>
      </c>
      <c r="J595" t="n">
        <v>0</v>
      </c>
      <c r="K595" t="n">
        <v>0</v>
      </c>
      <c r="L595" t="n">
        <v>0</v>
      </c>
      <c r="M595" t="n">
        <v>0</v>
      </c>
      <c r="N595" t="n">
        <v>0</v>
      </c>
      <c r="O595" t="n">
        <v>0</v>
      </c>
      <c r="P595" t="n">
        <v>0</v>
      </c>
      <c r="Q595" t="n">
        <v>0</v>
      </c>
      <c r="R595" s="2" t="inlineStr"/>
    </row>
    <row r="596" ht="15" customHeight="1">
      <c r="A596" t="inlineStr">
        <is>
          <t>A 26577-2025</t>
        </is>
      </c>
      <c r="B596" s="1" t="n">
        <v>45807</v>
      </c>
      <c r="C596" s="1" t="n">
        <v>46062</v>
      </c>
      <c r="D596" t="inlineStr">
        <is>
          <t>DALARNAS LÄN</t>
        </is>
      </c>
      <c r="E596" t="inlineStr">
        <is>
          <t>MORA</t>
        </is>
      </c>
      <c r="G596" t="n">
        <v>2.8</v>
      </c>
      <c r="H596" t="n">
        <v>0</v>
      </c>
      <c r="I596" t="n">
        <v>0</v>
      </c>
      <c r="J596" t="n">
        <v>0</v>
      </c>
      <c r="K596" t="n">
        <v>0</v>
      </c>
      <c r="L596" t="n">
        <v>0</v>
      </c>
      <c r="M596" t="n">
        <v>0</v>
      </c>
      <c r="N596" t="n">
        <v>0</v>
      </c>
      <c r="O596" t="n">
        <v>0</v>
      </c>
      <c r="P596" t="n">
        <v>0</v>
      </c>
      <c r="Q596" t="n">
        <v>0</v>
      </c>
      <c r="R596" s="2" t="inlineStr"/>
    </row>
    <row r="597" ht="15" customHeight="1">
      <c r="A597" t="inlineStr">
        <is>
          <t>A 26545-2025</t>
        </is>
      </c>
      <c r="B597" s="1" t="n">
        <v>45807</v>
      </c>
      <c r="C597" s="1" t="n">
        <v>46062</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63434-2025</t>
        </is>
      </c>
      <c r="B598" s="1" t="n">
        <v>46013.36556712963</v>
      </c>
      <c r="C598" s="1" t="n">
        <v>46062</v>
      </c>
      <c r="D598" t="inlineStr">
        <is>
          <t>DALARNAS LÄN</t>
        </is>
      </c>
      <c r="E598" t="inlineStr">
        <is>
          <t>MORA</t>
        </is>
      </c>
      <c r="F598" t="inlineStr">
        <is>
          <t>Allmännings- och besparingsskogar</t>
        </is>
      </c>
      <c r="G598" t="n">
        <v>3.6</v>
      </c>
      <c r="H598" t="n">
        <v>0</v>
      </c>
      <c r="I598" t="n">
        <v>0</v>
      </c>
      <c r="J598" t="n">
        <v>0</v>
      </c>
      <c r="K598" t="n">
        <v>0</v>
      </c>
      <c r="L598" t="n">
        <v>0</v>
      </c>
      <c r="M598" t="n">
        <v>0</v>
      </c>
      <c r="N598" t="n">
        <v>0</v>
      </c>
      <c r="O598" t="n">
        <v>0</v>
      </c>
      <c r="P598" t="n">
        <v>0</v>
      </c>
      <c r="Q598" t="n">
        <v>0</v>
      </c>
      <c r="R598" s="2" t="inlineStr"/>
    </row>
    <row r="599" ht="15" customHeight="1">
      <c r="A599" t="inlineStr">
        <is>
          <t>A 6182-2026</t>
        </is>
      </c>
      <c r="B599" s="1" t="n">
        <v>46055.36231481482</v>
      </c>
      <c r="C599" s="1" t="n">
        <v>46062</v>
      </c>
      <c r="D599" t="inlineStr">
        <is>
          <t>DALARNAS LÄN</t>
        </is>
      </c>
      <c r="E599" t="inlineStr">
        <is>
          <t>MORA</t>
        </is>
      </c>
      <c r="F599" t="inlineStr">
        <is>
          <t>Bergvik skog öst AB</t>
        </is>
      </c>
      <c r="G599" t="n">
        <v>1.1</v>
      </c>
      <c r="H599" t="n">
        <v>0</v>
      </c>
      <c r="I599" t="n">
        <v>0</v>
      </c>
      <c r="J599" t="n">
        <v>0</v>
      </c>
      <c r="K599" t="n">
        <v>0</v>
      </c>
      <c r="L599" t="n">
        <v>0</v>
      </c>
      <c r="M599" t="n">
        <v>0</v>
      </c>
      <c r="N599" t="n">
        <v>0</v>
      </c>
      <c r="O599" t="n">
        <v>0</v>
      </c>
      <c r="P599" t="n">
        <v>0</v>
      </c>
      <c r="Q599" t="n">
        <v>0</v>
      </c>
      <c r="R599" s="2" t="inlineStr"/>
    </row>
    <row r="600" ht="15" customHeight="1">
      <c r="A600" t="inlineStr">
        <is>
          <t>A 5959-2026</t>
        </is>
      </c>
      <c r="B600" s="1" t="n">
        <v>46052.50533564815</v>
      </c>
      <c r="C600" s="1" t="n">
        <v>46062</v>
      </c>
      <c r="D600" t="inlineStr">
        <is>
          <t>DALARNAS LÄN</t>
        </is>
      </c>
      <c r="E600" t="inlineStr">
        <is>
          <t>MORA</t>
        </is>
      </c>
      <c r="G600" t="n">
        <v>9.5</v>
      </c>
      <c r="H600" t="n">
        <v>0</v>
      </c>
      <c r="I600" t="n">
        <v>0</v>
      </c>
      <c r="J600" t="n">
        <v>0</v>
      </c>
      <c r="K600" t="n">
        <v>0</v>
      </c>
      <c r="L600" t="n">
        <v>0</v>
      </c>
      <c r="M600" t="n">
        <v>0</v>
      </c>
      <c r="N600" t="n">
        <v>0</v>
      </c>
      <c r="O600" t="n">
        <v>0</v>
      </c>
      <c r="P600" t="n">
        <v>0</v>
      </c>
      <c r="Q600" t="n">
        <v>0</v>
      </c>
      <c r="R600" s="2" t="inlineStr"/>
    </row>
    <row r="601" ht="15" customHeight="1">
      <c r="A601" t="inlineStr">
        <is>
          <t>A 5936-2026</t>
        </is>
      </c>
      <c r="B601" s="1" t="n">
        <v>46052.47197916666</v>
      </c>
      <c r="C601" s="1" t="n">
        <v>46062</v>
      </c>
      <c r="D601" t="inlineStr">
        <is>
          <t>DALARNAS LÄN</t>
        </is>
      </c>
      <c r="E601" t="inlineStr">
        <is>
          <t>MORA</t>
        </is>
      </c>
      <c r="G601" t="n">
        <v>11.1</v>
      </c>
      <c r="H601" t="n">
        <v>0</v>
      </c>
      <c r="I601" t="n">
        <v>0</v>
      </c>
      <c r="J601" t="n">
        <v>0</v>
      </c>
      <c r="K601" t="n">
        <v>0</v>
      </c>
      <c r="L601" t="n">
        <v>0</v>
      </c>
      <c r="M601" t="n">
        <v>0</v>
      </c>
      <c r="N601" t="n">
        <v>0</v>
      </c>
      <c r="O601" t="n">
        <v>0</v>
      </c>
      <c r="P601" t="n">
        <v>0</v>
      </c>
      <c r="Q601" t="n">
        <v>0</v>
      </c>
      <c r="R601" s="2" t="inlineStr"/>
    </row>
    <row r="602" ht="15" customHeight="1">
      <c r="A602" t="inlineStr">
        <is>
          <t>A 63431-2025</t>
        </is>
      </c>
      <c r="B602" s="1" t="n">
        <v>46013.36268518519</v>
      </c>
      <c r="C602" s="1" t="n">
        <v>46062</v>
      </c>
      <c r="D602" t="inlineStr">
        <is>
          <t>DALARNAS LÄN</t>
        </is>
      </c>
      <c r="E602" t="inlineStr">
        <is>
          <t>MORA</t>
        </is>
      </c>
      <c r="F602" t="inlineStr">
        <is>
          <t>Allmännings- och besparingsskogar</t>
        </is>
      </c>
      <c r="G602" t="n">
        <v>5.7</v>
      </c>
      <c r="H602" t="n">
        <v>0</v>
      </c>
      <c r="I602" t="n">
        <v>0</v>
      </c>
      <c r="J602" t="n">
        <v>0</v>
      </c>
      <c r="K602" t="n">
        <v>0</v>
      </c>
      <c r="L602" t="n">
        <v>0</v>
      </c>
      <c r="M602" t="n">
        <v>0</v>
      </c>
      <c r="N602" t="n">
        <v>0</v>
      </c>
      <c r="O602" t="n">
        <v>0</v>
      </c>
      <c r="P602" t="n">
        <v>0</v>
      </c>
      <c r="Q602" t="n">
        <v>0</v>
      </c>
      <c r="R602" s="2" t="inlineStr"/>
    </row>
    <row r="603" ht="15" customHeight="1">
      <c r="A603" t="inlineStr">
        <is>
          <t>A 4744-2026</t>
        </is>
      </c>
      <c r="B603" s="1" t="n">
        <v>46048.50627314814</v>
      </c>
      <c r="C603" s="1" t="n">
        <v>46062</v>
      </c>
      <c r="D603" t="inlineStr">
        <is>
          <t>DALARNAS LÄN</t>
        </is>
      </c>
      <c r="E603" t="inlineStr">
        <is>
          <t>MORA</t>
        </is>
      </c>
      <c r="G603" t="n">
        <v>16.4</v>
      </c>
      <c r="H603" t="n">
        <v>0</v>
      </c>
      <c r="I603" t="n">
        <v>0</v>
      </c>
      <c r="J603" t="n">
        <v>0</v>
      </c>
      <c r="K603" t="n">
        <v>0</v>
      </c>
      <c r="L603" t="n">
        <v>0</v>
      </c>
      <c r="M603" t="n">
        <v>0</v>
      </c>
      <c r="N603" t="n">
        <v>0</v>
      </c>
      <c r="O603" t="n">
        <v>0</v>
      </c>
      <c r="P603" t="n">
        <v>0</v>
      </c>
      <c r="Q603" t="n">
        <v>0</v>
      </c>
      <c r="R603" s="2" t="inlineStr"/>
    </row>
    <row r="604" ht="15" customHeight="1">
      <c r="A604" t="inlineStr">
        <is>
          <t>A 63457-2025</t>
        </is>
      </c>
      <c r="B604" s="1" t="n">
        <v>46013.42269675926</v>
      </c>
      <c r="C604" s="1" t="n">
        <v>46062</v>
      </c>
      <c r="D604" t="inlineStr">
        <is>
          <t>DALARNAS LÄN</t>
        </is>
      </c>
      <c r="E604" t="inlineStr">
        <is>
          <t>MORA</t>
        </is>
      </c>
      <c r="F604" t="inlineStr">
        <is>
          <t>Allmännings- och besparingsskogar</t>
        </is>
      </c>
      <c r="G604" t="n">
        <v>34.4</v>
      </c>
      <c r="H604" t="n">
        <v>0</v>
      </c>
      <c r="I604" t="n">
        <v>0</v>
      </c>
      <c r="J604" t="n">
        <v>0</v>
      </c>
      <c r="K604" t="n">
        <v>0</v>
      </c>
      <c r="L604" t="n">
        <v>0</v>
      </c>
      <c r="M604" t="n">
        <v>0</v>
      </c>
      <c r="N604" t="n">
        <v>0</v>
      </c>
      <c r="O604" t="n">
        <v>0</v>
      </c>
      <c r="P604" t="n">
        <v>0</v>
      </c>
      <c r="Q604" t="n">
        <v>0</v>
      </c>
      <c r="R604" s="2" t="inlineStr"/>
    </row>
    <row r="605" ht="15" customHeight="1">
      <c r="A605" t="inlineStr">
        <is>
          <t>A 20401-2022</t>
        </is>
      </c>
      <c r="B605" s="1" t="n">
        <v>44699</v>
      </c>
      <c r="C605" s="1" t="n">
        <v>46062</v>
      </c>
      <c r="D605" t="inlineStr">
        <is>
          <t>DALARNAS LÄN</t>
        </is>
      </c>
      <c r="E605" t="inlineStr">
        <is>
          <t>MORA</t>
        </is>
      </c>
      <c r="G605" t="n">
        <v>3.2</v>
      </c>
      <c r="H605" t="n">
        <v>0</v>
      </c>
      <c r="I605" t="n">
        <v>0</v>
      </c>
      <c r="J605" t="n">
        <v>0</v>
      </c>
      <c r="K605" t="n">
        <v>0</v>
      </c>
      <c r="L605" t="n">
        <v>0</v>
      </c>
      <c r="M605" t="n">
        <v>0</v>
      </c>
      <c r="N605" t="n">
        <v>0</v>
      </c>
      <c r="O605" t="n">
        <v>0</v>
      </c>
      <c r="P605" t="n">
        <v>0</v>
      </c>
      <c r="Q605" t="n">
        <v>0</v>
      </c>
      <c r="R605" s="2" t="inlineStr"/>
    </row>
    <row r="606" ht="15" customHeight="1">
      <c r="A606" t="inlineStr">
        <is>
          <t>A 6947-2026</t>
        </is>
      </c>
      <c r="B606" s="1" t="n">
        <v>46057.56855324074</v>
      </c>
      <c r="C606" s="1" t="n">
        <v>46062</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6802-2026</t>
        </is>
      </c>
      <c r="B607" s="1" t="n">
        <v>46057.35288194445</v>
      </c>
      <c r="C607" s="1" t="n">
        <v>46062</v>
      </c>
      <c r="D607" t="inlineStr">
        <is>
          <t>DALARNAS LÄN</t>
        </is>
      </c>
      <c r="E607" t="inlineStr">
        <is>
          <t>MORA</t>
        </is>
      </c>
      <c r="G607" t="n">
        <v>5.8</v>
      </c>
      <c r="H607" t="n">
        <v>0</v>
      </c>
      <c r="I607" t="n">
        <v>0</v>
      </c>
      <c r="J607" t="n">
        <v>0</v>
      </c>
      <c r="K607" t="n">
        <v>0</v>
      </c>
      <c r="L607" t="n">
        <v>0</v>
      </c>
      <c r="M607" t="n">
        <v>0</v>
      </c>
      <c r="N607" t="n">
        <v>0</v>
      </c>
      <c r="O607" t="n">
        <v>0</v>
      </c>
      <c r="P607" t="n">
        <v>0</v>
      </c>
      <c r="Q607" t="n">
        <v>0</v>
      </c>
      <c r="R607" s="2" t="inlineStr"/>
    </row>
    <row r="608" ht="15" customHeight="1">
      <c r="A608" t="inlineStr">
        <is>
          <t>A 6967-2026</t>
        </is>
      </c>
      <c r="B608" s="1" t="n">
        <v>46057.58777777778</v>
      </c>
      <c r="C608" s="1" t="n">
        <v>46062</v>
      </c>
      <c r="D608" t="inlineStr">
        <is>
          <t>DALARNAS LÄN</t>
        </is>
      </c>
      <c r="E608" t="inlineStr">
        <is>
          <t>MORA</t>
        </is>
      </c>
      <c r="G608" t="n">
        <v>5</v>
      </c>
      <c r="H608" t="n">
        <v>0</v>
      </c>
      <c r="I608" t="n">
        <v>0</v>
      </c>
      <c r="J608" t="n">
        <v>0</v>
      </c>
      <c r="K608" t="n">
        <v>0</v>
      </c>
      <c r="L608" t="n">
        <v>0</v>
      </c>
      <c r="M608" t="n">
        <v>0</v>
      </c>
      <c r="N608" t="n">
        <v>0</v>
      </c>
      <c r="O608" t="n">
        <v>0</v>
      </c>
      <c r="P608" t="n">
        <v>0</v>
      </c>
      <c r="Q608" t="n">
        <v>0</v>
      </c>
      <c r="R608" s="2" t="inlineStr"/>
    </row>
    <row r="609" ht="15" customHeight="1">
      <c r="A609" t="inlineStr">
        <is>
          <t>A 52599-2025</t>
        </is>
      </c>
      <c r="B609" s="1" t="n">
        <v>45954.65564814815</v>
      </c>
      <c r="C609" s="1" t="n">
        <v>46062</v>
      </c>
      <c r="D609" t="inlineStr">
        <is>
          <t>DALARNAS LÄN</t>
        </is>
      </c>
      <c r="E609" t="inlineStr">
        <is>
          <t>MORA</t>
        </is>
      </c>
      <c r="G609" t="n">
        <v>10.8</v>
      </c>
      <c r="H609" t="n">
        <v>0</v>
      </c>
      <c r="I609" t="n">
        <v>0</v>
      </c>
      <c r="J609" t="n">
        <v>0</v>
      </c>
      <c r="K609" t="n">
        <v>0</v>
      </c>
      <c r="L609" t="n">
        <v>0</v>
      </c>
      <c r="M609" t="n">
        <v>0</v>
      </c>
      <c r="N609" t="n">
        <v>0</v>
      </c>
      <c r="O609" t="n">
        <v>0</v>
      </c>
      <c r="P609" t="n">
        <v>0</v>
      </c>
      <c r="Q609" t="n">
        <v>0</v>
      </c>
      <c r="R609" s="2" t="inlineStr"/>
    </row>
    <row r="610" ht="15" customHeight="1">
      <c r="A610" t="inlineStr">
        <is>
          <t>A 63596-2025</t>
        </is>
      </c>
      <c r="B610" s="1" t="n">
        <v>46013.96362268519</v>
      </c>
      <c r="C610" s="1" t="n">
        <v>46062</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63692-2025</t>
        </is>
      </c>
      <c r="B611" s="1" t="n">
        <v>46014.54496527778</v>
      </c>
      <c r="C611" s="1" t="n">
        <v>46062</v>
      </c>
      <c r="D611" t="inlineStr">
        <is>
          <t>DALARNAS LÄN</t>
        </is>
      </c>
      <c r="E611" t="inlineStr">
        <is>
          <t>MORA</t>
        </is>
      </c>
      <c r="G611" t="n">
        <v>1.4</v>
      </c>
      <c r="H611" t="n">
        <v>0</v>
      </c>
      <c r="I611" t="n">
        <v>0</v>
      </c>
      <c r="J611" t="n">
        <v>0</v>
      </c>
      <c r="K611" t="n">
        <v>0</v>
      </c>
      <c r="L611" t="n">
        <v>0</v>
      </c>
      <c r="M611" t="n">
        <v>0</v>
      </c>
      <c r="N611" t="n">
        <v>0</v>
      </c>
      <c r="O611" t="n">
        <v>0</v>
      </c>
      <c r="P611" t="n">
        <v>0</v>
      </c>
      <c r="Q611" t="n">
        <v>0</v>
      </c>
      <c r="R611" s="2" t="inlineStr"/>
    </row>
    <row r="612" ht="15" customHeight="1">
      <c r="A612" t="inlineStr">
        <is>
          <t>A 6892-2026</t>
        </is>
      </c>
      <c r="B612" s="1" t="n">
        <v>46057.47490740741</v>
      </c>
      <c r="C612" s="1" t="n">
        <v>46062</v>
      </c>
      <c r="D612" t="inlineStr">
        <is>
          <t>DALARNAS LÄN</t>
        </is>
      </c>
      <c r="E612" t="inlineStr">
        <is>
          <t>MORA</t>
        </is>
      </c>
      <c r="G612" t="n">
        <v>9</v>
      </c>
      <c r="H612" t="n">
        <v>0</v>
      </c>
      <c r="I612" t="n">
        <v>0</v>
      </c>
      <c r="J612" t="n">
        <v>0</v>
      </c>
      <c r="K612" t="n">
        <v>0</v>
      </c>
      <c r="L612" t="n">
        <v>0</v>
      </c>
      <c r="M612" t="n">
        <v>0</v>
      </c>
      <c r="N612" t="n">
        <v>0</v>
      </c>
      <c r="O612" t="n">
        <v>0</v>
      </c>
      <c r="P612" t="n">
        <v>0</v>
      </c>
      <c r="Q612" t="n">
        <v>0</v>
      </c>
      <c r="R612" s="2" t="inlineStr"/>
    </row>
    <row r="613" ht="15" customHeight="1">
      <c r="A613" t="inlineStr">
        <is>
          <t>A 6690-2026</t>
        </is>
      </c>
      <c r="B613" s="1" t="n">
        <v>46056.6352662037</v>
      </c>
      <c r="C613" s="1" t="n">
        <v>46062</v>
      </c>
      <c r="D613" t="inlineStr">
        <is>
          <t>DALARNAS LÄN</t>
        </is>
      </c>
      <c r="E613" t="inlineStr">
        <is>
          <t>MORA</t>
        </is>
      </c>
      <c r="G613" t="n">
        <v>1.9</v>
      </c>
      <c r="H613" t="n">
        <v>0</v>
      </c>
      <c r="I613" t="n">
        <v>0</v>
      </c>
      <c r="J613" t="n">
        <v>0</v>
      </c>
      <c r="K613" t="n">
        <v>0</v>
      </c>
      <c r="L613" t="n">
        <v>0</v>
      </c>
      <c r="M613" t="n">
        <v>0</v>
      </c>
      <c r="N613" t="n">
        <v>0</v>
      </c>
      <c r="O613" t="n">
        <v>0</v>
      </c>
      <c r="P613" t="n">
        <v>0</v>
      </c>
      <c r="Q613" t="n">
        <v>0</v>
      </c>
      <c r="R613" s="2" t="inlineStr"/>
    </row>
    <row r="614" ht="15" customHeight="1">
      <c r="A614" t="inlineStr">
        <is>
          <t>A 6619-2026</t>
        </is>
      </c>
      <c r="B614" s="1" t="n">
        <v>46056.49622685185</v>
      </c>
      <c r="C614" s="1" t="n">
        <v>46062</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6674-2026</t>
        </is>
      </c>
      <c r="B615" s="1" t="n">
        <v>46056.60297453704</v>
      </c>
      <c r="C615" s="1" t="n">
        <v>46062</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6719-2026</t>
        </is>
      </c>
      <c r="B616" s="1" t="n">
        <v>46056.66945601852</v>
      </c>
      <c r="C616" s="1" t="n">
        <v>46062</v>
      </c>
      <c r="D616" t="inlineStr">
        <is>
          <t>DALARNAS LÄN</t>
        </is>
      </c>
      <c r="E616" t="inlineStr">
        <is>
          <t>MORA</t>
        </is>
      </c>
      <c r="G616" t="n">
        <v>0.7</v>
      </c>
      <c r="H616" t="n">
        <v>0</v>
      </c>
      <c r="I616" t="n">
        <v>0</v>
      </c>
      <c r="J616" t="n">
        <v>0</v>
      </c>
      <c r="K616" t="n">
        <v>0</v>
      </c>
      <c r="L616" t="n">
        <v>0</v>
      </c>
      <c r="M616" t="n">
        <v>0</v>
      </c>
      <c r="N616" t="n">
        <v>0</v>
      </c>
      <c r="O616" t="n">
        <v>0</v>
      </c>
      <c r="P616" t="n">
        <v>0</v>
      </c>
      <c r="Q616" t="n">
        <v>0</v>
      </c>
      <c r="R616" s="2" t="inlineStr"/>
    </row>
    <row r="617" ht="15" customHeight="1">
      <c r="A617" t="inlineStr">
        <is>
          <t>A 63689-2025</t>
        </is>
      </c>
      <c r="B617" s="1" t="n">
        <v>46014.539375</v>
      </c>
      <c r="C617" s="1" t="n">
        <v>46062</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6923-2026</t>
        </is>
      </c>
      <c r="B618" s="1" t="n">
        <v>46057.53868055555</v>
      </c>
      <c r="C618" s="1" t="n">
        <v>46062</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6971-2026</t>
        </is>
      </c>
      <c r="B619" s="1" t="n">
        <v>46057.59153935185</v>
      </c>
      <c r="C619" s="1" t="n">
        <v>46062</v>
      </c>
      <c r="D619" t="inlineStr">
        <is>
          <t>DALARNAS LÄN</t>
        </is>
      </c>
      <c r="E619" t="inlineStr">
        <is>
          <t>MORA</t>
        </is>
      </c>
      <c r="G619" t="n">
        <v>1.9</v>
      </c>
      <c r="H619" t="n">
        <v>0</v>
      </c>
      <c r="I619" t="n">
        <v>0</v>
      </c>
      <c r="J619" t="n">
        <v>0</v>
      </c>
      <c r="K619" t="n">
        <v>0</v>
      </c>
      <c r="L619" t="n">
        <v>0</v>
      </c>
      <c r="M619" t="n">
        <v>0</v>
      </c>
      <c r="N619" t="n">
        <v>0</v>
      </c>
      <c r="O619" t="n">
        <v>0</v>
      </c>
      <c r="P619" t="n">
        <v>0</v>
      </c>
      <c r="Q619" t="n">
        <v>0</v>
      </c>
      <c r="R619" s="2" t="inlineStr"/>
    </row>
    <row r="620" ht="15" customHeight="1">
      <c r="A620" t="inlineStr">
        <is>
          <t>A 6595-2026</t>
        </is>
      </c>
      <c r="B620" s="1" t="n">
        <v>46056.4644675926</v>
      </c>
      <c r="C620" s="1" t="n">
        <v>46062</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38627-2023</t>
        </is>
      </c>
      <c r="B621" s="1" t="n">
        <v>45162.68787037037</v>
      </c>
      <c r="C621" s="1" t="n">
        <v>46062</v>
      </c>
      <c r="D621" t="inlineStr">
        <is>
          <t>DALARNAS LÄN</t>
        </is>
      </c>
      <c r="E621" t="inlineStr">
        <is>
          <t>MORA</t>
        </is>
      </c>
      <c r="G621" t="n">
        <v>6.5</v>
      </c>
      <c r="H621" t="n">
        <v>0</v>
      </c>
      <c r="I621" t="n">
        <v>0</v>
      </c>
      <c r="J621" t="n">
        <v>0</v>
      </c>
      <c r="K621" t="n">
        <v>0</v>
      </c>
      <c r="L621" t="n">
        <v>0</v>
      </c>
      <c r="M621" t="n">
        <v>0</v>
      </c>
      <c r="N621" t="n">
        <v>0</v>
      </c>
      <c r="O621" t="n">
        <v>0</v>
      </c>
      <c r="P621" t="n">
        <v>0</v>
      </c>
      <c r="Q621" t="n">
        <v>0</v>
      </c>
      <c r="R621" s="2" t="inlineStr"/>
    </row>
    <row r="622" ht="15" customHeight="1">
      <c r="A622" t="inlineStr">
        <is>
          <t>A 64088-2023</t>
        </is>
      </c>
      <c r="B622" s="1" t="n">
        <v>45279.43570601852</v>
      </c>
      <c r="C622" s="1" t="n">
        <v>46062</v>
      </c>
      <c r="D622" t="inlineStr">
        <is>
          <t>DALARNAS LÄN</t>
        </is>
      </c>
      <c r="E622" t="inlineStr">
        <is>
          <t>MORA</t>
        </is>
      </c>
      <c r="G622" t="n">
        <v>1</v>
      </c>
      <c r="H622" t="n">
        <v>0</v>
      </c>
      <c r="I622" t="n">
        <v>0</v>
      </c>
      <c r="J622" t="n">
        <v>0</v>
      </c>
      <c r="K622" t="n">
        <v>0</v>
      </c>
      <c r="L622" t="n">
        <v>0</v>
      </c>
      <c r="M622" t="n">
        <v>0</v>
      </c>
      <c r="N622" t="n">
        <v>0</v>
      </c>
      <c r="O622" t="n">
        <v>0</v>
      </c>
      <c r="P622" t="n">
        <v>0</v>
      </c>
      <c r="Q622" t="n">
        <v>0</v>
      </c>
      <c r="R622" s="2" t="inlineStr"/>
    </row>
    <row r="623" ht="15" customHeight="1">
      <c r="A623" t="inlineStr">
        <is>
          <t>A 3260-2026</t>
        </is>
      </c>
      <c r="B623" s="1" t="n">
        <v>46041</v>
      </c>
      <c r="C623" s="1" t="n">
        <v>46062</v>
      </c>
      <c r="D623" t="inlineStr">
        <is>
          <t>DALARNAS LÄN</t>
        </is>
      </c>
      <c r="E623" t="inlineStr">
        <is>
          <t>MORA</t>
        </is>
      </c>
      <c r="G623" t="n">
        <v>27.1</v>
      </c>
      <c r="H623" t="n">
        <v>0</v>
      </c>
      <c r="I623" t="n">
        <v>0</v>
      </c>
      <c r="J623" t="n">
        <v>0</v>
      </c>
      <c r="K623" t="n">
        <v>0</v>
      </c>
      <c r="L623" t="n">
        <v>0</v>
      </c>
      <c r="M623" t="n">
        <v>0</v>
      </c>
      <c r="N623" t="n">
        <v>0</v>
      </c>
      <c r="O623" t="n">
        <v>0</v>
      </c>
      <c r="P623" t="n">
        <v>0</v>
      </c>
      <c r="Q623" t="n">
        <v>0</v>
      </c>
      <c r="R623" s="2" t="inlineStr"/>
    </row>
    <row r="624" ht="15" customHeight="1">
      <c r="A624" t="inlineStr">
        <is>
          <t>A 7418-2026</t>
        </is>
      </c>
      <c r="B624" s="1" t="n">
        <v>46059.42018518518</v>
      </c>
      <c r="C624" s="1" t="n">
        <v>46062</v>
      </c>
      <c r="D624" t="inlineStr">
        <is>
          <t>DALARNAS LÄN</t>
        </is>
      </c>
      <c r="E624" t="inlineStr">
        <is>
          <t>MORA</t>
        </is>
      </c>
      <c r="G624" t="n">
        <v>4</v>
      </c>
      <c r="H624" t="n">
        <v>0</v>
      </c>
      <c r="I624" t="n">
        <v>0</v>
      </c>
      <c r="J624" t="n">
        <v>0</v>
      </c>
      <c r="K624" t="n">
        <v>0</v>
      </c>
      <c r="L624" t="n">
        <v>0</v>
      </c>
      <c r="M624" t="n">
        <v>0</v>
      </c>
      <c r="N624" t="n">
        <v>0</v>
      </c>
      <c r="O624" t="n">
        <v>0</v>
      </c>
      <c r="P624" t="n">
        <v>0</v>
      </c>
      <c r="Q624" t="n">
        <v>0</v>
      </c>
      <c r="R624" s="2" t="inlineStr"/>
    </row>
    <row r="625" ht="15" customHeight="1">
      <c r="A625" t="inlineStr">
        <is>
          <t>A 2830-2023</t>
        </is>
      </c>
      <c r="B625" s="1" t="n">
        <v>44945.32997685186</v>
      </c>
      <c r="C625" s="1" t="n">
        <v>46062</v>
      </c>
      <c r="D625" t="inlineStr">
        <is>
          <t>DALARNAS LÄN</t>
        </is>
      </c>
      <c r="E625" t="inlineStr">
        <is>
          <t>MORA</t>
        </is>
      </c>
      <c r="G625" t="n">
        <v>0.5</v>
      </c>
      <c r="H625" t="n">
        <v>0</v>
      </c>
      <c r="I625" t="n">
        <v>0</v>
      </c>
      <c r="J625" t="n">
        <v>0</v>
      </c>
      <c r="K625" t="n">
        <v>0</v>
      </c>
      <c r="L625" t="n">
        <v>0</v>
      </c>
      <c r="M625" t="n">
        <v>0</v>
      </c>
      <c r="N625" t="n">
        <v>0</v>
      </c>
      <c r="O625" t="n">
        <v>0</v>
      </c>
      <c r="P625" t="n">
        <v>0</v>
      </c>
      <c r="Q625" t="n">
        <v>0</v>
      </c>
      <c r="R625" s="2" t="inlineStr"/>
    </row>
    <row r="626" ht="15" customHeight="1">
      <c r="A626" t="inlineStr">
        <is>
          <t>A 39882-2024</t>
        </is>
      </c>
      <c r="B626" s="1" t="n">
        <v>45553</v>
      </c>
      <c r="C626" s="1" t="n">
        <v>46062</v>
      </c>
      <c r="D626" t="inlineStr">
        <is>
          <t>DALARNAS LÄN</t>
        </is>
      </c>
      <c r="E626" t="inlineStr">
        <is>
          <t>MORA</t>
        </is>
      </c>
      <c r="G626" t="n">
        <v>14.6</v>
      </c>
      <c r="H626" t="n">
        <v>0</v>
      </c>
      <c r="I626" t="n">
        <v>0</v>
      </c>
      <c r="J626" t="n">
        <v>0</v>
      </c>
      <c r="K626" t="n">
        <v>0</v>
      </c>
      <c r="L626" t="n">
        <v>0</v>
      </c>
      <c r="M626" t="n">
        <v>0</v>
      </c>
      <c r="N626" t="n">
        <v>0</v>
      </c>
      <c r="O626" t="n">
        <v>0</v>
      </c>
      <c r="P626" t="n">
        <v>0</v>
      </c>
      <c r="Q626" t="n">
        <v>0</v>
      </c>
      <c r="R626" s="2" t="inlineStr"/>
    </row>
    <row r="627" ht="15" customHeight="1">
      <c r="A627" t="inlineStr">
        <is>
          <t>A 239-2026</t>
        </is>
      </c>
      <c r="B627" s="1" t="n">
        <v>46027</v>
      </c>
      <c r="C627" s="1" t="n">
        <v>46062</v>
      </c>
      <c r="D627" t="inlineStr">
        <is>
          <t>DALARNAS LÄN</t>
        </is>
      </c>
      <c r="E627" t="inlineStr">
        <is>
          <t>MORA</t>
        </is>
      </c>
      <c r="G627" t="n">
        <v>1</v>
      </c>
      <c r="H627" t="n">
        <v>0</v>
      </c>
      <c r="I627" t="n">
        <v>0</v>
      </c>
      <c r="J627" t="n">
        <v>0</v>
      </c>
      <c r="K627" t="n">
        <v>0</v>
      </c>
      <c r="L627" t="n">
        <v>0</v>
      </c>
      <c r="M627" t="n">
        <v>0</v>
      </c>
      <c r="N627" t="n">
        <v>0</v>
      </c>
      <c r="O627" t="n">
        <v>0</v>
      </c>
      <c r="P627" t="n">
        <v>0</v>
      </c>
      <c r="Q627" t="n">
        <v>0</v>
      </c>
      <c r="R627" s="2" t="inlineStr"/>
    </row>
    <row r="628" ht="15" customHeight="1">
      <c r="A628" t="inlineStr">
        <is>
          <t>A 5473-2026</t>
        </is>
      </c>
      <c r="B628" s="1" t="n">
        <v>46050.59820601852</v>
      </c>
      <c r="C628" s="1" t="n">
        <v>46062</v>
      </c>
      <c r="D628" t="inlineStr">
        <is>
          <t>DALARNAS LÄN</t>
        </is>
      </c>
      <c r="E628" t="inlineStr">
        <is>
          <t>MORA</t>
        </is>
      </c>
      <c r="G628" t="n">
        <v>10.2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45184.58199074074</v>
      </c>
      <c r="C629" s="1" t="n">
        <v>46062</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7446-2026</t>
        </is>
      </c>
      <c r="B630" s="1" t="n">
        <v>46059.46224537037</v>
      </c>
      <c r="C630" s="1" t="n">
        <v>46062</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46414-2024</t>
        </is>
      </c>
      <c r="B631" s="1" t="n">
        <v>45582.45226851852</v>
      </c>
      <c r="C631" s="1" t="n">
        <v>46062</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46417-2024</t>
        </is>
      </c>
      <c r="B632" s="1" t="n">
        <v>45582.45449074074</v>
      </c>
      <c r="C632" s="1" t="n">
        <v>46062</v>
      </c>
      <c r="D632" t="inlineStr">
        <is>
          <t>DALARNAS LÄN</t>
        </is>
      </c>
      <c r="E632" t="inlineStr">
        <is>
          <t>MORA</t>
        </is>
      </c>
      <c r="G632" t="n">
        <v>0.8</v>
      </c>
      <c r="H632" t="n">
        <v>0</v>
      </c>
      <c r="I632" t="n">
        <v>0</v>
      </c>
      <c r="J632" t="n">
        <v>0</v>
      </c>
      <c r="K632" t="n">
        <v>0</v>
      </c>
      <c r="L632" t="n">
        <v>0</v>
      </c>
      <c r="M632" t="n">
        <v>0</v>
      </c>
      <c r="N632" t="n">
        <v>0</v>
      </c>
      <c r="O632" t="n">
        <v>0</v>
      </c>
      <c r="P632" t="n">
        <v>0</v>
      </c>
      <c r="Q632" t="n">
        <v>0</v>
      </c>
      <c r="R632" s="2" t="inlineStr"/>
    </row>
    <row r="633" ht="15" customHeight="1">
      <c r="A633" t="inlineStr">
        <is>
          <t>A 5491-2023</t>
        </is>
      </c>
      <c r="B633" s="1" t="n">
        <v>44957</v>
      </c>
      <c r="C633" s="1" t="n">
        <v>46062</v>
      </c>
      <c r="D633" t="inlineStr">
        <is>
          <t>DALARNAS LÄN</t>
        </is>
      </c>
      <c r="E633" t="inlineStr">
        <is>
          <t>MORA</t>
        </is>
      </c>
      <c r="G633" t="n">
        <v>3.5</v>
      </c>
      <c r="H633" t="n">
        <v>0</v>
      </c>
      <c r="I633" t="n">
        <v>0</v>
      </c>
      <c r="J633" t="n">
        <v>0</v>
      </c>
      <c r="K633" t="n">
        <v>0</v>
      </c>
      <c r="L633" t="n">
        <v>0</v>
      </c>
      <c r="M633" t="n">
        <v>0</v>
      </c>
      <c r="N633" t="n">
        <v>0</v>
      </c>
      <c r="O633" t="n">
        <v>0</v>
      </c>
      <c r="P633" t="n">
        <v>0</v>
      </c>
      <c r="Q633" t="n">
        <v>0</v>
      </c>
      <c r="R633" s="2" t="inlineStr"/>
    </row>
    <row r="634" ht="15" customHeight="1">
      <c r="A634" t="inlineStr">
        <is>
          <t>A 5493-2023</t>
        </is>
      </c>
      <c r="B634" s="1" t="n">
        <v>44957</v>
      </c>
      <c r="C634" s="1" t="n">
        <v>46062</v>
      </c>
      <c r="D634" t="inlineStr">
        <is>
          <t>DALARNAS LÄN</t>
        </is>
      </c>
      <c r="E634" t="inlineStr">
        <is>
          <t>MORA</t>
        </is>
      </c>
      <c r="F634" t="inlineStr">
        <is>
          <t>Allmännings- och besparingsskogar</t>
        </is>
      </c>
      <c r="G634" t="n">
        <v>14.9</v>
      </c>
      <c r="H634" t="n">
        <v>0</v>
      </c>
      <c r="I634" t="n">
        <v>0</v>
      </c>
      <c r="J634" t="n">
        <v>0</v>
      </c>
      <c r="K634" t="n">
        <v>0</v>
      </c>
      <c r="L634" t="n">
        <v>0</v>
      </c>
      <c r="M634" t="n">
        <v>0</v>
      </c>
      <c r="N634" t="n">
        <v>0</v>
      </c>
      <c r="O634" t="n">
        <v>0</v>
      </c>
      <c r="P634" t="n">
        <v>0</v>
      </c>
      <c r="Q634" t="n">
        <v>0</v>
      </c>
      <c r="R634" s="2" t="inlineStr"/>
    </row>
    <row r="635" ht="15" customHeight="1">
      <c r="A635" t="inlineStr">
        <is>
          <t>A 48825-2023</t>
        </is>
      </c>
      <c r="B635" s="1" t="n">
        <v>45203</v>
      </c>
      <c r="C635" s="1" t="n">
        <v>46062</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29193-2023</t>
        </is>
      </c>
      <c r="B636" s="1" t="n">
        <v>45105.54791666667</v>
      </c>
      <c r="C636" s="1" t="n">
        <v>46062</v>
      </c>
      <c r="D636" t="inlineStr">
        <is>
          <t>DALARNAS LÄN</t>
        </is>
      </c>
      <c r="E636" t="inlineStr">
        <is>
          <t>MORA</t>
        </is>
      </c>
      <c r="G636" t="n">
        <v>0.4</v>
      </c>
      <c r="H636" t="n">
        <v>0</v>
      </c>
      <c r="I636" t="n">
        <v>0</v>
      </c>
      <c r="J636" t="n">
        <v>0</v>
      </c>
      <c r="K636" t="n">
        <v>0</v>
      </c>
      <c r="L636" t="n">
        <v>0</v>
      </c>
      <c r="M636" t="n">
        <v>0</v>
      </c>
      <c r="N636" t="n">
        <v>0</v>
      </c>
      <c r="O636" t="n">
        <v>0</v>
      </c>
      <c r="P636" t="n">
        <v>0</v>
      </c>
      <c r="Q636" t="n">
        <v>0</v>
      </c>
      <c r="R636" s="2" t="inlineStr"/>
    </row>
    <row r="637" ht="15" customHeight="1">
      <c r="A637" t="inlineStr">
        <is>
          <t>A 18444-2024</t>
        </is>
      </c>
      <c r="B637" s="1" t="n">
        <v>45425.45568287037</v>
      </c>
      <c r="C637" s="1" t="n">
        <v>46062</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47784-2024</t>
        </is>
      </c>
      <c r="B638" s="1" t="n">
        <v>45588.59290509259</v>
      </c>
      <c r="C638" s="1" t="n">
        <v>46062</v>
      </c>
      <c r="D638" t="inlineStr">
        <is>
          <t>DALARNAS LÄN</t>
        </is>
      </c>
      <c r="E638" t="inlineStr">
        <is>
          <t>MORA</t>
        </is>
      </c>
      <c r="G638" t="n">
        <v>15.3</v>
      </c>
      <c r="H638" t="n">
        <v>0</v>
      </c>
      <c r="I638" t="n">
        <v>0</v>
      </c>
      <c r="J638" t="n">
        <v>0</v>
      </c>
      <c r="K638" t="n">
        <v>0</v>
      </c>
      <c r="L638" t="n">
        <v>0</v>
      </c>
      <c r="M638" t="n">
        <v>0</v>
      </c>
      <c r="N638" t="n">
        <v>0</v>
      </c>
      <c r="O638" t="n">
        <v>0</v>
      </c>
      <c r="P638" t="n">
        <v>0</v>
      </c>
      <c r="Q638" t="n">
        <v>0</v>
      </c>
      <c r="R638" s="2" t="inlineStr"/>
    </row>
    <row r="639" ht="15" customHeight="1">
      <c r="A639" t="inlineStr">
        <is>
          <t>A 35551-2023</t>
        </is>
      </c>
      <c r="B639" s="1" t="n">
        <v>45147.3934837963</v>
      </c>
      <c r="C639" s="1" t="n">
        <v>46062</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59174-2023</t>
        </is>
      </c>
      <c r="B640" s="1" t="n">
        <v>45253.43202546296</v>
      </c>
      <c r="C640" s="1" t="n">
        <v>46062</v>
      </c>
      <c r="D640" t="inlineStr">
        <is>
          <t>DALARNAS LÄN</t>
        </is>
      </c>
      <c r="E640" t="inlineStr">
        <is>
          <t>MORA</t>
        </is>
      </c>
      <c r="G640" t="n">
        <v>2.5</v>
      </c>
      <c r="H640" t="n">
        <v>0</v>
      </c>
      <c r="I640" t="n">
        <v>0</v>
      </c>
      <c r="J640" t="n">
        <v>0</v>
      </c>
      <c r="K640" t="n">
        <v>0</v>
      </c>
      <c r="L640" t="n">
        <v>0</v>
      </c>
      <c r="M640" t="n">
        <v>0</v>
      </c>
      <c r="N640" t="n">
        <v>0</v>
      </c>
      <c r="O640" t="n">
        <v>0</v>
      </c>
      <c r="P640" t="n">
        <v>0</v>
      </c>
      <c r="Q640" t="n">
        <v>0</v>
      </c>
      <c r="R640" s="2" t="inlineStr"/>
    </row>
    <row r="641" ht="15" customHeight="1">
      <c r="A641" t="inlineStr">
        <is>
          <t>A 55331-2022</t>
        </is>
      </c>
      <c r="B641" s="1" t="n">
        <v>44887.43714120371</v>
      </c>
      <c r="C641" s="1" t="n">
        <v>46062</v>
      </c>
      <c r="D641" t="inlineStr">
        <is>
          <t>DALARNAS LÄN</t>
        </is>
      </c>
      <c r="E641" t="inlineStr">
        <is>
          <t>MORA</t>
        </is>
      </c>
      <c r="F641" t="inlineStr">
        <is>
          <t>Bergvik skog väst AB</t>
        </is>
      </c>
      <c r="G641" t="n">
        <v>2.2</v>
      </c>
      <c r="H641" t="n">
        <v>0</v>
      </c>
      <c r="I641" t="n">
        <v>0</v>
      </c>
      <c r="J641" t="n">
        <v>0</v>
      </c>
      <c r="K641" t="n">
        <v>0</v>
      </c>
      <c r="L641" t="n">
        <v>0</v>
      </c>
      <c r="M641" t="n">
        <v>0</v>
      </c>
      <c r="N641" t="n">
        <v>0</v>
      </c>
      <c r="O641" t="n">
        <v>0</v>
      </c>
      <c r="P641" t="n">
        <v>0</v>
      </c>
      <c r="Q641" t="n">
        <v>0</v>
      </c>
      <c r="R641" s="2" t="inlineStr"/>
    </row>
    <row r="642" ht="15" customHeight="1">
      <c r="A642" t="inlineStr">
        <is>
          <t>A 42085-2024</t>
        </is>
      </c>
      <c r="B642" s="1" t="n">
        <v>45562.33179398148</v>
      </c>
      <c r="C642" s="1" t="n">
        <v>46062</v>
      </c>
      <c r="D642" t="inlineStr">
        <is>
          <t>DALARNAS LÄN</t>
        </is>
      </c>
      <c r="E642" t="inlineStr">
        <is>
          <t>MORA</t>
        </is>
      </c>
      <c r="G642" t="n">
        <v>4.9</v>
      </c>
      <c r="H642" t="n">
        <v>0</v>
      </c>
      <c r="I642" t="n">
        <v>0</v>
      </c>
      <c r="J642" t="n">
        <v>0</v>
      </c>
      <c r="K642" t="n">
        <v>0</v>
      </c>
      <c r="L642" t="n">
        <v>0</v>
      </c>
      <c r="M642" t="n">
        <v>0</v>
      </c>
      <c r="N642" t="n">
        <v>0</v>
      </c>
      <c r="O642" t="n">
        <v>0</v>
      </c>
      <c r="P642" t="n">
        <v>0</v>
      </c>
      <c r="Q642" t="n">
        <v>0</v>
      </c>
      <c r="R642" s="2" t="inlineStr"/>
    </row>
    <row r="643" ht="15" customHeight="1">
      <c r="A643" t="inlineStr">
        <is>
          <t>A 60187-2024</t>
        </is>
      </c>
      <c r="B643" s="1" t="n">
        <v>45642.64803240741</v>
      </c>
      <c r="C643" s="1" t="n">
        <v>46062</v>
      </c>
      <c r="D643" t="inlineStr">
        <is>
          <t>DALARNAS LÄN</t>
        </is>
      </c>
      <c r="E643" t="inlineStr">
        <is>
          <t>MORA</t>
        </is>
      </c>
      <c r="F643" t="inlineStr">
        <is>
          <t>Allmännings- och besparingsskogar</t>
        </is>
      </c>
      <c r="G643" t="n">
        <v>24.6</v>
      </c>
      <c r="H643" t="n">
        <v>0</v>
      </c>
      <c r="I643" t="n">
        <v>0</v>
      </c>
      <c r="J643" t="n">
        <v>0</v>
      </c>
      <c r="K643" t="n">
        <v>0</v>
      </c>
      <c r="L643" t="n">
        <v>0</v>
      </c>
      <c r="M643" t="n">
        <v>0</v>
      </c>
      <c r="N643" t="n">
        <v>0</v>
      </c>
      <c r="O643" t="n">
        <v>0</v>
      </c>
      <c r="P643" t="n">
        <v>0</v>
      </c>
      <c r="Q643" t="n">
        <v>0</v>
      </c>
      <c r="R643" s="2" t="inlineStr"/>
    </row>
    <row r="644" ht="15" customHeight="1">
      <c r="A644" t="inlineStr">
        <is>
          <t>A 61222-2023</t>
        </is>
      </c>
      <c r="B644" s="1" t="n">
        <v>45264</v>
      </c>
      <c r="C644" s="1" t="n">
        <v>46062</v>
      </c>
      <c r="D644" t="inlineStr">
        <is>
          <t>DALARNAS LÄN</t>
        </is>
      </c>
      <c r="E644" t="inlineStr">
        <is>
          <t>MORA</t>
        </is>
      </c>
      <c r="F644" t="inlineStr">
        <is>
          <t>Allmännings- och besparingsskogar</t>
        </is>
      </c>
      <c r="G644" t="n">
        <v>1.1</v>
      </c>
      <c r="H644" t="n">
        <v>0</v>
      </c>
      <c r="I644" t="n">
        <v>0</v>
      </c>
      <c r="J644" t="n">
        <v>0</v>
      </c>
      <c r="K644" t="n">
        <v>0</v>
      </c>
      <c r="L644" t="n">
        <v>0</v>
      </c>
      <c r="M644" t="n">
        <v>0</v>
      </c>
      <c r="N644" t="n">
        <v>0</v>
      </c>
      <c r="O644" t="n">
        <v>0</v>
      </c>
      <c r="P644" t="n">
        <v>0</v>
      </c>
      <c r="Q644" t="n">
        <v>0</v>
      </c>
      <c r="R644" s="2" t="inlineStr"/>
    </row>
    <row r="645" ht="15" customHeight="1">
      <c r="A645" t="inlineStr">
        <is>
          <t>A 40949-2023</t>
        </is>
      </c>
      <c r="B645" s="1" t="n">
        <v>45173</v>
      </c>
      <c r="C645" s="1" t="n">
        <v>46062</v>
      </c>
      <c r="D645" t="inlineStr">
        <is>
          <t>DALARNAS LÄN</t>
        </is>
      </c>
      <c r="E645" t="inlineStr">
        <is>
          <t>MORA</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5216-2025</t>
        </is>
      </c>
      <c r="B646" s="1" t="n">
        <v>45691.69671296296</v>
      </c>
      <c r="C646" s="1" t="n">
        <v>46062</v>
      </c>
      <c r="D646" t="inlineStr">
        <is>
          <t>DALARNAS LÄN</t>
        </is>
      </c>
      <c r="E646" t="inlineStr">
        <is>
          <t>MORA</t>
        </is>
      </c>
      <c r="G646" t="n">
        <v>2.5</v>
      </c>
      <c r="H646" t="n">
        <v>0</v>
      </c>
      <c r="I646" t="n">
        <v>0</v>
      </c>
      <c r="J646" t="n">
        <v>0</v>
      </c>
      <c r="K646" t="n">
        <v>0</v>
      </c>
      <c r="L646" t="n">
        <v>0</v>
      </c>
      <c r="M646" t="n">
        <v>0</v>
      </c>
      <c r="N646" t="n">
        <v>0</v>
      </c>
      <c r="O646" t="n">
        <v>0</v>
      </c>
      <c r="P646" t="n">
        <v>0</v>
      </c>
      <c r="Q646" t="n">
        <v>0</v>
      </c>
      <c r="R646" s="2" t="inlineStr"/>
    </row>
    <row r="647" ht="15" customHeight="1">
      <c r="A647" t="inlineStr">
        <is>
          <t>A 45674-2024</t>
        </is>
      </c>
      <c r="B647" s="1" t="n">
        <v>45573</v>
      </c>
      <c r="C647" s="1" t="n">
        <v>46062</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18139-2025</t>
        </is>
      </c>
      <c r="B648" s="1" t="n">
        <v>45761.60459490741</v>
      </c>
      <c r="C648" s="1" t="n">
        <v>46062</v>
      </c>
      <c r="D648" t="inlineStr">
        <is>
          <t>DALARNAS LÄN</t>
        </is>
      </c>
      <c r="E648" t="inlineStr">
        <is>
          <t>MORA</t>
        </is>
      </c>
      <c r="F648" t="inlineStr">
        <is>
          <t>Bergvik skog öst AB</t>
        </is>
      </c>
      <c r="G648" t="n">
        <v>3</v>
      </c>
      <c r="H648" t="n">
        <v>0</v>
      </c>
      <c r="I648" t="n">
        <v>0</v>
      </c>
      <c r="J648" t="n">
        <v>0</v>
      </c>
      <c r="K648" t="n">
        <v>0</v>
      </c>
      <c r="L648" t="n">
        <v>0</v>
      </c>
      <c r="M648" t="n">
        <v>0</v>
      </c>
      <c r="N648" t="n">
        <v>0</v>
      </c>
      <c r="O648" t="n">
        <v>0</v>
      </c>
      <c r="P648" t="n">
        <v>0</v>
      </c>
      <c r="Q648" t="n">
        <v>0</v>
      </c>
      <c r="R648" s="2" t="inlineStr"/>
    </row>
    <row r="649" ht="15" customHeight="1">
      <c r="A649" t="inlineStr">
        <is>
          <t>A 57999-2023</t>
        </is>
      </c>
      <c r="B649" s="1" t="n">
        <v>45247</v>
      </c>
      <c r="C649" s="1" t="n">
        <v>46062</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24335-2022</t>
        </is>
      </c>
      <c r="B650" s="1" t="n">
        <v>44725</v>
      </c>
      <c r="C650" s="1" t="n">
        <v>46062</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55120-2024</t>
        </is>
      </c>
      <c r="B651" s="1" t="n">
        <v>45621.45765046297</v>
      </c>
      <c r="C651" s="1" t="n">
        <v>46062</v>
      </c>
      <c r="D651" t="inlineStr">
        <is>
          <t>DALARNAS LÄN</t>
        </is>
      </c>
      <c r="E651" t="inlineStr">
        <is>
          <t>MORA</t>
        </is>
      </c>
      <c r="G651" t="n">
        <v>1.9</v>
      </c>
      <c r="H651" t="n">
        <v>0</v>
      </c>
      <c r="I651" t="n">
        <v>0</v>
      </c>
      <c r="J651" t="n">
        <v>0</v>
      </c>
      <c r="K651" t="n">
        <v>0</v>
      </c>
      <c r="L651" t="n">
        <v>0</v>
      </c>
      <c r="M651" t="n">
        <v>0</v>
      </c>
      <c r="N651" t="n">
        <v>0</v>
      </c>
      <c r="O651" t="n">
        <v>0</v>
      </c>
      <c r="P651" t="n">
        <v>0</v>
      </c>
      <c r="Q651" t="n">
        <v>0</v>
      </c>
      <c r="R651" s="2" t="inlineStr"/>
    </row>
    <row r="652" ht="15" customHeight="1">
      <c r="A652" t="inlineStr">
        <is>
          <t>A 34660-2021</t>
        </is>
      </c>
      <c r="B652" s="1" t="n">
        <v>44382.57981481482</v>
      </c>
      <c r="C652" s="1" t="n">
        <v>46062</v>
      </c>
      <c r="D652" t="inlineStr">
        <is>
          <t>DALARNAS LÄN</t>
        </is>
      </c>
      <c r="E652" t="inlineStr">
        <is>
          <t>MORA</t>
        </is>
      </c>
      <c r="G652" t="n">
        <v>7.5</v>
      </c>
      <c r="H652" t="n">
        <v>0</v>
      </c>
      <c r="I652" t="n">
        <v>0</v>
      </c>
      <c r="J652" t="n">
        <v>0</v>
      </c>
      <c r="K652" t="n">
        <v>0</v>
      </c>
      <c r="L652" t="n">
        <v>0</v>
      </c>
      <c r="M652" t="n">
        <v>0</v>
      </c>
      <c r="N652" t="n">
        <v>0</v>
      </c>
      <c r="O652" t="n">
        <v>0</v>
      </c>
      <c r="P652" t="n">
        <v>0</v>
      </c>
      <c r="Q652" t="n">
        <v>0</v>
      </c>
      <c r="R652" s="2" t="inlineStr"/>
    </row>
    <row r="653" ht="15" customHeight="1">
      <c r="A653" t="inlineStr">
        <is>
          <t>A 42934-2024</t>
        </is>
      </c>
      <c r="B653" s="1" t="n">
        <v>45567.33655092592</v>
      </c>
      <c r="C653" s="1" t="n">
        <v>46062</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17516-2024</t>
        </is>
      </c>
      <c r="B654" s="1" t="n">
        <v>45415.58502314815</v>
      </c>
      <c r="C654" s="1" t="n">
        <v>46062</v>
      </c>
      <c r="D654" t="inlineStr">
        <is>
          <t>DALARNAS LÄN</t>
        </is>
      </c>
      <c r="E654" t="inlineStr">
        <is>
          <t>MORA</t>
        </is>
      </c>
      <c r="G654" t="n">
        <v>1.4</v>
      </c>
      <c r="H654" t="n">
        <v>0</v>
      </c>
      <c r="I654" t="n">
        <v>0</v>
      </c>
      <c r="J654" t="n">
        <v>0</v>
      </c>
      <c r="K654" t="n">
        <v>0</v>
      </c>
      <c r="L654" t="n">
        <v>0</v>
      </c>
      <c r="M654" t="n">
        <v>0</v>
      </c>
      <c r="N654" t="n">
        <v>0</v>
      </c>
      <c r="O654" t="n">
        <v>0</v>
      </c>
      <c r="P654" t="n">
        <v>0</v>
      </c>
      <c r="Q654" t="n">
        <v>0</v>
      </c>
      <c r="R654" s="2" t="inlineStr"/>
    </row>
    <row r="655" ht="15" customHeight="1">
      <c r="A655" t="inlineStr">
        <is>
          <t>A 49159-2023</t>
        </is>
      </c>
      <c r="B655" s="1" t="n">
        <v>45210</v>
      </c>
      <c r="C655" s="1" t="n">
        <v>46062</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29188-2023</t>
        </is>
      </c>
      <c r="B656" s="1" t="n">
        <v>45105.54270833333</v>
      </c>
      <c r="C656" s="1" t="n">
        <v>46062</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12151-2021</t>
        </is>
      </c>
      <c r="B657" s="1" t="n">
        <v>44266</v>
      </c>
      <c r="C657" s="1" t="n">
        <v>46062</v>
      </c>
      <c r="D657" t="inlineStr">
        <is>
          <t>DALARNAS LÄN</t>
        </is>
      </c>
      <c r="E657" t="inlineStr">
        <is>
          <t>MORA</t>
        </is>
      </c>
      <c r="G657" t="n">
        <v>0.5</v>
      </c>
      <c r="H657" t="n">
        <v>0</v>
      </c>
      <c r="I657" t="n">
        <v>0</v>
      </c>
      <c r="J657" t="n">
        <v>0</v>
      </c>
      <c r="K657" t="n">
        <v>0</v>
      </c>
      <c r="L657" t="n">
        <v>0</v>
      </c>
      <c r="M657" t="n">
        <v>0</v>
      </c>
      <c r="N657" t="n">
        <v>0</v>
      </c>
      <c r="O657" t="n">
        <v>0</v>
      </c>
      <c r="P657" t="n">
        <v>0</v>
      </c>
      <c r="Q657" t="n">
        <v>0</v>
      </c>
      <c r="R657" s="2" t="inlineStr"/>
    </row>
    <row r="658" ht="15" customHeight="1">
      <c r="A658" t="inlineStr">
        <is>
          <t>A 26314-2021</t>
        </is>
      </c>
      <c r="B658" s="1" t="n">
        <v>44347</v>
      </c>
      <c r="C658" s="1" t="n">
        <v>46062</v>
      </c>
      <c r="D658" t="inlineStr">
        <is>
          <t>DALARNAS LÄN</t>
        </is>
      </c>
      <c r="E658" t="inlineStr">
        <is>
          <t>MORA</t>
        </is>
      </c>
      <c r="G658" t="n">
        <v>0.7</v>
      </c>
      <c r="H658" t="n">
        <v>0</v>
      </c>
      <c r="I658" t="n">
        <v>0</v>
      </c>
      <c r="J658" t="n">
        <v>0</v>
      </c>
      <c r="K658" t="n">
        <v>0</v>
      </c>
      <c r="L658" t="n">
        <v>0</v>
      </c>
      <c r="M658" t="n">
        <v>0</v>
      </c>
      <c r="N658" t="n">
        <v>0</v>
      </c>
      <c r="O658" t="n">
        <v>0</v>
      </c>
      <c r="P658" t="n">
        <v>0</v>
      </c>
      <c r="Q658" t="n">
        <v>0</v>
      </c>
      <c r="R658" s="2" t="inlineStr"/>
    </row>
    <row r="659" ht="15" customHeight="1">
      <c r="A659" t="inlineStr">
        <is>
          <t>A 30985-2024</t>
        </is>
      </c>
      <c r="B659" s="1" t="n">
        <v>45499.51721064815</v>
      </c>
      <c r="C659" s="1" t="n">
        <v>46062</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18202-2024</t>
        </is>
      </c>
      <c r="B660" s="1" t="n">
        <v>45420.68172453704</v>
      </c>
      <c r="C660" s="1" t="n">
        <v>46062</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40286-2024</t>
        </is>
      </c>
      <c r="B661" s="1" t="n">
        <v>45554.6687037037</v>
      </c>
      <c r="C661" s="1" t="n">
        <v>46062</v>
      </c>
      <c r="D661" t="inlineStr">
        <is>
          <t>DALARNAS LÄN</t>
        </is>
      </c>
      <c r="E661" t="inlineStr">
        <is>
          <t>MORA</t>
        </is>
      </c>
      <c r="G661" t="n">
        <v>0.4</v>
      </c>
      <c r="H661" t="n">
        <v>0</v>
      </c>
      <c r="I661" t="n">
        <v>0</v>
      </c>
      <c r="J661" t="n">
        <v>0</v>
      </c>
      <c r="K661" t="n">
        <v>0</v>
      </c>
      <c r="L661" t="n">
        <v>0</v>
      </c>
      <c r="M661" t="n">
        <v>0</v>
      </c>
      <c r="N661" t="n">
        <v>0</v>
      </c>
      <c r="O661" t="n">
        <v>0</v>
      </c>
      <c r="P661" t="n">
        <v>0</v>
      </c>
      <c r="Q661" t="n">
        <v>0</v>
      </c>
      <c r="R661" s="2" t="inlineStr"/>
    </row>
    <row r="662" ht="15" customHeight="1">
      <c r="A662" t="inlineStr">
        <is>
          <t>A 41169-2023</t>
        </is>
      </c>
      <c r="B662" s="1" t="n">
        <v>45174.34662037037</v>
      </c>
      <c r="C662" s="1" t="n">
        <v>46062</v>
      </c>
      <c r="D662" t="inlineStr">
        <is>
          <t>DALARNAS LÄN</t>
        </is>
      </c>
      <c r="E662" t="inlineStr">
        <is>
          <t>MORA</t>
        </is>
      </c>
      <c r="G662" t="n">
        <v>3</v>
      </c>
      <c r="H662" t="n">
        <v>0</v>
      </c>
      <c r="I662" t="n">
        <v>0</v>
      </c>
      <c r="J662" t="n">
        <v>0</v>
      </c>
      <c r="K662" t="n">
        <v>0</v>
      </c>
      <c r="L662" t="n">
        <v>0</v>
      </c>
      <c r="M662" t="n">
        <v>0</v>
      </c>
      <c r="N662" t="n">
        <v>0</v>
      </c>
      <c r="O662" t="n">
        <v>0</v>
      </c>
      <c r="P662" t="n">
        <v>0</v>
      </c>
      <c r="Q662" t="n">
        <v>0</v>
      </c>
      <c r="R662" s="2" t="inlineStr"/>
    </row>
    <row r="663" ht="15" customHeight="1">
      <c r="A663" t="inlineStr">
        <is>
          <t>A 43826-2022</t>
        </is>
      </c>
      <c r="B663" s="1" t="n">
        <v>44838</v>
      </c>
      <c r="C663" s="1" t="n">
        <v>46062</v>
      </c>
      <c r="D663" t="inlineStr">
        <is>
          <t>DALARNAS LÄN</t>
        </is>
      </c>
      <c r="E663" t="inlineStr">
        <is>
          <t>MORA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44106-2023</t>
        </is>
      </c>
      <c r="B664" s="1" t="n">
        <v>45188</v>
      </c>
      <c r="C664" s="1" t="n">
        <v>46062</v>
      </c>
      <c r="D664" t="inlineStr">
        <is>
          <t>DALARNAS LÄN</t>
        </is>
      </c>
      <c r="E664" t="inlineStr">
        <is>
          <t>MORA</t>
        </is>
      </c>
      <c r="G664" t="n">
        <v>10.1</v>
      </c>
      <c r="H664" t="n">
        <v>0</v>
      </c>
      <c r="I664" t="n">
        <v>0</v>
      </c>
      <c r="J664" t="n">
        <v>0</v>
      </c>
      <c r="K664" t="n">
        <v>0</v>
      </c>
      <c r="L664" t="n">
        <v>0</v>
      </c>
      <c r="M664" t="n">
        <v>0</v>
      </c>
      <c r="N664" t="n">
        <v>0</v>
      </c>
      <c r="O664" t="n">
        <v>0</v>
      </c>
      <c r="P664" t="n">
        <v>0</v>
      </c>
      <c r="Q664" t="n">
        <v>0</v>
      </c>
      <c r="R664" s="2" t="inlineStr"/>
    </row>
    <row r="665" ht="15" customHeight="1">
      <c r="A665" t="inlineStr">
        <is>
          <t>A 59002-2024</t>
        </is>
      </c>
      <c r="B665" s="1" t="n">
        <v>45636</v>
      </c>
      <c r="C665" s="1" t="n">
        <v>46062</v>
      </c>
      <c r="D665" t="inlineStr">
        <is>
          <t>DALARNAS LÄN</t>
        </is>
      </c>
      <c r="E665" t="inlineStr">
        <is>
          <t>MORA</t>
        </is>
      </c>
      <c r="F665" t="inlineStr">
        <is>
          <t>Bergvik skog väst AB</t>
        </is>
      </c>
      <c r="G665" t="n">
        <v>24.8</v>
      </c>
      <c r="H665" t="n">
        <v>0</v>
      </c>
      <c r="I665" t="n">
        <v>0</v>
      </c>
      <c r="J665" t="n">
        <v>0</v>
      </c>
      <c r="K665" t="n">
        <v>0</v>
      </c>
      <c r="L665" t="n">
        <v>0</v>
      </c>
      <c r="M665" t="n">
        <v>0</v>
      </c>
      <c r="N665" t="n">
        <v>0</v>
      </c>
      <c r="O665" t="n">
        <v>0</v>
      </c>
      <c r="P665" t="n">
        <v>0</v>
      </c>
      <c r="Q665" t="n">
        <v>0</v>
      </c>
      <c r="R665" s="2" t="inlineStr"/>
    </row>
    <row r="666" ht="15" customHeight="1">
      <c r="A666" t="inlineStr">
        <is>
          <t>A 5980-2025</t>
        </is>
      </c>
      <c r="B666" s="1" t="n">
        <v>45695.54651620371</v>
      </c>
      <c r="C666" s="1" t="n">
        <v>46062</v>
      </c>
      <c r="D666" t="inlineStr">
        <is>
          <t>DALARNAS LÄN</t>
        </is>
      </c>
      <c r="E666" t="inlineStr">
        <is>
          <t>MORA</t>
        </is>
      </c>
      <c r="G666" t="n">
        <v>2.7</v>
      </c>
      <c r="H666" t="n">
        <v>0</v>
      </c>
      <c r="I666" t="n">
        <v>0</v>
      </c>
      <c r="J666" t="n">
        <v>0</v>
      </c>
      <c r="K666" t="n">
        <v>0</v>
      </c>
      <c r="L666" t="n">
        <v>0</v>
      </c>
      <c r="M666" t="n">
        <v>0</v>
      </c>
      <c r="N666" t="n">
        <v>0</v>
      </c>
      <c r="O666" t="n">
        <v>0</v>
      </c>
      <c r="P666" t="n">
        <v>0</v>
      </c>
      <c r="Q666" t="n">
        <v>0</v>
      </c>
      <c r="R666" s="2" t="inlineStr"/>
    </row>
    <row r="667" ht="15" customHeight="1">
      <c r="A667" t="inlineStr">
        <is>
          <t>A 5527-2024</t>
        </is>
      </c>
      <c r="B667" s="1" t="n">
        <v>45334.38981481481</v>
      </c>
      <c r="C667" s="1" t="n">
        <v>46062</v>
      </c>
      <c r="D667" t="inlineStr">
        <is>
          <t>DALARNAS LÄN</t>
        </is>
      </c>
      <c r="E667" t="inlineStr">
        <is>
          <t>MORA</t>
        </is>
      </c>
      <c r="G667" t="n">
        <v>1</v>
      </c>
      <c r="H667" t="n">
        <v>0</v>
      </c>
      <c r="I667" t="n">
        <v>0</v>
      </c>
      <c r="J667" t="n">
        <v>0</v>
      </c>
      <c r="K667" t="n">
        <v>0</v>
      </c>
      <c r="L667" t="n">
        <v>0</v>
      </c>
      <c r="M667" t="n">
        <v>0</v>
      </c>
      <c r="N667" t="n">
        <v>0</v>
      </c>
      <c r="O667" t="n">
        <v>0</v>
      </c>
      <c r="P667" t="n">
        <v>0</v>
      </c>
      <c r="Q667" t="n">
        <v>0</v>
      </c>
      <c r="R667" s="2" t="inlineStr"/>
    </row>
    <row r="668" ht="15" customHeight="1">
      <c r="A668" t="inlineStr">
        <is>
          <t>A 39856-2024</t>
        </is>
      </c>
      <c r="B668" s="1" t="n">
        <v>45553.44084490741</v>
      </c>
      <c r="C668" s="1" t="n">
        <v>46062</v>
      </c>
      <c r="D668" t="inlineStr">
        <is>
          <t>DALARNAS LÄN</t>
        </is>
      </c>
      <c r="E668" t="inlineStr">
        <is>
          <t>MORA</t>
        </is>
      </c>
      <c r="G668" t="n">
        <v>4.8</v>
      </c>
      <c r="H668" t="n">
        <v>0</v>
      </c>
      <c r="I668" t="n">
        <v>0</v>
      </c>
      <c r="J668" t="n">
        <v>0</v>
      </c>
      <c r="K668" t="n">
        <v>0</v>
      </c>
      <c r="L668" t="n">
        <v>0</v>
      </c>
      <c r="M668" t="n">
        <v>0</v>
      </c>
      <c r="N668" t="n">
        <v>0</v>
      </c>
      <c r="O668" t="n">
        <v>0</v>
      </c>
      <c r="P668" t="n">
        <v>0</v>
      </c>
      <c r="Q668" t="n">
        <v>0</v>
      </c>
      <c r="R668" s="2" t="inlineStr"/>
    </row>
    <row r="669" ht="15" customHeight="1">
      <c r="A669" t="inlineStr">
        <is>
          <t>A 52288-2024</t>
        </is>
      </c>
      <c r="B669" s="1" t="n">
        <v>45608.69395833334</v>
      </c>
      <c r="C669" s="1" t="n">
        <v>46062</v>
      </c>
      <c r="D669" t="inlineStr">
        <is>
          <t>DALARNAS LÄN</t>
        </is>
      </c>
      <c r="E669" t="inlineStr">
        <is>
          <t>MORA</t>
        </is>
      </c>
      <c r="G669" t="n">
        <v>2</v>
      </c>
      <c r="H669" t="n">
        <v>0</v>
      </c>
      <c r="I669" t="n">
        <v>0</v>
      </c>
      <c r="J669" t="n">
        <v>0</v>
      </c>
      <c r="K669" t="n">
        <v>0</v>
      </c>
      <c r="L669" t="n">
        <v>0</v>
      </c>
      <c r="M669" t="n">
        <v>0</v>
      </c>
      <c r="N669" t="n">
        <v>0</v>
      </c>
      <c r="O669" t="n">
        <v>0</v>
      </c>
      <c r="P669" t="n">
        <v>0</v>
      </c>
      <c r="Q669" t="n">
        <v>0</v>
      </c>
      <c r="R669" s="2" t="inlineStr"/>
    </row>
    <row r="670" ht="15" customHeight="1">
      <c r="A670" t="inlineStr">
        <is>
          <t>A 43879-2022</t>
        </is>
      </c>
      <c r="B670" s="1" t="n">
        <v>44838.46721064814</v>
      </c>
      <c r="C670" s="1" t="n">
        <v>46062</v>
      </c>
      <c r="D670" t="inlineStr">
        <is>
          <t>DALARNAS LÄN</t>
        </is>
      </c>
      <c r="E670" t="inlineStr">
        <is>
          <t>MORA</t>
        </is>
      </c>
      <c r="G670" t="n">
        <v>3.4</v>
      </c>
      <c r="H670" t="n">
        <v>0</v>
      </c>
      <c r="I670" t="n">
        <v>0</v>
      </c>
      <c r="J670" t="n">
        <v>0</v>
      </c>
      <c r="K670" t="n">
        <v>0</v>
      </c>
      <c r="L670" t="n">
        <v>0</v>
      </c>
      <c r="M670" t="n">
        <v>0</v>
      </c>
      <c r="N670" t="n">
        <v>0</v>
      </c>
      <c r="O670" t="n">
        <v>0</v>
      </c>
      <c r="P670" t="n">
        <v>0</v>
      </c>
      <c r="Q670" t="n">
        <v>0</v>
      </c>
      <c r="R670" s="2" t="inlineStr"/>
    </row>
    <row r="671" ht="15" customHeight="1">
      <c r="A671" t="inlineStr">
        <is>
          <t>A 12920-2022</t>
        </is>
      </c>
      <c r="B671" s="1" t="n">
        <v>44642.65418981481</v>
      </c>
      <c r="C671" s="1" t="n">
        <v>46062</v>
      </c>
      <c r="D671" t="inlineStr">
        <is>
          <t>DALARNAS LÄN</t>
        </is>
      </c>
      <c r="E671" t="inlineStr">
        <is>
          <t>MORA</t>
        </is>
      </c>
      <c r="G671" t="n">
        <v>0.8</v>
      </c>
      <c r="H671" t="n">
        <v>0</v>
      </c>
      <c r="I671" t="n">
        <v>0</v>
      </c>
      <c r="J671" t="n">
        <v>0</v>
      </c>
      <c r="K671" t="n">
        <v>0</v>
      </c>
      <c r="L671" t="n">
        <v>0</v>
      </c>
      <c r="M671" t="n">
        <v>0</v>
      </c>
      <c r="N671" t="n">
        <v>0</v>
      </c>
      <c r="O671" t="n">
        <v>0</v>
      </c>
      <c r="P671" t="n">
        <v>0</v>
      </c>
      <c r="Q671" t="n">
        <v>0</v>
      </c>
      <c r="R671" s="2" t="inlineStr"/>
    </row>
    <row r="672" ht="15" customHeight="1">
      <c r="A672" t="inlineStr">
        <is>
          <t>A 17280-2025</t>
        </is>
      </c>
      <c r="B672" s="1" t="n">
        <v>45756</v>
      </c>
      <c r="C672" s="1" t="n">
        <v>46062</v>
      </c>
      <c r="D672" t="inlineStr">
        <is>
          <t>DALARNAS LÄN</t>
        </is>
      </c>
      <c r="E672" t="inlineStr">
        <is>
          <t>MORA</t>
        </is>
      </c>
      <c r="G672" t="n">
        <v>2.1</v>
      </c>
      <c r="H672" t="n">
        <v>0</v>
      </c>
      <c r="I672" t="n">
        <v>0</v>
      </c>
      <c r="J672" t="n">
        <v>0</v>
      </c>
      <c r="K672" t="n">
        <v>0</v>
      </c>
      <c r="L672" t="n">
        <v>0</v>
      </c>
      <c r="M672" t="n">
        <v>0</v>
      </c>
      <c r="N672" t="n">
        <v>0</v>
      </c>
      <c r="O672" t="n">
        <v>0</v>
      </c>
      <c r="P672" t="n">
        <v>0</v>
      </c>
      <c r="Q672" t="n">
        <v>0</v>
      </c>
      <c r="R672" s="2" t="inlineStr"/>
    </row>
    <row r="673" ht="15" customHeight="1">
      <c r="A673" t="inlineStr">
        <is>
          <t>A 34282-2024</t>
        </is>
      </c>
      <c r="B673" s="1" t="n">
        <v>45524.62600694445</v>
      </c>
      <c r="C673" s="1" t="n">
        <v>46062</v>
      </c>
      <c r="D673" t="inlineStr">
        <is>
          <t>DALARNAS LÄN</t>
        </is>
      </c>
      <c r="E673" t="inlineStr">
        <is>
          <t>MORA</t>
        </is>
      </c>
      <c r="G673" t="n">
        <v>0.5</v>
      </c>
      <c r="H673" t="n">
        <v>0</v>
      </c>
      <c r="I673" t="n">
        <v>0</v>
      </c>
      <c r="J673" t="n">
        <v>0</v>
      </c>
      <c r="K673" t="n">
        <v>0</v>
      </c>
      <c r="L673" t="n">
        <v>0</v>
      </c>
      <c r="M673" t="n">
        <v>0</v>
      </c>
      <c r="N673" t="n">
        <v>0</v>
      </c>
      <c r="O673" t="n">
        <v>0</v>
      </c>
      <c r="P673" t="n">
        <v>0</v>
      </c>
      <c r="Q673" t="n">
        <v>0</v>
      </c>
      <c r="R673" s="2" t="inlineStr"/>
    </row>
    <row r="674" ht="15" customHeight="1">
      <c r="A674" t="inlineStr">
        <is>
          <t>A 38055-2024</t>
        </is>
      </c>
      <c r="B674" s="1" t="n">
        <v>45544</v>
      </c>
      <c r="C674" s="1" t="n">
        <v>46062</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7116-2024</t>
        </is>
      </c>
      <c r="B675" s="1" t="n">
        <v>45343.95445601852</v>
      </c>
      <c r="C675" s="1" t="n">
        <v>46062</v>
      </c>
      <c r="D675" t="inlineStr">
        <is>
          <t>DALARNAS LÄN</t>
        </is>
      </c>
      <c r="E675" t="inlineStr">
        <is>
          <t>MORA</t>
        </is>
      </c>
      <c r="G675" t="n">
        <v>0.3</v>
      </c>
      <c r="H675" t="n">
        <v>0</v>
      </c>
      <c r="I675" t="n">
        <v>0</v>
      </c>
      <c r="J675" t="n">
        <v>0</v>
      </c>
      <c r="K675" t="n">
        <v>0</v>
      </c>
      <c r="L675" t="n">
        <v>0</v>
      </c>
      <c r="M675" t="n">
        <v>0</v>
      </c>
      <c r="N675" t="n">
        <v>0</v>
      </c>
      <c r="O675" t="n">
        <v>0</v>
      </c>
      <c r="P675" t="n">
        <v>0</v>
      </c>
      <c r="Q675" t="n">
        <v>0</v>
      </c>
      <c r="R675" s="2" t="inlineStr"/>
    </row>
    <row r="676" ht="15" customHeight="1">
      <c r="A676" t="inlineStr">
        <is>
          <t>A 22785-2023</t>
        </is>
      </c>
      <c r="B676" s="1" t="n">
        <v>45072.34796296297</v>
      </c>
      <c r="C676" s="1" t="n">
        <v>46062</v>
      </c>
      <c r="D676" t="inlineStr">
        <is>
          <t>DALARNAS LÄN</t>
        </is>
      </c>
      <c r="E676" t="inlineStr">
        <is>
          <t>MORA</t>
        </is>
      </c>
      <c r="G676" t="n">
        <v>0.7</v>
      </c>
      <c r="H676" t="n">
        <v>0</v>
      </c>
      <c r="I676" t="n">
        <v>0</v>
      </c>
      <c r="J676" t="n">
        <v>0</v>
      </c>
      <c r="K676" t="n">
        <v>0</v>
      </c>
      <c r="L676" t="n">
        <v>0</v>
      </c>
      <c r="M676" t="n">
        <v>0</v>
      </c>
      <c r="N676" t="n">
        <v>0</v>
      </c>
      <c r="O676" t="n">
        <v>0</v>
      </c>
      <c r="P676" t="n">
        <v>0</v>
      </c>
      <c r="Q676" t="n">
        <v>0</v>
      </c>
      <c r="R676" s="2" t="inlineStr"/>
    </row>
    <row r="677" ht="15" customHeight="1">
      <c r="A677" t="inlineStr">
        <is>
          <t>A 60718-2023</t>
        </is>
      </c>
      <c r="B677" s="1" t="n">
        <v>45260.5284375</v>
      </c>
      <c r="C677" s="1" t="n">
        <v>46062</v>
      </c>
      <c r="D677" t="inlineStr">
        <is>
          <t>DALARNAS LÄN</t>
        </is>
      </c>
      <c r="E677" t="inlineStr">
        <is>
          <t>MORA</t>
        </is>
      </c>
      <c r="G677" t="n">
        <v>2.6</v>
      </c>
      <c r="H677" t="n">
        <v>0</v>
      </c>
      <c r="I677" t="n">
        <v>0</v>
      </c>
      <c r="J677" t="n">
        <v>0</v>
      </c>
      <c r="K677" t="n">
        <v>0</v>
      </c>
      <c r="L677" t="n">
        <v>0</v>
      </c>
      <c r="M677" t="n">
        <v>0</v>
      </c>
      <c r="N677" t="n">
        <v>0</v>
      </c>
      <c r="O677" t="n">
        <v>0</v>
      </c>
      <c r="P677" t="n">
        <v>0</v>
      </c>
      <c r="Q677" t="n">
        <v>0</v>
      </c>
      <c r="R677" s="2" t="inlineStr"/>
    </row>
    <row r="678" ht="15" customHeight="1">
      <c r="A678" t="inlineStr">
        <is>
          <t>A 7972-2024</t>
        </is>
      </c>
      <c r="B678" s="1" t="n">
        <v>45350</v>
      </c>
      <c r="C678" s="1" t="n">
        <v>46062</v>
      </c>
      <c r="D678" t="inlineStr">
        <is>
          <t>DALARNAS LÄN</t>
        </is>
      </c>
      <c r="E678" t="inlineStr">
        <is>
          <t>MORA</t>
        </is>
      </c>
      <c r="G678" t="n">
        <v>2.4</v>
      </c>
      <c r="H678" t="n">
        <v>0</v>
      </c>
      <c r="I678" t="n">
        <v>0</v>
      </c>
      <c r="J678" t="n">
        <v>0</v>
      </c>
      <c r="K678" t="n">
        <v>0</v>
      </c>
      <c r="L678" t="n">
        <v>0</v>
      </c>
      <c r="M678" t="n">
        <v>0</v>
      </c>
      <c r="N678" t="n">
        <v>0</v>
      </c>
      <c r="O678" t="n">
        <v>0</v>
      </c>
      <c r="P678" t="n">
        <v>0</v>
      </c>
      <c r="Q678" t="n">
        <v>0</v>
      </c>
      <c r="R678" s="2" t="inlineStr"/>
    </row>
    <row r="679" ht="15" customHeight="1">
      <c r="A679" t="inlineStr">
        <is>
          <t>A 16637-2025</t>
        </is>
      </c>
      <c r="B679" s="1" t="n">
        <v>45754.36738425926</v>
      </c>
      <c r="C679" s="1" t="n">
        <v>46062</v>
      </c>
      <c r="D679" t="inlineStr">
        <is>
          <t>DALARNAS LÄN</t>
        </is>
      </c>
      <c r="E679" t="inlineStr">
        <is>
          <t>MORA</t>
        </is>
      </c>
      <c r="G679" t="n">
        <v>1.1</v>
      </c>
      <c r="H679" t="n">
        <v>0</v>
      </c>
      <c r="I679" t="n">
        <v>0</v>
      </c>
      <c r="J679" t="n">
        <v>0</v>
      </c>
      <c r="K679" t="n">
        <v>0</v>
      </c>
      <c r="L679" t="n">
        <v>0</v>
      </c>
      <c r="M679" t="n">
        <v>0</v>
      </c>
      <c r="N679" t="n">
        <v>0</v>
      </c>
      <c r="O679" t="n">
        <v>0</v>
      </c>
      <c r="P679" t="n">
        <v>0</v>
      </c>
      <c r="Q679" t="n">
        <v>0</v>
      </c>
      <c r="R679" s="2" t="inlineStr"/>
    </row>
    <row r="680" ht="15" customHeight="1">
      <c r="A680" t="inlineStr">
        <is>
          <t>A 8146-2021</t>
        </is>
      </c>
      <c r="B680" s="1" t="n">
        <v>44244</v>
      </c>
      <c r="C680" s="1" t="n">
        <v>46062</v>
      </c>
      <c r="D680" t="inlineStr">
        <is>
          <t>DALARNAS LÄN</t>
        </is>
      </c>
      <c r="E680" t="inlineStr">
        <is>
          <t>MORA</t>
        </is>
      </c>
      <c r="G680" t="n">
        <v>2.1</v>
      </c>
      <c r="H680" t="n">
        <v>0</v>
      </c>
      <c r="I680" t="n">
        <v>0</v>
      </c>
      <c r="J680" t="n">
        <v>0</v>
      </c>
      <c r="K680" t="n">
        <v>0</v>
      </c>
      <c r="L680" t="n">
        <v>0</v>
      </c>
      <c r="M680" t="n">
        <v>0</v>
      </c>
      <c r="N680" t="n">
        <v>0</v>
      </c>
      <c r="O680" t="n">
        <v>0</v>
      </c>
      <c r="P680" t="n">
        <v>0</v>
      </c>
      <c r="Q680" t="n">
        <v>0</v>
      </c>
      <c r="R680" s="2" t="inlineStr"/>
    </row>
    <row r="681" ht="15" customHeight="1">
      <c r="A681" t="inlineStr">
        <is>
          <t>A 49991-2023</t>
        </is>
      </c>
      <c r="B681" s="1" t="n">
        <v>45215.43879629629</v>
      </c>
      <c r="C681" s="1" t="n">
        <v>46062</v>
      </c>
      <c r="D681" t="inlineStr">
        <is>
          <t>DALARNAS LÄN</t>
        </is>
      </c>
      <c r="E681" t="inlineStr">
        <is>
          <t>MORA</t>
        </is>
      </c>
      <c r="G681" t="n">
        <v>1.8</v>
      </c>
      <c r="H681" t="n">
        <v>0</v>
      </c>
      <c r="I681" t="n">
        <v>0</v>
      </c>
      <c r="J681" t="n">
        <v>0</v>
      </c>
      <c r="K681" t="n">
        <v>0</v>
      </c>
      <c r="L681" t="n">
        <v>0</v>
      </c>
      <c r="M681" t="n">
        <v>0</v>
      </c>
      <c r="N681" t="n">
        <v>0</v>
      </c>
      <c r="O681" t="n">
        <v>0</v>
      </c>
      <c r="P681" t="n">
        <v>0</v>
      </c>
      <c r="Q681" t="n">
        <v>0</v>
      </c>
      <c r="R681" s="2" t="inlineStr"/>
    </row>
    <row r="682" ht="15" customHeight="1">
      <c r="A682" t="inlineStr">
        <is>
          <t>A 28131-2024</t>
        </is>
      </c>
      <c r="B682" s="1" t="n">
        <v>45476.68435185185</v>
      </c>
      <c r="C682" s="1" t="n">
        <v>46062</v>
      </c>
      <c r="D682" t="inlineStr">
        <is>
          <t>DALARNAS LÄN</t>
        </is>
      </c>
      <c r="E682" t="inlineStr">
        <is>
          <t>MORA</t>
        </is>
      </c>
      <c r="G682" t="n">
        <v>0.8</v>
      </c>
      <c r="H682" t="n">
        <v>0</v>
      </c>
      <c r="I682" t="n">
        <v>0</v>
      </c>
      <c r="J682" t="n">
        <v>0</v>
      </c>
      <c r="K682" t="n">
        <v>0</v>
      </c>
      <c r="L682" t="n">
        <v>0</v>
      </c>
      <c r="M682" t="n">
        <v>0</v>
      </c>
      <c r="N682" t="n">
        <v>0</v>
      </c>
      <c r="O682" t="n">
        <v>0</v>
      </c>
      <c r="P682" t="n">
        <v>0</v>
      </c>
      <c r="Q682" t="n">
        <v>0</v>
      </c>
      <c r="R682" s="2" t="inlineStr"/>
    </row>
    <row r="683" ht="15" customHeight="1">
      <c r="A683" t="inlineStr">
        <is>
          <t>A 28132-2024</t>
        </is>
      </c>
      <c r="B683" s="1" t="n">
        <v>45476.68616898148</v>
      </c>
      <c r="C683" s="1" t="n">
        <v>46062</v>
      </c>
      <c r="D683" t="inlineStr">
        <is>
          <t>DALARNAS LÄN</t>
        </is>
      </c>
      <c r="E683" t="inlineStr">
        <is>
          <t>MORA</t>
        </is>
      </c>
      <c r="G683" t="n">
        <v>0.2</v>
      </c>
      <c r="H683" t="n">
        <v>0</v>
      </c>
      <c r="I683" t="n">
        <v>0</v>
      </c>
      <c r="J683" t="n">
        <v>0</v>
      </c>
      <c r="K683" t="n">
        <v>0</v>
      </c>
      <c r="L683" t="n">
        <v>0</v>
      </c>
      <c r="M683" t="n">
        <v>0</v>
      </c>
      <c r="N683" t="n">
        <v>0</v>
      </c>
      <c r="O683" t="n">
        <v>0</v>
      </c>
      <c r="P683" t="n">
        <v>0</v>
      </c>
      <c r="Q683" t="n">
        <v>0</v>
      </c>
      <c r="R683" s="2" t="inlineStr"/>
    </row>
    <row r="684" ht="15" customHeight="1">
      <c r="A684" t="inlineStr">
        <is>
          <t>A 12987-2024</t>
        </is>
      </c>
      <c r="B684" s="1" t="n">
        <v>45385.55375</v>
      </c>
      <c r="C684" s="1" t="n">
        <v>46062</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48170-2024</t>
        </is>
      </c>
      <c r="B685" s="1" t="n">
        <v>45589.76975694444</v>
      </c>
      <c r="C685" s="1" t="n">
        <v>46062</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58892-2023</t>
        </is>
      </c>
      <c r="B686" s="1" t="n">
        <v>45252.48592592592</v>
      </c>
      <c r="C686" s="1" t="n">
        <v>46062</v>
      </c>
      <c r="D686" t="inlineStr">
        <is>
          <t>DALARNAS LÄN</t>
        </is>
      </c>
      <c r="E686" t="inlineStr">
        <is>
          <t>MORA</t>
        </is>
      </c>
      <c r="G686" t="n">
        <v>2.2</v>
      </c>
      <c r="H686" t="n">
        <v>0</v>
      </c>
      <c r="I686" t="n">
        <v>0</v>
      </c>
      <c r="J686" t="n">
        <v>0</v>
      </c>
      <c r="K686" t="n">
        <v>0</v>
      </c>
      <c r="L686" t="n">
        <v>0</v>
      </c>
      <c r="M686" t="n">
        <v>0</v>
      </c>
      <c r="N686" t="n">
        <v>0</v>
      </c>
      <c r="O686" t="n">
        <v>0</v>
      </c>
      <c r="P686" t="n">
        <v>0</v>
      </c>
      <c r="Q686" t="n">
        <v>0</v>
      </c>
      <c r="R686" s="2" t="inlineStr"/>
    </row>
    <row r="687" ht="15" customHeight="1">
      <c r="A687" t="inlineStr">
        <is>
          <t>A 27975-2023</t>
        </is>
      </c>
      <c r="B687" s="1" t="n">
        <v>45098</v>
      </c>
      <c r="C687" s="1" t="n">
        <v>46062</v>
      </c>
      <c r="D687" t="inlineStr">
        <is>
          <t>DALARNAS LÄN</t>
        </is>
      </c>
      <c r="E687" t="inlineStr">
        <is>
          <t>MORA</t>
        </is>
      </c>
      <c r="G687" t="n">
        <v>1.1</v>
      </c>
      <c r="H687" t="n">
        <v>0</v>
      </c>
      <c r="I687" t="n">
        <v>0</v>
      </c>
      <c r="J687" t="n">
        <v>0</v>
      </c>
      <c r="K687" t="n">
        <v>0</v>
      </c>
      <c r="L687" t="n">
        <v>0</v>
      </c>
      <c r="M687" t="n">
        <v>0</v>
      </c>
      <c r="N687" t="n">
        <v>0</v>
      </c>
      <c r="O687" t="n">
        <v>0</v>
      </c>
      <c r="P687" t="n">
        <v>0</v>
      </c>
      <c r="Q687" t="n">
        <v>0</v>
      </c>
      <c r="R687" s="2" t="inlineStr"/>
    </row>
    <row r="688" ht="15" customHeight="1">
      <c r="A688" t="inlineStr">
        <is>
          <t>A 55222-2023</t>
        </is>
      </c>
      <c r="B688" s="1" t="n">
        <v>45237.60775462963</v>
      </c>
      <c r="C688" s="1" t="n">
        <v>46062</v>
      </c>
      <c r="D688" t="inlineStr">
        <is>
          <t>DALARNAS LÄN</t>
        </is>
      </c>
      <c r="E688" t="inlineStr">
        <is>
          <t>MORA</t>
        </is>
      </c>
      <c r="F688" t="inlineStr">
        <is>
          <t>Allmännings- och besparingsskogar</t>
        </is>
      </c>
      <c r="G688" t="n">
        <v>19.8</v>
      </c>
      <c r="H688" t="n">
        <v>0</v>
      </c>
      <c r="I688" t="n">
        <v>0</v>
      </c>
      <c r="J688" t="n">
        <v>0</v>
      </c>
      <c r="K688" t="n">
        <v>0</v>
      </c>
      <c r="L688" t="n">
        <v>0</v>
      </c>
      <c r="M688" t="n">
        <v>0</v>
      </c>
      <c r="N688" t="n">
        <v>0</v>
      </c>
      <c r="O688" t="n">
        <v>0</v>
      </c>
      <c r="P688" t="n">
        <v>0</v>
      </c>
      <c r="Q688" t="n">
        <v>0</v>
      </c>
      <c r="R688" s="2" t="inlineStr"/>
    </row>
    <row r="689" ht="15" customHeight="1">
      <c r="A689" t="inlineStr">
        <is>
          <t>A 24772-2024</t>
        </is>
      </c>
      <c r="B689" s="1" t="n">
        <v>45460.70204861111</v>
      </c>
      <c r="C689" s="1" t="n">
        <v>46062</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5486-2023</t>
        </is>
      </c>
      <c r="B690" s="1" t="n">
        <v>44957</v>
      </c>
      <c r="C690" s="1" t="n">
        <v>46062</v>
      </c>
      <c r="D690" t="inlineStr">
        <is>
          <t>DALARNAS LÄN</t>
        </is>
      </c>
      <c r="E690" t="inlineStr">
        <is>
          <t>MORA</t>
        </is>
      </c>
      <c r="G690" t="n">
        <v>3.2</v>
      </c>
      <c r="H690" t="n">
        <v>0</v>
      </c>
      <c r="I690" t="n">
        <v>0</v>
      </c>
      <c r="J690" t="n">
        <v>0</v>
      </c>
      <c r="K690" t="n">
        <v>0</v>
      </c>
      <c r="L690" t="n">
        <v>0</v>
      </c>
      <c r="M690" t="n">
        <v>0</v>
      </c>
      <c r="N690" t="n">
        <v>0</v>
      </c>
      <c r="O690" t="n">
        <v>0</v>
      </c>
      <c r="P690" t="n">
        <v>0</v>
      </c>
      <c r="Q690" t="n">
        <v>0</v>
      </c>
      <c r="R690" s="2" t="inlineStr"/>
    </row>
    <row r="691" ht="15" customHeight="1">
      <c r="A691" t="inlineStr">
        <is>
          <t>A 42943-2024</t>
        </is>
      </c>
      <c r="B691" s="1" t="n">
        <v>45567.35359953704</v>
      </c>
      <c r="C691" s="1" t="n">
        <v>46062</v>
      </c>
      <c r="D691" t="inlineStr">
        <is>
          <t>DALARNAS LÄN</t>
        </is>
      </c>
      <c r="E691" t="inlineStr">
        <is>
          <t>MORA</t>
        </is>
      </c>
      <c r="G691" t="n">
        <v>0.5</v>
      </c>
      <c r="H691" t="n">
        <v>0</v>
      </c>
      <c r="I691" t="n">
        <v>0</v>
      </c>
      <c r="J691" t="n">
        <v>0</v>
      </c>
      <c r="K691" t="n">
        <v>0</v>
      </c>
      <c r="L691" t="n">
        <v>0</v>
      </c>
      <c r="M691" t="n">
        <v>0</v>
      </c>
      <c r="N691" t="n">
        <v>0</v>
      </c>
      <c r="O691" t="n">
        <v>0</v>
      </c>
      <c r="P691" t="n">
        <v>0</v>
      </c>
      <c r="Q691" t="n">
        <v>0</v>
      </c>
      <c r="R691" s="2" t="inlineStr"/>
    </row>
    <row r="692" ht="15" customHeight="1">
      <c r="A692" t="inlineStr">
        <is>
          <t>A 9855-2024</t>
        </is>
      </c>
      <c r="B692" s="1" t="n">
        <v>45363.40368055556</v>
      </c>
      <c r="C692" s="1" t="n">
        <v>46062</v>
      </c>
      <c r="D692" t="inlineStr">
        <is>
          <t>DALARNAS LÄN</t>
        </is>
      </c>
      <c r="E692" t="inlineStr">
        <is>
          <t>MORA</t>
        </is>
      </c>
      <c r="G692" t="n">
        <v>8.6</v>
      </c>
      <c r="H692" t="n">
        <v>0</v>
      </c>
      <c r="I692" t="n">
        <v>0</v>
      </c>
      <c r="J692" t="n">
        <v>0</v>
      </c>
      <c r="K692" t="n">
        <v>0</v>
      </c>
      <c r="L692" t="n">
        <v>0</v>
      </c>
      <c r="M692" t="n">
        <v>0</v>
      </c>
      <c r="N692" t="n">
        <v>0</v>
      </c>
      <c r="O692" t="n">
        <v>0</v>
      </c>
      <c r="P692" t="n">
        <v>0</v>
      </c>
      <c r="Q692" t="n">
        <v>0</v>
      </c>
      <c r="R692" s="2" t="inlineStr"/>
    </row>
    <row r="693" ht="15" customHeight="1">
      <c r="A693" t="inlineStr">
        <is>
          <t>A 21244-2024</t>
        </is>
      </c>
      <c r="B693" s="1" t="n">
        <v>45440.59936342593</v>
      </c>
      <c r="C693" s="1" t="n">
        <v>46062</v>
      </c>
      <c r="D693" t="inlineStr">
        <is>
          <t>DALARNAS LÄN</t>
        </is>
      </c>
      <c r="E693" t="inlineStr">
        <is>
          <t>MORA</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28964-2024</t>
        </is>
      </c>
      <c r="B694" s="1" t="n">
        <v>45481.42923611111</v>
      </c>
      <c r="C694" s="1" t="n">
        <v>46062</v>
      </c>
      <c r="D694" t="inlineStr">
        <is>
          <t>DALARNAS LÄN</t>
        </is>
      </c>
      <c r="E694" t="inlineStr">
        <is>
          <t>MORA</t>
        </is>
      </c>
      <c r="G694" t="n">
        <v>1.3</v>
      </c>
      <c r="H694" t="n">
        <v>0</v>
      </c>
      <c r="I694" t="n">
        <v>0</v>
      </c>
      <c r="J694" t="n">
        <v>0</v>
      </c>
      <c r="K694" t="n">
        <v>0</v>
      </c>
      <c r="L694" t="n">
        <v>0</v>
      </c>
      <c r="M694" t="n">
        <v>0</v>
      </c>
      <c r="N694" t="n">
        <v>0</v>
      </c>
      <c r="O694" t="n">
        <v>0</v>
      </c>
      <c r="P694" t="n">
        <v>0</v>
      </c>
      <c r="Q694" t="n">
        <v>0</v>
      </c>
      <c r="R694" s="2" t="inlineStr"/>
    </row>
    <row r="695" ht="15" customHeight="1">
      <c r="A695" t="inlineStr">
        <is>
          <t>A 30194-2024</t>
        </is>
      </c>
      <c r="B695" s="1" t="n">
        <v>45490.33387731481</v>
      </c>
      <c r="C695" s="1" t="n">
        <v>46062</v>
      </c>
      <c r="D695" t="inlineStr">
        <is>
          <t>DALARNAS LÄN</t>
        </is>
      </c>
      <c r="E695" t="inlineStr">
        <is>
          <t>MORA</t>
        </is>
      </c>
      <c r="G695" t="n">
        <v>3.1</v>
      </c>
      <c r="H695" t="n">
        <v>0</v>
      </c>
      <c r="I695" t="n">
        <v>0</v>
      </c>
      <c r="J695" t="n">
        <v>0</v>
      </c>
      <c r="K695" t="n">
        <v>0</v>
      </c>
      <c r="L695" t="n">
        <v>0</v>
      </c>
      <c r="M695" t="n">
        <v>0</v>
      </c>
      <c r="N695" t="n">
        <v>0</v>
      </c>
      <c r="O695" t="n">
        <v>0</v>
      </c>
      <c r="P695" t="n">
        <v>0</v>
      </c>
      <c r="Q695" t="n">
        <v>0</v>
      </c>
      <c r="R695" s="2" t="inlineStr"/>
    </row>
    <row r="696" ht="15" customHeight="1">
      <c r="A696" t="inlineStr">
        <is>
          <t>A 58177-2024</t>
        </is>
      </c>
      <c r="B696" s="1" t="n">
        <v>45632.46821759259</v>
      </c>
      <c r="C696" s="1" t="n">
        <v>46062</v>
      </c>
      <c r="D696" t="inlineStr">
        <is>
          <t>DALARNAS LÄN</t>
        </is>
      </c>
      <c r="E696" t="inlineStr">
        <is>
          <t>MORA</t>
        </is>
      </c>
      <c r="G696" t="n">
        <v>0.8</v>
      </c>
      <c r="H696" t="n">
        <v>0</v>
      </c>
      <c r="I696" t="n">
        <v>0</v>
      </c>
      <c r="J696" t="n">
        <v>0</v>
      </c>
      <c r="K696" t="n">
        <v>0</v>
      </c>
      <c r="L696" t="n">
        <v>0</v>
      </c>
      <c r="M696" t="n">
        <v>0</v>
      </c>
      <c r="N696" t="n">
        <v>0</v>
      </c>
      <c r="O696" t="n">
        <v>0</v>
      </c>
      <c r="P696" t="n">
        <v>0</v>
      </c>
      <c r="Q696" t="n">
        <v>0</v>
      </c>
      <c r="R696" s="2" t="inlineStr"/>
    </row>
    <row r="697" ht="15" customHeight="1">
      <c r="A697" t="inlineStr">
        <is>
          <t>A 45390-2024</t>
        </is>
      </c>
      <c r="B697" s="1" t="n">
        <v>45576.54820601852</v>
      </c>
      <c r="C697" s="1" t="n">
        <v>46062</v>
      </c>
      <c r="D697" t="inlineStr">
        <is>
          <t>DALARNAS LÄN</t>
        </is>
      </c>
      <c r="E697" t="inlineStr">
        <is>
          <t>MORA</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58089-2024</t>
        </is>
      </c>
      <c r="B698" s="1" t="n">
        <v>45632.34984953704</v>
      </c>
      <c r="C698" s="1" t="n">
        <v>46062</v>
      </c>
      <c r="D698" t="inlineStr">
        <is>
          <t>DALARNAS LÄN</t>
        </is>
      </c>
      <c r="E698" t="inlineStr">
        <is>
          <t>MORA</t>
        </is>
      </c>
      <c r="G698" t="n">
        <v>1.4</v>
      </c>
      <c r="H698" t="n">
        <v>0</v>
      </c>
      <c r="I698" t="n">
        <v>0</v>
      </c>
      <c r="J698" t="n">
        <v>0</v>
      </c>
      <c r="K698" t="n">
        <v>0</v>
      </c>
      <c r="L698" t="n">
        <v>0</v>
      </c>
      <c r="M698" t="n">
        <v>0</v>
      </c>
      <c r="N698" t="n">
        <v>0</v>
      </c>
      <c r="O698" t="n">
        <v>0</v>
      </c>
      <c r="P698" t="n">
        <v>0</v>
      </c>
      <c r="Q698" t="n">
        <v>0</v>
      </c>
      <c r="R698" s="2" t="inlineStr"/>
    </row>
    <row r="699" ht="15" customHeight="1">
      <c r="A699" t="inlineStr">
        <is>
          <t>A 4208-2023</t>
        </is>
      </c>
      <c r="B699" s="1" t="n">
        <v>44953</v>
      </c>
      <c r="C699" s="1" t="n">
        <v>46062</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4210-2023</t>
        </is>
      </c>
      <c r="B700" s="1" t="n">
        <v>44953.44965277778</v>
      </c>
      <c r="C700" s="1" t="n">
        <v>46062</v>
      </c>
      <c r="D700" t="inlineStr">
        <is>
          <t>DALARNAS LÄN</t>
        </is>
      </c>
      <c r="E700" t="inlineStr">
        <is>
          <t>MORA</t>
        </is>
      </c>
      <c r="G700" t="n">
        <v>0.9</v>
      </c>
      <c r="H700" t="n">
        <v>0</v>
      </c>
      <c r="I700" t="n">
        <v>0</v>
      </c>
      <c r="J700" t="n">
        <v>0</v>
      </c>
      <c r="K700" t="n">
        <v>0</v>
      </c>
      <c r="L700" t="n">
        <v>0</v>
      </c>
      <c r="M700" t="n">
        <v>0</v>
      </c>
      <c r="N700" t="n">
        <v>0</v>
      </c>
      <c r="O700" t="n">
        <v>0</v>
      </c>
      <c r="P700" t="n">
        <v>0</v>
      </c>
      <c r="Q700" t="n">
        <v>0</v>
      </c>
      <c r="R700" s="2" t="inlineStr"/>
    </row>
    <row r="701" ht="15" customHeight="1">
      <c r="A701" t="inlineStr">
        <is>
          <t>A 44769-2021</t>
        </is>
      </c>
      <c r="B701" s="1" t="n">
        <v>44438</v>
      </c>
      <c r="C701" s="1" t="n">
        <v>46062</v>
      </c>
      <c r="D701" t="inlineStr">
        <is>
          <t>DALARNAS LÄN</t>
        </is>
      </c>
      <c r="E701" t="inlineStr">
        <is>
          <t>MORA</t>
        </is>
      </c>
      <c r="G701" t="n">
        <v>0.9</v>
      </c>
      <c r="H701" t="n">
        <v>0</v>
      </c>
      <c r="I701" t="n">
        <v>0</v>
      </c>
      <c r="J701" t="n">
        <v>0</v>
      </c>
      <c r="K701" t="n">
        <v>0</v>
      </c>
      <c r="L701" t="n">
        <v>0</v>
      </c>
      <c r="M701" t="n">
        <v>0</v>
      </c>
      <c r="N701" t="n">
        <v>0</v>
      </c>
      <c r="O701" t="n">
        <v>0</v>
      </c>
      <c r="P701" t="n">
        <v>0</v>
      </c>
      <c r="Q701" t="n">
        <v>0</v>
      </c>
      <c r="R701" s="2" t="inlineStr"/>
    </row>
    <row r="702" ht="15" customHeight="1">
      <c r="A702" t="inlineStr">
        <is>
          <t>A 58036-2024</t>
        </is>
      </c>
      <c r="B702" s="1" t="n">
        <v>45631.71893518518</v>
      </c>
      <c r="C702" s="1" t="n">
        <v>46062</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3430-2023</t>
        </is>
      </c>
      <c r="B703" s="1" t="n">
        <v>44949.57856481482</v>
      </c>
      <c r="C703" s="1" t="n">
        <v>46062</v>
      </c>
      <c r="D703" t="inlineStr">
        <is>
          <t>DALARNAS LÄN</t>
        </is>
      </c>
      <c r="E703" t="inlineStr">
        <is>
          <t>MORA</t>
        </is>
      </c>
      <c r="G703" t="n">
        <v>2.6</v>
      </c>
      <c r="H703" t="n">
        <v>0</v>
      </c>
      <c r="I703" t="n">
        <v>0</v>
      </c>
      <c r="J703" t="n">
        <v>0</v>
      </c>
      <c r="K703" t="n">
        <v>0</v>
      </c>
      <c r="L703" t="n">
        <v>0</v>
      </c>
      <c r="M703" t="n">
        <v>0</v>
      </c>
      <c r="N703" t="n">
        <v>0</v>
      </c>
      <c r="O703" t="n">
        <v>0</v>
      </c>
      <c r="P703" t="n">
        <v>0</v>
      </c>
      <c r="Q703" t="n">
        <v>0</v>
      </c>
      <c r="R703" s="2" t="inlineStr"/>
    </row>
    <row r="704" ht="15" customHeight="1">
      <c r="A704" t="inlineStr">
        <is>
          <t>A 15172-2025</t>
        </is>
      </c>
      <c r="B704" s="1" t="n">
        <v>45744.50722222222</v>
      </c>
      <c r="C704" s="1" t="n">
        <v>46062</v>
      </c>
      <c r="D704" t="inlineStr">
        <is>
          <t>DALARNAS LÄN</t>
        </is>
      </c>
      <c r="E704" t="inlineStr">
        <is>
          <t>MORA</t>
        </is>
      </c>
      <c r="G704" t="n">
        <v>3.2</v>
      </c>
      <c r="H704" t="n">
        <v>0</v>
      </c>
      <c r="I704" t="n">
        <v>0</v>
      </c>
      <c r="J704" t="n">
        <v>0</v>
      </c>
      <c r="K704" t="n">
        <v>0</v>
      </c>
      <c r="L704" t="n">
        <v>0</v>
      </c>
      <c r="M704" t="n">
        <v>0</v>
      </c>
      <c r="N704" t="n">
        <v>0</v>
      </c>
      <c r="O704" t="n">
        <v>0</v>
      </c>
      <c r="P704" t="n">
        <v>0</v>
      </c>
      <c r="Q704" t="n">
        <v>0</v>
      </c>
      <c r="R704" s="2" t="inlineStr"/>
    </row>
    <row r="705" ht="15" customHeight="1">
      <c r="A705" t="inlineStr">
        <is>
          <t>A 39897-2022</t>
        </is>
      </c>
      <c r="B705" s="1" t="n">
        <v>44819.66083333334</v>
      </c>
      <c r="C705" s="1" t="n">
        <v>46062</v>
      </c>
      <c r="D705" t="inlineStr">
        <is>
          <t>DALARNAS LÄN</t>
        </is>
      </c>
      <c r="E705" t="inlineStr">
        <is>
          <t>MORA</t>
        </is>
      </c>
      <c r="G705" t="n">
        <v>15.8</v>
      </c>
      <c r="H705" t="n">
        <v>0</v>
      </c>
      <c r="I705" t="n">
        <v>0</v>
      </c>
      <c r="J705" t="n">
        <v>0</v>
      </c>
      <c r="K705" t="n">
        <v>0</v>
      </c>
      <c r="L705" t="n">
        <v>0</v>
      </c>
      <c r="M705" t="n">
        <v>0</v>
      </c>
      <c r="N705" t="n">
        <v>0</v>
      </c>
      <c r="O705" t="n">
        <v>0</v>
      </c>
      <c r="P705" t="n">
        <v>0</v>
      </c>
      <c r="Q705" t="n">
        <v>0</v>
      </c>
      <c r="R705" s="2" t="inlineStr"/>
    </row>
    <row r="706" ht="15" customHeight="1">
      <c r="A706" t="inlineStr">
        <is>
          <t>A 62853-2023</t>
        </is>
      </c>
      <c r="B706" s="1" t="n">
        <v>45272</v>
      </c>
      <c r="C706" s="1" t="n">
        <v>46062</v>
      </c>
      <c r="D706" t="inlineStr">
        <is>
          <t>DALARNAS LÄN</t>
        </is>
      </c>
      <c r="E706" t="inlineStr">
        <is>
          <t>MORA</t>
        </is>
      </c>
      <c r="G706" t="n">
        <v>13.6</v>
      </c>
      <c r="H706" t="n">
        <v>0</v>
      </c>
      <c r="I706" t="n">
        <v>0</v>
      </c>
      <c r="J706" t="n">
        <v>0</v>
      </c>
      <c r="K706" t="n">
        <v>0</v>
      </c>
      <c r="L706" t="n">
        <v>0</v>
      </c>
      <c r="M706" t="n">
        <v>0</v>
      </c>
      <c r="N706" t="n">
        <v>0</v>
      </c>
      <c r="O706" t="n">
        <v>0</v>
      </c>
      <c r="P706" t="n">
        <v>0</v>
      </c>
      <c r="Q706" t="n">
        <v>0</v>
      </c>
      <c r="R706" s="2" t="inlineStr"/>
    </row>
    <row r="707" ht="15" customHeight="1">
      <c r="A707" t="inlineStr">
        <is>
          <t>A 11919-2024</t>
        </is>
      </c>
      <c r="B707" s="1" t="n">
        <v>45376.61019675926</v>
      </c>
      <c r="C707" s="1" t="n">
        <v>46062</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1897-2023</t>
        </is>
      </c>
      <c r="B708" s="1" t="n">
        <v>44937</v>
      </c>
      <c r="C708" s="1" t="n">
        <v>46062</v>
      </c>
      <c r="D708" t="inlineStr">
        <is>
          <t>DALARNAS LÄN</t>
        </is>
      </c>
      <c r="E708" t="inlineStr">
        <is>
          <t>MORA</t>
        </is>
      </c>
      <c r="G708" t="n">
        <v>0.8</v>
      </c>
      <c r="H708" t="n">
        <v>0</v>
      </c>
      <c r="I708" t="n">
        <v>0</v>
      </c>
      <c r="J708" t="n">
        <v>0</v>
      </c>
      <c r="K708" t="n">
        <v>0</v>
      </c>
      <c r="L708" t="n">
        <v>0</v>
      </c>
      <c r="M708" t="n">
        <v>0</v>
      </c>
      <c r="N708" t="n">
        <v>0</v>
      </c>
      <c r="O708" t="n">
        <v>0</v>
      </c>
      <c r="P708" t="n">
        <v>0</v>
      </c>
      <c r="Q708" t="n">
        <v>0</v>
      </c>
      <c r="R708" s="2" t="inlineStr"/>
    </row>
    <row r="709" ht="15" customHeight="1">
      <c r="A709" t="inlineStr">
        <is>
          <t>A 37385-2022</t>
        </is>
      </c>
      <c r="B709" s="1" t="n">
        <v>44806</v>
      </c>
      <c r="C709" s="1" t="n">
        <v>46062</v>
      </c>
      <c r="D709" t="inlineStr">
        <is>
          <t>DALARNAS LÄN</t>
        </is>
      </c>
      <c r="E709" t="inlineStr">
        <is>
          <t>MORA</t>
        </is>
      </c>
      <c r="G709" t="n">
        <v>2.2</v>
      </c>
      <c r="H709" t="n">
        <v>0</v>
      </c>
      <c r="I709" t="n">
        <v>0</v>
      </c>
      <c r="J709" t="n">
        <v>0</v>
      </c>
      <c r="K709" t="n">
        <v>0</v>
      </c>
      <c r="L709" t="n">
        <v>0</v>
      </c>
      <c r="M709" t="n">
        <v>0</v>
      </c>
      <c r="N709" t="n">
        <v>0</v>
      </c>
      <c r="O709" t="n">
        <v>0</v>
      </c>
      <c r="P709" t="n">
        <v>0</v>
      </c>
      <c r="Q709" t="n">
        <v>0</v>
      </c>
      <c r="R709" s="2" t="inlineStr"/>
    </row>
    <row r="710" ht="15" customHeight="1">
      <c r="A710" t="inlineStr">
        <is>
          <t>A 42391-2023</t>
        </is>
      </c>
      <c r="B710" s="1" t="n">
        <v>45180</v>
      </c>
      <c r="C710" s="1" t="n">
        <v>46062</v>
      </c>
      <c r="D710" t="inlineStr">
        <is>
          <t>DALARNAS LÄN</t>
        </is>
      </c>
      <c r="E710" t="inlineStr">
        <is>
          <t>MORA</t>
        </is>
      </c>
      <c r="F710" t="inlineStr">
        <is>
          <t>Kommuner</t>
        </is>
      </c>
      <c r="G710" t="n">
        <v>0.3</v>
      </c>
      <c r="H710" t="n">
        <v>0</v>
      </c>
      <c r="I710" t="n">
        <v>0</v>
      </c>
      <c r="J710" t="n">
        <v>0</v>
      </c>
      <c r="K710" t="n">
        <v>0</v>
      </c>
      <c r="L710" t="n">
        <v>0</v>
      </c>
      <c r="M710" t="n">
        <v>0</v>
      </c>
      <c r="N710" t="n">
        <v>0</v>
      </c>
      <c r="O710" t="n">
        <v>0</v>
      </c>
      <c r="P710" t="n">
        <v>0</v>
      </c>
      <c r="Q710" t="n">
        <v>0</v>
      </c>
      <c r="R710" s="2" t="inlineStr"/>
    </row>
    <row r="711" ht="15" customHeight="1">
      <c r="A711" t="inlineStr">
        <is>
          <t>A 70141-2021</t>
        </is>
      </c>
      <c r="B711" s="1" t="n">
        <v>44533</v>
      </c>
      <c r="C711" s="1" t="n">
        <v>46062</v>
      </c>
      <c r="D711" t="inlineStr">
        <is>
          <t>DALARNAS LÄN</t>
        </is>
      </c>
      <c r="E711" t="inlineStr">
        <is>
          <t>MORA</t>
        </is>
      </c>
      <c r="G711" t="n">
        <v>4.1</v>
      </c>
      <c r="H711" t="n">
        <v>0</v>
      </c>
      <c r="I711" t="n">
        <v>0</v>
      </c>
      <c r="J711" t="n">
        <v>0</v>
      </c>
      <c r="K711" t="n">
        <v>0</v>
      </c>
      <c r="L711" t="n">
        <v>0</v>
      </c>
      <c r="M711" t="n">
        <v>0</v>
      </c>
      <c r="N711" t="n">
        <v>0</v>
      </c>
      <c r="O711" t="n">
        <v>0</v>
      </c>
      <c r="P711" t="n">
        <v>0</v>
      </c>
      <c r="Q711" t="n">
        <v>0</v>
      </c>
      <c r="R711" s="2" t="inlineStr"/>
    </row>
    <row r="712" ht="15" customHeight="1">
      <c r="A712" t="inlineStr">
        <is>
          <t>A 64093-2023</t>
        </is>
      </c>
      <c r="B712" s="1" t="n">
        <v>45279</v>
      </c>
      <c r="C712" s="1" t="n">
        <v>46062</v>
      </c>
      <c r="D712" t="inlineStr">
        <is>
          <t>DALARNAS LÄN</t>
        </is>
      </c>
      <c r="E712" t="inlineStr">
        <is>
          <t>MORA</t>
        </is>
      </c>
      <c r="G712" t="n">
        <v>0.9</v>
      </c>
      <c r="H712" t="n">
        <v>0</v>
      </c>
      <c r="I712" t="n">
        <v>0</v>
      </c>
      <c r="J712" t="n">
        <v>0</v>
      </c>
      <c r="K712" t="n">
        <v>0</v>
      </c>
      <c r="L712" t="n">
        <v>0</v>
      </c>
      <c r="M712" t="n">
        <v>0</v>
      </c>
      <c r="N712" t="n">
        <v>0</v>
      </c>
      <c r="O712" t="n">
        <v>0</v>
      </c>
      <c r="P712" t="n">
        <v>0</v>
      </c>
      <c r="Q712" t="n">
        <v>0</v>
      </c>
      <c r="R712" s="2" t="inlineStr"/>
    </row>
    <row r="713" ht="15" customHeight="1">
      <c r="A713" t="inlineStr">
        <is>
          <t>A 37471-2024</t>
        </is>
      </c>
      <c r="B713" s="1" t="n">
        <v>45540.85054398148</v>
      </c>
      <c r="C713" s="1" t="n">
        <v>46062</v>
      </c>
      <c r="D713" t="inlineStr">
        <is>
          <t>DALARNAS LÄN</t>
        </is>
      </c>
      <c r="E713" t="inlineStr">
        <is>
          <t>MORA</t>
        </is>
      </c>
      <c r="G713" t="n">
        <v>3.5</v>
      </c>
      <c r="H713" t="n">
        <v>0</v>
      </c>
      <c r="I713" t="n">
        <v>0</v>
      </c>
      <c r="J713" t="n">
        <v>0</v>
      </c>
      <c r="K713" t="n">
        <v>0</v>
      </c>
      <c r="L713" t="n">
        <v>0</v>
      </c>
      <c r="M713" t="n">
        <v>0</v>
      </c>
      <c r="N713" t="n">
        <v>0</v>
      </c>
      <c r="O713" t="n">
        <v>0</v>
      </c>
      <c r="P713" t="n">
        <v>0</v>
      </c>
      <c r="Q713" t="n">
        <v>0</v>
      </c>
      <c r="R713" s="2" t="inlineStr"/>
    </row>
    <row r="714" ht="15" customHeight="1">
      <c r="A714" t="inlineStr">
        <is>
          <t>A 14936-2025</t>
        </is>
      </c>
      <c r="B714" s="1" t="n">
        <v>45743.55756944444</v>
      </c>
      <c r="C714" s="1" t="n">
        <v>46062</v>
      </c>
      <c r="D714" t="inlineStr">
        <is>
          <t>DALARNAS LÄN</t>
        </is>
      </c>
      <c r="E714" t="inlineStr">
        <is>
          <t>MORA</t>
        </is>
      </c>
      <c r="G714" t="n">
        <v>2.4</v>
      </c>
      <c r="H714" t="n">
        <v>0</v>
      </c>
      <c r="I714" t="n">
        <v>0</v>
      </c>
      <c r="J714" t="n">
        <v>0</v>
      </c>
      <c r="K714" t="n">
        <v>0</v>
      </c>
      <c r="L714" t="n">
        <v>0</v>
      </c>
      <c r="M714" t="n">
        <v>0</v>
      </c>
      <c r="N714" t="n">
        <v>0</v>
      </c>
      <c r="O714" t="n">
        <v>0</v>
      </c>
      <c r="P714" t="n">
        <v>0</v>
      </c>
      <c r="Q714" t="n">
        <v>0</v>
      </c>
      <c r="R714" s="2" t="inlineStr"/>
    </row>
    <row r="715" ht="15" customHeight="1">
      <c r="A715" t="inlineStr">
        <is>
          <t>A 53344-2023</t>
        </is>
      </c>
      <c r="B715" s="1" t="n">
        <v>45229</v>
      </c>
      <c r="C715" s="1" t="n">
        <v>46062</v>
      </c>
      <c r="D715" t="inlineStr">
        <is>
          <t>DALARNAS LÄN</t>
        </is>
      </c>
      <c r="E715" t="inlineStr">
        <is>
          <t>MORA</t>
        </is>
      </c>
      <c r="G715" t="n">
        <v>2.4</v>
      </c>
      <c r="H715" t="n">
        <v>0</v>
      </c>
      <c r="I715" t="n">
        <v>0</v>
      </c>
      <c r="J715" t="n">
        <v>0</v>
      </c>
      <c r="K715" t="n">
        <v>0</v>
      </c>
      <c r="L715" t="n">
        <v>0</v>
      </c>
      <c r="M715" t="n">
        <v>0</v>
      </c>
      <c r="N715" t="n">
        <v>0</v>
      </c>
      <c r="O715" t="n">
        <v>0</v>
      </c>
      <c r="P715" t="n">
        <v>0</v>
      </c>
      <c r="Q715" t="n">
        <v>0</v>
      </c>
      <c r="R715" s="2" t="inlineStr"/>
    </row>
    <row r="716" ht="15" customHeight="1">
      <c r="A716" t="inlineStr">
        <is>
          <t>A 53754-2024</t>
        </is>
      </c>
      <c r="B716" s="1" t="n">
        <v>45615.49371527778</v>
      </c>
      <c r="C716" s="1" t="n">
        <v>46062</v>
      </c>
      <c r="D716" t="inlineStr">
        <is>
          <t>DALARNAS LÄN</t>
        </is>
      </c>
      <c r="E716" t="inlineStr">
        <is>
          <t>MORA</t>
        </is>
      </c>
      <c r="G716" t="n">
        <v>4.8</v>
      </c>
      <c r="H716" t="n">
        <v>0</v>
      </c>
      <c r="I716" t="n">
        <v>0</v>
      </c>
      <c r="J716" t="n">
        <v>0</v>
      </c>
      <c r="K716" t="n">
        <v>0</v>
      </c>
      <c r="L716" t="n">
        <v>0</v>
      </c>
      <c r="M716" t="n">
        <v>0</v>
      </c>
      <c r="N716" t="n">
        <v>0</v>
      </c>
      <c r="O716" t="n">
        <v>0</v>
      </c>
      <c r="P716" t="n">
        <v>0</v>
      </c>
      <c r="Q716" t="n">
        <v>0</v>
      </c>
      <c r="R716" s="2" t="inlineStr"/>
    </row>
    <row r="717" ht="15" customHeight="1">
      <c r="A717" t="inlineStr">
        <is>
          <t>A 14040-2023</t>
        </is>
      </c>
      <c r="B717" s="1" t="n">
        <v>45008.64575231481</v>
      </c>
      <c r="C717" s="1" t="n">
        <v>46062</v>
      </c>
      <c r="D717" t="inlineStr">
        <is>
          <t>DALARNAS LÄN</t>
        </is>
      </c>
      <c r="E717" t="inlineStr">
        <is>
          <t>MORA</t>
        </is>
      </c>
      <c r="G717" t="n">
        <v>1.3</v>
      </c>
      <c r="H717" t="n">
        <v>0</v>
      </c>
      <c r="I717" t="n">
        <v>0</v>
      </c>
      <c r="J717" t="n">
        <v>0</v>
      </c>
      <c r="K717" t="n">
        <v>0</v>
      </c>
      <c r="L717" t="n">
        <v>0</v>
      </c>
      <c r="M717" t="n">
        <v>0</v>
      </c>
      <c r="N717" t="n">
        <v>0</v>
      </c>
      <c r="O717" t="n">
        <v>0</v>
      </c>
      <c r="P717" t="n">
        <v>0</v>
      </c>
      <c r="Q717" t="n">
        <v>0</v>
      </c>
      <c r="R717" s="2" t="inlineStr"/>
    </row>
    <row r="718" ht="15" customHeight="1">
      <c r="A718" t="inlineStr">
        <is>
          <t>A 56770-2024</t>
        </is>
      </c>
      <c r="B718" s="1" t="n">
        <v>45628.41587962963</v>
      </c>
      <c r="C718" s="1" t="n">
        <v>46062</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18120-2025</t>
        </is>
      </c>
      <c r="B719" s="1" t="n">
        <v>45761</v>
      </c>
      <c r="C719" s="1" t="n">
        <v>46062</v>
      </c>
      <c r="D719" t="inlineStr">
        <is>
          <t>DALARNAS LÄN</t>
        </is>
      </c>
      <c r="E719" t="inlineStr">
        <is>
          <t>MORA</t>
        </is>
      </c>
      <c r="F719" t="inlineStr">
        <is>
          <t>Bergvik skog väst AB</t>
        </is>
      </c>
      <c r="G719" t="n">
        <v>6.4</v>
      </c>
      <c r="H719" t="n">
        <v>0</v>
      </c>
      <c r="I719" t="n">
        <v>0</v>
      </c>
      <c r="J719" t="n">
        <v>0</v>
      </c>
      <c r="K719" t="n">
        <v>0</v>
      </c>
      <c r="L719" t="n">
        <v>0</v>
      </c>
      <c r="M719" t="n">
        <v>0</v>
      </c>
      <c r="N719" t="n">
        <v>0</v>
      </c>
      <c r="O719" t="n">
        <v>0</v>
      </c>
      <c r="P719" t="n">
        <v>0</v>
      </c>
      <c r="Q719" t="n">
        <v>0</v>
      </c>
      <c r="R719" s="2" t="inlineStr"/>
    </row>
    <row r="720" ht="15" customHeight="1">
      <c r="A720" t="inlineStr">
        <is>
          <t>A 18127-2025</t>
        </is>
      </c>
      <c r="B720" s="1" t="n">
        <v>45761.59523148148</v>
      </c>
      <c r="C720" s="1" t="n">
        <v>46062</v>
      </c>
      <c r="D720" t="inlineStr">
        <is>
          <t>DALARNAS LÄN</t>
        </is>
      </c>
      <c r="E720" t="inlineStr">
        <is>
          <t>MORA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4489-2022</t>
        </is>
      </c>
      <c r="B721" s="1" t="n">
        <v>44589</v>
      </c>
      <c r="C721" s="1" t="n">
        <v>46062</v>
      </c>
      <c r="D721" t="inlineStr">
        <is>
          <t>DALARNAS LÄN</t>
        </is>
      </c>
      <c r="E721" t="inlineStr">
        <is>
          <t>MORA</t>
        </is>
      </c>
      <c r="G721" t="n">
        <v>0.7</v>
      </c>
      <c r="H721" t="n">
        <v>0</v>
      </c>
      <c r="I721" t="n">
        <v>0</v>
      </c>
      <c r="J721" t="n">
        <v>0</v>
      </c>
      <c r="K721" t="n">
        <v>0</v>
      </c>
      <c r="L721" t="n">
        <v>0</v>
      </c>
      <c r="M721" t="n">
        <v>0</v>
      </c>
      <c r="N721" t="n">
        <v>0</v>
      </c>
      <c r="O721" t="n">
        <v>0</v>
      </c>
      <c r="P721" t="n">
        <v>0</v>
      </c>
      <c r="Q721" t="n">
        <v>0</v>
      </c>
      <c r="R721" s="2" t="inlineStr"/>
    </row>
    <row r="722" ht="15" customHeight="1">
      <c r="A722" t="inlineStr">
        <is>
          <t>A 45574-2023</t>
        </is>
      </c>
      <c r="B722" s="1" t="n">
        <v>45194</v>
      </c>
      <c r="C722" s="1" t="n">
        <v>46062</v>
      </c>
      <c r="D722" t="inlineStr">
        <is>
          <t>DALARNAS LÄN</t>
        </is>
      </c>
      <c r="E722" t="inlineStr">
        <is>
          <t>MORA</t>
        </is>
      </c>
      <c r="G722" t="n">
        <v>6.3</v>
      </c>
      <c r="H722" t="n">
        <v>0</v>
      </c>
      <c r="I722" t="n">
        <v>0</v>
      </c>
      <c r="J722" t="n">
        <v>0</v>
      </c>
      <c r="K722" t="n">
        <v>0</v>
      </c>
      <c r="L722" t="n">
        <v>0</v>
      </c>
      <c r="M722" t="n">
        <v>0</v>
      </c>
      <c r="N722" t="n">
        <v>0</v>
      </c>
      <c r="O722" t="n">
        <v>0</v>
      </c>
      <c r="P722" t="n">
        <v>0</v>
      </c>
      <c r="Q722" t="n">
        <v>0</v>
      </c>
      <c r="R722" s="2" t="inlineStr"/>
    </row>
    <row r="723" ht="15" customHeight="1">
      <c r="A723" t="inlineStr">
        <is>
          <t>A 45315-2024</t>
        </is>
      </c>
      <c r="B723" s="1" t="n">
        <v>45576.43782407408</v>
      </c>
      <c r="C723" s="1" t="n">
        <v>46062</v>
      </c>
      <c r="D723" t="inlineStr">
        <is>
          <t>DALARNAS LÄN</t>
        </is>
      </c>
      <c r="E723" t="inlineStr">
        <is>
          <t>MORA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17172-2025</t>
        </is>
      </c>
      <c r="B724" s="1" t="n">
        <v>45756.37201388889</v>
      </c>
      <c r="C724" s="1" t="n">
        <v>46062</v>
      </c>
      <c r="D724" t="inlineStr">
        <is>
          <t>DALARNAS LÄN</t>
        </is>
      </c>
      <c r="E724" t="inlineStr">
        <is>
          <t>MORA</t>
        </is>
      </c>
      <c r="F724" t="inlineStr">
        <is>
          <t>Bergvik skog öst AB</t>
        </is>
      </c>
      <c r="G724" t="n">
        <v>0.5</v>
      </c>
      <c r="H724" t="n">
        <v>0</v>
      </c>
      <c r="I724" t="n">
        <v>0</v>
      </c>
      <c r="J724" t="n">
        <v>0</v>
      </c>
      <c r="K724" t="n">
        <v>0</v>
      </c>
      <c r="L724" t="n">
        <v>0</v>
      </c>
      <c r="M724" t="n">
        <v>0</v>
      </c>
      <c r="N724" t="n">
        <v>0</v>
      </c>
      <c r="O724" t="n">
        <v>0</v>
      </c>
      <c r="P724" t="n">
        <v>0</v>
      </c>
      <c r="Q724" t="n">
        <v>0</v>
      </c>
      <c r="R724" s="2" t="inlineStr"/>
    </row>
    <row r="725" ht="15" customHeight="1">
      <c r="A725" t="inlineStr">
        <is>
          <t>A 39009-2023</t>
        </is>
      </c>
      <c r="B725" s="1" t="n">
        <v>45162</v>
      </c>
      <c r="C725" s="1" t="n">
        <v>46062</v>
      </c>
      <c r="D725" t="inlineStr">
        <is>
          <t>DALARNAS LÄN</t>
        </is>
      </c>
      <c r="E725" t="inlineStr">
        <is>
          <t>MORA</t>
        </is>
      </c>
      <c r="G725" t="n">
        <v>1.9</v>
      </c>
      <c r="H725" t="n">
        <v>0</v>
      </c>
      <c r="I725" t="n">
        <v>0</v>
      </c>
      <c r="J725" t="n">
        <v>0</v>
      </c>
      <c r="K725" t="n">
        <v>0</v>
      </c>
      <c r="L725" t="n">
        <v>0</v>
      </c>
      <c r="M725" t="n">
        <v>0</v>
      </c>
      <c r="N725" t="n">
        <v>0</v>
      </c>
      <c r="O725" t="n">
        <v>0</v>
      </c>
      <c r="P725" t="n">
        <v>0</v>
      </c>
      <c r="Q725" t="n">
        <v>0</v>
      </c>
      <c r="R725" s="2" t="inlineStr"/>
    </row>
    <row r="726" ht="15" customHeight="1">
      <c r="A726" t="inlineStr">
        <is>
          <t>A 56532-2024</t>
        </is>
      </c>
      <c r="B726" s="1" t="n">
        <v>45625.55440972222</v>
      </c>
      <c r="C726" s="1" t="n">
        <v>46062</v>
      </c>
      <c r="D726" t="inlineStr">
        <is>
          <t>DALARNAS LÄN</t>
        </is>
      </c>
      <c r="E726" t="inlineStr">
        <is>
          <t>MORA</t>
        </is>
      </c>
      <c r="G726" t="n">
        <v>6.9</v>
      </c>
      <c r="H726" t="n">
        <v>0</v>
      </c>
      <c r="I726" t="n">
        <v>0</v>
      </c>
      <c r="J726" t="n">
        <v>0</v>
      </c>
      <c r="K726" t="n">
        <v>0</v>
      </c>
      <c r="L726" t="n">
        <v>0</v>
      </c>
      <c r="M726" t="n">
        <v>0</v>
      </c>
      <c r="N726" t="n">
        <v>0</v>
      </c>
      <c r="O726" t="n">
        <v>0</v>
      </c>
      <c r="P726" t="n">
        <v>0</v>
      </c>
      <c r="Q726" t="n">
        <v>0</v>
      </c>
      <c r="R726" s="2" t="inlineStr"/>
    </row>
    <row r="727" ht="15" customHeight="1">
      <c r="A727" t="inlineStr">
        <is>
          <t>A 5001-2025</t>
        </is>
      </c>
      <c r="B727" s="1" t="n">
        <v>45691.36403935185</v>
      </c>
      <c r="C727" s="1" t="n">
        <v>46062</v>
      </c>
      <c r="D727" t="inlineStr">
        <is>
          <t>DALARNAS LÄN</t>
        </is>
      </c>
      <c r="E727" t="inlineStr">
        <is>
          <t>MORA</t>
        </is>
      </c>
      <c r="G727" t="n">
        <v>1.3</v>
      </c>
      <c r="H727" t="n">
        <v>0</v>
      </c>
      <c r="I727" t="n">
        <v>0</v>
      </c>
      <c r="J727" t="n">
        <v>0</v>
      </c>
      <c r="K727" t="n">
        <v>0</v>
      </c>
      <c r="L727" t="n">
        <v>0</v>
      </c>
      <c r="M727" t="n">
        <v>0</v>
      </c>
      <c r="N727" t="n">
        <v>0</v>
      </c>
      <c r="O727" t="n">
        <v>0</v>
      </c>
      <c r="P727" t="n">
        <v>0</v>
      </c>
      <c r="Q727" t="n">
        <v>0</v>
      </c>
      <c r="R727" s="2" t="inlineStr"/>
    </row>
    <row r="728" ht="15" customHeight="1">
      <c r="A728" t="inlineStr">
        <is>
          <t>A 60360-2023</t>
        </is>
      </c>
      <c r="B728" s="1" t="n">
        <v>45259</v>
      </c>
      <c r="C728" s="1" t="n">
        <v>46062</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17164-2025</t>
        </is>
      </c>
      <c r="B729" s="1" t="n">
        <v>45756.36403935185</v>
      </c>
      <c r="C729" s="1" t="n">
        <v>46062</v>
      </c>
      <c r="D729" t="inlineStr">
        <is>
          <t>DALARNAS LÄN</t>
        </is>
      </c>
      <c r="E729" t="inlineStr">
        <is>
          <t>MORA</t>
        </is>
      </c>
      <c r="F729" t="inlineStr">
        <is>
          <t>Bergvik skog öst AB</t>
        </is>
      </c>
      <c r="G729" t="n">
        <v>0.3</v>
      </c>
      <c r="H729" t="n">
        <v>0</v>
      </c>
      <c r="I729" t="n">
        <v>0</v>
      </c>
      <c r="J729" t="n">
        <v>0</v>
      </c>
      <c r="K729" t="n">
        <v>0</v>
      </c>
      <c r="L729" t="n">
        <v>0</v>
      </c>
      <c r="M729" t="n">
        <v>0</v>
      </c>
      <c r="N729" t="n">
        <v>0</v>
      </c>
      <c r="O729" t="n">
        <v>0</v>
      </c>
      <c r="P729" t="n">
        <v>0</v>
      </c>
      <c r="Q729" t="n">
        <v>0</v>
      </c>
      <c r="R729" s="2" t="inlineStr"/>
    </row>
    <row r="730" ht="15" customHeight="1">
      <c r="A730" t="inlineStr">
        <is>
          <t>A 24768-2024</t>
        </is>
      </c>
      <c r="B730" s="1" t="n">
        <v>45460.69545138889</v>
      </c>
      <c r="C730" s="1" t="n">
        <v>46062</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17278-2025</t>
        </is>
      </c>
      <c r="B731" s="1" t="n">
        <v>45756.56131944444</v>
      </c>
      <c r="C731" s="1" t="n">
        <v>46062</v>
      </c>
      <c r="D731" t="inlineStr">
        <is>
          <t>DALARNAS LÄN</t>
        </is>
      </c>
      <c r="E731" t="inlineStr">
        <is>
          <t>MORA</t>
        </is>
      </c>
      <c r="G731" t="n">
        <v>3</v>
      </c>
      <c r="H731" t="n">
        <v>0</v>
      </c>
      <c r="I731" t="n">
        <v>0</v>
      </c>
      <c r="J731" t="n">
        <v>0</v>
      </c>
      <c r="K731" t="n">
        <v>0</v>
      </c>
      <c r="L731" t="n">
        <v>0</v>
      </c>
      <c r="M731" t="n">
        <v>0</v>
      </c>
      <c r="N731" t="n">
        <v>0</v>
      </c>
      <c r="O731" t="n">
        <v>0</v>
      </c>
      <c r="P731" t="n">
        <v>0</v>
      </c>
      <c r="Q731" t="n">
        <v>0</v>
      </c>
      <c r="R731" s="2" t="inlineStr"/>
    </row>
    <row r="732" ht="15" customHeight="1">
      <c r="A732" t="inlineStr">
        <is>
          <t>A 4209-2023</t>
        </is>
      </c>
      <c r="B732" s="1" t="n">
        <v>44953</v>
      </c>
      <c r="C732" s="1" t="n">
        <v>46062</v>
      </c>
      <c r="D732" t="inlineStr">
        <is>
          <t>DALARNAS LÄN</t>
        </is>
      </c>
      <c r="E732" t="inlineStr">
        <is>
          <t>MORA</t>
        </is>
      </c>
      <c r="G732" t="n">
        <v>1</v>
      </c>
      <c r="H732" t="n">
        <v>0</v>
      </c>
      <c r="I732" t="n">
        <v>0</v>
      </c>
      <c r="J732" t="n">
        <v>0</v>
      </c>
      <c r="K732" t="n">
        <v>0</v>
      </c>
      <c r="L732" t="n">
        <v>0</v>
      </c>
      <c r="M732" t="n">
        <v>0</v>
      </c>
      <c r="N732" t="n">
        <v>0</v>
      </c>
      <c r="O732" t="n">
        <v>0</v>
      </c>
      <c r="P732" t="n">
        <v>0</v>
      </c>
      <c r="Q732" t="n">
        <v>0</v>
      </c>
      <c r="R732" s="2" t="inlineStr"/>
    </row>
    <row r="733" ht="15" customHeight="1">
      <c r="A733" t="inlineStr">
        <is>
          <t>A 44205-2023</t>
        </is>
      </c>
      <c r="B733" s="1" t="n">
        <v>45188</v>
      </c>
      <c r="C733" s="1" t="n">
        <v>46062</v>
      </c>
      <c r="D733" t="inlineStr">
        <is>
          <t>DALARNAS LÄN</t>
        </is>
      </c>
      <c r="E733" t="inlineStr">
        <is>
          <t>MORA</t>
        </is>
      </c>
      <c r="G733" t="n">
        <v>0.7</v>
      </c>
      <c r="H733" t="n">
        <v>0</v>
      </c>
      <c r="I733" t="n">
        <v>0</v>
      </c>
      <c r="J733" t="n">
        <v>0</v>
      </c>
      <c r="K733" t="n">
        <v>0</v>
      </c>
      <c r="L733" t="n">
        <v>0</v>
      </c>
      <c r="M733" t="n">
        <v>0</v>
      </c>
      <c r="N733" t="n">
        <v>0</v>
      </c>
      <c r="O733" t="n">
        <v>0</v>
      </c>
      <c r="P733" t="n">
        <v>0</v>
      </c>
      <c r="Q733" t="n">
        <v>0</v>
      </c>
      <c r="R733" s="2" t="inlineStr"/>
    </row>
    <row r="734" ht="15" customHeight="1">
      <c r="A734" t="inlineStr">
        <is>
          <t>A 22732-2024</t>
        </is>
      </c>
      <c r="B734" s="1" t="n">
        <v>45448.38677083333</v>
      </c>
      <c r="C734" s="1" t="n">
        <v>46062</v>
      </c>
      <c r="D734" t="inlineStr">
        <is>
          <t>DALARNAS LÄN</t>
        </is>
      </c>
      <c r="E734" t="inlineStr">
        <is>
          <t>MORA</t>
        </is>
      </c>
      <c r="G734" t="n">
        <v>3.6</v>
      </c>
      <c r="H734" t="n">
        <v>0</v>
      </c>
      <c r="I734" t="n">
        <v>0</v>
      </c>
      <c r="J734" t="n">
        <v>0</v>
      </c>
      <c r="K734" t="n">
        <v>0</v>
      </c>
      <c r="L734" t="n">
        <v>0</v>
      </c>
      <c r="M734" t="n">
        <v>0</v>
      </c>
      <c r="N734" t="n">
        <v>0</v>
      </c>
      <c r="O734" t="n">
        <v>0</v>
      </c>
      <c r="P734" t="n">
        <v>0</v>
      </c>
      <c r="Q734" t="n">
        <v>0</v>
      </c>
      <c r="R734" s="2" t="inlineStr"/>
    </row>
    <row r="735" ht="15" customHeight="1">
      <c r="A735" t="inlineStr">
        <is>
          <t>A 19756-2022</t>
        </is>
      </c>
      <c r="B735" s="1" t="n">
        <v>44694.62913194444</v>
      </c>
      <c r="C735" s="1" t="n">
        <v>46062</v>
      </c>
      <c r="D735" t="inlineStr">
        <is>
          <t>DALARNAS LÄN</t>
        </is>
      </c>
      <c r="E735" t="inlineStr">
        <is>
          <t>MORA</t>
        </is>
      </c>
      <c r="G735" t="n">
        <v>1</v>
      </c>
      <c r="H735" t="n">
        <v>0</v>
      </c>
      <c r="I735" t="n">
        <v>0</v>
      </c>
      <c r="J735" t="n">
        <v>0</v>
      </c>
      <c r="K735" t="n">
        <v>0</v>
      </c>
      <c r="L735" t="n">
        <v>0</v>
      </c>
      <c r="M735" t="n">
        <v>0</v>
      </c>
      <c r="N735" t="n">
        <v>0</v>
      </c>
      <c r="O735" t="n">
        <v>0</v>
      </c>
      <c r="P735" t="n">
        <v>0</v>
      </c>
      <c r="Q735" t="n">
        <v>0</v>
      </c>
      <c r="R735" s="2" t="inlineStr"/>
    </row>
    <row r="736" ht="15" customHeight="1">
      <c r="A736" t="inlineStr">
        <is>
          <t>A 46801-2022</t>
        </is>
      </c>
      <c r="B736" s="1" t="n">
        <v>44851</v>
      </c>
      <c r="C736" s="1" t="n">
        <v>46062</v>
      </c>
      <c r="D736" t="inlineStr">
        <is>
          <t>DALARNAS LÄN</t>
        </is>
      </c>
      <c r="E736" t="inlineStr">
        <is>
          <t>MORA</t>
        </is>
      </c>
      <c r="G736" t="n">
        <v>1.5</v>
      </c>
      <c r="H736" t="n">
        <v>0</v>
      </c>
      <c r="I736" t="n">
        <v>0</v>
      </c>
      <c r="J736" t="n">
        <v>0</v>
      </c>
      <c r="K736" t="n">
        <v>0</v>
      </c>
      <c r="L736" t="n">
        <v>0</v>
      </c>
      <c r="M736" t="n">
        <v>0</v>
      </c>
      <c r="N736" t="n">
        <v>0</v>
      </c>
      <c r="O736" t="n">
        <v>0</v>
      </c>
      <c r="P736" t="n">
        <v>0</v>
      </c>
      <c r="Q736" t="n">
        <v>0</v>
      </c>
      <c r="R736" s="2" t="inlineStr"/>
    </row>
    <row r="737" ht="15" customHeight="1">
      <c r="A737" t="inlineStr">
        <is>
          <t>A 5644-2024</t>
        </is>
      </c>
      <c r="B737" s="1" t="n">
        <v>45334</v>
      </c>
      <c r="C737" s="1" t="n">
        <v>46062</v>
      </c>
      <c r="D737" t="inlineStr">
        <is>
          <t>DALARNAS LÄN</t>
        </is>
      </c>
      <c r="E737" t="inlineStr">
        <is>
          <t>MORA</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33627-2024</t>
        </is>
      </c>
      <c r="B738" s="1" t="n">
        <v>45520</v>
      </c>
      <c r="C738" s="1" t="n">
        <v>46062</v>
      </c>
      <c r="D738" t="inlineStr">
        <is>
          <t>DALARNAS LÄN</t>
        </is>
      </c>
      <c r="E738" t="inlineStr">
        <is>
          <t>MORA</t>
        </is>
      </c>
      <c r="G738" t="n">
        <v>1.1</v>
      </c>
      <c r="H738" t="n">
        <v>0</v>
      </c>
      <c r="I738" t="n">
        <v>0</v>
      </c>
      <c r="J738" t="n">
        <v>0</v>
      </c>
      <c r="K738" t="n">
        <v>0</v>
      </c>
      <c r="L738" t="n">
        <v>0</v>
      </c>
      <c r="M738" t="n">
        <v>0</v>
      </c>
      <c r="N738" t="n">
        <v>0</v>
      </c>
      <c r="O738" t="n">
        <v>0</v>
      </c>
      <c r="P738" t="n">
        <v>0</v>
      </c>
      <c r="Q738" t="n">
        <v>0</v>
      </c>
      <c r="R738" s="2" t="inlineStr"/>
    </row>
    <row r="739" ht="15" customHeight="1">
      <c r="A739" t="inlineStr">
        <is>
          <t>A 46923-2024</t>
        </is>
      </c>
      <c r="B739" s="1" t="n">
        <v>45584.42887731481</v>
      </c>
      <c r="C739" s="1" t="n">
        <v>46062</v>
      </c>
      <c r="D739" t="inlineStr">
        <is>
          <t>DALARNAS LÄN</t>
        </is>
      </c>
      <c r="E739" t="inlineStr">
        <is>
          <t>MORA</t>
        </is>
      </c>
      <c r="G739" t="n">
        <v>3.4</v>
      </c>
      <c r="H739" t="n">
        <v>0</v>
      </c>
      <c r="I739" t="n">
        <v>0</v>
      </c>
      <c r="J739" t="n">
        <v>0</v>
      </c>
      <c r="K739" t="n">
        <v>0</v>
      </c>
      <c r="L739" t="n">
        <v>0</v>
      </c>
      <c r="M739" t="n">
        <v>0</v>
      </c>
      <c r="N739" t="n">
        <v>0</v>
      </c>
      <c r="O739" t="n">
        <v>0</v>
      </c>
      <c r="P739" t="n">
        <v>0</v>
      </c>
      <c r="Q739" t="n">
        <v>0</v>
      </c>
      <c r="R739" s="2" t="inlineStr"/>
    </row>
    <row r="740" ht="15" customHeight="1">
      <c r="A740" t="inlineStr">
        <is>
          <t>A 39888-2024</t>
        </is>
      </c>
      <c r="B740" s="1" t="n">
        <v>45553.47538194444</v>
      </c>
      <c r="C740" s="1" t="n">
        <v>46062</v>
      </c>
      <c r="D740" t="inlineStr">
        <is>
          <t>DALARNAS LÄN</t>
        </is>
      </c>
      <c r="E740" t="inlineStr">
        <is>
          <t>MORA</t>
        </is>
      </c>
      <c r="G740" t="n">
        <v>5.4</v>
      </c>
      <c r="H740" t="n">
        <v>0</v>
      </c>
      <c r="I740" t="n">
        <v>0</v>
      </c>
      <c r="J740" t="n">
        <v>0</v>
      </c>
      <c r="K740" t="n">
        <v>0</v>
      </c>
      <c r="L740" t="n">
        <v>0</v>
      </c>
      <c r="M740" t="n">
        <v>0</v>
      </c>
      <c r="N740" t="n">
        <v>0</v>
      </c>
      <c r="O740" t="n">
        <v>0</v>
      </c>
      <c r="P740" t="n">
        <v>0</v>
      </c>
      <c r="Q740" t="n">
        <v>0</v>
      </c>
      <c r="R740" s="2" t="inlineStr"/>
    </row>
    <row r="741" ht="15" customHeight="1">
      <c r="A741" t="inlineStr">
        <is>
          <t>A 33666-2024</t>
        </is>
      </c>
      <c r="B741" s="1" t="n">
        <v>45520.48304398148</v>
      </c>
      <c r="C741" s="1" t="n">
        <v>46062</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20989-2024</t>
        </is>
      </c>
      <c r="B742" s="1" t="n">
        <v>45439</v>
      </c>
      <c r="C742" s="1" t="n">
        <v>46062</v>
      </c>
      <c r="D742" t="inlineStr">
        <is>
          <t>DALARNAS LÄN</t>
        </is>
      </c>
      <c r="E742" t="inlineStr">
        <is>
          <t>MORA</t>
        </is>
      </c>
      <c r="F742" t="inlineStr">
        <is>
          <t>Bergvik skog öst AB</t>
        </is>
      </c>
      <c r="G742" t="n">
        <v>14.7</v>
      </c>
      <c r="H742" t="n">
        <v>0</v>
      </c>
      <c r="I742" t="n">
        <v>0</v>
      </c>
      <c r="J742" t="n">
        <v>0</v>
      </c>
      <c r="K742" t="n">
        <v>0</v>
      </c>
      <c r="L742" t="n">
        <v>0</v>
      </c>
      <c r="M742" t="n">
        <v>0</v>
      </c>
      <c r="N742" t="n">
        <v>0</v>
      </c>
      <c r="O742" t="n">
        <v>0</v>
      </c>
      <c r="P742" t="n">
        <v>0</v>
      </c>
      <c r="Q742" t="n">
        <v>0</v>
      </c>
      <c r="R742" s="2" t="inlineStr"/>
    </row>
    <row r="743" ht="15" customHeight="1">
      <c r="A743" t="inlineStr">
        <is>
          <t>A 41812-2024</t>
        </is>
      </c>
      <c r="B743" s="1" t="n">
        <v>45561.3771412037</v>
      </c>
      <c r="C743" s="1" t="n">
        <v>46062</v>
      </c>
      <c r="D743" t="inlineStr">
        <is>
          <t>DALARNAS LÄN</t>
        </is>
      </c>
      <c r="E743" t="inlineStr">
        <is>
          <t>MORA</t>
        </is>
      </c>
      <c r="G743" t="n">
        <v>2.2</v>
      </c>
      <c r="H743" t="n">
        <v>0</v>
      </c>
      <c r="I743" t="n">
        <v>0</v>
      </c>
      <c r="J743" t="n">
        <v>0</v>
      </c>
      <c r="K743" t="n">
        <v>0</v>
      </c>
      <c r="L743" t="n">
        <v>0</v>
      </c>
      <c r="M743" t="n">
        <v>0</v>
      </c>
      <c r="N743" t="n">
        <v>0</v>
      </c>
      <c r="O743" t="n">
        <v>0</v>
      </c>
      <c r="P743" t="n">
        <v>0</v>
      </c>
      <c r="Q743" t="n">
        <v>0</v>
      </c>
      <c r="R743" s="2" t="inlineStr"/>
    </row>
    <row r="744" ht="15" customHeight="1">
      <c r="A744" t="inlineStr">
        <is>
          <t>A 51888-2024</t>
        </is>
      </c>
      <c r="B744" s="1" t="n">
        <v>45607.57142361111</v>
      </c>
      <c r="C744" s="1" t="n">
        <v>46062</v>
      </c>
      <c r="D744" t="inlineStr">
        <is>
          <t>DALARNAS LÄN</t>
        </is>
      </c>
      <c r="E744" t="inlineStr">
        <is>
          <t>MORA</t>
        </is>
      </c>
      <c r="G744" t="n">
        <v>0.9</v>
      </c>
      <c r="H744" t="n">
        <v>0</v>
      </c>
      <c r="I744" t="n">
        <v>0</v>
      </c>
      <c r="J744" t="n">
        <v>0</v>
      </c>
      <c r="K744" t="n">
        <v>0</v>
      </c>
      <c r="L744" t="n">
        <v>0</v>
      </c>
      <c r="M744" t="n">
        <v>0</v>
      </c>
      <c r="N744" t="n">
        <v>0</v>
      </c>
      <c r="O744" t="n">
        <v>0</v>
      </c>
      <c r="P744" t="n">
        <v>0</v>
      </c>
      <c r="Q744" t="n">
        <v>0</v>
      </c>
      <c r="R744" s="2" t="inlineStr"/>
    </row>
    <row r="745" ht="15" customHeight="1">
      <c r="A745" t="inlineStr">
        <is>
          <t>A 32721-2024</t>
        </is>
      </c>
      <c r="B745" s="1" t="n">
        <v>45516.40261574074</v>
      </c>
      <c r="C745" s="1" t="n">
        <v>46062</v>
      </c>
      <c r="D745" t="inlineStr">
        <is>
          <t>DALARNAS LÄN</t>
        </is>
      </c>
      <c r="E745" t="inlineStr">
        <is>
          <t>MORA</t>
        </is>
      </c>
      <c r="G745" t="n">
        <v>4.2</v>
      </c>
      <c r="H745" t="n">
        <v>0</v>
      </c>
      <c r="I745" t="n">
        <v>0</v>
      </c>
      <c r="J745" t="n">
        <v>0</v>
      </c>
      <c r="K745" t="n">
        <v>0</v>
      </c>
      <c r="L745" t="n">
        <v>0</v>
      </c>
      <c r="M745" t="n">
        <v>0</v>
      </c>
      <c r="N745" t="n">
        <v>0</v>
      </c>
      <c r="O745" t="n">
        <v>0</v>
      </c>
      <c r="P745" t="n">
        <v>0</v>
      </c>
      <c r="Q745" t="n">
        <v>0</v>
      </c>
      <c r="R745" s="2" t="inlineStr"/>
    </row>
    <row r="746" ht="15" customHeight="1">
      <c r="A746" t="inlineStr">
        <is>
          <t>A 8153-2021</t>
        </is>
      </c>
      <c r="B746" s="1" t="n">
        <v>44244</v>
      </c>
      <c r="C746" s="1" t="n">
        <v>46062</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25749-2023</t>
        </is>
      </c>
      <c r="B747" s="1" t="n">
        <v>45090</v>
      </c>
      <c r="C747" s="1" t="n">
        <v>46062</v>
      </c>
      <c r="D747" t="inlineStr">
        <is>
          <t>DALARNAS LÄN</t>
        </is>
      </c>
      <c r="E747" t="inlineStr">
        <is>
          <t>MORA</t>
        </is>
      </c>
      <c r="G747" t="n">
        <v>2.4</v>
      </c>
      <c r="H747" t="n">
        <v>0</v>
      </c>
      <c r="I747" t="n">
        <v>0</v>
      </c>
      <c r="J747" t="n">
        <v>0</v>
      </c>
      <c r="K747" t="n">
        <v>0</v>
      </c>
      <c r="L747" t="n">
        <v>0</v>
      </c>
      <c r="M747" t="n">
        <v>0</v>
      </c>
      <c r="N747" t="n">
        <v>0</v>
      </c>
      <c r="O747" t="n">
        <v>0</v>
      </c>
      <c r="P747" t="n">
        <v>0</v>
      </c>
      <c r="Q747" t="n">
        <v>0</v>
      </c>
      <c r="R747" s="2" t="inlineStr"/>
    </row>
    <row r="748" ht="15" customHeight="1">
      <c r="A748" t="inlineStr">
        <is>
          <t>A 40325-2024</t>
        </is>
      </c>
      <c r="B748" s="1" t="n">
        <v>45554.88538194444</v>
      </c>
      <c r="C748" s="1" t="n">
        <v>46062</v>
      </c>
      <c r="D748" t="inlineStr">
        <is>
          <t>DALARNAS LÄN</t>
        </is>
      </c>
      <c r="E748" t="inlineStr">
        <is>
          <t>MORA</t>
        </is>
      </c>
      <c r="G748" t="n">
        <v>2.8</v>
      </c>
      <c r="H748" t="n">
        <v>0</v>
      </c>
      <c r="I748" t="n">
        <v>0</v>
      </c>
      <c r="J748" t="n">
        <v>0</v>
      </c>
      <c r="K748" t="n">
        <v>0</v>
      </c>
      <c r="L748" t="n">
        <v>0</v>
      </c>
      <c r="M748" t="n">
        <v>0</v>
      </c>
      <c r="N748" t="n">
        <v>0</v>
      </c>
      <c r="O748" t="n">
        <v>0</v>
      </c>
      <c r="P748" t="n">
        <v>0</v>
      </c>
      <c r="Q748" t="n">
        <v>0</v>
      </c>
      <c r="R748" s="2" t="inlineStr"/>
    </row>
    <row r="749" ht="15" customHeight="1">
      <c r="A749" t="inlineStr">
        <is>
          <t>A 43964-2024</t>
        </is>
      </c>
      <c r="B749" s="1" t="n">
        <v>45572.48407407408</v>
      </c>
      <c r="C749" s="1" t="n">
        <v>46062</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51883-2024</t>
        </is>
      </c>
      <c r="B750" s="1" t="n">
        <v>45607</v>
      </c>
      <c r="C750" s="1" t="n">
        <v>46062</v>
      </c>
      <c r="D750" t="inlineStr">
        <is>
          <t>DALARNAS LÄN</t>
        </is>
      </c>
      <c r="E750" t="inlineStr">
        <is>
          <t>MORA</t>
        </is>
      </c>
      <c r="G750" t="n">
        <v>0.2</v>
      </c>
      <c r="H750" t="n">
        <v>0</v>
      </c>
      <c r="I750" t="n">
        <v>0</v>
      </c>
      <c r="J750" t="n">
        <v>0</v>
      </c>
      <c r="K750" t="n">
        <v>0</v>
      </c>
      <c r="L750" t="n">
        <v>0</v>
      </c>
      <c r="M750" t="n">
        <v>0</v>
      </c>
      <c r="N750" t="n">
        <v>0</v>
      </c>
      <c r="O750" t="n">
        <v>0</v>
      </c>
      <c r="P750" t="n">
        <v>0</v>
      </c>
      <c r="Q750" t="n">
        <v>0</v>
      </c>
      <c r="R750" s="2" t="inlineStr"/>
    </row>
    <row r="751" ht="15" customHeight="1">
      <c r="A751" t="inlineStr">
        <is>
          <t>A 42941-2024</t>
        </is>
      </c>
      <c r="B751" s="1" t="n">
        <v>45567.3515162037</v>
      </c>
      <c r="C751" s="1" t="n">
        <v>46062</v>
      </c>
      <c r="D751" t="inlineStr">
        <is>
          <t>DALARNAS LÄN</t>
        </is>
      </c>
      <c r="E751" t="inlineStr">
        <is>
          <t>MORA</t>
        </is>
      </c>
      <c r="G751" t="n">
        <v>1.6</v>
      </c>
      <c r="H751" t="n">
        <v>0</v>
      </c>
      <c r="I751" t="n">
        <v>0</v>
      </c>
      <c r="J751" t="n">
        <v>0</v>
      </c>
      <c r="K751" t="n">
        <v>0</v>
      </c>
      <c r="L751" t="n">
        <v>0</v>
      </c>
      <c r="M751" t="n">
        <v>0</v>
      </c>
      <c r="N751" t="n">
        <v>0</v>
      </c>
      <c r="O751" t="n">
        <v>0</v>
      </c>
      <c r="P751" t="n">
        <v>0</v>
      </c>
      <c r="Q751" t="n">
        <v>0</v>
      </c>
      <c r="R751" s="2" t="inlineStr"/>
    </row>
    <row r="752" ht="15" customHeight="1">
      <c r="A752" t="inlineStr">
        <is>
          <t>A 43873-2024</t>
        </is>
      </c>
      <c r="B752" s="1" t="n">
        <v>45572.38429398148</v>
      </c>
      <c r="C752" s="1" t="n">
        <v>46062</v>
      </c>
      <c r="D752" t="inlineStr">
        <is>
          <t>DALARNAS LÄN</t>
        </is>
      </c>
      <c r="E752" t="inlineStr">
        <is>
          <t>MORA</t>
        </is>
      </c>
      <c r="G752" t="n">
        <v>4.1</v>
      </c>
      <c r="H752" t="n">
        <v>0</v>
      </c>
      <c r="I752" t="n">
        <v>0</v>
      </c>
      <c r="J752" t="n">
        <v>0</v>
      </c>
      <c r="K752" t="n">
        <v>0</v>
      </c>
      <c r="L752" t="n">
        <v>0</v>
      </c>
      <c r="M752" t="n">
        <v>0</v>
      </c>
      <c r="N752" t="n">
        <v>0</v>
      </c>
      <c r="O752" t="n">
        <v>0</v>
      </c>
      <c r="P752" t="n">
        <v>0</v>
      </c>
      <c r="Q752" t="n">
        <v>0</v>
      </c>
      <c r="R752" s="2" t="inlineStr"/>
    </row>
    <row r="753" ht="15" customHeight="1">
      <c r="A753" t="inlineStr">
        <is>
          <t>A 14372-2025</t>
        </is>
      </c>
      <c r="B753" s="1" t="n">
        <v>45741.4050462963</v>
      </c>
      <c r="C753" s="1" t="n">
        <v>46062</v>
      </c>
      <c r="D753" t="inlineStr">
        <is>
          <t>DALARNAS LÄN</t>
        </is>
      </c>
      <c r="E753" t="inlineStr">
        <is>
          <t>MORA</t>
        </is>
      </c>
      <c r="G753" t="n">
        <v>5.1</v>
      </c>
      <c r="H753" t="n">
        <v>0</v>
      </c>
      <c r="I753" t="n">
        <v>0</v>
      </c>
      <c r="J753" t="n">
        <v>0</v>
      </c>
      <c r="K753" t="n">
        <v>0</v>
      </c>
      <c r="L753" t="n">
        <v>0</v>
      </c>
      <c r="M753" t="n">
        <v>0</v>
      </c>
      <c r="N753" t="n">
        <v>0</v>
      </c>
      <c r="O753" t="n">
        <v>0</v>
      </c>
      <c r="P753" t="n">
        <v>0</v>
      </c>
      <c r="Q753" t="n">
        <v>0</v>
      </c>
      <c r="R753" s="2" t="inlineStr"/>
    </row>
    <row r="754" ht="15" customHeight="1">
      <c r="A754" t="inlineStr">
        <is>
          <t>A 14378-2025</t>
        </is>
      </c>
      <c r="B754" s="1" t="n">
        <v>45741</v>
      </c>
      <c r="C754" s="1" t="n">
        <v>46062</v>
      </c>
      <c r="D754" t="inlineStr">
        <is>
          <t>DALARNAS LÄN</t>
        </is>
      </c>
      <c r="E754" t="inlineStr">
        <is>
          <t>MORA</t>
        </is>
      </c>
      <c r="G754" t="n">
        <v>5.2</v>
      </c>
      <c r="H754" t="n">
        <v>0</v>
      </c>
      <c r="I754" t="n">
        <v>0</v>
      </c>
      <c r="J754" t="n">
        <v>0</v>
      </c>
      <c r="K754" t="n">
        <v>0</v>
      </c>
      <c r="L754" t="n">
        <v>0</v>
      </c>
      <c r="M754" t="n">
        <v>0</v>
      </c>
      <c r="N754" t="n">
        <v>0</v>
      </c>
      <c r="O754" t="n">
        <v>0</v>
      </c>
      <c r="P754" t="n">
        <v>0</v>
      </c>
      <c r="Q754" t="n">
        <v>0</v>
      </c>
      <c r="R754" s="2" t="inlineStr"/>
    </row>
    <row r="755" ht="15" customHeight="1">
      <c r="A755" t="inlineStr">
        <is>
          <t>A 16733-2024</t>
        </is>
      </c>
      <c r="B755" s="1" t="n">
        <v>45410.78502314815</v>
      </c>
      <c r="C755" s="1" t="n">
        <v>46062</v>
      </c>
      <c r="D755" t="inlineStr">
        <is>
          <t>DALARNAS LÄN</t>
        </is>
      </c>
      <c r="E755" t="inlineStr">
        <is>
          <t>MORA</t>
        </is>
      </c>
      <c r="G755" t="n">
        <v>6.3</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45264.43802083333</v>
      </c>
      <c r="C756" s="1" t="n">
        <v>46062</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61218-2023</t>
        </is>
      </c>
      <c r="B757" s="1" t="n">
        <v>45264</v>
      </c>
      <c r="C757" s="1" t="n">
        <v>46062</v>
      </c>
      <c r="D757" t="inlineStr">
        <is>
          <t>DALARNAS LÄN</t>
        </is>
      </c>
      <c r="E757" t="inlineStr">
        <is>
          <t>MORA</t>
        </is>
      </c>
      <c r="F757" t="inlineStr">
        <is>
          <t>Allmännings- och besparingsskogar</t>
        </is>
      </c>
      <c r="G757" t="n">
        <v>2.6</v>
      </c>
      <c r="H757" t="n">
        <v>0</v>
      </c>
      <c r="I757" t="n">
        <v>0</v>
      </c>
      <c r="J757" t="n">
        <v>0</v>
      </c>
      <c r="K757" t="n">
        <v>0</v>
      </c>
      <c r="L757" t="n">
        <v>0</v>
      </c>
      <c r="M757" t="n">
        <v>0</v>
      </c>
      <c r="N757" t="n">
        <v>0</v>
      </c>
      <c r="O757" t="n">
        <v>0</v>
      </c>
      <c r="P757" t="n">
        <v>0</v>
      </c>
      <c r="Q757" t="n">
        <v>0</v>
      </c>
      <c r="R757" s="2" t="inlineStr"/>
    </row>
    <row r="758" ht="15" customHeight="1">
      <c r="A758" t="inlineStr">
        <is>
          <t>A 39348-2024</t>
        </is>
      </c>
      <c r="B758" s="1" t="n">
        <v>45551.45322916667</v>
      </c>
      <c r="C758" s="1" t="n">
        <v>46062</v>
      </c>
      <c r="D758" t="inlineStr">
        <is>
          <t>DALARNAS LÄN</t>
        </is>
      </c>
      <c r="E758" t="inlineStr">
        <is>
          <t>MORA</t>
        </is>
      </c>
      <c r="G758" t="n">
        <v>0.5</v>
      </c>
      <c r="H758" t="n">
        <v>0</v>
      </c>
      <c r="I758" t="n">
        <v>0</v>
      </c>
      <c r="J758" t="n">
        <v>0</v>
      </c>
      <c r="K758" t="n">
        <v>0</v>
      </c>
      <c r="L758" t="n">
        <v>0</v>
      </c>
      <c r="M758" t="n">
        <v>0</v>
      </c>
      <c r="N758" t="n">
        <v>0</v>
      </c>
      <c r="O758" t="n">
        <v>0</v>
      </c>
      <c r="P758" t="n">
        <v>0</v>
      </c>
      <c r="Q758" t="n">
        <v>0</v>
      </c>
      <c r="R758" s="2" t="inlineStr"/>
    </row>
    <row r="759" ht="15" customHeight="1">
      <c r="A759" t="inlineStr">
        <is>
          <t>A 54903-2024</t>
        </is>
      </c>
      <c r="B759" s="1" t="n">
        <v>45618</v>
      </c>
      <c r="C759" s="1" t="n">
        <v>46062</v>
      </c>
      <c r="D759" t="inlineStr">
        <is>
          <t>DALARNAS LÄN</t>
        </is>
      </c>
      <c r="E759" t="inlineStr">
        <is>
          <t>MORA</t>
        </is>
      </c>
      <c r="G759" t="n">
        <v>28.2</v>
      </c>
      <c r="H759" t="n">
        <v>0</v>
      </c>
      <c r="I759" t="n">
        <v>0</v>
      </c>
      <c r="J759" t="n">
        <v>0</v>
      </c>
      <c r="K759" t="n">
        <v>0</v>
      </c>
      <c r="L759" t="n">
        <v>0</v>
      </c>
      <c r="M759" t="n">
        <v>0</v>
      </c>
      <c r="N759" t="n">
        <v>0</v>
      </c>
      <c r="O759" t="n">
        <v>0</v>
      </c>
      <c r="P759" t="n">
        <v>0</v>
      </c>
      <c r="Q759" t="n">
        <v>0</v>
      </c>
      <c r="R759" s="2" t="inlineStr"/>
    </row>
    <row r="760" ht="15" customHeight="1">
      <c r="A760" t="inlineStr">
        <is>
          <t>A 23302-2024</t>
        </is>
      </c>
      <c r="B760" s="1" t="n">
        <v>45453.44091435185</v>
      </c>
      <c r="C760" s="1" t="n">
        <v>46062</v>
      </c>
      <c r="D760" t="inlineStr">
        <is>
          <t>DALARNAS LÄN</t>
        </is>
      </c>
      <c r="E760" t="inlineStr">
        <is>
          <t>MORA</t>
        </is>
      </c>
      <c r="G760" t="n">
        <v>1.3</v>
      </c>
      <c r="H760" t="n">
        <v>0</v>
      </c>
      <c r="I760" t="n">
        <v>0</v>
      </c>
      <c r="J760" t="n">
        <v>0</v>
      </c>
      <c r="K760" t="n">
        <v>0</v>
      </c>
      <c r="L760" t="n">
        <v>0</v>
      </c>
      <c r="M760" t="n">
        <v>0</v>
      </c>
      <c r="N760" t="n">
        <v>0</v>
      </c>
      <c r="O760" t="n">
        <v>0</v>
      </c>
      <c r="P760" t="n">
        <v>0</v>
      </c>
      <c r="Q760" t="n">
        <v>0</v>
      </c>
      <c r="R760" s="2" t="inlineStr"/>
    </row>
    <row r="761" ht="15" customHeight="1">
      <c r="A761" t="inlineStr">
        <is>
          <t>A 16573-2024</t>
        </is>
      </c>
      <c r="B761" s="1" t="n">
        <v>45408.46980324074</v>
      </c>
      <c r="C761" s="1" t="n">
        <v>46062</v>
      </c>
      <c r="D761" t="inlineStr">
        <is>
          <t>DALARNAS LÄN</t>
        </is>
      </c>
      <c r="E761" t="inlineStr">
        <is>
          <t>MORA</t>
        </is>
      </c>
      <c r="G761" t="n">
        <v>4.5</v>
      </c>
      <c r="H761" t="n">
        <v>0</v>
      </c>
      <c r="I761" t="n">
        <v>0</v>
      </c>
      <c r="J761" t="n">
        <v>0</v>
      </c>
      <c r="K761" t="n">
        <v>0</v>
      </c>
      <c r="L761" t="n">
        <v>0</v>
      </c>
      <c r="M761" t="n">
        <v>0</v>
      </c>
      <c r="N761" t="n">
        <v>0</v>
      </c>
      <c r="O761" t="n">
        <v>0</v>
      </c>
      <c r="P761" t="n">
        <v>0</v>
      </c>
      <c r="Q761" t="n">
        <v>0</v>
      </c>
      <c r="R761" s="2" t="inlineStr"/>
    </row>
    <row r="762" ht="15" customHeight="1">
      <c r="A762" t="inlineStr">
        <is>
          <t>A 21894-2025</t>
        </is>
      </c>
      <c r="B762" s="1" t="n">
        <v>45784.45060185185</v>
      </c>
      <c r="C762" s="1" t="n">
        <v>46062</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21890-2025</t>
        </is>
      </c>
      <c r="B763" s="1" t="n">
        <v>45784.44481481481</v>
      </c>
      <c r="C763" s="1" t="n">
        <v>46062</v>
      </c>
      <c r="D763" t="inlineStr">
        <is>
          <t>DALARNAS LÄN</t>
        </is>
      </c>
      <c r="E763" t="inlineStr">
        <is>
          <t>MORA</t>
        </is>
      </c>
      <c r="G763" t="n">
        <v>3.8</v>
      </c>
      <c r="H763" t="n">
        <v>0</v>
      </c>
      <c r="I763" t="n">
        <v>0</v>
      </c>
      <c r="J763" t="n">
        <v>0</v>
      </c>
      <c r="K763" t="n">
        <v>0</v>
      </c>
      <c r="L763" t="n">
        <v>0</v>
      </c>
      <c r="M763" t="n">
        <v>0</v>
      </c>
      <c r="N763" t="n">
        <v>0</v>
      </c>
      <c r="O763" t="n">
        <v>0</v>
      </c>
      <c r="P763" t="n">
        <v>0</v>
      </c>
      <c r="Q763" t="n">
        <v>0</v>
      </c>
      <c r="R763" s="2" t="inlineStr"/>
    </row>
    <row r="764" ht="15" customHeight="1">
      <c r="A764" t="inlineStr">
        <is>
          <t>A 21895-2025</t>
        </is>
      </c>
      <c r="B764" s="1" t="n">
        <v>45784.45273148148</v>
      </c>
      <c r="C764" s="1" t="n">
        <v>46062</v>
      </c>
      <c r="D764" t="inlineStr">
        <is>
          <t>DALARNAS LÄN</t>
        </is>
      </c>
      <c r="E764" t="inlineStr">
        <is>
          <t>MORA</t>
        </is>
      </c>
      <c r="G764" t="n">
        <v>0.4</v>
      </c>
      <c r="H764" t="n">
        <v>0</v>
      </c>
      <c r="I764" t="n">
        <v>0</v>
      </c>
      <c r="J764" t="n">
        <v>0</v>
      </c>
      <c r="K764" t="n">
        <v>0</v>
      </c>
      <c r="L764" t="n">
        <v>0</v>
      </c>
      <c r="M764" t="n">
        <v>0</v>
      </c>
      <c r="N764" t="n">
        <v>0</v>
      </c>
      <c r="O764" t="n">
        <v>0</v>
      </c>
      <c r="P764" t="n">
        <v>0</v>
      </c>
      <c r="Q764" t="n">
        <v>0</v>
      </c>
      <c r="R764" s="2" t="inlineStr"/>
    </row>
    <row r="765" ht="15" customHeight="1">
      <c r="A765" t="inlineStr">
        <is>
          <t>A 22354-2025</t>
        </is>
      </c>
      <c r="B765" s="1" t="n">
        <v>45786.45721064815</v>
      </c>
      <c r="C765" s="1" t="n">
        <v>46062</v>
      </c>
      <c r="D765" t="inlineStr">
        <is>
          <t>DALARNAS LÄN</t>
        </is>
      </c>
      <c r="E765" t="inlineStr">
        <is>
          <t>MORA</t>
        </is>
      </c>
      <c r="F765" t="inlineStr">
        <is>
          <t>Bergvik skog öst AB</t>
        </is>
      </c>
      <c r="G765" t="n">
        <v>2</v>
      </c>
      <c r="H765" t="n">
        <v>0</v>
      </c>
      <c r="I765" t="n">
        <v>0</v>
      </c>
      <c r="J765" t="n">
        <v>0</v>
      </c>
      <c r="K765" t="n">
        <v>0</v>
      </c>
      <c r="L765" t="n">
        <v>0</v>
      </c>
      <c r="M765" t="n">
        <v>0</v>
      </c>
      <c r="N765" t="n">
        <v>0</v>
      </c>
      <c r="O765" t="n">
        <v>0</v>
      </c>
      <c r="P765" t="n">
        <v>0</v>
      </c>
      <c r="Q765" t="n">
        <v>0</v>
      </c>
      <c r="R765" s="2" t="inlineStr"/>
    </row>
    <row r="766" ht="15" customHeight="1">
      <c r="A766" t="inlineStr">
        <is>
          <t>A 22409-2025</t>
        </is>
      </c>
      <c r="B766" s="1" t="n">
        <v>45786.54940972223</v>
      </c>
      <c r="C766" s="1" t="n">
        <v>46062</v>
      </c>
      <c r="D766" t="inlineStr">
        <is>
          <t>DALARNAS LÄN</t>
        </is>
      </c>
      <c r="E766" t="inlineStr">
        <is>
          <t>MORA</t>
        </is>
      </c>
      <c r="F766" t="inlineStr">
        <is>
          <t>Bergvik skog öst AB</t>
        </is>
      </c>
      <c r="G766" t="n">
        <v>5</v>
      </c>
      <c r="H766" t="n">
        <v>0</v>
      </c>
      <c r="I766" t="n">
        <v>0</v>
      </c>
      <c r="J766" t="n">
        <v>0</v>
      </c>
      <c r="K766" t="n">
        <v>0</v>
      </c>
      <c r="L766" t="n">
        <v>0</v>
      </c>
      <c r="M766" t="n">
        <v>0</v>
      </c>
      <c r="N766" t="n">
        <v>0</v>
      </c>
      <c r="O766" t="n">
        <v>0</v>
      </c>
      <c r="P766" t="n">
        <v>0</v>
      </c>
      <c r="Q766" t="n">
        <v>0</v>
      </c>
      <c r="R766" s="2" t="inlineStr"/>
    </row>
    <row r="767" ht="15" customHeight="1">
      <c r="A767" t="inlineStr">
        <is>
          <t>A 23368-2025</t>
        </is>
      </c>
      <c r="B767" s="1" t="n">
        <v>45791.70299768518</v>
      </c>
      <c r="C767" s="1" t="n">
        <v>46062</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56935-2024</t>
        </is>
      </c>
      <c r="B768" s="1" t="n">
        <v>45625</v>
      </c>
      <c r="C768" s="1" t="n">
        <v>46062</v>
      </c>
      <c r="D768" t="inlineStr">
        <is>
          <t>DALARNAS LÄN</t>
        </is>
      </c>
      <c r="E768" t="inlineStr">
        <is>
          <t>MORA</t>
        </is>
      </c>
      <c r="G768" t="n">
        <v>1.1</v>
      </c>
      <c r="H768" t="n">
        <v>0</v>
      </c>
      <c r="I768" t="n">
        <v>0</v>
      </c>
      <c r="J768" t="n">
        <v>0</v>
      </c>
      <c r="K768" t="n">
        <v>0</v>
      </c>
      <c r="L768" t="n">
        <v>0</v>
      </c>
      <c r="M768" t="n">
        <v>0</v>
      </c>
      <c r="N768" t="n">
        <v>0</v>
      </c>
      <c r="O768" t="n">
        <v>0</v>
      </c>
      <c r="P768" t="n">
        <v>0</v>
      </c>
      <c r="Q768" t="n">
        <v>0</v>
      </c>
      <c r="R768" s="2" t="inlineStr"/>
    </row>
    <row r="769" ht="15" customHeight="1">
      <c r="A769" t="inlineStr">
        <is>
          <t>A 56927-2024</t>
        </is>
      </c>
      <c r="B769" s="1" t="n">
        <v>45625</v>
      </c>
      <c r="C769" s="1" t="n">
        <v>46062</v>
      </c>
      <c r="D769" t="inlineStr">
        <is>
          <t>DALARNAS LÄN</t>
        </is>
      </c>
      <c r="E769" t="inlineStr">
        <is>
          <t>MORA</t>
        </is>
      </c>
      <c r="G769" t="n">
        <v>2.8</v>
      </c>
      <c r="H769" t="n">
        <v>0</v>
      </c>
      <c r="I769" t="n">
        <v>0</v>
      </c>
      <c r="J769" t="n">
        <v>0</v>
      </c>
      <c r="K769" t="n">
        <v>0</v>
      </c>
      <c r="L769" t="n">
        <v>0</v>
      </c>
      <c r="M769" t="n">
        <v>0</v>
      </c>
      <c r="N769" t="n">
        <v>0</v>
      </c>
      <c r="O769" t="n">
        <v>0</v>
      </c>
      <c r="P769" t="n">
        <v>0</v>
      </c>
      <c r="Q769" t="n">
        <v>0</v>
      </c>
      <c r="R769" s="2" t="inlineStr"/>
    </row>
    <row r="770" ht="15" customHeight="1">
      <c r="A770" t="inlineStr">
        <is>
          <t>A 22185-2025</t>
        </is>
      </c>
      <c r="B770" s="1" t="n">
        <v>45785</v>
      </c>
      <c r="C770" s="1" t="n">
        <v>46062</v>
      </c>
      <c r="D770" t="inlineStr">
        <is>
          <t>DALARNAS LÄN</t>
        </is>
      </c>
      <c r="E770" t="inlineStr">
        <is>
          <t>MORA</t>
        </is>
      </c>
      <c r="G770" t="n">
        <v>2.4</v>
      </c>
      <c r="H770" t="n">
        <v>0</v>
      </c>
      <c r="I770" t="n">
        <v>0</v>
      </c>
      <c r="J770" t="n">
        <v>0</v>
      </c>
      <c r="K770" t="n">
        <v>0</v>
      </c>
      <c r="L770" t="n">
        <v>0</v>
      </c>
      <c r="M770" t="n">
        <v>0</v>
      </c>
      <c r="N770" t="n">
        <v>0</v>
      </c>
      <c r="O770" t="n">
        <v>0</v>
      </c>
      <c r="P770" t="n">
        <v>0</v>
      </c>
      <c r="Q770" t="n">
        <v>0</v>
      </c>
      <c r="R770" s="2" t="inlineStr"/>
    </row>
    <row r="771" ht="15" customHeight="1">
      <c r="A771" t="inlineStr">
        <is>
          <t>A 59404-2024</t>
        </is>
      </c>
      <c r="B771" s="1" t="n">
        <v>45638</v>
      </c>
      <c r="C771" s="1" t="n">
        <v>46062</v>
      </c>
      <c r="D771" t="inlineStr">
        <is>
          <t>DALARNAS LÄN</t>
        </is>
      </c>
      <c r="E771" t="inlineStr">
        <is>
          <t>MORA</t>
        </is>
      </c>
      <c r="G771" t="n">
        <v>2.6</v>
      </c>
      <c r="H771" t="n">
        <v>0</v>
      </c>
      <c r="I771" t="n">
        <v>0</v>
      </c>
      <c r="J771" t="n">
        <v>0</v>
      </c>
      <c r="K771" t="n">
        <v>0</v>
      </c>
      <c r="L771" t="n">
        <v>0</v>
      </c>
      <c r="M771" t="n">
        <v>0</v>
      </c>
      <c r="N771" t="n">
        <v>0</v>
      </c>
      <c r="O771" t="n">
        <v>0</v>
      </c>
      <c r="P771" t="n">
        <v>0</v>
      </c>
      <c r="Q771" t="n">
        <v>0</v>
      </c>
      <c r="R771" s="2" t="inlineStr"/>
    </row>
    <row r="772" ht="15" customHeight="1">
      <c r="A772" t="inlineStr">
        <is>
          <t>A 11193-2025</t>
        </is>
      </c>
      <c r="B772" s="1" t="n">
        <v>45725</v>
      </c>
      <c r="C772" s="1" t="n">
        <v>46062</v>
      </c>
      <c r="D772" t="inlineStr">
        <is>
          <t>DALARNAS LÄN</t>
        </is>
      </c>
      <c r="E772" t="inlineStr">
        <is>
          <t>MORA</t>
        </is>
      </c>
      <c r="G772" t="n">
        <v>4.1</v>
      </c>
      <c r="H772" t="n">
        <v>0</v>
      </c>
      <c r="I772" t="n">
        <v>0</v>
      </c>
      <c r="J772" t="n">
        <v>0</v>
      </c>
      <c r="K772" t="n">
        <v>0</v>
      </c>
      <c r="L772" t="n">
        <v>0</v>
      </c>
      <c r="M772" t="n">
        <v>0</v>
      </c>
      <c r="N772" t="n">
        <v>0</v>
      </c>
      <c r="O772" t="n">
        <v>0</v>
      </c>
      <c r="P772" t="n">
        <v>0</v>
      </c>
      <c r="Q772" t="n">
        <v>0</v>
      </c>
      <c r="R772" s="2" t="inlineStr"/>
    </row>
    <row r="773" ht="15" customHeight="1">
      <c r="A773" t="inlineStr">
        <is>
          <t>A 56900-2024</t>
        </is>
      </c>
      <c r="B773" s="1" t="n">
        <v>45625</v>
      </c>
      <c r="C773" s="1" t="n">
        <v>46062</v>
      </c>
      <c r="D773" t="inlineStr">
        <is>
          <t>DALARNAS LÄN</t>
        </is>
      </c>
      <c r="E773" t="inlineStr">
        <is>
          <t>MORA</t>
        </is>
      </c>
      <c r="G773" t="n">
        <v>2.7</v>
      </c>
      <c r="H773" t="n">
        <v>0</v>
      </c>
      <c r="I773" t="n">
        <v>0</v>
      </c>
      <c r="J773" t="n">
        <v>0</v>
      </c>
      <c r="K773" t="n">
        <v>0</v>
      </c>
      <c r="L773" t="n">
        <v>0</v>
      </c>
      <c r="M773" t="n">
        <v>0</v>
      </c>
      <c r="N773" t="n">
        <v>0</v>
      </c>
      <c r="O773" t="n">
        <v>0</v>
      </c>
      <c r="P773" t="n">
        <v>0</v>
      </c>
      <c r="Q773" t="n">
        <v>0</v>
      </c>
      <c r="R773" s="2" t="inlineStr"/>
    </row>
    <row r="774" ht="15" customHeight="1">
      <c r="A774" t="inlineStr">
        <is>
          <t>A 23354-2022</t>
        </is>
      </c>
      <c r="B774" s="1" t="n">
        <v>44720</v>
      </c>
      <c r="C774" s="1" t="n">
        <v>46062</v>
      </c>
      <c r="D774" t="inlineStr">
        <is>
          <t>DALARNAS LÄN</t>
        </is>
      </c>
      <c r="E774" t="inlineStr">
        <is>
          <t>MORA</t>
        </is>
      </c>
      <c r="G774" t="n">
        <v>5.2</v>
      </c>
      <c r="H774" t="n">
        <v>0</v>
      </c>
      <c r="I774" t="n">
        <v>0</v>
      </c>
      <c r="J774" t="n">
        <v>0</v>
      </c>
      <c r="K774" t="n">
        <v>0</v>
      </c>
      <c r="L774" t="n">
        <v>0</v>
      </c>
      <c r="M774" t="n">
        <v>0</v>
      </c>
      <c r="N774" t="n">
        <v>0</v>
      </c>
      <c r="O774" t="n">
        <v>0</v>
      </c>
      <c r="P774" t="n">
        <v>0</v>
      </c>
      <c r="Q774" t="n">
        <v>0</v>
      </c>
      <c r="R774" s="2" t="inlineStr"/>
    </row>
    <row r="775" ht="15" customHeight="1">
      <c r="A775" t="inlineStr">
        <is>
          <t>A 54192-2023</t>
        </is>
      </c>
      <c r="B775" s="1" t="n">
        <v>45232.53052083333</v>
      </c>
      <c r="C775" s="1" t="n">
        <v>46062</v>
      </c>
      <c r="D775" t="inlineStr">
        <is>
          <t>DALARNAS LÄN</t>
        </is>
      </c>
      <c r="E775" t="inlineStr">
        <is>
          <t>MORA</t>
        </is>
      </c>
      <c r="G775" t="n">
        <v>3.4</v>
      </c>
      <c r="H775" t="n">
        <v>0</v>
      </c>
      <c r="I775" t="n">
        <v>0</v>
      </c>
      <c r="J775" t="n">
        <v>0</v>
      </c>
      <c r="K775" t="n">
        <v>0</v>
      </c>
      <c r="L775" t="n">
        <v>0</v>
      </c>
      <c r="M775" t="n">
        <v>0</v>
      </c>
      <c r="N775" t="n">
        <v>0</v>
      </c>
      <c r="O775" t="n">
        <v>0</v>
      </c>
      <c r="P775" t="n">
        <v>0</v>
      </c>
      <c r="Q775" t="n">
        <v>0</v>
      </c>
      <c r="R775" s="2" t="inlineStr"/>
    </row>
    <row r="776" ht="15" customHeight="1">
      <c r="A776" t="inlineStr">
        <is>
          <t>A 23229-2025</t>
        </is>
      </c>
      <c r="B776" s="1" t="n">
        <v>45791</v>
      </c>
      <c r="C776" s="1" t="n">
        <v>46062</v>
      </c>
      <c r="D776" t="inlineStr">
        <is>
          <t>DALARNAS LÄN</t>
        </is>
      </c>
      <c r="E776" t="inlineStr">
        <is>
          <t>MORA</t>
        </is>
      </c>
      <c r="G776" t="n">
        <v>2.2</v>
      </c>
      <c r="H776" t="n">
        <v>0</v>
      </c>
      <c r="I776" t="n">
        <v>0</v>
      </c>
      <c r="J776" t="n">
        <v>0</v>
      </c>
      <c r="K776" t="n">
        <v>0</v>
      </c>
      <c r="L776" t="n">
        <v>0</v>
      </c>
      <c r="M776" t="n">
        <v>0</v>
      </c>
      <c r="N776" t="n">
        <v>0</v>
      </c>
      <c r="O776" t="n">
        <v>0</v>
      </c>
      <c r="P776" t="n">
        <v>0</v>
      </c>
      <c r="Q776" t="n">
        <v>0</v>
      </c>
      <c r="R776" s="2" t="inlineStr"/>
    </row>
    <row r="777" ht="15" customHeight="1">
      <c r="A777" t="inlineStr">
        <is>
          <t>A 62854-2023</t>
        </is>
      </c>
      <c r="B777" s="1" t="n">
        <v>45272</v>
      </c>
      <c r="C777" s="1" t="n">
        <v>46062</v>
      </c>
      <c r="D777" t="inlineStr">
        <is>
          <t>DALARNAS LÄN</t>
        </is>
      </c>
      <c r="E777" t="inlineStr">
        <is>
          <t>MORA</t>
        </is>
      </c>
      <c r="G777" t="n">
        <v>11.3</v>
      </c>
      <c r="H777" t="n">
        <v>0</v>
      </c>
      <c r="I777" t="n">
        <v>0</v>
      </c>
      <c r="J777" t="n">
        <v>0</v>
      </c>
      <c r="K777" t="n">
        <v>0</v>
      </c>
      <c r="L777" t="n">
        <v>0</v>
      </c>
      <c r="M777" t="n">
        <v>0</v>
      </c>
      <c r="N777" t="n">
        <v>0</v>
      </c>
      <c r="O777" t="n">
        <v>0</v>
      </c>
      <c r="P777" t="n">
        <v>0</v>
      </c>
      <c r="Q777" t="n">
        <v>0</v>
      </c>
      <c r="R777" s="2" t="inlineStr"/>
    </row>
    <row r="778" ht="15" customHeight="1">
      <c r="A778" t="inlineStr">
        <is>
          <t>A 24127-2025</t>
        </is>
      </c>
      <c r="B778" s="1" t="n">
        <v>45796.63137731481</v>
      </c>
      <c r="C778" s="1" t="n">
        <v>46062</v>
      </c>
      <c r="D778" t="inlineStr">
        <is>
          <t>DALARNAS LÄN</t>
        </is>
      </c>
      <c r="E778" t="inlineStr">
        <is>
          <t>MORA</t>
        </is>
      </c>
      <c r="G778" t="n">
        <v>1.2</v>
      </c>
      <c r="H778" t="n">
        <v>0</v>
      </c>
      <c r="I778" t="n">
        <v>0</v>
      </c>
      <c r="J778" t="n">
        <v>0</v>
      </c>
      <c r="K778" t="n">
        <v>0</v>
      </c>
      <c r="L778" t="n">
        <v>0</v>
      </c>
      <c r="M778" t="n">
        <v>0</v>
      </c>
      <c r="N778" t="n">
        <v>0</v>
      </c>
      <c r="O778" t="n">
        <v>0</v>
      </c>
      <c r="P778" t="n">
        <v>0</v>
      </c>
      <c r="Q778" t="n">
        <v>0</v>
      </c>
      <c r="R778" s="2" t="inlineStr"/>
    </row>
    <row r="779" ht="15" customHeight="1">
      <c r="A779" t="inlineStr">
        <is>
          <t>A 24249-2025</t>
        </is>
      </c>
      <c r="B779" s="1" t="n">
        <v>45797.40260416667</v>
      </c>
      <c r="C779" s="1" t="n">
        <v>46062</v>
      </c>
      <c r="D779" t="inlineStr">
        <is>
          <t>DALARNAS LÄN</t>
        </is>
      </c>
      <c r="E779" t="inlineStr">
        <is>
          <t>MORA</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9461-2025</t>
        </is>
      </c>
      <c r="B780" s="1" t="n">
        <v>45715.45341435185</v>
      </c>
      <c r="C780" s="1" t="n">
        <v>46062</v>
      </c>
      <c r="D780" t="inlineStr">
        <is>
          <t>DALARNAS LÄN</t>
        </is>
      </c>
      <c r="E780" t="inlineStr">
        <is>
          <t>MORA</t>
        </is>
      </c>
      <c r="G780" t="n">
        <v>1.8</v>
      </c>
      <c r="H780" t="n">
        <v>0</v>
      </c>
      <c r="I780" t="n">
        <v>0</v>
      </c>
      <c r="J780" t="n">
        <v>0</v>
      </c>
      <c r="K780" t="n">
        <v>0</v>
      </c>
      <c r="L780" t="n">
        <v>0</v>
      </c>
      <c r="M780" t="n">
        <v>0</v>
      </c>
      <c r="N780" t="n">
        <v>0</v>
      </c>
      <c r="O780" t="n">
        <v>0</v>
      </c>
      <c r="P780" t="n">
        <v>0</v>
      </c>
      <c r="Q780" t="n">
        <v>0</v>
      </c>
      <c r="R780" s="2" t="inlineStr"/>
    </row>
    <row r="781" ht="15" customHeight="1">
      <c r="A781" t="inlineStr">
        <is>
          <t>A 34928-2022</t>
        </is>
      </c>
      <c r="B781" s="1" t="n">
        <v>44796.60479166666</v>
      </c>
      <c r="C781" s="1" t="n">
        <v>46062</v>
      </c>
      <c r="D781" t="inlineStr">
        <is>
          <t>DALARNAS LÄN</t>
        </is>
      </c>
      <c r="E781" t="inlineStr">
        <is>
          <t>MORA</t>
        </is>
      </c>
      <c r="G781" t="n">
        <v>1.2</v>
      </c>
      <c r="H781" t="n">
        <v>0</v>
      </c>
      <c r="I781" t="n">
        <v>0</v>
      </c>
      <c r="J781" t="n">
        <v>0</v>
      </c>
      <c r="K781" t="n">
        <v>0</v>
      </c>
      <c r="L781" t="n">
        <v>0</v>
      </c>
      <c r="M781" t="n">
        <v>0</v>
      </c>
      <c r="N781" t="n">
        <v>0</v>
      </c>
      <c r="O781" t="n">
        <v>0</v>
      </c>
      <c r="P781" t="n">
        <v>0</v>
      </c>
      <c r="Q781" t="n">
        <v>0</v>
      </c>
      <c r="R781" s="2" t="inlineStr"/>
    </row>
    <row r="782" ht="15" customHeight="1">
      <c r="A782" t="inlineStr">
        <is>
          <t>A 19286-2023</t>
        </is>
      </c>
      <c r="B782" s="1" t="n">
        <v>45049</v>
      </c>
      <c r="C782" s="1" t="n">
        <v>46062</v>
      </c>
      <c r="D782" t="inlineStr">
        <is>
          <t>DALARNAS LÄN</t>
        </is>
      </c>
      <c r="E782" t="inlineStr">
        <is>
          <t>MORA</t>
        </is>
      </c>
      <c r="G782" t="n">
        <v>1</v>
      </c>
      <c r="H782" t="n">
        <v>0</v>
      </c>
      <c r="I782" t="n">
        <v>0</v>
      </c>
      <c r="J782" t="n">
        <v>0</v>
      </c>
      <c r="K782" t="n">
        <v>0</v>
      </c>
      <c r="L782" t="n">
        <v>0</v>
      </c>
      <c r="M782" t="n">
        <v>0</v>
      </c>
      <c r="N782" t="n">
        <v>0</v>
      </c>
      <c r="O782" t="n">
        <v>0</v>
      </c>
      <c r="P782" t="n">
        <v>0</v>
      </c>
      <c r="Q782" t="n">
        <v>0</v>
      </c>
      <c r="R782" s="2" t="inlineStr"/>
    </row>
    <row r="783" ht="15" customHeight="1">
      <c r="A783" t="inlineStr">
        <is>
          <t>A 24230-2025</t>
        </is>
      </c>
      <c r="B783" s="1" t="n">
        <v>45797.37607638889</v>
      </c>
      <c r="C783" s="1" t="n">
        <v>46062</v>
      </c>
      <c r="D783" t="inlineStr">
        <is>
          <t>DALARNAS LÄN</t>
        </is>
      </c>
      <c r="E783" t="inlineStr">
        <is>
          <t>MORA</t>
        </is>
      </c>
      <c r="G783" t="n">
        <v>6.8</v>
      </c>
      <c r="H783" t="n">
        <v>0</v>
      </c>
      <c r="I783" t="n">
        <v>0</v>
      </c>
      <c r="J783" t="n">
        <v>0</v>
      </c>
      <c r="K783" t="n">
        <v>0</v>
      </c>
      <c r="L783" t="n">
        <v>0</v>
      </c>
      <c r="M783" t="n">
        <v>0</v>
      </c>
      <c r="N783" t="n">
        <v>0</v>
      </c>
      <c r="O783" t="n">
        <v>0</v>
      </c>
      <c r="P783" t="n">
        <v>0</v>
      </c>
      <c r="Q783" t="n">
        <v>0</v>
      </c>
      <c r="R783" s="2" t="inlineStr"/>
    </row>
    <row r="784" ht="15" customHeight="1">
      <c r="A784" t="inlineStr">
        <is>
          <t>A 24280-2025</t>
        </is>
      </c>
      <c r="B784" s="1" t="n">
        <v>45797.45581018519</v>
      </c>
      <c r="C784" s="1" t="n">
        <v>46062</v>
      </c>
      <c r="D784" t="inlineStr">
        <is>
          <t>DALARNAS LÄN</t>
        </is>
      </c>
      <c r="E784" t="inlineStr">
        <is>
          <t>MORA</t>
        </is>
      </c>
      <c r="G784" t="n">
        <v>1.1</v>
      </c>
      <c r="H784" t="n">
        <v>0</v>
      </c>
      <c r="I784" t="n">
        <v>0</v>
      </c>
      <c r="J784" t="n">
        <v>0</v>
      </c>
      <c r="K784" t="n">
        <v>0</v>
      </c>
      <c r="L784" t="n">
        <v>0</v>
      </c>
      <c r="M784" t="n">
        <v>0</v>
      </c>
      <c r="N784" t="n">
        <v>0</v>
      </c>
      <c r="O784" t="n">
        <v>0</v>
      </c>
      <c r="P784" t="n">
        <v>0</v>
      </c>
      <c r="Q784" t="n">
        <v>0</v>
      </c>
      <c r="R784" s="2" t="inlineStr"/>
    </row>
    <row r="785">
      <c r="A785" t="inlineStr">
        <is>
          <t>A 19183-2025</t>
        </is>
      </c>
      <c r="B785" s="1" t="n">
        <v>45769</v>
      </c>
      <c r="C785" s="1" t="n">
        <v>46062</v>
      </c>
      <c r="D785" t="inlineStr">
        <is>
          <t>DALARNAS LÄN</t>
        </is>
      </c>
      <c r="E785" t="inlineStr">
        <is>
          <t>MORA</t>
        </is>
      </c>
      <c r="G785" t="n">
        <v>0.5</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2026-02-09T19:45:00Z</dcterms:created>
  <dcterms:modified xmlns:dcterms="http://purl.org/dc/terms/" xmlns:xsi="http://www.w3.org/2001/XMLSchema-instance" xsi:type="dcterms:W3CDTF">2026-02-09T19:45:01Z</dcterms:modified>
</cp:coreProperties>
</file>