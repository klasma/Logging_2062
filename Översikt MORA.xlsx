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45967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45967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45967</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45967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45967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47866-2025</t>
        </is>
      </c>
      <c r="B7" s="1" t="n">
        <v>45932.43633101852</v>
      </c>
      <c r="C7" s="1" t="n">
        <v>45967</v>
      </c>
      <c r="D7" t="inlineStr">
        <is>
          <t>DALARNAS LÄN</t>
        </is>
      </c>
      <c r="E7" t="inlineStr">
        <is>
          <t>MORA</t>
        </is>
      </c>
      <c r="G7" t="n">
        <v>13.1</v>
      </c>
      <c r="H7" t="n">
        <v>7</v>
      </c>
      <c r="I7" t="n">
        <v>6</v>
      </c>
      <c r="J7" t="n">
        <v>11</v>
      </c>
      <c r="K7" t="n">
        <v>3</v>
      </c>
      <c r="L7" t="n">
        <v>0</v>
      </c>
      <c r="M7" t="n">
        <v>0</v>
      </c>
      <c r="N7" t="n">
        <v>0</v>
      </c>
      <c r="O7" t="n">
        <v>14</v>
      </c>
      <c r="P7" t="n">
        <v>3</v>
      </c>
      <c r="Q7" t="n">
        <v>22</v>
      </c>
      <c r="R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7">
        <f>HYPERLINK("https://klasma.github.io/Logging_2062/artfynd/A 47866-2025 artfynd.xlsx", "A 47866-2025")</f>
        <v/>
      </c>
      <c r="T7">
        <f>HYPERLINK("https://klasma.github.io/Logging_2062/kartor/A 47866-2025 karta.png", "A 47866-2025")</f>
        <v/>
      </c>
      <c r="U7">
        <f>HYPERLINK("https://klasma.github.io/Logging_2062/knärot/A 47866-2025 karta knärot.png", "A 47866-2025")</f>
        <v/>
      </c>
      <c r="V7">
        <f>HYPERLINK("https://klasma.github.io/Logging_2062/klagomål/A 47866-2025 FSC-klagomål.docx", "A 47866-2025")</f>
        <v/>
      </c>
      <c r="W7">
        <f>HYPERLINK("https://klasma.github.io/Logging_2062/klagomålsmail/A 47866-2025 FSC-klagomål mail.docx", "A 47866-2025")</f>
        <v/>
      </c>
      <c r="X7">
        <f>HYPERLINK("https://klasma.github.io/Logging_2062/tillsyn/A 47866-2025 tillsynsbegäran.docx", "A 47866-2025")</f>
        <v/>
      </c>
      <c r="Y7">
        <f>HYPERLINK("https://klasma.github.io/Logging_2062/tillsynsmail/A 47866-2025 tillsynsbegäran mail.docx", "A 47866-2025")</f>
        <v/>
      </c>
      <c r="Z7">
        <f>HYPERLINK("https://klasma.github.io/Logging_2062/fåglar/A 47866-2025 prioriterade fågelarter.docx", "A 47866-2025")</f>
        <v/>
      </c>
    </row>
    <row r="8" ht="15" customHeight="1">
      <c r="A8" t="inlineStr">
        <is>
          <t>A 47081-2025</t>
        </is>
      </c>
      <c r="B8" s="1" t="n">
        <v>45929.64153935185</v>
      </c>
      <c r="C8" s="1" t="n">
        <v>45967</v>
      </c>
      <c r="D8" t="inlineStr">
        <is>
          <t>DALARNAS LÄN</t>
        </is>
      </c>
      <c r="E8" t="inlineStr">
        <is>
          <t>MORA</t>
        </is>
      </c>
      <c r="F8" t="inlineStr">
        <is>
          <t>Allmännings- och besparingsskogar</t>
        </is>
      </c>
      <c r="G8" t="n">
        <v>9.1</v>
      </c>
      <c r="H8" t="n">
        <v>8</v>
      </c>
      <c r="I8" t="n">
        <v>3</v>
      </c>
      <c r="J8" t="n">
        <v>13</v>
      </c>
      <c r="K8" t="n">
        <v>1</v>
      </c>
      <c r="L8" t="n">
        <v>0</v>
      </c>
      <c r="M8" t="n">
        <v>0</v>
      </c>
      <c r="N8" t="n">
        <v>0</v>
      </c>
      <c r="O8" t="n">
        <v>14</v>
      </c>
      <c r="P8" t="n">
        <v>1</v>
      </c>
      <c r="Q8" t="n">
        <v>20</v>
      </c>
      <c r="R8"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8">
        <f>HYPERLINK("https://klasma.github.io/Logging_2062/artfynd/A 47081-2025 artfynd.xlsx", "A 47081-2025")</f>
        <v/>
      </c>
      <c r="T8">
        <f>HYPERLINK("https://klasma.github.io/Logging_2062/kartor/A 47081-2025 karta.png", "A 47081-2025")</f>
        <v/>
      </c>
      <c r="U8">
        <f>HYPERLINK("https://klasma.github.io/Logging_2062/knärot/A 47081-2025 karta knärot.png", "A 47081-2025")</f>
        <v/>
      </c>
      <c r="V8">
        <f>HYPERLINK("https://klasma.github.io/Logging_2062/klagomål/A 47081-2025 FSC-klagomål.docx", "A 47081-2025")</f>
        <v/>
      </c>
      <c r="W8">
        <f>HYPERLINK("https://klasma.github.io/Logging_2062/klagomålsmail/A 47081-2025 FSC-klagomål mail.docx", "A 47081-2025")</f>
        <v/>
      </c>
      <c r="X8">
        <f>HYPERLINK("https://klasma.github.io/Logging_2062/tillsyn/A 47081-2025 tillsynsbegäran.docx", "A 47081-2025")</f>
        <v/>
      </c>
      <c r="Y8">
        <f>HYPERLINK("https://klasma.github.io/Logging_2062/tillsynsmail/A 47081-2025 tillsynsbegäran mail.docx", "A 47081-2025")</f>
        <v/>
      </c>
      <c r="Z8">
        <f>HYPERLINK("https://klasma.github.io/Logging_2062/fåglar/A 47081-2025 prioriterade fågelarter.docx", "A 47081-2025")</f>
        <v/>
      </c>
    </row>
    <row r="9" ht="15" customHeight="1">
      <c r="A9" t="inlineStr">
        <is>
          <t>A 1254-2025</t>
        </is>
      </c>
      <c r="B9" s="1" t="n">
        <v>45666</v>
      </c>
      <c r="C9" s="1" t="n">
        <v>45967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34018-2021</t>
        </is>
      </c>
      <c r="B10" s="1" t="n">
        <v>44379.34289351852</v>
      </c>
      <c r="C10" s="1" t="n">
        <v>45967</v>
      </c>
      <c r="D10" t="inlineStr">
        <is>
          <t>DALARNAS LÄN</t>
        </is>
      </c>
      <c r="E10" t="inlineStr">
        <is>
          <t>MORA</t>
        </is>
      </c>
      <c r="G10" t="n">
        <v>5.7</v>
      </c>
      <c r="H10" t="n">
        <v>4</v>
      </c>
      <c r="I10" t="n">
        <v>3</v>
      </c>
      <c r="J10" t="n">
        <v>10</v>
      </c>
      <c r="K10" t="n">
        <v>1</v>
      </c>
      <c r="L10" t="n">
        <v>0</v>
      </c>
      <c r="M10" t="n">
        <v>0</v>
      </c>
      <c r="N10" t="n">
        <v>0</v>
      </c>
      <c r="O10" t="n">
        <v>11</v>
      </c>
      <c r="P10" t="n">
        <v>1</v>
      </c>
      <c r="Q10" t="n">
        <v>17</v>
      </c>
      <c r="R10" s="2" t="inlineStr">
        <is>
          <t>Rynkskinn
Garnlav
Granticka
Knölgrynna
Kolflarnlav
Mörk kolflarnlav
Spillkråka
Vedflamlav
Vedskivlav
Violettgrå tagellav
Vitgrynig nållav
Dropptaggsvamp
Mindre märgborre
Nästlav
Kungsfågel
Tjäder
Huggorm</t>
        </is>
      </c>
      <c r="S10">
        <f>HYPERLINK("https://klasma.github.io/Logging_2062/artfynd/A 34018-2021 artfynd.xlsx", "A 34018-2021")</f>
        <v/>
      </c>
      <c r="T10">
        <f>HYPERLINK("https://klasma.github.io/Logging_2062/kartor/A 34018-2021 karta.png", "A 34018-2021")</f>
        <v/>
      </c>
      <c r="V10">
        <f>HYPERLINK("https://klasma.github.io/Logging_2062/klagomål/A 34018-2021 FSC-klagomål.docx", "A 34018-2021")</f>
        <v/>
      </c>
      <c r="W10">
        <f>HYPERLINK("https://klasma.github.io/Logging_2062/klagomålsmail/A 34018-2021 FSC-klagomål mail.docx", "A 34018-2021")</f>
        <v/>
      </c>
      <c r="X10">
        <f>HYPERLINK("https://klasma.github.io/Logging_2062/tillsyn/A 34018-2021 tillsynsbegäran.docx", "A 34018-2021")</f>
        <v/>
      </c>
      <c r="Y10">
        <f>HYPERLINK("https://klasma.github.io/Logging_2062/tillsynsmail/A 34018-2021 tillsynsbegäran mail.docx", "A 34018-2021")</f>
        <v/>
      </c>
      <c r="Z10">
        <f>HYPERLINK("https://klasma.github.io/Logging_2062/fåglar/A 34018-2021 prioriterade fågelarter.docx", "A 34018-2021")</f>
        <v/>
      </c>
    </row>
    <row r="11" ht="15" customHeight="1">
      <c r="A11" t="inlineStr">
        <is>
          <t>A 35200-2025</t>
        </is>
      </c>
      <c r="B11" s="1" t="n">
        <v>45853</v>
      </c>
      <c r="C11" s="1" t="n">
        <v>45967</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45967</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45967</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45967</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45967</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45967</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45967</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45967</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23535-2025</t>
        </is>
      </c>
      <c r="B19" s="1" t="n">
        <v>45792</v>
      </c>
      <c r="C19" s="1" t="n">
        <v>45967</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HYPERLINK("https://klasma.github.io/Logging_2062/artfynd/A 23535-2025 artfynd.xlsx", "A 23535-2025")</f>
        <v/>
      </c>
      <c r="T19">
        <f>HYPERLINK("https://klasma.github.io/Logging_2062/kartor/A 23535-2025 karta.png", "A 23535-2025")</f>
        <v/>
      </c>
      <c r="V19">
        <f>HYPERLINK("https://klasma.github.io/Logging_2062/klagomål/A 23535-2025 FSC-klagomål.docx", "A 23535-2025")</f>
        <v/>
      </c>
      <c r="W19">
        <f>HYPERLINK("https://klasma.github.io/Logging_2062/klagomålsmail/A 23535-2025 FSC-klagomål mail.docx", "A 23535-2025")</f>
        <v/>
      </c>
      <c r="X19">
        <f>HYPERLINK("https://klasma.github.io/Logging_2062/tillsyn/A 23535-2025 tillsynsbegäran.docx", "A 23535-2025")</f>
        <v/>
      </c>
      <c r="Y19">
        <f>HYPERLINK("https://klasma.github.io/Logging_2062/tillsynsmail/A 23535-2025 tillsynsbegäran mail.docx", "A 23535-2025")</f>
        <v/>
      </c>
      <c r="Z19">
        <f>HYPERLINK("https://klasma.github.io/Logging_2062/fåglar/A 23535-2025 prioriterade fågelarter.docx", "A 23535-2025")</f>
        <v/>
      </c>
    </row>
    <row r="20" ht="15" customHeight="1">
      <c r="A20" t="inlineStr">
        <is>
          <t>A 44417-2025</t>
        </is>
      </c>
      <c r="B20" s="1" t="n">
        <v>45916.5453587963</v>
      </c>
      <c r="C20" s="1" t="n">
        <v>45967</v>
      </c>
      <c r="D20" t="inlineStr">
        <is>
          <t>DALARNAS LÄN</t>
        </is>
      </c>
      <c r="E20" t="inlineStr">
        <is>
          <t>MORA</t>
        </is>
      </c>
      <c r="G20" t="n">
        <v>13.1</v>
      </c>
      <c r="H20" t="n">
        <v>4</v>
      </c>
      <c r="I20" t="n">
        <v>2</v>
      </c>
      <c r="J20" t="n">
        <v>10</v>
      </c>
      <c r="K20" t="n">
        <v>0</v>
      </c>
      <c r="L20" t="n">
        <v>0</v>
      </c>
      <c r="M20" t="n">
        <v>0</v>
      </c>
      <c r="N20" t="n">
        <v>0</v>
      </c>
      <c r="O20" t="n">
        <v>10</v>
      </c>
      <c r="P20" t="n">
        <v>0</v>
      </c>
      <c r="Q20" t="n">
        <v>13</v>
      </c>
      <c r="R20" s="2" t="inlineStr">
        <is>
          <t>Garnlav
Kolflarnlav
Mörk kolflarnlav
Spillkråka
Stjärntagging
Talltita
Tretåig hackspett
Vedflamlav
Vedskivlav
Violettgrå tagellav
Gullgröppa
Mindre märgborre
Kungsfågel</t>
        </is>
      </c>
      <c r="S20">
        <f>HYPERLINK("https://klasma.github.io/Logging_2062/artfynd/A 44417-2025 artfynd.xlsx", "A 44417-2025")</f>
        <v/>
      </c>
      <c r="T20">
        <f>HYPERLINK("https://klasma.github.io/Logging_2062/kartor/A 44417-2025 karta.png", "A 44417-2025")</f>
        <v/>
      </c>
      <c r="V20">
        <f>HYPERLINK("https://klasma.github.io/Logging_2062/klagomål/A 44417-2025 FSC-klagomål.docx", "A 44417-2025")</f>
        <v/>
      </c>
      <c r="W20">
        <f>HYPERLINK("https://klasma.github.io/Logging_2062/klagomålsmail/A 44417-2025 FSC-klagomål mail.docx", "A 44417-2025")</f>
        <v/>
      </c>
      <c r="X20">
        <f>HYPERLINK("https://klasma.github.io/Logging_2062/tillsyn/A 44417-2025 tillsynsbegäran.docx", "A 44417-2025")</f>
        <v/>
      </c>
      <c r="Y20">
        <f>HYPERLINK("https://klasma.github.io/Logging_2062/tillsynsmail/A 44417-2025 tillsynsbegäran mail.docx", "A 44417-2025")</f>
        <v/>
      </c>
      <c r="Z20">
        <f>HYPERLINK("https://klasma.github.io/Logging_2062/fåglar/A 44417-2025 prioriterade fågelarter.docx", "A 44417-2025")</f>
        <v/>
      </c>
    </row>
    <row r="21" ht="15" customHeight="1">
      <c r="A21" t="inlineStr">
        <is>
          <t>A 35485-2025</t>
        </is>
      </c>
      <c r="B21" s="1" t="n">
        <v>45855.74484953703</v>
      </c>
      <c r="C21" s="1" t="n">
        <v>45967</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45967</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31562-2025</t>
        </is>
      </c>
      <c r="B23" s="1" t="n">
        <v>45833</v>
      </c>
      <c r="C23" s="1" t="n">
        <v>45967</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35944-2024</t>
        </is>
      </c>
      <c r="B24" s="1" t="n">
        <v>45533.45853009259</v>
      </c>
      <c r="C24" s="1" t="n">
        <v>45967</v>
      </c>
      <c r="D24" t="inlineStr">
        <is>
          <t>DALARNAS LÄN</t>
        </is>
      </c>
      <c r="E24" t="inlineStr">
        <is>
          <t>MORA</t>
        </is>
      </c>
      <c r="G24" t="n">
        <v>1.7</v>
      </c>
      <c r="H24" t="n">
        <v>2</v>
      </c>
      <c r="I24" t="n">
        <v>4</v>
      </c>
      <c r="J24" t="n">
        <v>6</v>
      </c>
      <c r="K24" t="n">
        <v>0</v>
      </c>
      <c r="L24" t="n">
        <v>0</v>
      </c>
      <c r="M24" t="n">
        <v>0</v>
      </c>
      <c r="N24" t="n">
        <v>0</v>
      </c>
      <c r="O24" t="n">
        <v>6</v>
      </c>
      <c r="P24" t="n">
        <v>0</v>
      </c>
      <c r="Q24" t="n">
        <v>10</v>
      </c>
      <c r="R24" s="2" t="inlineStr">
        <is>
          <t>Garnlav
Kortskaftad ärgspik
Spillkråka
Talltita
Ullticka
Vedtrappmossa
Bronshjon
Mindre märgborre
Thomsons trägnagare
Vedticka</t>
        </is>
      </c>
      <c r="S24">
        <f>HYPERLINK("https://klasma.github.io/Logging_2062/artfynd/A 35944-2024 artfynd.xlsx", "A 35944-2024")</f>
        <v/>
      </c>
      <c r="T24">
        <f>HYPERLINK("https://klasma.github.io/Logging_2062/kartor/A 35944-2024 karta.png", "A 35944-2024")</f>
        <v/>
      </c>
      <c r="V24">
        <f>HYPERLINK("https://klasma.github.io/Logging_2062/klagomål/A 35944-2024 FSC-klagomål.docx", "A 35944-2024")</f>
        <v/>
      </c>
      <c r="W24">
        <f>HYPERLINK("https://klasma.github.io/Logging_2062/klagomålsmail/A 35944-2024 FSC-klagomål mail.docx", "A 35944-2024")</f>
        <v/>
      </c>
      <c r="X24">
        <f>HYPERLINK("https://klasma.github.io/Logging_2062/tillsyn/A 35944-2024 tillsynsbegäran.docx", "A 35944-2024")</f>
        <v/>
      </c>
      <c r="Y24">
        <f>HYPERLINK("https://klasma.github.io/Logging_2062/tillsynsmail/A 35944-2024 tillsynsbegäran mail.docx", "A 35944-2024")</f>
        <v/>
      </c>
      <c r="Z24">
        <f>HYPERLINK("https://klasma.github.io/Logging_2062/fåglar/A 35944-2024 prioriterade fågelarter.docx", "A 35944-2024")</f>
        <v/>
      </c>
    </row>
    <row r="25" ht="15" customHeight="1">
      <c r="A25" t="inlineStr">
        <is>
          <t>A 50759-2023</t>
        </is>
      </c>
      <c r="B25" s="1" t="n">
        <v>45217.60914351852</v>
      </c>
      <c r="C25" s="1" t="n">
        <v>45967</v>
      </c>
      <c r="D25" t="inlineStr">
        <is>
          <t>DALARNAS LÄN</t>
        </is>
      </c>
      <c r="E25" t="inlineStr">
        <is>
          <t>MORA</t>
        </is>
      </c>
      <c r="G25" t="n">
        <v>5.3</v>
      </c>
      <c r="H25" t="n">
        <v>5</v>
      </c>
      <c r="I25" t="n">
        <v>1</v>
      </c>
      <c r="J25" t="n">
        <v>7</v>
      </c>
      <c r="K25" t="n">
        <v>0</v>
      </c>
      <c r="L25" t="n">
        <v>0</v>
      </c>
      <c r="M25" t="n">
        <v>0</v>
      </c>
      <c r="N25" t="n">
        <v>0</v>
      </c>
      <c r="O25" t="n">
        <v>7</v>
      </c>
      <c r="P25" t="n">
        <v>0</v>
      </c>
      <c r="Q25" t="n">
        <v>10</v>
      </c>
      <c r="R25" s="2" t="inlineStr">
        <is>
          <t>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29934-2025</t>
        </is>
      </c>
      <c r="B26" s="1" t="n">
        <v>45826</v>
      </c>
      <c r="C26" s="1" t="n">
        <v>45967</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5064-2023</t>
        </is>
      </c>
      <c r="B27" s="1" t="n">
        <v>44958.60337962963</v>
      </c>
      <c r="C27" s="1" t="n">
        <v>45967</v>
      </c>
      <c r="D27" t="inlineStr">
        <is>
          <t>DALARNAS LÄN</t>
        </is>
      </c>
      <c r="E27" t="inlineStr">
        <is>
          <t>MORA</t>
        </is>
      </c>
      <c r="G27" t="n">
        <v>3.9</v>
      </c>
      <c r="H27" t="n">
        <v>2</v>
      </c>
      <c r="I27" t="n">
        <v>1</v>
      </c>
      <c r="J27" t="n">
        <v>9</v>
      </c>
      <c r="K27" t="n">
        <v>0</v>
      </c>
      <c r="L27" t="n">
        <v>0</v>
      </c>
      <c r="M27" t="n">
        <v>0</v>
      </c>
      <c r="N27" t="n">
        <v>0</v>
      </c>
      <c r="O27" t="n">
        <v>9</v>
      </c>
      <c r="P27" t="n">
        <v>0</v>
      </c>
      <c r="Q27" t="n">
        <v>10</v>
      </c>
      <c r="R27" s="2" t="inlineStr">
        <is>
          <t>Garnlav
Granticka
Rosenticka
Spillkråka
Tallticka
Tretåig hackspett
Ullticka
Vedskivlav
Vitgrynig nållav
Bronshjon</t>
        </is>
      </c>
      <c r="S27">
        <f>HYPERLINK("https://klasma.github.io/Logging_2062/artfynd/A 5064-2023 artfynd.xlsx", "A 5064-2023")</f>
        <v/>
      </c>
      <c r="T27">
        <f>HYPERLINK("https://klasma.github.io/Logging_2062/kartor/A 5064-2023 karta.png", "A 5064-2023")</f>
        <v/>
      </c>
      <c r="V27">
        <f>HYPERLINK("https://klasma.github.io/Logging_2062/klagomål/A 5064-2023 FSC-klagomål.docx", "A 5064-2023")</f>
        <v/>
      </c>
      <c r="W27">
        <f>HYPERLINK("https://klasma.github.io/Logging_2062/klagomålsmail/A 5064-2023 FSC-klagomål mail.docx", "A 5064-2023")</f>
        <v/>
      </c>
      <c r="X27">
        <f>HYPERLINK("https://klasma.github.io/Logging_2062/tillsyn/A 5064-2023 tillsynsbegäran.docx", "A 5064-2023")</f>
        <v/>
      </c>
      <c r="Y27">
        <f>HYPERLINK("https://klasma.github.io/Logging_2062/tillsynsmail/A 5064-2023 tillsynsbegäran mail.docx", "A 5064-2023")</f>
        <v/>
      </c>
      <c r="Z27">
        <f>HYPERLINK("https://klasma.github.io/Logging_2062/fåglar/A 5064-2023 prioriterade fågelarter.docx", "A 5064-2023")</f>
        <v/>
      </c>
    </row>
    <row r="28" ht="15" customHeight="1">
      <c r="A28" t="inlineStr">
        <is>
          <t>A 34714-2025</t>
        </is>
      </c>
      <c r="B28" s="1" t="n">
        <v>45848</v>
      </c>
      <c r="C28" s="1" t="n">
        <v>45967</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21041-2023</t>
        </is>
      </c>
      <c r="B29" s="1" t="n">
        <v>45061.58952546296</v>
      </c>
      <c r="C29" s="1" t="n">
        <v>45967</v>
      </c>
      <c r="D29" t="inlineStr">
        <is>
          <t>DALARNAS LÄN</t>
        </is>
      </c>
      <c r="E29" t="inlineStr">
        <is>
          <t>MORA</t>
        </is>
      </c>
      <c r="F29" t="inlineStr">
        <is>
          <t>Bergvik skog öst AB</t>
        </is>
      </c>
      <c r="G29" t="n">
        <v>9.9</v>
      </c>
      <c r="H29" t="n">
        <v>0</v>
      </c>
      <c r="I29" t="n">
        <v>1</v>
      </c>
      <c r="J29" t="n">
        <v>8</v>
      </c>
      <c r="K29" t="n">
        <v>0</v>
      </c>
      <c r="L29" t="n">
        <v>0</v>
      </c>
      <c r="M29" t="n">
        <v>0</v>
      </c>
      <c r="N29" t="n">
        <v>0</v>
      </c>
      <c r="O29" t="n">
        <v>8</v>
      </c>
      <c r="P29" t="n">
        <v>0</v>
      </c>
      <c r="Q29" t="n">
        <v>9</v>
      </c>
      <c r="R29" s="2" t="inlineStr">
        <is>
          <t>Dvärgbägarlav
Garnlav
Kolflarnlav
Kortskaftad ärgspik
Mörk kolflarnlav
Vedflamlav
Vedskivlav
Violettgrå tagellav
Mindre märgborre</t>
        </is>
      </c>
      <c r="S29">
        <f>HYPERLINK("https://klasma.github.io/Logging_2062/artfynd/A 21041-2023 artfynd.xlsx", "A 21041-2023")</f>
        <v/>
      </c>
      <c r="T29">
        <f>HYPERLINK("https://klasma.github.io/Logging_2062/kartor/A 21041-2023 karta.png", "A 21041-2023")</f>
        <v/>
      </c>
      <c r="V29">
        <f>HYPERLINK("https://klasma.github.io/Logging_2062/klagomål/A 21041-2023 FSC-klagomål.docx", "A 21041-2023")</f>
        <v/>
      </c>
      <c r="W29">
        <f>HYPERLINK("https://klasma.github.io/Logging_2062/klagomålsmail/A 21041-2023 FSC-klagomål mail.docx", "A 21041-2023")</f>
        <v/>
      </c>
      <c r="X29">
        <f>HYPERLINK("https://klasma.github.io/Logging_2062/tillsyn/A 21041-2023 tillsynsbegäran.docx", "A 21041-2023")</f>
        <v/>
      </c>
      <c r="Y29">
        <f>HYPERLINK("https://klasma.github.io/Logging_2062/tillsynsmail/A 21041-2023 tillsynsbegäran mail.docx", "A 21041-2023")</f>
        <v/>
      </c>
    </row>
    <row r="30" ht="15" customHeight="1">
      <c r="A30" t="inlineStr">
        <is>
          <t>A 61943-2024</t>
        </is>
      </c>
      <c r="B30" s="1" t="n">
        <v>45653.49774305556</v>
      </c>
      <c r="C30" s="1" t="n">
        <v>45967</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40313-2025</t>
        </is>
      </c>
      <c r="B31" s="1" t="n">
        <v>45895.42209490741</v>
      </c>
      <c r="C31" s="1" t="n">
        <v>45967</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45967</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45967</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46450-2025</t>
        </is>
      </c>
      <c r="B34" s="1" t="n">
        <v>45925.6530324074</v>
      </c>
      <c r="C34" s="1" t="n">
        <v>45967</v>
      </c>
      <c r="D34" t="inlineStr">
        <is>
          <t>DALARNAS LÄN</t>
        </is>
      </c>
      <c r="E34" t="inlineStr">
        <is>
          <t>MORA</t>
        </is>
      </c>
      <c r="G34" t="n">
        <v>4.2</v>
      </c>
      <c r="H34" t="n">
        <v>2</v>
      </c>
      <c r="I34" t="n">
        <v>2</v>
      </c>
      <c r="J34" t="n">
        <v>6</v>
      </c>
      <c r="K34" t="n">
        <v>0</v>
      </c>
      <c r="L34" t="n">
        <v>0</v>
      </c>
      <c r="M34" t="n">
        <v>0</v>
      </c>
      <c r="N34" t="n">
        <v>0</v>
      </c>
      <c r="O34" t="n">
        <v>6</v>
      </c>
      <c r="P34" t="n">
        <v>0</v>
      </c>
      <c r="Q34" t="n">
        <v>8</v>
      </c>
      <c r="R34" s="2" t="inlineStr">
        <is>
          <t>Garnlav
Kolflarnlav
Spillkråka
Talltita
Vedflamlav
Vedskivlav
Dropptaggsvamp
Mindre märgborre</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59983-2024</t>
        </is>
      </c>
      <c r="B35" s="1" t="n">
        <v>45642</v>
      </c>
      <c r="C35" s="1" t="n">
        <v>45967</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45967</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33380-2025</t>
        </is>
      </c>
      <c r="B37" s="1" t="n">
        <v>45841.40309027778</v>
      </c>
      <c r="C37" s="1" t="n">
        <v>45967</v>
      </c>
      <c r="D37" t="inlineStr">
        <is>
          <t>DALARNAS LÄN</t>
        </is>
      </c>
      <c r="E37" t="inlineStr">
        <is>
          <t>MORA</t>
        </is>
      </c>
      <c r="G37" t="n">
        <v>6.6</v>
      </c>
      <c r="H37" t="n">
        <v>5</v>
      </c>
      <c r="I37" t="n">
        <v>1</v>
      </c>
      <c r="J37" t="n">
        <v>6</v>
      </c>
      <c r="K37" t="n">
        <v>0</v>
      </c>
      <c r="L37" t="n">
        <v>0</v>
      </c>
      <c r="M37" t="n">
        <v>0</v>
      </c>
      <c r="N37" t="n">
        <v>0</v>
      </c>
      <c r="O37" t="n">
        <v>6</v>
      </c>
      <c r="P37" t="n">
        <v>0</v>
      </c>
      <c r="Q37" t="n">
        <v>8</v>
      </c>
      <c r="R37" s="2" t="inlineStr">
        <is>
          <t>Garnlav
Rödvingetrast
Spillkråka
Talltita
Tretåig hackspett
Ullticka
Mindre märgborre
Revlummer</t>
        </is>
      </c>
      <c r="S37">
        <f>HYPERLINK("https://klasma.github.io/Logging_2062/artfynd/A 33380-2025 artfynd.xlsx", "A 33380-2025")</f>
        <v/>
      </c>
      <c r="T37">
        <f>HYPERLINK("https://klasma.github.io/Logging_2062/kartor/A 33380-2025 karta.png", "A 33380-2025")</f>
        <v/>
      </c>
      <c r="V37">
        <f>HYPERLINK("https://klasma.github.io/Logging_2062/klagomål/A 33380-2025 FSC-klagomål.docx", "A 33380-2025")</f>
        <v/>
      </c>
      <c r="W37">
        <f>HYPERLINK("https://klasma.github.io/Logging_2062/klagomålsmail/A 33380-2025 FSC-klagomål mail.docx", "A 33380-2025")</f>
        <v/>
      </c>
      <c r="X37">
        <f>HYPERLINK("https://klasma.github.io/Logging_2062/tillsyn/A 33380-2025 tillsynsbegäran.docx", "A 33380-2025")</f>
        <v/>
      </c>
      <c r="Y37">
        <f>HYPERLINK("https://klasma.github.io/Logging_2062/tillsynsmail/A 33380-2025 tillsynsbegäran mail.docx", "A 33380-2025")</f>
        <v/>
      </c>
      <c r="Z37">
        <f>HYPERLINK("https://klasma.github.io/Logging_2062/fåglar/A 33380-2025 prioriterade fågelarter.docx", "A 33380-2025")</f>
        <v/>
      </c>
    </row>
    <row r="38" ht="15" customHeight="1">
      <c r="A38" t="inlineStr">
        <is>
          <t>A 30904-2025</t>
        </is>
      </c>
      <c r="B38" s="1" t="n">
        <v>45832.36327546297</v>
      </c>
      <c r="C38" s="1" t="n">
        <v>45967</v>
      </c>
      <c r="D38" t="inlineStr">
        <is>
          <t>DALARNAS LÄN</t>
        </is>
      </c>
      <c r="E38" t="inlineStr">
        <is>
          <t>MORA</t>
        </is>
      </c>
      <c r="G38" t="n">
        <v>6.6</v>
      </c>
      <c r="H38" t="n">
        <v>3</v>
      </c>
      <c r="I38" t="n">
        <v>1</v>
      </c>
      <c r="J38" t="n">
        <v>6</v>
      </c>
      <c r="K38" t="n">
        <v>0</v>
      </c>
      <c r="L38" t="n">
        <v>0</v>
      </c>
      <c r="M38" t="n">
        <v>0</v>
      </c>
      <c r="N38" t="n">
        <v>0</v>
      </c>
      <c r="O38" t="n">
        <v>6</v>
      </c>
      <c r="P38" t="n">
        <v>0</v>
      </c>
      <c r="Q38" t="n">
        <v>8</v>
      </c>
      <c r="R38" s="2" t="inlineStr">
        <is>
          <t>Garnlav
Spillkråka
Tallticka
Talltita
Vedflamlav
Vedskivlav
Mindre märgborre
Kungsfågel</t>
        </is>
      </c>
      <c r="S38">
        <f>HYPERLINK("https://klasma.github.io/Logging_2062/artfynd/A 30904-2025 artfynd.xlsx", "A 30904-2025")</f>
        <v/>
      </c>
      <c r="T38">
        <f>HYPERLINK("https://klasma.github.io/Logging_2062/kartor/A 30904-2025 karta.png", "A 30904-2025")</f>
        <v/>
      </c>
      <c r="V38">
        <f>HYPERLINK("https://klasma.github.io/Logging_2062/klagomål/A 30904-2025 FSC-klagomål.docx", "A 30904-2025")</f>
        <v/>
      </c>
      <c r="W38">
        <f>HYPERLINK("https://klasma.github.io/Logging_2062/klagomålsmail/A 30904-2025 FSC-klagomål mail.docx", "A 30904-2025")</f>
        <v/>
      </c>
      <c r="X38">
        <f>HYPERLINK("https://klasma.github.io/Logging_2062/tillsyn/A 30904-2025 tillsynsbegäran.docx", "A 30904-2025")</f>
        <v/>
      </c>
      <c r="Y38">
        <f>HYPERLINK("https://klasma.github.io/Logging_2062/tillsynsmail/A 30904-2025 tillsynsbegäran mail.docx", "A 30904-2025")</f>
        <v/>
      </c>
      <c r="Z38">
        <f>HYPERLINK("https://klasma.github.io/Logging_2062/fåglar/A 30904-2025 prioriterade fågelarter.docx", "A 30904-2025")</f>
        <v/>
      </c>
    </row>
    <row r="39" ht="15" customHeight="1">
      <c r="A39" t="inlineStr">
        <is>
          <t>A 61259-2023</t>
        </is>
      </c>
      <c r="B39" s="1" t="n">
        <v>45264</v>
      </c>
      <c r="C39" s="1" t="n">
        <v>45967</v>
      </c>
      <c r="D39" t="inlineStr">
        <is>
          <t>DALARNAS LÄN</t>
        </is>
      </c>
      <c r="E39" t="inlineStr">
        <is>
          <t>MORA</t>
        </is>
      </c>
      <c r="F39" t="inlineStr">
        <is>
          <t>Allmännings- och besparingsskogar</t>
        </is>
      </c>
      <c r="G39" t="n">
        <v>1</v>
      </c>
      <c r="H39" t="n">
        <v>1</v>
      </c>
      <c r="I39" t="n">
        <v>3</v>
      </c>
      <c r="J39" t="n">
        <v>3</v>
      </c>
      <c r="K39" t="n">
        <v>1</v>
      </c>
      <c r="L39" t="n">
        <v>0</v>
      </c>
      <c r="M39" t="n">
        <v>0</v>
      </c>
      <c r="N39" t="n">
        <v>0</v>
      </c>
      <c r="O39" t="n">
        <v>4</v>
      </c>
      <c r="P39" t="n">
        <v>1</v>
      </c>
      <c r="Q39" t="n">
        <v>7</v>
      </c>
      <c r="R39" s="2" t="inlineStr">
        <is>
          <t>Knärot
Brunpudrad nållav
Garnlav
Vitgrynig nållav
Bronshjon
Thomsons trägnagare
Vågbandad barkbock</t>
        </is>
      </c>
      <c r="S39">
        <f>HYPERLINK("https://klasma.github.io/Logging_2062/artfynd/A 61259-2023 artfynd.xlsx", "A 61259-2023")</f>
        <v/>
      </c>
      <c r="T39">
        <f>HYPERLINK("https://klasma.github.io/Logging_2062/kartor/A 61259-2023 karta.png", "A 61259-2023")</f>
        <v/>
      </c>
      <c r="U39">
        <f>HYPERLINK("https://klasma.github.io/Logging_2062/knärot/A 61259-2023 karta knärot.png", "A 61259-2023")</f>
        <v/>
      </c>
      <c r="V39">
        <f>HYPERLINK("https://klasma.github.io/Logging_2062/klagomål/A 61259-2023 FSC-klagomål.docx", "A 61259-2023")</f>
        <v/>
      </c>
      <c r="W39">
        <f>HYPERLINK("https://klasma.github.io/Logging_2062/klagomålsmail/A 61259-2023 FSC-klagomål mail.docx", "A 61259-2023")</f>
        <v/>
      </c>
      <c r="X39">
        <f>HYPERLINK("https://klasma.github.io/Logging_2062/tillsyn/A 61259-2023 tillsynsbegäran.docx", "A 61259-2023")</f>
        <v/>
      </c>
      <c r="Y39">
        <f>HYPERLINK("https://klasma.github.io/Logging_2062/tillsynsmail/A 61259-2023 tillsynsbegäran mail.docx", "A 61259-2023")</f>
        <v/>
      </c>
    </row>
    <row r="40" ht="15" customHeight="1">
      <c r="A40" t="inlineStr">
        <is>
          <t>A 50244-2025</t>
        </is>
      </c>
      <c r="B40" s="1" t="n">
        <v>45944.29658564815</v>
      </c>
      <c r="C40" s="1" t="n">
        <v>45967</v>
      </c>
      <c r="D40" t="inlineStr">
        <is>
          <t>DALARNAS LÄN</t>
        </is>
      </c>
      <c r="E40" t="inlineStr">
        <is>
          <t>MORA</t>
        </is>
      </c>
      <c r="G40" t="n">
        <v>27.4</v>
      </c>
      <c r="H40" t="n">
        <v>1</v>
      </c>
      <c r="I40" t="n">
        <v>2</v>
      </c>
      <c r="J40" t="n">
        <v>4</v>
      </c>
      <c r="K40" t="n">
        <v>0</v>
      </c>
      <c r="L40" t="n">
        <v>0</v>
      </c>
      <c r="M40" t="n">
        <v>0</v>
      </c>
      <c r="N40" t="n">
        <v>0</v>
      </c>
      <c r="O40" t="n">
        <v>4</v>
      </c>
      <c r="P40" t="n">
        <v>0</v>
      </c>
      <c r="Q40" t="n">
        <v>7</v>
      </c>
      <c r="R40" s="2" t="inlineStr">
        <is>
          <t>Garnlav
Kolflarnlav
Mörk kolflarnlav
Tallticka
Bronshjon
Mindre märgborre
Tjäder</t>
        </is>
      </c>
      <c r="S40">
        <f>HYPERLINK("https://klasma.github.io/Logging_2062/artfynd/A 50244-2025 artfynd.xlsx", "A 50244-2025")</f>
        <v/>
      </c>
      <c r="T40">
        <f>HYPERLINK("https://klasma.github.io/Logging_2062/kartor/A 50244-2025 karta.png", "A 50244-2025")</f>
        <v/>
      </c>
      <c r="V40">
        <f>HYPERLINK("https://klasma.github.io/Logging_2062/klagomål/A 50244-2025 FSC-klagomål.docx", "A 50244-2025")</f>
        <v/>
      </c>
      <c r="W40">
        <f>HYPERLINK("https://klasma.github.io/Logging_2062/klagomålsmail/A 50244-2025 FSC-klagomål mail.docx", "A 50244-2025")</f>
        <v/>
      </c>
      <c r="X40">
        <f>HYPERLINK("https://klasma.github.io/Logging_2062/tillsyn/A 50244-2025 tillsynsbegäran.docx", "A 50244-2025")</f>
        <v/>
      </c>
      <c r="Y40">
        <f>HYPERLINK("https://klasma.github.io/Logging_2062/tillsynsmail/A 50244-2025 tillsynsbegäran mail.docx", "A 50244-2025")</f>
        <v/>
      </c>
      <c r="Z40">
        <f>HYPERLINK("https://klasma.github.io/Logging_2062/fåglar/A 50244-2025 prioriterade fågelarter.docx", "A 50244-2025")</f>
        <v/>
      </c>
    </row>
    <row r="41" ht="15" customHeight="1">
      <c r="A41" t="inlineStr">
        <is>
          <t>A 29380-2025</t>
        </is>
      </c>
      <c r="B41" s="1" t="n">
        <v>45824.59025462963</v>
      </c>
      <c r="C41" s="1" t="n">
        <v>45967</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45967</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34447-2024</t>
        </is>
      </c>
      <c r="B43" s="1" t="n">
        <v>45525</v>
      </c>
      <c r="C43" s="1" t="n">
        <v>45967</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45967</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45967</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45967</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31539-2025</t>
        </is>
      </c>
      <c r="B47" s="1" t="n">
        <v>45833</v>
      </c>
      <c r="C47" s="1" t="n">
        <v>45967</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35487-2025</t>
        </is>
      </c>
      <c r="B48" s="1" t="n">
        <v>45855</v>
      </c>
      <c r="C48" s="1" t="n">
        <v>45967</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45967</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14829-2025</t>
        </is>
      </c>
      <c r="B50" s="1" t="n">
        <v>45743.36951388889</v>
      </c>
      <c r="C50" s="1" t="n">
        <v>45967</v>
      </c>
      <c r="D50" t="inlineStr">
        <is>
          <t>DALARNAS LÄN</t>
        </is>
      </c>
      <c r="E50" t="inlineStr">
        <is>
          <t>MORA</t>
        </is>
      </c>
      <c r="G50" t="n">
        <v>6.4</v>
      </c>
      <c r="H50" t="n">
        <v>1</v>
      </c>
      <c r="I50" t="n">
        <v>1</v>
      </c>
      <c r="J50" t="n">
        <v>3</v>
      </c>
      <c r="K50" t="n">
        <v>0</v>
      </c>
      <c r="L50" t="n">
        <v>0</v>
      </c>
      <c r="M50" t="n">
        <v>0</v>
      </c>
      <c r="N50" t="n">
        <v>0</v>
      </c>
      <c r="O50" t="n">
        <v>3</v>
      </c>
      <c r="P50" t="n">
        <v>0</v>
      </c>
      <c r="Q50" t="n">
        <v>4</v>
      </c>
      <c r="R50" s="2" t="inlineStr">
        <is>
          <t>Garnlav
Motaggsvamp
Spillkråka
Dropptaggsvamp</t>
        </is>
      </c>
      <c r="S50">
        <f>HYPERLINK("https://klasma.github.io/Logging_2062/artfynd/A 14829-2025 artfynd.xlsx", "A 14829-2025")</f>
        <v/>
      </c>
      <c r="T50">
        <f>HYPERLINK("https://klasma.github.io/Logging_2062/kartor/A 14829-2025 karta.png", "A 14829-2025")</f>
        <v/>
      </c>
      <c r="V50">
        <f>HYPERLINK("https://klasma.github.io/Logging_2062/klagomål/A 14829-2025 FSC-klagomål.docx", "A 14829-2025")</f>
        <v/>
      </c>
      <c r="W50">
        <f>HYPERLINK("https://klasma.github.io/Logging_2062/klagomålsmail/A 14829-2025 FSC-klagomål mail.docx", "A 14829-2025")</f>
        <v/>
      </c>
      <c r="X50">
        <f>HYPERLINK("https://klasma.github.io/Logging_2062/tillsyn/A 14829-2025 tillsynsbegäran.docx", "A 14829-2025")</f>
        <v/>
      </c>
      <c r="Y50">
        <f>HYPERLINK("https://klasma.github.io/Logging_2062/tillsynsmail/A 14829-2025 tillsynsbegäran mail.docx", "A 14829-2025")</f>
        <v/>
      </c>
      <c r="Z50">
        <f>HYPERLINK("https://klasma.github.io/Logging_2062/fåglar/A 14829-2025 prioriterade fågelarter.docx", "A 14829-2025")</f>
        <v/>
      </c>
    </row>
    <row r="51" ht="15" customHeight="1">
      <c r="A51" t="inlineStr">
        <is>
          <t>A 14293-2024</t>
        </is>
      </c>
      <c r="B51" s="1" t="n">
        <v>45393.63902777778</v>
      </c>
      <c r="C51" s="1" t="n">
        <v>45967</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45967</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39478-2025</t>
        </is>
      </c>
      <c r="B53" s="1" t="n">
        <v>45890.3469212963</v>
      </c>
      <c r="C53" s="1" t="n">
        <v>45967</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45967</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34715-2025</t>
        </is>
      </c>
      <c r="B55" s="1" t="n">
        <v>45848.52225694444</v>
      </c>
      <c r="C55" s="1" t="n">
        <v>45967</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32222-2025</t>
        </is>
      </c>
      <c r="B56" s="1" t="n">
        <v>45835.59140046296</v>
      </c>
      <c r="C56" s="1" t="n">
        <v>45967</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39481-2025</t>
        </is>
      </c>
      <c r="B57" s="1" t="n">
        <v>45890.35545138889</v>
      </c>
      <c r="C57" s="1" t="n">
        <v>45967</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45967</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45967</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45967</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45967</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45967</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42028-2023</t>
        </is>
      </c>
      <c r="B63" s="1" t="n">
        <v>45177.49715277777</v>
      </c>
      <c r="C63" s="1" t="n">
        <v>45967</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23163-2025</t>
        </is>
      </c>
      <c r="B64" s="1" t="n">
        <v>45791.41832175926</v>
      </c>
      <c r="C64" s="1" t="n">
        <v>45967</v>
      </c>
      <c r="D64" t="inlineStr">
        <is>
          <t>DALARNAS LÄN</t>
        </is>
      </c>
      <c r="E64" t="inlineStr">
        <is>
          <t>MORA</t>
        </is>
      </c>
      <c r="G64" t="n">
        <v>4.2</v>
      </c>
      <c r="H64" t="n">
        <v>2</v>
      </c>
      <c r="I64" t="n">
        <v>0</v>
      </c>
      <c r="J64" t="n">
        <v>2</v>
      </c>
      <c r="K64" t="n">
        <v>0</v>
      </c>
      <c r="L64" t="n">
        <v>0</v>
      </c>
      <c r="M64" t="n">
        <v>0</v>
      </c>
      <c r="N64" t="n">
        <v>0</v>
      </c>
      <c r="O64" t="n">
        <v>2</v>
      </c>
      <c r="P64" t="n">
        <v>0</v>
      </c>
      <c r="Q64" t="n">
        <v>2</v>
      </c>
      <c r="R64" s="2" t="inlineStr">
        <is>
          <t>Spillkråka
Talltita</t>
        </is>
      </c>
      <c r="S64">
        <f>HYPERLINK("https://klasma.github.io/Logging_2062/artfynd/A 23163-2025 artfynd.xlsx", "A 23163-2025")</f>
        <v/>
      </c>
      <c r="T64">
        <f>HYPERLINK("https://klasma.github.io/Logging_2062/kartor/A 23163-2025 karta.png", "A 23163-2025")</f>
        <v/>
      </c>
      <c r="V64">
        <f>HYPERLINK("https://klasma.github.io/Logging_2062/klagomål/A 23163-2025 FSC-klagomål.docx", "A 23163-2025")</f>
        <v/>
      </c>
      <c r="W64">
        <f>HYPERLINK("https://klasma.github.io/Logging_2062/klagomålsmail/A 23163-2025 FSC-klagomål mail.docx", "A 23163-2025")</f>
        <v/>
      </c>
      <c r="X64">
        <f>HYPERLINK("https://klasma.github.io/Logging_2062/tillsyn/A 23163-2025 tillsynsbegäran.docx", "A 23163-2025")</f>
        <v/>
      </c>
      <c r="Y64">
        <f>HYPERLINK("https://klasma.github.io/Logging_2062/tillsynsmail/A 23163-2025 tillsynsbegäran mail.docx", "A 23163-2025")</f>
        <v/>
      </c>
      <c r="Z64">
        <f>HYPERLINK("https://klasma.github.io/Logging_2062/fåglar/A 23163-2025 prioriterade fågelarter.docx", "A 23163-2025")</f>
        <v/>
      </c>
    </row>
    <row r="65" ht="15" customHeight="1">
      <c r="A65" t="inlineStr">
        <is>
          <t>A 35068-2025</t>
        </is>
      </c>
      <c r="B65" s="1" t="n">
        <v>45852.45686342593</v>
      </c>
      <c r="C65" s="1" t="n">
        <v>45967</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45967</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16094-2024</t>
        </is>
      </c>
      <c r="B67" s="1" t="n">
        <v>45406.41648148148</v>
      </c>
      <c r="C67" s="1" t="n">
        <v>45967</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57669-2022</t>
        </is>
      </c>
      <c r="B68" s="1" t="n">
        <v>44897</v>
      </c>
      <c r="C68" s="1" t="n">
        <v>45967</v>
      </c>
      <c r="D68" t="inlineStr">
        <is>
          <t>DALARNAS LÄN</t>
        </is>
      </c>
      <c r="E68" t="inlineStr">
        <is>
          <t>MORA</t>
        </is>
      </c>
      <c r="G68" t="n">
        <v>4.1</v>
      </c>
      <c r="H68" t="n">
        <v>0</v>
      </c>
      <c r="I68" t="n">
        <v>0</v>
      </c>
      <c r="J68" t="n">
        <v>1</v>
      </c>
      <c r="K68" t="n">
        <v>0</v>
      </c>
      <c r="L68" t="n">
        <v>0</v>
      </c>
      <c r="M68" t="n">
        <v>0</v>
      </c>
      <c r="N68" t="n">
        <v>0</v>
      </c>
      <c r="O68" t="n">
        <v>1</v>
      </c>
      <c r="P68" t="n">
        <v>0</v>
      </c>
      <c r="Q68" t="n">
        <v>1</v>
      </c>
      <c r="R68" s="2" t="inlineStr">
        <is>
          <t>Igelkott</t>
        </is>
      </c>
      <c r="S68">
        <f>HYPERLINK("https://klasma.github.io/Logging_2062/artfynd/A 57669-2022 artfynd.xlsx", "A 57669-2022")</f>
        <v/>
      </c>
      <c r="T68">
        <f>HYPERLINK("https://klasma.github.io/Logging_2062/kartor/A 57669-2022 karta.png", "A 57669-2022")</f>
        <v/>
      </c>
      <c r="V68">
        <f>HYPERLINK("https://klasma.github.io/Logging_2062/klagomål/A 57669-2022 FSC-klagomål.docx", "A 57669-2022")</f>
        <v/>
      </c>
      <c r="W68">
        <f>HYPERLINK("https://klasma.github.io/Logging_2062/klagomålsmail/A 57669-2022 FSC-klagomål mail.docx", "A 57669-2022")</f>
        <v/>
      </c>
      <c r="X68">
        <f>HYPERLINK("https://klasma.github.io/Logging_2062/tillsyn/A 57669-2022 tillsynsbegäran.docx", "A 57669-2022")</f>
        <v/>
      </c>
      <c r="Y68">
        <f>HYPERLINK("https://klasma.github.io/Logging_2062/tillsynsmail/A 57669-2022 tillsynsbegäran mail.docx", "A 57669-2022")</f>
        <v/>
      </c>
    </row>
    <row r="69" ht="15" customHeight="1">
      <c r="A69" t="inlineStr">
        <is>
          <t>A 831-2025</t>
        </is>
      </c>
      <c r="B69" s="1" t="n">
        <v>45665.58001157407</v>
      </c>
      <c r="C69" s="1" t="n">
        <v>45967</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20538-2025</t>
        </is>
      </c>
      <c r="B70" s="1" t="n">
        <v>45775.62283564815</v>
      </c>
      <c r="C70" s="1" t="n">
        <v>45967</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20538-2025 artfynd.xlsx", "A 20538-2025")</f>
        <v/>
      </c>
      <c r="T70">
        <f>HYPERLINK("https://klasma.github.io/Logging_2062/kartor/A 20538-2025 karta.png", "A 20538-2025")</f>
        <v/>
      </c>
      <c r="V70">
        <f>HYPERLINK("https://klasma.github.io/Logging_2062/klagomål/A 20538-2025 FSC-klagomål.docx", "A 20538-2025")</f>
        <v/>
      </c>
      <c r="W70">
        <f>HYPERLINK("https://klasma.github.io/Logging_2062/klagomålsmail/A 20538-2025 FSC-klagomål mail.docx", "A 20538-2025")</f>
        <v/>
      </c>
      <c r="X70">
        <f>HYPERLINK("https://klasma.github.io/Logging_2062/tillsyn/A 20538-2025 tillsynsbegäran.docx", "A 20538-2025")</f>
        <v/>
      </c>
      <c r="Y70">
        <f>HYPERLINK("https://klasma.github.io/Logging_2062/tillsynsmail/A 20538-2025 tillsynsbegäran mail.docx", "A 20538-2025")</f>
        <v/>
      </c>
    </row>
    <row r="71" ht="15" customHeight="1">
      <c r="A71" t="inlineStr">
        <is>
          <t>A 13717-2023</t>
        </is>
      </c>
      <c r="B71" s="1" t="n">
        <v>45007</v>
      </c>
      <c r="C71" s="1" t="n">
        <v>45967</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45344-2024</t>
        </is>
      </c>
      <c r="B72" s="1" t="n">
        <v>45576</v>
      </c>
      <c r="C72" s="1" t="n">
        <v>45967</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5304-2023</t>
        </is>
      </c>
      <c r="B73" s="1" t="n">
        <v>44959.55116898148</v>
      </c>
      <c r="C73" s="1" t="n">
        <v>45967</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45967</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23736-2023</t>
        </is>
      </c>
      <c r="B75" s="1" t="n">
        <v>45077</v>
      </c>
      <c r="C75" s="1" t="n">
        <v>45967</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66990-2020</t>
        </is>
      </c>
      <c r="B76" s="1" t="n">
        <v>44180</v>
      </c>
      <c r="C76" s="1" t="n">
        <v>45967</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45967</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45967</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45967</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45967</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45967</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45967</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45967</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45967</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45967</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61338-2020</t>
        </is>
      </c>
      <c r="B86" s="1" t="n">
        <v>44155</v>
      </c>
      <c r="C86" s="1" t="n">
        <v>45967</v>
      </c>
      <c r="D86" t="inlineStr">
        <is>
          <t>DALARNAS LÄN</t>
        </is>
      </c>
      <c r="E86" t="inlineStr">
        <is>
          <t>MORA</t>
        </is>
      </c>
      <c r="F86" t="inlineStr">
        <is>
          <t>Bergvik skog väst AB</t>
        </is>
      </c>
      <c r="G86" t="n">
        <v>2</v>
      </c>
      <c r="H86" t="n">
        <v>0</v>
      </c>
      <c r="I86" t="n">
        <v>0</v>
      </c>
      <c r="J86" t="n">
        <v>0</v>
      </c>
      <c r="K86" t="n">
        <v>0</v>
      </c>
      <c r="L86" t="n">
        <v>0</v>
      </c>
      <c r="M86" t="n">
        <v>0</v>
      </c>
      <c r="N86" t="n">
        <v>0</v>
      </c>
      <c r="O86" t="n">
        <v>0</v>
      </c>
      <c r="P86" t="n">
        <v>0</v>
      </c>
      <c r="Q86" t="n">
        <v>0</v>
      </c>
      <c r="R86" s="2" t="inlineStr"/>
    </row>
    <row r="87" ht="15" customHeight="1">
      <c r="A87" t="inlineStr">
        <is>
          <t>A 72648-2021</t>
        </is>
      </c>
      <c r="B87" s="1" t="n">
        <v>44546.5862037037</v>
      </c>
      <c r="C87" s="1" t="n">
        <v>45967</v>
      </c>
      <c r="D87" t="inlineStr">
        <is>
          <t>DALARNAS LÄN</t>
        </is>
      </c>
      <c r="E87" t="inlineStr">
        <is>
          <t>MORA</t>
        </is>
      </c>
      <c r="G87" t="n">
        <v>0.2</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45967</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1951-2021</t>
        </is>
      </c>
      <c r="B89" s="1" t="n">
        <v>44210</v>
      </c>
      <c r="C89" s="1" t="n">
        <v>45967</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45967</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45967</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45967</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45967</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45967</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45967</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45967</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45967</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45967</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49583-2021</t>
        </is>
      </c>
      <c r="B99" s="1" t="n">
        <v>44455</v>
      </c>
      <c r="C99" s="1" t="n">
        <v>45967</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45967</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45967</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45967</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45967</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45967</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28344-2022</t>
        </is>
      </c>
      <c r="B105" s="1" t="n">
        <v>44747</v>
      </c>
      <c r="C105" s="1" t="n">
        <v>45967</v>
      </c>
      <c r="D105" t="inlineStr">
        <is>
          <t>DALARNAS LÄN</t>
        </is>
      </c>
      <c r="E105" t="inlineStr">
        <is>
          <t>MORA</t>
        </is>
      </c>
      <c r="F105" t="inlineStr">
        <is>
          <t>Kyrkan</t>
        </is>
      </c>
      <c r="G105" t="n">
        <v>6.4</v>
      </c>
      <c r="H105" t="n">
        <v>0</v>
      </c>
      <c r="I105" t="n">
        <v>0</v>
      </c>
      <c r="J105" t="n">
        <v>0</v>
      </c>
      <c r="K105" t="n">
        <v>0</v>
      </c>
      <c r="L105" t="n">
        <v>0</v>
      </c>
      <c r="M105" t="n">
        <v>0</v>
      </c>
      <c r="N105" t="n">
        <v>0</v>
      </c>
      <c r="O105" t="n">
        <v>0</v>
      </c>
      <c r="P105" t="n">
        <v>0</v>
      </c>
      <c r="Q105" t="n">
        <v>0</v>
      </c>
      <c r="R105" s="2" t="inlineStr"/>
    </row>
    <row r="106" ht="15" customHeight="1">
      <c r="A106" t="inlineStr">
        <is>
          <t>A 30895-2021</t>
        </is>
      </c>
      <c r="B106" s="1" t="n">
        <v>44365.59125</v>
      </c>
      <c r="C106" s="1" t="n">
        <v>45967</v>
      </c>
      <c r="D106" t="inlineStr">
        <is>
          <t>DALARNAS LÄN</t>
        </is>
      </c>
      <c r="E106" t="inlineStr">
        <is>
          <t>MORA</t>
        </is>
      </c>
      <c r="G106" t="n">
        <v>2.8</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45967</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45967</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45967</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45967</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45967</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45967</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45967</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45967</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45967</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45967</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45967</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45967</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45967</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45967</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45967</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45967</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45967</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45967</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33269-2022</t>
        </is>
      </c>
      <c r="B125" s="1" t="n">
        <v>44788.32601851852</v>
      </c>
      <c r="C125" s="1" t="n">
        <v>45967</v>
      </c>
      <c r="D125" t="inlineStr">
        <is>
          <t>DALARNAS LÄN</t>
        </is>
      </c>
      <c r="E125" t="inlineStr">
        <is>
          <t>MORA</t>
        </is>
      </c>
      <c r="G125" t="n">
        <v>3.1</v>
      </c>
      <c r="H125" t="n">
        <v>0</v>
      </c>
      <c r="I125" t="n">
        <v>0</v>
      </c>
      <c r="J125" t="n">
        <v>0</v>
      </c>
      <c r="K125" t="n">
        <v>0</v>
      </c>
      <c r="L125" t="n">
        <v>0</v>
      </c>
      <c r="M125" t="n">
        <v>0</v>
      </c>
      <c r="N125" t="n">
        <v>0</v>
      </c>
      <c r="O125" t="n">
        <v>0</v>
      </c>
      <c r="P125" t="n">
        <v>0</v>
      </c>
      <c r="Q125" t="n">
        <v>0</v>
      </c>
      <c r="R125" s="2" t="inlineStr"/>
    </row>
    <row r="126" ht="15" customHeight="1">
      <c r="A126" t="inlineStr">
        <is>
          <t>A 655-2021</t>
        </is>
      </c>
      <c r="B126" s="1" t="n">
        <v>44203</v>
      </c>
      <c r="C126" s="1" t="n">
        <v>45967</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57848-2020</t>
        </is>
      </c>
      <c r="B127" s="1" t="n">
        <v>44141</v>
      </c>
      <c r="C127" s="1" t="n">
        <v>45967</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28914-2022</t>
        </is>
      </c>
      <c r="B128" s="1" t="n">
        <v>44749.56221064815</v>
      </c>
      <c r="C128" s="1" t="n">
        <v>45967</v>
      </c>
      <c r="D128" t="inlineStr">
        <is>
          <t>DALARNAS LÄN</t>
        </is>
      </c>
      <c r="E128" t="inlineStr">
        <is>
          <t>MORA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45967</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66157-2021</t>
        </is>
      </c>
      <c r="B130" s="1" t="n">
        <v>44517.92888888889</v>
      </c>
      <c r="C130" s="1" t="n">
        <v>45967</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2277-2022</t>
        </is>
      </c>
      <c r="B131" s="1" t="n">
        <v>44578.66320601852</v>
      </c>
      <c r="C131" s="1" t="n">
        <v>45967</v>
      </c>
      <c r="D131" t="inlineStr">
        <is>
          <t>DALARNAS LÄN</t>
        </is>
      </c>
      <c r="E131" t="inlineStr">
        <is>
          <t>MORA</t>
        </is>
      </c>
      <c r="G131" t="n">
        <v>0.6</v>
      </c>
      <c r="H131" t="n">
        <v>0</v>
      </c>
      <c r="I131" t="n">
        <v>0</v>
      </c>
      <c r="J131" t="n">
        <v>0</v>
      </c>
      <c r="K131" t="n">
        <v>0</v>
      </c>
      <c r="L131" t="n">
        <v>0</v>
      </c>
      <c r="M131" t="n">
        <v>0</v>
      </c>
      <c r="N131" t="n">
        <v>0</v>
      </c>
      <c r="O131" t="n">
        <v>0</v>
      </c>
      <c r="P131" t="n">
        <v>0</v>
      </c>
      <c r="Q131" t="n">
        <v>0</v>
      </c>
      <c r="R131" s="2" t="inlineStr"/>
    </row>
    <row r="132" ht="15" customHeight="1">
      <c r="A132" t="inlineStr">
        <is>
          <t>A 32474-2022</t>
        </is>
      </c>
      <c r="B132" s="1" t="n">
        <v>44782</v>
      </c>
      <c r="C132" s="1" t="n">
        <v>45967</v>
      </c>
      <c r="D132" t="inlineStr">
        <is>
          <t>DALARNAS LÄN</t>
        </is>
      </c>
      <c r="E132" t="inlineStr">
        <is>
          <t>MORA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58413-2021</t>
        </is>
      </c>
      <c r="B133" s="1" t="n">
        <v>44488</v>
      </c>
      <c r="C133" s="1" t="n">
        <v>45967</v>
      </c>
      <c r="D133" t="inlineStr">
        <is>
          <t>DALARNAS LÄN</t>
        </is>
      </c>
      <c r="E133" t="inlineStr">
        <is>
          <t>MORA</t>
        </is>
      </c>
      <c r="F133" t="inlineStr">
        <is>
          <t>Bergvik skog öst AB</t>
        </is>
      </c>
      <c r="G133" t="n">
        <v>5.3</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45967</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45967</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45967</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45967</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67045-2021</t>
        </is>
      </c>
      <c r="B138" s="1" t="n">
        <v>44522</v>
      </c>
      <c r="C138" s="1" t="n">
        <v>45967</v>
      </c>
      <c r="D138" t="inlineStr">
        <is>
          <t>DALARNAS LÄN</t>
        </is>
      </c>
      <c r="E138" t="inlineStr">
        <is>
          <t>MORA</t>
        </is>
      </c>
      <c r="G138" t="n">
        <v>0.2</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45967</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8546-2022</t>
        </is>
      </c>
      <c r="B140" s="1" t="n">
        <v>44613</v>
      </c>
      <c r="C140" s="1" t="n">
        <v>45967</v>
      </c>
      <c r="D140" t="inlineStr">
        <is>
          <t>DALARNAS LÄN</t>
        </is>
      </c>
      <c r="E140" t="inlineStr">
        <is>
          <t>MORA</t>
        </is>
      </c>
      <c r="G140" t="n">
        <v>2.6</v>
      </c>
      <c r="H140" t="n">
        <v>0</v>
      </c>
      <c r="I140" t="n">
        <v>0</v>
      </c>
      <c r="J140" t="n">
        <v>0</v>
      </c>
      <c r="K140" t="n">
        <v>0</v>
      </c>
      <c r="L140" t="n">
        <v>0</v>
      </c>
      <c r="M140" t="n">
        <v>0</v>
      </c>
      <c r="N140" t="n">
        <v>0</v>
      </c>
      <c r="O140" t="n">
        <v>0</v>
      </c>
      <c r="P140" t="n">
        <v>0</v>
      </c>
      <c r="Q140" t="n">
        <v>0</v>
      </c>
      <c r="R140" s="2" t="inlineStr"/>
    </row>
    <row r="141" ht="15" customHeight="1">
      <c r="A141" t="inlineStr">
        <is>
          <t>A 56501-2021</t>
        </is>
      </c>
      <c r="B141" s="1" t="n">
        <v>44480.57549768518</v>
      </c>
      <c r="C141" s="1" t="n">
        <v>45967</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60250-2020</t>
        </is>
      </c>
      <c r="B142" s="1" t="n">
        <v>44152</v>
      </c>
      <c r="C142" s="1" t="n">
        <v>45967</v>
      </c>
      <c r="D142" t="inlineStr">
        <is>
          <t>DALARNAS LÄN</t>
        </is>
      </c>
      <c r="E142" t="inlineStr">
        <is>
          <t>MORA</t>
        </is>
      </c>
      <c r="F142" t="inlineStr">
        <is>
          <t>Bergvik skog öst AB</t>
        </is>
      </c>
      <c r="G142" t="n">
        <v>0.8</v>
      </c>
      <c r="H142" t="n">
        <v>0</v>
      </c>
      <c r="I142" t="n">
        <v>0</v>
      </c>
      <c r="J142" t="n">
        <v>0</v>
      </c>
      <c r="K142" t="n">
        <v>0</v>
      </c>
      <c r="L142" t="n">
        <v>0</v>
      </c>
      <c r="M142" t="n">
        <v>0</v>
      </c>
      <c r="N142" t="n">
        <v>0</v>
      </c>
      <c r="O142" t="n">
        <v>0</v>
      </c>
      <c r="P142" t="n">
        <v>0</v>
      </c>
      <c r="Q142" t="n">
        <v>0</v>
      </c>
      <c r="R142" s="2" t="inlineStr"/>
    </row>
    <row r="143" ht="15" customHeight="1">
      <c r="A143" t="inlineStr">
        <is>
          <t>A 4488-2022</t>
        </is>
      </c>
      <c r="B143" s="1" t="n">
        <v>44589.65528935185</v>
      </c>
      <c r="C143" s="1" t="n">
        <v>45967</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62301-2020</t>
        </is>
      </c>
      <c r="B144" s="1" t="n">
        <v>44160</v>
      </c>
      <c r="C144" s="1" t="n">
        <v>45967</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22931-2021</t>
        </is>
      </c>
      <c r="B145" s="1" t="n">
        <v>44326</v>
      </c>
      <c r="C145" s="1" t="n">
        <v>45967</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32721-2024</t>
        </is>
      </c>
      <c r="B146" s="1" t="n">
        <v>45516.40261574074</v>
      </c>
      <c r="C146" s="1" t="n">
        <v>45967</v>
      </c>
      <c r="D146" t="inlineStr">
        <is>
          <t>DALARNAS LÄN</t>
        </is>
      </c>
      <c r="E146" t="inlineStr">
        <is>
          <t>MORA</t>
        </is>
      </c>
      <c r="G146" t="n">
        <v>4.2</v>
      </c>
      <c r="H146" t="n">
        <v>0</v>
      </c>
      <c r="I146" t="n">
        <v>0</v>
      </c>
      <c r="J146" t="n">
        <v>0</v>
      </c>
      <c r="K146" t="n">
        <v>0</v>
      </c>
      <c r="L146" t="n">
        <v>0</v>
      </c>
      <c r="M146" t="n">
        <v>0</v>
      </c>
      <c r="N146" t="n">
        <v>0</v>
      </c>
      <c r="O146" t="n">
        <v>0</v>
      </c>
      <c r="P146" t="n">
        <v>0</v>
      </c>
      <c r="Q146" t="n">
        <v>0</v>
      </c>
      <c r="R146" s="2" t="inlineStr"/>
    </row>
    <row r="147" ht="15" customHeight="1">
      <c r="A147" t="inlineStr">
        <is>
          <t>A 36038-2024</t>
        </is>
      </c>
      <c r="B147" s="1" t="n">
        <v>45533</v>
      </c>
      <c r="C147" s="1" t="n">
        <v>45967</v>
      </c>
      <c r="D147" t="inlineStr">
        <is>
          <t>DALARNAS LÄN</t>
        </is>
      </c>
      <c r="E147" t="inlineStr">
        <is>
          <t>MORA</t>
        </is>
      </c>
      <c r="G147" t="n">
        <v>5.1</v>
      </c>
      <c r="H147" t="n">
        <v>0</v>
      </c>
      <c r="I147" t="n">
        <v>0</v>
      </c>
      <c r="J147" t="n">
        <v>0</v>
      </c>
      <c r="K147" t="n">
        <v>0</v>
      </c>
      <c r="L147" t="n">
        <v>0</v>
      </c>
      <c r="M147" t="n">
        <v>0</v>
      </c>
      <c r="N147" t="n">
        <v>0</v>
      </c>
      <c r="O147" t="n">
        <v>0</v>
      </c>
      <c r="P147" t="n">
        <v>0</v>
      </c>
      <c r="Q147" t="n">
        <v>0</v>
      </c>
      <c r="R147" s="2" t="inlineStr"/>
    </row>
    <row r="148" ht="15" customHeight="1">
      <c r="A148" t="inlineStr">
        <is>
          <t>A 24393-2022</t>
        </is>
      </c>
      <c r="B148" s="1" t="n">
        <v>44726</v>
      </c>
      <c r="C148" s="1" t="n">
        <v>45967</v>
      </c>
      <c r="D148" t="inlineStr">
        <is>
          <t>DALARNAS LÄN</t>
        </is>
      </c>
      <c r="E148" t="inlineStr">
        <is>
          <t>MORA</t>
        </is>
      </c>
      <c r="G148" t="n">
        <v>2.1</v>
      </c>
      <c r="H148" t="n">
        <v>0</v>
      </c>
      <c r="I148" t="n">
        <v>0</v>
      </c>
      <c r="J148" t="n">
        <v>0</v>
      </c>
      <c r="K148" t="n">
        <v>0</v>
      </c>
      <c r="L148" t="n">
        <v>0</v>
      </c>
      <c r="M148" t="n">
        <v>0</v>
      </c>
      <c r="N148" t="n">
        <v>0</v>
      </c>
      <c r="O148" t="n">
        <v>0</v>
      </c>
      <c r="P148" t="n">
        <v>0</v>
      </c>
      <c r="Q148" t="n">
        <v>0</v>
      </c>
      <c r="R148" s="2" t="inlineStr"/>
    </row>
    <row r="149" ht="15" customHeight="1">
      <c r="A149" t="inlineStr">
        <is>
          <t>A 52573-2021</t>
        </is>
      </c>
      <c r="B149" s="1" t="n">
        <v>44466</v>
      </c>
      <c r="C149" s="1" t="n">
        <v>45967</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38055-2024</t>
        </is>
      </c>
      <c r="B150" s="1" t="n">
        <v>45544</v>
      </c>
      <c r="C150" s="1" t="n">
        <v>45967</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35327-2024</t>
        </is>
      </c>
      <c r="B151" s="1" t="n">
        <v>45530.71334490741</v>
      </c>
      <c r="C151" s="1" t="n">
        <v>45967</v>
      </c>
      <c r="D151" t="inlineStr">
        <is>
          <t>DALARNAS LÄN</t>
        </is>
      </c>
      <c r="E151" t="inlineStr">
        <is>
          <t>MORA</t>
        </is>
      </c>
      <c r="G151" t="n">
        <v>5</v>
      </c>
      <c r="H151" t="n">
        <v>0</v>
      </c>
      <c r="I151" t="n">
        <v>0</v>
      </c>
      <c r="J151" t="n">
        <v>0</v>
      </c>
      <c r="K151" t="n">
        <v>0</v>
      </c>
      <c r="L151" t="n">
        <v>0</v>
      </c>
      <c r="M151" t="n">
        <v>0</v>
      </c>
      <c r="N151" t="n">
        <v>0</v>
      </c>
      <c r="O151" t="n">
        <v>0</v>
      </c>
      <c r="P151" t="n">
        <v>0</v>
      </c>
      <c r="Q151" t="n">
        <v>0</v>
      </c>
      <c r="R151" s="2" t="inlineStr"/>
    </row>
    <row r="152" ht="15" customHeight="1">
      <c r="A152" t="inlineStr">
        <is>
          <t>A 30194-2024</t>
        </is>
      </c>
      <c r="B152" s="1" t="n">
        <v>45490.33387731481</v>
      </c>
      <c r="C152" s="1" t="n">
        <v>45967</v>
      </c>
      <c r="D152" t="inlineStr">
        <is>
          <t>DALARNAS LÄN</t>
        </is>
      </c>
      <c r="E152" t="inlineStr">
        <is>
          <t>MORA</t>
        </is>
      </c>
      <c r="G152" t="n">
        <v>3.1</v>
      </c>
      <c r="H152" t="n">
        <v>0</v>
      </c>
      <c r="I152" t="n">
        <v>0</v>
      </c>
      <c r="J152" t="n">
        <v>0</v>
      </c>
      <c r="K152" t="n">
        <v>0</v>
      </c>
      <c r="L152" t="n">
        <v>0</v>
      </c>
      <c r="M152" t="n">
        <v>0</v>
      </c>
      <c r="N152" t="n">
        <v>0</v>
      </c>
      <c r="O152" t="n">
        <v>0</v>
      </c>
      <c r="P152" t="n">
        <v>0</v>
      </c>
      <c r="Q152" t="n">
        <v>0</v>
      </c>
      <c r="R152" s="2" t="inlineStr"/>
    </row>
    <row r="153" ht="15" customHeight="1">
      <c r="A153" t="inlineStr">
        <is>
          <t>A 5486-2023</t>
        </is>
      </c>
      <c r="B153" s="1" t="n">
        <v>44957</v>
      </c>
      <c r="C153" s="1" t="n">
        <v>45967</v>
      </c>
      <c r="D153" t="inlineStr">
        <is>
          <t>DALARNAS LÄN</t>
        </is>
      </c>
      <c r="E153" t="inlineStr">
        <is>
          <t>MORA</t>
        </is>
      </c>
      <c r="G153" t="n">
        <v>3.2</v>
      </c>
      <c r="H153" t="n">
        <v>0</v>
      </c>
      <c r="I153" t="n">
        <v>0</v>
      </c>
      <c r="J153" t="n">
        <v>0</v>
      </c>
      <c r="K153" t="n">
        <v>0</v>
      </c>
      <c r="L153" t="n">
        <v>0</v>
      </c>
      <c r="M153" t="n">
        <v>0</v>
      </c>
      <c r="N153" t="n">
        <v>0</v>
      </c>
      <c r="O153" t="n">
        <v>0</v>
      </c>
      <c r="P153" t="n">
        <v>0</v>
      </c>
      <c r="Q153" t="n">
        <v>0</v>
      </c>
      <c r="R153" s="2" t="inlineStr"/>
    </row>
    <row r="154" ht="15" customHeight="1">
      <c r="A154" t="inlineStr">
        <is>
          <t>A 47143-2022</t>
        </is>
      </c>
      <c r="B154" s="1" t="n">
        <v>44852</v>
      </c>
      <c r="C154" s="1" t="n">
        <v>45967</v>
      </c>
      <c r="D154" t="inlineStr">
        <is>
          <t>DALARNAS LÄN</t>
        </is>
      </c>
      <c r="E154" t="inlineStr">
        <is>
          <t>MORA</t>
        </is>
      </c>
      <c r="G154" t="n">
        <v>3.9</v>
      </c>
      <c r="H154" t="n">
        <v>0</v>
      </c>
      <c r="I154" t="n">
        <v>0</v>
      </c>
      <c r="J154" t="n">
        <v>0</v>
      </c>
      <c r="K154" t="n">
        <v>0</v>
      </c>
      <c r="L154" t="n">
        <v>0</v>
      </c>
      <c r="M154" t="n">
        <v>0</v>
      </c>
      <c r="N154" t="n">
        <v>0</v>
      </c>
      <c r="O154" t="n">
        <v>0</v>
      </c>
      <c r="P154" t="n">
        <v>0</v>
      </c>
      <c r="Q154" t="n">
        <v>0</v>
      </c>
      <c r="R154" s="2" t="inlineStr"/>
    </row>
    <row r="155" ht="15" customHeight="1">
      <c r="A155" t="inlineStr">
        <is>
          <t>A 3430-2023</t>
        </is>
      </c>
      <c r="B155" s="1" t="n">
        <v>44949.57856481482</v>
      </c>
      <c r="C155" s="1" t="n">
        <v>45967</v>
      </c>
      <c r="D155" t="inlineStr">
        <is>
          <t>DALARNAS LÄN</t>
        </is>
      </c>
      <c r="E155" t="inlineStr">
        <is>
          <t>MORA</t>
        </is>
      </c>
      <c r="G155" t="n">
        <v>2.6</v>
      </c>
      <c r="H155" t="n">
        <v>0</v>
      </c>
      <c r="I155" t="n">
        <v>0</v>
      </c>
      <c r="J155" t="n">
        <v>0</v>
      </c>
      <c r="K155" t="n">
        <v>0</v>
      </c>
      <c r="L155" t="n">
        <v>0</v>
      </c>
      <c r="M155" t="n">
        <v>0</v>
      </c>
      <c r="N155" t="n">
        <v>0</v>
      </c>
      <c r="O155" t="n">
        <v>0</v>
      </c>
      <c r="P155" t="n">
        <v>0</v>
      </c>
      <c r="Q155" t="n">
        <v>0</v>
      </c>
      <c r="R155" s="2" t="inlineStr"/>
    </row>
    <row r="156" ht="15" customHeight="1">
      <c r="A156" t="inlineStr">
        <is>
          <t>A 46129-2024</t>
        </is>
      </c>
      <c r="B156" s="1" t="n">
        <v>45581.43337962963</v>
      </c>
      <c r="C156" s="1" t="n">
        <v>45967</v>
      </c>
      <c r="D156" t="inlineStr">
        <is>
          <t>DALARNAS LÄN</t>
        </is>
      </c>
      <c r="E156" t="inlineStr">
        <is>
          <t>MORA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28934-2023</t>
        </is>
      </c>
      <c r="B157" s="1" t="n">
        <v>45104</v>
      </c>
      <c r="C157" s="1" t="n">
        <v>45967</v>
      </c>
      <c r="D157" t="inlineStr">
        <is>
          <t>DALARNAS LÄN</t>
        </is>
      </c>
      <c r="E157" t="inlineStr">
        <is>
          <t>MORA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31929-2024</t>
        </is>
      </c>
      <c r="B158" s="1" t="n">
        <v>45510.40587962963</v>
      </c>
      <c r="C158" s="1" t="n">
        <v>45967</v>
      </c>
      <c r="D158" t="inlineStr">
        <is>
          <t>DALARNAS LÄN</t>
        </is>
      </c>
      <c r="E158" t="inlineStr">
        <is>
          <t>MORA</t>
        </is>
      </c>
      <c r="G158" t="n">
        <v>10.8</v>
      </c>
      <c r="H158" t="n">
        <v>0</v>
      </c>
      <c r="I158" t="n">
        <v>0</v>
      </c>
      <c r="J158" t="n">
        <v>0</v>
      </c>
      <c r="K158" t="n">
        <v>0</v>
      </c>
      <c r="L158" t="n">
        <v>0</v>
      </c>
      <c r="M158" t="n">
        <v>0</v>
      </c>
      <c r="N158" t="n">
        <v>0</v>
      </c>
      <c r="O158" t="n">
        <v>0</v>
      </c>
      <c r="P158" t="n">
        <v>0</v>
      </c>
      <c r="Q158" t="n">
        <v>0</v>
      </c>
      <c r="R158" s="2" t="inlineStr"/>
    </row>
    <row r="159" ht="15" customHeight="1">
      <c r="A159" t="inlineStr">
        <is>
          <t>A 56770-2024</t>
        </is>
      </c>
      <c r="B159" s="1" t="n">
        <v>45628.41587962963</v>
      </c>
      <c r="C159" s="1" t="n">
        <v>45967</v>
      </c>
      <c r="D159" t="inlineStr">
        <is>
          <t>DALARNAS LÄN</t>
        </is>
      </c>
      <c r="E159" t="inlineStr">
        <is>
          <t>MORA</t>
        </is>
      </c>
      <c r="G159" t="n">
        <v>1.1</v>
      </c>
      <c r="H159" t="n">
        <v>0</v>
      </c>
      <c r="I159" t="n">
        <v>0</v>
      </c>
      <c r="J159" t="n">
        <v>0</v>
      </c>
      <c r="K159" t="n">
        <v>0</v>
      </c>
      <c r="L159" t="n">
        <v>0</v>
      </c>
      <c r="M159" t="n">
        <v>0</v>
      </c>
      <c r="N159" t="n">
        <v>0</v>
      </c>
      <c r="O159" t="n">
        <v>0</v>
      </c>
      <c r="P159" t="n">
        <v>0</v>
      </c>
      <c r="Q159" t="n">
        <v>0</v>
      </c>
      <c r="R159" s="2" t="inlineStr"/>
    </row>
    <row r="160" ht="15" customHeight="1">
      <c r="A160" t="inlineStr">
        <is>
          <t>A 34282-2024</t>
        </is>
      </c>
      <c r="B160" s="1" t="n">
        <v>45524.62600694445</v>
      </c>
      <c r="C160" s="1" t="n">
        <v>45967</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43498-2023</t>
        </is>
      </c>
      <c r="B161" s="1" t="n">
        <v>45184</v>
      </c>
      <c r="C161" s="1" t="n">
        <v>45967</v>
      </c>
      <c r="D161" t="inlineStr">
        <is>
          <t>DALARNAS LÄN</t>
        </is>
      </c>
      <c r="E161" t="inlineStr">
        <is>
          <t>MORA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36600-2023</t>
        </is>
      </c>
      <c r="B162" s="1" t="n">
        <v>45153</v>
      </c>
      <c r="C162" s="1" t="n">
        <v>45967</v>
      </c>
      <c r="D162" t="inlineStr">
        <is>
          <t>DALARNAS LÄN</t>
        </is>
      </c>
      <c r="E162" t="inlineStr">
        <is>
          <t>MORA</t>
        </is>
      </c>
      <c r="G162" t="n">
        <v>7.3</v>
      </c>
      <c r="H162" t="n">
        <v>0</v>
      </c>
      <c r="I162" t="n">
        <v>0</v>
      </c>
      <c r="J162" t="n">
        <v>0</v>
      </c>
      <c r="K162" t="n">
        <v>0</v>
      </c>
      <c r="L162" t="n">
        <v>0</v>
      </c>
      <c r="M162" t="n">
        <v>0</v>
      </c>
      <c r="N162" t="n">
        <v>0</v>
      </c>
      <c r="O162" t="n">
        <v>0</v>
      </c>
      <c r="P162" t="n">
        <v>0</v>
      </c>
      <c r="Q162" t="n">
        <v>0</v>
      </c>
      <c r="R162" s="2" t="inlineStr"/>
    </row>
    <row r="163" ht="15" customHeight="1">
      <c r="A163" t="inlineStr">
        <is>
          <t>A 42943-2024</t>
        </is>
      </c>
      <c r="B163" s="1" t="n">
        <v>45567.35359953704</v>
      </c>
      <c r="C163" s="1" t="n">
        <v>45967</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4489-2022</t>
        </is>
      </c>
      <c r="B164" s="1" t="n">
        <v>44589</v>
      </c>
      <c r="C164" s="1" t="n">
        <v>45967</v>
      </c>
      <c r="D164" t="inlineStr">
        <is>
          <t>DALARNAS LÄN</t>
        </is>
      </c>
      <c r="E164" t="inlineStr">
        <is>
          <t>MORA</t>
        </is>
      </c>
      <c r="G164" t="n">
        <v>0.7</v>
      </c>
      <c r="H164" t="n">
        <v>0</v>
      </c>
      <c r="I164" t="n">
        <v>0</v>
      </c>
      <c r="J164" t="n">
        <v>0</v>
      </c>
      <c r="K164" t="n">
        <v>0</v>
      </c>
      <c r="L164" t="n">
        <v>0</v>
      </c>
      <c r="M164" t="n">
        <v>0</v>
      </c>
      <c r="N164" t="n">
        <v>0</v>
      </c>
      <c r="O164" t="n">
        <v>0</v>
      </c>
      <c r="P164" t="n">
        <v>0</v>
      </c>
      <c r="Q164" t="n">
        <v>0</v>
      </c>
      <c r="R164" s="2" t="inlineStr"/>
    </row>
    <row r="165" ht="15" customHeight="1">
      <c r="A165" t="inlineStr">
        <is>
          <t>A 5418-2025</t>
        </is>
      </c>
      <c r="B165" s="1" t="n">
        <v>45692.68561342593</v>
      </c>
      <c r="C165" s="1" t="n">
        <v>45967</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19842-2025</t>
        </is>
      </c>
      <c r="B166" s="1" t="n">
        <v>45771.47938657407</v>
      </c>
      <c r="C166" s="1" t="n">
        <v>45967</v>
      </c>
      <c r="D166" t="inlineStr">
        <is>
          <t>DALARNAS LÄN</t>
        </is>
      </c>
      <c r="E166" t="inlineStr">
        <is>
          <t>MORA</t>
        </is>
      </c>
      <c r="G166" t="n">
        <v>1.9</v>
      </c>
      <c r="H166" t="n">
        <v>0</v>
      </c>
      <c r="I166" t="n">
        <v>0</v>
      </c>
      <c r="J166" t="n">
        <v>0</v>
      </c>
      <c r="K166" t="n">
        <v>0</v>
      </c>
      <c r="L166" t="n">
        <v>0</v>
      </c>
      <c r="M166" t="n">
        <v>0</v>
      </c>
      <c r="N166" t="n">
        <v>0</v>
      </c>
      <c r="O166" t="n">
        <v>0</v>
      </c>
      <c r="P166" t="n">
        <v>0</v>
      </c>
      <c r="Q166" t="n">
        <v>0</v>
      </c>
      <c r="R166" s="2" t="inlineStr"/>
    </row>
    <row r="167" ht="15" customHeight="1">
      <c r="A167" t="inlineStr">
        <is>
          <t>A 52525-2022</t>
        </is>
      </c>
      <c r="B167" s="1" t="n">
        <v>44874</v>
      </c>
      <c r="C167" s="1" t="n">
        <v>45967</v>
      </c>
      <c r="D167" t="inlineStr">
        <is>
          <t>DALARNAS LÄN</t>
        </is>
      </c>
      <c r="E167" t="inlineStr">
        <is>
          <t>MORA</t>
        </is>
      </c>
      <c r="F167" t="inlineStr">
        <is>
          <t>Bergvik skog öst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18134-2025</t>
        </is>
      </c>
      <c r="B168" s="1" t="n">
        <v>45761.60189814815</v>
      </c>
      <c r="C168" s="1" t="n">
        <v>45967</v>
      </c>
      <c r="D168" t="inlineStr">
        <is>
          <t>DALARNAS LÄN</t>
        </is>
      </c>
      <c r="E168" t="inlineStr">
        <is>
          <t>MORA</t>
        </is>
      </c>
      <c r="F168" t="inlineStr">
        <is>
          <t>Bergvik skog öst AB</t>
        </is>
      </c>
      <c r="G168" t="n">
        <v>0.9</v>
      </c>
      <c r="H168" t="n">
        <v>0</v>
      </c>
      <c r="I168" t="n">
        <v>0</v>
      </c>
      <c r="J168" t="n">
        <v>0</v>
      </c>
      <c r="K168" t="n">
        <v>0</v>
      </c>
      <c r="L168" t="n">
        <v>0</v>
      </c>
      <c r="M168" t="n">
        <v>0</v>
      </c>
      <c r="N168" t="n">
        <v>0</v>
      </c>
      <c r="O168" t="n">
        <v>0</v>
      </c>
      <c r="P168" t="n">
        <v>0</v>
      </c>
      <c r="Q168" t="n">
        <v>0</v>
      </c>
      <c r="R168" s="2" t="inlineStr"/>
    </row>
    <row r="169" ht="15" customHeight="1">
      <c r="A169" t="inlineStr">
        <is>
          <t>A 41169-2023</t>
        </is>
      </c>
      <c r="B169" s="1" t="n">
        <v>45174.34662037037</v>
      </c>
      <c r="C169" s="1" t="n">
        <v>45967</v>
      </c>
      <c r="D169" t="inlineStr">
        <is>
          <t>DALARNAS LÄN</t>
        </is>
      </c>
      <c r="E169" t="inlineStr">
        <is>
          <t>MORA</t>
        </is>
      </c>
      <c r="G169" t="n">
        <v>3</v>
      </c>
      <c r="H169" t="n">
        <v>0</v>
      </c>
      <c r="I169" t="n">
        <v>0</v>
      </c>
      <c r="J169" t="n">
        <v>0</v>
      </c>
      <c r="K169" t="n">
        <v>0</v>
      </c>
      <c r="L169" t="n">
        <v>0</v>
      </c>
      <c r="M169" t="n">
        <v>0</v>
      </c>
      <c r="N169" t="n">
        <v>0</v>
      </c>
      <c r="O169" t="n">
        <v>0</v>
      </c>
      <c r="P169" t="n">
        <v>0</v>
      </c>
      <c r="Q169" t="n">
        <v>0</v>
      </c>
      <c r="R169" s="2" t="inlineStr"/>
    </row>
    <row r="170" ht="15" customHeight="1">
      <c r="A170" t="inlineStr">
        <is>
          <t>A 61249-2023</t>
        </is>
      </c>
      <c r="B170" s="1" t="n">
        <v>45264</v>
      </c>
      <c r="C170" s="1" t="n">
        <v>45967</v>
      </c>
      <c r="D170" t="inlineStr">
        <is>
          <t>DALARNAS LÄN</t>
        </is>
      </c>
      <c r="E170" t="inlineStr">
        <is>
          <t>MORA</t>
        </is>
      </c>
      <c r="F170" t="inlineStr">
        <is>
          <t>Allmännings- och besparingsskogar</t>
        </is>
      </c>
      <c r="G170" t="n">
        <v>1.7</v>
      </c>
      <c r="H170" t="n">
        <v>0</v>
      </c>
      <c r="I170" t="n">
        <v>0</v>
      </c>
      <c r="J170" t="n">
        <v>0</v>
      </c>
      <c r="K170" t="n">
        <v>0</v>
      </c>
      <c r="L170" t="n">
        <v>0</v>
      </c>
      <c r="M170" t="n">
        <v>0</v>
      </c>
      <c r="N170" t="n">
        <v>0</v>
      </c>
      <c r="O170" t="n">
        <v>0</v>
      </c>
      <c r="P170" t="n">
        <v>0</v>
      </c>
      <c r="Q170" t="n">
        <v>0</v>
      </c>
      <c r="R170" s="2" t="inlineStr"/>
    </row>
    <row r="171" ht="15" customHeight="1">
      <c r="A171" t="inlineStr">
        <is>
          <t>A 48522-2024</t>
        </is>
      </c>
      <c r="B171" s="1" t="n">
        <v>45593.32924768519</v>
      </c>
      <c r="C171" s="1" t="n">
        <v>45967</v>
      </c>
      <c r="D171" t="inlineStr">
        <is>
          <t>DALARNAS LÄN</t>
        </is>
      </c>
      <c r="E171" t="inlineStr">
        <is>
          <t>MORA</t>
        </is>
      </c>
      <c r="G171" t="n">
        <v>1.2</v>
      </c>
      <c r="H171" t="n">
        <v>0</v>
      </c>
      <c r="I171" t="n">
        <v>0</v>
      </c>
      <c r="J171" t="n">
        <v>0</v>
      </c>
      <c r="K171" t="n">
        <v>0</v>
      </c>
      <c r="L171" t="n">
        <v>0</v>
      </c>
      <c r="M171" t="n">
        <v>0</v>
      </c>
      <c r="N171" t="n">
        <v>0</v>
      </c>
      <c r="O171" t="n">
        <v>0</v>
      </c>
      <c r="P171" t="n">
        <v>0</v>
      </c>
      <c r="Q171" t="n">
        <v>0</v>
      </c>
      <c r="R171" s="2" t="inlineStr"/>
    </row>
    <row r="172" ht="15" customHeight="1">
      <c r="A172" t="inlineStr">
        <is>
          <t>A 16733-2024</t>
        </is>
      </c>
      <c r="B172" s="1" t="n">
        <v>45410.78502314815</v>
      </c>
      <c r="C172" s="1" t="n">
        <v>45967</v>
      </c>
      <c r="D172" t="inlineStr">
        <is>
          <t>DALARNAS LÄN</t>
        </is>
      </c>
      <c r="E172" t="inlineStr">
        <is>
          <t>MORA</t>
        </is>
      </c>
      <c r="G172" t="n">
        <v>6.3</v>
      </c>
      <c r="H172" t="n">
        <v>0</v>
      </c>
      <c r="I172" t="n">
        <v>0</v>
      </c>
      <c r="J172" t="n">
        <v>0</v>
      </c>
      <c r="K172" t="n">
        <v>0</v>
      </c>
      <c r="L172" t="n">
        <v>0</v>
      </c>
      <c r="M172" t="n">
        <v>0</v>
      </c>
      <c r="N172" t="n">
        <v>0</v>
      </c>
      <c r="O172" t="n">
        <v>0</v>
      </c>
      <c r="P172" t="n">
        <v>0</v>
      </c>
      <c r="Q172" t="n">
        <v>0</v>
      </c>
      <c r="R172" s="2" t="inlineStr"/>
    </row>
    <row r="173" ht="15" customHeight="1">
      <c r="A173" t="inlineStr">
        <is>
          <t>A 53159-2024</t>
        </is>
      </c>
      <c r="B173" s="1" t="n">
        <v>45611.63849537037</v>
      </c>
      <c r="C173" s="1" t="n">
        <v>45967</v>
      </c>
      <c r="D173" t="inlineStr">
        <is>
          <t>DALARNAS LÄN</t>
        </is>
      </c>
      <c r="E173" t="inlineStr">
        <is>
          <t>MORA</t>
        </is>
      </c>
      <c r="G173" t="n">
        <v>3.3</v>
      </c>
      <c r="H173" t="n">
        <v>0</v>
      </c>
      <c r="I173" t="n">
        <v>0</v>
      </c>
      <c r="J173" t="n">
        <v>0</v>
      </c>
      <c r="K173" t="n">
        <v>0</v>
      </c>
      <c r="L173" t="n">
        <v>0</v>
      </c>
      <c r="M173" t="n">
        <v>0</v>
      </c>
      <c r="N173" t="n">
        <v>0</v>
      </c>
      <c r="O173" t="n">
        <v>0</v>
      </c>
      <c r="P173" t="n">
        <v>0</v>
      </c>
      <c r="Q173" t="n">
        <v>0</v>
      </c>
      <c r="R173" s="2" t="inlineStr"/>
    </row>
    <row r="174" ht="15" customHeight="1">
      <c r="A174" t="inlineStr">
        <is>
          <t>A 68415-2021</t>
        </is>
      </c>
      <c r="B174" s="1" t="n">
        <v>44529</v>
      </c>
      <c r="C174" s="1" t="n">
        <v>45967</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69483-2021</t>
        </is>
      </c>
      <c r="B175" s="1" t="n">
        <v>44531</v>
      </c>
      <c r="C175" s="1" t="n">
        <v>45967</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5527-2024</t>
        </is>
      </c>
      <c r="B176" s="1" t="n">
        <v>45334.38981481481</v>
      </c>
      <c r="C176" s="1" t="n">
        <v>45967</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56460-2022</t>
        </is>
      </c>
      <c r="B177" s="1" t="n">
        <v>44893</v>
      </c>
      <c r="C177" s="1" t="n">
        <v>45967</v>
      </c>
      <c r="D177" t="inlineStr">
        <is>
          <t>DALARNAS LÄN</t>
        </is>
      </c>
      <c r="E177" t="inlineStr">
        <is>
          <t>MORA</t>
        </is>
      </c>
      <c r="G177" t="n">
        <v>2.2</v>
      </c>
      <c r="H177" t="n">
        <v>0</v>
      </c>
      <c r="I177" t="n">
        <v>0</v>
      </c>
      <c r="J177" t="n">
        <v>0</v>
      </c>
      <c r="K177" t="n">
        <v>0</v>
      </c>
      <c r="L177" t="n">
        <v>0</v>
      </c>
      <c r="M177" t="n">
        <v>0</v>
      </c>
      <c r="N177" t="n">
        <v>0</v>
      </c>
      <c r="O177" t="n">
        <v>0</v>
      </c>
      <c r="P177" t="n">
        <v>0</v>
      </c>
      <c r="Q177" t="n">
        <v>0</v>
      </c>
      <c r="R177" s="2" t="inlineStr"/>
    </row>
    <row r="178" ht="15" customHeight="1">
      <c r="A178" t="inlineStr">
        <is>
          <t>A 57110-2021</t>
        </is>
      </c>
      <c r="B178" s="1" t="n">
        <v>44482</v>
      </c>
      <c r="C178" s="1" t="n">
        <v>45967</v>
      </c>
      <c r="D178" t="inlineStr">
        <is>
          <t>DALARNAS LÄN</t>
        </is>
      </c>
      <c r="E178" t="inlineStr">
        <is>
          <t>MORA</t>
        </is>
      </c>
      <c r="G178" t="n">
        <v>5.4</v>
      </c>
      <c r="H178" t="n">
        <v>0</v>
      </c>
      <c r="I178" t="n">
        <v>0</v>
      </c>
      <c r="J178" t="n">
        <v>0</v>
      </c>
      <c r="K178" t="n">
        <v>0</v>
      </c>
      <c r="L178" t="n">
        <v>0</v>
      </c>
      <c r="M178" t="n">
        <v>0</v>
      </c>
      <c r="N178" t="n">
        <v>0</v>
      </c>
      <c r="O178" t="n">
        <v>0</v>
      </c>
      <c r="P178" t="n">
        <v>0</v>
      </c>
      <c r="Q178" t="n">
        <v>0</v>
      </c>
      <c r="R178" s="2" t="inlineStr"/>
    </row>
    <row r="179" ht="15" customHeight="1">
      <c r="A179" t="inlineStr">
        <is>
          <t>A 60187-2024</t>
        </is>
      </c>
      <c r="B179" s="1" t="n">
        <v>45642.64803240741</v>
      </c>
      <c r="C179" s="1" t="n">
        <v>45967</v>
      </c>
      <c r="D179" t="inlineStr">
        <is>
          <t>DALARNAS LÄN</t>
        </is>
      </c>
      <c r="E179" t="inlineStr">
        <is>
          <t>MORA</t>
        </is>
      </c>
      <c r="F179" t="inlineStr">
        <is>
          <t>Allmännings- och besparingsskogar</t>
        </is>
      </c>
      <c r="G179" t="n">
        <v>24.6</v>
      </c>
      <c r="H179" t="n">
        <v>0</v>
      </c>
      <c r="I179" t="n">
        <v>0</v>
      </c>
      <c r="J179" t="n">
        <v>0</v>
      </c>
      <c r="K179" t="n">
        <v>0</v>
      </c>
      <c r="L179" t="n">
        <v>0</v>
      </c>
      <c r="M179" t="n">
        <v>0</v>
      </c>
      <c r="N179" t="n">
        <v>0</v>
      </c>
      <c r="O179" t="n">
        <v>0</v>
      </c>
      <c r="P179" t="n">
        <v>0</v>
      </c>
      <c r="Q179" t="n">
        <v>0</v>
      </c>
      <c r="R179" s="2" t="inlineStr"/>
    </row>
    <row r="180" ht="15" customHeight="1">
      <c r="A180" t="inlineStr">
        <is>
          <t>A 15435-2024</t>
        </is>
      </c>
      <c r="B180" s="1" t="n">
        <v>45401.40806712963</v>
      </c>
      <c r="C180" s="1" t="n">
        <v>45967</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71702-2021</t>
        </is>
      </c>
      <c r="B181" s="1" t="n">
        <v>44543</v>
      </c>
      <c r="C181" s="1" t="n">
        <v>45967</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51965-2024</t>
        </is>
      </c>
      <c r="B182" s="1" t="n">
        <v>45607.65123842593</v>
      </c>
      <c r="C182" s="1" t="n">
        <v>45967</v>
      </c>
      <c r="D182" t="inlineStr">
        <is>
          <t>DALARNAS LÄN</t>
        </is>
      </c>
      <c r="E182" t="inlineStr">
        <is>
          <t>MORA</t>
        </is>
      </c>
      <c r="G182" t="n">
        <v>1.3</v>
      </c>
      <c r="H182" t="n">
        <v>0</v>
      </c>
      <c r="I182" t="n">
        <v>0</v>
      </c>
      <c r="J182" t="n">
        <v>0</v>
      </c>
      <c r="K182" t="n">
        <v>0</v>
      </c>
      <c r="L182" t="n">
        <v>0</v>
      </c>
      <c r="M182" t="n">
        <v>0</v>
      </c>
      <c r="N182" t="n">
        <v>0</v>
      </c>
      <c r="O182" t="n">
        <v>0</v>
      </c>
      <c r="P182" t="n">
        <v>0</v>
      </c>
      <c r="Q182" t="n">
        <v>0</v>
      </c>
      <c r="R182" s="2" t="inlineStr"/>
    </row>
    <row r="183" ht="15" customHeight="1">
      <c r="A183" t="inlineStr">
        <is>
          <t>A 39882-2024</t>
        </is>
      </c>
      <c r="B183" s="1" t="n">
        <v>45553</v>
      </c>
      <c r="C183" s="1" t="n">
        <v>45967</v>
      </c>
      <c r="D183" t="inlineStr">
        <is>
          <t>DALARNAS LÄN</t>
        </is>
      </c>
      <c r="E183" t="inlineStr">
        <is>
          <t>MORA</t>
        </is>
      </c>
      <c r="G183" t="n">
        <v>14.6</v>
      </c>
      <c r="H183" t="n">
        <v>0</v>
      </c>
      <c r="I183" t="n">
        <v>0</v>
      </c>
      <c r="J183" t="n">
        <v>0</v>
      </c>
      <c r="K183" t="n">
        <v>0</v>
      </c>
      <c r="L183" t="n">
        <v>0</v>
      </c>
      <c r="M183" t="n">
        <v>0</v>
      </c>
      <c r="N183" t="n">
        <v>0</v>
      </c>
      <c r="O183" t="n">
        <v>0</v>
      </c>
      <c r="P183" t="n">
        <v>0</v>
      </c>
      <c r="Q183" t="n">
        <v>0</v>
      </c>
      <c r="R183" s="2" t="inlineStr"/>
    </row>
    <row r="184" ht="15" customHeight="1">
      <c r="A184" t="inlineStr">
        <is>
          <t>A 20299-2023</t>
        </is>
      </c>
      <c r="B184" s="1" t="n">
        <v>45056</v>
      </c>
      <c r="C184" s="1" t="n">
        <v>45967</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39897-2022</t>
        </is>
      </c>
      <c r="B185" s="1" t="n">
        <v>44819.66083333334</v>
      </c>
      <c r="C185" s="1" t="n">
        <v>45967</v>
      </c>
      <c r="D185" t="inlineStr">
        <is>
          <t>DALARNAS LÄN</t>
        </is>
      </c>
      <c r="E185" t="inlineStr">
        <is>
          <t>MORA</t>
        </is>
      </c>
      <c r="G185" t="n">
        <v>15.8</v>
      </c>
      <c r="H185" t="n">
        <v>0</v>
      </c>
      <c r="I185" t="n">
        <v>0</v>
      </c>
      <c r="J185" t="n">
        <v>0</v>
      </c>
      <c r="K185" t="n">
        <v>0</v>
      </c>
      <c r="L185" t="n">
        <v>0</v>
      </c>
      <c r="M185" t="n">
        <v>0</v>
      </c>
      <c r="N185" t="n">
        <v>0</v>
      </c>
      <c r="O185" t="n">
        <v>0</v>
      </c>
      <c r="P185" t="n">
        <v>0</v>
      </c>
      <c r="Q185" t="n">
        <v>0</v>
      </c>
      <c r="R185" s="2" t="inlineStr"/>
    </row>
    <row r="186" ht="15" customHeight="1">
      <c r="A186" t="inlineStr">
        <is>
          <t>A 17904-2021</t>
        </is>
      </c>
      <c r="B186" s="1" t="n">
        <v>44301</v>
      </c>
      <c r="C186" s="1" t="n">
        <v>45967</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42391-2023</t>
        </is>
      </c>
      <c r="B187" s="1" t="n">
        <v>45180</v>
      </c>
      <c r="C187" s="1" t="n">
        <v>45967</v>
      </c>
      <c r="D187" t="inlineStr">
        <is>
          <t>DALARNAS LÄN</t>
        </is>
      </c>
      <c r="E187" t="inlineStr">
        <is>
          <t>MORA</t>
        </is>
      </c>
      <c r="F187" t="inlineStr">
        <is>
          <t>Kommuner</t>
        </is>
      </c>
      <c r="G187" t="n">
        <v>0.3</v>
      </c>
      <c r="H187" t="n">
        <v>0</v>
      </c>
      <c r="I187" t="n">
        <v>0</v>
      </c>
      <c r="J187" t="n">
        <v>0</v>
      </c>
      <c r="K187" t="n">
        <v>0</v>
      </c>
      <c r="L187" t="n">
        <v>0</v>
      </c>
      <c r="M187" t="n">
        <v>0</v>
      </c>
      <c r="N187" t="n">
        <v>0</v>
      </c>
      <c r="O187" t="n">
        <v>0</v>
      </c>
      <c r="P187" t="n">
        <v>0</v>
      </c>
      <c r="Q187" t="n">
        <v>0</v>
      </c>
      <c r="R187" s="2" t="inlineStr"/>
    </row>
    <row r="188" ht="15" customHeight="1">
      <c r="A188" t="inlineStr">
        <is>
          <t>A 23302-2024</t>
        </is>
      </c>
      <c r="B188" s="1" t="n">
        <v>45453.44091435185</v>
      </c>
      <c r="C188" s="1" t="n">
        <v>45967</v>
      </c>
      <c r="D188" t="inlineStr">
        <is>
          <t>DALARNAS LÄN</t>
        </is>
      </c>
      <c r="E188" t="inlineStr">
        <is>
          <t>MORA</t>
        </is>
      </c>
      <c r="G188" t="n">
        <v>1.3</v>
      </c>
      <c r="H188" t="n">
        <v>0</v>
      </c>
      <c r="I188" t="n">
        <v>0</v>
      </c>
      <c r="J188" t="n">
        <v>0</v>
      </c>
      <c r="K188" t="n">
        <v>0</v>
      </c>
      <c r="L188" t="n">
        <v>0</v>
      </c>
      <c r="M188" t="n">
        <v>0</v>
      </c>
      <c r="N188" t="n">
        <v>0</v>
      </c>
      <c r="O188" t="n">
        <v>0</v>
      </c>
      <c r="P188" t="n">
        <v>0</v>
      </c>
      <c r="Q188" t="n">
        <v>0</v>
      </c>
      <c r="R188" s="2" t="inlineStr"/>
    </row>
    <row r="189" ht="15" customHeight="1">
      <c r="A189" t="inlineStr">
        <is>
          <t>A 2865-2022</t>
        </is>
      </c>
      <c r="B189" s="1" t="n">
        <v>44581</v>
      </c>
      <c r="C189" s="1" t="n">
        <v>45967</v>
      </c>
      <c r="D189" t="inlineStr">
        <is>
          <t>DALARNAS LÄN</t>
        </is>
      </c>
      <c r="E189" t="inlineStr">
        <is>
          <t>MORA</t>
        </is>
      </c>
      <c r="G189" t="n">
        <v>2</v>
      </c>
      <c r="H189" t="n">
        <v>0</v>
      </c>
      <c r="I189" t="n">
        <v>0</v>
      </c>
      <c r="J189" t="n">
        <v>0</v>
      </c>
      <c r="K189" t="n">
        <v>0</v>
      </c>
      <c r="L189" t="n">
        <v>0</v>
      </c>
      <c r="M189" t="n">
        <v>0</v>
      </c>
      <c r="N189" t="n">
        <v>0</v>
      </c>
      <c r="O189" t="n">
        <v>0</v>
      </c>
      <c r="P189" t="n">
        <v>0</v>
      </c>
      <c r="Q189" t="n">
        <v>0</v>
      </c>
      <c r="R189" s="2" t="inlineStr"/>
    </row>
    <row r="190" ht="15" customHeight="1">
      <c r="A190" t="inlineStr">
        <is>
          <t>A 30985-2024</t>
        </is>
      </c>
      <c r="B190" s="1" t="n">
        <v>45499.51721064815</v>
      </c>
      <c r="C190" s="1" t="n">
        <v>45967</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17622-2022</t>
        </is>
      </c>
      <c r="B191" s="1" t="n">
        <v>44680.4265162037</v>
      </c>
      <c r="C191" s="1" t="n">
        <v>45967</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17145-2024</t>
        </is>
      </c>
      <c r="B192" s="1" t="n">
        <v>45412</v>
      </c>
      <c r="C192" s="1" t="n">
        <v>45967</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57859-2022</t>
        </is>
      </c>
      <c r="B193" s="1" t="n">
        <v>44898</v>
      </c>
      <c r="C193" s="1" t="n">
        <v>45967</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51780-2023</t>
        </is>
      </c>
      <c r="B194" s="1" t="n">
        <v>45222</v>
      </c>
      <c r="C194" s="1" t="n">
        <v>45967</v>
      </c>
      <c r="D194" t="inlineStr">
        <is>
          <t>DALARNAS LÄN</t>
        </is>
      </c>
      <c r="E194" t="inlineStr">
        <is>
          <t>MORA</t>
        </is>
      </c>
      <c r="G194" t="n">
        <v>9.9</v>
      </c>
      <c r="H194" t="n">
        <v>0</v>
      </c>
      <c r="I194" t="n">
        <v>0</v>
      </c>
      <c r="J194" t="n">
        <v>0</v>
      </c>
      <c r="K194" t="n">
        <v>0</v>
      </c>
      <c r="L194" t="n">
        <v>0</v>
      </c>
      <c r="M194" t="n">
        <v>0</v>
      </c>
      <c r="N194" t="n">
        <v>0</v>
      </c>
      <c r="O194" t="n">
        <v>0</v>
      </c>
      <c r="P194" t="n">
        <v>0</v>
      </c>
      <c r="Q194" t="n">
        <v>0</v>
      </c>
      <c r="R194" s="2" t="inlineStr"/>
    </row>
    <row r="195" ht="15" customHeight="1">
      <c r="A195" t="inlineStr">
        <is>
          <t>A 60647-2022</t>
        </is>
      </c>
      <c r="B195" s="1" t="n">
        <v>44911</v>
      </c>
      <c r="C195" s="1" t="n">
        <v>45967</v>
      </c>
      <c r="D195" t="inlineStr">
        <is>
          <t>DALARNAS LÄN</t>
        </is>
      </c>
      <c r="E195" t="inlineStr">
        <is>
          <t>MORA</t>
        </is>
      </c>
      <c r="G195" t="n">
        <v>4.8</v>
      </c>
      <c r="H195" t="n">
        <v>0</v>
      </c>
      <c r="I195" t="n">
        <v>0</v>
      </c>
      <c r="J195" t="n">
        <v>0</v>
      </c>
      <c r="K195" t="n">
        <v>0</v>
      </c>
      <c r="L195" t="n">
        <v>0</v>
      </c>
      <c r="M195" t="n">
        <v>0</v>
      </c>
      <c r="N195" t="n">
        <v>0</v>
      </c>
      <c r="O195" t="n">
        <v>0</v>
      </c>
      <c r="P195" t="n">
        <v>0</v>
      </c>
      <c r="Q195" t="n">
        <v>0</v>
      </c>
      <c r="R195" s="2" t="inlineStr"/>
    </row>
    <row r="196" ht="15" customHeight="1">
      <c r="A196" t="inlineStr">
        <is>
          <t>A 58961-2021</t>
        </is>
      </c>
      <c r="B196" s="1" t="n">
        <v>44489.94246527777</v>
      </c>
      <c r="C196" s="1" t="n">
        <v>45967</v>
      </c>
      <c r="D196" t="inlineStr">
        <is>
          <t>DALARNAS LÄN</t>
        </is>
      </c>
      <c r="E196" t="inlineStr">
        <is>
          <t>MORA</t>
        </is>
      </c>
      <c r="G196" t="n">
        <v>18</v>
      </c>
      <c r="H196" t="n">
        <v>0</v>
      </c>
      <c r="I196" t="n">
        <v>0</v>
      </c>
      <c r="J196" t="n">
        <v>0</v>
      </c>
      <c r="K196" t="n">
        <v>0</v>
      </c>
      <c r="L196" t="n">
        <v>0</v>
      </c>
      <c r="M196" t="n">
        <v>0</v>
      </c>
      <c r="N196" t="n">
        <v>0</v>
      </c>
      <c r="O196" t="n">
        <v>0</v>
      </c>
      <c r="P196" t="n">
        <v>0</v>
      </c>
      <c r="Q196" t="n">
        <v>0</v>
      </c>
      <c r="R196" s="2" t="inlineStr"/>
    </row>
    <row r="197" ht="15" customHeight="1">
      <c r="A197" t="inlineStr">
        <is>
          <t>A 34927-2022</t>
        </is>
      </c>
      <c r="B197" s="1" t="n">
        <v>44796.60181712963</v>
      </c>
      <c r="C197" s="1" t="n">
        <v>45967</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48456-2022</t>
        </is>
      </c>
      <c r="B198" s="1" t="n">
        <v>44858.66387731482</v>
      </c>
      <c r="C198" s="1" t="n">
        <v>45967</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37771-2022</t>
        </is>
      </c>
      <c r="B199" s="1" t="n">
        <v>44810.63806712963</v>
      </c>
      <c r="C199" s="1" t="n">
        <v>45967</v>
      </c>
      <c r="D199" t="inlineStr">
        <is>
          <t>DALARNAS LÄN</t>
        </is>
      </c>
      <c r="E199" t="inlineStr">
        <is>
          <t>MORA</t>
        </is>
      </c>
      <c r="G199" t="n">
        <v>0.9</v>
      </c>
      <c r="H199" t="n">
        <v>0</v>
      </c>
      <c r="I199" t="n">
        <v>0</v>
      </c>
      <c r="J199" t="n">
        <v>0</v>
      </c>
      <c r="K199" t="n">
        <v>0</v>
      </c>
      <c r="L199" t="n">
        <v>0</v>
      </c>
      <c r="M199" t="n">
        <v>0</v>
      </c>
      <c r="N199" t="n">
        <v>0</v>
      </c>
      <c r="O199" t="n">
        <v>0</v>
      </c>
      <c r="P199" t="n">
        <v>0</v>
      </c>
      <c r="Q199" t="n">
        <v>0</v>
      </c>
      <c r="R199" s="2" t="inlineStr"/>
    </row>
    <row r="200" ht="15" customHeight="1">
      <c r="A200" t="inlineStr">
        <is>
          <t>A 15993-2025</t>
        </is>
      </c>
      <c r="B200" s="1" t="n">
        <v>45749.58428240741</v>
      </c>
      <c r="C200" s="1" t="n">
        <v>45967</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24590-2024</t>
        </is>
      </c>
      <c r="B201" s="1" t="n">
        <v>45460</v>
      </c>
      <c r="C201" s="1" t="n">
        <v>45967</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46188-2022</t>
        </is>
      </c>
      <c r="B202" s="1" t="n">
        <v>44847.518125</v>
      </c>
      <c r="C202" s="1" t="n">
        <v>45967</v>
      </c>
      <c r="D202" t="inlineStr">
        <is>
          <t>DALARNAS LÄN</t>
        </is>
      </c>
      <c r="E202" t="inlineStr">
        <is>
          <t>MORA</t>
        </is>
      </c>
      <c r="G202" t="n">
        <v>1.8</v>
      </c>
      <c r="H202" t="n">
        <v>0</v>
      </c>
      <c r="I202" t="n">
        <v>0</v>
      </c>
      <c r="J202" t="n">
        <v>0</v>
      </c>
      <c r="K202" t="n">
        <v>0</v>
      </c>
      <c r="L202" t="n">
        <v>0</v>
      </c>
      <c r="M202" t="n">
        <v>0</v>
      </c>
      <c r="N202" t="n">
        <v>0</v>
      </c>
      <c r="O202" t="n">
        <v>0</v>
      </c>
      <c r="P202" t="n">
        <v>0</v>
      </c>
      <c r="Q202" t="n">
        <v>0</v>
      </c>
      <c r="R202" s="2" t="inlineStr"/>
    </row>
    <row r="203" ht="15" customHeight="1">
      <c r="A203" t="inlineStr">
        <is>
          <t>A 14832-2025</t>
        </is>
      </c>
      <c r="B203" s="1" t="n">
        <v>45743</v>
      </c>
      <c r="C203" s="1" t="n">
        <v>45967</v>
      </c>
      <c r="D203" t="inlineStr">
        <is>
          <t>DALARNAS LÄN</t>
        </is>
      </c>
      <c r="E203" t="inlineStr">
        <is>
          <t>MORA</t>
        </is>
      </c>
      <c r="G203" t="n">
        <v>9.1</v>
      </c>
      <c r="H203" t="n">
        <v>0</v>
      </c>
      <c r="I203" t="n">
        <v>0</v>
      </c>
      <c r="J203" t="n">
        <v>0</v>
      </c>
      <c r="K203" t="n">
        <v>0</v>
      </c>
      <c r="L203" t="n">
        <v>0</v>
      </c>
      <c r="M203" t="n">
        <v>0</v>
      </c>
      <c r="N203" t="n">
        <v>0</v>
      </c>
      <c r="O203" t="n">
        <v>0</v>
      </c>
      <c r="P203" t="n">
        <v>0</v>
      </c>
      <c r="Q203" t="n">
        <v>0</v>
      </c>
      <c r="R203" s="2" t="inlineStr"/>
    </row>
    <row r="204" ht="15" customHeight="1">
      <c r="A204" t="inlineStr">
        <is>
          <t>A 15443-2025</t>
        </is>
      </c>
      <c r="B204" s="1" t="n">
        <v>45747.48371527778</v>
      </c>
      <c r="C204" s="1" t="n">
        <v>45967</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45574-2023</t>
        </is>
      </c>
      <c r="B205" s="1" t="n">
        <v>45194</v>
      </c>
      <c r="C205" s="1" t="n">
        <v>45967</v>
      </c>
      <c r="D205" t="inlineStr">
        <is>
          <t>DALARNAS LÄN</t>
        </is>
      </c>
      <c r="E205" t="inlineStr">
        <is>
          <t>MORA</t>
        </is>
      </c>
      <c r="G205" t="n">
        <v>6.3</v>
      </c>
      <c r="H205" t="n">
        <v>0</v>
      </c>
      <c r="I205" t="n">
        <v>0</v>
      </c>
      <c r="J205" t="n">
        <v>0</v>
      </c>
      <c r="K205" t="n">
        <v>0</v>
      </c>
      <c r="L205" t="n">
        <v>0</v>
      </c>
      <c r="M205" t="n">
        <v>0</v>
      </c>
      <c r="N205" t="n">
        <v>0</v>
      </c>
      <c r="O205" t="n">
        <v>0</v>
      </c>
      <c r="P205" t="n">
        <v>0</v>
      </c>
      <c r="Q205" t="n">
        <v>0</v>
      </c>
      <c r="R205" s="2" t="inlineStr"/>
    </row>
    <row r="206" ht="15" customHeight="1">
      <c r="A206" t="inlineStr">
        <is>
          <t>A 45349-2024</t>
        </is>
      </c>
      <c r="B206" s="1" t="n">
        <v>45576</v>
      </c>
      <c r="C206" s="1" t="n">
        <v>45967</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17516-2024</t>
        </is>
      </c>
      <c r="B207" s="1" t="n">
        <v>45415.58502314815</v>
      </c>
      <c r="C207" s="1" t="n">
        <v>45967</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42934-2024</t>
        </is>
      </c>
      <c r="B208" s="1" t="n">
        <v>45567.33655092592</v>
      </c>
      <c r="C208" s="1" t="n">
        <v>45967</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57408-2024</t>
        </is>
      </c>
      <c r="B209" s="1" t="n">
        <v>45629</v>
      </c>
      <c r="C209" s="1" t="n">
        <v>45967</v>
      </c>
      <c r="D209" t="inlineStr">
        <is>
          <t>DALARNAS LÄN</t>
        </is>
      </c>
      <c r="E209" t="inlineStr">
        <is>
          <t>MORA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46412-2024</t>
        </is>
      </c>
      <c r="B210" s="1" t="n">
        <v>45582.44894675926</v>
      </c>
      <c r="C210" s="1" t="n">
        <v>45967</v>
      </c>
      <c r="D210" t="inlineStr">
        <is>
          <t>DALARNAS LÄN</t>
        </is>
      </c>
      <c r="E210" t="inlineStr">
        <is>
          <t>MORA</t>
        </is>
      </c>
      <c r="G210" t="n">
        <v>4.1</v>
      </c>
      <c r="H210" t="n">
        <v>0</v>
      </c>
      <c r="I210" t="n">
        <v>0</v>
      </c>
      <c r="J210" t="n">
        <v>0</v>
      </c>
      <c r="K210" t="n">
        <v>0</v>
      </c>
      <c r="L210" t="n">
        <v>0</v>
      </c>
      <c r="M210" t="n">
        <v>0</v>
      </c>
      <c r="N210" t="n">
        <v>0</v>
      </c>
      <c r="O210" t="n">
        <v>0</v>
      </c>
      <c r="P210" t="n">
        <v>0</v>
      </c>
      <c r="Q210" t="n">
        <v>0</v>
      </c>
      <c r="R210" s="2" t="inlineStr"/>
    </row>
    <row r="211" ht="15" customHeight="1">
      <c r="A211" t="inlineStr">
        <is>
          <t>A 5922-2025</t>
        </is>
      </c>
      <c r="B211" s="1" t="n">
        <v>45695.42762731481</v>
      </c>
      <c r="C211" s="1" t="n">
        <v>45967</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50685-2023</t>
        </is>
      </c>
      <c r="B212" s="1" t="n">
        <v>45210</v>
      </c>
      <c r="C212" s="1" t="n">
        <v>45967</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61654-2024</t>
        </is>
      </c>
      <c r="B213" s="1" t="n">
        <v>45646.74988425926</v>
      </c>
      <c r="C213" s="1" t="n">
        <v>45967</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43964-2024</t>
        </is>
      </c>
      <c r="B214" s="1" t="n">
        <v>45572.48407407408</v>
      </c>
      <c r="C214" s="1" t="n">
        <v>45967</v>
      </c>
      <c r="D214" t="inlineStr">
        <is>
          <t>DALARNAS LÄN</t>
        </is>
      </c>
      <c r="E214" t="inlineStr">
        <is>
          <t>MORA</t>
        </is>
      </c>
      <c r="G214" t="n">
        <v>0.9</v>
      </c>
      <c r="H214" t="n">
        <v>0</v>
      </c>
      <c r="I214" t="n">
        <v>0</v>
      </c>
      <c r="J214" t="n">
        <v>0</v>
      </c>
      <c r="K214" t="n">
        <v>0</v>
      </c>
      <c r="L214" t="n">
        <v>0</v>
      </c>
      <c r="M214" t="n">
        <v>0</v>
      </c>
      <c r="N214" t="n">
        <v>0</v>
      </c>
      <c r="O214" t="n">
        <v>0</v>
      </c>
      <c r="P214" t="n">
        <v>0</v>
      </c>
      <c r="Q214" t="n">
        <v>0</v>
      </c>
      <c r="R214" s="2" t="inlineStr"/>
    </row>
    <row r="215" ht="15" customHeight="1">
      <c r="A215" t="inlineStr">
        <is>
          <t>A 24772-2024</t>
        </is>
      </c>
      <c r="B215" s="1" t="n">
        <v>45460.70204861111</v>
      </c>
      <c r="C215" s="1" t="n">
        <v>45967</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34923-2022</t>
        </is>
      </c>
      <c r="B216" s="1" t="n">
        <v>44796</v>
      </c>
      <c r="C216" s="1" t="n">
        <v>45967</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59174-2023</t>
        </is>
      </c>
      <c r="B217" s="1" t="n">
        <v>45253.43202546296</v>
      </c>
      <c r="C217" s="1" t="n">
        <v>45967</v>
      </c>
      <c r="D217" t="inlineStr">
        <is>
          <t>DALARNAS LÄN</t>
        </is>
      </c>
      <c r="E217" t="inlineStr">
        <is>
          <t>MORA</t>
        </is>
      </c>
      <c r="G217" t="n">
        <v>2.5</v>
      </c>
      <c r="H217" t="n">
        <v>0</v>
      </c>
      <c r="I217" t="n">
        <v>0</v>
      </c>
      <c r="J217" t="n">
        <v>0</v>
      </c>
      <c r="K217" t="n">
        <v>0</v>
      </c>
      <c r="L217" t="n">
        <v>0</v>
      </c>
      <c r="M217" t="n">
        <v>0</v>
      </c>
      <c r="N217" t="n">
        <v>0</v>
      </c>
      <c r="O217" t="n">
        <v>0</v>
      </c>
      <c r="P217" t="n">
        <v>0</v>
      </c>
      <c r="Q217" t="n">
        <v>0</v>
      </c>
      <c r="R217" s="2" t="inlineStr"/>
    </row>
    <row r="218" ht="15" customHeight="1">
      <c r="A218" t="inlineStr">
        <is>
          <t>A 36184-2021</t>
        </is>
      </c>
      <c r="B218" s="1" t="n">
        <v>44389</v>
      </c>
      <c r="C218" s="1" t="n">
        <v>45967</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19910-2024</t>
        </is>
      </c>
      <c r="B219" s="1" t="n">
        <v>45433.5741087963</v>
      </c>
      <c r="C219" s="1" t="n">
        <v>45967</v>
      </c>
      <c r="D219" t="inlineStr">
        <is>
          <t>DALARNAS LÄN</t>
        </is>
      </c>
      <c r="E219" t="inlineStr">
        <is>
          <t>MORA</t>
        </is>
      </c>
      <c r="G219" t="n">
        <v>0.9</v>
      </c>
      <c r="H219" t="n">
        <v>0</v>
      </c>
      <c r="I219" t="n">
        <v>0</v>
      </c>
      <c r="J219" t="n">
        <v>0</v>
      </c>
      <c r="K219" t="n">
        <v>0</v>
      </c>
      <c r="L219" t="n">
        <v>0</v>
      </c>
      <c r="M219" t="n">
        <v>0</v>
      </c>
      <c r="N219" t="n">
        <v>0</v>
      </c>
      <c r="O219" t="n">
        <v>0</v>
      </c>
      <c r="P219" t="n">
        <v>0</v>
      </c>
      <c r="Q219" t="n">
        <v>0</v>
      </c>
      <c r="R219" s="2" t="inlineStr"/>
    </row>
    <row r="220" ht="15" customHeight="1">
      <c r="A220" t="inlineStr">
        <is>
          <t>A 39511-2024</t>
        </is>
      </c>
      <c r="B220" s="1" t="n">
        <v>45551.68347222222</v>
      </c>
      <c r="C220" s="1" t="n">
        <v>45967</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37695-2024</t>
        </is>
      </c>
      <c r="B221" s="1" t="n">
        <v>45541.61094907407</v>
      </c>
      <c r="C221" s="1" t="n">
        <v>45967</v>
      </c>
      <c r="D221" t="inlineStr">
        <is>
          <t>DALARNAS LÄN</t>
        </is>
      </c>
      <c r="E221" t="inlineStr">
        <is>
          <t>MORA</t>
        </is>
      </c>
      <c r="G221" t="n">
        <v>19.7</v>
      </c>
      <c r="H221" t="n">
        <v>0</v>
      </c>
      <c r="I221" t="n">
        <v>0</v>
      </c>
      <c r="J221" t="n">
        <v>0</v>
      </c>
      <c r="K221" t="n">
        <v>0</v>
      </c>
      <c r="L221" t="n">
        <v>0</v>
      </c>
      <c r="M221" t="n">
        <v>0</v>
      </c>
      <c r="N221" t="n">
        <v>0</v>
      </c>
      <c r="O221" t="n">
        <v>0</v>
      </c>
      <c r="P221" t="n">
        <v>0</v>
      </c>
      <c r="Q221" t="n">
        <v>0</v>
      </c>
      <c r="R221" s="2" t="inlineStr"/>
    </row>
    <row r="222" ht="15" customHeight="1">
      <c r="A222" t="inlineStr">
        <is>
          <t>A 56834-2024</t>
        </is>
      </c>
      <c r="B222" s="1" t="n">
        <v>45628.49931712963</v>
      </c>
      <c r="C222" s="1" t="n">
        <v>45967</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54628-2024</t>
        </is>
      </c>
      <c r="B223" s="1" t="n">
        <v>45617.83969907407</v>
      </c>
      <c r="C223" s="1" t="n">
        <v>45967</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1252-2025</t>
        </is>
      </c>
      <c r="B224" s="1" t="n">
        <v>45667.46648148148</v>
      </c>
      <c r="C224" s="1" t="n">
        <v>45967</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39348-2024</t>
        </is>
      </c>
      <c r="B225" s="1" t="n">
        <v>45551.45322916667</v>
      </c>
      <c r="C225" s="1" t="n">
        <v>45967</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18202-2024</t>
        </is>
      </c>
      <c r="B226" s="1" t="n">
        <v>45420.68172453704</v>
      </c>
      <c r="C226" s="1" t="n">
        <v>45967</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8068-2024</t>
        </is>
      </c>
      <c r="B227" s="1" t="n">
        <v>45351.41524305556</v>
      </c>
      <c r="C227" s="1" t="n">
        <v>45967</v>
      </c>
      <c r="D227" t="inlineStr">
        <is>
          <t>DALARNAS LÄN</t>
        </is>
      </c>
      <c r="E227" t="inlineStr">
        <is>
          <t>MORA</t>
        </is>
      </c>
      <c r="G227" t="n">
        <v>6.4</v>
      </c>
      <c r="H227" t="n">
        <v>0</v>
      </c>
      <c r="I227" t="n">
        <v>0</v>
      </c>
      <c r="J227" t="n">
        <v>0</v>
      </c>
      <c r="K227" t="n">
        <v>0</v>
      </c>
      <c r="L227" t="n">
        <v>0</v>
      </c>
      <c r="M227" t="n">
        <v>0</v>
      </c>
      <c r="N227" t="n">
        <v>0</v>
      </c>
      <c r="O227" t="n">
        <v>0</v>
      </c>
      <c r="P227" t="n">
        <v>0</v>
      </c>
      <c r="Q227" t="n">
        <v>0</v>
      </c>
      <c r="R227" s="2" t="inlineStr"/>
    </row>
    <row r="228" ht="15" customHeight="1">
      <c r="A228" t="inlineStr">
        <is>
          <t>A 23057-2024</t>
        </is>
      </c>
      <c r="B228" s="1" t="n">
        <v>45450</v>
      </c>
      <c r="C228" s="1" t="n">
        <v>45967</v>
      </c>
      <c r="D228" t="inlineStr">
        <is>
          <t>DALARNAS LÄN</t>
        </is>
      </c>
      <c r="E228" t="inlineStr">
        <is>
          <t>MORA</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2830-2023</t>
        </is>
      </c>
      <c r="B229" s="1" t="n">
        <v>44945.32997685186</v>
      </c>
      <c r="C229" s="1" t="n">
        <v>45967</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25494-2024</t>
        </is>
      </c>
      <c r="B230" s="1" t="n">
        <v>45463</v>
      </c>
      <c r="C230" s="1" t="n">
        <v>45967</v>
      </c>
      <c r="D230" t="inlineStr">
        <is>
          <t>DALARNAS LÄN</t>
        </is>
      </c>
      <c r="E230" t="inlineStr">
        <is>
          <t>MORA</t>
        </is>
      </c>
      <c r="G230" t="n">
        <v>4.9</v>
      </c>
      <c r="H230" t="n">
        <v>0</v>
      </c>
      <c r="I230" t="n">
        <v>0</v>
      </c>
      <c r="J230" t="n">
        <v>0</v>
      </c>
      <c r="K230" t="n">
        <v>0</v>
      </c>
      <c r="L230" t="n">
        <v>0</v>
      </c>
      <c r="M230" t="n">
        <v>0</v>
      </c>
      <c r="N230" t="n">
        <v>0</v>
      </c>
      <c r="O230" t="n">
        <v>0</v>
      </c>
      <c r="P230" t="n">
        <v>0</v>
      </c>
      <c r="Q230" t="n">
        <v>0</v>
      </c>
      <c r="R230" s="2" t="inlineStr"/>
    </row>
    <row r="231" ht="15" customHeight="1">
      <c r="A231" t="inlineStr">
        <is>
          <t>A 43863-2023</t>
        </is>
      </c>
      <c r="B231" s="1" t="n">
        <v>45187.62532407408</v>
      </c>
      <c r="C231" s="1" t="n">
        <v>45967</v>
      </c>
      <c r="D231" t="inlineStr">
        <is>
          <t>DALARNAS LÄN</t>
        </is>
      </c>
      <c r="E231" t="inlineStr">
        <is>
          <t>MORA</t>
        </is>
      </c>
      <c r="F231" t="inlineStr">
        <is>
          <t>Bergvik skog väst AB</t>
        </is>
      </c>
      <c r="G231" t="n">
        <v>3.9</v>
      </c>
      <c r="H231" t="n">
        <v>0</v>
      </c>
      <c r="I231" t="n">
        <v>0</v>
      </c>
      <c r="J231" t="n">
        <v>0</v>
      </c>
      <c r="K231" t="n">
        <v>0</v>
      </c>
      <c r="L231" t="n">
        <v>0</v>
      </c>
      <c r="M231" t="n">
        <v>0</v>
      </c>
      <c r="N231" t="n">
        <v>0</v>
      </c>
      <c r="O231" t="n">
        <v>0</v>
      </c>
      <c r="P231" t="n">
        <v>0</v>
      </c>
      <c r="Q231" t="n">
        <v>0</v>
      </c>
      <c r="R231" s="2" t="inlineStr"/>
    </row>
    <row r="232" ht="15" customHeight="1">
      <c r="A232" t="inlineStr">
        <is>
          <t>A 49159-2023</t>
        </is>
      </c>
      <c r="B232" s="1" t="n">
        <v>45210</v>
      </c>
      <c r="C232" s="1" t="n">
        <v>45967</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35521-2023</t>
        </is>
      </c>
      <c r="B233" s="1" t="n">
        <v>45147.33251157407</v>
      </c>
      <c r="C233" s="1" t="n">
        <v>45967</v>
      </c>
      <c r="D233" t="inlineStr">
        <is>
          <t>DALARNAS LÄN</t>
        </is>
      </c>
      <c r="E233" t="inlineStr">
        <is>
          <t>MORA</t>
        </is>
      </c>
      <c r="G233" t="n">
        <v>3.7</v>
      </c>
      <c r="H233" t="n">
        <v>0</v>
      </c>
      <c r="I233" t="n">
        <v>0</v>
      </c>
      <c r="J233" t="n">
        <v>0</v>
      </c>
      <c r="K233" t="n">
        <v>0</v>
      </c>
      <c r="L233" t="n">
        <v>0</v>
      </c>
      <c r="M233" t="n">
        <v>0</v>
      </c>
      <c r="N233" t="n">
        <v>0</v>
      </c>
      <c r="O233" t="n">
        <v>0</v>
      </c>
      <c r="P233" t="n">
        <v>0</v>
      </c>
      <c r="Q233" t="n">
        <v>0</v>
      </c>
      <c r="R233" s="2" t="inlineStr"/>
    </row>
    <row r="234" ht="15" customHeight="1">
      <c r="A234" t="inlineStr">
        <is>
          <t>A 31112-2024</t>
        </is>
      </c>
      <c r="B234" s="1" t="n">
        <v>45502.55185185185</v>
      </c>
      <c r="C234" s="1" t="n">
        <v>45967</v>
      </c>
      <c r="D234" t="inlineStr">
        <is>
          <t>DALARNAS LÄN</t>
        </is>
      </c>
      <c r="E234" t="inlineStr">
        <is>
          <t>MORA</t>
        </is>
      </c>
      <c r="G234" t="n">
        <v>0.6</v>
      </c>
      <c r="H234" t="n">
        <v>0</v>
      </c>
      <c r="I234" t="n">
        <v>0</v>
      </c>
      <c r="J234" t="n">
        <v>0</v>
      </c>
      <c r="K234" t="n">
        <v>0</v>
      </c>
      <c r="L234" t="n">
        <v>0</v>
      </c>
      <c r="M234" t="n">
        <v>0</v>
      </c>
      <c r="N234" t="n">
        <v>0</v>
      </c>
      <c r="O234" t="n">
        <v>0</v>
      </c>
      <c r="P234" t="n">
        <v>0</v>
      </c>
      <c r="Q234" t="n">
        <v>0</v>
      </c>
      <c r="R234" s="2" t="inlineStr"/>
    </row>
    <row r="235" ht="15" customHeight="1">
      <c r="A235" t="inlineStr">
        <is>
          <t>A 44205-2023</t>
        </is>
      </c>
      <c r="B235" s="1" t="n">
        <v>45188</v>
      </c>
      <c r="C235" s="1" t="n">
        <v>45967</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18444-2024</t>
        </is>
      </c>
      <c r="B236" s="1" t="n">
        <v>45425.45568287037</v>
      </c>
      <c r="C236" s="1" t="n">
        <v>45967</v>
      </c>
      <c r="D236" t="inlineStr">
        <is>
          <t>DALARNAS LÄN</t>
        </is>
      </c>
      <c r="E236" t="inlineStr">
        <is>
          <t>MORA</t>
        </is>
      </c>
      <c r="G236" t="n">
        <v>5</v>
      </c>
      <c r="H236" t="n">
        <v>0</v>
      </c>
      <c r="I236" t="n">
        <v>0</v>
      </c>
      <c r="J236" t="n">
        <v>0</v>
      </c>
      <c r="K236" t="n">
        <v>0</v>
      </c>
      <c r="L236" t="n">
        <v>0</v>
      </c>
      <c r="M236" t="n">
        <v>0</v>
      </c>
      <c r="N236" t="n">
        <v>0</v>
      </c>
      <c r="O236" t="n">
        <v>0</v>
      </c>
      <c r="P236" t="n">
        <v>0</v>
      </c>
      <c r="Q236" t="n">
        <v>0</v>
      </c>
      <c r="R236" s="2" t="inlineStr"/>
    </row>
    <row r="237" ht="15" customHeight="1">
      <c r="A237" t="inlineStr">
        <is>
          <t>A 20126-2025</t>
        </is>
      </c>
      <c r="B237" s="1" t="n">
        <v>45772.49640046297</v>
      </c>
      <c r="C237" s="1" t="n">
        <v>45967</v>
      </c>
      <c r="D237" t="inlineStr">
        <is>
          <t>DALARNAS LÄN</t>
        </is>
      </c>
      <c r="E237" t="inlineStr">
        <is>
          <t>MORA</t>
        </is>
      </c>
      <c r="G237" t="n">
        <v>12.1</v>
      </c>
      <c r="H237" t="n">
        <v>0</v>
      </c>
      <c r="I237" t="n">
        <v>0</v>
      </c>
      <c r="J237" t="n">
        <v>0</v>
      </c>
      <c r="K237" t="n">
        <v>0</v>
      </c>
      <c r="L237" t="n">
        <v>0</v>
      </c>
      <c r="M237" t="n">
        <v>0</v>
      </c>
      <c r="N237" t="n">
        <v>0</v>
      </c>
      <c r="O237" t="n">
        <v>0</v>
      </c>
      <c r="P237" t="n">
        <v>0</v>
      </c>
      <c r="Q237" t="n">
        <v>0</v>
      </c>
      <c r="R237" s="2" t="inlineStr"/>
    </row>
    <row r="238" ht="15" customHeight="1">
      <c r="A238" t="inlineStr">
        <is>
          <t>A 18992-2024</t>
        </is>
      </c>
      <c r="B238" s="1" t="n">
        <v>45427.61516203704</v>
      </c>
      <c r="C238" s="1" t="n">
        <v>45967</v>
      </c>
      <c r="D238" t="inlineStr">
        <is>
          <t>DALARNAS LÄN</t>
        </is>
      </c>
      <c r="E238" t="inlineStr">
        <is>
          <t>MORA</t>
        </is>
      </c>
      <c r="G238" t="n">
        <v>9.9</v>
      </c>
      <c r="H238" t="n">
        <v>0</v>
      </c>
      <c r="I238" t="n">
        <v>0</v>
      </c>
      <c r="J238" t="n">
        <v>0</v>
      </c>
      <c r="K238" t="n">
        <v>0</v>
      </c>
      <c r="L238" t="n">
        <v>0</v>
      </c>
      <c r="M238" t="n">
        <v>0</v>
      </c>
      <c r="N238" t="n">
        <v>0</v>
      </c>
      <c r="O238" t="n">
        <v>0</v>
      </c>
      <c r="P238" t="n">
        <v>0</v>
      </c>
      <c r="Q238" t="n">
        <v>0</v>
      </c>
      <c r="R238" s="2" t="inlineStr"/>
    </row>
    <row r="239" ht="15" customHeight="1">
      <c r="A239" t="inlineStr">
        <is>
          <t>A 51168-2024</t>
        </is>
      </c>
      <c r="B239" s="1" t="n">
        <v>45603.58619212963</v>
      </c>
      <c r="C239" s="1" t="n">
        <v>45967</v>
      </c>
      <c r="D239" t="inlineStr">
        <is>
          <t>DALARNAS LÄN</t>
        </is>
      </c>
      <c r="E239" t="inlineStr">
        <is>
          <t>MORA</t>
        </is>
      </c>
      <c r="G239" t="n">
        <v>3</v>
      </c>
      <c r="H239" t="n">
        <v>0</v>
      </c>
      <c r="I239" t="n">
        <v>0</v>
      </c>
      <c r="J239" t="n">
        <v>0</v>
      </c>
      <c r="K239" t="n">
        <v>0</v>
      </c>
      <c r="L239" t="n">
        <v>0</v>
      </c>
      <c r="M239" t="n">
        <v>0</v>
      </c>
      <c r="N239" t="n">
        <v>0</v>
      </c>
      <c r="O239" t="n">
        <v>0</v>
      </c>
      <c r="P239" t="n">
        <v>0</v>
      </c>
      <c r="Q239" t="n">
        <v>0</v>
      </c>
      <c r="R239" s="2" t="inlineStr"/>
    </row>
    <row r="240" ht="15" customHeight="1">
      <c r="A240" t="inlineStr">
        <is>
          <t>A 18214-2024</t>
        </is>
      </c>
      <c r="B240" s="1" t="n">
        <v>45420</v>
      </c>
      <c r="C240" s="1" t="n">
        <v>45967</v>
      </c>
      <c r="D240" t="inlineStr">
        <is>
          <t>DALARNAS LÄN</t>
        </is>
      </c>
      <c r="E240" t="inlineStr">
        <is>
          <t>MORA</t>
        </is>
      </c>
      <c r="G240" t="n">
        <v>1</v>
      </c>
      <c r="H240" t="n">
        <v>0</v>
      </c>
      <c r="I240" t="n">
        <v>0</v>
      </c>
      <c r="J240" t="n">
        <v>0</v>
      </c>
      <c r="K240" t="n">
        <v>0</v>
      </c>
      <c r="L240" t="n">
        <v>0</v>
      </c>
      <c r="M240" t="n">
        <v>0</v>
      </c>
      <c r="N240" t="n">
        <v>0</v>
      </c>
      <c r="O240" t="n">
        <v>0</v>
      </c>
      <c r="P240" t="n">
        <v>0</v>
      </c>
      <c r="Q240" t="n">
        <v>0</v>
      </c>
      <c r="R240" s="2" t="inlineStr"/>
    </row>
    <row r="241" ht="15" customHeight="1">
      <c r="A241" t="inlineStr">
        <is>
          <t>A 60673-2023</t>
        </is>
      </c>
      <c r="B241" s="1" t="n">
        <v>45260.46438657407</v>
      </c>
      <c r="C241" s="1" t="n">
        <v>45967</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34660-2021</t>
        </is>
      </c>
      <c r="B242" s="1" t="n">
        <v>44382.57981481482</v>
      </c>
      <c r="C242" s="1" t="n">
        <v>45967</v>
      </c>
      <c r="D242" t="inlineStr">
        <is>
          <t>DALARNAS LÄN</t>
        </is>
      </c>
      <c r="E242" t="inlineStr">
        <is>
          <t>MORA</t>
        </is>
      </c>
      <c r="G242" t="n">
        <v>7.5</v>
      </c>
      <c r="H242" t="n">
        <v>0</v>
      </c>
      <c r="I242" t="n">
        <v>0</v>
      </c>
      <c r="J242" t="n">
        <v>0</v>
      </c>
      <c r="K242" t="n">
        <v>0</v>
      </c>
      <c r="L242" t="n">
        <v>0</v>
      </c>
      <c r="M242" t="n">
        <v>0</v>
      </c>
      <c r="N242" t="n">
        <v>0</v>
      </c>
      <c r="O242" t="n">
        <v>0</v>
      </c>
      <c r="P242" t="n">
        <v>0</v>
      </c>
      <c r="Q242" t="n">
        <v>0</v>
      </c>
      <c r="R242" s="2" t="inlineStr"/>
    </row>
    <row r="243" ht="15" customHeight="1">
      <c r="A243" t="inlineStr">
        <is>
          <t>A 2308-2023</t>
        </is>
      </c>
      <c r="B243" s="1" t="n">
        <v>44942.57987268519</v>
      </c>
      <c r="C243" s="1" t="n">
        <v>45967</v>
      </c>
      <c r="D243" t="inlineStr">
        <is>
          <t>DALARNAS LÄN</t>
        </is>
      </c>
      <c r="E243" t="inlineStr">
        <is>
          <t>MORA</t>
        </is>
      </c>
      <c r="G243" t="n">
        <v>2.2</v>
      </c>
      <c r="H243" t="n">
        <v>0</v>
      </c>
      <c r="I243" t="n">
        <v>0</v>
      </c>
      <c r="J243" t="n">
        <v>0</v>
      </c>
      <c r="K243" t="n">
        <v>0</v>
      </c>
      <c r="L243" t="n">
        <v>0</v>
      </c>
      <c r="M243" t="n">
        <v>0</v>
      </c>
      <c r="N243" t="n">
        <v>0</v>
      </c>
      <c r="O243" t="n">
        <v>0</v>
      </c>
      <c r="P243" t="n">
        <v>0</v>
      </c>
      <c r="Q243" t="n">
        <v>0</v>
      </c>
      <c r="R243" s="2" t="inlineStr"/>
    </row>
    <row r="244" ht="15" customHeight="1">
      <c r="A244" t="inlineStr">
        <is>
          <t>A 60847-2021</t>
        </is>
      </c>
      <c r="B244" s="1" t="n">
        <v>44497</v>
      </c>
      <c r="C244" s="1" t="n">
        <v>45967</v>
      </c>
      <c r="D244" t="inlineStr">
        <is>
          <t>DALARNAS LÄN</t>
        </is>
      </c>
      <c r="E244" t="inlineStr">
        <is>
          <t>MORA</t>
        </is>
      </c>
      <c r="G244" t="n">
        <v>1</v>
      </c>
      <c r="H244" t="n">
        <v>0</v>
      </c>
      <c r="I244" t="n">
        <v>0</v>
      </c>
      <c r="J244" t="n">
        <v>0</v>
      </c>
      <c r="K244" t="n">
        <v>0</v>
      </c>
      <c r="L244" t="n">
        <v>0</v>
      </c>
      <c r="M244" t="n">
        <v>0</v>
      </c>
      <c r="N244" t="n">
        <v>0</v>
      </c>
      <c r="O244" t="n">
        <v>0</v>
      </c>
      <c r="P244" t="n">
        <v>0</v>
      </c>
      <c r="Q244" t="n">
        <v>0</v>
      </c>
      <c r="R244" s="2" t="inlineStr"/>
    </row>
    <row r="245" ht="15" customHeight="1">
      <c r="A245" t="inlineStr">
        <is>
          <t>A 15643-2025</t>
        </is>
      </c>
      <c r="B245" s="1" t="n">
        <v>45748.39222222222</v>
      </c>
      <c r="C245" s="1" t="n">
        <v>45967</v>
      </c>
      <c r="D245" t="inlineStr">
        <is>
          <t>DALARNAS LÄN</t>
        </is>
      </c>
      <c r="E245" t="inlineStr">
        <is>
          <t>MORA</t>
        </is>
      </c>
      <c r="G245" t="n">
        <v>7.6</v>
      </c>
      <c r="H245" t="n">
        <v>0</v>
      </c>
      <c r="I245" t="n">
        <v>0</v>
      </c>
      <c r="J245" t="n">
        <v>0</v>
      </c>
      <c r="K245" t="n">
        <v>0</v>
      </c>
      <c r="L245" t="n">
        <v>0</v>
      </c>
      <c r="M245" t="n">
        <v>0</v>
      </c>
      <c r="N245" t="n">
        <v>0</v>
      </c>
      <c r="O245" t="n">
        <v>0</v>
      </c>
      <c r="P245" t="n">
        <v>0</v>
      </c>
      <c r="Q245" t="n">
        <v>0</v>
      </c>
      <c r="R245" s="2" t="inlineStr"/>
    </row>
    <row r="246" ht="15" customHeight="1">
      <c r="A246" t="inlineStr">
        <is>
          <t>A 16522-2024</t>
        </is>
      </c>
      <c r="B246" s="1" t="n">
        <v>45408.41166666667</v>
      </c>
      <c r="C246" s="1" t="n">
        <v>45967</v>
      </c>
      <c r="D246" t="inlineStr">
        <is>
          <t>DALARNAS LÄN</t>
        </is>
      </c>
      <c r="E246" t="inlineStr">
        <is>
          <t>MORA</t>
        </is>
      </c>
      <c r="G246" t="n">
        <v>11.2</v>
      </c>
      <c r="H246" t="n">
        <v>0</v>
      </c>
      <c r="I246" t="n">
        <v>0</v>
      </c>
      <c r="J246" t="n">
        <v>0</v>
      </c>
      <c r="K246" t="n">
        <v>0</v>
      </c>
      <c r="L246" t="n">
        <v>0</v>
      </c>
      <c r="M246" t="n">
        <v>0</v>
      </c>
      <c r="N246" t="n">
        <v>0</v>
      </c>
      <c r="O246" t="n">
        <v>0</v>
      </c>
      <c r="P246" t="n">
        <v>0</v>
      </c>
      <c r="Q246" t="n">
        <v>0</v>
      </c>
      <c r="R246" s="2" t="inlineStr"/>
    </row>
    <row r="247" ht="15" customHeight="1">
      <c r="A247" t="inlineStr">
        <is>
          <t>A 56012-2023</t>
        </is>
      </c>
      <c r="B247" s="1" t="n">
        <v>45240</v>
      </c>
      <c r="C247" s="1" t="n">
        <v>45967</v>
      </c>
      <c r="D247" t="inlineStr">
        <is>
          <t>DALARNAS LÄN</t>
        </is>
      </c>
      <c r="E247" t="inlineStr">
        <is>
          <t>MORA</t>
        </is>
      </c>
      <c r="G247" t="n">
        <v>0.3</v>
      </c>
      <c r="H247" t="n">
        <v>0</v>
      </c>
      <c r="I247" t="n">
        <v>0</v>
      </c>
      <c r="J247" t="n">
        <v>0</v>
      </c>
      <c r="K247" t="n">
        <v>0</v>
      </c>
      <c r="L247" t="n">
        <v>0</v>
      </c>
      <c r="M247" t="n">
        <v>0</v>
      </c>
      <c r="N247" t="n">
        <v>0</v>
      </c>
      <c r="O247" t="n">
        <v>0</v>
      </c>
      <c r="P247" t="n">
        <v>0</v>
      </c>
      <c r="Q247" t="n">
        <v>0</v>
      </c>
      <c r="R247" s="2" t="inlineStr"/>
    </row>
    <row r="248" ht="15" customHeight="1">
      <c r="A248" t="inlineStr">
        <is>
          <t>A 55120-2024</t>
        </is>
      </c>
      <c r="B248" s="1" t="n">
        <v>45621.45765046297</v>
      </c>
      <c r="C248" s="1" t="n">
        <v>45967</v>
      </c>
      <c r="D248" t="inlineStr">
        <is>
          <t>DALARNAS LÄN</t>
        </is>
      </c>
      <c r="E248" t="inlineStr">
        <is>
          <t>MORA</t>
        </is>
      </c>
      <c r="G248" t="n">
        <v>1.9</v>
      </c>
      <c r="H248" t="n">
        <v>0</v>
      </c>
      <c r="I248" t="n">
        <v>0</v>
      </c>
      <c r="J248" t="n">
        <v>0</v>
      </c>
      <c r="K248" t="n">
        <v>0</v>
      </c>
      <c r="L248" t="n">
        <v>0</v>
      </c>
      <c r="M248" t="n">
        <v>0</v>
      </c>
      <c r="N248" t="n">
        <v>0</v>
      </c>
      <c r="O248" t="n">
        <v>0</v>
      </c>
      <c r="P248" t="n">
        <v>0</v>
      </c>
      <c r="Q248" t="n">
        <v>0</v>
      </c>
      <c r="R248" s="2" t="inlineStr"/>
    </row>
    <row r="249" ht="15" customHeight="1">
      <c r="A249" t="inlineStr">
        <is>
          <t>A 32410-2024</t>
        </is>
      </c>
      <c r="B249" s="1" t="n">
        <v>45512.70077546296</v>
      </c>
      <c r="C249" s="1" t="n">
        <v>45967</v>
      </c>
      <c r="D249" t="inlineStr">
        <is>
          <t>DALARNAS LÄN</t>
        </is>
      </c>
      <c r="E249" t="inlineStr">
        <is>
          <t>MORA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36058-2024</t>
        </is>
      </c>
      <c r="B250" s="1" t="n">
        <v>45533</v>
      </c>
      <c r="C250" s="1" t="n">
        <v>45967</v>
      </c>
      <c r="D250" t="inlineStr">
        <is>
          <t>DALARNAS LÄN</t>
        </is>
      </c>
      <c r="E250" t="inlineStr">
        <is>
          <t>MORA</t>
        </is>
      </c>
      <c r="G250" t="n">
        <v>1</v>
      </c>
      <c r="H250" t="n">
        <v>0</v>
      </c>
      <c r="I250" t="n">
        <v>0</v>
      </c>
      <c r="J250" t="n">
        <v>0</v>
      </c>
      <c r="K250" t="n">
        <v>0</v>
      </c>
      <c r="L250" t="n">
        <v>0</v>
      </c>
      <c r="M250" t="n">
        <v>0</v>
      </c>
      <c r="N250" t="n">
        <v>0</v>
      </c>
      <c r="O250" t="n">
        <v>0</v>
      </c>
      <c r="P250" t="n">
        <v>0</v>
      </c>
      <c r="Q250" t="n">
        <v>0</v>
      </c>
      <c r="R250" s="2" t="inlineStr"/>
    </row>
    <row r="251" ht="15" customHeight="1">
      <c r="A251" t="inlineStr">
        <is>
          <t>A 61278-2024</t>
        </is>
      </c>
      <c r="B251" s="1" t="n">
        <v>45645.76561342592</v>
      </c>
      <c r="C251" s="1" t="n">
        <v>45967</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43873-2024</t>
        </is>
      </c>
      <c r="B252" s="1" t="n">
        <v>45572.38429398148</v>
      </c>
      <c r="C252" s="1" t="n">
        <v>45967</v>
      </c>
      <c r="D252" t="inlineStr">
        <is>
          <t>DALARNAS LÄN</t>
        </is>
      </c>
      <c r="E252" t="inlineStr">
        <is>
          <t>MORA</t>
        </is>
      </c>
      <c r="G252" t="n">
        <v>4.1</v>
      </c>
      <c r="H252" t="n">
        <v>0</v>
      </c>
      <c r="I252" t="n">
        <v>0</v>
      </c>
      <c r="J252" t="n">
        <v>0</v>
      </c>
      <c r="K252" t="n">
        <v>0</v>
      </c>
      <c r="L252" t="n">
        <v>0</v>
      </c>
      <c r="M252" t="n">
        <v>0</v>
      </c>
      <c r="N252" t="n">
        <v>0</v>
      </c>
      <c r="O252" t="n">
        <v>0</v>
      </c>
      <c r="P252" t="n">
        <v>0</v>
      </c>
      <c r="Q252" t="n">
        <v>0</v>
      </c>
      <c r="R252" s="2" t="inlineStr"/>
    </row>
    <row r="253" ht="15" customHeight="1">
      <c r="A253" t="inlineStr">
        <is>
          <t>A 40325-2024</t>
        </is>
      </c>
      <c r="B253" s="1" t="n">
        <v>45554.88538194444</v>
      </c>
      <c r="C253" s="1" t="n">
        <v>45967</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24335-2022</t>
        </is>
      </c>
      <c r="B254" s="1" t="n">
        <v>44725</v>
      </c>
      <c r="C254" s="1" t="n">
        <v>45967</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46152-2023</t>
        </is>
      </c>
      <c r="B255" s="1" t="n">
        <v>45196.58278935185</v>
      </c>
      <c r="C255" s="1" t="n">
        <v>45967</v>
      </c>
      <c r="D255" t="inlineStr">
        <is>
          <t>DALARNAS LÄN</t>
        </is>
      </c>
      <c r="E255" t="inlineStr">
        <is>
          <t>MORA</t>
        </is>
      </c>
      <c r="G255" t="n">
        <v>2</v>
      </c>
      <c r="H255" t="n">
        <v>0</v>
      </c>
      <c r="I255" t="n">
        <v>0</v>
      </c>
      <c r="J255" t="n">
        <v>0</v>
      </c>
      <c r="K255" t="n">
        <v>0</v>
      </c>
      <c r="L255" t="n">
        <v>0</v>
      </c>
      <c r="M255" t="n">
        <v>0</v>
      </c>
      <c r="N255" t="n">
        <v>0</v>
      </c>
      <c r="O255" t="n">
        <v>0</v>
      </c>
      <c r="P255" t="n">
        <v>0</v>
      </c>
      <c r="Q255" t="n">
        <v>0</v>
      </c>
      <c r="R255" s="2" t="inlineStr"/>
    </row>
    <row r="256" ht="15" customHeight="1">
      <c r="A256" t="inlineStr">
        <is>
          <t>A 15440-2024</t>
        </is>
      </c>
      <c r="B256" s="1" t="n">
        <v>45401.4194212963</v>
      </c>
      <c r="C256" s="1" t="n">
        <v>45967</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11857-2023</t>
        </is>
      </c>
      <c r="B257" s="1" t="n">
        <v>44995</v>
      </c>
      <c r="C257" s="1" t="n">
        <v>45967</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15818-2024</t>
        </is>
      </c>
      <c r="B258" s="1" t="n">
        <v>45404.67442129629</v>
      </c>
      <c r="C258" s="1" t="n">
        <v>45967</v>
      </c>
      <c r="D258" t="inlineStr">
        <is>
          <t>DALARNAS LÄN</t>
        </is>
      </c>
      <c r="E258" t="inlineStr">
        <is>
          <t>MORA</t>
        </is>
      </c>
      <c r="G258" t="n">
        <v>7</v>
      </c>
      <c r="H258" t="n">
        <v>0</v>
      </c>
      <c r="I258" t="n">
        <v>0</v>
      </c>
      <c r="J258" t="n">
        <v>0</v>
      </c>
      <c r="K258" t="n">
        <v>0</v>
      </c>
      <c r="L258" t="n">
        <v>0</v>
      </c>
      <c r="M258" t="n">
        <v>0</v>
      </c>
      <c r="N258" t="n">
        <v>0</v>
      </c>
      <c r="O258" t="n">
        <v>0</v>
      </c>
      <c r="P258" t="n">
        <v>0</v>
      </c>
      <c r="Q258" t="n">
        <v>0</v>
      </c>
      <c r="R258" s="2" t="inlineStr"/>
    </row>
    <row r="259" ht="15" customHeight="1">
      <c r="A259" t="inlineStr">
        <is>
          <t>A 42035-2022</t>
        </is>
      </c>
      <c r="B259" s="1" t="n">
        <v>44830</v>
      </c>
      <c r="C259" s="1" t="n">
        <v>45967</v>
      </c>
      <c r="D259" t="inlineStr">
        <is>
          <t>DALARNAS LÄN</t>
        </is>
      </c>
      <c r="E259" t="inlineStr">
        <is>
          <t>MORA</t>
        </is>
      </c>
      <c r="G259" t="n">
        <v>2.7</v>
      </c>
      <c r="H259" t="n">
        <v>0</v>
      </c>
      <c r="I259" t="n">
        <v>0</v>
      </c>
      <c r="J259" t="n">
        <v>0</v>
      </c>
      <c r="K259" t="n">
        <v>0</v>
      </c>
      <c r="L259" t="n">
        <v>0</v>
      </c>
      <c r="M259" t="n">
        <v>0</v>
      </c>
      <c r="N259" t="n">
        <v>0</v>
      </c>
      <c r="O259" t="n">
        <v>0</v>
      </c>
      <c r="P259" t="n">
        <v>0</v>
      </c>
      <c r="Q259" t="n">
        <v>0</v>
      </c>
      <c r="R259" s="2" t="inlineStr"/>
    </row>
    <row r="260" ht="15" customHeight="1">
      <c r="A260" t="inlineStr">
        <is>
          <t>A 45674-2024</t>
        </is>
      </c>
      <c r="B260" s="1" t="n">
        <v>45573</v>
      </c>
      <c r="C260" s="1" t="n">
        <v>45967</v>
      </c>
      <c r="D260" t="inlineStr">
        <is>
          <t>DALARNAS LÄN</t>
        </is>
      </c>
      <c r="E260" t="inlineStr">
        <is>
          <t>MORA</t>
        </is>
      </c>
      <c r="G260" t="n">
        <v>3.2</v>
      </c>
      <c r="H260" t="n">
        <v>0</v>
      </c>
      <c r="I260" t="n">
        <v>0</v>
      </c>
      <c r="J260" t="n">
        <v>0</v>
      </c>
      <c r="K260" t="n">
        <v>0</v>
      </c>
      <c r="L260" t="n">
        <v>0</v>
      </c>
      <c r="M260" t="n">
        <v>0</v>
      </c>
      <c r="N260" t="n">
        <v>0</v>
      </c>
      <c r="O260" t="n">
        <v>0</v>
      </c>
      <c r="P260" t="n">
        <v>0</v>
      </c>
      <c r="Q260" t="n">
        <v>0</v>
      </c>
      <c r="R260" s="2" t="inlineStr"/>
    </row>
    <row r="261" ht="15" customHeight="1">
      <c r="A261" t="inlineStr">
        <is>
          <t>A 45390-2024</t>
        </is>
      </c>
      <c r="B261" s="1" t="n">
        <v>45576.54820601852</v>
      </c>
      <c r="C261" s="1" t="n">
        <v>45967</v>
      </c>
      <c r="D261" t="inlineStr">
        <is>
          <t>DALARNAS LÄN</t>
        </is>
      </c>
      <c r="E261" t="inlineStr">
        <is>
          <t>MORA</t>
        </is>
      </c>
      <c r="F261" t="inlineStr">
        <is>
          <t>Bergvik skog väst AB</t>
        </is>
      </c>
      <c r="G261" t="n">
        <v>5.6</v>
      </c>
      <c r="H261" t="n">
        <v>0</v>
      </c>
      <c r="I261" t="n">
        <v>0</v>
      </c>
      <c r="J261" t="n">
        <v>0</v>
      </c>
      <c r="K261" t="n">
        <v>0</v>
      </c>
      <c r="L261" t="n">
        <v>0</v>
      </c>
      <c r="M261" t="n">
        <v>0</v>
      </c>
      <c r="N261" t="n">
        <v>0</v>
      </c>
      <c r="O261" t="n">
        <v>0</v>
      </c>
      <c r="P261" t="n">
        <v>0</v>
      </c>
      <c r="Q261" t="n">
        <v>0</v>
      </c>
      <c r="R261" s="2" t="inlineStr"/>
    </row>
    <row r="262" ht="15" customHeight="1">
      <c r="A262" t="inlineStr">
        <is>
          <t>A 19756-2022</t>
        </is>
      </c>
      <c r="B262" s="1" t="n">
        <v>44694.62913194444</v>
      </c>
      <c r="C262" s="1" t="n">
        <v>45967</v>
      </c>
      <c r="D262" t="inlineStr">
        <is>
          <t>DALARNAS LÄN</t>
        </is>
      </c>
      <c r="E262" t="inlineStr">
        <is>
          <t>MORA</t>
        </is>
      </c>
      <c r="G262" t="n">
        <v>1</v>
      </c>
      <c r="H262" t="n">
        <v>0</v>
      </c>
      <c r="I262" t="n">
        <v>0</v>
      </c>
      <c r="J262" t="n">
        <v>0</v>
      </c>
      <c r="K262" t="n">
        <v>0</v>
      </c>
      <c r="L262" t="n">
        <v>0</v>
      </c>
      <c r="M262" t="n">
        <v>0</v>
      </c>
      <c r="N262" t="n">
        <v>0</v>
      </c>
      <c r="O262" t="n">
        <v>0</v>
      </c>
      <c r="P262" t="n">
        <v>0</v>
      </c>
      <c r="Q262" t="n">
        <v>0</v>
      </c>
      <c r="R262" s="2" t="inlineStr"/>
    </row>
    <row r="263" ht="15" customHeight="1">
      <c r="A263" t="inlineStr">
        <is>
          <t>A 5980-2025</t>
        </is>
      </c>
      <c r="B263" s="1" t="n">
        <v>45695.54651620371</v>
      </c>
      <c r="C263" s="1" t="n">
        <v>45967</v>
      </c>
      <c r="D263" t="inlineStr">
        <is>
          <t>DALARNAS LÄN</t>
        </is>
      </c>
      <c r="E263" t="inlineStr">
        <is>
          <t>MORA</t>
        </is>
      </c>
      <c r="G263" t="n">
        <v>2.7</v>
      </c>
      <c r="H263" t="n">
        <v>0</v>
      </c>
      <c r="I263" t="n">
        <v>0</v>
      </c>
      <c r="J263" t="n">
        <v>0</v>
      </c>
      <c r="K263" t="n">
        <v>0</v>
      </c>
      <c r="L263" t="n">
        <v>0</v>
      </c>
      <c r="M263" t="n">
        <v>0</v>
      </c>
      <c r="N263" t="n">
        <v>0</v>
      </c>
      <c r="O263" t="n">
        <v>0</v>
      </c>
      <c r="P263" t="n">
        <v>0</v>
      </c>
      <c r="Q263" t="n">
        <v>0</v>
      </c>
      <c r="R263" s="2" t="inlineStr"/>
    </row>
    <row r="264" ht="15" customHeight="1">
      <c r="A264" t="inlineStr">
        <is>
          <t>A 5216-2025</t>
        </is>
      </c>
      <c r="B264" s="1" t="n">
        <v>45691.69671296296</v>
      </c>
      <c r="C264" s="1" t="n">
        <v>45967</v>
      </c>
      <c r="D264" t="inlineStr">
        <is>
          <t>DALARNAS LÄN</t>
        </is>
      </c>
      <c r="E264" t="inlineStr">
        <is>
          <t>MORA</t>
        </is>
      </c>
      <c r="G264" t="n">
        <v>2.5</v>
      </c>
      <c r="H264" t="n">
        <v>0</v>
      </c>
      <c r="I264" t="n">
        <v>0</v>
      </c>
      <c r="J264" t="n">
        <v>0</v>
      </c>
      <c r="K264" t="n">
        <v>0</v>
      </c>
      <c r="L264" t="n">
        <v>0</v>
      </c>
      <c r="M264" t="n">
        <v>0</v>
      </c>
      <c r="N264" t="n">
        <v>0</v>
      </c>
      <c r="O264" t="n">
        <v>0</v>
      </c>
      <c r="P264" t="n">
        <v>0</v>
      </c>
      <c r="Q264" t="n">
        <v>0</v>
      </c>
      <c r="R264" s="2" t="inlineStr"/>
    </row>
    <row r="265" ht="15" customHeight="1">
      <c r="A265" t="inlineStr">
        <is>
          <t>A 53344-2023</t>
        </is>
      </c>
      <c r="B265" s="1" t="n">
        <v>45229</v>
      </c>
      <c r="C265" s="1" t="n">
        <v>45967</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9599-2022</t>
        </is>
      </c>
      <c r="B266" s="1" t="n">
        <v>44617.48909722222</v>
      </c>
      <c r="C266" s="1" t="n">
        <v>45967</v>
      </c>
      <c r="D266" t="inlineStr">
        <is>
          <t>DALARNAS LÄN</t>
        </is>
      </c>
      <c r="E266" t="inlineStr">
        <is>
          <t>MORA</t>
        </is>
      </c>
      <c r="G266" t="n">
        <v>2.1</v>
      </c>
      <c r="H266" t="n">
        <v>0</v>
      </c>
      <c r="I266" t="n">
        <v>0</v>
      </c>
      <c r="J266" t="n">
        <v>0</v>
      </c>
      <c r="K266" t="n">
        <v>0</v>
      </c>
      <c r="L266" t="n">
        <v>0</v>
      </c>
      <c r="M266" t="n">
        <v>0</v>
      </c>
      <c r="N266" t="n">
        <v>0</v>
      </c>
      <c r="O266" t="n">
        <v>0</v>
      </c>
      <c r="P266" t="n">
        <v>0</v>
      </c>
      <c r="Q266" t="n">
        <v>0</v>
      </c>
      <c r="R266" s="2" t="inlineStr"/>
    </row>
    <row r="267" ht="15" customHeight="1">
      <c r="A267" t="inlineStr">
        <is>
          <t>A 59448-2022</t>
        </is>
      </c>
      <c r="B267" s="1" t="n">
        <v>44907</v>
      </c>
      <c r="C267" s="1" t="n">
        <v>45967</v>
      </c>
      <c r="D267" t="inlineStr">
        <is>
          <t>DALARNAS LÄN</t>
        </is>
      </c>
      <c r="E267" t="inlineStr">
        <is>
          <t>MORA</t>
        </is>
      </c>
      <c r="G267" t="n">
        <v>35.7</v>
      </c>
      <c r="H267" t="n">
        <v>0</v>
      </c>
      <c r="I267" t="n">
        <v>0</v>
      </c>
      <c r="J267" t="n">
        <v>0</v>
      </c>
      <c r="K267" t="n">
        <v>0</v>
      </c>
      <c r="L267" t="n">
        <v>0</v>
      </c>
      <c r="M267" t="n">
        <v>0</v>
      </c>
      <c r="N267" t="n">
        <v>0</v>
      </c>
      <c r="O267" t="n">
        <v>0</v>
      </c>
      <c r="P267" t="n">
        <v>0</v>
      </c>
      <c r="Q267" t="n">
        <v>0</v>
      </c>
      <c r="R267" s="2" t="inlineStr"/>
    </row>
    <row r="268" ht="15" customHeight="1">
      <c r="A268" t="inlineStr">
        <is>
          <t>A 46537-2025</t>
        </is>
      </c>
      <c r="B268" s="1" t="n">
        <v>45926.34195601852</v>
      </c>
      <c r="C268" s="1" t="n">
        <v>45967</v>
      </c>
      <c r="D268" t="inlineStr">
        <is>
          <t>DALARNAS LÄN</t>
        </is>
      </c>
      <c r="E268" t="inlineStr">
        <is>
          <t>MORA</t>
        </is>
      </c>
      <c r="G268" t="n">
        <v>10.6</v>
      </c>
      <c r="H268" t="n">
        <v>0</v>
      </c>
      <c r="I268" t="n">
        <v>0</v>
      </c>
      <c r="J268" t="n">
        <v>0</v>
      </c>
      <c r="K268" t="n">
        <v>0</v>
      </c>
      <c r="L268" t="n">
        <v>0</v>
      </c>
      <c r="M268" t="n">
        <v>0</v>
      </c>
      <c r="N268" t="n">
        <v>0</v>
      </c>
      <c r="O268" t="n">
        <v>0</v>
      </c>
      <c r="P268" t="n">
        <v>0</v>
      </c>
      <c r="Q268" t="n">
        <v>0</v>
      </c>
      <c r="R268" s="2" t="inlineStr"/>
    </row>
    <row r="269" ht="15" customHeight="1">
      <c r="A269" t="inlineStr">
        <is>
          <t>A 51883-2024</t>
        </is>
      </c>
      <c r="B269" s="1" t="n">
        <v>45607</v>
      </c>
      <c r="C269" s="1" t="n">
        <v>45967</v>
      </c>
      <c r="D269" t="inlineStr">
        <is>
          <t>DALARNAS LÄN</t>
        </is>
      </c>
      <c r="E269" t="inlineStr">
        <is>
          <t>MORA</t>
        </is>
      </c>
      <c r="G269" t="n">
        <v>0.2</v>
      </c>
      <c r="H269" t="n">
        <v>0</v>
      </c>
      <c r="I269" t="n">
        <v>0</v>
      </c>
      <c r="J269" t="n">
        <v>0</v>
      </c>
      <c r="K269" t="n">
        <v>0</v>
      </c>
      <c r="L269" t="n">
        <v>0</v>
      </c>
      <c r="M269" t="n">
        <v>0</v>
      </c>
      <c r="N269" t="n">
        <v>0</v>
      </c>
      <c r="O269" t="n">
        <v>0</v>
      </c>
      <c r="P269" t="n">
        <v>0</v>
      </c>
      <c r="Q269" t="n">
        <v>0</v>
      </c>
      <c r="R269" s="2" t="inlineStr"/>
    </row>
    <row r="270" ht="15" customHeight="1">
      <c r="A270" t="inlineStr">
        <is>
          <t>A 51888-2024</t>
        </is>
      </c>
      <c r="B270" s="1" t="n">
        <v>45607.57142361111</v>
      </c>
      <c r="C270" s="1" t="n">
        <v>45967</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57797-2022</t>
        </is>
      </c>
      <c r="B271" s="1" t="n">
        <v>44897</v>
      </c>
      <c r="C271" s="1" t="n">
        <v>45967</v>
      </c>
      <c r="D271" t="inlineStr">
        <is>
          <t>DALARNAS LÄN</t>
        </is>
      </c>
      <c r="E271" t="inlineStr">
        <is>
          <t>MORA</t>
        </is>
      </c>
      <c r="G271" t="n">
        <v>3.1</v>
      </c>
      <c r="H271" t="n">
        <v>0</v>
      </c>
      <c r="I271" t="n">
        <v>0</v>
      </c>
      <c r="J271" t="n">
        <v>0</v>
      </c>
      <c r="K271" t="n">
        <v>0</v>
      </c>
      <c r="L271" t="n">
        <v>0</v>
      </c>
      <c r="M271" t="n">
        <v>0</v>
      </c>
      <c r="N271" t="n">
        <v>0</v>
      </c>
      <c r="O271" t="n">
        <v>0</v>
      </c>
      <c r="P271" t="n">
        <v>0</v>
      </c>
      <c r="Q271" t="n">
        <v>0</v>
      </c>
      <c r="R271" s="2" t="inlineStr"/>
    </row>
    <row r="272" ht="15" customHeight="1">
      <c r="A272" t="inlineStr">
        <is>
          <t>A 40286-2024</t>
        </is>
      </c>
      <c r="B272" s="1" t="n">
        <v>45554.6687037037</v>
      </c>
      <c r="C272" s="1" t="n">
        <v>45967</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48824-2023</t>
        </is>
      </c>
      <c r="B273" s="1" t="n">
        <v>45203</v>
      </c>
      <c r="C273" s="1" t="n">
        <v>45967</v>
      </c>
      <c r="D273" t="inlineStr">
        <is>
          <t>DALARNAS LÄN</t>
        </is>
      </c>
      <c r="E273" t="inlineStr">
        <is>
          <t>MORA</t>
        </is>
      </c>
      <c r="G273" t="n">
        <v>3.3</v>
      </c>
      <c r="H273" t="n">
        <v>0</v>
      </c>
      <c r="I273" t="n">
        <v>0</v>
      </c>
      <c r="J273" t="n">
        <v>0</v>
      </c>
      <c r="K273" t="n">
        <v>0</v>
      </c>
      <c r="L273" t="n">
        <v>0</v>
      </c>
      <c r="M273" t="n">
        <v>0</v>
      </c>
      <c r="N273" t="n">
        <v>0</v>
      </c>
      <c r="O273" t="n">
        <v>0</v>
      </c>
      <c r="P273" t="n">
        <v>0</v>
      </c>
      <c r="Q273" t="n">
        <v>0</v>
      </c>
      <c r="R273" s="2" t="inlineStr"/>
    </row>
    <row r="274" ht="15" customHeight="1">
      <c r="A274" t="inlineStr">
        <is>
          <t>A 45355-2024</t>
        </is>
      </c>
      <c r="B274" s="1" t="n">
        <v>45576</v>
      </c>
      <c r="C274" s="1" t="n">
        <v>45967</v>
      </c>
      <c r="D274" t="inlineStr">
        <is>
          <t>DALARNAS LÄN</t>
        </is>
      </c>
      <c r="E274" t="inlineStr">
        <is>
          <t>MORA</t>
        </is>
      </c>
      <c r="G274" t="n">
        <v>1.4</v>
      </c>
      <c r="H274" t="n">
        <v>0</v>
      </c>
      <c r="I274" t="n">
        <v>0</v>
      </c>
      <c r="J274" t="n">
        <v>0</v>
      </c>
      <c r="K274" t="n">
        <v>0</v>
      </c>
      <c r="L274" t="n">
        <v>0</v>
      </c>
      <c r="M274" t="n">
        <v>0</v>
      </c>
      <c r="N274" t="n">
        <v>0</v>
      </c>
      <c r="O274" t="n">
        <v>0</v>
      </c>
      <c r="P274" t="n">
        <v>0</v>
      </c>
      <c r="Q274" t="n">
        <v>0</v>
      </c>
      <c r="R274" s="2" t="inlineStr"/>
    </row>
    <row r="275" ht="15" customHeight="1">
      <c r="A275" t="inlineStr">
        <is>
          <t>A 20504-2023</t>
        </is>
      </c>
      <c r="B275" s="1" t="n">
        <v>45057</v>
      </c>
      <c r="C275" s="1" t="n">
        <v>45967</v>
      </c>
      <c r="D275" t="inlineStr">
        <is>
          <t>DALARNAS LÄN</t>
        </is>
      </c>
      <c r="E275" t="inlineStr">
        <is>
          <t>MORA</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44595-2024</t>
        </is>
      </c>
      <c r="B276" s="1" t="n">
        <v>45574.51053240741</v>
      </c>
      <c r="C276" s="1" t="n">
        <v>45967</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46525-2025</t>
        </is>
      </c>
      <c r="B277" s="1" t="n">
        <v>45926.3312962963</v>
      </c>
      <c r="C277" s="1" t="n">
        <v>45967</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16967-2025</t>
        </is>
      </c>
      <c r="B278" s="1" t="n">
        <v>45755.46106481482</v>
      </c>
      <c r="C278" s="1" t="n">
        <v>45967</v>
      </c>
      <c r="D278" t="inlineStr">
        <is>
          <t>DALARNAS LÄN</t>
        </is>
      </c>
      <c r="E278" t="inlineStr">
        <is>
          <t>MORA</t>
        </is>
      </c>
      <c r="F278" t="inlineStr">
        <is>
          <t>Bergvik skog öst AB</t>
        </is>
      </c>
      <c r="G278" t="n">
        <v>2.9</v>
      </c>
      <c r="H278" t="n">
        <v>0</v>
      </c>
      <c r="I278" t="n">
        <v>0</v>
      </c>
      <c r="J278" t="n">
        <v>0</v>
      </c>
      <c r="K278" t="n">
        <v>0</v>
      </c>
      <c r="L278" t="n">
        <v>0</v>
      </c>
      <c r="M278" t="n">
        <v>0</v>
      </c>
      <c r="N278" t="n">
        <v>0</v>
      </c>
      <c r="O278" t="n">
        <v>0</v>
      </c>
      <c r="P278" t="n">
        <v>0</v>
      </c>
      <c r="Q278" t="n">
        <v>0</v>
      </c>
      <c r="R278" s="2" t="inlineStr"/>
    </row>
    <row r="279" ht="15" customHeight="1">
      <c r="A279" t="inlineStr">
        <is>
          <t>A 38627-2023</t>
        </is>
      </c>
      <c r="B279" s="1" t="n">
        <v>45162.68787037037</v>
      </c>
      <c r="C279" s="1" t="n">
        <v>45967</v>
      </c>
      <c r="D279" t="inlineStr">
        <is>
          <t>DALARNAS LÄN</t>
        </is>
      </c>
      <c r="E279" t="inlineStr">
        <is>
          <t>MORA</t>
        </is>
      </c>
      <c r="G279" t="n">
        <v>6.5</v>
      </c>
      <c r="H279" t="n">
        <v>0</v>
      </c>
      <c r="I279" t="n">
        <v>0</v>
      </c>
      <c r="J279" t="n">
        <v>0</v>
      </c>
      <c r="K279" t="n">
        <v>0</v>
      </c>
      <c r="L279" t="n">
        <v>0</v>
      </c>
      <c r="M279" t="n">
        <v>0</v>
      </c>
      <c r="N279" t="n">
        <v>0</v>
      </c>
      <c r="O279" t="n">
        <v>0</v>
      </c>
      <c r="P279" t="n">
        <v>0</v>
      </c>
      <c r="Q279" t="n">
        <v>0</v>
      </c>
      <c r="R279" s="2" t="inlineStr"/>
    </row>
    <row r="280" ht="15" customHeight="1">
      <c r="A280" t="inlineStr">
        <is>
          <t>A 16637-2025</t>
        </is>
      </c>
      <c r="B280" s="1" t="n">
        <v>45754.36738425926</v>
      </c>
      <c r="C280" s="1" t="n">
        <v>45967</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48570-2022</t>
        </is>
      </c>
      <c r="B281" s="1" t="n">
        <v>44859</v>
      </c>
      <c r="C281" s="1" t="n">
        <v>45967</v>
      </c>
      <c r="D281" t="inlineStr">
        <is>
          <t>DALARNAS LÄN</t>
        </is>
      </c>
      <c r="E281" t="inlineStr">
        <is>
          <t>MORA</t>
        </is>
      </c>
      <c r="G281" t="n">
        <v>6.2</v>
      </c>
      <c r="H281" t="n">
        <v>0</v>
      </c>
      <c r="I281" t="n">
        <v>0</v>
      </c>
      <c r="J281" t="n">
        <v>0</v>
      </c>
      <c r="K281" t="n">
        <v>0</v>
      </c>
      <c r="L281" t="n">
        <v>0</v>
      </c>
      <c r="M281" t="n">
        <v>0</v>
      </c>
      <c r="N281" t="n">
        <v>0</v>
      </c>
      <c r="O281" t="n">
        <v>0</v>
      </c>
      <c r="P281" t="n">
        <v>0</v>
      </c>
      <c r="Q281" t="n">
        <v>0</v>
      </c>
      <c r="R281" s="2" t="inlineStr"/>
    </row>
    <row r="282" ht="15" customHeight="1">
      <c r="A282" t="inlineStr">
        <is>
          <t>A 43566-2023</t>
        </is>
      </c>
      <c r="B282" s="1" t="n">
        <v>45184.58199074074</v>
      </c>
      <c r="C282" s="1" t="n">
        <v>45967</v>
      </c>
      <c r="D282" t="inlineStr">
        <is>
          <t>DALARNAS LÄN</t>
        </is>
      </c>
      <c r="E282" t="inlineStr">
        <is>
          <t>MORA</t>
        </is>
      </c>
      <c r="F282" t="inlineStr">
        <is>
          <t>Bergvik skog väst AB</t>
        </is>
      </c>
      <c r="G282" t="n">
        <v>4.3</v>
      </c>
      <c r="H282" t="n">
        <v>0</v>
      </c>
      <c r="I282" t="n">
        <v>0</v>
      </c>
      <c r="J282" t="n">
        <v>0</v>
      </c>
      <c r="K282" t="n">
        <v>0</v>
      </c>
      <c r="L282" t="n">
        <v>0</v>
      </c>
      <c r="M282" t="n">
        <v>0</v>
      </c>
      <c r="N282" t="n">
        <v>0</v>
      </c>
      <c r="O282" t="n">
        <v>0</v>
      </c>
      <c r="P282" t="n">
        <v>0</v>
      </c>
      <c r="Q282" t="n">
        <v>0</v>
      </c>
      <c r="R282" s="2" t="inlineStr"/>
    </row>
    <row r="283" ht="15" customHeight="1">
      <c r="A283" t="inlineStr">
        <is>
          <t>A 49991-2023</t>
        </is>
      </c>
      <c r="B283" s="1" t="n">
        <v>45215.43879629629</v>
      </c>
      <c r="C283" s="1" t="n">
        <v>45967</v>
      </c>
      <c r="D283" t="inlineStr">
        <is>
          <t>DALARNAS LÄN</t>
        </is>
      </c>
      <c r="E283" t="inlineStr">
        <is>
          <t>MORA</t>
        </is>
      </c>
      <c r="G283" t="n">
        <v>1.8</v>
      </c>
      <c r="H283" t="n">
        <v>0</v>
      </c>
      <c r="I283" t="n">
        <v>0</v>
      </c>
      <c r="J283" t="n">
        <v>0</v>
      </c>
      <c r="K283" t="n">
        <v>0</v>
      </c>
      <c r="L283" t="n">
        <v>0</v>
      </c>
      <c r="M283" t="n">
        <v>0</v>
      </c>
      <c r="N283" t="n">
        <v>0</v>
      </c>
      <c r="O283" t="n">
        <v>0</v>
      </c>
      <c r="P283" t="n">
        <v>0</v>
      </c>
      <c r="Q283" t="n">
        <v>0</v>
      </c>
      <c r="R283" s="2" t="inlineStr"/>
    </row>
    <row r="284" ht="15" customHeight="1">
      <c r="A284" t="inlineStr">
        <is>
          <t>A 62268-2020</t>
        </is>
      </c>
      <c r="B284" s="1" t="n">
        <v>44160</v>
      </c>
      <c r="C284" s="1" t="n">
        <v>45967</v>
      </c>
      <c r="D284" t="inlineStr">
        <is>
          <t>DALARNAS LÄN</t>
        </is>
      </c>
      <c r="E284" t="inlineStr">
        <is>
          <t>MORA</t>
        </is>
      </c>
      <c r="F284" t="inlineStr">
        <is>
          <t>Bergvik skog väst AB</t>
        </is>
      </c>
      <c r="G284" t="n">
        <v>3.5</v>
      </c>
      <c r="H284" t="n">
        <v>0</v>
      </c>
      <c r="I284" t="n">
        <v>0</v>
      </c>
      <c r="J284" t="n">
        <v>0</v>
      </c>
      <c r="K284" t="n">
        <v>0</v>
      </c>
      <c r="L284" t="n">
        <v>0</v>
      </c>
      <c r="M284" t="n">
        <v>0</v>
      </c>
      <c r="N284" t="n">
        <v>0</v>
      </c>
      <c r="O284" t="n">
        <v>0</v>
      </c>
      <c r="P284" t="n">
        <v>0</v>
      </c>
      <c r="Q284" t="n">
        <v>0</v>
      </c>
      <c r="R284" s="2" t="inlineStr"/>
    </row>
    <row r="285" ht="15" customHeight="1">
      <c r="A285" t="inlineStr">
        <is>
          <t>A 20401-2022</t>
        </is>
      </c>
      <c r="B285" s="1" t="n">
        <v>44699</v>
      </c>
      <c r="C285" s="1" t="n">
        <v>45967</v>
      </c>
      <c r="D285" t="inlineStr">
        <is>
          <t>DALARNAS LÄN</t>
        </is>
      </c>
      <c r="E285" t="inlineStr">
        <is>
          <t>MORA</t>
        </is>
      </c>
      <c r="G285" t="n">
        <v>3.2</v>
      </c>
      <c r="H285" t="n">
        <v>0</v>
      </c>
      <c r="I285" t="n">
        <v>0</v>
      </c>
      <c r="J285" t="n">
        <v>0</v>
      </c>
      <c r="K285" t="n">
        <v>0</v>
      </c>
      <c r="L285" t="n">
        <v>0</v>
      </c>
      <c r="M285" t="n">
        <v>0</v>
      </c>
      <c r="N285" t="n">
        <v>0</v>
      </c>
      <c r="O285" t="n">
        <v>0</v>
      </c>
      <c r="P285" t="n">
        <v>0</v>
      </c>
      <c r="Q285" t="n">
        <v>0</v>
      </c>
      <c r="R285" s="2" t="inlineStr"/>
    </row>
    <row r="286" ht="15" customHeight="1">
      <c r="A286" t="inlineStr">
        <is>
          <t>A 8153-2021</t>
        </is>
      </c>
      <c r="B286" s="1" t="n">
        <v>44244</v>
      </c>
      <c r="C286" s="1" t="n">
        <v>45967</v>
      </c>
      <c r="D286" t="inlineStr">
        <is>
          <t>DALARNAS LÄN</t>
        </is>
      </c>
      <c r="E286" t="inlineStr">
        <is>
          <t>MORA</t>
        </is>
      </c>
      <c r="G286" t="n">
        <v>2.5</v>
      </c>
      <c r="H286" t="n">
        <v>0</v>
      </c>
      <c r="I286" t="n">
        <v>0</v>
      </c>
      <c r="J286" t="n">
        <v>0</v>
      </c>
      <c r="K286" t="n">
        <v>0</v>
      </c>
      <c r="L286" t="n">
        <v>0</v>
      </c>
      <c r="M286" t="n">
        <v>0</v>
      </c>
      <c r="N286" t="n">
        <v>0</v>
      </c>
      <c r="O286" t="n">
        <v>0</v>
      </c>
      <c r="P286" t="n">
        <v>0</v>
      </c>
      <c r="Q286" t="n">
        <v>0</v>
      </c>
      <c r="R286" s="2" t="inlineStr"/>
    </row>
    <row r="287" ht="15" customHeight="1">
      <c r="A287" t="inlineStr">
        <is>
          <t>A 18120-2025</t>
        </is>
      </c>
      <c r="B287" s="1" t="n">
        <v>45761</v>
      </c>
      <c r="C287" s="1" t="n">
        <v>45967</v>
      </c>
      <c r="D287" t="inlineStr">
        <is>
          <t>DALARNAS LÄN</t>
        </is>
      </c>
      <c r="E287" t="inlineStr">
        <is>
          <t>MORA</t>
        </is>
      </c>
      <c r="F287" t="inlineStr">
        <is>
          <t>Bergvik skog väst AB</t>
        </is>
      </c>
      <c r="G287" t="n">
        <v>6.4</v>
      </c>
      <c r="H287" t="n">
        <v>0</v>
      </c>
      <c r="I287" t="n">
        <v>0</v>
      </c>
      <c r="J287" t="n">
        <v>0</v>
      </c>
      <c r="K287" t="n">
        <v>0</v>
      </c>
      <c r="L287" t="n">
        <v>0</v>
      </c>
      <c r="M287" t="n">
        <v>0</v>
      </c>
      <c r="N287" t="n">
        <v>0</v>
      </c>
      <c r="O287" t="n">
        <v>0</v>
      </c>
      <c r="P287" t="n">
        <v>0</v>
      </c>
      <c r="Q287" t="n">
        <v>0</v>
      </c>
      <c r="R287" s="2" t="inlineStr"/>
    </row>
    <row r="288" ht="15" customHeight="1">
      <c r="A288" t="inlineStr">
        <is>
          <t>A 18127-2025</t>
        </is>
      </c>
      <c r="B288" s="1" t="n">
        <v>45761.59523148148</v>
      </c>
      <c r="C288" s="1" t="n">
        <v>45967</v>
      </c>
      <c r="D288" t="inlineStr">
        <is>
          <t>DALARNAS LÄN</t>
        </is>
      </c>
      <c r="E288" t="inlineStr">
        <is>
          <t>MORA</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25887-2023</t>
        </is>
      </c>
      <c r="B289" s="1" t="n">
        <v>45090.62493055555</v>
      </c>
      <c r="C289" s="1" t="n">
        <v>45967</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53743-2024</t>
        </is>
      </c>
      <c r="B290" s="1" t="n">
        <v>45615.47137731482</v>
      </c>
      <c r="C290" s="1" t="n">
        <v>45967</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20544-2025</t>
        </is>
      </c>
      <c r="B291" s="1" t="n">
        <v>45775.63119212963</v>
      </c>
      <c r="C291" s="1" t="n">
        <v>45967</v>
      </c>
      <c r="D291" t="inlineStr">
        <is>
          <t>DALARNAS LÄN</t>
        </is>
      </c>
      <c r="E291" t="inlineStr">
        <is>
          <t>MORA</t>
        </is>
      </c>
      <c r="G291" t="n">
        <v>3.6</v>
      </c>
      <c r="H291" t="n">
        <v>0</v>
      </c>
      <c r="I291" t="n">
        <v>0</v>
      </c>
      <c r="J291" t="n">
        <v>0</v>
      </c>
      <c r="K291" t="n">
        <v>0</v>
      </c>
      <c r="L291" t="n">
        <v>0</v>
      </c>
      <c r="M291" t="n">
        <v>0</v>
      </c>
      <c r="N291" t="n">
        <v>0</v>
      </c>
      <c r="O291" t="n">
        <v>0</v>
      </c>
      <c r="P291" t="n">
        <v>0</v>
      </c>
      <c r="Q291" t="n">
        <v>0</v>
      </c>
      <c r="R291" s="2" t="inlineStr"/>
    </row>
    <row r="292" ht="15" customHeight="1">
      <c r="A292" t="inlineStr">
        <is>
          <t>A 48170-2024</t>
        </is>
      </c>
      <c r="B292" s="1" t="n">
        <v>45589.76975694444</v>
      </c>
      <c r="C292" s="1" t="n">
        <v>45967</v>
      </c>
      <c r="D292" t="inlineStr">
        <is>
          <t>DALARNAS LÄN</t>
        </is>
      </c>
      <c r="E292" t="inlineStr">
        <is>
          <t>MORA</t>
        </is>
      </c>
      <c r="G292" t="n">
        <v>2.4</v>
      </c>
      <c r="H292" t="n">
        <v>0</v>
      </c>
      <c r="I292" t="n">
        <v>0</v>
      </c>
      <c r="J292" t="n">
        <v>0</v>
      </c>
      <c r="K292" t="n">
        <v>0</v>
      </c>
      <c r="L292" t="n">
        <v>0</v>
      </c>
      <c r="M292" t="n">
        <v>0</v>
      </c>
      <c r="N292" t="n">
        <v>0</v>
      </c>
      <c r="O292" t="n">
        <v>0</v>
      </c>
      <c r="P292" t="n">
        <v>0</v>
      </c>
      <c r="Q292" t="n">
        <v>0</v>
      </c>
      <c r="R292" s="2" t="inlineStr"/>
    </row>
    <row r="293" ht="15" customHeight="1">
      <c r="A293" t="inlineStr">
        <is>
          <t>A 36740-2023</t>
        </is>
      </c>
      <c r="B293" s="1" t="n">
        <v>45153</v>
      </c>
      <c r="C293" s="1" t="n">
        <v>45967</v>
      </c>
      <c r="D293" t="inlineStr">
        <is>
          <t>DALARNAS LÄN</t>
        </is>
      </c>
      <c r="E293" t="inlineStr">
        <is>
          <t>MORA</t>
        </is>
      </c>
      <c r="G293" t="n">
        <v>0.2</v>
      </c>
      <c r="H293" t="n">
        <v>0</v>
      </c>
      <c r="I293" t="n">
        <v>0</v>
      </c>
      <c r="J293" t="n">
        <v>0</v>
      </c>
      <c r="K293" t="n">
        <v>0</v>
      </c>
      <c r="L293" t="n">
        <v>0</v>
      </c>
      <c r="M293" t="n">
        <v>0</v>
      </c>
      <c r="N293" t="n">
        <v>0</v>
      </c>
      <c r="O293" t="n">
        <v>0</v>
      </c>
      <c r="P293" t="n">
        <v>0</v>
      </c>
      <c r="Q293" t="n">
        <v>0</v>
      </c>
      <c r="R293" s="2" t="inlineStr"/>
    </row>
    <row r="294" ht="15" customHeight="1">
      <c r="A294" t="inlineStr">
        <is>
          <t>A 47414-2025</t>
        </is>
      </c>
      <c r="B294" s="1" t="n">
        <v>45930.61896990741</v>
      </c>
      <c r="C294" s="1" t="n">
        <v>45967</v>
      </c>
      <c r="D294" t="inlineStr">
        <is>
          <t>DALARNAS LÄN</t>
        </is>
      </c>
      <c r="E294" t="inlineStr">
        <is>
          <t>MORA</t>
        </is>
      </c>
      <c r="G294" t="n">
        <v>6.1</v>
      </c>
      <c r="H294" t="n">
        <v>0</v>
      </c>
      <c r="I294" t="n">
        <v>0</v>
      </c>
      <c r="J294" t="n">
        <v>0</v>
      </c>
      <c r="K294" t="n">
        <v>0</v>
      </c>
      <c r="L294" t="n">
        <v>0</v>
      </c>
      <c r="M294" t="n">
        <v>0</v>
      </c>
      <c r="N294" t="n">
        <v>0</v>
      </c>
      <c r="O294" t="n">
        <v>0</v>
      </c>
      <c r="P294" t="n">
        <v>0</v>
      </c>
      <c r="Q294" t="n">
        <v>0</v>
      </c>
      <c r="R294" s="2" t="inlineStr"/>
    </row>
    <row r="295" ht="15" customHeight="1">
      <c r="A295" t="inlineStr">
        <is>
          <t>A 20594-2025</t>
        </is>
      </c>
      <c r="B295" s="1" t="n">
        <v>45775.74009259259</v>
      </c>
      <c r="C295" s="1" t="n">
        <v>45967</v>
      </c>
      <c r="D295" t="inlineStr">
        <is>
          <t>DALARNAS LÄN</t>
        </is>
      </c>
      <c r="E295" t="inlineStr">
        <is>
          <t>MORA</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48342-2023</t>
        </is>
      </c>
      <c r="B296" s="1" t="n">
        <v>45205</v>
      </c>
      <c r="C296" s="1" t="n">
        <v>45967</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47055-2025</t>
        </is>
      </c>
      <c r="B297" s="1" t="n">
        <v>45929.61931712963</v>
      </c>
      <c r="C297" s="1" t="n">
        <v>45967</v>
      </c>
      <c r="D297" t="inlineStr">
        <is>
          <t>DALARNAS LÄN</t>
        </is>
      </c>
      <c r="E297" t="inlineStr">
        <is>
          <t>MORA</t>
        </is>
      </c>
      <c r="G297" t="n">
        <v>28.1</v>
      </c>
      <c r="H297" t="n">
        <v>0</v>
      </c>
      <c r="I297" t="n">
        <v>0</v>
      </c>
      <c r="J297" t="n">
        <v>0</v>
      </c>
      <c r="K297" t="n">
        <v>0</v>
      </c>
      <c r="L297" t="n">
        <v>0</v>
      </c>
      <c r="M297" t="n">
        <v>0</v>
      </c>
      <c r="N297" t="n">
        <v>0</v>
      </c>
      <c r="O297" t="n">
        <v>0</v>
      </c>
      <c r="P297" t="n">
        <v>0</v>
      </c>
      <c r="Q297" t="n">
        <v>0</v>
      </c>
      <c r="R297" s="2" t="inlineStr"/>
    </row>
    <row r="298" ht="15" customHeight="1">
      <c r="A298" t="inlineStr">
        <is>
          <t>A 47072-2025</t>
        </is>
      </c>
      <c r="B298" s="1" t="n">
        <v>45929.6365162037</v>
      </c>
      <c r="C298" s="1" t="n">
        <v>45967</v>
      </c>
      <c r="D298" t="inlineStr">
        <is>
          <t>DALARNAS LÄN</t>
        </is>
      </c>
      <c r="E298" t="inlineStr">
        <is>
          <t>MORA</t>
        </is>
      </c>
      <c r="G298" t="n">
        <v>3.4</v>
      </c>
      <c r="H298" t="n">
        <v>0</v>
      </c>
      <c r="I298" t="n">
        <v>0</v>
      </c>
      <c r="J298" t="n">
        <v>0</v>
      </c>
      <c r="K298" t="n">
        <v>0</v>
      </c>
      <c r="L298" t="n">
        <v>0</v>
      </c>
      <c r="M298" t="n">
        <v>0</v>
      </c>
      <c r="N298" t="n">
        <v>0</v>
      </c>
      <c r="O298" t="n">
        <v>0</v>
      </c>
      <c r="P298" t="n">
        <v>0</v>
      </c>
      <c r="Q298" t="n">
        <v>0</v>
      </c>
      <c r="R298" s="2" t="inlineStr"/>
    </row>
    <row r="299" ht="15" customHeight="1">
      <c r="A299" t="inlineStr">
        <is>
          <t>A 17393-2025</t>
        </is>
      </c>
      <c r="B299" s="1" t="n">
        <v>45757.34350694445</v>
      </c>
      <c r="C299" s="1" t="n">
        <v>45967</v>
      </c>
      <c r="D299" t="inlineStr">
        <is>
          <t>DALARNAS LÄN</t>
        </is>
      </c>
      <c r="E299" t="inlineStr">
        <is>
          <t>MORA</t>
        </is>
      </c>
      <c r="G299" t="n">
        <v>10.1</v>
      </c>
      <c r="H299" t="n">
        <v>0</v>
      </c>
      <c r="I299" t="n">
        <v>0</v>
      </c>
      <c r="J299" t="n">
        <v>0</v>
      </c>
      <c r="K299" t="n">
        <v>0</v>
      </c>
      <c r="L299" t="n">
        <v>0</v>
      </c>
      <c r="M299" t="n">
        <v>0</v>
      </c>
      <c r="N299" t="n">
        <v>0</v>
      </c>
      <c r="O299" t="n">
        <v>0</v>
      </c>
      <c r="P299" t="n">
        <v>0</v>
      </c>
      <c r="Q299" t="n">
        <v>0</v>
      </c>
      <c r="R299" s="2" t="inlineStr"/>
    </row>
    <row r="300" ht="15" customHeight="1">
      <c r="A300" t="inlineStr">
        <is>
          <t>A 64088-2023</t>
        </is>
      </c>
      <c r="B300" s="1" t="n">
        <v>45279.43570601852</v>
      </c>
      <c r="C300" s="1" t="n">
        <v>45967</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14936-2025</t>
        </is>
      </c>
      <c r="B301" s="1" t="n">
        <v>45743.55756944444</v>
      </c>
      <c r="C301" s="1" t="n">
        <v>45967</v>
      </c>
      <c r="D301" t="inlineStr">
        <is>
          <t>DALARNAS LÄN</t>
        </is>
      </c>
      <c r="E301" t="inlineStr">
        <is>
          <t>MORA</t>
        </is>
      </c>
      <c r="G301" t="n">
        <v>2.4</v>
      </c>
      <c r="H301" t="n">
        <v>0</v>
      </c>
      <c r="I301" t="n">
        <v>0</v>
      </c>
      <c r="J301" t="n">
        <v>0</v>
      </c>
      <c r="K301" t="n">
        <v>0</v>
      </c>
      <c r="L301" t="n">
        <v>0</v>
      </c>
      <c r="M301" t="n">
        <v>0</v>
      </c>
      <c r="N301" t="n">
        <v>0</v>
      </c>
      <c r="O301" t="n">
        <v>0</v>
      </c>
      <c r="P301" t="n">
        <v>0</v>
      </c>
      <c r="Q301" t="n">
        <v>0</v>
      </c>
      <c r="R301" s="2" t="inlineStr"/>
    </row>
    <row r="302" ht="15" customHeight="1">
      <c r="A302" t="inlineStr">
        <is>
          <t>A 47140-2025</t>
        </is>
      </c>
      <c r="B302" s="1" t="n">
        <v>45929</v>
      </c>
      <c r="C302" s="1" t="n">
        <v>45967</v>
      </c>
      <c r="D302" t="inlineStr">
        <is>
          <t>DALARNAS LÄN</t>
        </is>
      </c>
      <c r="E302" t="inlineStr">
        <is>
          <t>MORA</t>
        </is>
      </c>
      <c r="G302" t="n">
        <v>6.7</v>
      </c>
      <c r="H302" t="n">
        <v>0</v>
      </c>
      <c r="I302" t="n">
        <v>0</v>
      </c>
      <c r="J302" t="n">
        <v>0</v>
      </c>
      <c r="K302" t="n">
        <v>0</v>
      </c>
      <c r="L302" t="n">
        <v>0</v>
      </c>
      <c r="M302" t="n">
        <v>0</v>
      </c>
      <c r="N302" t="n">
        <v>0</v>
      </c>
      <c r="O302" t="n">
        <v>0</v>
      </c>
      <c r="P302" t="n">
        <v>0</v>
      </c>
      <c r="Q302" t="n">
        <v>0</v>
      </c>
      <c r="R302" s="2" t="inlineStr"/>
    </row>
    <row r="303" ht="15" customHeight="1">
      <c r="A303" t="inlineStr">
        <is>
          <t>A 35381-2024</t>
        </is>
      </c>
      <c r="B303" s="1" t="n">
        <v>45531.38372685185</v>
      </c>
      <c r="C303" s="1" t="n">
        <v>45967</v>
      </c>
      <c r="D303" t="inlineStr">
        <is>
          <t>DALARNAS LÄN</t>
        </is>
      </c>
      <c r="E303" t="inlineStr">
        <is>
          <t>MORA</t>
        </is>
      </c>
      <c r="G303" t="n">
        <v>3.7</v>
      </c>
      <c r="H303" t="n">
        <v>0</v>
      </c>
      <c r="I303" t="n">
        <v>0</v>
      </c>
      <c r="J303" t="n">
        <v>0</v>
      </c>
      <c r="K303" t="n">
        <v>0</v>
      </c>
      <c r="L303" t="n">
        <v>0</v>
      </c>
      <c r="M303" t="n">
        <v>0</v>
      </c>
      <c r="N303" t="n">
        <v>0</v>
      </c>
      <c r="O303" t="n">
        <v>0</v>
      </c>
      <c r="P303" t="n">
        <v>0</v>
      </c>
      <c r="Q303" t="n">
        <v>0</v>
      </c>
      <c r="R303" s="2" t="inlineStr"/>
    </row>
    <row r="304" ht="15" customHeight="1">
      <c r="A304" t="inlineStr">
        <is>
          <t>A 47769-2025</t>
        </is>
      </c>
      <c r="B304" s="1" t="n">
        <v>45931.70715277778</v>
      </c>
      <c r="C304" s="1" t="n">
        <v>45967</v>
      </c>
      <c r="D304" t="inlineStr">
        <is>
          <t>DALARNAS LÄN</t>
        </is>
      </c>
      <c r="E304" t="inlineStr">
        <is>
          <t>MORA</t>
        </is>
      </c>
      <c r="G304" t="n">
        <v>6.7</v>
      </c>
      <c r="H304" t="n">
        <v>0</v>
      </c>
      <c r="I304" t="n">
        <v>0</v>
      </c>
      <c r="J304" t="n">
        <v>0</v>
      </c>
      <c r="K304" t="n">
        <v>0</v>
      </c>
      <c r="L304" t="n">
        <v>0</v>
      </c>
      <c r="M304" t="n">
        <v>0</v>
      </c>
      <c r="N304" t="n">
        <v>0</v>
      </c>
      <c r="O304" t="n">
        <v>0</v>
      </c>
      <c r="P304" t="n">
        <v>0</v>
      </c>
      <c r="Q304" t="n">
        <v>0</v>
      </c>
      <c r="R304" s="2" t="inlineStr"/>
    </row>
    <row r="305" ht="15" customHeight="1">
      <c r="A305" t="inlineStr">
        <is>
          <t>A 60718-2023</t>
        </is>
      </c>
      <c r="B305" s="1" t="n">
        <v>45260.5284375</v>
      </c>
      <c r="C305" s="1" t="n">
        <v>45967</v>
      </c>
      <c r="D305" t="inlineStr">
        <is>
          <t>DALARNAS LÄN</t>
        </is>
      </c>
      <c r="E305" t="inlineStr">
        <is>
          <t>MORA</t>
        </is>
      </c>
      <c r="G305" t="n">
        <v>2.6</v>
      </c>
      <c r="H305" t="n">
        <v>0</v>
      </c>
      <c r="I305" t="n">
        <v>0</v>
      </c>
      <c r="J305" t="n">
        <v>0</v>
      </c>
      <c r="K305" t="n">
        <v>0</v>
      </c>
      <c r="L305" t="n">
        <v>0</v>
      </c>
      <c r="M305" t="n">
        <v>0</v>
      </c>
      <c r="N305" t="n">
        <v>0</v>
      </c>
      <c r="O305" t="n">
        <v>0</v>
      </c>
      <c r="P305" t="n">
        <v>0</v>
      </c>
      <c r="Q305" t="n">
        <v>0</v>
      </c>
      <c r="R305" s="2" t="inlineStr"/>
    </row>
    <row r="306" ht="15" customHeight="1">
      <c r="A306" t="inlineStr">
        <is>
          <t>A 15817-2024</t>
        </is>
      </c>
      <c r="B306" s="1" t="n">
        <v>45404.67387731482</v>
      </c>
      <c r="C306" s="1" t="n">
        <v>45967</v>
      </c>
      <c r="D306" t="inlineStr">
        <is>
          <t>DALARNAS LÄN</t>
        </is>
      </c>
      <c r="E306" t="inlineStr">
        <is>
          <t>MORA</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14641-2023</t>
        </is>
      </c>
      <c r="B307" s="1" t="n">
        <v>45013</v>
      </c>
      <c r="C307" s="1" t="n">
        <v>45967</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46755-2023</t>
        </is>
      </c>
      <c r="B308" s="1" t="n">
        <v>45198.61314814815</v>
      </c>
      <c r="C308" s="1" t="n">
        <v>45967</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39456-2025</t>
        </is>
      </c>
      <c r="B309" s="1" t="n">
        <v>45889.76200231481</v>
      </c>
      <c r="C309" s="1" t="n">
        <v>45967</v>
      </c>
      <c r="D309" t="inlineStr">
        <is>
          <t>DALARNAS LÄN</t>
        </is>
      </c>
      <c r="E309" t="inlineStr">
        <is>
          <t>MORA</t>
        </is>
      </c>
      <c r="F309" t="inlineStr">
        <is>
          <t>Bergvik skog öst AB</t>
        </is>
      </c>
      <c r="G309" t="n">
        <v>16.7</v>
      </c>
      <c r="H309" t="n">
        <v>0</v>
      </c>
      <c r="I309" t="n">
        <v>0</v>
      </c>
      <c r="J309" t="n">
        <v>0</v>
      </c>
      <c r="K309" t="n">
        <v>0</v>
      </c>
      <c r="L309" t="n">
        <v>0</v>
      </c>
      <c r="M309" t="n">
        <v>0</v>
      </c>
      <c r="N309" t="n">
        <v>0</v>
      </c>
      <c r="O309" t="n">
        <v>0</v>
      </c>
      <c r="P309" t="n">
        <v>0</v>
      </c>
      <c r="Q309" t="n">
        <v>0</v>
      </c>
      <c r="R309" s="2" t="inlineStr"/>
    </row>
    <row r="310" ht="15" customHeight="1">
      <c r="A310" t="inlineStr">
        <is>
          <t>A 14372-2025</t>
        </is>
      </c>
      <c r="B310" s="1" t="n">
        <v>45741.4050462963</v>
      </c>
      <c r="C310" s="1" t="n">
        <v>45967</v>
      </c>
      <c r="D310" t="inlineStr">
        <is>
          <t>DALARNAS LÄN</t>
        </is>
      </c>
      <c r="E310" t="inlineStr">
        <is>
          <t>MORA</t>
        </is>
      </c>
      <c r="G310" t="n">
        <v>5.1</v>
      </c>
      <c r="H310" t="n">
        <v>0</v>
      </c>
      <c r="I310" t="n">
        <v>0</v>
      </c>
      <c r="J310" t="n">
        <v>0</v>
      </c>
      <c r="K310" t="n">
        <v>0</v>
      </c>
      <c r="L310" t="n">
        <v>0</v>
      </c>
      <c r="M310" t="n">
        <v>0</v>
      </c>
      <c r="N310" t="n">
        <v>0</v>
      </c>
      <c r="O310" t="n">
        <v>0</v>
      </c>
      <c r="P310" t="n">
        <v>0</v>
      </c>
      <c r="Q310" t="n">
        <v>0</v>
      </c>
      <c r="R310" s="2" t="inlineStr"/>
    </row>
    <row r="311" ht="15" customHeight="1">
      <c r="A311" t="inlineStr">
        <is>
          <t>A 14378-2025</t>
        </is>
      </c>
      <c r="B311" s="1" t="n">
        <v>45741</v>
      </c>
      <c r="C311" s="1" t="n">
        <v>45967</v>
      </c>
      <c r="D311" t="inlineStr">
        <is>
          <t>DALARNAS LÄN</t>
        </is>
      </c>
      <c r="E311" t="inlineStr">
        <is>
          <t>MORA</t>
        </is>
      </c>
      <c r="G311" t="n">
        <v>5.2</v>
      </c>
      <c r="H311" t="n">
        <v>0</v>
      </c>
      <c r="I311" t="n">
        <v>0</v>
      </c>
      <c r="J311" t="n">
        <v>0</v>
      </c>
      <c r="K311" t="n">
        <v>0</v>
      </c>
      <c r="L311" t="n">
        <v>0</v>
      </c>
      <c r="M311" t="n">
        <v>0</v>
      </c>
      <c r="N311" t="n">
        <v>0</v>
      </c>
      <c r="O311" t="n">
        <v>0</v>
      </c>
      <c r="P311" t="n">
        <v>0</v>
      </c>
      <c r="Q311" t="n">
        <v>0</v>
      </c>
      <c r="R311" s="2" t="inlineStr"/>
    </row>
    <row r="312" ht="15" customHeight="1">
      <c r="A312" t="inlineStr">
        <is>
          <t>A 12151-2021</t>
        </is>
      </c>
      <c r="B312" s="1" t="n">
        <v>44266</v>
      </c>
      <c r="C312" s="1" t="n">
        <v>45967</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47860-2025</t>
        </is>
      </c>
      <c r="B313" s="1" t="n">
        <v>45932.42298611111</v>
      </c>
      <c r="C313" s="1" t="n">
        <v>45967</v>
      </c>
      <c r="D313" t="inlineStr">
        <is>
          <t>DALARNAS LÄN</t>
        </is>
      </c>
      <c r="E313" t="inlineStr">
        <is>
          <t>MORA</t>
        </is>
      </c>
      <c r="G313" t="n">
        <v>2.1</v>
      </c>
      <c r="H313" t="n">
        <v>0</v>
      </c>
      <c r="I313" t="n">
        <v>0</v>
      </c>
      <c r="J313" t="n">
        <v>0</v>
      </c>
      <c r="K313" t="n">
        <v>0</v>
      </c>
      <c r="L313" t="n">
        <v>0</v>
      </c>
      <c r="M313" t="n">
        <v>0</v>
      </c>
      <c r="N313" t="n">
        <v>0</v>
      </c>
      <c r="O313" t="n">
        <v>0</v>
      </c>
      <c r="P313" t="n">
        <v>0</v>
      </c>
      <c r="Q313" t="n">
        <v>0</v>
      </c>
      <c r="R313" s="2" t="inlineStr"/>
    </row>
    <row r="314" ht="15" customHeight="1">
      <c r="A314" t="inlineStr">
        <is>
          <t>A 47765-2025</t>
        </is>
      </c>
      <c r="B314" s="1" t="n">
        <v>45931.69100694444</v>
      </c>
      <c r="C314" s="1" t="n">
        <v>45967</v>
      </c>
      <c r="D314" t="inlineStr">
        <is>
          <t>DALARNAS LÄN</t>
        </is>
      </c>
      <c r="E314" t="inlineStr">
        <is>
          <t>MORA</t>
        </is>
      </c>
      <c r="G314" t="n">
        <v>1.7</v>
      </c>
      <c r="H314" t="n">
        <v>0</v>
      </c>
      <c r="I314" t="n">
        <v>0</v>
      </c>
      <c r="J314" t="n">
        <v>0</v>
      </c>
      <c r="K314" t="n">
        <v>0</v>
      </c>
      <c r="L314" t="n">
        <v>0</v>
      </c>
      <c r="M314" t="n">
        <v>0</v>
      </c>
      <c r="N314" t="n">
        <v>0</v>
      </c>
      <c r="O314" t="n">
        <v>0</v>
      </c>
      <c r="P314" t="n">
        <v>0</v>
      </c>
      <c r="Q314" t="n">
        <v>0</v>
      </c>
      <c r="R314" s="2" t="inlineStr"/>
    </row>
    <row r="315" ht="15" customHeight="1">
      <c r="A315" t="inlineStr">
        <is>
          <t>A 44177-2023</t>
        </is>
      </c>
      <c r="B315" s="1" t="n">
        <v>45188.51439814815</v>
      </c>
      <c r="C315" s="1" t="n">
        <v>45967</v>
      </c>
      <c r="D315" t="inlineStr">
        <is>
          <t>DALARNAS LÄN</t>
        </is>
      </c>
      <c r="E315" t="inlineStr">
        <is>
          <t>MORA</t>
        </is>
      </c>
      <c r="G315" t="n">
        <v>2</v>
      </c>
      <c r="H315" t="n">
        <v>0</v>
      </c>
      <c r="I315" t="n">
        <v>0</v>
      </c>
      <c r="J315" t="n">
        <v>0</v>
      </c>
      <c r="K315" t="n">
        <v>0</v>
      </c>
      <c r="L315" t="n">
        <v>0</v>
      </c>
      <c r="M315" t="n">
        <v>0</v>
      </c>
      <c r="N315" t="n">
        <v>0</v>
      </c>
      <c r="O315" t="n">
        <v>0</v>
      </c>
      <c r="P315" t="n">
        <v>0</v>
      </c>
      <c r="Q315" t="n">
        <v>0</v>
      </c>
      <c r="R315" s="2" t="inlineStr"/>
    </row>
    <row r="316" ht="15" customHeight="1">
      <c r="A316" t="inlineStr">
        <is>
          <t>A 44201-2023</t>
        </is>
      </c>
      <c r="B316" s="1" t="n">
        <v>45188</v>
      </c>
      <c r="C316" s="1" t="n">
        <v>45967</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42611-2022</t>
        </is>
      </c>
      <c r="B317" s="1" t="n">
        <v>44831.81482638889</v>
      </c>
      <c r="C317" s="1" t="n">
        <v>45967</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55222-2023</t>
        </is>
      </c>
      <c r="B318" s="1" t="n">
        <v>45237.60775462963</v>
      </c>
      <c r="C318" s="1" t="n">
        <v>45967</v>
      </c>
      <c r="D318" t="inlineStr">
        <is>
          <t>DALARNAS LÄN</t>
        </is>
      </c>
      <c r="E318" t="inlineStr">
        <is>
          <t>MORA</t>
        </is>
      </c>
      <c r="F318" t="inlineStr">
        <is>
          <t>Allmännings- och besparingsskogar</t>
        </is>
      </c>
      <c r="G318" t="n">
        <v>19.8</v>
      </c>
      <c r="H318" t="n">
        <v>0</v>
      </c>
      <c r="I318" t="n">
        <v>0</v>
      </c>
      <c r="J318" t="n">
        <v>0</v>
      </c>
      <c r="K318" t="n">
        <v>0</v>
      </c>
      <c r="L318" t="n">
        <v>0</v>
      </c>
      <c r="M318" t="n">
        <v>0</v>
      </c>
      <c r="N318" t="n">
        <v>0</v>
      </c>
      <c r="O318" t="n">
        <v>0</v>
      </c>
      <c r="P318" t="n">
        <v>0</v>
      </c>
      <c r="Q318" t="n">
        <v>0</v>
      </c>
      <c r="R318" s="2" t="inlineStr"/>
    </row>
    <row r="319" ht="15" customHeight="1">
      <c r="A319" t="inlineStr">
        <is>
          <t>A 31177-2021</t>
        </is>
      </c>
      <c r="B319" s="1" t="n">
        <v>44368</v>
      </c>
      <c r="C319" s="1" t="n">
        <v>45967</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51570-2023</t>
        </is>
      </c>
      <c r="B320" s="1" t="n">
        <v>45222</v>
      </c>
      <c r="C320" s="1" t="n">
        <v>45967</v>
      </c>
      <c r="D320" t="inlineStr">
        <is>
          <t>DALARNAS LÄN</t>
        </is>
      </c>
      <c r="E320" t="inlineStr">
        <is>
          <t>MORA</t>
        </is>
      </c>
      <c r="G320" t="n">
        <v>10.1</v>
      </c>
      <c r="H320" t="n">
        <v>0</v>
      </c>
      <c r="I320" t="n">
        <v>0</v>
      </c>
      <c r="J320" t="n">
        <v>0</v>
      </c>
      <c r="K320" t="n">
        <v>0</v>
      </c>
      <c r="L320" t="n">
        <v>0</v>
      </c>
      <c r="M320" t="n">
        <v>0</v>
      </c>
      <c r="N320" t="n">
        <v>0</v>
      </c>
      <c r="O320" t="n">
        <v>0</v>
      </c>
      <c r="P320" t="n">
        <v>0</v>
      </c>
      <c r="Q320" t="n">
        <v>0</v>
      </c>
      <c r="R320" s="2" t="inlineStr"/>
    </row>
    <row r="321" ht="15" customHeight="1">
      <c r="A321" t="inlineStr">
        <is>
          <t>A 15416-2023</t>
        </is>
      </c>
      <c r="B321" s="1" t="n">
        <v>45019.71342592593</v>
      </c>
      <c r="C321" s="1" t="n">
        <v>45967</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32261-2022</t>
        </is>
      </c>
      <c r="B322" s="1" t="n">
        <v>44781.5350925926</v>
      </c>
      <c r="C322" s="1" t="n">
        <v>45967</v>
      </c>
      <c r="D322" t="inlineStr">
        <is>
          <t>DALARNAS LÄN</t>
        </is>
      </c>
      <c r="E322" t="inlineStr">
        <is>
          <t>MORA</t>
        </is>
      </c>
      <c r="G322" t="n">
        <v>2.7</v>
      </c>
      <c r="H322" t="n">
        <v>0</v>
      </c>
      <c r="I322" t="n">
        <v>0</v>
      </c>
      <c r="J322" t="n">
        <v>0</v>
      </c>
      <c r="K322" t="n">
        <v>0</v>
      </c>
      <c r="L322" t="n">
        <v>0</v>
      </c>
      <c r="M322" t="n">
        <v>0</v>
      </c>
      <c r="N322" t="n">
        <v>0</v>
      </c>
      <c r="O322" t="n">
        <v>0</v>
      </c>
      <c r="P322" t="n">
        <v>0</v>
      </c>
      <c r="Q322" t="n">
        <v>0</v>
      </c>
      <c r="R322" s="2" t="inlineStr"/>
    </row>
    <row r="323" ht="15" customHeight="1">
      <c r="A323" t="inlineStr">
        <is>
          <t>A 52288-2024</t>
        </is>
      </c>
      <c r="B323" s="1" t="n">
        <v>45608.69395833334</v>
      </c>
      <c r="C323" s="1" t="n">
        <v>45967</v>
      </c>
      <c r="D323" t="inlineStr">
        <is>
          <t>DALARNAS LÄN</t>
        </is>
      </c>
      <c r="E323" t="inlineStr">
        <is>
          <t>MORA</t>
        </is>
      </c>
      <c r="G323" t="n">
        <v>2</v>
      </c>
      <c r="H323" t="n">
        <v>0</v>
      </c>
      <c r="I323" t="n">
        <v>0</v>
      </c>
      <c r="J323" t="n">
        <v>0</v>
      </c>
      <c r="K323" t="n">
        <v>0</v>
      </c>
      <c r="L323" t="n">
        <v>0</v>
      </c>
      <c r="M323" t="n">
        <v>0</v>
      </c>
      <c r="N323" t="n">
        <v>0</v>
      </c>
      <c r="O323" t="n">
        <v>0</v>
      </c>
      <c r="P323" t="n">
        <v>0</v>
      </c>
      <c r="Q323" t="n">
        <v>0</v>
      </c>
      <c r="R323" s="2" t="inlineStr"/>
    </row>
    <row r="324" ht="15" customHeight="1">
      <c r="A324" t="inlineStr">
        <is>
          <t>A 25935-2023</t>
        </is>
      </c>
      <c r="B324" s="1" t="n">
        <v>45090.68675925926</v>
      </c>
      <c r="C324" s="1" t="n">
        <v>45967</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40147-2025</t>
        </is>
      </c>
      <c r="B325" s="1" t="n">
        <v>45894.57918981482</v>
      </c>
      <c r="C325" s="1" t="n">
        <v>45967</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24768-2024</t>
        </is>
      </c>
      <c r="B326" s="1" t="n">
        <v>45460.69545138889</v>
      </c>
      <c r="C326" s="1" t="n">
        <v>45967</v>
      </c>
      <c r="D326" t="inlineStr">
        <is>
          <t>DALARNAS LÄN</t>
        </is>
      </c>
      <c r="E326" t="inlineStr">
        <is>
          <t>MORA</t>
        </is>
      </c>
      <c r="G326" t="n">
        <v>2.4</v>
      </c>
      <c r="H326" t="n">
        <v>0</v>
      </c>
      <c r="I326" t="n">
        <v>0</v>
      </c>
      <c r="J326" t="n">
        <v>0</v>
      </c>
      <c r="K326" t="n">
        <v>0</v>
      </c>
      <c r="L326" t="n">
        <v>0</v>
      </c>
      <c r="M326" t="n">
        <v>0</v>
      </c>
      <c r="N326" t="n">
        <v>0</v>
      </c>
      <c r="O326" t="n">
        <v>0</v>
      </c>
      <c r="P326" t="n">
        <v>0</v>
      </c>
      <c r="Q326" t="n">
        <v>0</v>
      </c>
      <c r="R326" s="2" t="inlineStr"/>
    </row>
    <row r="327" ht="15" customHeight="1">
      <c r="A327" t="inlineStr">
        <is>
          <t>A 48825-2023</t>
        </is>
      </c>
      <c r="B327" s="1" t="n">
        <v>45203</v>
      </c>
      <c r="C327" s="1" t="n">
        <v>45967</v>
      </c>
      <c r="D327" t="inlineStr">
        <is>
          <t>DALARNAS LÄN</t>
        </is>
      </c>
      <c r="E327" t="inlineStr">
        <is>
          <t>MORA</t>
        </is>
      </c>
      <c r="G327" t="n">
        <v>7.9</v>
      </c>
      <c r="H327" t="n">
        <v>0</v>
      </c>
      <c r="I327" t="n">
        <v>0</v>
      </c>
      <c r="J327" t="n">
        <v>0</v>
      </c>
      <c r="K327" t="n">
        <v>0</v>
      </c>
      <c r="L327" t="n">
        <v>0</v>
      </c>
      <c r="M327" t="n">
        <v>0</v>
      </c>
      <c r="N327" t="n">
        <v>0</v>
      </c>
      <c r="O327" t="n">
        <v>0</v>
      </c>
      <c r="P327" t="n">
        <v>0</v>
      </c>
      <c r="Q327" t="n">
        <v>0</v>
      </c>
      <c r="R327" s="2" t="inlineStr"/>
    </row>
    <row r="328" ht="15" customHeight="1">
      <c r="A328" t="inlineStr">
        <is>
          <t>A 39824-2025</t>
        </is>
      </c>
      <c r="B328" s="1" t="n">
        <v>45891</v>
      </c>
      <c r="C328" s="1" t="n">
        <v>45967</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18806-2025</t>
        </is>
      </c>
      <c r="B329" s="1" t="n">
        <v>45764.35269675926</v>
      </c>
      <c r="C329" s="1" t="n">
        <v>45967</v>
      </c>
      <c r="D329" t="inlineStr">
        <is>
          <t>DALARNAS LÄN</t>
        </is>
      </c>
      <c r="E329" t="inlineStr">
        <is>
          <t>MORA</t>
        </is>
      </c>
      <c r="G329" t="n">
        <v>1.7</v>
      </c>
      <c r="H329" t="n">
        <v>0</v>
      </c>
      <c r="I329" t="n">
        <v>0</v>
      </c>
      <c r="J329" t="n">
        <v>0</v>
      </c>
      <c r="K329" t="n">
        <v>0</v>
      </c>
      <c r="L329" t="n">
        <v>0</v>
      </c>
      <c r="M329" t="n">
        <v>0</v>
      </c>
      <c r="N329" t="n">
        <v>0</v>
      </c>
      <c r="O329" t="n">
        <v>0</v>
      </c>
      <c r="P329" t="n">
        <v>0</v>
      </c>
      <c r="Q329" t="n">
        <v>0</v>
      </c>
      <c r="R329" s="2" t="inlineStr"/>
    </row>
    <row r="330" ht="15" customHeight="1">
      <c r="A330" t="inlineStr">
        <is>
          <t>A 50911-2024</t>
        </is>
      </c>
      <c r="B330" s="1" t="n">
        <v>45602.7022337963</v>
      </c>
      <c r="C330" s="1" t="n">
        <v>45967</v>
      </c>
      <c r="D330" t="inlineStr">
        <is>
          <t>DALARNAS LÄN</t>
        </is>
      </c>
      <c r="E330" t="inlineStr">
        <is>
          <t>MORA</t>
        </is>
      </c>
      <c r="G330" t="n">
        <v>1.7</v>
      </c>
      <c r="H330" t="n">
        <v>0</v>
      </c>
      <c r="I330" t="n">
        <v>0</v>
      </c>
      <c r="J330" t="n">
        <v>0</v>
      </c>
      <c r="K330" t="n">
        <v>0</v>
      </c>
      <c r="L330" t="n">
        <v>0</v>
      </c>
      <c r="M330" t="n">
        <v>0</v>
      </c>
      <c r="N330" t="n">
        <v>0</v>
      </c>
      <c r="O330" t="n">
        <v>0</v>
      </c>
      <c r="P330" t="n">
        <v>0</v>
      </c>
      <c r="Q330" t="n">
        <v>0</v>
      </c>
      <c r="R330" s="2" t="inlineStr"/>
    </row>
    <row r="331" ht="15" customHeight="1">
      <c r="A331" t="inlineStr">
        <is>
          <t>A 17163-2025</t>
        </is>
      </c>
      <c r="B331" s="1" t="n">
        <v>45756.35998842592</v>
      </c>
      <c r="C331" s="1" t="n">
        <v>45967</v>
      </c>
      <c r="D331" t="inlineStr">
        <is>
          <t>DALARNAS LÄN</t>
        </is>
      </c>
      <c r="E331" t="inlineStr">
        <is>
          <t>MORA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10777-2025</t>
        </is>
      </c>
      <c r="B332" s="1" t="n">
        <v>45722.47743055555</v>
      </c>
      <c r="C332" s="1" t="n">
        <v>45967</v>
      </c>
      <c r="D332" t="inlineStr">
        <is>
          <t>DALARNAS LÄN</t>
        </is>
      </c>
      <c r="E332" t="inlineStr">
        <is>
          <t>MORA</t>
        </is>
      </c>
      <c r="G332" t="n">
        <v>9.9</v>
      </c>
      <c r="H332" t="n">
        <v>0</v>
      </c>
      <c r="I332" t="n">
        <v>0</v>
      </c>
      <c r="J332" t="n">
        <v>0</v>
      </c>
      <c r="K332" t="n">
        <v>0</v>
      </c>
      <c r="L332" t="n">
        <v>0</v>
      </c>
      <c r="M332" t="n">
        <v>0</v>
      </c>
      <c r="N332" t="n">
        <v>0</v>
      </c>
      <c r="O332" t="n">
        <v>0</v>
      </c>
      <c r="P332" t="n">
        <v>0</v>
      </c>
      <c r="Q332" t="n">
        <v>0</v>
      </c>
      <c r="R332" s="2" t="inlineStr"/>
    </row>
    <row r="333" ht="15" customHeight="1">
      <c r="A333" t="inlineStr">
        <is>
          <t>A 35040-2023</t>
        </is>
      </c>
      <c r="B333" s="1" t="n">
        <v>45145.36853009259</v>
      </c>
      <c r="C333" s="1" t="n">
        <v>45967</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58036-2024</t>
        </is>
      </c>
      <c r="B334" s="1" t="n">
        <v>45631.71893518518</v>
      </c>
      <c r="C334" s="1" t="n">
        <v>45967</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48377-2025</t>
        </is>
      </c>
      <c r="B335" s="1" t="n">
        <v>45933.71896990741</v>
      </c>
      <c r="C335" s="1" t="n">
        <v>45967</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48376-2025</t>
        </is>
      </c>
      <c r="B336" s="1" t="n">
        <v>45933.71648148148</v>
      </c>
      <c r="C336" s="1" t="n">
        <v>45967</v>
      </c>
      <c r="D336" t="inlineStr">
        <is>
          <t>DALARNAS LÄN</t>
        </is>
      </c>
      <c r="E336" t="inlineStr">
        <is>
          <t>MORA</t>
        </is>
      </c>
      <c r="G336" t="n">
        <v>0.8</v>
      </c>
      <c r="H336" t="n">
        <v>0</v>
      </c>
      <c r="I336" t="n">
        <v>0</v>
      </c>
      <c r="J336" t="n">
        <v>0</v>
      </c>
      <c r="K336" t="n">
        <v>0</v>
      </c>
      <c r="L336" t="n">
        <v>0</v>
      </c>
      <c r="M336" t="n">
        <v>0</v>
      </c>
      <c r="N336" t="n">
        <v>0</v>
      </c>
      <c r="O336" t="n">
        <v>0</v>
      </c>
      <c r="P336" t="n">
        <v>0</v>
      </c>
      <c r="Q336" t="n">
        <v>0</v>
      </c>
      <c r="R336" s="2" t="inlineStr"/>
    </row>
    <row r="337" ht="15" customHeight="1">
      <c r="A337" t="inlineStr">
        <is>
          <t>A 54253-2023</t>
        </is>
      </c>
      <c r="B337" s="1" t="n">
        <v>45232.63217592592</v>
      </c>
      <c r="C337" s="1" t="n">
        <v>45967</v>
      </c>
      <c r="D337" t="inlineStr">
        <is>
          <t>DALARNAS LÄN</t>
        </is>
      </c>
      <c r="E337" t="inlineStr">
        <is>
          <t>MORA</t>
        </is>
      </c>
      <c r="G337" t="n">
        <v>4.5</v>
      </c>
      <c r="H337" t="n">
        <v>0</v>
      </c>
      <c r="I337" t="n">
        <v>0</v>
      </c>
      <c r="J337" t="n">
        <v>0</v>
      </c>
      <c r="K337" t="n">
        <v>0</v>
      </c>
      <c r="L337" t="n">
        <v>0</v>
      </c>
      <c r="M337" t="n">
        <v>0</v>
      </c>
      <c r="N337" t="n">
        <v>0</v>
      </c>
      <c r="O337" t="n">
        <v>0</v>
      </c>
      <c r="P337" t="n">
        <v>0</v>
      </c>
      <c r="Q337" t="n">
        <v>0</v>
      </c>
      <c r="R337" s="2" t="inlineStr"/>
    </row>
    <row r="338" ht="15" customHeight="1">
      <c r="A338" t="inlineStr">
        <is>
          <t>A 28964-2024</t>
        </is>
      </c>
      <c r="B338" s="1" t="n">
        <v>45481.42923611111</v>
      </c>
      <c r="C338" s="1" t="n">
        <v>45967</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27420-2024</t>
        </is>
      </c>
      <c r="B339" s="1" t="n">
        <v>45474.37850694444</v>
      </c>
      <c r="C339" s="1" t="n">
        <v>45967</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44817-2023</t>
        </is>
      </c>
      <c r="B340" s="1" t="n">
        <v>45190.51887731482</v>
      </c>
      <c r="C340" s="1" t="n">
        <v>45967</v>
      </c>
      <c r="D340" t="inlineStr">
        <is>
          <t>DALARNAS LÄN</t>
        </is>
      </c>
      <c r="E340" t="inlineStr">
        <is>
          <t>MORA</t>
        </is>
      </c>
      <c r="G340" t="n">
        <v>1.6</v>
      </c>
      <c r="H340" t="n">
        <v>0</v>
      </c>
      <c r="I340" t="n">
        <v>0</v>
      </c>
      <c r="J340" t="n">
        <v>0</v>
      </c>
      <c r="K340" t="n">
        <v>0</v>
      </c>
      <c r="L340" t="n">
        <v>0</v>
      </c>
      <c r="M340" t="n">
        <v>0</v>
      </c>
      <c r="N340" t="n">
        <v>0</v>
      </c>
      <c r="O340" t="n">
        <v>0</v>
      </c>
      <c r="P340" t="n">
        <v>0</v>
      </c>
      <c r="Q340" t="n">
        <v>0</v>
      </c>
      <c r="R340" s="2" t="inlineStr"/>
    </row>
    <row r="341" ht="15" customHeight="1">
      <c r="A341" t="inlineStr">
        <is>
          <t>A 25737-2025</t>
        </is>
      </c>
      <c r="B341" s="1" t="n">
        <v>45800</v>
      </c>
      <c r="C341" s="1" t="n">
        <v>45967</v>
      </c>
      <c r="D341" t="inlineStr">
        <is>
          <t>DALARNAS LÄN</t>
        </is>
      </c>
      <c r="E341" t="inlineStr">
        <is>
          <t>MORA</t>
        </is>
      </c>
      <c r="G341" t="n">
        <v>9.6</v>
      </c>
      <c r="H341" t="n">
        <v>0</v>
      </c>
      <c r="I341" t="n">
        <v>0</v>
      </c>
      <c r="J341" t="n">
        <v>0</v>
      </c>
      <c r="K341" t="n">
        <v>0</v>
      </c>
      <c r="L341" t="n">
        <v>0</v>
      </c>
      <c r="M341" t="n">
        <v>0</v>
      </c>
      <c r="N341" t="n">
        <v>0</v>
      </c>
      <c r="O341" t="n">
        <v>0</v>
      </c>
      <c r="P341" t="n">
        <v>0</v>
      </c>
      <c r="Q341" t="n">
        <v>0</v>
      </c>
      <c r="R341" s="2" t="inlineStr"/>
    </row>
    <row r="342" ht="15" customHeight="1">
      <c r="A342" t="inlineStr">
        <is>
          <t>A 39787-2025</t>
        </is>
      </c>
      <c r="B342" s="1" t="n">
        <v>45891</v>
      </c>
      <c r="C342" s="1" t="n">
        <v>45967</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17865-2025</t>
        </is>
      </c>
      <c r="B343" s="1" t="n">
        <v>45758.62951388889</v>
      </c>
      <c r="C343" s="1" t="n">
        <v>45967</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40140-2025</t>
        </is>
      </c>
      <c r="B344" s="1" t="n">
        <v>45894.57016203704</v>
      </c>
      <c r="C344" s="1" t="n">
        <v>45967</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40142-2025</t>
        </is>
      </c>
      <c r="B345" s="1" t="n">
        <v>45894.57202546296</v>
      </c>
      <c r="C345" s="1" t="n">
        <v>45967</v>
      </c>
      <c r="D345" t="inlineStr">
        <is>
          <t>DALARNAS LÄN</t>
        </is>
      </c>
      <c r="E345" t="inlineStr">
        <is>
          <t>MORA</t>
        </is>
      </c>
      <c r="G345" t="n">
        <v>0.4</v>
      </c>
      <c r="H345" t="n">
        <v>0</v>
      </c>
      <c r="I345" t="n">
        <v>0</v>
      </c>
      <c r="J345" t="n">
        <v>0</v>
      </c>
      <c r="K345" t="n">
        <v>0</v>
      </c>
      <c r="L345" t="n">
        <v>0</v>
      </c>
      <c r="M345" t="n">
        <v>0</v>
      </c>
      <c r="N345" t="n">
        <v>0</v>
      </c>
      <c r="O345" t="n">
        <v>0</v>
      </c>
      <c r="P345" t="n">
        <v>0</v>
      </c>
      <c r="Q345" t="n">
        <v>0</v>
      </c>
      <c r="R345" s="2" t="inlineStr"/>
    </row>
    <row r="346" ht="15" customHeight="1">
      <c r="A346" t="inlineStr">
        <is>
          <t>A 21890-2025</t>
        </is>
      </c>
      <c r="B346" s="1" t="n">
        <v>45784.44481481481</v>
      </c>
      <c r="C346" s="1" t="n">
        <v>45967</v>
      </c>
      <c r="D346" t="inlineStr">
        <is>
          <t>DALARNAS LÄN</t>
        </is>
      </c>
      <c r="E346" t="inlineStr">
        <is>
          <t>MORA</t>
        </is>
      </c>
      <c r="G346" t="n">
        <v>3.8</v>
      </c>
      <c r="H346" t="n">
        <v>0</v>
      </c>
      <c r="I346" t="n">
        <v>0</v>
      </c>
      <c r="J346" t="n">
        <v>0</v>
      </c>
      <c r="K346" t="n">
        <v>0</v>
      </c>
      <c r="L346" t="n">
        <v>0</v>
      </c>
      <c r="M346" t="n">
        <v>0</v>
      </c>
      <c r="N346" t="n">
        <v>0</v>
      </c>
      <c r="O346" t="n">
        <v>0</v>
      </c>
      <c r="P346" t="n">
        <v>0</v>
      </c>
      <c r="Q346" t="n">
        <v>0</v>
      </c>
      <c r="R346" s="2" t="inlineStr"/>
    </row>
    <row r="347" ht="15" customHeight="1">
      <c r="A347" t="inlineStr">
        <is>
          <t>A 21895-2025</t>
        </is>
      </c>
      <c r="B347" s="1" t="n">
        <v>45784.45273148148</v>
      </c>
      <c r="C347" s="1" t="n">
        <v>45967</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49401-2025</t>
        </is>
      </c>
      <c r="B348" s="1" t="n">
        <v>45938.66932870371</v>
      </c>
      <c r="C348" s="1" t="n">
        <v>45967</v>
      </c>
      <c r="D348" t="inlineStr">
        <is>
          <t>DALARNAS LÄN</t>
        </is>
      </c>
      <c r="E348" t="inlineStr">
        <is>
          <t>MORA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17167-2025</t>
        </is>
      </c>
      <c r="B349" s="1" t="n">
        <v>45756.36844907407</v>
      </c>
      <c r="C349" s="1" t="n">
        <v>45967</v>
      </c>
      <c r="D349" t="inlineStr">
        <is>
          <t>DALARNAS LÄN</t>
        </is>
      </c>
      <c r="E349" t="inlineStr">
        <is>
          <t>MORA</t>
        </is>
      </c>
      <c r="F349" t="inlineStr">
        <is>
          <t>Bergvik skog öst AB</t>
        </is>
      </c>
      <c r="G349" t="n">
        <v>1.7</v>
      </c>
      <c r="H349" t="n">
        <v>0</v>
      </c>
      <c r="I349" t="n">
        <v>0</v>
      </c>
      <c r="J349" t="n">
        <v>0</v>
      </c>
      <c r="K349" t="n">
        <v>0</v>
      </c>
      <c r="L349" t="n">
        <v>0</v>
      </c>
      <c r="M349" t="n">
        <v>0</v>
      </c>
      <c r="N349" t="n">
        <v>0</v>
      </c>
      <c r="O349" t="n">
        <v>0</v>
      </c>
      <c r="P349" t="n">
        <v>0</v>
      </c>
      <c r="Q349" t="n">
        <v>0</v>
      </c>
      <c r="R349" s="2" t="inlineStr"/>
    </row>
    <row r="350" ht="15" customHeight="1">
      <c r="A350" t="inlineStr">
        <is>
          <t>A 17176-2025</t>
        </is>
      </c>
      <c r="B350" s="1" t="n">
        <v>45756.37520833333</v>
      </c>
      <c r="C350" s="1" t="n">
        <v>45967</v>
      </c>
      <c r="D350" t="inlineStr">
        <is>
          <t>DALARNAS LÄN</t>
        </is>
      </c>
      <c r="E350" t="inlineStr">
        <is>
          <t>MORA</t>
        </is>
      </c>
      <c r="F350" t="inlineStr">
        <is>
          <t>Bergvik skog öst AB</t>
        </is>
      </c>
      <c r="G350" t="n">
        <v>1.7</v>
      </c>
      <c r="H350" t="n">
        <v>0</v>
      </c>
      <c r="I350" t="n">
        <v>0</v>
      </c>
      <c r="J350" t="n">
        <v>0</v>
      </c>
      <c r="K350" t="n">
        <v>0</v>
      </c>
      <c r="L350" t="n">
        <v>0</v>
      </c>
      <c r="M350" t="n">
        <v>0</v>
      </c>
      <c r="N350" t="n">
        <v>0</v>
      </c>
      <c r="O350" t="n">
        <v>0</v>
      </c>
      <c r="P350" t="n">
        <v>0</v>
      </c>
      <c r="Q350" t="n">
        <v>0</v>
      </c>
      <c r="R350" s="2" t="inlineStr"/>
    </row>
    <row r="351" ht="15" customHeight="1">
      <c r="A351" t="inlineStr">
        <is>
          <t>A 40471-2025</t>
        </is>
      </c>
      <c r="B351" s="1" t="n">
        <v>45895.67356481482</v>
      </c>
      <c r="C351" s="1" t="n">
        <v>45967</v>
      </c>
      <c r="D351" t="inlineStr">
        <is>
          <t>DALARNAS LÄN</t>
        </is>
      </c>
      <c r="E351" t="inlineStr">
        <is>
          <t>MORA</t>
        </is>
      </c>
      <c r="G351" t="n">
        <v>2.8</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44642.65418981481</v>
      </c>
      <c r="C352" s="1" t="n">
        <v>45967</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61188-2024</t>
        </is>
      </c>
      <c r="B353" s="1" t="n">
        <v>45645.62282407407</v>
      </c>
      <c r="C353" s="1" t="n">
        <v>45967</v>
      </c>
      <c r="D353" t="inlineStr">
        <is>
          <t>DALARNAS LÄN</t>
        </is>
      </c>
      <c r="E353" t="inlineStr">
        <is>
          <t>MORA</t>
        </is>
      </c>
      <c r="G353" t="n">
        <v>1.6</v>
      </c>
      <c r="H353" t="n">
        <v>0</v>
      </c>
      <c r="I353" t="n">
        <v>0</v>
      </c>
      <c r="J353" t="n">
        <v>0</v>
      </c>
      <c r="K353" t="n">
        <v>0</v>
      </c>
      <c r="L353" t="n">
        <v>0</v>
      </c>
      <c r="M353" t="n">
        <v>0</v>
      </c>
      <c r="N353" t="n">
        <v>0</v>
      </c>
      <c r="O353" t="n">
        <v>0</v>
      </c>
      <c r="P353" t="n">
        <v>0</v>
      </c>
      <c r="Q353" t="n">
        <v>0</v>
      </c>
      <c r="R353" s="2" t="inlineStr"/>
    </row>
    <row r="354" ht="15" customHeight="1">
      <c r="A354" t="inlineStr">
        <is>
          <t>A 57999-2023</t>
        </is>
      </c>
      <c r="B354" s="1" t="n">
        <v>45247</v>
      </c>
      <c r="C354" s="1" t="n">
        <v>45967</v>
      </c>
      <c r="D354" t="inlineStr">
        <is>
          <t>DALARNAS LÄN</t>
        </is>
      </c>
      <c r="E354" t="inlineStr">
        <is>
          <t>MORA</t>
        </is>
      </c>
      <c r="G354" t="n">
        <v>0.4</v>
      </c>
      <c r="H354" t="n">
        <v>0</v>
      </c>
      <c r="I354" t="n">
        <v>0</v>
      </c>
      <c r="J354" t="n">
        <v>0</v>
      </c>
      <c r="K354" t="n">
        <v>0</v>
      </c>
      <c r="L354" t="n">
        <v>0</v>
      </c>
      <c r="M354" t="n">
        <v>0</v>
      </c>
      <c r="N354" t="n">
        <v>0</v>
      </c>
      <c r="O354" t="n">
        <v>0</v>
      </c>
      <c r="P354" t="n">
        <v>0</v>
      </c>
      <c r="Q354" t="n">
        <v>0</v>
      </c>
      <c r="R354" s="2" t="inlineStr"/>
    </row>
    <row r="355" ht="15" customHeight="1">
      <c r="A355" t="inlineStr">
        <is>
          <t>A 57319-2023</t>
        </is>
      </c>
      <c r="B355" s="1" t="n">
        <v>45245.64877314815</v>
      </c>
      <c r="C355" s="1" t="n">
        <v>45967</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62853-2023</t>
        </is>
      </c>
      <c r="B356" s="1" t="n">
        <v>45272</v>
      </c>
      <c r="C356" s="1" t="n">
        <v>45967</v>
      </c>
      <c r="D356" t="inlineStr">
        <is>
          <t>DALARNAS LÄN</t>
        </is>
      </c>
      <c r="E356" t="inlineStr">
        <is>
          <t>MORA</t>
        </is>
      </c>
      <c r="G356" t="n">
        <v>13.6</v>
      </c>
      <c r="H356" t="n">
        <v>0</v>
      </c>
      <c r="I356" t="n">
        <v>0</v>
      </c>
      <c r="J356" t="n">
        <v>0</v>
      </c>
      <c r="K356" t="n">
        <v>0</v>
      </c>
      <c r="L356" t="n">
        <v>0</v>
      </c>
      <c r="M356" t="n">
        <v>0</v>
      </c>
      <c r="N356" t="n">
        <v>0</v>
      </c>
      <c r="O356" t="n">
        <v>0</v>
      </c>
      <c r="P356" t="n">
        <v>0</v>
      </c>
      <c r="Q356" t="n">
        <v>0</v>
      </c>
      <c r="R356" s="2" t="inlineStr"/>
    </row>
    <row r="357" ht="15" customHeight="1">
      <c r="A357" t="inlineStr">
        <is>
          <t>A 58089-2024</t>
        </is>
      </c>
      <c r="B357" s="1" t="n">
        <v>45632.34984953704</v>
      </c>
      <c r="C357" s="1" t="n">
        <v>45967</v>
      </c>
      <c r="D357" t="inlineStr">
        <is>
          <t>DALARNAS LÄN</t>
        </is>
      </c>
      <c r="E357" t="inlineStr">
        <is>
          <t>MORA</t>
        </is>
      </c>
      <c r="G357" t="n">
        <v>1.4</v>
      </c>
      <c r="H357" t="n">
        <v>0</v>
      </c>
      <c r="I357" t="n">
        <v>0</v>
      </c>
      <c r="J357" t="n">
        <v>0</v>
      </c>
      <c r="K357" t="n">
        <v>0</v>
      </c>
      <c r="L357" t="n">
        <v>0</v>
      </c>
      <c r="M357" t="n">
        <v>0</v>
      </c>
      <c r="N357" t="n">
        <v>0</v>
      </c>
      <c r="O357" t="n">
        <v>0</v>
      </c>
      <c r="P357" t="n">
        <v>0</v>
      </c>
      <c r="Q357" t="n">
        <v>0</v>
      </c>
      <c r="R357" s="2" t="inlineStr"/>
    </row>
    <row r="358" ht="15" customHeight="1">
      <c r="A358" t="inlineStr">
        <is>
          <t>A 40661-2025</t>
        </is>
      </c>
      <c r="B358" s="1" t="n">
        <v>45896.64715277778</v>
      </c>
      <c r="C358" s="1" t="n">
        <v>45967</v>
      </c>
      <c r="D358" t="inlineStr">
        <is>
          <t>DALARNAS LÄN</t>
        </is>
      </c>
      <c r="E358" t="inlineStr">
        <is>
          <t>MORA</t>
        </is>
      </c>
      <c r="G358" t="n">
        <v>2.8</v>
      </c>
      <c r="H358" t="n">
        <v>0</v>
      </c>
      <c r="I358" t="n">
        <v>0</v>
      </c>
      <c r="J358" t="n">
        <v>0</v>
      </c>
      <c r="K358" t="n">
        <v>0</v>
      </c>
      <c r="L358" t="n">
        <v>0</v>
      </c>
      <c r="M358" t="n">
        <v>0</v>
      </c>
      <c r="N358" t="n">
        <v>0</v>
      </c>
      <c r="O358" t="n">
        <v>0</v>
      </c>
      <c r="P358" t="n">
        <v>0</v>
      </c>
      <c r="Q358" t="n">
        <v>0</v>
      </c>
      <c r="R358" s="2" t="inlineStr"/>
    </row>
    <row r="359" ht="15" customHeight="1">
      <c r="A359" t="inlineStr">
        <is>
          <t>A 43826-2022</t>
        </is>
      </c>
      <c r="B359" s="1" t="n">
        <v>44838</v>
      </c>
      <c r="C359" s="1" t="n">
        <v>45967</v>
      </c>
      <c r="D359" t="inlineStr">
        <is>
          <t>DALARNAS LÄN</t>
        </is>
      </c>
      <c r="E359" t="inlineStr">
        <is>
          <t>MORA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61350-2024</t>
        </is>
      </c>
      <c r="B360" s="1" t="n">
        <v>45646.37872685185</v>
      </c>
      <c r="C360" s="1" t="n">
        <v>45967</v>
      </c>
      <c r="D360" t="inlineStr">
        <is>
          <t>DALARNAS LÄN</t>
        </is>
      </c>
      <c r="E360" t="inlineStr">
        <is>
          <t>MORA</t>
        </is>
      </c>
      <c r="G360" t="n">
        <v>1.4</v>
      </c>
      <c r="H360" t="n">
        <v>0</v>
      </c>
      <c r="I360" t="n">
        <v>0</v>
      </c>
      <c r="J360" t="n">
        <v>0</v>
      </c>
      <c r="K360" t="n">
        <v>0</v>
      </c>
      <c r="L360" t="n">
        <v>0</v>
      </c>
      <c r="M360" t="n">
        <v>0</v>
      </c>
      <c r="N360" t="n">
        <v>0</v>
      </c>
      <c r="O360" t="n">
        <v>0</v>
      </c>
      <c r="P360" t="n">
        <v>0</v>
      </c>
      <c r="Q360" t="n">
        <v>0</v>
      </c>
      <c r="R360" s="2" t="inlineStr"/>
    </row>
    <row r="361" ht="15" customHeight="1">
      <c r="A361" t="inlineStr">
        <is>
          <t>A 29754-2022</t>
        </is>
      </c>
      <c r="B361" s="1" t="n">
        <v>44755.59188657408</v>
      </c>
      <c r="C361" s="1" t="n">
        <v>45967</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48929-2025</t>
        </is>
      </c>
      <c r="B362" s="1" t="n">
        <v>45937.51315972222</v>
      </c>
      <c r="C362" s="1" t="n">
        <v>45967</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62266-2020</t>
        </is>
      </c>
      <c r="B363" s="1" t="n">
        <v>44160.35008101852</v>
      </c>
      <c r="C363" s="1" t="n">
        <v>45967</v>
      </c>
      <c r="D363" t="inlineStr">
        <is>
          <t>DALARNAS LÄN</t>
        </is>
      </c>
      <c r="E363" t="inlineStr">
        <is>
          <t>MORA</t>
        </is>
      </c>
      <c r="F363" t="inlineStr">
        <is>
          <t>Bergvik skog väst AB</t>
        </is>
      </c>
      <c r="G363" t="n">
        <v>5.9</v>
      </c>
      <c r="H363" t="n">
        <v>0</v>
      </c>
      <c r="I363" t="n">
        <v>0</v>
      </c>
      <c r="J363" t="n">
        <v>0</v>
      </c>
      <c r="K363" t="n">
        <v>0</v>
      </c>
      <c r="L363" t="n">
        <v>0</v>
      </c>
      <c r="M363" t="n">
        <v>0</v>
      </c>
      <c r="N363" t="n">
        <v>0</v>
      </c>
      <c r="O363" t="n">
        <v>0</v>
      </c>
      <c r="P363" t="n">
        <v>0</v>
      </c>
      <c r="Q363" t="n">
        <v>0</v>
      </c>
      <c r="R363" s="2" t="inlineStr"/>
    </row>
    <row r="364" ht="15" customHeight="1">
      <c r="A364" t="inlineStr">
        <is>
          <t>A 48927-2025</t>
        </is>
      </c>
      <c r="B364" s="1" t="n">
        <v>45931</v>
      </c>
      <c r="C364" s="1" t="n">
        <v>45967</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40660-2025</t>
        </is>
      </c>
      <c r="B365" s="1" t="n">
        <v>45896.64631944444</v>
      </c>
      <c r="C365" s="1" t="n">
        <v>45967</v>
      </c>
      <c r="D365" t="inlineStr">
        <is>
          <t>DALARNAS LÄN</t>
        </is>
      </c>
      <c r="E365" t="inlineStr">
        <is>
          <t>MORA</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36579-2022</t>
        </is>
      </c>
      <c r="B366" s="1" t="n">
        <v>44804.61636574074</v>
      </c>
      <c r="C366" s="1" t="n">
        <v>45967</v>
      </c>
      <c r="D366" t="inlineStr">
        <is>
          <t>DALARNAS LÄN</t>
        </is>
      </c>
      <c r="E366" t="inlineStr">
        <is>
          <t>MORA</t>
        </is>
      </c>
      <c r="G366" t="n">
        <v>2.3</v>
      </c>
      <c r="H366" t="n">
        <v>0</v>
      </c>
      <c r="I366" t="n">
        <v>0</v>
      </c>
      <c r="J366" t="n">
        <v>0</v>
      </c>
      <c r="K366" t="n">
        <v>0</v>
      </c>
      <c r="L366" t="n">
        <v>0</v>
      </c>
      <c r="M366" t="n">
        <v>0</v>
      </c>
      <c r="N366" t="n">
        <v>0</v>
      </c>
      <c r="O366" t="n">
        <v>0</v>
      </c>
      <c r="P366" t="n">
        <v>0</v>
      </c>
      <c r="Q366" t="n">
        <v>0</v>
      </c>
      <c r="R366" s="2" t="inlineStr"/>
    </row>
    <row r="367" ht="15" customHeight="1">
      <c r="A367" t="inlineStr">
        <is>
          <t>A 3531-2024</t>
        </is>
      </c>
      <c r="B367" s="1" t="n">
        <v>45320</v>
      </c>
      <c r="C367" s="1" t="n">
        <v>45967</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c r="U367">
        <f>HYPERLINK("https://klasma.github.io/Logging_2062/knärot/A 3531-2024 karta knärot.png", "A 3531-2024")</f>
        <v/>
      </c>
      <c r="V367">
        <f>HYPERLINK("https://klasma.github.io/Logging_2062/klagomål/A 3531-2024 FSC-klagomål.docx", "A 3531-2024")</f>
        <v/>
      </c>
      <c r="W367">
        <f>HYPERLINK("https://klasma.github.io/Logging_2062/klagomålsmail/A 3531-2024 FSC-klagomål mail.docx", "A 3531-2024")</f>
        <v/>
      </c>
      <c r="X367">
        <f>HYPERLINK("https://klasma.github.io/Logging_2062/tillsyn/A 3531-2024 tillsynsbegäran.docx", "A 3531-2024")</f>
        <v/>
      </c>
      <c r="Y367">
        <f>HYPERLINK("https://klasma.github.io/Logging_2062/tillsynsmail/A 3531-2024 tillsynsbegäran mail.docx", "A 3531-2024")</f>
        <v/>
      </c>
    </row>
    <row r="368" ht="15" customHeight="1">
      <c r="A368" t="inlineStr">
        <is>
          <t>A 48926-2025</t>
        </is>
      </c>
      <c r="B368" s="1" t="n">
        <v>45937.50666666667</v>
      </c>
      <c r="C368" s="1" t="n">
        <v>45967</v>
      </c>
      <c r="D368" t="inlineStr">
        <is>
          <t>DALARNAS LÄN</t>
        </is>
      </c>
      <c r="E368" t="inlineStr">
        <is>
          <t>MORA</t>
        </is>
      </c>
      <c r="G368" t="n">
        <v>0.6</v>
      </c>
      <c r="H368" t="n">
        <v>0</v>
      </c>
      <c r="I368" t="n">
        <v>0</v>
      </c>
      <c r="J368" t="n">
        <v>0</v>
      </c>
      <c r="K368" t="n">
        <v>0</v>
      </c>
      <c r="L368" t="n">
        <v>0</v>
      </c>
      <c r="M368" t="n">
        <v>0</v>
      </c>
      <c r="N368" t="n">
        <v>0</v>
      </c>
      <c r="O368" t="n">
        <v>0</v>
      </c>
      <c r="P368" t="n">
        <v>0</v>
      </c>
      <c r="Q368" t="n">
        <v>0</v>
      </c>
      <c r="R368" s="2" t="inlineStr"/>
    </row>
    <row r="369" ht="15" customHeight="1">
      <c r="A369" t="inlineStr">
        <is>
          <t>A 25345-2025</t>
        </is>
      </c>
      <c r="B369" s="1" t="n">
        <v>45799</v>
      </c>
      <c r="C369" s="1" t="n">
        <v>45967</v>
      </c>
      <c r="D369" t="inlineStr">
        <is>
          <t>DALARNAS LÄN</t>
        </is>
      </c>
      <c r="E369" t="inlineStr">
        <is>
          <t>MORA</t>
        </is>
      </c>
      <c r="G369" t="n">
        <v>3.1</v>
      </c>
      <c r="H369" t="n">
        <v>0</v>
      </c>
      <c r="I369" t="n">
        <v>0</v>
      </c>
      <c r="J369" t="n">
        <v>0</v>
      </c>
      <c r="K369" t="n">
        <v>0</v>
      </c>
      <c r="L369" t="n">
        <v>0</v>
      </c>
      <c r="M369" t="n">
        <v>0</v>
      </c>
      <c r="N369" t="n">
        <v>0</v>
      </c>
      <c r="O369" t="n">
        <v>0</v>
      </c>
      <c r="P369" t="n">
        <v>0</v>
      </c>
      <c r="Q369" t="n">
        <v>0</v>
      </c>
      <c r="R369" s="2" t="inlineStr"/>
    </row>
    <row r="370" ht="15" customHeight="1">
      <c r="A370" t="inlineStr">
        <is>
          <t>A 47716-2025</t>
        </is>
      </c>
      <c r="B370" s="1" t="n">
        <v>45931</v>
      </c>
      <c r="C370" s="1" t="n">
        <v>45967</v>
      </c>
      <c r="D370" t="inlineStr">
        <is>
          <t>DALARNAS LÄN</t>
        </is>
      </c>
      <c r="E370" t="inlineStr">
        <is>
          <t>MORA</t>
        </is>
      </c>
      <c r="G370" t="n">
        <v>8.9</v>
      </c>
      <c r="H370" t="n">
        <v>0</v>
      </c>
      <c r="I370" t="n">
        <v>0</v>
      </c>
      <c r="J370" t="n">
        <v>0</v>
      </c>
      <c r="K370" t="n">
        <v>0</v>
      </c>
      <c r="L370" t="n">
        <v>0</v>
      </c>
      <c r="M370" t="n">
        <v>0</v>
      </c>
      <c r="N370" t="n">
        <v>0</v>
      </c>
      <c r="O370" t="n">
        <v>0</v>
      </c>
      <c r="P370" t="n">
        <v>0</v>
      </c>
      <c r="Q370" t="n">
        <v>0</v>
      </c>
      <c r="R370" s="2" t="inlineStr"/>
    </row>
    <row r="371" ht="15" customHeight="1">
      <c r="A371" t="inlineStr">
        <is>
          <t>A 43533-2023</t>
        </is>
      </c>
      <c r="B371" s="1" t="n">
        <v>45184.53412037037</v>
      </c>
      <c r="C371" s="1" t="n">
        <v>45967</v>
      </c>
      <c r="D371" t="inlineStr">
        <is>
          <t>DALARNAS LÄN</t>
        </is>
      </c>
      <c r="E371" t="inlineStr">
        <is>
          <t>MORA</t>
        </is>
      </c>
      <c r="F371" t="inlineStr">
        <is>
          <t>Bergvik skog väst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30998-2022</t>
        </is>
      </c>
      <c r="B372" s="1" t="n">
        <v>44768</v>
      </c>
      <c r="C372" s="1" t="n">
        <v>45967</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49404-2025</t>
        </is>
      </c>
      <c r="B373" s="1" t="n">
        <v>45938.67662037037</v>
      </c>
      <c r="C373" s="1" t="n">
        <v>45967</v>
      </c>
      <c r="D373" t="inlineStr">
        <is>
          <t>DALARNAS LÄN</t>
        </is>
      </c>
      <c r="E373" t="inlineStr">
        <is>
          <t>MORA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8343-2025</t>
        </is>
      </c>
      <c r="B374" s="1" t="n">
        <v>45708.67253472222</v>
      </c>
      <c r="C374" s="1" t="n">
        <v>45967</v>
      </c>
      <c r="D374" t="inlineStr">
        <is>
          <t>DALARNAS LÄN</t>
        </is>
      </c>
      <c r="E374" t="inlineStr">
        <is>
          <t>MORA</t>
        </is>
      </c>
      <c r="G374" t="n">
        <v>3.4</v>
      </c>
      <c r="H374" t="n">
        <v>0</v>
      </c>
      <c r="I374" t="n">
        <v>0</v>
      </c>
      <c r="J374" t="n">
        <v>0</v>
      </c>
      <c r="K374" t="n">
        <v>0</v>
      </c>
      <c r="L374" t="n">
        <v>0</v>
      </c>
      <c r="M374" t="n">
        <v>0</v>
      </c>
      <c r="N374" t="n">
        <v>0</v>
      </c>
      <c r="O374" t="n">
        <v>0</v>
      </c>
      <c r="P374" t="n">
        <v>0</v>
      </c>
      <c r="Q374" t="n">
        <v>0</v>
      </c>
      <c r="R374" s="2" t="inlineStr"/>
    </row>
    <row r="375" ht="15" customHeight="1">
      <c r="A375" t="inlineStr">
        <is>
          <t>A 40805-2025</t>
        </is>
      </c>
      <c r="B375" s="1" t="n">
        <v>45897.46659722222</v>
      </c>
      <c r="C375" s="1" t="n">
        <v>45967</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39009-2023</t>
        </is>
      </c>
      <c r="B376" s="1" t="n">
        <v>45162</v>
      </c>
      <c r="C376" s="1" t="n">
        <v>45967</v>
      </c>
      <c r="D376" t="inlineStr">
        <is>
          <t>DALARNAS LÄN</t>
        </is>
      </c>
      <c r="E376" t="inlineStr">
        <is>
          <t>MORA</t>
        </is>
      </c>
      <c r="G376" t="n">
        <v>1.9</v>
      </c>
      <c r="H376" t="n">
        <v>0</v>
      </c>
      <c r="I376" t="n">
        <v>0</v>
      </c>
      <c r="J376" t="n">
        <v>0</v>
      </c>
      <c r="K376" t="n">
        <v>0</v>
      </c>
      <c r="L376" t="n">
        <v>0</v>
      </c>
      <c r="M376" t="n">
        <v>0</v>
      </c>
      <c r="N376" t="n">
        <v>0</v>
      </c>
      <c r="O376" t="n">
        <v>0</v>
      </c>
      <c r="P376" t="n">
        <v>0</v>
      </c>
      <c r="Q376" t="n">
        <v>0</v>
      </c>
      <c r="R376" s="2" t="inlineStr"/>
    </row>
    <row r="377" ht="15" customHeight="1">
      <c r="A377" t="inlineStr">
        <is>
          <t>A 41175-2025</t>
        </is>
      </c>
      <c r="B377" s="1" t="n">
        <v>45898.55165509259</v>
      </c>
      <c r="C377" s="1" t="n">
        <v>45967</v>
      </c>
      <c r="D377" t="inlineStr">
        <is>
          <t>DALARNAS LÄN</t>
        </is>
      </c>
      <c r="E377" t="inlineStr">
        <is>
          <t>MORA</t>
        </is>
      </c>
      <c r="G377" t="n">
        <v>4.5</v>
      </c>
      <c r="H377" t="n">
        <v>0</v>
      </c>
      <c r="I377" t="n">
        <v>0</v>
      </c>
      <c r="J377" t="n">
        <v>0</v>
      </c>
      <c r="K377" t="n">
        <v>0</v>
      </c>
      <c r="L377" t="n">
        <v>0</v>
      </c>
      <c r="M377" t="n">
        <v>0</v>
      </c>
      <c r="N377" t="n">
        <v>0</v>
      </c>
      <c r="O377" t="n">
        <v>0</v>
      </c>
      <c r="P377" t="n">
        <v>0</v>
      </c>
      <c r="Q377" t="n">
        <v>0</v>
      </c>
      <c r="R377" s="2" t="inlineStr"/>
    </row>
    <row r="378" ht="15" customHeight="1">
      <c r="A378" t="inlineStr">
        <is>
          <t>A 24620-2025</t>
        </is>
      </c>
      <c r="B378" s="1" t="n">
        <v>45798.59290509259</v>
      </c>
      <c r="C378" s="1" t="n">
        <v>45967</v>
      </c>
      <c r="D378" t="inlineStr">
        <is>
          <t>DALARNAS LÄN</t>
        </is>
      </c>
      <c r="E378" t="inlineStr">
        <is>
          <t>MORA</t>
        </is>
      </c>
      <c r="F378" t="inlineStr">
        <is>
          <t>Bergvik skog väst AB</t>
        </is>
      </c>
      <c r="G378" t="n">
        <v>4.9</v>
      </c>
      <c r="H378" t="n">
        <v>0</v>
      </c>
      <c r="I378" t="n">
        <v>0</v>
      </c>
      <c r="J378" t="n">
        <v>0</v>
      </c>
      <c r="K378" t="n">
        <v>0</v>
      </c>
      <c r="L378" t="n">
        <v>0</v>
      </c>
      <c r="M378" t="n">
        <v>0</v>
      </c>
      <c r="N378" t="n">
        <v>0</v>
      </c>
      <c r="O378" t="n">
        <v>0</v>
      </c>
      <c r="P378" t="n">
        <v>0</v>
      </c>
      <c r="Q378" t="n">
        <v>0</v>
      </c>
      <c r="R378" s="2" t="inlineStr"/>
    </row>
    <row r="379" ht="15" customHeight="1">
      <c r="A379" t="inlineStr">
        <is>
          <t>A 21894-2025</t>
        </is>
      </c>
      <c r="B379" s="1" t="n">
        <v>45784.45060185185</v>
      </c>
      <c r="C379" s="1" t="n">
        <v>45967</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24653-2025</t>
        </is>
      </c>
      <c r="B380" s="1" t="n">
        <v>45798.63875</v>
      </c>
      <c r="C380" s="1" t="n">
        <v>45967</v>
      </c>
      <c r="D380" t="inlineStr">
        <is>
          <t>DALARNAS LÄN</t>
        </is>
      </c>
      <c r="E380" t="inlineStr">
        <is>
          <t>MORA</t>
        </is>
      </c>
      <c r="F380" t="inlineStr">
        <is>
          <t>Bergvik skog väst AB</t>
        </is>
      </c>
      <c r="G380" t="n">
        <v>4.9</v>
      </c>
      <c r="H380" t="n">
        <v>0</v>
      </c>
      <c r="I380" t="n">
        <v>0</v>
      </c>
      <c r="J380" t="n">
        <v>0</v>
      </c>
      <c r="K380" t="n">
        <v>0</v>
      </c>
      <c r="L380" t="n">
        <v>0</v>
      </c>
      <c r="M380" t="n">
        <v>0</v>
      </c>
      <c r="N380" t="n">
        <v>0</v>
      </c>
      <c r="O380" t="n">
        <v>0</v>
      </c>
      <c r="P380" t="n">
        <v>0</v>
      </c>
      <c r="Q380" t="n">
        <v>0</v>
      </c>
      <c r="R380" s="2" t="inlineStr"/>
    </row>
    <row r="381" ht="15" customHeight="1">
      <c r="A381" t="inlineStr">
        <is>
          <t>A 17164-2025</t>
        </is>
      </c>
      <c r="B381" s="1" t="n">
        <v>45756.36403935185</v>
      </c>
      <c r="C381" s="1" t="n">
        <v>45967</v>
      </c>
      <c r="D381" t="inlineStr">
        <is>
          <t>DALARNAS LÄN</t>
        </is>
      </c>
      <c r="E381" t="inlineStr">
        <is>
          <t>MORA</t>
        </is>
      </c>
      <c r="F381" t="inlineStr">
        <is>
          <t>Bergvik skog öst AB</t>
        </is>
      </c>
      <c r="G381" t="n">
        <v>0.3</v>
      </c>
      <c r="H381" t="n">
        <v>0</v>
      </c>
      <c r="I381" t="n">
        <v>0</v>
      </c>
      <c r="J381" t="n">
        <v>0</v>
      </c>
      <c r="K381" t="n">
        <v>0</v>
      </c>
      <c r="L381" t="n">
        <v>0</v>
      </c>
      <c r="M381" t="n">
        <v>0</v>
      </c>
      <c r="N381" t="n">
        <v>0</v>
      </c>
      <c r="O381" t="n">
        <v>0</v>
      </c>
      <c r="P381" t="n">
        <v>0</v>
      </c>
      <c r="Q381" t="n">
        <v>0</v>
      </c>
      <c r="R381" s="2" t="inlineStr"/>
    </row>
    <row r="382" ht="15" customHeight="1">
      <c r="A382" t="inlineStr">
        <is>
          <t>A 49574-2025</t>
        </is>
      </c>
      <c r="B382" s="1" t="n">
        <v>45939.49045138889</v>
      </c>
      <c r="C382" s="1" t="n">
        <v>45967</v>
      </c>
      <c r="D382" t="inlineStr">
        <is>
          <t>DALARNAS LÄN</t>
        </is>
      </c>
      <c r="E382" t="inlineStr">
        <is>
          <t>MORA</t>
        </is>
      </c>
      <c r="G382" t="n">
        <v>6.3</v>
      </c>
      <c r="H382" t="n">
        <v>0</v>
      </c>
      <c r="I382" t="n">
        <v>0</v>
      </c>
      <c r="J382" t="n">
        <v>0</v>
      </c>
      <c r="K382" t="n">
        <v>0</v>
      </c>
      <c r="L382" t="n">
        <v>0</v>
      </c>
      <c r="M382" t="n">
        <v>0</v>
      </c>
      <c r="N382" t="n">
        <v>0</v>
      </c>
      <c r="O382" t="n">
        <v>0</v>
      </c>
      <c r="P382" t="n">
        <v>0</v>
      </c>
      <c r="Q382" t="n">
        <v>0</v>
      </c>
      <c r="R382" s="2" t="inlineStr"/>
    </row>
    <row r="383" ht="15" customHeight="1">
      <c r="A383" t="inlineStr">
        <is>
          <t>A 37774-2022</t>
        </is>
      </c>
      <c r="B383" s="1" t="n">
        <v>44810.64164351852</v>
      </c>
      <c r="C383" s="1" t="n">
        <v>45967</v>
      </c>
      <c r="D383" t="inlineStr">
        <is>
          <t>DALARNAS LÄN</t>
        </is>
      </c>
      <c r="E383" t="inlineStr">
        <is>
          <t>MORA</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2879-2022</t>
        </is>
      </c>
      <c r="B384" s="1" t="n">
        <v>44581</v>
      </c>
      <c r="C384" s="1" t="n">
        <v>45967</v>
      </c>
      <c r="D384" t="inlineStr">
        <is>
          <t>DALARNAS LÄN</t>
        </is>
      </c>
      <c r="E384" t="inlineStr">
        <is>
          <t>MORA</t>
        </is>
      </c>
      <c r="G384" t="n">
        <v>2.3</v>
      </c>
      <c r="H384" t="n">
        <v>0</v>
      </c>
      <c r="I384" t="n">
        <v>0</v>
      </c>
      <c r="J384" t="n">
        <v>0</v>
      </c>
      <c r="K384" t="n">
        <v>0</v>
      </c>
      <c r="L384" t="n">
        <v>0</v>
      </c>
      <c r="M384" t="n">
        <v>0</v>
      </c>
      <c r="N384" t="n">
        <v>0</v>
      </c>
      <c r="O384" t="n">
        <v>0</v>
      </c>
      <c r="P384" t="n">
        <v>0</v>
      </c>
      <c r="Q384" t="n">
        <v>0</v>
      </c>
      <c r="R384" s="2" t="inlineStr"/>
    </row>
    <row r="385" ht="15" customHeight="1">
      <c r="A385" t="inlineStr">
        <is>
          <t>A 44769-2021</t>
        </is>
      </c>
      <c r="B385" s="1" t="n">
        <v>44438</v>
      </c>
      <c r="C385" s="1" t="n">
        <v>45967</v>
      </c>
      <c r="D385" t="inlineStr">
        <is>
          <t>DALARNAS LÄN</t>
        </is>
      </c>
      <c r="E385" t="inlineStr">
        <is>
          <t>MORA</t>
        </is>
      </c>
      <c r="G385" t="n">
        <v>0.9</v>
      </c>
      <c r="H385" t="n">
        <v>0</v>
      </c>
      <c r="I385" t="n">
        <v>0</v>
      </c>
      <c r="J385" t="n">
        <v>0</v>
      </c>
      <c r="K385" t="n">
        <v>0</v>
      </c>
      <c r="L385" t="n">
        <v>0</v>
      </c>
      <c r="M385" t="n">
        <v>0</v>
      </c>
      <c r="N385" t="n">
        <v>0</v>
      </c>
      <c r="O385" t="n">
        <v>0</v>
      </c>
      <c r="P385" t="n">
        <v>0</v>
      </c>
      <c r="Q385" t="n">
        <v>0</v>
      </c>
      <c r="R385" s="2" t="inlineStr"/>
    </row>
    <row r="386" ht="15" customHeight="1">
      <c r="A386" t="inlineStr">
        <is>
          <t>A 28487-2024</t>
        </is>
      </c>
      <c r="B386" s="1" t="n">
        <v>45477.75744212963</v>
      </c>
      <c r="C386" s="1" t="n">
        <v>45967</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16573-2024</t>
        </is>
      </c>
      <c r="B387" s="1" t="n">
        <v>45408.46980324074</v>
      </c>
      <c r="C387" s="1" t="n">
        <v>45967</v>
      </c>
      <c r="D387" t="inlineStr">
        <is>
          <t>DALARNAS LÄN</t>
        </is>
      </c>
      <c r="E387" t="inlineStr">
        <is>
          <t>MORA</t>
        </is>
      </c>
      <c r="G387" t="n">
        <v>4.5</v>
      </c>
      <c r="H387" t="n">
        <v>0</v>
      </c>
      <c r="I387" t="n">
        <v>0</v>
      </c>
      <c r="J387" t="n">
        <v>0</v>
      </c>
      <c r="K387" t="n">
        <v>0</v>
      </c>
      <c r="L387" t="n">
        <v>0</v>
      </c>
      <c r="M387" t="n">
        <v>0</v>
      </c>
      <c r="N387" t="n">
        <v>0</v>
      </c>
      <c r="O387" t="n">
        <v>0</v>
      </c>
      <c r="P387" t="n">
        <v>0</v>
      </c>
      <c r="Q387" t="n">
        <v>0</v>
      </c>
      <c r="R387" s="2" t="inlineStr"/>
    </row>
    <row r="388" ht="15" customHeight="1">
      <c r="A388" t="inlineStr">
        <is>
          <t>A 48728-2022</t>
        </is>
      </c>
      <c r="B388" s="1" t="n">
        <v>44859.52145833334</v>
      </c>
      <c r="C388" s="1" t="n">
        <v>45967</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22409-2025</t>
        </is>
      </c>
      <c r="B389" s="1" t="n">
        <v>45786.54940972223</v>
      </c>
      <c r="C389" s="1" t="n">
        <v>45967</v>
      </c>
      <c r="D389" t="inlineStr">
        <is>
          <t>DALARNAS LÄN</t>
        </is>
      </c>
      <c r="E389" t="inlineStr">
        <is>
          <t>MORA</t>
        </is>
      </c>
      <c r="F389" t="inlineStr">
        <is>
          <t>Bergvik skog öst AB</t>
        </is>
      </c>
      <c r="G389" t="n">
        <v>5</v>
      </c>
      <c r="H389" t="n">
        <v>0</v>
      </c>
      <c r="I389" t="n">
        <v>0</v>
      </c>
      <c r="J389" t="n">
        <v>0</v>
      </c>
      <c r="K389" t="n">
        <v>0</v>
      </c>
      <c r="L389" t="n">
        <v>0</v>
      </c>
      <c r="M389" t="n">
        <v>0</v>
      </c>
      <c r="N389" t="n">
        <v>0</v>
      </c>
      <c r="O389" t="n">
        <v>0</v>
      </c>
      <c r="P389" t="n">
        <v>0</v>
      </c>
      <c r="Q389" t="n">
        <v>0</v>
      </c>
      <c r="R389" s="2" t="inlineStr"/>
    </row>
    <row r="390" ht="15" customHeight="1">
      <c r="A390" t="inlineStr">
        <is>
          <t>A 41200-2025</t>
        </is>
      </c>
      <c r="B390" s="1" t="n">
        <v>45898.5738425926</v>
      </c>
      <c r="C390" s="1" t="n">
        <v>45967</v>
      </c>
      <c r="D390" t="inlineStr">
        <is>
          <t>DALARNAS LÄN</t>
        </is>
      </c>
      <c r="E390" t="inlineStr">
        <is>
          <t>MORA</t>
        </is>
      </c>
      <c r="G390" t="n">
        <v>8.9</v>
      </c>
      <c r="H390" t="n">
        <v>0</v>
      </c>
      <c r="I390" t="n">
        <v>0</v>
      </c>
      <c r="J390" t="n">
        <v>0</v>
      </c>
      <c r="K390" t="n">
        <v>0</v>
      </c>
      <c r="L390" t="n">
        <v>0</v>
      </c>
      <c r="M390" t="n">
        <v>0</v>
      </c>
      <c r="N390" t="n">
        <v>0</v>
      </c>
      <c r="O390" t="n">
        <v>0</v>
      </c>
      <c r="P390" t="n">
        <v>0</v>
      </c>
      <c r="Q390" t="n">
        <v>0</v>
      </c>
      <c r="R390" s="2" t="inlineStr"/>
    </row>
    <row r="391" ht="15" customHeight="1">
      <c r="A391" t="inlineStr">
        <is>
          <t>A 61222-2023</t>
        </is>
      </c>
      <c r="B391" s="1" t="n">
        <v>45264</v>
      </c>
      <c r="C391" s="1" t="n">
        <v>45967</v>
      </c>
      <c r="D391" t="inlineStr">
        <is>
          <t>DALARNAS LÄN</t>
        </is>
      </c>
      <c r="E391" t="inlineStr">
        <is>
          <t>MORA</t>
        </is>
      </c>
      <c r="F391" t="inlineStr">
        <is>
          <t>Allmännings- och besparingsskogar</t>
        </is>
      </c>
      <c r="G391" t="n">
        <v>1.1</v>
      </c>
      <c r="H391" t="n">
        <v>0</v>
      </c>
      <c r="I391" t="n">
        <v>0</v>
      </c>
      <c r="J391" t="n">
        <v>0</v>
      </c>
      <c r="K391" t="n">
        <v>0</v>
      </c>
      <c r="L391" t="n">
        <v>0</v>
      </c>
      <c r="M391" t="n">
        <v>0</v>
      </c>
      <c r="N391" t="n">
        <v>0</v>
      </c>
      <c r="O391" t="n">
        <v>0</v>
      </c>
      <c r="P391" t="n">
        <v>0</v>
      </c>
      <c r="Q391" t="n">
        <v>0</v>
      </c>
      <c r="R391" s="2" t="inlineStr"/>
    </row>
    <row r="392" ht="15" customHeight="1">
      <c r="A392" t="inlineStr">
        <is>
          <t>A 49828-2025</t>
        </is>
      </c>
      <c r="B392" s="1" t="n">
        <v>45940.44993055556</v>
      </c>
      <c r="C392" s="1" t="n">
        <v>45967</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56532-2024</t>
        </is>
      </c>
      <c r="B393" s="1" t="n">
        <v>45625.55440972222</v>
      </c>
      <c r="C393" s="1" t="n">
        <v>45967</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24465-2021</t>
        </is>
      </c>
      <c r="B394" s="1" t="n">
        <v>44337</v>
      </c>
      <c r="C394" s="1" t="n">
        <v>45967</v>
      </c>
      <c r="D394" t="inlineStr">
        <is>
          <t>DALARNAS LÄN</t>
        </is>
      </c>
      <c r="E394" t="inlineStr">
        <is>
          <t>MORA</t>
        </is>
      </c>
      <c r="G394" t="n">
        <v>2.6</v>
      </c>
      <c r="H394" t="n">
        <v>0</v>
      </c>
      <c r="I394" t="n">
        <v>0</v>
      </c>
      <c r="J394" t="n">
        <v>0</v>
      </c>
      <c r="K394" t="n">
        <v>0</v>
      </c>
      <c r="L394" t="n">
        <v>0</v>
      </c>
      <c r="M394" t="n">
        <v>0</v>
      </c>
      <c r="N394" t="n">
        <v>0</v>
      </c>
      <c r="O394" t="n">
        <v>0</v>
      </c>
      <c r="P394" t="n">
        <v>0</v>
      </c>
      <c r="Q394" t="n">
        <v>0</v>
      </c>
      <c r="R394" s="2" t="inlineStr"/>
    </row>
    <row r="395" ht="15" customHeight="1">
      <c r="A395" t="inlineStr">
        <is>
          <t>A 5298-2023</t>
        </is>
      </c>
      <c r="B395" s="1" t="n">
        <v>44959.54355324074</v>
      </c>
      <c r="C395" s="1" t="n">
        <v>45967</v>
      </c>
      <c r="D395" t="inlineStr">
        <is>
          <t>DALARNAS LÄN</t>
        </is>
      </c>
      <c r="E395" t="inlineStr">
        <is>
          <t>MORA</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41783-2025</t>
        </is>
      </c>
      <c r="B396" s="1" t="n">
        <v>45902.58721064815</v>
      </c>
      <c r="C396" s="1" t="n">
        <v>45967</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59002-2024</t>
        </is>
      </c>
      <c r="B397" s="1" t="n">
        <v>45636</v>
      </c>
      <c r="C397" s="1" t="n">
        <v>45967</v>
      </c>
      <c r="D397" t="inlineStr">
        <is>
          <t>DALARNAS LÄN</t>
        </is>
      </c>
      <c r="E397" t="inlineStr">
        <is>
          <t>MORA</t>
        </is>
      </c>
      <c r="F397" t="inlineStr">
        <is>
          <t>Bergvik skog väst AB</t>
        </is>
      </c>
      <c r="G397" t="n">
        <v>24.8</v>
      </c>
      <c r="H397" t="n">
        <v>0</v>
      </c>
      <c r="I397" t="n">
        <v>0</v>
      </c>
      <c r="J397" t="n">
        <v>0</v>
      </c>
      <c r="K397" t="n">
        <v>0</v>
      </c>
      <c r="L397" t="n">
        <v>0</v>
      </c>
      <c r="M397" t="n">
        <v>0</v>
      </c>
      <c r="N397" t="n">
        <v>0</v>
      </c>
      <c r="O397" t="n">
        <v>0</v>
      </c>
      <c r="P397" t="n">
        <v>0</v>
      </c>
      <c r="Q397" t="n">
        <v>0</v>
      </c>
      <c r="R397" s="2" t="inlineStr"/>
    </row>
    <row r="398" ht="15" customHeight="1">
      <c r="A398" t="inlineStr">
        <is>
          <t>A 60526-2023</t>
        </is>
      </c>
      <c r="B398" s="1" t="n">
        <v>45259</v>
      </c>
      <c r="C398" s="1" t="n">
        <v>45967</v>
      </c>
      <c r="D398" t="inlineStr">
        <is>
          <t>DALARNAS LÄN</t>
        </is>
      </c>
      <c r="E398" t="inlineStr">
        <is>
          <t>MORA</t>
        </is>
      </c>
      <c r="G398" t="n">
        <v>6.7</v>
      </c>
      <c r="H398" t="n">
        <v>0</v>
      </c>
      <c r="I398" t="n">
        <v>0</v>
      </c>
      <c r="J398" t="n">
        <v>0</v>
      </c>
      <c r="K398" t="n">
        <v>0</v>
      </c>
      <c r="L398" t="n">
        <v>0</v>
      </c>
      <c r="M398" t="n">
        <v>0</v>
      </c>
      <c r="N398" t="n">
        <v>0</v>
      </c>
      <c r="O398" t="n">
        <v>0</v>
      </c>
      <c r="P398" t="n">
        <v>0</v>
      </c>
      <c r="Q398" t="n">
        <v>0</v>
      </c>
      <c r="R398" s="2" t="inlineStr"/>
    </row>
    <row r="399" ht="15" customHeight="1">
      <c r="A399" t="inlineStr">
        <is>
          <t>A 41614-2025</t>
        </is>
      </c>
      <c r="B399" s="1" t="n">
        <v>45901.68267361111</v>
      </c>
      <c r="C399" s="1" t="n">
        <v>45967</v>
      </c>
      <c r="D399" t="inlineStr">
        <is>
          <t>DALARNAS LÄN</t>
        </is>
      </c>
      <c r="E399" t="inlineStr">
        <is>
          <t>MORA</t>
        </is>
      </c>
      <c r="F399" t="inlineStr">
        <is>
          <t>Bergvik skog väst AB</t>
        </is>
      </c>
      <c r="G399" t="n">
        <v>13.8</v>
      </c>
      <c r="H399" t="n">
        <v>0</v>
      </c>
      <c r="I399" t="n">
        <v>0</v>
      </c>
      <c r="J399" t="n">
        <v>0</v>
      </c>
      <c r="K399" t="n">
        <v>0</v>
      </c>
      <c r="L399" t="n">
        <v>0</v>
      </c>
      <c r="M399" t="n">
        <v>0</v>
      </c>
      <c r="N399" t="n">
        <v>0</v>
      </c>
      <c r="O399" t="n">
        <v>0</v>
      </c>
      <c r="P399" t="n">
        <v>0</v>
      </c>
      <c r="Q399" t="n">
        <v>0</v>
      </c>
      <c r="R399" s="2" t="inlineStr"/>
    </row>
    <row r="400" ht="15" customHeight="1">
      <c r="A400" t="inlineStr">
        <is>
          <t>A 44106-2023</t>
        </is>
      </c>
      <c r="B400" s="1" t="n">
        <v>45188</v>
      </c>
      <c r="C400" s="1" t="n">
        <v>45967</v>
      </c>
      <c r="D400" t="inlineStr">
        <is>
          <t>DALARNAS LÄN</t>
        </is>
      </c>
      <c r="E400" t="inlineStr">
        <is>
          <t>MORA</t>
        </is>
      </c>
      <c r="G400" t="n">
        <v>10.1</v>
      </c>
      <c r="H400" t="n">
        <v>0</v>
      </c>
      <c r="I400" t="n">
        <v>0</v>
      </c>
      <c r="J400" t="n">
        <v>0</v>
      </c>
      <c r="K400" t="n">
        <v>0</v>
      </c>
      <c r="L400" t="n">
        <v>0</v>
      </c>
      <c r="M400" t="n">
        <v>0</v>
      </c>
      <c r="N400" t="n">
        <v>0</v>
      </c>
      <c r="O400" t="n">
        <v>0</v>
      </c>
      <c r="P400" t="n">
        <v>0</v>
      </c>
      <c r="Q400" t="n">
        <v>0</v>
      </c>
      <c r="R400" s="2" t="inlineStr"/>
    </row>
    <row r="401" ht="15" customHeight="1">
      <c r="A401" t="inlineStr">
        <is>
          <t>A 11193-2025</t>
        </is>
      </c>
      <c r="B401" s="1" t="n">
        <v>45725</v>
      </c>
      <c r="C401" s="1" t="n">
        <v>45967</v>
      </c>
      <c r="D401" t="inlineStr">
        <is>
          <t>DALARNAS LÄN</t>
        </is>
      </c>
      <c r="E401" t="inlineStr">
        <is>
          <t>MORA</t>
        </is>
      </c>
      <c r="G401" t="n">
        <v>4.1</v>
      </c>
      <c r="H401" t="n">
        <v>0</v>
      </c>
      <c r="I401" t="n">
        <v>0</v>
      </c>
      <c r="J401" t="n">
        <v>0</v>
      </c>
      <c r="K401" t="n">
        <v>0</v>
      </c>
      <c r="L401" t="n">
        <v>0</v>
      </c>
      <c r="M401" t="n">
        <v>0</v>
      </c>
      <c r="N401" t="n">
        <v>0</v>
      </c>
      <c r="O401" t="n">
        <v>0</v>
      </c>
      <c r="P401" t="n">
        <v>0</v>
      </c>
      <c r="Q401" t="n">
        <v>0</v>
      </c>
      <c r="R401" s="2" t="inlineStr"/>
    </row>
    <row r="402" ht="15" customHeight="1">
      <c r="A402" t="inlineStr">
        <is>
          <t>A 22354-2025</t>
        </is>
      </c>
      <c r="B402" s="1" t="n">
        <v>45786.45721064815</v>
      </c>
      <c r="C402" s="1" t="n">
        <v>45967</v>
      </c>
      <c r="D402" t="inlineStr">
        <is>
          <t>DALARNAS LÄN</t>
        </is>
      </c>
      <c r="E402" t="inlineStr">
        <is>
          <t>MORA</t>
        </is>
      </c>
      <c r="F402" t="inlineStr">
        <is>
          <t>Bergvik skog öst AB</t>
        </is>
      </c>
      <c r="G402" t="n">
        <v>2</v>
      </c>
      <c r="H402" t="n">
        <v>0</v>
      </c>
      <c r="I402" t="n">
        <v>0</v>
      </c>
      <c r="J402" t="n">
        <v>0</v>
      </c>
      <c r="K402" t="n">
        <v>0</v>
      </c>
      <c r="L402" t="n">
        <v>0</v>
      </c>
      <c r="M402" t="n">
        <v>0</v>
      </c>
      <c r="N402" t="n">
        <v>0</v>
      </c>
      <c r="O402" t="n">
        <v>0</v>
      </c>
      <c r="P402" t="n">
        <v>0</v>
      </c>
      <c r="Q402" t="n">
        <v>0</v>
      </c>
      <c r="R402" s="2" t="inlineStr"/>
    </row>
    <row r="403" ht="15" customHeight="1">
      <c r="A403" t="inlineStr">
        <is>
          <t>A 47686-2025</t>
        </is>
      </c>
      <c r="B403" s="1" t="n">
        <v>45931</v>
      </c>
      <c r="C403" s="1" t="n">
        <v>45967</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57091-2021</t>
        </is>
      </c>
      <c r="B404" s="1" t="n">
        <v>44482</v>
      </c>
      <c r="C404" s="1" t="n">
        <v>45967</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63958-2023</t>
        </is>
      </c>
      <c r="B405" s="1" t="n">
        <v>45278</v>
      </c>
      <c r="C405" s="1" t="n">
        <v>45967</v>
      </c>
      <c r="D405" t="inlineStr">
        <is>
          <t>DALARNAS LÄN</t>
        </is>
      </c>
      <c r="E405" t="inlineStr">
        <is>
          <t>MORA</t>
        </is>
      </c>
      <c r="G405" t="n">
        <v>1.9</v>
      </c>
      <c r="H405" t="n">
        <v>0</v>
      </c>
      <c r="I405" t="n">
        <v>0</v>
      </c>
      <c r="J405" t="n">
        <v>0</v>
      </c>
      <c r="K405" t="n">
        <v>0</v>
      </c>
      <c r="L405" t="n">
        <v>0</v>
      </c>
      <c r="M405" t="n">
        <v>0</v>
      </c>
      <c r="N405" t="n">
        <v>0</v>
      </c>
      <c r="O405" t="n">
        <v>0</v>
      </c>
      <c r="P405" t="n">
        <v>0</v>
      </c>
      <c r="Q405" t="n">
        <v>0</v>
      </c>
      <c r="R405" s="2" t="inlineStr"/>
    </row>
    <row r="406" ht="15" customHeight="1">
      <c r="A406" t="inlineStr">
        <is>
          <t>A 4994-2025</t>
        </is>
      </c>
      <c r="B406" s="1" t="n">
        <v>45691.35427083333</v>
      </c>
      <c r="C406" s="1" t="n">
        <v>45967</v>
      </c>
      <c r="D406" t="inlineStr">
        <is>
          <t>DALARNAS LÄN</t>
        </is>
      </c>
      <c r="E406" t="inlineStr">
        <is>
          <t>MORA</t>
        </is>
      </c>
      <c r="G406" t="n">
        <v>4.6</v>
      </c>
      <c r="H406" t="n">
        <v>0</v>
      </c>
      <c r="I406" t="n">
        <v>0</v>
      </c>
      <c r="J406" t="n">
        <v>0</v>
      </c>
      <c r="K406" t="n">
        <v>0</v>
      </c>
      <c r="L406" t="n">
        <v>0</v>
      </c>
      <c r="M406" t="n">
        <v>0</v>
      </c>
      <c r="N406" t="n">
        <v>0</v>
      </c>
      <c r="O406" t="n">
        <v>0</v>
      </c>
      <c r="P406" t="n">
        <v>0</v>
      </c>
      <c r="Q406" t="n">
        <v>0</v>
      </c>
      <c r="R406" s="2" t="inlineStr"/>
    </row>
    <row r="407" ht="15" customHeight="1">
      <c r="A407" t="inlineStr">
        <is>
          <t>A 52908-2023</t>
        </is>
      </c>
      <c r="B407" s="1" t="n">
        <v>45226.49950231481</v>
      </c>
      <c r="C407" s="1" t="n">
        <v>45967</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19896-2021</t>
        </is>
      </c>
      <c r="B408" s="1" t="n">
        <v>44313.54942129629</v>
      </c>
      <c r="C408" s="1" t="n">
        <v>45967</v>
      </c>
      <c r="D408" t="inlineStr">
        <is>
          <t>DALARNAS LÄN</t>
        </is>
      </c>
      <c r="E408" t="inlineStr">
        <is>
          <t>MORA</t>
        </is>
      </c>
      <c r="G408" t="n">
        <v>1.8</v>
      </c>
      <c r="H408" t="n">
        <v>0</v>
      </c>
      <c r="I408" t="n">
        <v>0</v>
      </c>
      <c r="J408" t="n">
        <v>0</v>
      </c>
      <c r="K408" t="n">
        <v>0</v>
      </c>
      <c r="L408" t="n">
        <v>0</v>
      </c>
      <c r="M408" t="n">
        <v>0</v>
      </c>
      <c r="N408" t="n">
        <v>0</v>
      </c>
      <c r="O408" t="n">
        <v>0</v>
      </c>
      <c r="P408" t="n">
        <v>0</v>
      </c>
      <c r="Q408" t="n">
        <v>0</v>
      </c>
      <c r="R408" s="2" t="inlineStr"/>
    </row>
    <row r="409" ht="15" customHeight="1">
      <c r="A409" t="inlineStr">
        <is>
          <t>A 35287-2024</t>
        </is>
      </c>
      <c r="B409" s="1" t="n">
        <v>45530</v>
      </c>
      <c r="C409" s="1" t="n">
        <v>45967</v>
      </c>
      <c r="D409" t="inlineStr">
        <is>
          <t>DALARNAS LÄN</t>
        </is>
      </c>
      <c r="E409" t="inlineStr">
        <is>
          <t>MORA</t>
        </is>
      </c>
      <c r="G409" t="n">
        <v>1</v>
      </c>
      <c r="H409" t="n">
        <v>0</v>
      </c>
      <c r="I409" t="n">
        <v>0</v>
      </c>
      <c r="J409" t="n">
        <v>0</v>
      </c>
      <c r="K409" t="n">
        <v>0</v>
      </c>
      <c r="L409" t="n">
        <v>0</v>
      </c>
      <c r="M409" t="n">
        <v>0</v>
      </c>
      <c r="N409" t="n">
        <v>0</v>
      </c>
      <c r="O409" t="n">
        <v>0</v>
      </c>
      <c r="P409" t="n">
        <v>0</v>
      </c>
      <c r="Q409" t="n">
        <v>0</v>
      </c>
      <c r="R409" s="2" t="inlineStr"/>
    </row>
    <row r="410" ht="15" customHeight="1">
      <c r="A410" t="inlineStr">
        <is>
          <t>A 5309-2023</t>
        </is>
      </c>
      <c r="B410" s="1" t="n">
        <v>44956</v>
      </c>
      <c r="C410" s="1" t="n">
        <v>45967</v>
      </c>
      <c r="D410" t="inlineStr">
        <is>
          <t>DALARNAS LÄN</t>
        </is>
      </c>
      <c r="E410" t="inlineStr">
        <is>
          <t>MORA</t>
        </is>
      </c>
      <c r="G410" t="n">
        <v>1.1</v>
      </c>
      <c r="H410" t="n">
        <v>0</v>
      </c>
      <c r="I410" t="n">
        <v>0</v>
      </c>
      <c r="J410" t="n">
        <v>0</v>
      </c>
      <c r="K410" t="n">
        <v>0</v>
      </c>
      <c r="L410" t="n">
        <v>0</v>
      </c>
      <c r="M410" t="n">
        <v>0</v>
      </c>
      <c r="N410" t="n">
        <v>0</v>
      </c>
      <c r="O410" t="n">
        <v>0</v>
      </c>
      <c r="P410" t="n">
        <v>0</v>
      </c>
      <c r="Q410" t="n">
        <v>0</v>
      </c>
      <c r="R410" s="2" t="inlineStr"/>
    </row>
    <row r="411" ht="15" customHeight="1">
      <c r="A411" t="inlineStr">
        <is>
          <t>A 18702-2025</t>
        </is>
      </c>
      <c r="B411" s="1" t="n">
        <v>45763.63166666667</v>
      </c>
      <c r="C411" s="1" t="n">
        <v>45967</v>
      </c>
      <c r="D411" t="inlineStr">
        <is>
          <t>DALARNAS LÄN</t>
        </is>
      </c>
      <c r="E411" t="inlineStr">
        <is>
          <t>MORA</t>
        </is>
      </c>
      <c r="G411" t="n">
        <v>3.6</v>
      </c>
      <c r="H411" t="n">
        <v>0</v>
      </c>
      <c r="I411" t="n">
        <v>0</v>
      </c>
      <c r="J411" t="n">
        <v>0</v>
      </c>
      <c r="K411" t="n">
        <v>0</v>
      </c>
      <c r="L411" t="n">
        <v>0</v>
      </c>
      <c r="M411" t="n">
        <v>0</v>
      </c>
      <c r="N411" t="n">
        <v>0</v>
      </c>
      <c r="O411" t="n">
        <v>0</v>
      </c>
      <c r="P411" t="n">
        <v>0</v>
      </c>
      <c r="Q411" t="n">
        <v>0</v>
      </c>
      <c r="R411" s="2" t="inlineStr"/>
    </row>
    <row r="412" ht="15" customHeight="1">
      <c r="A412" t="inlineStr">
        <is>
          <t>A 51253-2023</t>
        </is>
      </c>
      <c r="B412" s="1" t="n">
        <v>45219</v>
      </c>
      <c r="C412" s="1" t="n">
        <v>45967</v>
      </c>
      <c r="D412" t="inlineStr">
        <is>
          <t>DALARNAS LÄN</t>
        </is>
      </c>
      <c r="E412" t="inlineStr">
        <is>
          <t>MORA</t>
        </is>
      </c>
      <c r="G412" t="n">
        <v>5</v>
      </c>
      <c r="H412" t="n">
        <v>0</v>
      </c>
      <c r="I412" t="n">
        <v>0</v>
      </c>
      <c r="J412" t="n">
        <v>0</v>
      </c>
      <c r="K412" t="n">
        <v>0</v>
      </c>
      <c r="L412" t="n">
        <v>0</v>
      </c>
      <c r="M412" t="n">
        <v>0</v>
      </c>
      <c r="N412" t="n">
        <v>0</v>
      </c>
      <c r="O412" t="n">
        <v>0</v>
      </c>
      <c r="P412" t="n">
        <v>0</v>
      </c>
      <c r="Q412" t="n">
        <v>0</v>
      </c>
      <c r="R412" s="2" t="inlineStr"/>
    </row>
    <row r="413" ht="15" customHeight="1">
      <c r="A413" t="inlineStr">
        <is>
          <t>A 58116-2022</t>
        </is>
      </c>
      <c r="B413" s="1" t="n">
        <v>44900.65716435185</v>
      </c>
      <c r="C413" s="1" t="n">
        <v>45967</v>
      </c>
      <c r="D413" t="inlineStr">
        <is>
          <t>DALARNAS LÄN</t>
        </is>
      </c>
      <c r="E413" t="inlineStr">
        <is>
          <t>MORA</t>
        </is>
      </c>
      <c r="G413" t="n">
        <v>2.9</v>
      </c>
      <c r="H413" t="n">
        <v>0</v>
      </c>
      <c r="I413" t="n">
        <v>0</v>
      </c>
      <c r="J413" t="n">
        <v>0</v>
      </c>
      <c r="K413" t="n">
        <v>0</v>
      </c>
      <c r="L413" t="n">
        <v>0</v>
      </c>
      <c r="M413" t="n">
        <v>0</v>
      </c>
      <c r="N413" t="n">
        <v>0</v>
      </c>
      <c r="O413" t="n">
        <v>0</v>
      </c>
      <c r="P413" t="n">
        <v>0</v>
      </c>
      <c r="Q413" t="n">
        <v>0</v>
      </c>
      <c r="R413" s="2" t="inlineStr"/>
    </row>
    <row r="414" ht="15" customHeight="1">
      <c r="A414" t="inlineStr">
        <is>
          <t>A 12478-2025</t>
        </is>
      </c>
      <c r="B414" s="1" t="n">
        <v>45730.57429398148</v>
      </c>
      <c r="C414" s="1" t="n">
        <v>45967</v>
      </c>
      <c r="D414" t="inlineStr">
        <is>
          <t>DALARNAS LÄN</t>
        </is>
      </c>
      <c r="E414" t="inlineStr">
        <is>
          <t>MORA</t>
        </is>
      </c>
      <c r="F414" t="inlineStr">
        <is>
          <t>Bergvik skog öst AB</t>
        </is>
      </c>
      <c r="G414" t="n">
        <v>1.6</v>
      </c>
      <c r="H414" t="n">
        <v>0</v>
      </c>
      <c r="I414" t="n">
        <v>0</v>
      </c>
      <c r="J414" t="n">
        <v>0</v>
      </c>
      <c r="K414" t="n">
        <v>0</v>
      </c>
      <c r="L414" t="n">
        <v>0</v>
      </c>
      <c r="M414" t="n">
        <v>0</v>
      </c>
      <c r="N414" t="n">
        <v>0</v>
      </c>
      <c r="O414" t="n">
        <v>0</v>
      </c>
      <c r="P414" t="n">
        <v>0</v>
      </c>
      <c r="Q414" t="n">
        <v>0</v>
      </c>
      <c r="R414" s="2" t="inlineStr"/>
    </row>
    <row r="415" ht="15" customHeight="1">
      <c r="A415" t="inlineStr">
        <is>
          <t>A 42319-2025</t>
        </is>
      </c>
      <c r="B415" s="1" t="n">
        <v>45903</v>
      </c>
      <c r="C415" s="1" t="n">
        <v>45967</v>
      </c>
      <c r="D415" t="inlineStr">
        <is>
          <t>DALARNAS LÄN</t>
        </is>
      </c>
      <c r="E415" t="inlineStr">
        <is>
          <t>MORA</t>
        </is>
      </c>
      <c r="G415" t="n">
        <v>2.3</v>
      </c>
      <c r="H415" t="n">
        <v>0</v>
      </c>
      <c r="I415" t="n">
        <v>0</v>
      </c>
      <c r="J415" t="n">
        <v>0</v>
      </c>
      <c r="K415" t="n">
        <v>0</v>
      </c>
      <c r="L415" t="n">
        <v>0</v>
      </c>
      <c r="M415" t="n">
        <v>0</v>
      </c>
      <c r="N415" t="n">
        <v>0</v>
      </c>
      <c r="O415" t="n">
        <v>0</v>
      </c>
      <c r="P415" t="n">
        <v>0</v>
      </c>
      <c r="Q415" t="n">
        <v>0</v>
      </c>
      <c r="R415" s="2" t="inlineStr"/>
    </row>
    <row r="416" ht="15" customHeight="1">
      <c r="A416" t="inlineStr">
        <is>
          <t>A 30030-2021</t>
        </is>
      </c>
      <c r="B416" s="1" t="n">
        <v>44363</v>
      </c>
      <c r="C416" s="1" t="n">
        <v>45967</v>
      </c>
      <c r="D416" t="inlineStr">
        <is>
          <t>DALARNAS LÄN</t>
        </is>
      </c>
      <c r="E416" t="inlineStr">
        <is>
          <t>MORA</t>
        </is>
      </c>
      <c r="G416" t="n">
        <v>7.1</v>
      </c>
      <c r="H416" t="n">
        <v>0</v>
      </c>
      <c r="I416" t="n">
        <v>0</v>
      </c>
      <c r="J416" t="n">
        <v>0</v>
      </c>
      <c r="K416" t="n">
        <v>0</v>
      </c>
      <c r="L416" t="n">
        <v>0</v>
      </c>
      <c r="M416" t="n">
        <v>0</v>
      </c>
      <c r="N416" t="n">
        <v>0</v>
      </c>
      <c r="O416" t="n">
        <v>0</v>
      </c>
      <c r="P416" t="n">
        <v>0</v>
      </c>
      <c r="Q416" t="n">
        <v>0</v>
      </c>
      <c r="R416" s="2" t="inlineStr"/>
    </row>
    <row r="417" ht="15" customHeight="1">
      <c r="A417" t="inlineStr">
        <is>
          <t>A 31085-2024</t>
        </is>
      </c>
      <c r="B417" s="1" t="n">
        <v>45502.48047453703</v>
      </c>
      <c r="C417" s="1" t="n">
        <v>45967</v>
      </c>
      <c r="D417" t="inlineStr">
        <is>
          <t>DALARNAS LÄN</t>
        </is>
      </c>
      <c r="E417" t="inlineStr">
        <is>
          <t>MORA</t>
        </is>
      </c>
      <c r="G417" t="n">
        <v>1.6</v>
      </c>
      <c r="H417" t="n">
        <v>0</v>
      </c>
      <c r="I417" t="n">
        <v>0</v>
      </c>
      <c r="J417" t="n">
        <v>0</v>
      </c>
      <c r="K417" t="n">
        <v>0</v>
      </c>
      <c r="L417" t="n">
        <v>0</v>
      </c>
      <c r="M417" t="n">
        <v>0</v>
      </c>
      <c r="N417" t="n">
        <v>0</v>
      </c>
      <c r="O417" t="n">
        <v>0</v>
      </c>
      <c r="P417" t="n">
        <v>0</v>
      </c>
      <c r="Q417" t="n">
        <v>0</v>
      </c>
      <c r="R417" s="2" t="inlineStr"/>
    </row>
    <row r="418" ht="15" customHeight="1">
      <c r="A418" t="inlineStr">
        <is>
          <t>A 33666-2024</t>
        </is>
      </c>
      <c r="B418" s="1" t="n">
        <v>45520.48304398148</v>
      </c>
      <c r="C418" s="1" t="n">
        <v>45967</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42941-2024</t>
        </is>
      </c>
      <c r="B419" s="1" t="n">
        <v>45567.3515162037</v>
      </c>
      <c r="C419" s="1" t="n">
        <v>45967</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44071-2024</t>
        </is>
      </c>
      <c r="B420" s="1" t="n">
        <v>45572.60915509259</v>
      </c>
      <c r="C420" s="1" t="n">
        <v>45967</v>
      </c>
      <c r="D420" t="inlineStr">
        <is>
          <t>DALARNAS LÄN</t>
        </is>
      </c>
      <c r="E420" t="inlineStr">
        <is>
          <t>MORA</t>
        </is>
      </c>
      <c r="G420" t="n">
        <v>4.5</v>
      </c>
      <c r="H420" t="n">
        <v>0</v>
      </c>
      <c r="I420" t="n">
        <v>0</v>
      </c>
      <c r="J420" t="n">
        <v>0</v>
      </c>
      <c r="K420" t="n">
        <v>0</v>
      </c>
      <c r="L420" t="n">
        <v>0</v>
      </c>
      <c r="M420" t="n">
        <v>0</v>
      </c>
      <c r="N420" t="n">
        <v>0</v>
      </c>
      <c r="O420" t="n">
        <v>0</v>
      </c>
      <c r="P420" t="n">
        <v>0</v>
      </c>
      <c r="Q420" t="n">
        <v>0</v>
      </c>
      <c r="R420" s="2" t="inlineStr"/>
    </row>
    <row r="421" ht="15" customHeight="1">
      <c r="A421" t="inlineStr">
        <is>
          <t>A 12490-2025</t>
        </is>
      </c>
      <c r="B421" s="1" t="n">
        <v>45730.59239583334</v>
      </c>
      <c r="C421" s="1" t="n">
        <v>45967</v>
      </c>
      <c r="D421" t="inlineStr">
        <is>
          <t>DALARNAS LÄN</t>
        </is>
      </c>
      <c r="E421" t="inlineStr">
        <is>
          <t>MORA</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41855-2025</t>
        </is>
      </c>
      <c r="B422" s="1" t="n">
        <v>45902.93693287037</v>
      </c>
      <c r="C422" s="1" t="n">
        <v>45967</v>
      </c>
      <c r="D422" t="inlineStr">
        <is>
          <t>DALARNAS LÄN</t>
        </is>
      </c>
      <c r="E422" t="inlineStr">
        <is>
          <t>MORA</t>
        </is>
      </c>
      <c r="G422" t="n">
        <v>0.5</v>
      </c>
      <c r="H422" t="n">
        <v>0</v>
      </c>
      <c r="I422" t="n">
        <v>0</v>
      </c>
      <c r="J422" t="n">
        <v>0</v>
      </c>
      <c r="K422" t="n">
        <v>0</v>
      </c>
      <c r="L422" t="n">
        <v>0</v>
      </c>
      <c r="M422" t="n">
        <v>0</v>
      </c>
      <c r="N422" t="n">
        <v>0</v>
      </c>
      <c r="O422" t="n">
        <v>0</v>
      </c>
      <c r="P422" t="n">
        <v>0</v>
      </c>
      <c r="Q422" t="n">
        <v>0</v>
      </c>
      <c r="R422" s="2" t="inlineStr"/>
    </row>
    <row r="423" ht="15" customHeight="1">
      <c r="A423" t="inlineStr">
        <is>
          <t>A 42112-2025</t>
        </is>
      </c>
      <c r="B423" s="1" t="n">
        <v>45904.32134259259</v>
      </c>
      <c r="C423" s="1" t="n">
        <v>45967</v>
      </c>
      <c r="D423" t="inlineStr">
        <is>
          <t>DALARNAS LÄN</t>
        </is>
      </c>
      <c r="E423" t="inlineStr">
        <is>
          <t>MORA</t>
        </is>
      </c>
      <c r="G423" t="n">
        <v>1.1</v>
      </c>
      <c r="H423" t="n">
        <v>0</v>
      </c>
      <c r="I423" t="n">
        <v>0</v>
      </c>
      <c r="J423" t="n">
        <v>0</v>
      </c>
      <c r="K423" t="n">
        <v>0</v>
      </c>
      <c r="L423" t="n">
        <v>0</v>
      </c>
      <c r="M423" t="n">
        <v>0</v>
      </c>
      <c r="N423" t="n">
        <v>0</v>
      </c>
      <c r="O423" t="n">
        <v>0</v>
      </c>
      <c r="P423" t="n">
        <v>0</v>
      </c>
      <c r="Q423" t="n">
        <v>0</v>
      </c>
      <c r="R423" s="2" t="inlineStr"/>
    </row>
    <row r="424" ht="15" customHeight="1">
      <c r="A424" t="inlineStr">
        <is>
          <t>A 56900-2024</t>
        </is>
      </c>
      <c r="B424" s="1" t="n">
        <v>45625</v>
      </c>
      <c r="C424" s="1" t="n">
        <v>45967</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39674-2023</t>
        </is>
      </c>
      <c r="B425" s="1" t="n">
        <v>45167</v>
      </c>
      <c r="C425" s="1" t="n">
        <v>45967</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53341-2023</t>
        </is>
      </c>
      <c r="B426" s="1" t="n">
        <v>45229</v>
      </c>
      <c r="C426" s="1" t="n">
        <v>45967</v>
      </c>
      <c r="D426" t="inlineStr">
        <is>
          <t>DALARNAS LÄN</t>
        </is>
      </c>
      <c r="E426" t="inlineStr">
        <is>
          <t>MORA</t>
        </is>
      </c>
      <c r="G426" t="n">
        <v>2.1</v>
      </c>
      <c r="H426" t="n">
        <v>0</v>
      </c>
      <c r="I426" t="n">
        <v>0</v>
      </c>
      <c r="J426" t="n">
        <v>0</v>
      </c>
      <c r="K426" t="n">
        <v>0</v>
      </c>
      <c r="L426" t="n">
        <v>0</v>
      </c>
      <c r="M426" t="n">
        <v>0</v>
      </c>
      <c r="N426" t="n">
        <v>0</v>
      </c>
      <c r="O426" t="n">
        <v>0</v>
      </c>
      <c r="P426" t="n">
        <v>0</v>
      </c>
      <c r="Q426" t="n">
        <v>0</v>
      </c>
      <c r="R426" s="2" t="inlineStr"/>
    </row>
    <row r="427" ht="15" customHeight="1">
      <c r="A427" t="inlineStr">
        <is>
          <t>A 21410-2023</t>
        </is>
      </c>
      <c r="B427" s="1" t="n">
        <v>45063</v>
      </c>
      <c r="C427" s="1" t="n">
        <v>45967</v>
      </c>
      <c r="D427" t="inlineStr">
        <is>
          <t>DALARNAS LÄN</t>
        </is>
      </c>
      <c r="E427" t="inlineStr">
        <is>
          <t>MORA</t>
        </is>
      </c>
      <c r="G427" t="n">
        <v>7</v>
      </c>
      <c r="H427" t="n">
        <v>0</v>
      </c>
      <c r="I427" t="n">
        <v>0</v>
      </c>
      <c r="J427" t="n">
        <v>0</v>
      </c>
      <c r="K427" t="n">
        <v>0</v>
      </c>
      <c r="L427" t="n">
        <v>0</v>
      </c>
      <c r="M427" t="n">
        <v>0</v>
      </c>
      <c r="N427" t="n">
        <v>0</v>
      </c>
      <c r="O427" t="n">
        <v>0</v>
      </c>
      <c r="P427" t="n">
        <v>0</v>
      </c>
      <c r="Q427" t="n">
        <v>0</v>
      </c>
      <c r="R427" s="2" t="inlineStr"/>
    </row>
    <row r="428" ht="15" customHeight="1">
      <c r="A428" t="inlineStr">
        <is>
          <t>A 56927-2024</t>
        </is>
      </c>
      <c r="B428" s="1" t="n">
        <v>45625</v>
      </c>
      <c r="C428" s="1" t="n">
        <v>45967</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5001-2025</t>
        </is>
      </c>
      <c r="B429" s="1" t="n">
        <v>45691.36403935185</v>
      </c>
      <c r="C429" s="1" t="n">
        <v>45967</v>
      </c>
      <c r="D429" t="inlineStr">
        <is>
          <t>DALARNAS LÄN</t>
        </is>
      </c>
      <c r="E429" t="inlineStr">
        <is>
          <t>MORA</t>
        </is>
      </c>
      <c r="G429" t="n">
        <v>1.3</v>
      </c>
      <c r="H429" t="n">
        <v>0</v>
      </c>
      <c r="I429" t="n">
        <v>0</v>
      </c>
      <c r="J429" t="n">
        <v>0</v>
      </c>
      <c r="K429" t="n">
        <v>0</v>
      </c>
      <c r="L429" t="n">
        <v>0</v>
      </c>
      <c r="M429" t="n">
        <v>0</v>
      </c>
      <c r="N429" t="n">
        <v>0</v>
      </c>
      <c r="O429" t="n">
        <v>0</v>
      </c>
      <c r="P429" t="n">
        <v>0</v>
      </c>
      <c r="Q429" t="n">
        <v>0</v>
      </c>
      <c r="R429" s="2" t="inlineStr"/>
    </row>
    <row r="430" ht="15" customHeight="1">
      <c r="A430" t="inlineStr">
        <is>
          <t>A 46801-2022</t>
        </is>
      </c>
      <c r="B430" s="1" t="n">
        <v>44851</v>
      </c>
      <c r="C430" s="1" t="n">
        <v>45967</v>
      </c>
      <c r="D430" t="inlineStr">
        <is>
          <t>DALARNAS LÄN</t>
        </is>
      </c>
      <c r="E430" t="inlineStr">
        <is>
          <t>MORA</t>
        </is>
      </c>
      <c r="G430" t="n">
        <v>1.5</v>
      </c>
      <c r="H430" t="n">
        <v>0</v>
      </c>
      <c r="I430" t="n">
        <v>0</v>
      </c>
      <c r="J430" t="n">
        <v>0</v>
      </c>
      <c r="K430" t="n">
        <v>0</v>
      </c>
      <c r="L430" t="n">
        <v>0</v>
      </c>
      <c r="M430" t="n">
        <v>0</v>
      </c>
      <c r="N430" t="n">
        <v>0</v>
      </c>
      <c r="O430" t="n">
        <v>0</v>
      </c>
      <c r="P430" t="n">
        <v>0</v>
      </c>
      <c r="Q430" t="n">
        <v>0</v>
      </c>
      <c r="R430" s="2" t="inlineStr"/>
    </row>
    <row r="431" ht="15" customHeight="1">
      <c r="A431" t="inlineStr">
        <is>
          <t>A 55691-2023</t>
        </is>
      </c>
      <c r="B431" s="1" t="n">
        <v>45239.36509259259</v>
      </c>
      <c r="C431" s="1" t="n">
        <v>45967</v>
      </c>
      <c r="D431" t="inlineStr">
        <is>
          <t>DALARNAS LÄN</t>
        </is>
      </c>
      <c r="E431" t="inlineStr">
        <is>
          <t>MORA</t>
        </is>
      </c>
      <c r="G431" t="n">
        <v>2.2</v>
      </c>
      <c r="H431" t="n">
        <v>0</v>
      </c>
      <c r="I431" t="n">
        <v>0</v>
      </c>
      <c r="J431" t="n">
        <v>0</v>
      </c>
      <c r="K431" t="n">
        <v>0</v>
      </c>
      <c r="L431" t="n">
        <v>0</v>
      </c>
      <c r="M431" t="n">
        <v>0</v>
      </c>
      <c r="N431" t="n">
        <v>0</v>
      </c>
      <c r="O431" t="n">
        <v>0</v>
      </c>
      <c r="P431" t="n">
        <v>0</v>
      </c>
      <c r="Q431" t="n">
        <v>0</v>
      </c>
      <c r="R431" s="2" t="inlineStr"/>
    </row>
    <row r="432" ht="15" customHeight="1">
      <c r="A432" t="inlineStr">
        <is>
          <t>A 70141-2021</t>
        </is>
      </c>
      <c r="B432" s="1" t="n">
        <v>44533</v>
      </c>
      <c r="C432" s="1" t="n">
        <v>45967</v>
      </c>
      <c r="D432" t="inlineStr">
        <is>
          <t>DALARNAS LÄN</t>
        </is>
      </c>
      <c r="E432" t="inlineStr">
        <is>
          <t>MORA</t>
        </is>
      </c>
      <c r="G432" t="n">
        <v>4.1</v>
      </c>
      <c r="H432" t="n">
        <v>0</v>
      </c>
      <c r="I432" t="n">
        <v>0</v>
      </c>
      <c r="J432" t="n">
        <v>0</v>
      </c>
      <c r="K432" t="n">
        <v>0</v>
      </c>
      <c r="L432" t="n">
        <v>0</v>
      </c>
      <c r="M432" t="n">
        <v>0</v>
      </c>
      <c r="N432" t="n">
        <v>0</v>
      </c>
      <c r="O432" t="n">
        <v>0</v>
      </c>
      <c r="P432" t="n">
        <v>0</v>
      </c>
      <c r="Q432" t="n">
        <v>0</v>
      </c>
      <c r="R432" s="2" t="inlineStr"/>
    </row>
    <row r="433" ht="15" customHeight="1">
      <c r="A433" t="inlineStr">
        <is>
          <t>A 54903-2024</t>
        </is>
      </c>
      <c r="B433" s="1" t="n">
        <v>45618</v>
      </c>
      <c r="C433" s="1" t="n">
        <v>45967</v>
      </c>
      <c r="D433" t="inlineStr">
        <is>
          <t>DALARNAS LÄN</t>
        </is>
      </c>
      <c r="E433" t="inlineStr">
        <is>
          <t>MORA</t>
        </is>
      </c>
      <c r="G433" t="n">
        <v>28.2</v>
      </c>
      <c r="H433" t="n">
        <v>0</v>
      </c>
      <c r="I433" t="n">
        <v>0</v>
      </c>
      <c r="J433" t="n">
        <v>0</v>
      </c>
      <c r="K433" t="n">
        <v>0</v>
      </c>
      <c r="L433" t="n">
        <v>0</v>
      </c>
      <c r="M433" t="n">
        <v>0</v>
      </c>
      <c r="N433" t="n">
        <v>0</v>
      </c>
      <c r="O433" t="n">
        <v>0</v>
      </c>
      <c r="P433" t="n">
        <v>0</v>
      </c>
      <c r="Q433" t="n">
        <v>0</v>
      </c>
      <c r="R433" s="2" t="inlineStr"/>
    </row>
    <row r="434" ht="15" customHeight="1">
      <c r="A434" t="inlineStr">
        <is>
          <t>A 56767-2023</t>
        </is>
      </c>
      <c r="B434" s="1" t="n">
        <v>45244</v>
      </c>
      <c r="C434" s="1" t="n">
        <v>45967</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40949-2023</t>
        </is>
      </c>
      <c r="B435" s="1" t="n">
        <v>45173</v>
      </c>
      <c r="C435" s="1" t="n">
        <v>45967</v>
      </c>
      <c r="D435" t="inlineStr">
        <is>
          <t>DALARNAS LÄN</t>
        </is>
      </c>
      <c r="E435" t="inlineStr">
        <is>
          <t>MORA</t>
        </is>
      </c>
      <c r="F435" t="inlineStr">
        <is>
          <t>Kyrkan</t>
        </is>
      </c>
      <c r="G435" t="n">
        <v>0.5</v>
      </c>
      <c r="H435" t="n">
        <v>0</v>
      </c>
      <c r="I435" t="n">
        <v>0</v>
      </c>
      <c r="J435" t="n">
        <v>0</v>
      </c>
      <c r="K435" t="n">
        <v>0</v>
      </c>
      <c r="L435" t="n">
        <v>0</v>
      </c>
      <c r="M435" t="n">
        <v>0</v>
      </c>
      <c r="N435" t="n">
        <v>0</v>
      </c>
      <c r="O435" t="n">
        <v>0</v>
      </c>
      <c r="P435" t="n">
        <v>0</v>
      </c>
      <c r="Q435" t="n">
        <v>0</v>
      </c>
      <c r="R435" s="2" t="inlineStr"/>
    </row>
    <row r="436" ht="15" customHeight="1">
      <c r="A436" t="inlineStr">
        <is>
          <t>A 66232-2021</t>
        </is>
      </c>
      <c r="B436" s="1" t="n">
        <v>44518.39234953704</v>
      </c>
      <c r="C436" s="1" t="n">
        <v>45967</v>
      </c>
      <c r="D436" t="inlineStr">
        <is>
          <t>DALARNAS LÄN</t>
        </is>
      </c>
      <c r="E436" t="inlineStr">
        <is>
          <t>MORA</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42813-2025</t>
        </is>
      </c>
      <c r="B437" s="1" t="n">
        <v>45908.56168981481</v>
      </c>
      <c r="C437" s="1" t="n">
        <v>45967</v>
      </c>
      <c r="D437" t="inlineStr">
        <is>
          <t>DALARNAS LÄN</t>
        </is>
      </c>
      <c r="E437" t="inlineStr">
        <is>
          <t>MORA</t>
        </is>
      </c>
      <c r="G437" t="n">
        <v>4.3</v>
      </c>
      <c r="H437" t="n">
        <v>0</v>
      </c>
      <c r="I437" t="n">
        <v>0</v>
      </c>
      <c r="J437" t="n">
        <v>0</v>
      </c>
      <c r="K437" t="n">
        <v>0</v>
      </c>
      <c r="L437" t="n">
        <v>0</v>
      </c>
      <c r="M437" t="n">
        <v>0</v>
      </c>
      <c r="N437" t="n">
        <v>0</v>
      </c>
      <c r="O437" t="n">
        <v>0</v>
      </c>
      <c r="P437" t="n">
        <v>0</v>
      </c>
      <c r="Q437" t="n">
        <v>0</v>
      </c>
      <c r="R437" s="2" t="inlineStr"/>
    </row>
    <row r="438" ht="15" customHeight="1">
      <c r="A438" t="inlineStr">
        <is>
          <t>A 54192-2023</t>
        </is>
      </c>
      <c r="B438" s="1" t="n">
        <v>45232.53052083333</v>
      </c>
      <c r="C438" s="1" t="n">
        <v>45967</v>
      </c>
      <c r="D438" t="inlineStr">
        <is>
          <t>DALARNAS LÄN</t>
        </is>
      </c>
      <c r="E438" t="inlineStr">
        <is>
          <t>MORA</t>
        </is>
      </c>
      <c r="G438" t="n">
        <v>3.4</v>
      </c>
      <c r="H438" t="n">
        <v>0</v>
      </c>
      <c r="I438" t="n">
        <v>0</v>
      </c>
      <c r="J438" t="n">
        <v>0</v>
      </c>
      <c r="K438" t="n">
        <v>0</v>
      </c>
      <c r="L438" t="n">
        <v>0</v>
      </c>
      <c r="M438" t="n">
        <v>0</v>
      </c>
      <c r="N438" t="n">
        <v>0</v>
      </c>
      <c r="O438" t="n">
        <v>0</v>
      </c>
      <c r="P438" t="n">
        <v>0</v>
      </c>
      <c r="Q438" t="n">
        <v>0</v>
      </c>
      <c r="R438" s="2" t="inlineStr"/>
    </row>
    <row r="439" ht="15" customHeight="1">
      <c r="A439" t="inlineStr">
        <is>
          <t>A 59404-2024</t>
        </is>
      </c>
      <c r="B439" s="1" t="n">
        <v>45638</v>
      </c>
      <c r="C439" s="1" t="n">
        <v>45967</v>
      </c>
      <c r="D439" t="inlineStr">
        <is>
          <t>DALARNAS LÄN</t>
        </is>
      </c>
      <c r="E439" t="inlineStr">
        <is>
          <t>MORA</t>
        </is>
      </c>
      <c r="G439" t="n">
        <v>2.6</v>
      </c>
      <c r="H439" t="n">
        <v>0</v>
      </c>
      <c r="I439" t="n">
        <v>0</v>
      </c>
      <c r="J439" t="n">
        <v>0</v>
      </c>
      <c r="K439" t="n">
        <v>0</v>
      </c>
      <c r="L439" t="n">
        <v>0</v>
      </c>
      <c r="M439" t="n">
        <v>0</v>
      </c>
      <c r="N439" t="n">
        <v>0</v>
      </c>
      <c r="O439" t="n">
        <v>0</v>
      </c>
      <c r="P439" t="n">
        <v>0</v>
      </c>
      <c r="Q439" t="n">
        <v>0</v>
      </c>
      <c r="R439" s="2" t="inlineStr"/>
    </row>
    <row r="440" ht="15" customHeight="1">
      <c r="A440" t="inlineStr">
        <is>
          <t>A 22185-2025</t>
        </is>
      </c>
      <c r="B440" s="1" t="n">
        <v>45785</v>
      </c>
      <c r="C440" s="1" t="n">
        <v>45967</v>
      </c>
      <c r="D440" t="inlineStr">
        <is>
          <t>DALARNAS LÄN</t>
        </is>
      </c>
      <c r="E440" t="inlineStr">
        <is>
          <t>MORA</t>
        </is>
      </c>
      <c r="G440" t="n">
        <v>2.4</v>
      </c>
      <c r="H440" t="n">
        <v>0</v>
      </c>
      <c r="I440" t="n">
        <v>0</v>
      </c>
      <c r="J440" t="n">
        <v>0</v>
      </c>
      <c r="K440" t="n">
        <v>0</v>
      </c>
      <c r="L440" t="n">
        <v>0</v>
      </c>
      <c r="M440" t="n">
        <v>0</v>
      </c>
      <c r="N440" t="n">
        <v>0</v>
      </c>
      <c r="O440" t="n">
        <v>0</v>
      </c>
      <c r="P440" t="n">
        <v>0</v>
      </c>
      <c r="Q440" t="n">
        <v>0</v>
      </c>
      <c r="R440" s="2" t="inlineStr"/>
    </row>
    <row r="441" ht="15" customHeight="1">
      <c r="A441" t="inlineStr">
        <is>
          <t>A 23368-2025</t>
        </is>
      </c>
      <c r="B441" s="1" t="n">
        <v>45791.70299768518</v>
      </c>
      <c r="C441" s="1" t="n">
        <v>45967</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56935-2024</t>
        </is>
      </c>
      <c r="B442" s="1" t="n">
        <v>45625</v>
      </c>
      <c r="C442" s="1" t="n">
        <v>45967</v>
      </c>
      <c r="D442" t="inlineStr">
        <is>
          <t>DALARNAS LÄN</t>
        </is>
      </c>
      <c r="E442" t="inlineStr">
        <is>
          <t>MORA</t>
        </is>
      </c>
      <c r="G442" t="n">
        <v>1.1</v>
      </c>
      <c r="H442" t="n">
        <v>0</v>
      </c>
      <c r="I442" t="n">
        <v>0</v>
      </c>
      <c r="J442" t="n">
        <v>0</v>
      </c>
      <c r="K442" t="n">
        <v>0</v>
      </c>
      <c r="L442" t="n">
        <v>0</v>
      </c>
      <c r="M442" t="n">
        <v>0</v>
      </c>
      <c r="N442" t="n">
        <v>0</v>
      </c>
      <c r="O442" t="n">
        <v>0</v>
      </c>
      <c r="P442" t="n">
        <v>0</v>
      </c>
      <c r="Q442" t="n">
        <v>0</v>
      </c>
      <c r="R442" s="2" t="inlineStr"/>
    </row>
    <row r="443" ht="15" customHeight="1">
      <c r="A443" t="inlineStr">
        <is>
          <t>A 23354-2022</t>
        </is>
      </c>
      <c r="B443" s="1" t="n">
        <v>44720</v>
      </c>
      <c r="C443" s="1" t="n">
        <v>45967</v>
      </c>
      <c r="D443" t="inlineStr">
        <is>
          <t>DALARNAS LÄN</t>
        </is>
      </c>
      <c r="E443" t="inlineStr">
        <is>
          <t>MORA</t>
        </is>
      </c>
      <c r="G443" t="n">
        <v>5.2</v>
      </c>
      <c r="H443" t="n">
        <v>0</v>
      </c>
      <c r="I443" t="n">
        <v>0</v>
      </c>
      <c r="J443" t="n">
        <v>0</v>
      </c>
      <c r="K443" t="n">
        <v>0</v>
      </c>
      <c r="L443" t="n">
        <v>0</v>
      </c>
      <c r="M443" t="n">
        <v>0</v>
      </c>
      <c r="N443" t="n">
        <v>0</v>
      </c>
      <c r="O443" t="n">
        <v>0</v>
      </c>
      <c r="P443" t="n">
        <v>0</v>
      </c>
      <c r="Q443" t="n">
        <v>0</v>
      </c>
      <c r="R443" s="2" t="inlineStr"/>
    </row>
    <row r="444" ht="15" customHeight="1">
      <c r="A444" t="inlineStr">
        <is>
          <t>A 34928-2022</t>
        </is>
      </c>
      <c r="B444" s="1" t="n">
        <v>44796.60479166666</v>
      </c>
      <c r="C444" s="1" t="n">
        <v>45967</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44307-2021</t>
        </is>
      </c>
      <c r="B445" s="1" t="n">
        <v>44435</v>
      </c>
      <c r="C445" s="1" t="n">
        <v>45967</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34272-2024</t>
        </is>
      </c>
      <c r="B446" s="1" t="n">
        <v>45524.61752314815</v>
      </c>
      <c r="C446" s="1" t="n">
        <v>45967</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9461-2025</t>
        </is>
      </c>
      <c r="B447" s="1" t="n">
        <v>45715.45341435185</v>
      </c>
      <c r="C447" s="1" t="n">
        <v>45967</v>
      </c>
      <c r="D447" t="inlineStr">
        <is>
          <t>DALARNAS LÄN</t>
        </is>
      </c>
      <c r="E447" t="inlineStr">
        <is>
          <t>MORA</t>
        </is>
      </c>
      <c r="G447" t="n">
        <v>1.8</v>
      </c>
      <c r="H447" t="n">
        <v>0</v>
      </c>
      <c r="I447" t="n">
        <v>0</v>
      </c>
      <c r="J447" t="n">
        <v>0</v>
      </c>
      <c r="K447" t="n">
        <v>0</v>
      </c>
      <c r="L447" t="n">
        <v>0</v>
      </c>
      <c r="M447" t="n">
        <v>0</v>
      </c>
      <c r="N447" t="n">
        <v>0</v>
      </c>
      <c r="O447" t="n">
        <v>0</v>
      </c>
      <c r="P447" t="n">
        <v>0</v>
      </c>
      <c r="Q447" t="n">
        <v>0</v>
      </c>
      <c r="R447" s="2" t="inlineStr"/>
    </row>
    <row r="448" ht="15" customHeight="1">
      <c r="A448" t="inlineStr">
        <is>
          <t>A 28131-2024</t>
        </is>
      </c>
      <c r="B448" s="1" t="n">
        <v>45476.68435185185</v>
      </c>
      <c r="C448" s="1" t="n">
        <v>45967</v>
      </c>
      <c r="D448" t="inlineStr">
        <is>
          <t>DALARNAS LÄN</t>
        </is>
      </c>
      <c r="E448" t="inlineStr">
        <is>
          <t>MORA</t>
        </is>
      </c>
      <c r="G448" t="n">
        <v>0.8</v>
      </c>
      <c r="H448" t="n">
        <v>0</v>
      </c>
      <c r="I448" t="n">
        <v>0</v>
      </c>
      <c r="J448" t="n">
        <v>0</v>
      </c>
      <c r="K448" t="n">
        <v>0</v>
      </c>
      <c r="L448" t="n">
        <v>0</v>
      </c>
      <c r="M448" t="n">
        <v>0</v>
      </c>
      <c r="N448" t="n">
        <v>0</v>
      </c>
      <c r="O448" t="n">
        <v>0</v>
      </c>
      <c r="P448" t="n">
        <v>0</v>
      </c>
      <c r="Q448" t="n">
        <v>0</v>
      </c>
      <c r="R448" s="2" t="inlineStr"/>
    </row>
    <row r="449" ht="15" customHeight="1">
      <c r="A449" t="inlineStr">
        <is>
          <t>A 28132-2024</t>
        </is>
      </c>
      <c r="B449" s="1" t="n">
        <v>45476.68616898148</v>
      </c>
      <c r="C449" s="1" t="n">
        <v>45967</v>
      </c>
      <c r="D449" t="inlineStr">
        <is>
          <t>DALARNAS LÄN</t>
        </is>
      </c>
      <c r="E449" t="inlineStr">
        <is>
          <t>MORA</t>
        </is>
      </c>
      <c r="G449" t="n">
        <v>0.2</v>
      </c>
      <c r="H449" t="n">
        <v>0</v>
      </c>
      <c r="I449" t="n">
        <v>0</v>
      </c>
      <c r="J449" t="n">
        <v>0</v>
      </c>
      <c r="K449" t="n">
        <v>0</v>
      </c>
      <c r="L449" t="n">
        <v>0</v>
      </c>
      <c r="M449" t="n">
        <v>0</v>
      </c>
      <c r="N449" t="n">
        <v>0</v>
      </c>
      <c r="O449" t="n">
        <v>0</v>
      </c>
      <c r="P449" t="n">
        <v>0</v>
      </c>
      <c r="Q449" t="n">
        <v>0</v>
      </c>
      <c r="R449" s="2" t="inlineStr"/>
    </row>
    <row r="450" ht="15" customHeight="1">
      <c r="A450" t="inlineStr">
        <is>
          <t>A 24127-2025</t>
        </is>
      </c>
      <c r="B450" s="1" t="n">
        <v>45796.63137731481</v>
      </c>
      <c r="C450" s="1" t="n">
        <v>45967</v>
      </c>
      <c r="D450" t="inlineStr">
        <is>
          <t>DALARNAS LÄN</t>
        </is>
      </c>
      <c r="E450" t="inlineStr">
        <is>
          <t>MORA</t>
        </is>
      </c>
      <c r="G450" t="n">
        <v>1.2</v>
      </c>
      <c r="H450" t="n">
        <v>0</v>
      </c>
      <c r="I450" t="n">
        <v>0</v>
      </c>
      <c r="J450" t="n">
        <v>0</v>
      </c>
      <c r="K450" t="n">
        <v>0</v>
      </c>
      <c r="L450" t="n">
        <v>0</v>
      </c>
      <c r="M450" t="n">
        <v>0</v>
      </c>
      <c r="N450" t="n">
        <v>0</v>
      </c>
      <c r="O450" t="n">
        <v>0</v>
      </c>
      <c r="P450" t="n">
        <v>0</v>
      </c>
      <c r="Q450" t="n">
        <v>0</v>
      </c>
      <c r="R450" s="2" t="inlineStr"/>
    </row>
    <row r="451" ht="15" customHeight="1">
      <c r="A451" t="inlineStr">
        <is>
          <t>A 14040-2023</t>
        </is>
      </c>
      <c r="B451" s="1" t="n">
        <v>45008.64575231481</v>
      </c>
      <c r="C451" s="1" t="n">
        <v>45967</v>
      </c>
      <c r="D451" t="inlineStr">
        <is>
          <t>DALARNAS LÄN</t>
        </is>
      </c>
      <c r="E451" t="inlineStr">
        <is>
          <t>MORA</t>
        </is>
      </c>
      <c r="G451" t="n">
        <v>1.3</v>
      </c>
      <c r="H451" t="n">
        <v>0</v>
      </c>
      <c r="I451" t="n">
        <v>0</v>
      </c>
      <c r="J451" t="n">
        <v>0</v>
      </c>
      <c r="K451" t="n">
        <v>0</v>
      </c>
      <c r="L451" t="n">
        <v>0</v>
      </c>
      <c r="M451" t="n">
        <v>0</v>
      </c>
      <c r="N451" t="n">
        <v>0</v>
      </c>
      <c r="O451" t="n">
        <v>0</v>
      </c>
      <c r="P451" t="n">
        <v>0</v>
      </c>
      <c r="Q451" t="n">
        <v>0</v>
      </c>
      <c r="R451" s="2" t="inlineStr"/>
    </row>
    <row r="452" ht="15" customHeight="1">
      <c r="A452" t="inlineStr">
        <is>
          <t>A 57608-2021</t>
        </is>
      </c>
      <c r="B452" s="1" t="n">
        <v>44484</v>
      </c>
      <c r="C452" s="1" t="n">
        <v>45967</v>
      </c>
      <c r="D452" t="inlineStr">
        <is>
          <t>DALARNAS LÄN</t>
        </is>
      </c>
      <c r="E452" t="inlineStr">
        <is>
          <t>MORA</t>
        </is>
      </c>
      <c r="G452" t="n">
        <v>6.3</v>
      </c>
      <c r="H452" t="n">
        <v>0</v>
      </c>
      <c r="I452" t="n">
        <v>0</v>
      </c>
      <c r="J452" t="n">
        <v>0</v>
      </c>
      <c r="K452" t="n">
        <v>0</v>
      </c>
      <c r="L452" t="n">
        <v>0</v>
      </c>
      <c r="M452" t="n">
        <v>0</v>
      </c>
      <c r="N452" t="n">
        <v>0</v>
      </c>
      <c r="O452" t="n">
        <v>0</v>
      </c>
      <c r="P452" t="n">
        <v>0</v>
      </c>
      <c r="Q452" t="n">
        <v>0</v>
      </c>
      <c r="R452" s="2" t="inlineStr"/>
    </row>
    <row r="453" ht="15" customHeight="1">
      <c r="A453" t="inlineStr">
        <is>
          <t>A 55331-2022</t>
        </is>
      </c>
      <c r="B453" s="1" t="n">
        <v>44887.43714120371</v>
      </c>
      <c r="C453" s="1" t="n">
        <v>45967</v>
      </c>
      <c r="D453" t="inlineStr">
        <is>
          <t>DALARNAS LÄN</t>
        </is>
      </c>
      <c r="E453" t="inlineStr">
        <is>
          <t>MORA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42830-2025</t>
        </is>
      </c>
      <c r="B454" s="1" t="n">
        <v>45908.57753472222</v>
      </c>
      <c r="C454" s="1" t="n">
        <v>45967</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23586-2023</t>
        </is>
      </c>
      <c r="B455" s="1" t="n">
        <v>45077</v>
      </c>
      <c r="C455" s="1" t="n">
        <v>45967</v>
      </c>
      <c r="D455" t="inlineStr">
        <is>
          <t>DALARNAS LÄN</t>
        </is>
      </c>
      <c r="E455" t="inlineStr">
        <is>
          <t>MORA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42947-2025</t>
        </is>
      </c>
      <c r="B456" s="1" t="n">
        <v>45909.34799768519</v>
      </c>
      <c r="C456" s="1" t="n">
        <v>45967</v>
      </c>
      <c r="D456" t="inlineStr">
        <is>
          <t>DALARNAS LÄN</t>
        </is>
      </c>
      <c r="E456" t="inlineStr">
        <is>
          <t>MORA</t>
        </is>
      </c>
      <c r="F456" t="inlineStr">
        <is>
          <t>Allmännings- och besparingsskogar</t>
        </is>
      </c>
      <c r="G456" t="n">
        <v>6.2</v>
      </c>
      <c r="H456" t="n">
        <v>0</v>
      </c>
      <c r="I456" t="n">
        <v>0</v>
      </c>
      <c r="J456" t="n">
        <v>0</v>
      </c>
      <c r="K456" t="n">
        <v>0</v>
      </c>
      <c r="L456" t="n">
        <v>0</v>
      </c>
      <c r="M456" t="n">
        <v>0</v>
      </c>
      <c r="N456" t="n">
        <v>0</v>
      </c>
      <c r="O456" t="n">
        <v>0</v>
      </c>
      <c r="P456" t="n">
        <v>0</v>
      </c>
      <c r="Q456" t="n">
        <v>0</v>
      </c>
      <c r="R456" s="2" t="inlineStr"/>
    </row>
    <row r="457" ht="15" customHeight="1">
      <c r="A457" t="inlineStr">
        <is>
          <t>A 42954-2025</t>
        </is>
      </c>
      <c r="B457" s="1" t="n">
        <v>45909.3578125</v>
      </c>
      <c r="C457" s="1" t="n">
        <v>45967</v>
      </c>
      <c r="D457" t="inlineStr">
        <is>
          <t>DALARNAS LÄN</t>
        </is>
      </c>
      <c r="E457" t="inlineStr">
        <is>
          <t>MORA</t>
        </is>
      </c>
      <c r="G457" t="n">
        <v>2.5</v>
      </c>
      <c r="H457" t="n">
        <v>0</v>
      </c>
      <c r="I457" t="n">
        <v>0</v>
      </c>
      <c r="J457" t="n">
        <v>0</v>
      </c>
      <c r="K457" t="n">
        <v>0</v>
      </c>
      <c r="L457" t="n">
        <v>0</v>
      </c>
      <c r="M457" t="n">
        <v>0</v>
      </c>
      <c r="N457" t="n">
        <v>0</v>
      </c>
      <c r="O457" t="n">
        <v>0</v>
      </c>
      <c r="P457" t="n">
        <v>0</v>
      </c>
      <c r="Q457" t="n">
        <v>0</v>
      </c>
      <c r="R457" s="2" t="inlineStr"/>
    </row>
    <row r="458" ht="15" customHeight="1">
      <c r="A458" t="inlineStr">
        <is>
          <t>A 42960-2025</t>
        </is>
      </c>
      <c r="B458" s="1" t="n">
        <v>45909.36631944445</v>
      </c>
      <c r="C458" s="1" t="n">
        <v>45967</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45475-2023</t>
        </is>
      </c>
      <c r="B459" s="1" t="n">
        <v>45188</v>
      </c>
      <c r="C459" s="1" t="n">
        <v>45967</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11919-2024</t>
        </is>
      </c>
      <c r="B460" s="1" t="n">
        <v>45376.61019675926</v>
      </c>
      <c r="C460" s="1" t="n">
        <v>45967</v>
      </c>
      <c r="D460" t="inlineStr">
        <is>
          <t>DALARNAS LÄN</t>
        </is>
      </c>
      <c r="E460" t="inlineStr">
        <is>
          <t>MORA</t>
        </is>
      </c>
      <c r="G460" t="n">
        <v>3.5</v>
      </c>
      <c r="H460" t="n">
        <v>0</v>
      </c>
      <c r="I460" t="n">
        <v>0</v>
      </c>
      <c r="J460" t="n">
        <v>0</v>
      </c>
      <c r="K460" t="n">
        <v>0</v>
      </c>
      <c r="L460" t="n">
        <v>0</v>
      </c>
      <c r="M460" t="n">
        <v>0</v>
      </c>
      <c r="N460" t="n">
        <v>0</v>
      </c>
      <c r="O460" t="n">
        <v>0</v>
      </c>
      <c r="P460" t="n">
        <v>0</v>
      </c>
      <c r="Q460" t="n">
        <v>0</v>
      </c>
      <c r="R460" s="2" t="inlineStr"/>
    </row>
    <row r="461" ht="15" customHeight="1">
      <c r="A461" t="inlineStr">
        <is>
          <t>A 5644-2024</t>
        </is>
      </c>
      <c r="B461" s="1" t="n">
        <v>45334</v>
      </c>
      <c r="C461" s="1" t="n">
        <v>45967</v>
      </c>
      <c r="D461" t="inlineStr">
        <is>
          <t>DALARNAS LÄN</t>
        </is>
      </c>
      <c r="E461" t="inlineStr">
        <is>
          <t>MORA</t>
        </is>
      </c>
      <c r="F461" t="inlineStr">
        <is>
          <t>Bergvik skog väst AB</t>
        </is>
      </c>
      <c r="G461" t="n">
        <v>0.6</v>
      </c>
      <c r="H461" t="n">
        <v>0</v>
      </c>
      <c r="I461" t="n">
        <v>0</v>
      </c>
      <c r="J461" t="n">
        <v>0</v>
      </c>
      <c r="K461" t="n">
        <v>0</v>
      </c>
      <c r="L461" t="n">
        <v>0</v>
      </c>
      <c r="M461" t="n">
        <v>0</v>
      </c>
      <c r="N461" t="n">
        <v>0</v>
      </c>
      <c r="O461" t="n">
        <v>0</v>
      </c>
      <c r="P461" t="n">
        <v>0</v>
      </c>
      <c r="Q461" t="n">
        <v>0</v>
      </c>
      <c r="R461" s="2" t="inlineStr"/>
    </row>
    <row r="462" ht="15" customHeight="1">
      <c r="A462" t="inlineStr">
        <is>
          <t>A 51771-2025</t>
        </is>
      </c>
      <c r="B462" s="1" t="n">
        <v>45951.64653935185</v>
      </c>
      <c r="C462" s="1" t="n">
        <v>45967</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62854-2023</t>
        </is>
      </c>
      <c r="B463" s="1" t="n">
        <v>45272</v>
      </c>
      <c r="C463" s="1" t="n">
        <v>45967</v>
      </c>
      <c r="D463" t="inlineStr">
        <is>
          <t>DALARNAS LÄN</t>
        </is>
      </c>
      <c r="E463" t="inlineStr">
        <is>
          <t>MORA</t>
        </is>
      </c>
      <c r="G463" t="n">
        <v>11.3</v>
      </c>
      <c r="H463" t="n">
        <v>0</v>
      </c>
      <c r="I463" t="n">
        <v>0</v>
      </c>
      <c r="J463" t="n">
        <v>0</v>
      </c>
      <c r="K463" t="n">
        <v>0</v>
      </c>
      <c r="L463" t="n">
        <v>0</v>
      </c>
      <c r="M463" t="n">
        <v>0</v>
      </c>
      <c r="N463" t="n">
        <v>0</v>
      </c>
      <c r="O463" t="n">
        <v>0</v>
      </c>
      <c r="P463" t="n">
        <v>0</v>
      </c>
      <c r="Q463" t="n">
        <v>0</v>
      </c>
      <c r="R463" s="2" t="inlineStr"/>
    </row>
    <row r="464" ht="15" customHeight="1">
      <c r="A464" t="inlineStr">
        <is>
          <t>A 19286-2023</t>
        </is>
      </c>
      <c r="B464" s="1" t="n">
        <v>45049</v>
      </c>
      <c r="C464" s="1" t="n">
        <v>45967</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23229-2025</t>
        </is>
      </c>
      <c r="B465" s="1" t="n">
        <v>45791</v>
      </c>
      <c r="C465" s="1" t="n">
        <v>45967</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45315-2024</t>
        </is>
      </c>
      <c r="B466" s="1" t="n">
        <v>45576.43782407408</v>
      </c>
      <c r="C466" s="1" t="n">
        <v>45967</v>
      </c>
      <c r="D466" t="inlineStr">
        <is>
          <t>DALARNAS LÄN</t>
        </is>
      </c>
      <c r="E466" t="inlineStr">
        <is>
          <t>MORA</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52110-2025</t>
        </is>
      </c>
      <c r="B467" s="1" t="n">
        <v>45952.69306712963</v>
      </c>
      <c r="C467" s="1" t="n">
        <v>45967</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24280-2025</t>
        </is>
      </c>
      <c r="B468" s="1" t="n">
        <v>45797.45581018519</v>
      </c>
      <c r="C468" s="1" t="n">
        <v>45967</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24630-2025</t>
        </is>
      </c>
      <c r="B469" s="1" t="n">
        <v>45798.6003587963</v>
      </c>
      <c r="C469" s="1" t="n">
        <v>45967</v>
      </c>
      <c r="D469" t="inlineStr">
        <is>
          <t>DALARNAS LÄN</t>
        </is>
      </c>
      <c r="E469" t="inlineStr">
        <is>
          <t>MORA</t>
        </is>
      </c>
      <c r="F469" t="inlineStr">
        <is>
          <t>Bergvik skog väst AB</t>
        </is>
      </c>
      <c r="G469" t="n">
        <v>10.4</v>
      </c>
      <c r="H469" t="n">
        <v>0</v>
      </c>
      <c r="I469" t="n">
        <v>0</v>
      </c>
      <c r="J469" t="n">
        <v>0</v>
      </c>
      <c r="K469" t="n">
        <v>0</v>
      </c>
      <c r="L469" t="n">
        <v>0</v>
      </c>
      <c r="M469" t="n">
        <v>0</v>
      </c>
      <c r="N469" t="n">
        <v>0</v>
      </c>
      <c r="O469" t="n">
        <v>0</v>
      </c>
      <c r="P469" t="n">
        <v>0</v>
      </c>
      <c r="Q469" t="n">
        <v>0</v>
      </c>
      <c r="R469" s="2" t="inlineStr"/>
    </row>
    <row r="470" ht="15" customHeight="1">
      <c r="A470" t="inlineStr">
        <is>
          <t>A 19183-2025</t>
        </is>
      </c>
      <c r="B470" s="1" t="n">
        <v>45769</v>
      </c>
      <c r="C470" s="1" t="n">
        <v>45967</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46283-2025</t>
        </is>
      </c>
      <c r="B471" s="1" t="n">
        <v>45925</v>
      </c>
      <c r="C471" s="1" t="n">
        <v>45967</v>
      </c>
      <c r="D471" t="inlineStr">
        <is>
          <t>DALARNAS LÄN</t>
        </is>
      </c>
      <c r="E471" t="inlineStr">
        <is>
          <t>MORA</t>
        </is>
      </c>
      <c r="G471" t="n">
        <v>0.5</v>
      </c>
      <c r="H471" t="n">
        <v>0</v>
      </c>
      <c r="I471" t="n">
        <v>0</v>
      </c>
      <c r="J471" t="n">
        <v>0</v>
      </c>
      <c r="K471" t="n">
        <v>0</v>
      </c>
      <c r="L471" t="n">
        <v>0</v>
      </c>
      <c r="M471" t="n">
        <v>0</v>
      </c>
      <c r="N471" t="n">
        <v>0</v>
      </c>
      <c r="O471" t="n">
        <v>0</v>
      </c>
      <c r="P471" t="n">
        <v>0</v>
      </c>
      <c r="Q471" t="n">
        <v>0</v>
      </c>
      <c r="R471" s="2" t="inlineStr"/>
    </row>
    <row r="472" ht="15" customHeight="1">
      <c r="A472" t="inlineStr">
        <is>
          <t>A 24642-2025</t>
        </is>
      </c>
      <c r="B472" s="1" t="n">
        <v>45798.62894675926</v>
      </c>
      <c r="C472" s="1" t="n">
        <v>45967</v>
      </c>
      <c r="D472" t="inlineStr">
        <is>
          <t>DALARNAS LÄN</t>
        </is>
      </c>
      <c r="E472" t="inlineStr">
        <is>
          <t>MORA</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54257-2023</t>
        </is>
      </c>
      <c r="B473" s="1" t="n">
        <v>45232.64195601852</v>
      </c>
      <c r="C473" s="1" t="n">
        <v>45967</v>
      </c>
      <c r="D473" t="inlineStr">
        <is>
          <t>DALARNAS LÄN</t>
        </is>
      </c>
      <c r="E473" t="inlineStr">
        <is>
          <t>MORA</t>
        </is>
      </c>
      <c r="G473" t="n">
        <v>4</v>
      </c>
      <c r="H473" t="n">
        <v>0</v>
      </c>
      <c r="I473" t="n">
        <v>0</v>
      </c>
      <c r="J473" t="n">
        <v>0</v>
      </c>
      <c r="K473" t="n">
        <v>0</v>
      </c>
      <c r="L473" t="n">
        <v>0</v>
      </c>
      <c r="M473" t="n">
        <v>0</v>
      </c>
      <c r="N473" t="n">
        <v>0</v>
      </c>
      <c r="O473" t="n">
        <v>0</v>
      </c>
      <c r="P473" t="n">
        <v>0</v>
      </c>
      <c r="Q473" t="n">
        <v>0</v>
      </c>
      <c r="R473" s="2" t="inlineStr"/>
    </row>
    <row r="474" ht="15" customHeight="1">
      <c r="A474" t="inlineStr">
        <is>
          <t>A 37385-2022</t>
        </is>
      </c>
      <c r="B474" s="1" t="n">
        <v>44806</v>
      </c>
      <c r="C474" s="1" t="n">
        <v>45967</v>
      </c>
      <c r="D474" t="inlineStr">
        <is>
          <t>DALARNAS LÄN</t>
        </is>
      </c>
      <c r="E474" t="inlineStr">
        <is>
          <t>MORA</t>
        </is>
      </c>
      <c r="G474" t="n">
        <v>2.2</v>
      </c>
      <c r="H474" t="n">
        <v>0</v>
      </c>
      <c r="I474" t="n">
        <v>0</v>
      </c>
      <c r="J474" t="n">
        <v>0</v>
      </c>
      <c r="K474" t="n">
        <v>0</v>
      </c>
      <c r="L474" t="n">
        <v>0</v>
      </c>
      <c r="M474" t="n">
        <v>0</v>
      </c>
      <c r="N474" t="n">
        <v>0</v>
      </c>
      <c r="O474" t="n">
        <v>0</v>
      </c>
      <c r="P474" t="n">
        <v>0</v>
      </c>
      <c r="Q474" t="n">
        <v>0</v>
      </c>
      <c r="R474" s="2" t="inlineStr"/>
    </row>
    <row r="475" ht="15" customHeight="1">
      <c r="A475" t="inlineStr">
        <is>
          <t>A 43153-2025</t>
        </is>
      </c>
      <c r="B475" s="1" t="n">
        <v>45910.34449074074</v>
      </c>
      <c r="C475" s="1" t="n">
        <v>45967</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43157-2025</t>
        </is>
      </c>
      <c r="B476" s="1" t="n">
        <v>45910.34953703704</v>
      </c>
      <c r="C476" s="1" t="n">
        <v>45967</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61217-2023</t>
        </is>
      </c>
      <c r="B477" s="1" t="n">
        <v>45264.43802083333</v>
      </c>
      <c r="C477" s="1" t="n">
        <v>45967</v>
      </c>
      <c r="D477" t="inlineStr">
        <is>
          <t>DALARNAS LÄN</t>
        </is>
      </c>
      <c r="E477" t="inlineStr">
        <is>
          <t>MORA</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61218-2023</t>
        </is>
      </c>
      <c r="B478" s="1" t="n">
        <v>45264</v>
      </c>
      <c r="C478" s="1" t="n">
        <v>45967</v>
      </c>
      <c r="D478" t="inlineStr">
        <is>
          <t>DALARNAS LÄN</t>
        </is>
      </c>
      <c r="E478" t="inlineStr">
        <is>
          <t>MORA</t>
        </is>
      </c>
      <c r="F478" t="inlineStr">
        <is>
          <t>Allmännings- och besparingsskogar</t>
        </is>
      </c>
      <c r="G478" t="n">
        <v>2.6</v>
      </c>
      <c r="H478" t="n">
        <v>0</v>
      </c>
      <c r="I478" t="n">
        <v>0</v>
      </c>
      <c r="J478" t="n">
        <v>0</v>
      </c>
      <c r="K478" t="n">
        <v>0</v>
      </c>
      <c r="L478" t="n">
        <v>0</v>
      </c>
      <c r="M478" t="n">
        <v>0</v>
      </c>
      <c r="N478" t="n">
        <v>0</v>
      </c>
      <c r="O478" t="n">
        <v>0</v>
      </c>
      <c r="P478" t="n">
        <v>0</v>
      </c>
      <c r="Q478" t="n">
        <v>0</v>
      </c>
      <c r="R478" s="2" t="inlineStr"/>
    </row>
    <row r="479" ht="15" customHeight="1">
      <c r="A479" t="inlineStr">
        <is>
          <t>A 43641-2022</t>
        </is>
      </c>
      <c r="B479" s="1" t="n">
        <v>44837</v>
      </c>
      <c r="C479" s="1" t="n">
        <v>45967</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25749-2023</t>
        </is>
      </c>
      <c r="B480" s="1" t="n">
        <v>45090</v>
      </c>
      <c r="C480" s="1" t="n">
        <v>45967</v>
      </c>
      <c r="D480" t="inlineStr">
        <is>
          <t>DALARNAS LÄN</t>
        </is>
      </c>
      <c r="E480" t="inlineStr">
        <is>
          <t>MORA</t>
        </is>
      </c>
      <c r="G480" t="n">
        <v>2.4</v>
      </c>
      <c r="H480" t="n">
        <v>0</v>
      </c>
      <c r="I480" t="n">
        <v>0</v>
      </c>
      <c r="J480" t="n">
        <v>0</v>
      </c>
      <c r="K480" t="n">
        <v>0</v>
      </c>
      <c r="L480" t="n">
        <v>0</v>
      </c>
      <c r="M480" t="n">
        <v>0</v>
      </c>
      <c r="N480" t="n">
        <v>0</v>
      </c>
      <c r="O480" t="n">
        <v>0</v>
      </c>
      <c r="P480" t="n">
        <v>0</v>
      </c>
      <c r="Q480" t="n">
        <v>0</v>
      </c>
      <c r="R480" s="2" t="inlineStr"/>
    </row>
    <row r="481" ht="15" customHeight="1">
      <c r="A481" t="inlineStr">
        <is>
          <t>A 17529-2023</t>
        </is>
      </c>
      <c r="B481" s="1" t="n">
        <v>45036.46804398148</v>
      </c>
      <c r="C481" s="1" t="n">
        <v>45967</v>
      </c>
      <c r="D481" t="inlineStr">
        <is>
          <t>DALARNAS LÄN</t>
        </is>
      </c>
      <c r="E481" t="inlineStr">
        <is>
          <t>MORA</t>
        </is>
      </c>
      <c r="G481" t="n">
        <v>6</v>
      </c>
      <c r="H481" t="n">
        <v>0</v>
      </c>
      <c r="I481" t="n">
        <v>0</v>
      </c>
      <c r="J481" t="n">
        <v>0</v>
      </c>
      <c r="K481" t="n">
        <v>0</v>
      </c>
      <c r="L481" t="n">
        <v>0</v>
      </c>
      <c r="M481" t="n">
        <v>0</v>
      </c>
      <c r="N481" t="n">
        <v>0</v>
      </c>
      <c r="O481" t="n">
        <v>0</v>
      </c>
      <c r="P481" t="n">
        <v>0</v>
      </c>
      <c r="Q481" t="n">
        <v>0</v>
      </c>
      <c r="R481" s="2" t="inlineStr"/>
    </row>
    <row r="482" ht="15" customHeight="1">
      <c r="A482" t="inlineStr">
        <is>
          <t>A 35363-2024</t>
        </is>
      </c>
      <c r="B482" s="1" t="n">
        <v>45531.34050925926</v>
      </c>
      <c r="C482" s="1" t="n">
        <v>45967</v>
      </c>
      <c r="D482" t="inlineStr">
        <is>
          <t>DALARNAS LÄN</t>
        </is>
      </c>
      <c r="E482" t="inlineStr">
        <is>
          <t>MORA</t>
        </is>
      </c>
      <c r="G482" t="n">
        <v>2.5</v>
      </c>
      <c r="H482" t="n">
        <v>0</v>
      </c>
      <c r="I482" t="n">
        <v>0</v>
      </c>
      <c r="J482" t="n">
        <v>0</v>
      </c>
      <c r="K482" t="n">
        <v>0</v>
      </c>
      <c r="L482" t="n">
        <v>0</v>
      </c>
      <c r="M482" t="n">
        <v>0</v>
      </c>
      <c r="N482" t="n">
        <v>0</v>
      </c>
      <c r="O482" t="n">
        <v>0</v>
      </c>
      <c r="P482" t="n">
        <v>0</v>
      </c>
      <c r="Q482" t="n">
        <v>0</v>
      </c>
      <c r="R482" s="2" t="inlineStr"/>
    </row>
    <row r="483" ht="15" customHeight="1">
      <c r="A483" t="inlineStr">
        <is>
          <t>A 24249-2025</t>
        </is>
      </c>
      <c r="B483" s="1" t="n">
        <v>45797.40260416667</v>
      </c>
      <c r="C483" s="1" t="n">
        <v>45967</v>
      </c>
      <c r="D483" t="inlineStr">
        <is>
          <t>DALARNAS LÄN</t>
        </is>
      </c>
      <c r="E483" t="inlineStr">
        <is>
          <t>MORA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58972-2023</t>
        </is>
      </c>
      <c r="B484" s="1" t="n">
        <v>45252</v>
      </c>
      <c r="C484" s="1" t="n">
        <v>45967</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58171-2024</t>
        </is>
      </c>
      <c r="B485" s="1" t="n">
        <v>45632.46545138889</v>
      </c>
      <c r="C485" s="1" t="n">
        <v>45967</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4209-2023</t>
        </is>
      </c>
      <c r="B486" s="1" t="n">
        <v>44953</v>
      </c>
      <c r="C486" s="1" t="n">
        <v>45967</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24640-2025</t>
        </is>
      </c>
      <c r="B487" s="1" t="n">
        <v>45798.62243055556</v>
      </c>
      <c r="C487" s="1" t="n">
        <v>45967</v>
      </c>
      <c r="D487" t="inlineStr">
        <is>
          <t>DALARNAS LÄN</t>
        </is>
      </c>
      <c r="E487" t="inlineStr">
        <is>
          <t>MORA</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33513-2024</t>
        </is>
      </c>
      <c r="B488" s="1" t="n">
        <v>45519.644375</v>
      </c>
      <c r="C488" s="1" t="n">
        <v>45967</v>
      </c>
      <c r="D488" t="inlineStr">
        <is>
          <t>DALARNAS LÄN</t>
        </is>
      </c>
      <c r="E488" t="inlineStr">
        <is>
          <t>MORA</t>
        </is>
      </c>
      <c r="G488" t="n">
        <v>5.9</v>
      </c>
      <c r="H488" t="n">
        <v>0</v>
      </c>
      <c r="I488" t="n">
        <v>0</v>
      </c>
      <c r="J488" t="n">
        <v>0</v>
      </c>
      <c r="K488" t="n">
        <v>0</v>
      </c>
      <c r="L488" t="n">
        <v>0</v>
      </c>
      <c r="M488" t="n">
        <v>0</v>
      </c>
      <c r="N488" t="n">
        <v>0</v>
      </c>
      <c r="O488" t="n">
        <v>0</v>
      </c>
      <c r="P488" t="n">
        <v>0</v>
      </c>
      <c r="Q488" t="n">
        <v>0</v>
      </c>
      <c r="R488" s="2" t="inlineStr"/>
    </row>
    <row r="489" ht="15" customHeight="1">
      <c r="A489" t="inlineStr">
        <is>
          <t>A 24230-2025</t>
        </is>
      </c>
      <c r="B489" s="1" t="n">
        <v>45797.37607638889</v>
      </c>
      <c r="C489" s="1" t="n">
        <v>45967</v>
      </c>
      <c r="D489" t="inlineStr">
        <is>
          <t>DALARNAS LÄN</t>
        </is>
      </c>
      <c r="E489" t="inlineStr">
        <is>
          <t>MORA</t>
        </is>
      </c>
      <c r="G489" t="n">
        <v>6.8</v>
      </c>
      <c r="H489" t="n">
        <v>0</v>
      </c>
      <c r="I489" t="n">
        <v>0</v>
      </c>
      <c r="J489" t="n">
        <v>0</v>
      </c>
      <c r="K489" t="n">
        <v>0</v>
      </c>
      <c r="L489" t="n">
        <v>0</v>
      </c>
      <c r="M489" t="n">
        <v>0</v>
      </c>
      <c r="N489" t="n">
        <v>0</v>
      </c>
      <c r="O489" t="n">
        <v>0</v>
      </c>
      <c r="P489" t="n">
        <v>0</v>
      </c>
      <c r="Q489" t="n">
        <v>0</v>
      </c>
      <c r="R489" s="2" t="inlineStr"/>
    </row>
    <row r="490" ht="15" customHeight="1">
      <c r="A490" t="inlineStr">
        <is>
          <t>A 39856-2024</t>
        </is>
      </c>
      <c r="B490" s="1" t="n">
        <v>45553.44084490741</v>
      </c>
      <c r="C490" s="1" t="n">
        <v>45967</v>
      </c>
      <c r="D490" t="inlineStr">
        <is>
          <t>DALARNAS LÄN</t>
        </is>
      </c>
      <c r="E490" t="inlineStr">
        <is>
          <t>MORA</t>
        </is>
      </c>
      <c r="G490" t="n">
        <v>4.8</v>
      </c>
      <c r="H490" t="n">
        <v>0</v>
      </c>
      <c r="I490" t="n">
        <v>0</v>
      </c>
      <c r="J490" t="n">
        <v>0</v>
      </c>
      <c r="K490" t="n">
        <v>0</v>
      </c>
      <c r="L490" t="n">
        <v>0</v>
      </c>
      <c r="M490" t="n">
        <v>0</v>
      </c>
      <c r="N490" t="n">
        <v>0</v>
      </c>
      <c r="O490" t="n">
        <v>0</v>
      </c>
      <c r="P490" t="n">
        <v>0</v>
      </c>
      <c r="Q490" t="n">
        <v>0</v>
      </c>
      <c r="R490" s="2" t="inlineStr"/>
    </row>
    <row r="491" ht="15" customHeight="1">
      <c r="A491" t="inlineStr">
        <is>
          <t>A 43474-2025</t>
        </is>
      </c>
      <c r="B491" s="1" t="n">
        <v>45911.48967592593</v>
      </c>
      <c r="C491" s="1" t="n">
        <v>45967</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59182-2023</t>
        </is>
      </c>
      <c r="B492" s="1" t="n">
        <v>45253</v>
      </c>
      <c r="C492" s="1" t="n">
        <v>45967</v>
      </c>
      <c r="D492" t="inlineStr">
        <is>
          <t>DALARNAS LÄN</t>
        </is>
      </c>
      <c r="E492" t="inlineStr">
        <is>
          <t>MORA</t>
        </is>
      </c>
      <c r="G492" t="n">
        <v>3.3</v>
      </c>
      <c r="H492" t="n">
        <v>0</v>
      </c>
      <c r="I492" t="n">
        <v>0</v>
      </c>
      <c r="J492" t="n">
        <v>0</v>
      </c>
      <c r="K492" t="n">
        <v>0</v>
      </c>
      <c r="L492" t="n">
        <v>0</v>
      </c>
      <c r="M492" t="n">
        <v>0</v>
      </c>
      <c r="N492" t="n">
        <v>0</v>
      </c>
      <c r="O492" t="n">
        <v>0</v>
      </c>
      <c r="P492" t="n">
        <v>0</v>
      </c>
      <c r="Q492" t="n">
        <v>0</v>
      </c>
      <c r="R492" s="2" t="inlineStr"/>
    </row>
    <row r="493" ht="15" customHeight="1">
      <c r="A493" t="inlineStr">
        <is>
          <t>A 54398-2021</t>
        </is>
      </c>
      <c r="B493" s="1" t="n">
        <v>44473.39252314815</v>
      </c>
      <c r="C493" s="1" t="n">
        <v>45967</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501-2024</t>
        </is>
      </c>
      <c r="B494" s="1" t="n">
        <v>45299</v>
      </c>
      <c r="C494" s="1" t="n">
        <v>45967</v>
      </c>
      <c r="D494" t="inlineStr">
        <is>
          <t>DALARNAS LÄN</t>
        </is>
      </c>
      <c r="E494" t="inlineStr">
        <is>
          <t>MORA</t>
        </is>
      </c>
      <c r="G494" t="n">
        <v>2.5</v>
      </c>
      <c r="H494" t="n">
        <v>0</v>
      </c>
      <c r="I494" t="n">
        <v>0</v>
      </c>
      <c r="J494" t="n">
        <v>0</v>
      </c>
      <c r="K494" t="n">
        <v>0</v>
      </c>
      <c r="L494" t="n">
        <v>0</v>
      </c>
      <c r="M494" t="n">
        <v>0</v>
      </c>
      <c r="N494" t="n">
        <v>0</v>
      </c>
      <c r="O494" t="n">
        <v>0</v>
      </c>
      <c r="P494" t="n">
        <v>0</v>
      </c>
      <c r="Q494" t="n">
        <v>0</v>
      </c>
      <c r="R494" s="2" t="inlineStr"/>
    </row>
    <row r="495" ht="15" customHeight="1">
      <c r="A495" t="inlineStr">
        <is>
          <t>A 8146-2021</t>
        </is>
      </c>
      <c r="B495" s="1" t="n">
        <v>44244</v>
      </c>
      <c r="C495" s="1" t="n">
        <v>45967</v>
      </c>
      <c r="D495" t="inlineStr">
        <is>
          <t>DALARNAS LÄN</t>
        </is>
      </c>
      <c r="E495" t="inlineStr">
        <is>
          <t>MORA</t>
        </is>
      </c>
      <c r="G495" t="n">
        <v>2.1</v>
      </c>
      <c r="H495" t="n">
        <v>0</v>
      </c>
      <c r="I495" t="n">
        <v>0</v>
      </c>
      <c r="J495" t="n">
        <v>0</v>
      </c>
      <c r="K495" t="n">
        <v>0</v>
      </c>
      <c r="L495" t="n">
        <v>0</v>
      </c>
      <c r="M495" t="n">
        <v>0</v>
      </c>
      <c r="N495" t="n">
        <v>0</v>
      </c>
      <c r="O495" t="n">
        <v>0</v>
      </c>
      <c r="P495" t="n">
        <v>0</v>
      </c>
      <c r="Q495" t="n">
        <v>0</v>
      </c>
      <c r="R495" s="2" t="inlineStr"/>
    </row>
    <row r="496" ht="15" customHeight="1">
      <c r="A496" t="inlineStr">
        <is>
          <t>A 64327-2023</t>
        </is>
      </c>
      <c r="B496" s="1" t="n">
        <v>45280</v>
      </c>
      <c r="C496" s="1" t="n">
        <v>45967</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17494-2025</t>
        </is>
      </c>
      <c r="B497" s="1" t="n">
        <v>45757.52033564815</v>
      </c>
      <c r="C497" s="1" t="n">
        <v>45967</v>
      </c>
      <c r="D497" t="inlineStr">
        <is>
          <t>DALARNAS LÄN</t>
        </is>
      </c>
      <c r="E497" t="inlineStr">
        <is>
          <t>MORA</t>
        </is>
      </c>
      <c r="G497" t="n">
        <v>5.3</v>
      </c>
      <c r="H497" t="n">
        <v>0</v>
      </c>
      <c r="I497" t="n">
        <v>0</v>
      </c>
      <c r="J497" t="n">
        <v>0</v>
      </c>
      <c r="K497" t="n">
        <v>0</v>
      </c>
      <c r="L497" t="n">
        <v>0</v>
      </c>
      <c r="M497" t="n">
        <v>0</v>
      </c>
      <c r="N497" t="n">
        <v>0</v>
      </c>
      <c r="O497" t="n">
        <v>0</v>
      </c>
      <c r="P497" t="n">
        <v>0</v>
      </c>
      <c r="Q497" t="n">
        <v>0</v>
      </c>
      <c r="R497" s="2" t="inlineStr"/>
    </row>
    <row r="498" ht="15" customHeight="1">
      <c r="A498" t="inlineStr">
        <is>
          <t>A 39344-2024</t>
        </is>
      </c>
      <c r="B498" s="1" t="n">
        <v>45551.44503472222</v>
      </c>
      <c r="C498" s="1" t="n">
        <v>45967</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43569-2025</t>
        </is>
      </c>
      <c r="B499" s="1" t="n">
        <v>45911.63363425926</v>
      </c>
      <c r="C499" s="1" t="n">
        <v>45967</v>
      </c>
      <c r="D499" t="inlineStr">
        <is>
          <t>DALARNAS LÄN</t>
        </is>
      </c>
      <c r="E499" t="inlineStr">
        <is>
          <t>MORA</t>
        </is>
      </c>
      <c r="G499" t="n">
        <v>4.7</v>
      </c>
      <c r="H499" t="n">
        <v>0</v>
      </c>
      <c r="I499" t="n">
        <v>0</v>
      </c>
      <c r="J499" t="n">
        <v>0</v>
      </c>
      <c r="K499" t="n">
        <v>0</v>
      </c>
      <c r="L499" t="n">
        <v>0</v>
      </c>
      <c r="M499" t="n">
        <v>0</v>
      </c>
      <c r="N499" t="n">
        <v>0</v>
      </c>
      <c r="O499" t="n">
        <v>0</v>
      </c>
      <c r="P499" t="n">
        <v>0</v>
      </c>
      <c r="Q499" t="n">
        <v>0</v>
      </c>
      <c r="R499" s="2" t="inlineStr"/>
    </row>
    <row r="500" ht="15" customHeight="1">
      <c r="A500" t="inlineStr">
        <is>
          <t>A 26314-2021</t>
        </is>
      </c>
      <c r="B500" s="1" t="n">
        <v>44347</v>
      </c>
      <c r="C500" s="1" t="n">
        <v>45967</v>
      </c>
      <c r="D500" t="inlineStr">
        <is>
          <t>DALARNAS LÄN</t>
        </is>
      </c>
      <c r="E500" t="inlineStr">
        <is>
          <t>MORA</t>
        </is>
      </c>
      <c r="G500" t="n">
        <v>0.7</v>
      </c>
      <c r="H500" t="n">
        <v>0</v>
      </c>
      <c r="I500" t="n">
        <v>0</v>
      </c>
      <c r="J500" t="n">
        <v>0</v>
      </c>
      <c r="K500" t="n">
        <v>0</v>
      </c>
      <c r="L500" t="n">
        <v>0</v>
      </c>
      <c r="M500" t="n">
        <v>0</v>
      </c>
      <c r="N500" t="n">
        <v>0</v>
      </c>
      <c r="O500" t="n">
        <v>0</v>
      </c>
      <c r="P500" t="n">
        <v>0</v>
      </c>
      <c r="Q500" t="n">
        <v>0</v>
      </c>
      <c r="R500" s="2" t="inlineStr"/>
    </row>
    <row r="501" ht="15" customHeight="1">
      <c r="A501" t="inlineStr">
        <is>
          <t>A 58958-2022</t>
        </is>
      </c>
      <c r="B501" s="1" t="n">
        <v>44903.6605324074</v>
      </c>
      <c r="C501" s="1" t="n">
        <v>45967</v>
      </c>
      <c r="D501" t="inlineStr">
        <is>
          <t>DALARNAS LÄN</t>
        </is>
      </c>
      <c r="E501" t="inlineStr">
        <is>
          <t>MORA</t>
        </is>
      </c>
      <c r="G501" t="n">
        <v>1.1</v>
      </c>
      <c r="H501" t="n">
        <v>0</v>
      </c>
      <c r="I501" t="n">
        <v>0</v>
      </c>
      <c r="J501" t="n">
        <v>0</v>
      </c>
      <c r="K501" t="n">
        <v>0</v>
      </c>
      <c r="L501" t="n">
        <v>0</v>
      </c>
      <c r="M501" t="n">
        <v>0</v>
      </c>
      <c r="N501" t="n">
        <v>0</v>
      </c>
      <c r="O501" t="n">
        <v>0</v>
      </c>
      <c r="P501" t="n">
        <v>0</v>
      </c>
      <c r="Q501" t="n">
        <v>0</v>
      </c>
      <c r="R501" s="2" t="inlineStr"/>
    </row>
    <row r="502" ht="15" customHeight="1">
      <c r="A502" t="inlineStr">
        <is>
          <t>A 12987-2024</t>
        </is>
      </c>
      <c r="B502" s="1" t="n">
        <v>45385.55375</v>
      </c>
      <c r="C502" s="1" t="n">
        <v>45967</v>
      </c>
      <c r="D502" t="inlineStr">
        <is>
          <t>DALARNAS LÄN</t>
        </is>
      </c>
      <c r="E502" t="inlineStr">
        <is>
          <t>MORA</t>
        </is>
      </c>
      <c r="G502" t="n">
        <v>1.3</v>
      </c>
      <c r="H502" t="n">
        <v>0</v>
      </c>
      <c r="I502" t="n">
        <v>0</v>
      </c>
      <c r="J502" t="n">
        <v>0</v>
      </c>
      <c r="K502" t="n">
        <v>0</v>
      </c>
      <c r="L502" t="n">
        <v>0</v>
      </c>
      <c r="M502" t="n">
        <v>0</v>
      </c>
      <c r="N502" t="n">
        <v>0</v>
      </c>
      <c r="O502" t="n">
        <v>0</v>
      </c>
      <c r="P502" t="n">
        <v>0</v>
      </c>
      <c r="Q502" t="n">
        <v>0</v>
      </c>
      <c r="R502" s="2" t="inlineStr"/>
    </row>
    <row r="503" ht="15" customHeight="1">
      <c r="A503" t="inlineStr">
        <is>
          <t>A 29188-2023</t>
        </is>
      </c>
      <c r="B503" s="1" t="n">
        <v>45105.54270833333</v>
      </c>
      <c r="C503" s="1" t="n">
        <v>45967</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45967</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52599-2025</t>
        </is>
      </c>
      <c r="B505" s="1" t="n">
        <v>45954.65564814815</v>
      </c>
      <c r="C505" s="1" t="n">
        <v>45967</v>
      </c>
      <c r="D505" t="inlineStr">
        <is>
          <t>DALARNAS LÄN</t>
        </is>
      </c>
      <c r="E505" t="inlineStr">
        <is>
          <t>MORA</t>
        </is>
      </c>
      <c r="G505" t="n">
        <v>10.8</v>
      </c>
      <c r="H505" t="n">
        <v>0</v>
      </c>
      <c r="I505" t="n">
        <v>0</v>
      </c>
      <c r="J505" t="n">
        <v>0</v>
      </c>
      <c r="K505" t="n">
        <v>0</v>
      </c>
      <c r="L505" t="n">
        <v>0</v>
      </c>
      <c r="M505" t="n">
        <v>0</v>
      </c>
      <c r="N505" t="n">
        <v>0</v>
      </c>
      <c r="O505" t="n">
        <v>0</v>
      </c>
      <c r="P505" t="n">
        <v>0</v>
      </c>
      <c r="Q505" t="n">
        <v>0</v>
      </c>
      <c r="R505" s="2" t="inlineStr"/>
    </row>
    <row r="506" ht="15" customHeight="1">
      <c r="A506" t="inlineStr">
        <is>
          <t>A 43811-2025</t>
        </is>
      </c>
      <c r="B506" s="1" t="n">
        <v>45912.58710648148</v>
      </c>
      <c r="C506" s="1" t="n">
        <v>45967</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442-2024</t>
        </is>
      </c>
      <c r="B507" s="1" t="n">
        <v>45296.60353009259</v>
      </c>
      <c r="C507" s="1" t="n">
        <v>45967</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15172-2025</t>
        </is>
      </c>
      <c r="B508" s="1" t="n">
        <v>45744.50722222222</v>
      </c>
      <c r="C508" s="1" t="n">
        <v>45967</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24947-2025</t>
        </is>
      </c>
      <c r="B509" s="1" t="n">
        <v>45799.56524305556</v>
      </c>
      <c r="C509" s="1" t="n">
        <v>45967</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17278-2025</t>
        </is>
      </c>
      <c r="B510" s="1" t="n">
        <v>45756.56131944444</v>
      </c>
      <c r="C510" s="1" t="n">
        <v>45967</v>
      </c>
      <c r="D510" t="inlineStr">
        <is>
          <t>DALARNAS LÄN</t>
        </is>
      </c>
      <c r="E510" t="inlineStr">
        <is>
          <t>MORA</t>
        </is>
      </c>
      <c r="G510" t="n">
        <v>3</v>
      </c>
      <c r="H510" t="n">
        <v>0</v>
      </c>
      <c r="I510" t="n">
        <v>0</v>
      </c>
      <c r="J510" t="n">
        <v>0</v>
      </c>
      <c r="K510" t="n">
        <v>0</v>
      </c>
      <c r="L510" t="n">
        <v>0</v>
      </c>
      <c r="M510" t="n">
        <v>0</v>
      </c>
      <c r="N510" t="n">
        <v>0</v>
      </c>
      <c r="O510" t="n">
        <v>0</v>
      </c>
      <c r="P510" t="n">
        <v>0</v>
      </c>
      <c r="Q510" t="n">
        <v>0</v>
      </c>
      <c r="R510" s="2" t="inlineStr"/>
    </row>
    <row r="511" ht="15" customHeight="1">
      <c r="A511" t="inlineStr">
        <is>
          <t>A 33627-2024</t>
        </is>
      </c>
      <c r="B511" s="1" t="n">
        <v>45520</v>
      </c>
      <c r="C511" s="1" t="n">
        <v>45967</v>
      </c>
      <c r="D511" t="inlineStr">
        <is>
          <t>DALARNAS LÄN</t>
        </is>
      </c>
      <c r="E511" t="inlineStr">
        <is>
          <t>MORA</t>
        </is>
      </c>
      <c r="G511" t="n">
        <v>1.1</v>
      </c>
      <c r="H511" t="n">
        <v>0</v>
      </c>
      <c r="I511" t="n">
        <v>0</v>
      </c>
      <c r="J511" t="n">
        <v>0</v>
      </c>
      <c r="K511" t="n">
        <v>0</v>
      </c>
      <c r="L511" t="n">
        <v>0</v>
      </c>
      <c r="M511" t="n">
        <v>0</v>
      </c>
      <c r="N511" t="n">
        <v>0</v>
      </c>
      <c r="O511" t="n">
        <v>0</v>
      </c>
      <c r="P511" t="n">
        <v>0</v>
      </c>
      <c r="Q511" t="n">
        <v>0</v>
      </c>
      <c r="R511" s="2" t="inlineStr"/>
    </row>
    <row r="512" ht="15" customHeight="1">
      <c r="A512" t="inlineStr">
        <is>
          <t>A 60674-2023</t>
        </is>
      </c>
      <c r="B512" s="1" t="n">
        <v>45260.46609953704</v>
      </c>
      <c r="C512" s="1" t="n">
        <v>45967</v>
      </c>
      <c r="D512" t="inlineStr">
        <is>
          <t>DALARNAS LÄN</t>
        </is>
      </c>
      <c r="E512" t="inlineStr">
        <is>
          <t>MORA</t>
        </is>
      </c>
      <c r="G512" t="n">
        <v>2.9</v>
      </c>
      <c r="H512" t="n">
        <v>0</v>
      </c>
      <c r="I512" t="n">
        <v>0</v>
      </c>
      <c r="J512" t="n">
        <v>0</v>
      </c>
      <c r="K512" t="n">
        <v>0</v>
      </c>
      <c r="L512" t="n">
        <v>0</v>
      </c>
      <c r="M512" t="n">
        <v>0</v>
      </c>
      <c r="N512" t="n">
        <v>0</v>
      </c>
      <c r="O512" t="n">
        <v>0</v>
      </c>
      <c r="P512" t="n">
        <v>0</v>
      </c>
      <c r="Q512" t="n">
        <v>0</v>
      </c>
      <c r="R512" s="2" t="inlineStr"/>
    </row>
    <row r="513" ht="15" customHeight="1">
      <c r="A513" t="inlineStr">
        <is>
          <t>A 61293-2022</t>
        </is>
      </c>
      <c r="B513" s="1" t="n">
        <v>44915.62751157407</v>
      </c>
      <c r="C513" s="1" t="n">
        <v>45967</v>
      </c>
      <c r="D513" t="inlineStr">
        <is>
          <t>DALARNAS LÄN</t>
        </is>
      </c>
      <c r="E513" t="inlineStr">
        <is>
          <t>MORA</t>
        </is>
      </c>
      <c r="G513" t="n">
        <v>0.3</v>
      </c>
      <c r="H513" t="n">
        <v>0</v>
      </c>
      <c r="I513" t="n">
        <v>0</v>
      </c>
      <c r="J513" t="n">
        <v>0</v>
      </c>
      <c r="K513" t="n">
        <v>0</v>
      </c>
      <c r="L513" t="n">
        <v>0</v>
      </c>
      <c r="M513" t="n">
        <v>0</v>
      </c>
      <c r="N513" t="n">
        <v>0</v>
      </c>
      <c r="O513" t="n">
        <v>0</v>
      </c>
      <c r="P513" t="n">
        <v>0</v>
      </c>
      <c r="Q513" t="n">
        <v>0</v>
      </c>
      <c r="R513" s="2" t="inlineStr"/>
    </row>
    <row r="514" ht="15" customHeight="1">
      <c r="A514" t="inlineStr">
        <is>
          <t>A 60360-2023</t>
        </is>
      </c>
      <c r="B514" s="1" t="n">
        <v>45259</v>
      </c>
      <c r="C514" s="1" t="n">
        <v>45967</v>
      </c>
      <c r="D514" t="inlineStr">
        <is>
          <t>DALARNAS LÄN</t>
        </is>
      </c>
      <c r="E514" t="inlineStr">
        <is>
          <t>MORA</t>
        </is>
      </c>
      <c r="G514" t="n">
        <v>2.9</v>
      </c>
      <c r="H514" t="n">
        <v>0</v>
      </c>
      <c r="I514" t="n">
        <v>0</v>
      </c>
      <c r="J514" t="n">
        <v>0</v>
      </c>
      <c r="K514" t="n">
        <v>0</v>
      </c>
      <c r="L514" t="n">
        <v>0</v>
      </c>
      <c r="M514" t="n">
        <v>0</v>
      </c>
      <c r="N514" t="n">
        <v>0</v>
      </c>
      <c r="O514" t="n">
        <v>0</v>
      </c>
      <c r="P514" t="n">
        <v>0</v>
      </c>
      <c r="Q514" t="n">
        <v>0</v>
      </c>
      <c r="R514" s="2" t="inlineStr"/>
    </row>
    <row r="515" ht="15" customHeight="1">
      <c r="A515" t="inlineStr">
        <is>
          <t>A 18139-2025</t>
        </is>
      </c>
      <c r="B515" s="1" t="n">
        <v>45761.60459490741</v>
      </c>
      <c r="C515" s="1" t="n">
        <v>45967</v>
      </c>
      <c r="D515" t="inlineStr">
        <is>
          <t>DALARNAS LÄN</t>
        </is>
      </c>
      <c r="E515" t="inlineStr">
        <is>
          <t>MORA</t>
        </is>
      </c>
      <c r="F515" t="inlineStr">
        <is>
          <t>Bergvik skog öst AB</t>
        </is>
      </c>
      <c r="G515" t="n">
        <v>3</v>
      </c>
      <c r="H515" t="n">
        <v>0</v>
      </c>
      <c r="I515" t="n">
        <v>0</v>
      </c>
      <c r="J515" t="n">
        <v>0</v>
      </c>
      <c r="K515" t="n">
        <v>0</v>
      </c>
      <c r="L515" t="n">
        <v>0</v>
      </c>
      <c r="M515" t="n">
        <v>0</v>
      </c>
      <c r="N515" t="n">
        <v>0</v>
      </c>
      <c r="O515" t="n">
        <v>0</v>
      </c>
      <c r="P515" t="n">
        <v>0</v>
      </c>
      <c r="Q515" t="n">
        <v>0</v>
      </c>
      <c r="R515" s="2" t="inlineStr"/>
    </row>
    <row r="516" ht="15" customHeight="1">
      <c r="A516" t="inlineStr">
        <is>
          <t>A 25499-2024</t>
        </is>
      </c>
      <c r="B516" s="1" t="n">
        <v>45463</v>
      </c>
      <c r="C516" s="1" t="n">
        <v>45967</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26647-2025</t>
        </is>
      </c>
      <c r="B517" s="1" t="n">
        <v>45810.38439814815</v>
      </c>
      <c r="C517" s="1" t="n">
        <v>45967</v>
      </c>
      <c r="D517" t="inlineStr">
        <is>
          <t>DALARNAS LÄN</t>
        </is>
      </c>
      <c r="E517" t="inlineStr">
        <is>
          <t>MORA</t>
        </is>
      </c>
      <c r="G517" t="n">
        <v>7.9</v>
      </c>
      <c r="H517" t="n">
        <v>0</v>
      </c>
      <c r="I517" t="n">
        <v>0</v>
      </c>
      <c r="J517" t="n">
        <v>0</v>
      </c>
      <c r="K517" t="n">
        <v>0</v>
      </c>
      <c r="L517" t="n">
        <v>0</v>
      </c>
      <c r="M517" t="n">
        <v>0</v>
      </c>
      <c r="N517" t="n">
        <v>0</v>
      </c>
      <c r="O517" t="n">
        <v>0</v>
      </c>
      <c r="P517" t="n">
        <v>0</v>
      </c>
      <c r="Q517" t="n">
        <v>0</v>
      </c>
      <c r="R517" s="2" t="inlineStr"/>
    </row>
    <row r="518" ht="15" customHeight="1">
      <c r="A518" t="inlineStr">
        <is>
          <t>A 56425-2024</t>
        </is>
      </c>
      <c r="B518" s="1" t="n">
        <v>45625.38677083333</v>
      </c>
      <c r="C518" s="1" t="n">
        <v>45967</v>
      </c>
      <c r="D518" t="inlineStr">
        <is>
          <t>DALARNAS LÄN</t>
        </is>
      </c>
      <c r="E518" t="inlineStr">
        <is>
          <t>MORA</t>
        </is>
      </c>
      <c r="G518" t="n">
        <v>2.1</v>
      </c>
      <c r="H518" t="n">
        <v>0</v>
      </c>
      <c r="I518" t="n">
        <v>0</v>
      </c>
      <c r="J518" t="n">
        <v>0</v>
      </c>
      <c r="K518" t="n">
        <v>0</v>
      </c>
      <c r="L518" t="n">
        <v>0</v>
      </c>
      <c r="M518" t="n">
        <v>0</v>
      </c>
      <c r="N518" t="n">
        <v>0</v>
      </c>
      <c r="O518" t="n">
        <v>0</v>
      </c>
      <c r="P518" t="n">
        <v>0</v>
      </c>
      <c r="Q518" t="n">
        <v>0</v>
      </c>
      <c r="R518" s="2" t="inlineStr"/>
    </row>
    <row r="519" ht="15" customHeight="1">
      <c r="A519" t="inlineStr">
        <is>
          <t>A 61405-2023</t>
        </is>
      </c>
      <c r="B519" s="1" t="n">
        <v>45264.65987268519</v>
      </c>
      <c r="C519" s="1" t="n">
        <v>45967</v>
      </c>
      <c r="D519" t="inlineStr">
        <is>
          <t>DALARNAS LÄN</t>
        </is>
      </c>
      <c r="E519" t="inlineStr">
        <is>
          <t>MORA</t>
        </is>
      </c>
      <c r="G519" t="n">
        <v>0.4</v>
      </c>
      <c r="H519" t="n">
        <v>0</v>
      </c>
      <c r="I519" t="n">
        <v>0</v>
      </c>
      <c r="J519" t="n">
        <v>0</v>
      </c>
      <c r="K519" t="n">
        <v>0</v>
      </c>
      <c r="L519" t="n">
        <v>0</v>
      </c>
      <c r="M519" t="n">
        <v>0</v>
      </c>
      <c r="N519" t="n">
        <v>0</v>
      </c>
      <c r="O519" t="n">
        <v>0</v>
      </c>
      <c r="P519" t="n">
        <v>0</v>
      </c>
      <c r="Q519" t="n">
        <v>0</v>
      </c>
      <c r="R519" s="2" t="inlineStr"/>
    </row>
    <row r="520" ht="15" customHeight="1">
      <c r="A520" t="inlineStr">
        <is>
          <t>A 30819-2024</t>
        </is>
      </c>
      <c r="B520" s="1" t="n">
        <v>45497</v>
      </c>
      <c r="C520" s="1" t="n">
        <v>45967</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57475-2022</t>
        </is>
      </c>
      <c r="B521" s="1" t="n">
        <v>44896</v>
      </c>
      <c r="C521" s="1" t="n">
        <v>45967</v>
      </c>
      <c r="D521" t="inlineStr">
        <is>
          <t>DALARNAS LÄN</t>
        </is>
      </c>
      <c r="E521" t="inlineStr">
        <is>
          <t>MORA</t>
        </is>
      </c>
      <c r="G521" t="n">
        <v>5.7</v>
      </c>
      <c r="H521" t="n">
        <v>0</v>
      </c>
      <c r="I521" t="n">
        <v>0</v>
      </c>
      <c r="J521" t="n">
        <v>0</v>
      </c>
      <c r="K521" t="n">
        <v>0</v>
      </c>
      <c r="L521" t="n">
        <v>0</v>
      </c>
      <c r="M521" t="n">
        <v>0</v>
      </c>
      <c r="N521" t="n">
        <v>0</v>
      </c>
      <c r="O521" t="n">
        <v>0</v>
      </c>
      <c r="P521" t="n">
        <v>0</v>
      </c>
      <c r="Q521" t="n">
        <v>0</v>
      </c>
      <c r="R521" s="2" t="inlineStr"/>
    </row>
    <row r="522" ht="15" customHeight="1">
      <c r="A522" t="inlineStr">
        <is>
          <t>A 60051-2022</t>
        </is>
      </c>
      <c r="B522" s="1" t="n">
        <v>44909.52385416667</v>
      </c>
      <c r="C522" s="1" t="n">
        <v>45967</v>
      </c>
      <c r="D522" t="inlineStr">
        <is>
          <t>DALARNAS LÄN</t>
        </is>
      </c>
      <c r="E522" t="inlineStr">
        <is>
          <t>MORA</t>
        </is>
      </c>
      <c r="G522" t="n">
        <v>0.9</v>
      </c>
      <c r="H522" t="n">
        <v>0</v>
      </c>
      <c r="I522" t="n">
        <v>0</v>
      </c>
      <c r="J522" t="n">
        <v>0</v>
      </c>
      <c r="K522" t="n">
        <v>0</v>
      </c>
      <c r="L522" t="n">
        <v>0</v>
      </c>
      <c r="M522" t="n">
        <v>0</v>
      </c>
      <c r="N522" t="n">
        <v>0</v>
      </c>
      <c r="O522" t="n">
        <v>0</v>
      </c>
      <c r="P522" t="n">
        <v>0</v>
      </c>
      <c r="Q522" t="n">
        <v>0</v>
      </c>
      <c r="R522" s="2" t="inlineStr"/>
    </row>
    <row r="523" ht="15" customHeight="1">
      <c r="A523" t="inlineStr">
        <is>
          <t>A 46414-2024</t>
        </is>
      </c>
      <c r="B523" s="1" t="n">
        <v>45582.45226851852</v>
      </c>
      <c r="C523" s="1" t="n">
        <v>45967</v>
      </c>
      <c r="D523" t="inlineStr">
        <is>
          <t>DALARNAS LÄN</t>
        </is>
      </c>
      <c r="E523" t="inlineStr">
        <is>
          <t>MORA</t>
        </is>
      </c>
      <c r="G523" t="n">
        <v>0.6</v>
      </c>
      <c r="H523" t="n">
        <v>0</v>
      </c>
      <c r="I523" t="n">
        <v>0</v>
      </c>
      <c r="J523" t="n">
        <v>0</v>
      </c>
      <c r="K523" t="n">
        <v>0</v>
      </c>
      <c r="L523" t="n">
        <v>0</v>
      </c>
      <c r="M523" t="n">
        <v>0</v>
      </c>
      <c r="N523" t="n">
        <v>0</v>
      </c>
      <c r="O523" t="n">
        <v>0</v>
      </c>
      <c r="P523" t="n">
        <v>0</v>
      </c>
      <c r="Q523" t="n">
        <v>0</v>
      </c>
      <c r="R523" s="2" t="inlineStr"/>
    </row>
    <row r="524" ht="15" customHeight="1">
      <c r="A524" t="inlineStr">
        <is>
          <t>A 46417-2024</t>
        </is>
      </c>
      <c r="B524" s="1" t="n">
        <v>45582.45449074074</v>
      </c>
      <c r="C524" s="1" t="n">
        <v>45967</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48390-2024</t>
        </is>
      </c>
      <c r="B525" s="1" t="n">
        <v>45590.60216435185</v>
      </c>
      <c r="C525" s="1" t="n">
        <v>45967</v>
      </c>
      <c r="D525" t="inlineStr">
        <is>
          <t>DALARNAS LÄN</t>
        </is>
      </c>
      <c r="E525" t="inlineStr">
        <is>
          <t>MORA</t>
        </is>
      </c>
      <c r="G525" t="n">
        <v>5</v>
      </c>
      <c r="H525" t="n">
        <v>0</v>
      </c>
      <c r="I525" t="n">
        <v>0</v>
      </c>
      <c r="J525" t="n">
        <v>0</v>
      </c>
      <c r="K525" t="n">
        <v>0</v>
      </c>
      <c r="L525" t="n">
        <v>0</v>
      </c>
      <c r="M525" t="n">
        <v>0</v>
      </c>
      <c r="N525" t="n">
        <v>0</v>
      </c>
      <c r="O525" t="n">
        <v>0</v>
      </c>
      <c r="P525" t="n">
        <v>0</v>
      </c>
      <c r="Q525" t="n">
        <v>0</v>
      </c>
      <c r="R525" s="2" t="inlineStr"/>
    </row>
    <row r="526" ht="15" customHeight="1">
      <c r="A526" t="inlineStr">
        <is>
          <t>A 17280-2025</t>
        </is>
      </c>
      <c r="B526" s="1" t="n">
        <v>45756</v>
      </c>
      <c r="C526" s="1" t="n">
        <v>45967</v>
      </c>
      <c r="D526" t="inlineStr">
        <is>
          <t>DALARNAS LÄN</t>
        </is>
      </c>
      <c r="E526" t="inlineStr">
        <is>
          <t>MORA</t>
        </is>
      </c>
      <c r="G526" t="n">
        <v>2.1</v>
      </c>
      <c r="H526" t="n">
        <v>0</v>
      </c>
      <c r="I526" t="n">
        <v>0</v>
      </c>
      <c r="J526" t="n">
        <v>0</v>
      </c>
      <c r="K526" t="n">
        <v>0</v>
      </c>
      <c r="L526" t="n">
        <v>0</v>
      </c>
      <c r="M526" t="n">
        <v>0</v>
      </c>
      <c r="N526" t="n">
        <v>0</v>
      </c>
      <c r="O526" t="n">
        <v>0</v>
      </c>
      <c r="P526" t="n">
        <v>0</v>
      </c>
      <c r="Q526" t="n">
        <v>0</v>
      </c>
      <c r="R526" s="2" t="inlineStr"/>
    </row>
    <row r="527" ht="15" customHeight="1">
      <c r="A527" t="inlineStr">
        <is>
          <t>A 55671-2024</t>
        </is>
      </c>
      <c r="B527" s="1" t="n">
        <v>45622.65269675926</v>
      </c>
      <c r="C527" s="1" t="n">
        <v>45967</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52804-2025</t>
        </is>
      </c>
      <c r="B528" s="1" t="n">
        <v>45957.44552083333</v>
      </c>
      <c r="C528" s="1" t="n">
        <v>45967</v>
      </c>
      <c r="D528" t="inlineStr">
        <is>
          <t>DALARNAS LÄN</t>
        </is>
      </c>
      <c r="E528" t="inlineStr">
        <is>
          <t>MORA</t>
        </is>
      </c>
      <c r="G528" t="n">
        <v>2.9</v>
      </c>
      <c r="H528" t="n">
        <v>0</v>
      </c>
      <c r="I528" t="n">
        <v>0</v>
      </c>
      <c r="J528" t="n">
        <v>0</v>
      </c>
      <c r="K528" t="n">
        <v>0</v>
      </c>
      <c r="L528" t="n">
        <v>0</v>
      </c>
      <c r="M528" t="n">
        <v>0</v>
      </c>
      <c r="N528" t="n">
        <v>0</v>
      </c>
      <c r="O528" t="n">
        <v>0</v>
      </c>
      <c r="P528" t="n">
        <v>0</v>
      </c>
      <c r="Q528" t="n">
        <v>0</v>
      </c>
      <c r="R528" s="2" t="inlineStr"/>
    </row>
    <row r="529" ht="15" customHeight="1">
      <c r="A529" t="inlineStr">
        <is>
          <t>A 61270-2024</t>
        </is>
      </c>
      <c r="B529" s="1" t="n">
        <v>45645.74694444444</v>
      </c>
      <c r="C529" s="1" t="n">
        <v>45967</v>
      </c>
      <c r="D529" t="inlineStr">
        <is>
          <t>DALARNAS LÄN</t>
        </is>
      </c>
      <c r="E529" t="inlineStr">
        <is>
          <t>MORA</t>
        </is>
      </c>
      <c r="G529" t="n">
        <v>5.1</v>
      </c>
      <c r="H529" t="n">
        <v>0</v>
      </c>
      <c r="I529" t="n">
        <v>0</v>
      </c>
      <c r="J529" t="n">
        <v>0</v>
      </c>
      <c r="K529" t="n">
        <v>0</v>
      </c>
      <c r="L529" t="n">
        <v>0</v>
      </c>
      <c r="M529" t="n">
        <v>0</v>
      </c>
      <c r="N529" t="n">
        <v>0</v>
      </c>
      <c r="O529" t="n">
        <v>0</v>
      </c>
      <c r="P529" t="n">
        <v>0</v>
      </c>
      <c r="Q529" t="n">
        <v>0</v>
      </c>
      <c r="R529" s="2" t="inlineStr"/>
    </row>
    <row r="530" ht="15" customHeight="1">
      <c r="A530" t="inlineStr">
        <is>
          <t>A 26546-2025</t>
        </is>
      </c>
      <c r="B530" s="1" t="n">
        <v>45807</v>
      </c>
      <c r="C530" s="1" t="n">
        <v>45967</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26573-2025</t>
        </is>
      </c>
      <c r="B531" s="1" t="n">
        <v>45807</v>
      </c>
      <c r="C531" s="1" t="n">
        <v>45967</v>
      </c>
      <c r="D531" t="inlineStr">
        <is>
          <t>DALARNAS LÄN</t>
        </is>
      </c>
      <c r="E531" t="inlineStr">
        <is>
          <t>MORA</t>
        </is>
      </c>
      <c r="G531" t="n">
        <v>4.3</v>
      </c>
      <c r="H531" t="n">
        <v>0</v>
      </c>
      <c r="I531" t="n">
        <v>0</v>
      </c>
      <c r="J531" t="n">
        <v>0</v>
      </c>
      <c r="K531" t="n">
        <v>0</v>
      </c>
      <c r="L531" t="n">
        <v>0</v>
      </c>
      <c r="M531" t="n">
        <v>0</v>
      </c>
      <c r="N531" t="n">
        <v>0</v>
      </c>
      <c r="O531" t="n">
        <v>0</v>
      </c>
      <c r="P531" t="n">
        <v>0</v>
      </c>
      <c r="Q531" t="n">
        <v>0</v>
      </c>
      <c r="R531" s="2" t="inlineStr"/>
    </row>
    <row r="532" ht="15" customHeight="1">
      <c r="A532" t="inlineStr">
        <is>
          <t>A 44384-2025</t>
        </is>
      </c>
      <c r="B532" s="1" t="n">
        <v>45916.48513888889</v>
      </c>
      <c r="C532" s="1" t="n">
        <v>45967</v>
      </c>
      <c r="D532" t="inlineStr">
        <is>
          <t>DALARNAS LÄN</t>
        </is>
      </c>
      <c r="E532" t="inlineStr">
        <is>
          <t>MORA</t>
        </is>
      </c>
      <c r="F532" t="inlineStr">
        <is>
          <t>Kyrkan</t>
        </is>
      </c>
      <c r="G532" t="n">
        <v>5.1</v>
      </c>
      <c r="H532" t="n">
        <v>0</v>
      </c>
      <c r="I532" t="n">
        <v>0</v>
      </c>
      <c r="J532" t="n">
        <v>0</v>
      </c>
      <c r="K532" t="n">
        <v>0</v>
      </c>
      <c r="L532" t="n">
        <v>0</v>
      </c>
      <c r="M532" t="n">
        <v>0</v>
      </c>
      <c r="N532" t="n">
        <v>0</v>
      </c>
      <c r="O532" t="n">
        <v>0</v>
      </c>
      <c r="P532" t="n">
        <v>0</v>
      </c>
      <c r="Q532" t="n">
        <v>0</v>
      </c>
      <c r="R532" s="2" t="inlineStr"/>
    </row>
    <row r="533" ht="15" customHeight="1">
      <c r="A533" t="inlineStr">
        <is>
          <t>A 26532-2025</t>
        </is>
      </c>
      <c r="B533" s="1" t="n">
        <v>45807</v>
      </c>
      <c r="C533" s="1" t="n">
        <v>45967</v>
      </c>
      <c r="D533" t="inlineStr">
        <is>
          <t>DALARNAS LÄN</t>
        </is>
      </c>
      <c r="E533" t="inlineStr">
        <is>
          <t>MORA</t>
        </is>
      </c>
      <c r="G533" t="n">
        <v>4.4</v>
      </c>
      <c r="H533" t="n">
        <v>0</v>
      </c>
      <c r="I533" t="n">
        <v>0</v>
      </c>
      <c r="J533" t="n">
        <v>0</v>
      </c>
      <c r="K533" t="n">
        <v>0</v>
      </c>
      <c r="L533" t="n">
        <v>0</v>
      </c>
      <c r="M533" t="n">
        <v>0</v>
      </c>
      <c r="N533" t="n">
        <v>0</v>
      </c>
      <c r="O533" t="n">
        <v>0</v>
      </c>
      <c r="P533" t="n">
        <v>0</v>
      </c>
      <c r="Q533" t="n">
        <v>0</v>
      </c>
      <c r="R533" s="2" t="inlineStr"/>
    </row>
    <row r="534" ht="15" customHeight="1">
      <c r="A534" t="inlineStr">
        <is>
          <t>A 26545-2025</t>
        </is>
      </c>
      <c r="B534" s="1" t="n">
        <v>45807</v>
      </c>
      <c r="C534" s="1" t="n">
        <v>45967</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53150-2025</t>
        </is>
      </c>
      <c r="B535" s="1" t="n">
        <v>45958.48280092593</v>
      </c>
      <c r="C535" s="1" t="n">
        <v>45967</v>
      </c>
      <c r="D535" t="inlineStr">
        <is>
          <t>DALARNAS LÄN</t>
        </is>
      </c>
      <c r="E535" t="inlineStr">
        <is>
          <t>MORA</t>
        </is>
      </c>
      <c r="F535" t="inlineStr">
        <is>
          <t>Bergvik skog öst AB</t>
        </is>
      </c>
      <c r="G535" t="n">
        <v>0.8</v>
      </c>
      <c r="H535" t="n">
        <v>0</v>
      </c>
      <c r="I535" t="n">
        <v>0</v>
      </c>
      <c r="J535" t="n">
        <v>0</v>
      </c>
      <c r="K535" t="n">
        <v>0</v>
      </c>
      <c r="L535" t="n">
        <v>0</v>
      </c>
      <c r="M535" t="n">
        <v>0</v>
      </c>
      <c r="N535" t="n">
        <v>0</v>
      </c>
      <c r="O535" t="n">
        <v>0</v>
      </c>
      <c r="P535" t="n">
        <v>0</v>
      </c>
      <c r="Q535" t="n">
        <v>0</v>
      </c>
      <c r="R535" s="2" t="inlineStr"/>
    </row>
    <row r="536" ht="15" customHeight="1">
      <c r="A536" t="inlineStr">
        <is>
          <t>A 53151-2025</t>
        </is>
      </c>
      <c r="B536" s="1" t="n">
        <v>45958.48611111111</v>
      </c>
      <c r="C536" s="1" t="n">
        <v>45967</v>
      </c>
      <c r="D536" t="inlineStr">
        <is>
          <t>DALARNAS LÄN</t>
        </is>
      </c>
      <c r="E536" t="inlineStr">
        <is>
          <t>MORA</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20885-2024</t>
        </is>
      </c>
      <c r="B537" s="1" t="n">
        <v>45439.45527777778</v>
      </c>
      <c r="C537" s="1" t="n">
        <v>45967</v>
      </c>
      <c r="D537" t="inlineStr">
        <is>
          <t>DALARNAS LÄN</t>
        </is>
      </c>
      <c r="E537" t="inlineStr">
        <is>
          <t>MORA</t>
        </is>
      </c>
      <c r="G537" t="n">
        <v>5</v>
      </c>
      <c r="H537" t="n">
        <v>0</v>
      </c>
      <c r="I537" t="n">
        <v>0</v>
      </c>
      <c r="J537" t="n">
        <v>0</v>
      </c>
      <c r="K537" t="n">
        <v>0</v>
      </c>
      <c r="L537" t="n">
        <v>0</v>
      </c>
      <c r="M537" t="n">
        <v>0</v>
      </c>
      <c r="N537" t="n">
        <v>0</v>
      </c>
      <c r="O537" t="n">
        <v>0</v>
      </c>
      <c r="P537" t="n">
        <v>0</v>
      </c>
      <c r="Q537" t="n">
        <v>0</v>
      </c>
      <c r="R537" s="2" t="inlineStr"/>
    </row>
    <row r="538" ht="15" customHeight="1">
      <c r="A538" t="inlineStr">
        <is>
          <t>A 26630-2025</t>
        </is>
      </c>
      <c r="B538" s="1" t="n">
        <v>45809</v>
      </c>
      <c r="C538" s="1" t="n">
        <v>45967</v>
      </c>
      <c r="D538" t="inlineStr">
        <is>
          <t>DALARNAS LÄN</t>
        </is>
      </c>
      <c r="E538" t="inlineStr">
        <is>
          <t>MORA</t>
        </is>
      </c>
      <c r="G538" t="n">
        <v>32.1</v>
      </c>
      <c r="H538" t="n">
        <v>0</v>
      </c>
      <c r="I538" t="n">
        <v>0</v>
      </c>
      <c r="J538" t="n">
        <v>0</v>
      </c>
      <c r="K538" t="n">
        <v>0</v>
      </c>
      <c r="L538" t="n">
        <v>0</v>
      </c>
      <c r="M538" t="n">
        <v>0</v>
      </c>
      <c r="N538" t="n">
        <v>0</v>
      </c>
      <c r="O538" t="n">
        <v>0</v>
      </c>
      <c r="P538" t="n">
        <v>0</v>
      </c>
      <c r="Q538" t="n">
        <v>0</v>
      </c>
      <c r="R538" s="2" t="inlineStr"/>
    </row>
    <row r="539" ht="15" customHeight="1">
      <c r="A539" t="inlineStr">
        <is>
          <t>A 4208-2023</t>
        </is>
      </c>
      <c r="B539" s="1" t="n">
        <v>44953</v>
      </c>
      <c r="C539" s="1" t="n">
        <v>45967</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4210-2023</t>
        </is>
      </c>
      <c r="B540" s="1" t="n">
        <v>44953.44965277778</v>
      </c>
      <c r="C540" s="1" t="n">
        <v>45967</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5491-2023</t>
        </is>
      </c>
      <c r="B541" s="1" t="n">
        <v>44957</v>
      </c>
      <c r="C541" s="1" t="n">
        <v>45967</v>
      </c>
      <c r="D541" t="inlineStr">
        <is>
          <t>DALARNAS LÄN</t>
        </is>
      </c>
      <c r="E541" t="inlineStr">
        <is>
          <t>MORA</t>
        </is>
      </c>
      <c r="G541" t="n">
        <v>3.5</v>
      </c>
      <c r="H541" t="n">
        <v>0</v>
      </c>
      <c r="I541" t="n">
        <v>0</v>
      </c>
      <c r="J541" t="n">
        <v>0</v>
      </c>
      <c r="K541" t="n">
        <v>0</v>
      </c>
      <c r="L541" t="n">
        <v>0</v>
      </c>
      <c r="M541" t="n">
        <v>0</v>
      </c>
      <c r="N541" t="n">
        <v>0</v>
      </c>
      <c r="O541" t="n">
        <v>0</v>
      </c>
      <c r="P541" t="n">
        <v>0</v>
      </c>
      <c r="Q541" t="n">
        <v>0</v>
      </c>
      <c r="R541" s="2" t="inlineStr"/>
    </row>
    <row r="542" ht="15" customHeight="1">
      <c r="A542" t="inlineStr">
        <is>
          <t>A 5493-2023</t>
        </is>
      </c>
      <c r="B542" s="1" t="n">
        <v>44957</v>
      </c>
      <c r="C542" s="1" t="n">
        <v>45967</v>
      </c>
      <c r="D542" t="inlineStr">
        <is>
          <t>DALARNAS LÄN</t>
        </is>
      </c>
      <c r="E542" t="inlineStr">
        <is>
          <t>MORA</t>
        </is>
      </c>
      <c r="F542" t="inlineStr">
        <is>
          <t>Allmännings- och besparingsskogar</t>
        </is>
      </c>
      <c r="G542" t="n">
        <v>14.9</v>
      </c>
      <c r="H542" t="n">
        <v>0</v>
      </c>
      <c r="I542" t="n">
        <v>0</v>
      </c>
      <c r="J542" t="n">
        <v>0</v>
      </c>
      <c r="K542" t="n">
        <v>0</v>
      </c>
      <c r="L542" t="n">
        <v>0</v>
      </c>
      <c r="M542" t="n">
        <v>0</v>
      </c>
      <c r="N542" t="n">
        <v>0</v>
      </c>
      <c r="O542" t="n">
        <v>0</v>
      </c>
      <c r="P542" t="n">
        <v>0</v>
      </c>
      <c r="Q542" t="n">
        <v>0</v>
      </c>
      <c r="R542" s="2" t="inlineStr"/>
    </row>
    <row r="543" ht="15" customHeight="1">
      <c r="A543" t="inlineStr">
        <is>
          <t>A 7116-2024</t>
        </is>
      </c>
      <c r="B543" s="1" t="n">
        <v>45343.95445601852</v>
      </c>
      <c r="C543" s="1" t="n">
        <v>45967</v>
      </c>
      <c r="D543" t="inlineStr">
        <is>
          <t>DALARNAS LÄN</t>
        </is>
      </c>
      <c r="E543" t="inlineStr">
        <is>
          <t>MORA</t>
        </is>
      </c>
      <c r="G543" t="n">
        <v>0.3</v>
      </c>
      <c r="H543" t="n">
        <v>0</v>
      </c>
      <c r="I543" t="n">
        <v>0</v>
      </c>
      <c r="J543" t="n">
        <v>0</v>
      </c>
      <c r="K543" t="n">
        <v>0</v>
      </c>
      <c r="L543" t="n">
        <v>0</v>
      </c>
      <c r="M543" t="n">
        <v>0</v>
      </c>
      <c r="N543" t="n">
        <v>0</v>
      </c>
      <c r="O543" t="n">
        <v>0</v>
      </c>
      <c r="P543" t="n">
        <v>0</v>
      </c>
      <c r="Q543" t="n">
        <v>0</v>
      </c>
      <c r="R543" s="2" t="inlineStr"/>
    </row>
    <row r="544" ht="15" customHeight="1">
      <c r="A544" t="inlineStr">
        <is>
          <t>A 59995-2023</t>
        </is>
      </c>
      <c r="B544" s="1" t="n">
        <v>45254</v>
      </c>
      <c r="C544" s="1" t="n">
        <v>45967</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13479-2024</t>
        </is>
      </c>
      <c r="B545" s="1" t="n">
        <v>45387.5900925926</v>
      </c>
      <c r="C545" s="1" t="n">
        <v>45967</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41812-2024</t>
        </is>
      </c>
      <c r="B546" s="1" t="n">
        <v>45561.3771412037</v>
      </c>
      <c r="C546" s="1" t="n">
        <v>45967</v>
      </c>
      <c r="D546" t="inlineStr">
        <is>
          <t>DALARNAS LÄN</t>
        </is>
      </c>
      <c r="E546" t="inlineStr">
        <is>
          <t>MORA</t>
        </is>
      </c>
      <c r="G546" t="n">
        <v>2.2</v>
      </c>
      <c r="H546" t="n">
        <v>0</v>
      </c>
      <c r="I546" t="n">
        <v>0</v>
      </c>
      <c r="J546" t="n">
        <v>0</v>
      </c>
      <c r="K546" t="n">
        <v>0</v>
      </c>
      <c r="L546" t="n">
        <v>0</v>
      </c>
      <c r="M546" t="n">
        <v>0</v>
      </c>
      <c r="N546" t="n">
        <v>0</v>
      </c>
      <c r="O546" t="n">
        <v>0</v>
      </c>
      <c r="P546" t="n">
        <v>0</v>
      </c>
      <c r="Q546" t="n">
        <v>0</v>
      </c>
      <c r="R546" s="2" t="inlineStr"/>
    </row>
    <row r="547" ht="15" customHeight="1">
      <c r="A547" t="inlineStr">
        <is>
          <t>A 42085-2024</t>
        </is>
      </c>
      <c r="B547" s="1" t="n">
        <v>45562.33179398148</v>
      </c>
      <c r="C547" s="1" t="n">
        <v>45967</v>
      </c>
      <c r="D547" t="inlineStr">
        <is>
          <t>DALARNAS LÄN</t>
        </is>
      </c>
      <c r="E547" t="inlineStr">
        <is>
          <t>MORA</t>
        </is>
      </c>
      <c r="G547" t="n">
        <v>4.9</v>
      </c>
      <c r="H547" t="n">
        <v>0</v>
      </c>
      <c r="I547" t="n">
        <v>0</v>
      </c>
      <c r="J547" t="n">
        <v>0</v>
      </c>
      <c r="K547" t="n">
        <v>0</v>
      </c>
      <c r="L547" t="n">
        <v>0</v>
      </c>
      <c r="M547" t="n">
        <v>0</v>
      </c>
      <c r="N547" t="n">
        <v>0</v>
      </c>
      <c r="O547" t="n">
        <v>0</v>
      </c>
      <c r="P547" t="n">
        <v>0</v>
      </c>
      <c r="Q547" t="n">
        <v>0</v>
      </c>
      <c r="R547" s="2" t="inlineStr"/>
    </row>
    <row r="548" ht="15" customHeight="1">
      <c r="A548" t="inlineStr">
        <is>
          <t>A 53556-2025</t>
        </is>
      </c>
      <c r="B548" s="1" t="n">
        <v>45960.3921875</v>
      </c>
      <c r="C548" s="1" t="n">
        <v>45967</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60465-2023</t>
        </is>
      </c>
      <c r="B549" s="1" t="n">
        <v>45259.57872685185</v>
      </c>
      <c r="C549" s="1" t="n">
        <v>45967</v>
      </c>
      <c r="D549" t="inlineStr">
        <is>
          <t>DALARNAS LÄN</t>
        </is>
      </c>
      <c r="E549" t="inlineStr">
        <is>
          <t>MORA</t>
        </is>
      </c>
      <c r="G549" t="n">
        <v>1.3</v>
      </c>
      <c r="H549" t="n">
        <v>0</v>
      </c>
      <c r="I549" t="n">
        <v>0</v>
      </c>
      <c r="J549" t="n">
        <v>0</v>
      </c>
      <c r="K549" t="n">
        <v>0</v>
      </c>
      <c r="L549" t="n">
        <v>0</v>
      </c>
      <c r="M549" t="n">
        <v>0</v>
      </c>
      <c r="N549" t="n">
        <v>0</v>
      </c>
      <c r="O549" t="n">
        <v>0</v>
      </c>
      <c r="P549" t="n">
        <v>0</v>
      </c>
      <c r="Q549" t="n">
        <v>0</v>
      </c>
      <c r="R549" s="2" t="inlineStr"/>
    </row>
    <row r="550" ht="15" customHeight="1">
      <c r="A550" t="inlineStr">
        <is>
          <t>A 53632-2025</t>
        </is>
      </c>
      <c r="B550" s="1" t="n">
        <v>45960.49972222222</v>
      </c>
      <c r="C550" s="1" t="n">
        <v>45967</v>
      </c>
      <c r="D550" t="inlineStr">
        <is>
          <t>DALARNAS LÄN</t>
        </is>
      </c>
      <c r="E550" t="inlineStr">
        <is>
          <t>MORA</t>
        </is>
      </c>
      <c r="G550" t="n">
        <v>3.1</v>
      </c>
      <c r="H550" t="n">
        <v>0</v>
      </c>
      <c r="I550" t="n">
        <v>0</v>
      </c>
      <c r="J550" t="n">
        <v>0</v>
      </c>
      <c r="K550" t="n">
        <v>0</v>
      </c>
      <c r="L550" t="n">
        <v>0</v>
      </c>
      <c r="M550" t="n">
        <v>0</v>
      </c>
      <c r="N550" t="n">
        <v>0</v>
      </c>
      <c r="O550" t="n">
        <v>0</v>
      </c>
      <c r="P550" t="n">
        <v>0</v>
      </c>
      <c r="Q550" t="n">
        <v>0</v>
      </c>
      <c r="R550" s="2" t="inlineStr"/>
    </row>
    <row r="551" ht="15" customHeight="1">
      <c r="A551" t="inlineStr">
        <is>
          <t>A 33676-2023</t>
        </is>
      </c>
      <c r="B551" s="1" t="n">
        <v>45132.6291550926</v>
      </c>
      <c r="C551" s="1" t="n">
        <v>45967</v>
      </c>
      <c r="D551" t="inlineStr">
        <is>
          <t>DALARNAS LÄN</t>
        </is>
      </c>
      <c r="E551" t="inlineStr">
        <is>
          <t>MORA</t>
        </is>
      </c>
      <c r="F551" t="inlineStr">
        <is>
          <t>Bergvik skog öst AB</t>
        </is>
      </c>
      <c r="G551" t="n">
        <v>2.7</v>
      </c>
      <c r="H551" t="n">
        <v>0</v>
      </c>
      <c r="I551" t="n">
        <v>0</v>
      </c>
      <c r="J551" t="n">
        <v>0</v>
      </c>
      <c r="K551" t="n">
        <v>0</v>
      </c>
      <c r="L551" t="n">
        <v>0</v>
      </c>
      <c r="M551" t="n">
        <v>0</v>
      </c>
      <c r="N551" t="n">
        <v>0</v>
      </c>
      <c r="O551" t="n">
        <v>0</v>
      </c>
      <c r="P551" t="n">
        <v>0</v>
      </c>
      <c r="Q551" t="n">
        <v>0</v>
      </c>
      <c r="R551" s="2" t="inlineStr"/>
    </row>
    <row r="552" ht="15" customHeight="1">
      <c r="A552" t="inlineStr">
        <is>
          <t>A 9554-2025</t>
        </is>
      </c>
      <c r="B552" s="1" t="n">
        <v>45715.59936342593</v>
      </c>
      <c r="C552" s="1" t="n">
        <v>45967</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11463-2024</t>
        </is>
      </c>
      <c r="B553" s="1" t="n">
        <v>45372.58969907407</v>
      </c>
      <c r="C553" s="1" t="n">
        <v>45967</v>
      </c>
      <c r="D553" t="inlineStr">
        <is>
          <t>DALARNAS LÄN</t>
        </is>
      </c>
      <c r="E553" t="inlineStr">
        <is>
          <t>MORA</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53591-2025</t>
        </is>
      </c>
      <c r="B554" s="1" t="n">
        <v>45960.43893518519</v>
      </c>
      <c r="C554" s="1" t="n">
        <v>45967</v>
      </c>
      <c r="D554" t="inlineStr">
        <is>
          <t>DALARNAS LÄN</t>
        </is>
      </c>
      <c r="E554" t="inlineStr">
        <is>
          <t>MORA</t>
        </is>
      </c>
      <c r="G554" t="n">
        <v>3.8</v>
      </c>
      <c r="H554" t="n">
        <v>0</v>
      </c>
      <c r="I554" t="n">
        <v>0</v>
      </c>
      <c r="J554" t="n">
        <v>0</v>
      </c>
      <c r="K554" t="n">
        <v>0</v>
      </c>
      <c r="L554" t="n">
        <v>0</v>
      </c>
      <c r="M554" t="n">
        <v>0</v>
      </c>
      <c r="N554" t="n">
        <v>0</v>
      </c>
      <c r="O554" t="n">
        <v>0</v>
      </c>
      <c r="P554" t="n">
        <v>0</v>
      </c>
      <c r="Q554" t="n">
        <v>0</v>
      </c>
      <c r="R554" s="2" t="inlineStr"/>
    </row>
    <row r="555" ht="15" customHeight="1">
      <c r="A555" t="inlineStr">
        <is>
          <t>A 26577-2025</t>
        </is>
      </c>
      <c r="B555" s="1" t="n">
        <v>45807</v>
      </c>
      <c r="C555" s="1" t="n">
        <v>45967</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29193-2023</t>
        </is>
      </c>
      <c r="B556" s="1" t="n">
        <v>45105.54791666667</v>
      </c>
      <c r="C556" s="1" t="n">
        <v>45967</v>
      </c>
      <c r="D556" t="inlineStr">
        <is>
          <t>DALARNAS LÄN</t>
        </is>
      </c>
      <c r="E556" t="inlineStr">
        <is>
          <t>MORA</t>
        </is>
      </c>
      <c r="G556" t="n">
        <v>0.4</v>
      </c>
      <c r="H556" t="n">
        <v>0</v>
      </c>
      <c r="I556" t="n">
        <v>0</v>
      </c>
      <c r="J556" t="n">
        <v>0</v>
      </c>
      <c r="K556" t="n">
        <v>0</v>
      </c>
      <c r="L556" t="n">
        <v>0</v>
      </c>
      <c r="M556" t="n">
        <v>0</v>
      </c>
      <c r="N556" t="n">
        <v>0</v>
      </c>
      <c r="O556" t="n">
        <v>0</v>
      </c>
      <c r="P556" t="n">
        <v>0</v>
      </c>
      <c r="Q556" t="n">
        <v>0</v>
      </c>
      <c r="R556" s="2" t="inlineStr"/>
    </row>
    <row r="557" ht="15" customHeight="1">
      <c r="A557" t="inlineStr">
        <is>
          <t>A 27975-2023</t>
        </is>
      </c>
      <c r="B557" s="1" t="n">
        <v>45098</v>
      </c>
      <c r="C557" s="1" t="n">
        <v>45967</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5769-2025</t>
        </is>
      </c>
      <c r="B558" s="1" t="n">
        <v>45694.59288194445</v>
      </c>
      <c r="C558" s="1" t="n">
        <v>45967</v>
      </c>
      <c r="D558" t="inlineStr">
        <is>
          <t>DALARNAS LÄN</t>
        </is>
      </c>
      <c r="E558" t="inlineStr">
        <is>
          <t>MORA</t>
        </is>
      </c>
      <c r="G558" t="n">
        <v>15.7</v>
      </c>
      <c r="H558" t="n">
        <v>0</v>
      </c>
      <c r="I558" t="n">
        <v>0</v>
      </c>
      <c r="J558" t="n">
        <v>0</v>
      </c>
      <c r="K558" t="n">
        <v>0</v>
      </c>
      <c r="L558" t="n">
        <v>0</v>
      </c>
      <c r="M558" t="n">
        <v>0</v>
      </c>
      <c r="N558" t="n">
        <v>0</v>
      </c>
      <c r="O558" t="n">
        <v>0</v>
      </c>
      <c r="P558" t="n">
        <v>0</v>
      </c>
      <c r="Q558" t="n">
        <v>0</v>
      </c>
      <c r="R558" s="2" t="inlineStr"/>
    </row>
    <row r="559" ht="15" customHeight="1">
      <c r="A559" t="inlineStr">
        <is>
          <t>A 59101-2024</t>
        </is>
      </c>
      <c r="B559" s="1" t="n">
        <v>45637.34074074074</v>
      </c>
      <c r="C559" s="1" t="n">
        <v>45967</v>
      </c>
      <c r="D559" t="inlineStr">
        <is>
          <t>DALARNAS LÄN</t>
        </is>
      </c>
      <c r="E559" t="inlineStr">
        <is>
          <t>MORA</t>
        </is>
      </c>
      <c r="F559" t="inlineStr">
        <is>
          <t>Allmännings- och besparingsskogar</t>
        </is>
      </c>
      <c r="G559" t="n">
        <v>1.2</v>
      </c>
      <c r="H559" t="n">
        <v>0</v>
      </c>
      <c r="I559" t="n">
        <v>0</v>
      </c>
      <c r="J559" t="n">
        <v>0</v>
      </c>
      <c r="K559" t="n">
        <v>0</v>
      </c>
      <c r="L559" t="n">
        <v>0</v>
      </c>
      <c r="M559" t="n">
        <v>0</v>
      </c>
      <c r="N559" t="n">
        <v>0</v>
      </c>
      <c r="O559" t="n">
        <v>0</v>
      </c>
      <c r="P559" t="n">
        <v>0</v>
      </c>
      <c r="Q559" t="n">
        <v>0</v>
      </c>
      <c r="R559" s="2" t="inlineStr"/>
    </row>
    <row r="560" ht="15" customHeight="1">
      <c r="A560" t="inlineStr">
        <is>
          <t>A 26854-2025</t>
        </is>
      </c>
      <c r="B560" s="1" t="n">
        <v>45810.67462962963</v>
      </c>
      <c r="C560" s="1" t="n">
        <v>45967</v>
      </c>
      <c r="D560" t="inlineStr">
        <is>
          <t>DALARNAS LÄN</t>
        </is>
      </c>
      <c r="E560" t="inlineStr">
        <is>
          <t>MORA</t>
        </is>
      </c>
      <c r="G560" t="n">
        <v>4.4</v>
      </c>
      <c r="H560" t="n">
        <v>0</v>
      </c>
      <c r="I560" t="n">
        <v>0</v>
      </c>
      <c r="J560" t="n">
        <v>0</v>
      </c>
      <c r="K560" t="n">
        <v>0</v>
      </c>
      <c r="L560" t="n">
        <v>0</v>
      </c>
      <c r="M560" t="n">
        <v>0</v>
      </c>
      <c r="N560" t="n">
        <v>0</v>
      </c>
      <c r="O560" t="n">
        <v>0</v>
      </c>
      <c r="P560" t="n">
        <v>0</v>
      </c>
      <c r="Q560" t="n">
        <v>0</v>
      </c>
      <c r="R560" s="2" t="inlineStr"/>
    </row>
    <row r="561" ht="15" customHeight="1">
      <c r="A561" t="inlineStr">
        <is>
          <t>A 44621-2025</t>
        </is>
      </c>
      <c r="B561" s="1" t="n">
        <v>45917.466875</v>
      </c>
      <c r="C561" s="1" t="n">
        <v>45967</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35325-2024</t>
        </is>
      </c>
      <c r="B562" s="1" t="n">
        <v>45530.71158564815</v>
      </c>
      <c r="C562" s="1" t="n">
        <v>45967</v>
      </c>
      <c r="D562" t="inlineStr">
        <is>
          <t>DALARNAS LÄN</t>
        </is>
      </c>
      <c r="E562" t="inlineStr">
        <is>
          <t>MORA</t>
        </is>
      </c>
      <c r="G562" t="n">
        <v>5</v>
      </c>
      <c r="H562" t="n">
        <v>0</v>
      </c>
      <c r="I562" t="n">
        <v>0</v>
      </c>
      <c r="J562" t="n">
        <v>0</v>
      </c>
      <c r="K562" t="n">
        <v>0</v>
      </c>
      <c r="L562" t="n">
        <v>0</v>
      </c>
      <c r="M562" t="n">
        <v>0</v>
      </c>
      <c r="N562" t="n">
        <v>0</v>
      </c>
      <c r="O562" t="n">
        <v>0</v>
      </c>
      <c r="P562" t="n">
        <v>0</v>
      </c>
      <c r="Q562" t="n">
        <v>0</v>
      </c>
      <c r="R562" s="2" t="inlineStr"/>
    </row>
    <row r="563" ht="15" customHeight="1">
      <c r="A563" t="inlineStr">
        <is>
          <t>A 43874-2024</t>
        </is>
      </c>
      <c r="B563" s="1" t="n">
        <v>45572.38476851852</v>
      </c>
      <c r="C563" s="1" t="n">
        <v>45967</v>
      </c>
      <c r="D563" t="inlineStr">
        <is>
          <t>DALARNAS LÄN</t>
        </is>
      </c>
      <c r="E563" t="inlineStr">
        <is>
          <t>MORA</t>
        </is>
      </c>
      <c r="G563" t="n">
        <v>3.6</v>
      </c>
      <c r="H563" t="n">
        <v>0</v>
      </c>
      <c r="I563" t="n">
        <v>0</v>
      </c>
      <c r="J563" t="n">
        <v>0</v>
      </c>
      <c r="K563" t="n">
        <v>0</v>
      </c>
      <c r="L563" t="n">
        <v>0</v>
      </c>
      <c r="M563" t="n">
        <v>0</v>
      </c>
      <c r="N563" t="n">
        <v>0</v>
      </c>
      <c r="O563" t="n">
        <v>0</v>
      </c>
      <c r="P563" t="n">
        <v>0</v>
      </c>
      <c r="Q563" t="n">
        <v>0</v>
      </c>
      <c r="R563" s="2" t="inlineStr"/>
    </row>
    <row r="564" ht="15" customHeight="1">
      <c r="A564" t="inlineStr">
        <is>
          <t>A 6371-2022</t>
        </is>
      </c>
      <c r="B564" s="1" t="n">
        <v>44600</v>
      </c>
      <c r="C564" s="1" t="n">
        <v>45967</v>
      </c>
      <c r="D564" t="inlineStr">
        <is>
          <t>DALARNAS LÄN</t>
        </is>
      </c>
      <c r="E564" t="inlineStr">
        <is>
          <t>MORA</t>
        </is>
      </c>
      <c r="G564" t="n">
        <v>4.6</v>
      </c>
      <c r="H564" t="n">
        <v>0</v>
      </c>
      <c r="I564" t="n">
        <v>0</v>
      </c>
      <c r="J564" t="n">
        <v>0</v>
      </c>
      <c r="K564" t="n">
        <v>0</v>
      </c>
      <c r="L564" t="n">
        <v>0</v>
      </c>
      <c r="M564" t="n">
        <v>0</v>
      </c>
      <c r="N564" t="n">
        <v>0</v>
      </c>
      <c r="O564" t="n">
        <v>0</v>
      </c>
      <c r="P564" t="n">
        <v>0</v>
      </c>
      <c r="Q564" t="n">
        <v>0</v>
      </c>
      <c r="R564" s="2" t="inlineStr"/>
    </row>
    <row r="565" ht="15" customHeight="1">
      <c r="A565" t="inlineStr">
        <is>
          <t>A 53418-2025</t>
        </is>
      </c>
      <c r="B565" s="1" t="n">
        <v>45959.58747685186</v>
      </c>
      <c r="C565" s="1" t="n">
        <v>45967</v>
      </c>
      <c r="D565" t="inlineStr">
        <is>
          <t>DALARNAS LÄN</t>
        </is>
      </c>
      <c r="E565" t="inlineStr">
        <is>
          <t>MORA</t>
        </is>
      </c>
      <c r="G565" t="n">
        <v>1</v>
      </c>
      <c r="H565" t="n">
        <v>0</v>
      </c>
      <c r="I565" t="n">
        <v>0</v>
      </c>
      <c r="J565" t="n">
        <v>0</v>
      </c>
      <c r="K565" t="n">
        <v>0</v>
      </c>
      <c r="L565" t="n">
        <v>0</v>
      </c>
      <c r="M565" t="n">
        <v>0</v>
      </c>
      <c r="N565" t="n">
        <v>0</v>
      </c>
      <c r="O565" t="n">
        <v>0</v>
      </c>
      <c r="P565" t="n">
        <v>0</v>
      </c>
      <c r="Q565" t="n">
        <v>0</v>
      </c>
      <c r="R565" s="2" t="inlineStr"/>
    </row>
    <row r="566" ht="15" customHeight="1">
      <c r="A566" t="inlineStr">
        <is>
          <t>A 69519-2020</t>
        </is>
      </c>
      <c r="B566" s="1" t="n">
        <v>44194</v>
      </c>
      <c r="C566" s="1" t="n">
        <v>45967</v>
      </c>
      <c r="D566" t="inlineStr">
        <is>
          <t>DALARNAS LÄN</t>
        </is>
      </c>
      <c r="E566" t="inlineStr">
        <is>
          <t>MORA</t>
        </is>
      </c>
      <c r="G566" t="n">
        <v>0.4</v>
      </c>
      <c r="H566" t="n">
        <v>0</v>
      </c>
      <c r="I566" t="n">
        <v>0</v>
      </c>
      <c r="J566" t="n">
        <v>0</v>
      </c>
      <c r="K566" t="n">
        <v>0</v>
      </c>
      <c r="L566" t="n">
        <v>0</v>
      </c>
      <c r="M566" t="n">
        <v>0</v>
      </c>
      <c r="N566" t="n">
        <v>0</v>
      </c>
      <c r="O566" t="n">
        <v>0</v>
      </c>
      <c r="P566" t="n">
        <v>0</v>
      </c>
      <c r="Q566" t="n">
        <v>0</v>
      </c>
      <c r="R566" s="2" t="inlineStr"/>
    </row>
    <row r="567" ht="15" customHeight="1">
      <c r="A567" t="inlineStr">
        <is>
          <t>A 53560-2025</t>
        </is>
      </c>
      <c r="B567" s="1" t="n">
        <v>45960.39960648148</v>
      </c>
      <c r="C567" s="1" t="n">
        <v>45967</v>
      </c>
      <c r="D567" t="inlineStr">
        <is>
          <t>DALARNAS LÄN</t>
        </is>
      </c>
      <c r="E567" t="inlineStr">
        <is>
          <t>MORA</t>
        </is>
      </c>
      <c r="G567" t="n">
        <v>5.2</v>
      </c>
      <c r="H567" t="n">
        <v>0</v>
      </c>
      <c r="I567" t="n">
        <v>0</v>
      </c>
      <c r="J567" t="n">
        <v>0</v>
      </c>
      <c r="K567" t="n">
        <v>0</v>
      </c>
      <c r="L567" t="n">
        <v>0</v>
      </c>
      <c r="M567" t="n">
        <v>0</v>
      </c>
      <c r="N567" t="n">
        <v>0</v>
      </c>
      <c r="O567" t="n">
        <v>0</v>
      </c>
      <c r="P567" t="n">
        <v>0</v>
      </c>
      <c r="Q567" t="n">
        <v>0</v>
      </c>
      <c r="R567" s="2" t="inlineStr"/>
    </row>
    <row r="568" ht="15" customHeight="1">
      <c r="A568" t="inlineStr">
        <is>
          <t>A 64093-2023</t>
        </is>
      </c>
      <c r="B568" s="1" t="n">
        <v>45279</v>
      </c>
      <c r="C568" s="1" t="n">
        <v>45967</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45104.40493055555</v>
      </c>
      <c r="C569" s="1" t="n">
        <v>45967</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53565-2025</t>
        </is>
      </c>
      <c r="B570" s="1" t="n">
        <v>45960.40711805555</v>
      </c>
      <c r="C570" s="1" t="n">
        <v>45967</v>
      </c>
      <c r="D570" t="inlineStr">
        <is>
          <t>DALARNAS LÄN</t>
        </is>
      </c>
      <c r="E570" t="inlineStr">
        <is>
          <t>MORA</t>
        </is>
      </c>
      <c r="G570" t="n">
        <v>5.1</v>
      </c>
      <c r="H570" t="n">
        <v>0</v>
      </c>
      <c r="I570" t="n">
        <v>0</v>
      </c>
      <c r="J570" t="n">
        <v>0</v>
      </c>
      <c r="K570" t="n">
        <v>0</v>
      </c>
      <c r="L570" t="n">
        <v>0</v>
      </c>
      <c r="M570" t="n">
        <v>0</v>
      </c>
      <c r="N570" t="n">
        <v>0</v>
      </c>
      <c r="O570" t="n">
        <v>0</v>
      </c>
      <c r="P570" t="n">
        <v>0</v>
      </c>
      <c r="Q570" t="n">
        <v>0</v>
      </c>
      <c r="R570" s="2" t="inlineStr"/>
    </row>
    <row r="571" ht="15" customHeight="1">
      <c r="A571" t="inlineStr">
        <is>
          <t>A 57903-2022</t>
        </is>
      </c>
      <c r="B571" s="1" t="n">
        <v>44900.3521412037</v>
      </c>
      <c r="C571" s="1" t="n">
        <v>45967</v>
      </c>
      <c r="D571" t="inlineStr">
        <is>
          <t>DALARNAS LÄN</t>
        </is>
      </c>
      <c r="E571" t="inlineStr">
        <is>
          <t>MORA</t>
        </is>
      </c>
      <c r="G571" t="n">
        <v>4.3</v>
      </c>
      <c r="H571" t="n">
        <v>0</v>
      </c>
      <c r="I571" t="n">
        <v>0</v>
      </c>
      <c r="J571" t="n">
        <v>0</v>
      </c>
      <c r="K571" t="n">
        <v>0</v>
      </c>
      <c r="L571" t="n">
        <v>0</v>
      </c>
      <c r="M571" t="n">
        <v>0</v>
      </c>
      <c r="N571" t="n">
        <v>0</v>
      </c>
      <c r="O571" t="n">
        <v>0</v>
      </c>
      <c r="P571" t="n">
        <v>0</v>
      </c>
      <c r="Q571" t="n">
        <v>0</v>
      </c>
      <c r="R571" s="2" t="inlineStr"/>
    </row>
    <row r="572" ht="15" customHeight="1">
      <c r="A572" t="inlineStr">
        <is>
          <t>A 37710-2023</t>
        </is>
      </c>
      <c r="B572" s="1" t="n">
        <v>45159.59186342593</v>
      </c>
      <c r="C572" s="1" t="n">
        <v>45967</v>
      </c>
      <c r="D572" t="inlineStr">
        <is>
          <t>DALARNAS LÄN</t>
        </is>
      </c>
      <c r="E572" t="inlineStr">
        <is>
          <t>MORA</t>
        </is>
      </c>
      <c r="G572" t="n">
        <v>1.9</v>
      </c>
      <c r="H572" t="n">
        <v>0</v>
      </c>
      <c r="I572" t="n">
        <v>0</v>
      </c>
      <c r="J572" t="n">
        <v>0</v>
      </c>
      <c r="K572" t="n">
        <v>0</v>
      </c>
      <c r="L572" t="n">
        <v>0</v>
      </c>
      <c r="M572" t="n">
        <v>0</v>
      </c>
      <c r="N572" t="n">
        <v>0</v>
      </c>
      <c r="O572" t="n">
        <v>0</v>
      </c>
      <c r="P572" t="n">
        <v>0</v>
      </c>
      <c r="Q572" t="n">
        <v>0</v>
      </c>
      <c r="R572" s="2" t="inlineStr"/>
    </row>
    <row r="573" ht="15" customHeight="1">
      <c r="A573" t="inlineStr">
        <is>
          <t>A 24169-2022</t>
        </is>
      </c>
      <c r="B573" s="1" t="n">
        <v>44725.50280092593</v>
      </c>
      <c r="C573" s="1" t="n">
        <v>45967</v>
      </c>
      <c r="D573" t="inlineStr">
        <is>
          <t>DALARNAS LÄN</t>
        </is>
      </c>
      <c r="E573" t="inlineStr">
        <is>
          <t>MORA</t>
        </is>
      </c>
      <c r="F573" t="inlineStr">
        <is>
          <t>Bergvik skog väst AB</t>
        </is>
      </c>
      <c r="G573" t="n">
        <v>1.4</v>
      </c>
      <c r="H573" t="n">
        <v>0</v>
      </c>
      <c r="I573" t="n">
        <v>0</v>
      </c>
      <c r="J573" t="n">
        <v>0</v>
      </c>
      <c r="K573" t="n">
        <v>0</v>
      </c>
      <c r="L573" t="n">
        <v>0</v>
      </c>
      <c r="M573" t="n">
        <v>0</v>
      </c>
      <c r="N573" t="n">
        <v>0</v>
      </c>
      <c r="O573" t="n">
        <v>0</v>
      </c>
      <c r="P573" t="n">
        <v>0</v>
      </c>
      <c r="Q573" t="n">
        <v>0</v>
      </c>
      <c r="R573" s="2" t="inlineStr"/>
    </row>
    <row r="574" ht="15" customHeight="1">
      <c r="A574" t="inlineStr">
        <is>
          <t>A 27188-2023</t>
        </is>
      </c>
      <c r="B574" s="1" t="n">
        <v>45096</v>
      </c>
      <c r="C574" s="1" t="n">
        <v>45967</v>
      </c>
      <c r="D574" t="inlineStr">
        <is>
          <t>DALARNAS LÄN</t>
        </is>
      </c>
      <c r="E574" t="inlineStr">
        <is>
          <t>MORA</t>
        </is>
      </c>
      <c r="G574" t="n">
        <v>4.8</v>
      </c>
      <c r="H574" t="n">
        <v>0</v>
      </c>
      <c r="I574" t="n">
        <v>0</v>
      </c>
      <c r="J574" t="n">
        <v>0</v>
      </c>
      <c r="K574" t="n">
        <v>0</v>
      </c>
      <c r="L574" t="n">
        <v>0</v>
      </c>
      <c r="M574" t="n">
        <v>0</v>
      </c>
      <c r="N574" t="n">
        <v>0</v>
      </c>
      <c r="O574" t="n">
        <v>0</v>
      </c>
      <c r="P574" t="n">
        <v>0</v>
      </c>
      <c r="Q574" t="n">
        <v>0</v>
      </c>
      <c r="R574" s="2" t="inlineStr"/>
    </row>
    <row r="575" ht="15" customHeight="1">
      <c r="A575" t="inlineStr">
        <is>
          <t>A 53562-2025</t>
        </is>
      </c>
      <c r="B575" s="1" t="n">
        <v>45960.40662037037</v>
      </c>
      <c r="C575" s="1" t="n">
        <v>45967</v>
      </c>
      <c r="D575" t="inlineStr">
        <is>
          <t>DALARNAS LÄN</t>
        </is>
      </c>
      <c r="E575" t="inlineStr">
        <is>
          <t>MORA</t>
        </is>
      </c>
      <c r="G575" t="n">
        <v>5.1</v>
      </c>
      <c r="H575" t="n">
        <v>0</v>
      </c>
      <c r="I575" t="n">
        <v>0</v>
      </c>
      <c r="J575" t="n">
        <v>0</v>
      </c>
      <c r="K575" t="n">
        <v>0</v>
      </c>
      <c r="L575" t="n">
        <v>0</v>
      </c>
      <c r="M575" t="n">
        <v>0</v>
      </c>
      <c r="N575" t="n">
        <v>0</v>
      </c>
      <c r="O575" t="n">
        <v>0</v>
      </c>
      <c r="P575" t="n">
        <v>0</v>
      </c>
      <c r="Q575" t="n">
        <v>0</v>
      </c>
      <c r="R575" s="2" t="inlineStr"/>
    </row>
    <row r="576" ht="15" customHeight="1">
      <c r="A576" t="inlineStr">
        <is>
          <t>A 65186-2021</t>
        </is>
      </c>
      <c r="B576" s="1" t="n">
        <v>44515</v>
      </c>
      <c r="C576" s="1" t="n">
        <v>45967</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31395-2024</t>
        </is>
      </c>
      <c r="B577" s="1" t="n">
        <v>45505.47716435185</v>
      </c>
      <c r="C577" s="1" t="n">
        <v>45967</v>
      </c>
      <c r="D577" t="inlineStr">
        <is>
          <t>DALARNAS LÄN</t>
        </is>
      </c>
      <c r="E577" t="inlineStr">
        <is>
          <t>MORA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58892-2023</t>
        </is>
      </c>
      <c r="B578" s="1" t="n">
        <v>45252.48592592592</v>
      </c>
      <c r="C578" s="1" t="n">
        <v>45967</v>
      </c>
      <c r="D578" t="inlineStr">
        <is>
          <t>DALARNAS LÄN</t>
        </is>
      </c>
      <c r="E578" t="inlineStr">
        <is>
          <t>MORA</t>
        </is>
      </c>
      <c r="G578" t="n">
        <v>2.2</v>
      </c>
      <c r="H578" t="n">
        <v>0</v>
      </c>
      <c r="I578" t="n">
        <v>0</v>
      </c>
      <c r="J578" t="n">
        <v>0</v>
      </c>
      <c r="K578" t="n">
        <v>0</v>
      </c>
      <c r="L578" t="n">
        <v>0</v>
      </c>
      <c r="M578" t="n">
        <v>0</v>
      </c>
      <c r="N578" t="n">
        <v>0</v>
      </c>
      <c r="O578" t="n">
        <v>0</v>
      </c>
      <c r="P578" t="n">
        <v>0</v>
      </c>
      <c r="Q578" t="n">
        <v>0</v>
      </c>
      <c r="R578" s="2" t="inlineStr"/>
    </row>
    <row r="579" ht="15" customHeight="1">
      <c r="A579" t="inlineStr">
        <is>
          <t>A 11442-2022</t>
        </is>
      </c>
      <c r="B579" s="1" t="n">
        <v>44630.62788194444</v>
      </c>
      <c r="C579" s="1" t="n">
        <v>45967</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6183-2024</t>
        </is>
      </c>
      <c r="B580" s="1" t="n">
        <v>45337.54135416666</v>
      </c>
      <c r="C580" s="1" t="n">
        <v>45967</v>
      </c>
      <c r="D580" t="inlineStr">
        <is>
          <t>DALARNAS LÄN</t>
        </is>
      </c>
      <c r="E580" t="inlineStr">
        <is>
          <t>MORA</t>
        </is>
      </c>
      <c r="G580" t="n">
        <v>7.9</v>
      </c>
      <c r="H580" t="n">
        <v>0</v>
      </c>
      <c r="I580" t="n">
        <v>0</v>
      </c>
      <c r="J580" t="n">
        <v>0</v>
      </c>
      <c r="K580" t="n">
        <v>0</v>
      </c>
      <c r="L580" t="n">
        <v>0</v>
      </c>
      <c r="M580" t="n">
        <v>0</v>
      </c>
      <c r="N580" t="n">
        <v>0</v>
      </c>
      <c r="O580" t="n">
        <v>0</v>
      </c>
      <c r="P580" t="n">
        <v>0</v>
      </c>
      <c r="Q580" t="n">
        <v>0</v>
      </c>
      <c r="R580" s="2" t="inlineStr"/>
    </row>
    <row r="581" ht="15" customHeight="1">
      <c r="A581" t="inlineStr">
        <is>
          <t>A 26731-2025</t>
        </is>
      </c>
      <c r="B581" s="1" t="n">
        <v>45810.50702546296</v>
      </c>
      <c r="C581" s="1" t="n">
        <v>45967</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45562-2023</t>
        </is>
      </c>
      <c r="B582" s="1" t="n">
        <v>45194.59378472222</v>
      </c>
      <c r="C582" s="1" t="n">
        <v>45967</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53982-2025</t>
        </is>
      </c>
      <c r="B583" s="1" t="n">
        <v>45961.57019675926</v>
      </c>
      <c r="C583" s="1" t="n">
        <v>45967</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35551-2023</t>
        </is>
      </c>
      <c r="B584" s="1" t="n">
        <v>45147.3934837963</v>
      </c>
      <c r="C584" s="1" t="n">
        <v>45967</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26711-2025</t>
        </is>
      </c>
      <c r="B585" s="1" t="n">
        <v>45810.46144675926</v>
      </c>
      <c r="C585" s="1" t="n">
        <v>45967</v>
      </c>
      <c r="D585" t="inlineStr">
        <is>
          <t>DALARNAS LÄN</t>
        </is>
      </c>
      <c r="E585" t="inlineStr">
        <is>
          <t>MORA</t>
        </is>
      </c>
      <c r="G585" t="n">
        <v>0.5</v>
      </c>
      <c r="H585" t="n">
        <v>0</v>
      </c>
      <c r="I585" t="n">
        <v>0</v>
      </c>
      <c r="J585" t="n">
        <v>0</v>
      </c>
      <c r="K585" t="n">
        <v>0</v>
      </c>
      <c r="L585" t="n">
        <v>0</v>
      </c>
      <c r="M585" t="n">
        <v>0</v>
      </c>
      <c r="N585" t="n">
        <v>0</v>
      </c>
      <c r="O585" t="n">
        <v>0</v>
      </c>
      <c r="P585" t="n">
        <v>0</v>
      </c>
      <c r="Q585" t="n">
        <v>0</v>
      </c>
      <c r="R585" s="2" t="inlineStr"/>
    </row>
    <row r="586" ht="15" customHeight="1">
      <c r="A586" t="inlineStr">
        <is>
          <t>A 23300-2024</t>
        </is>
      </c>
      <c r="B586" s="1" t="n">
        <v>45453.43695601852</v>
      </c>
      <c r="C586" s="1" t="n">
        <v>45967</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45191-2025</t>
        </is>
      </c>
      <c r="B587" s="1" t="n">
        <v>45919.54811342592</v>
      </c>
      <c r="C587" s="1" t="n">
        <v>45967</v>
      </c>
      <c r="D587" t="inlineStr">
        <is>
          <t>DALARNAS LÄN</t>
        </is>
      </c>
      <c r="E587" t="inlineStr">
        <is>
          <t>MORA</t>
        </is>
      </c>
      <c r="G587" t="n">
        <v>2.2</v>
      </c>
      <c r="H587" t="n">
        <v>0</v>
      </c>
      <c r="I587" t="n">
        <v>0</v>
      </c>
      <c r="J587" t="n">
        <v>0</v>
      </c>
      <c r="K587" t="n">
        <v>0</v>
      </c>
      <c r="L587" t="n">
        <v>0</v>
      </c>
      <c r="M587" t="n">
        <v>0</v>
      </c>
      <c r="N587" t="n">
        <v>0</v>
      </c>
      <c r="O587" t="n">
        <v>0</v>
      </c>
      <c r="P587" t="n">
        <v>0</v>
      </c>
      <c r="Q587" t="n">
        <v>0</v>
      </c>
      <c r="R587" s="2" t="inlineStr"/>
    </row>
    <row r="588" ht="15" customHeight="1">
      <c r="A588" t="inlineStr">
        <is>
          <t>A 45181-2025</t>
        </is>
      </c>
      <c r="B588" s="1" t="n">
        <v>45919.53329861111</v>
      </c>
      <c r="C588" s="1" t="n">
        <v>45967</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56268-2024</t>
        </is>
      </c>
      <c r="B589" s="1" t="n">
        <v>45624.65785879629</v>
      </c>
      <c r="C589" s="1" t="n">
        <v>45967</v>
      </c>
      <c r="D589" t="inlineStr">
        <is>
          <t>DALARNAS LÄN</t>
        </is>
      </c>
      <c r="E589" t="inlineStr">
        <is>
          <t>MORA</t>
        </is>
      </c>
      <c r="G589" t="n">
        <v>2.7</v>
      </c>
      <c r="H589" t="n">
        <v>0</v>
      </c>
      <c r="I589" t="n">
        <v>0</v>
      </c>
      <c r="J589" t="n">
        <v>0</v>
      </c>
      <c r="K589" t="n">
        <v>0</v>
      </c>
      <c r="L589" t="n">
        <v>0</v>
      </c>
      <c r="M589" t="n">
        <v>0</v>
      </c>
      <c r="N589" t="n">
        <v>0</v>
      </c>
      <c r="O589" t="n">
        <v>0</v>
      </c>
      <c r="P589" t="n">
        <v>0</v>
      </c>
      <c r="Q589" t="n">
        <v>0</v>
      </c>
      <c r="R589" s="2" t="inlineStr"/>
    </row>
    <row r="590" ht="15" customHeight="1">
      <c r="A590" t="inlineStr">
        <is>
          <t>A 54099-2025</t>
        </is>
      </c>
      <c r="B590" s="1" t="n">
        <v>45964.41665509259</v>
      </c>
      <c r="C590" s="1" t="n">
        <v>45967</v>
      </c>
      <c r="D590" t="inlineStr">
        <is>
          <t>DALARNAS LÄN</t>
        </is>
      </c>
      <c r="E590" t="inlineStr">
        <is>
          <t>MORA</t>
        </is>
      </c>
      <c r="G590" t="n">
        <v>5.3</v>
      </c>
      <c r="H590" t="n">
        <v>0</v>
      </c>
      <c r="I590" t="n">
        <v>0</v>
      </c>
      <c r="J590" t="n">
        <v>0</v>
      </c>
      <c r="K590" t="n">
        <v>0</v>
      </c>
      <c r="L590" t="n">
        <v>0</v>
      </c>
      <c r="M590" t="n">
        <v>0</v>
      </c>
      <c r="N590" t="n">
        <v>0</v>
      </c>
      <c r="O590" t="n">
        <v>0</v>
      </c>
      <c r="P590" t="n">
        <v>0</v>
      </c>
      <c r="Q590" t="n">
        <v>0</v>
      </c>
      <c r="R590" s="2" t="inlineStr"/>
    </row>
    <row r="591" ht="15" customHeight="1">
      <c r="A591" t="inlineStr">
        <is>
          <t>A 571-2024</t>
        </is>
      </c>
      <c r="B591" s="1" t="n">
        <v>45299</v>
      </c>
      <c r="C591" s="1" t="n">
        <v>45967</v>
      </c>
      <c r="D591" t="inlineStr">
        <is>
          <t>DALARNAS LÄN</t>
        </is>
      </c>
      <c r="E591" t="inlineStr">
        <is>
          <t>MORA</t>
        </is>
      </c>
      <c r="G591" t="n">
        <v>3.3</v>
      </c>
      <c r="H591" t="n">
        <v>0</v>
      </c>
      <c r="I591" t="n">
        <v>0</v>
      </c>
      <c r="J591" t="n">
        <v>0</v>
      </c>
      <c r="K591" t="n">
        <v>0</v>
      </c>
      <c r="L591" t="n">
        <v>0</v>
      </c>
      <c r="M591" t="n">
        <v>0</v>
      </c>
      <c r="N591" t="n">
        <v>0</v>
      </c>
      <c r="O591" t="n">
        <v>0</v>
      </c>
      <c r="P591" t="n">
        <v>0</v>
      </c>
      <c r="Q591" t="n">
        <v>0</v>
      </c>
      <c r="R591" s="2" t="inlineStr"/>
    </row>
    <row r="592" ht="15" customHeight="1">
      <c r="A592" t="inlineStr">
        <is>
          <t>A 27177-2025</t>
        </is>
      </c>
      <c r="B592" s="1" t="n">
        <v>45812.3533912037</v>
      </c>
      <c r="C592" s="1" t="n">
        <v>45967</v>
      </c>
      <c r="D592" t="inlineStr">
        <is>
          <t>DALARNAS LÄN</t>
        </is>
      </c>
      <c r="E592" t="inlineStr">
        <is>
          <t>MORA</t>
        </is>
      </c>
      <c r="F592" t="inlineStr">
        <is>
          <t>Bergvik skog öst AB</t>
        </is>
      </c>
      <c r="G592" t="n">
        <v>2.5</v>
      </c>
      <c r="H592" t="n">
        <v>0</v>
      </c>
      <c r="I592" t="n">
        <v>0</v>
      </c>
      <c r="J592" t="n">
        <v>0</v>
      </c>
      <c r="K592" t="n">
        <v>0</v>
      </c>
      <c r="L592" t="n">
        <v>0</v>
      </c>
      <c r="M592" t="n">
        <v>0</v>
      </c>
      <c r="N592" t="n">
        <v>0</v>
      </c>
      <c r="O592" t="n">
        <v>0</v>
      </c>
      <c r="P592" t="n">
        <v>0</v>
      </c>
      <c r="Q592" t="n">
        <v>0</v>
      </c>
      <c r="R592" s="2" t="inlineStr"/>
    </row>
    <row r="593" ht="15" customHeight="1">
      <c r="A593" t="inlineStr">
        <is>
          <t>A 27194-2025</t>
        </is>
      </c>
      <c r="B593" s="1" t="n">
        <v>45812.37965277778</v>
      </c>
      <c r="C593" s="1" t="n">
        <v>45967</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14611-2025</t>
        </is>
      </c>
      <c r="B594" s="1" t="n">
        <v>45742.38511574074</v>
      </c>
      <c r="C594" s="1" t="n">
        <v>45967</v>
      </c>
      <c r="D594" t="inlineStr">
        <is>
          <t>DALARNAS LÄN</t>
        </is>
      </c>
      <c r="E594" t="inlineStr">
        <is>
          <t>MORA</t>
        </is>
      </c>
      <c r="F594" t="inlineStr">
        <is>
          <t>Bergvik skog väst AB</t>
        </is>
      </c>
      <c r="G594" t="n">
        <v>2.9</v>
      </c>
      <c r="H594" t="n">
        <v>0</v>
      </c>
      <c r="I594" t="n">
        <v>0</v>
      </c>
      <c r="J594" t="n">
        <v>0</v>
      </c>
      <c r="K594" t="n">
        <v>0</v>
      </c>
      <c r="L594" t="n">
        <v>0</v>
      </c>
      <c r="M594" t="n">
        <v>0</v>
      </c>
      <c r="N594" t="n">
        <v>0</v>
      </c>
      <c r="O594" t="n">
        <v>0</v>
      </c>
      <c r="P594" t="n">
        <v>0</v>
      </c>
      <c r="Q594" t="n">
        <v>0</v>
      </c>
      <c r="R594" s="2" t="inlineStr"/>
    </row>
    <row r="595" ht="15" customHeight="1">
      <c r="A595" t="inlineStr">
        <is>
          <t>A 27175-2025</t>
        </is>
      </c>
      <c r="B595" s="1" t="n">
        <v>45812.35072916667</v>
      </c>
      <c r="C595" s="1" t="n">
        <v>45967</v>
      </c>
      <c r="D595" t="inlineStr">
        <is>
          <t>DALARNAS LÄN</t>
        </is>
      </c>
      <c r="E595" t="inlineStr">
        <is>
          <t>MORA</t>
        </is>
      </c>
      <c r="F595" t="inlineStr">
        <is>
          <t>Bergvik skog öst AB</t>
        </is>
      </c>
      <c r="G595" t="n">
        <v>4</v>
      </c>
      <c r="H595" t="n">
        <v>0</v>
      </c>
      <c r="I595" t="n">
        <v>0</v>
      </c>
      <c r="J595" t="n">
        <v>0</v>
      </c>
      <c r="K595" t="n">
        <v>0</v>
      </c>
      <c r="L595" t="n">
        <v>0</v>
      </c>
      <c r="M595" t="n">
        <v>0</v>
      </c>
      <c r="N595" t="n">
        <v>0</v>
      </c>
      <c r="O595" t="n">
        <v>0</v>
      </c>
      <c r="P595" t="n">
        <v>0</v>
      </c>
      <c r="Q595" t="n">
        <v>0</v>
      </c>
      <c r="R595" s="2" t="inlineStr"/>
    </row>
    <row r="596" ht="15" customHeight="1">
      <c r="A596" t="inlineStr">
        <is>
          <t>A 50056-2022</t>
        </is>
      </c>
      <c r="B596" s="1" t="n">
        <v>44865</v>
      </c>
      <c r="C596" s="1" t="n">
        <v>45967</v>
      </c>
      <c r="D596" t="inlineStr">
        <is>
          <t>DALARNAS LÄN</t>
        </is>
      </c>
      <c r="E596" t="inlineStr">
        <is>
          <t>MORA</t>
        </is>
      </c>
      <c r="G596" t="n">
        <v>1.2</v>
      </c>
      <c r="H596" t="n">
        <v>0</v>
      </c>
      <c r="I596" t="n">
        <v>0</v>
      </c>
      <c r="J596" t="n">
        <v>0</v>
      </c>
      <c r="K596" t="n">
        <v>0</v>
      </c>
      <c r="L596" t="n">
        <v>0</v>
      </c>
      <c r="M596" t="n">
        <v>0</v>
      </c>
      <c r="N596" t="n">
        <v>0</v>
      </c>
      <c r="O596" t="n">
        <v>0</v>
      </c>
      <c r="P596" t="n">
        <v>0</v>
      </c>
      <c r="Q596" t="n">
        <v>0</v>
      </c>
      <c r="R596" s="2" t="inlineStr"/>
    </row>
    <row r="597" ht="15" customHeight="1">
      <c r="A597" t="inlineStr">
        <is>
          <t>A 46090-2025</t>
        </is>
      </c>
      <c r="B597" s="1" t="n">
        <v>45924.5253125</v>
      </c>
      <c r="C597" s="1" t="n">
        <v>45967</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7565-2025</t>
        </is>
      </c>
      <c r="B598" s="1" t="n">
        <v>45705.59269675926</v>
      </c>
      <c r="C598" s="1" t="n">
        <v>45967</v>
      </c>
      <c r="D598" t="inlineStr">
        <is>
          <t>DALARNAS LÄN</t>
        </is>
      </c>
      <c r="E598" t="inlineStr">
        <is>
          <t>MORA</t>
        </is>
      </c>
      <c r="G598" t="n">
        <v>3</v>
      </c>
      <c r="H598" t="n">
        <v>0</v>
      </c>
      <c r="I598" t="n">
        <v>0</v>
      </c>
      <c r="J598" t="n">
        <v>0</v>
      </c>
      <c r="K598" t="n">
        <v>0</v>
      </c>
      <c r="L598" t="n">
        <v>0</v>
      </c>
      <c r="M598" t="n">
        <v>0</v>
      </c>
      <c r="N598" t="n">
        <v>0</v>
      </c>
      <c r="O598" t="n">
        <v>0</v>
      </c>
      <c r="P598" t="n">
        <v>0</v>
      </c>
      <c r="Q598" t="n">
        <v>0</v>
      </c>
      <c r="R598" s="2" t="inlineStr"/>
    </row>
    <row r="599" ht="15" customHeight="1">
      <c r="A599" t="inlineStr">
        <is>
          <t>A 27184-2025</t>
        </is>
      </c>
      <c r="B599" s="1" t="n">
        <v>45812.36133101852</v>
      </c>
      <c r="C599" s="1" t="n">
        <v>45967</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15499-2024</t>
        </is>
      </c>
      <c r="B600" s="1" t="n">
        <v>45401.53798611111</v>
      </c>
      <c r="C600" s="1" t="n">
        <v>45967</v>
      </c>
      <c r="D600" t="inlineStr">
        <is>
          <t>DALARNAS LÄN</t>
        </is>
      </c>
      <c r="E600" t="inlineStr">
        <is>
          <t>MORA</t>
        </is>
      </c>
      <c r="G600" t="n">
        <v>1.2</v>
      </c>
      <c r="H600" t="n">
        <v>0</v>
      </c>
      <c r="I600" t="n">
        <v>0</v>
      </c>
      <c r="J600" t="n">
        <v>0</v>
      </c>
      <c r="K600" t="n">
        <v>0</v>
      </c>
      <c r="L600" t="n">
        <v>0</v>
      </c>
      <c r="M600" t="n">
        <v>0</v>
      </c>
      <c r="N600" t="n">
        <v>0</v>
      </c>
      <c r="O600" t="n">
        <v>0</v>
      </c>
      <c r="P600" t="n">
        <v>0</v>
      </c>
      <c r="Q600" t="n">
        <v>0</v>
      </c>
      <c r="R600" s="2" t="inlineStr"/>
    </row>
    <row r="601" ht="15" customHeight="1">
      <c r="A601" t="inlineStr">
        <is>
          <t>A 17268-2025</t>
        </is>
      </c>
      <c r="B601" s="1" t="n">
        <v>45756</v>
      </c>
      <c r="C601" s="1" t="n">
        <v>45967</v>
      </c>
      <c r="D601" t="inlineStr">
        <is>
          <t>DALARNAS LÄN</t>
        </is>
      </c>
      <c r="E601" t="inlineStr">
        <is>
          <t>MORA</t>
        </is>
      </c>
      <c r="G601" t="n">
        <v>6.8</v>
      </c>
      <c r="H601" t="n">
        <v>0</v>
      </c>
      <c r="I601" t="n">
        <v>0</v>
      </c>
      <c r="J601" t="n">
        <v>0</v>
      </c>
      <c r="K601" t="n">
        <v>0</v>
      </c>
      <c r="L601" t="n">
        <v>0</v>
      </c>
      <c r="M601" t="n">
        <v>0</v>
      </c>
      <c r="N601" t="n">
        <v>0</v>
      </c>
      <c r="O601" t="n">
        <v>0</v>
      </c>
      <c r="P601" t="n">
        <v>0</v>
      </c>
      <c r="Q601" t="n">
        <v>0</v>
      </c>
      <c r="R601" s="2" t="inlineStr"/>
    </row>
    <row r="602" ht="15" customHeight="1">
      <c r="A602" t="inlineStr">
        <is>
          <t>A 43879-2022</t>
        </is>
      </c>
      <c r="B602" s="1" t="n">
        <v>44838.46721064814</v>
      </c>
      <c r="C602" s="1" t="n">
        <v>45967</v>
      </c>
      <c r="D602" t="inlineStr">
        <is>
          <t>DALARNAS LÄN</t>
        </is>
      </c>
      <c r="E602" t="inlineStr">
        <is>
          <t>MORA</t>
        </is>
      </c>
      <c r="G602" t="n">
        <v>3.4</v>
      </c>
      <c r="H602" t="n">
        <v>0</v>
      </c>
      <c r="I602" t="n">
        <v>0</v>
      </c>
      <c r="J602" t="n">
        <v>0</v>
      </c>
      <c r="K602" t="n">
        <v>0</v>
      </c>
      <c r="L602" t="n">
        <v>0</v>
      </c>
      <c r="M602" t="n">
        <v>0</v>
      </c>
      <c r="N602" t="n">
        <v>0</v>
      </c>
      <c r="O602" t="n">
        <v>0</v>
      </c>
      <c r="P602" t="n">
        <v>0</v>
      </c>
      <c r="Q602" t="n">
        <v>0</v>
      </c>
      <c r="R602" s="2" t="inlineStr"/>
    </row>
    <row r="603" ht="15" customHeight="1">
      <c r="A603" t="inlineStr">
        <is>
          <t>A 46091-2025</t>
        </is>
      </c>
      <c r="B603" s="1" t="n">
        <v>45924.52871527777</v>
      </c>
      <c r="C603" s="1" t="n">
        <v>45967</v>
      </c>
      <c r="D603" t="inlineStr">
        <is>
          <t>DALARNAS LÄN</t>
        </is>
      </c>
      <c r="E603" t="inlineStr">
        <is>
          <t>MORA</t>
        </is>
      </c>
      <c r="G603" t="n">
        <v>1.2</v>
      </c>
      <c r="H603" t="n">
        <v>0</v>
      </c>
      <c r="I603" t="n">
        <v>0</v>
      </c>
      <c r="J603" t="n">
        <v>0</v>
      </c>
      <c r="K603" t="n">
        <v>0</v>
      </c>
      <c r="L603" t="n">
        <v>0</v>
      </c>
      <c r="M603" t="n">
        <v>0</v>
      </c>
      <c r="N603" t="n">
        <v>0</v>
      </c>
      <c r="O603" t="n">
        <v>0</v>
      </c>
      <c r="P603" t="n">
        <v>0</v>
      </c>
      <c r="Q603" t="n">
        <v>0</v>
      </c>
      <c r="R603" s="2" t="inlineStr"/>
    </row>
    <row r="604" ht="15" customHeight="1">
      <c r="A604" t="inlineStr">
        <is>
          <t>A 27642-2025</t>
        </is>
      </c>
      <c r="B604" s="1" t="n">
        <v>45813.59405092592</v>
      </c>
      <c r="C604" s="1" t="n">
        <v>45967</v>
      </c>
      <c r="D604" t="inlineStr">
        <is>
          <t>DALARNAS LÄN</t>
        </is>
      </c>
      <c r="E604" t="inlineStr">
        <is>
          <t>MORA</t>
        </is>
      </c>
      <c r="G604" t="n">
        <v>2.5</v>
      </c>
      <c r="H604" t="n">
        <v>0</v>
      </c>
      <c r="I604" t="n">
        <v>0</v>
      </c>
      <c r="J604" t="n">
        <v>0</v>
      </c>
      <c r="K604" t="n">
        <v>0</v>
      </c>
      <c r="L604" t="n">
        <v>0</v>
      </c>
      <c r="M604" t="n">
        <v>0</v>
      </c>
      <c r="N604" t="n">
        <v>0</v>
      </c>
      <c r="O604" t="n">
        <v>0</v>
      </c>
      <c r="P604" t="n">
        <v>0</v>
      </c>
      <c r="Q604" t="n">
        <v>0</v>
      </c>
      <c r="R604" s="2" t="inlineStr"/>
    </row>
    <row r="605" ht="15" customHeight="1">
      <c r="A605" t="inlineStr">
        <is>
          <t>A 39888-2024</t>
        </is>
      </c>
      <c r="B605" s="1" t="n">
        <v>45553.47538194444</v>
      </c>
      <c r="C605" s="1" t="n">
        <v>45967</v>
      </c>
      <c r="D605" t="inlineStr">
        <is>
          <t>DALARNAS LÄN</t>
        </is>
      </c>
      <c r="E605" t="inlineStr">
        <is>
          <t>MORA</t>
        </is>
      </c>
      <c r="G605" t="n">
        <v>5.4</v>
      </c>
      <c r="H605" t="n">
        <v>0</v>
      </c>
      <c r="I605" t="n">
        <v>0</v>
      </c>
      <c r="J605" t="n">
        <v>0</v>
      </c>
      <c r="K605" t="n">
        <v>0</v>
      </c>
      <c r="L605" t="n">
        <v>0</v>
      </c>
      <c r="M605" t="n">
        <v>0</v>
      </c>
      <c r="N605" t="n">
        <v>0</v>
      </c>
      <c r="O605" t="n">
        <v>0</v>
      </c>
      <c r="P605" t="n">
        <v>0</v>
      </c>
      <c r="Q605" t="n">
        <v>0</v>
      </c>
      <c r="R605" s="2" t="inlineStr"/>
    </row>
    <row r="606" ht="15" customHeight="1">
      <c r="A606" t="inlineStr">
        <is>
          <t>A 54862-2025</t>
        </is>
      </c>
      <c r="B606" s="1" t="n">
        <v>45966.76542824074</v>
      </c>
      <c r="C606" s="1" t="n">
        <v>45967</v>
      </c>
      <c r="D606" t="inlineStr">
        <is>
          <t>DALARNAS LÄN</t>
        </is>
      </c>
      <c r="E606" t="inlineStr">
        <is>
          <t>MORA</t>
        </is>
      </c>
      <c r="G606" t="n">
        <v>1.2</v>
      </c>
      <c r="H606" t="n">
        <v>0</v>
      </c>
      <c r="I606" t="n">
        <v>0</v>
      </c>
      <c r="J606" t="n">
        <v>0</v>
      </c>
      <c r="K606" t="n">
        <v>0</v>
      </c>
      <c r="L606" t="n">
        <v>0</v>
      </c>
      <c r="M606" t="n">
        <v>0</v>
      </c>
      <c r="N606" t="n">
        <v>0</v>
      </c>
      <c r="O606" t="n">
        <v>0</v>
      </c>
      <c r="P606" t="n">
        <v>0</v>
      </c>
      <c r="Q606" t="n">
        <v>0</v>
      </c>
      <c r="R606" s="2" t="inlineStr"/>
    </row>
    <row r="607" ht="15" customHeight="1">
      <c r="A607" t="inlineStr">
        <is>
          <t>A 54548-2025</t>
        </is>
      </c>
      <c r="B607" s="1" t="n">
        <v>45965.6534837963</v>
      </c>
      <c r="C607" s="1" t="n">
        <v>45967</v>
      </c>
      <c r="D607" t="inlineStr">
        <is>
          <t>DALARNAS LÄN</t>
        </is>
      </c>
      <c r="E607" t="inlineStr">
        <is>
          <t>MORA</t>
        </is>
      </c>
      <c r="G607" t="n">
        <v>2.3</v>
      </c>
      <c r="H607" t="n">
        <v>0</v>
      </c>
      <c r="I607" t="n">
        <v>0</v>
      </c>
      <c r="J607" t="n">
        <v>0</v>
      </c>
      <c r="K607" t="n">
        <v>0</v>
      </c>
      <c r="L607" t="n">
        <v>0</v>
      </c>
      <c r="M607" t="n">
        <v>0</v>
      </c>
      <c r="N607" t="n">
        <v>0</v>
      </c>
      <c r="O607" t="n">
        <v>0</v>
      </c>
      <c r="P607" t="n">
        <v>0</v>
      </c>
      <c r="Q607" t="n">
        <v>0</v>
      </c>
      <c r="R607" s="2" t="inlineStr"/>
    </row>
    <row r="608" ht="15" customHeight="1">
      <c r="A608" t="inlineStr">
        <is>
          <t>A 54508-2025</t>
        </is>
      </c>
      <c r="B608" s="1" t="n">
        <v>45965.61844907407</v>
      </c>
      <c r="C608" s="1" t="n">
        <v>45967</v>
      </c>
      <c r="D608" t="inlineStr">
        <is>
          <t>DALARNAS LÄN</t>
        </is>
      </c>
      <c r="E608" t="inlineStr">
        <is>
          <t>MORA</t>
        </is>
      </c>
      <c r="G608" t="n">
        <v>0.9</v>
      </c>
      <c r="H608" t="n">
        <v>0</v>
      </c>
      <c r="I608" t="n">
        <v>0</v>
      </c>
      <c r="J608" t="n">
        <v>0</v>
      </c>
      <c r="K608" t="n">
        <v>0</v>
      </c>
      <c r="L608" t="n">
        <v>0</v>
      </c>
      <c r="M608" t="n">
        <v>0</v>
      </c>
      <c r="N608" t="n">
        <v>0</v>
      </c>
      <c r="O608" t="n">
        <v>0</v>
      </c>
      <c r="P608" t="n">
        <v>0</v>
      </c>
      <c r="Q608" t="n">
        <v>0</v>
      </c>
      <c r="R608" s="2" t="inlineStr"/>
    </row>
    <row r="609" ht="15" customHeight="1">
      <c r="A609" t="inlineStr">
        <is>
          <t>A 54504-2025</t>
        </is>
      </c>
      <c r="B609" s="1" t="n">
        <v>45965.61686342592</v>
      </c>
      <c r="C609" s="1" t="n">
        <v>45967</v>
      </c>
      <c r="D609" t="inlineStr">
        <is>
          <t>DALARNAS LÄN</t>
        </is>
      </c>
      <c r="E609" t="inlineStr">
        <is>
          <t>MORA</t>
        </is>
      </c>
      <c r="G609" t="n">
        <v>0.9</v>
      </c>
      <c r="H609" t="n">
        <v>0</v>
      </c>
      <c r="I609" t="n">
        <v>0</v>
      </c>
      <c r="J609" t="n">
        <v>0</v>
      </c>
      <c r="K609" t="n">
        <v>0</v>
      </c>
      <c r="L609" t="n">
        <v>0</v>
      </c>
      <c r="M609" t="n">
        <v>0</v>
      </c>
      <c r="N609" t="n">
        <v>0</v>
      </c>
      <c r="O609" t="n">
        <v>0</v>
      </c>
      <c r="P609" t="n">
        <v>0</v>
      </c>
      <c r="Q609" t="n">
        <v>0</v>
      </c>
      <c r="R609" s="2" t="inlineStr"/>
    </row>
    <row r="610" ht="15" customHeight="1">
      <c r="A610" t="inlineStr">
        <is>
          <t>A 54367-2025</t>
        </is>
      </c>
      <c r="B610" s="1" t="n">
        <v>45965.4031712963</v>
      </c>
      <c r="C610" s="1" t="n">
        <v>45967</v>
      </c>
      <c r="D610" t="inlineStr">
        <is>
          <t>DALARNAS LÄN</t>
        </is>
      </c>
      <c r="E610" t="inlineStr">
        <is>
          <t>MORA</t>
        </is>
      </c>
      <c r="G610" t="n">
        <v>7</v>
      </c>
      <c r="H610" t="n">
        <v>0</v>
      </c>
      <c r="I610" t="n">
        <v>0</v>
      </c>
      <c r="J610" t="n">
        <v>0</v>
      </c>
      <c r="K610" t="n">
        <v>0</v>
      </c>
      <c r="L610" t="n">
        <v>0</v>
      </c>
      <c r="M610" t="n">
        <v>0</v>
      </c>
      <c r="N610" t="n">
        <v>0</v>
      </c>
      <c r="O610" t="n">
        <v>0</v>
      </c>
      <c r="P610" t="n">
        <v>0</v>
      </c>
      <c r="Q610" t="n">
        <v>0</v>
      </c>
      <c r="R610" s="2" t="inlineStr"/>
    </row>
    <row r="611" ht="15" customHeight="1">
      <c r="A611" t="inlineStr">
        <is>
          <t>A 12828-2023</t>
        </is>
      </c>
      <c r="B611" s="1" t="n">
        <v>45001</v>
      </c>
      <c r="C611" s="1" t="n">
        <v>45967</v>
      </c>
      <c r="D611" t="inlineStr">
        <is>
          <t>DALARNAS LÄN</t>
        </is>
      </c>
      <c r="E611" t="inlineStr">
        <is>
          <t>MORA</t>
        </is>
      </c>
      <c r="F611" t="inlineStr">
        <is>
          <t>Bergvik skog väst AB</t>
        </is>
      </c>
      <c r="G611" t="n">
        <v>5.4</v>
      </c>
      <c r="H611" t="n">
        <v>0</v>
      </c>
      <c r="I611" t="n">
        <v>0</v>
      </c>
      <c r="J611" t="n">
        <v>0</v>
      </c>
      <c r="K611" t="n">
        <v>0</v>
      </c>
      <c r="L611" t="n">
        <v>0</v>
      </c>
      <c r="M611" t="n">
        <v>0</v>
      </c>
      <c r="N611" t="n">
        <v>0</v>
      </c>
      <c r="O611" t="n">
        <v>0</v>
      </c>
      <c r="P611" t="n">
        <v>0</v>
      </c>
      <c r="Q611" t="n">
        <v>0</v>
      </c>
      <c r="R611" s="2" t="inlineStr"/>
    </row>
    <row r="612" ht="15" customHeight="1">
      <c r="A612" t="inlineStr">
        <is>
          <t>A 28033-2025</t>
        </is>
      </c>
      <c r="B612" s="1" t="n">
        <v>45817.6325462963</v>
      </c>
      <c r="C612" s="1" t="n">
        <v>45967</v>
      </c>
      <c r="D612" t="inlineStr">
        <is>
          <t>DALARNAS LÄN</t>
        </is>
      </c>
      <c r="E612" t="inlineStr">
        <is>
          <t>MORA</t>
        </is>
      </c>
      <c r="F612" t="inlineStr">
        <is>
          <t>Bergvik skog öst AB</t>
        </is>
      </c>
      <c r="G612" t="n">
        <v>12.8</v>
      </c>
      <c r="H612" t="n">
        <v>0</v>
      </c>
      <c r="I612" t="n">
        <v>0</v>
      </c>
      <c r="J612" t="n">
        <v>0</v>
      </c>
      <c r="K612" t="n">
        <v>0</v>
      </c>
      <c r="L612" t="n">
        <v>0</v>
      </c>
      <c r="M612" t="n">
        <v>0</v>
      </c>
      <c r="N612" t="n">
        <v>0</v>
      </c>
      <c r="O612" t="n">
        <v>0</v>
      </c>
      <c r="P612" t="n">
        <v>0</v>
      </c>
      <c r="Q612" t="n">
        <v>0</v>
      </c>
      <c r="R612" s="2" t="inlineStr"/>
    </row>
    <row r="613" ht="15" customHeight="1">
      <c r="A613" t="inlineStr">
        <is>
          <t>A 60099-2024</t>
        </is>
      </c>
      <c r="B613" s="1" t="n">
        <v>45642.55645833333</v>
      </c>
      <c r="C613" s="1" t="n">
        <v>45967</v>
      </c>
      <c r="D613" t="inlineStr">
        <is>
          <t>DALARNAS LÄN</t>
        </is>
      </c>
      <c r="E613" t="inlineStr">
        <is>
          <t>MORA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53750-2024</t>
        </is>
      </c>
      <c r="B614" s="1" t="n">
        <v>45615.48465277778</v>
      </c>
      <c r="C614" s="1" t="n">
        <v>45967</v>
      </c>
      <c r="D614" t="inlineStr">
        <is>
          <t>DALARNAS LÄN</t>
        </is>
      </c>
      <c r="E614" t="inlineStr">
        <is>
          <t>MORA</t>
        </is>
      </c>
      <c r="G614" t="n">
        <v>2.3</v>
      </c>
      <c r="H614" t="n">
        <v>0</v>
      </c>
      <c r="I614" t="n">
        <v>0</v>
      </c>
      <c r="J614" t="n">
        <v>0</v>
      </c>
      <c r="K614" t="n">
        <v>0</v>
      </c>
      <c r="L614" t="n">
        <v>0</v>
      </c>
      <c r="M614" t="n">
        <v>0</v>
      </c>
      <c r="N614" t="n">
        <v>0</v>
      </c>
      <c r="O614" t="n">
        <v>0</v>
      </c>
      <c r="P614" t="n">
        <v>0</v>
      </c>
      <c r="Q614" t="n">
        <v>0</v>
      </c>
      <c r="R614" s="2" t="inlineStr"/>
    </row>
    <row r="615" ht="15" customHeight="1">
      <c r="A615" t="inlineStr">
        <is>
          <t>A 37971-2024</t>
        </is>
      </c>
      <c r="B615" s="1" t="n">
        <v>45544</v>
      </c>
      <c r="C615" s="1" t="n">
        <v>45967</v>
      </c>
      <c r="D615" t="inlineStr">
        <is>
          <t>DALARNAS LÄN</t>
        </is>
      </c>
      <c r="E615" t="inlineStr">
        <is>
          <t>MORA</t>
        </is>
      </c>
      <c r="G615" t="n">
        <v>2.3</v>
      </c>
      <c r="H615" t="n">
        <v>0</v>
      </c>
      <c r="I615" t="n">
        <v>0</v>
      </c>
      <c r="J615" t="n">
        <v>0</v>
      </c>
      <c r="K615" t="n">
        <v>0</v>
      </c>
      <c r="L615" t="n">
        <v>0</v>
      </c>
      <c r="M615" t="n">
        <v>0</v>
      </c>
      <c r="N615" t="n">
        <v>0</v>
      </c>
      <c r="O615" t="n">
        <v>0</v>
      </c>
      <c r="P615" t="n">
        <v>0</v>
      </c>
      <c r="Q615" t="n">
        <v>0</v>
      </c>
      <c r="R615" s="2" t="inlineStr"/>
    </row>
    <row r="616" ht="15" customHeight="1">
      <c r="A616" t="inlineStr">
        <is>
          <t>A 54518-2025</t>
        </is>
      </c>
      <c r="B616" s="1" t="n">
        <v>45965.62608796296</v>
      </c>
      <c r="C616" s="1" t="n">
        <v>45967</v>
      </c>
      <c r="D616" t="inlineStr">
        <is>
          <t>DALARNAS LÄN</t>
        </is>
      </c>
      <c r="E616" t="inlineStr">
        <is>
          <t>MORA</t>
        </is>
      </c>
      <c r="G616" t="n">
        <v>7.1</v>
      </c>
      <c r="H616" t="n">
        <v>0</v>
      </c>
      <c r="I616" t="n">
        <v>0</v>
      </c>
      <c r="J616" t="n">
        <v>0</v>
      </c>
      <c r="K616" t="n">
        <v>0</v>
      </c>
      <c r="L616" t="n">
        <v>0</v>
      </c>
      <c r="M616" t="n">
        <v>0</v>
      </c>
      <c r="N616" t="n">
        <v>0</v>
      </c>
      <c r="O616" t="n">
        <v>0</v>
      </c>
      <c r="P616" t="n">
        <v>0</v>
      </c>
      <c r="Q616" t="n">
        <v>0</v>
      </c>
      <c r="R616" s="2" t="inlineStr"/>
    </row>
    <row r="617" ht="15" customHeight="1">
      <c r="A617" t="inlineStr">
        <is>
          <t>A 54868-2025</t>
        </is>
      </c>
      <c r="B617" s="1" t="n">
        <v>45966.85649305556</v>
      </c>
      <c r="C617" s="1" t="n">
        <v>45967</v>
      </c>
      <c r="D617" t="inlineStr">
        <is>
          <t>DALARNAS LÄN</t>
        </is>
      </c>
      <c r="E617" t="inlineStr">
        <is>
          <t>MORA</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18122-2025</t>
        </is>
      </c>
      <c r="B618" s="1" t="n">
        <v>45761.59221064814</v>
      </c>
      <c r="C618" s="1" t="n">
        <v>45967</v>
      </c>
      <c r="D618" t="inlineStr">
        <is>
          <t>DALARNAS LÄN</t>
        </is>
      </c>
      <c r="E618" t="inlineStr">
        <is>
          <t>MORA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46923-2024</t>
        </is>
      </c>
      <c r="B619" s="1" t="n">
        <v>45584.42887731481</v>
      </c>
      <c r="C619" s="1" t="n">
        <v>45967</v>
      </c>
      <c r="D619" t="inlineStr">
        <is>
          <t>DALARNAS LÄN</t>
        </is>
      </c>
      <c r="E619" t="inlineStr">
        <is>
          <t>MORA</t>
        </is>
      </c>
      <c r="G619" t="n">
        <v>3.4</v>
      </c>
      <c r="H619" t="n">
        <v>0</v>
      </c>
      <c r="I619" t="n">
        <v>0</v>
      </c>
      <c r="J619" t="n">
        <v>0</v>
      </c>
      <c r="K619" t="n">
        <v>0</v>
      </c>
      <c r="L619" t="n">
        <v>0</v>
      </c>
      <c r="M619" t="n">
        <v>0</v>
      </c>
      <c r="N619" t="n">
        <v>0</v>
      </c>
      <c r="O619" t="n">
        <v>0</v>
      </c>
      <c r="P619" t="n">
        <v>0</v>
      </c>
      <c r="Q619" t="n">
        <v>0</v>
      </c>
      <c r="R619" s="2" t="inlineStr"/>
    </row>
    <row r="620" ht="15" customHeight="1">
      <c r="A620" t="inlineStr">
        <is>
          <t>A 13262-2022</t>
        </is>
      </c>
      <c r="B620" s="1" t="n">
        <v>44644.70184027778</v>
      </c>
      <c r="C620" s="1" t="n">
        <v>45967</v>
      </c>
      <c r="D620" t="inlineStr">
        <is>
          <t>DALARNAS LÄN</t>
        </is>
      </c>
      <c r="E620" t="inlineStr">
        <is>
          <t>MORA</t>
        </is>
      </c>
      <c r="G620" t="n">
        <v>0.8</v>
      </c>
      <c r="H620" t="n">
        <v>0</v>
      </c>
      <c r="I620" t="n">
        <v>0</v>
      </c>
      <c r="J620" t="n">
        <v>0</v>
      </c>
      <c r="K620" t="n">
        <v>0</v>
      </c>
      <c r="L620" t="n">
        <v>0</v>
      </c>
      <c r="M620" t="n">
        <v>0</v>
      </c>
      <c r="N620" t="n">
        <v>0</v>
      </c>
      <c r="O620" t="n">
        <v>0</v>
      </c>
      <c r="P620" t="n">
        <v>0</v>
      </c>
      <c r="Q620" t="n">
        <v>0</v>
      </c>
      <c r="R620" s="2" t="inlineStr"/>
    </row>
    <row r="621" ht="15" customHeight="1">
      <c r="A621" t="inlineStr">
        <is>
          <t>A 28751-2025</t>
        </is>
      </c>
      <c r="B621" s="1" t="n">
        <v>45820.40034722222</v>
      </c>
      <c r="C621" s="1" t="n">
        <v>45967</v>
      </c>
      <c r="D621" t="inlineStr">
        <is>
          <t>DALARNAS LÄN</t>
        </is>
      </c>
      <c r="E621" t="inlineStr">
        <is>
          <t>MORA</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45967</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1897-2023</t>
        </is>
      </c>
      <c r="B623" s="1" t="n">
        <v>44937</v>
      </c>
      <c r="C623" s="1" t="n">
        <v>45967</v>
      </c>
      <c r="D623" t="inlineStr">
        <is>
          <t>DALARNAS LÄN</t>
        </is>
      </c>
      <c r="E623" t="inlineStr">
        <is>
          <t>MORA</t>
        </is>
      </c>
      <c r="G623" t="n">
        <v>0.8</v>
      </c>
      <c r="H623" t="n">
        <v>0</v>
      </c>
      <c r="I623" t="n">
        <v>0</v>
      </c>
      <c r="J623" t="n">
        <v>0</v>
      </c>
      <c r="K623" t="n">
        <v>0</v>
      </c>
      <c r="L623" t="n">
        <v>0</v>
      </c>
      <c r="M623" t="n">
        <v>0</v>
      </c>
      <c r="N623" t="n">
        <v>0</v>
      </c>
      <c r="O623" t="n">
        <v>0</v>
      </c>
      <c r="P623" t="n">
        <v>0</v>
      </c>
      <c r="Q623" t="n">
        <v>0</v>
      </c>
      <c r="R623" s="2" t="inlineStr"/>
    </row>
    <row r="624" ht="15" customHeight="1">
      <c r="A624" t="inlineStr">
        <is>
          <t>A 20549-2025</t>
        </is>
      </c>
      <c r="B624" s="1" t="n">
        <v>45775.63459490741</v>
      </c>
      <c r="C624" s="1" t="n">
        <v>45967</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19193-2025</t>
        </is>
      </c>
      <c r="B625" s="1" t="n">
        <v>45769.42203703704</v>
      </c>
      <c r="C625" s="1" t="n">
        <v>45967</v>
      </c>
      <c r="D625" t="inlineStr">
        <is>
          <t>DALARNAS LÄN</t>
        </is>
      </c>
      <c r="E625" t="inlineStr">
        <is>
          <t>MORA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28925-2025</t>
        </is>
      </c>
      <c r="B626" s="1" t="n">
        <v>45820.67107638889</v>
      </c>
      <c r="C626" s="1" t="n">
        <v>45967</v>
      </c>
      <c r="D626" t="inlineStr">
        <is>
          <t>DALARNAS LÄN</t>
        </is>
      </c>
      <c r="E626" t="inlineStr">
        <is>
          <t>MORA</t>
        </is>
      </c>
      <c r="G626" t="n">
        <v>3.7</v>
      </c>
      <c r="H626" t="n">
        <v>0</v>
      </c>
      <c r="I626" t="n">
        <v>0</v>
      </c>
      <c r="J626" t="n">
        <v>0</v>
      </c>
      <c r="K626" t="n">
        <v>0</v>
      </c>
      <c r="L626" t="n">
        <v>0</v>
      </c>
      <c r="M626" t="n">
        <v>0</v>
      </c>
      <c r="N626" t="n">
        <v>0</v>
      </c>
      <c r="O626" t="n">
        <v>0</v>
      </c>
      <c r="P626" t="n">
        <v>0</v>
      </c>
      <c r="Q626" t="n">
        <v>0</v>
      </c>
      <c r="R626" s="2" t="inlineStr"/>
    </row>
    <row r="627" ht="15" customHeight="1">
      <c r="A627" t="inlineStr">
        <is>
          <t>A 28927-2025</t>
        </is>
      </c>
      <c r="B627" s="1" t="n">
        <v>45820.67221064815</v>
      </c>
      <c r="C627" s="1" t="n">
        <v>45967</v>
      </c>
      <c r="D627" t="inlineStr">
        <is>
          <t>DALARNAS LÄN</t>
        </is>
      </c>
      <c r="E627" t="inlineStr">
        <is>
          <t>MORA</t>
        </is>
      </c>
      <c r="G627" t="n">
        <v>0.4</v>
      </c>
      <c r="H627" t="n">
        <v>0</v>
      </c>
      <c r="I627" t="n">
        <v>0</v>
      </c>
      <c r="J627" t="n">
        <v>0</v>
      </c>
      <c r="K627" t="n">
        <v>0</v>
      </c>
      <c r="L627" t="n">
        <v>0</v>
      </c>
      <c r="M627" t="n">
        <v>0</v>
      </c>
      <c r="N627" t="n">
        <v>0</v>
      </c>
      <c r="O627" t="n">
        <v>0</v>
      </c>
      <c r="P627" t="n">
        <v>0</v>
      </c>
      <c r="Q627" t="n">
        <v>0</v>
      </c>
      <c r="R627" s="2" t="inlineStr"/>
    </row>
    <row r="628" ht="15" customHeight="1">
      <c r="A628" t="inlineStr">
        <is>
          <t>A 28924-2025</t>
        </is>
      </c>
      <c r="B628" s="1" t="n">
        <v>45820.66846064815</v>
      </c>
      <c r="C628" s="1" t="n">
        <v>45967</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29425-2025</t>
        </is>
      </c>
      <c r="B629" s="1" t="n">
        <v>45824.64524305556</v>
      </c>
      <c r="C629" s="1" t="n">
        <v>45967</v>
      </c>
      <c r="D629" t="inlineStr">
        <is>
          <t>DALARNAS LÄN</t>
        </is>
      </c>
      <c r="E629" t="inlineStr">
        <is>
          <t>MORA</t>
        </is>
      </c>
      <c r="G629" t="n">
        <v>4.4</v>
      </c>
      <c r="H629" t="n">
        <v>0</v>
      </c>
      <c r="I629" t="n">
        <v>0</v>
      </c>
      <c r="J629" t="n">
        <v>0</v>
      </c>
      <c r="K629" t="n">
        <v>0</v>
      </c>
      <c r="L629" t="n">
        <v>0</v>
      </c>
      <c r="M629" t="n">
        <v>0</v>
      </c>
      <c r="N629" t="n">
        <v>0</v>
      </c>
      <c r="O629" t="n">
        <v>0</v>
      </c>
      <c r="P629" t="n">
        <v>0</v>
      </c>
      <c r="Q629" t="n">
        <v>0</v>
      </c>
      <c r="R629" s="2" t="inlineStr"/>
    </row>
    <row r="630" ht="15" customHeight="1">
      <c r="A630" t="inlineStr">
        <is>
          <t>A 19814-2025</t>
        </is>
      </c>
      <c r="B630" s="1" t="n">
        <v>45771.45686342593</v>
      </c>
      <c r="C630" s="1" t="n">
        <v>45967</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28976-2025</t>
        </is>
      </c>
      <c r="B631" s="1" t="n">
        <v>45821.34855324074</v>
      </c>
      <c r="C631" s="1" t="n">
        <v>45967</v>
      </c>
      <c r="D631" t="inlineStr">
        <is>
          <t>DALARNAS LÄN</t>
        </is>
      </c>
      <c r="E631" t="inlineStr">
        <is>
          <t>MORA</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29440-2025</t>
        </is>
      </c>
      <c r="B632" s="1" t="n">
        <v>45824.65862268519</v>
      </c>
      <c r="C632" s="1" t="n">
        <v>45967</v>
      </c>
      <c r="D632" t="inlineStr">
        <is>
          <t>DALARNAS LÄN</t>
        </is>
      </c>
      <c r="E632" t="inlineStr">
        <is>
          <t>MORA</t>
        </is>
      </c>
      <c r="G632" t="n">
        <v>1.7</v>
      </c>
      <c r="H632" t="n">
        <v>0</v>
      </c>
      <c r="I632" t="n">
        <v>0</v>
      </c>
      <c r="J632" t="n">
        <v>0</v>
      </c>
      <c r="K632" t="n">
        <v>0</v>
      </c>
      <c r="L632" t="n">
        <v>0</v>
      </c>
      <c r="M632" t="n">
        <v>0</v>
      </c>
      <c r="N632" t="n">
        <v>0</v>
      </c>
      <c r="O632" t="n">
        <v>0</v>
      </c>
      <c r="P632" t="n">
        <v>0</v>
      </c>
      <c r="Q632" t="n">
        <v>0</v>
      </c>
      <c r="R632" s="2" t="inlineStr"/>
    </row>
    <row r="633" ht="15" customHeight="1">
      <c r="A633" t="inlineStr">
        <is>
          <t>A 29068-2025</t>
        </is>
      </c>
      <c r="B633" s="1" t="n">
        <v>45821.50900462963</v>
      </c>
      <c r="C633" s="1" t="n">
        <v>45967</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8100-2024</t>
        </is>
      </c>
      <c r="B634" s="1" t="n">
        <v>45351.46583333334</v>
      </c>
      <c r="C634" s="1" t="n">
        <v>45967</v>
      </c>
      <c r="D634" t="inlineStr">
        <is>
          <t>DALARNAS LÄN</t>
        </is>
      </c>
      <c r="E634" t="inlineStr">
        <is>
          <t>MORA</t>
        </is>
      </c>
      <c r="G634" t="n">
        <v>3.2</v>
      </c>
      <c r="H634" t="n">
        <v>0</v>
      </c>
      <c r="I634" t="n">
        <v>0</v>
      </c>
      <c r="J634" t="n">
        <v>0</v>
      </c>
      <c r="K634" t="n">
        <v>0</v>
      </c>
      <c r="L634" t="n">
        <v>0</v>
      </c>
      <c r="M634" t="n">
        <v>0</v>
      </c>
      <c r="N634" t="n">
        <v>0</v>
      </c>
      <c r="O634" t="n">
        <v>0</v>
      </c>
      <c r="P634" t="n">
        <v>0</v>
      </c>
      <c r="Q634" t="n">
        <v>0</v>
      </c>
      <c r="R634" s="2" t="inlineStr"/>
    </row>
    <row r="635" ht="15" customHeight="1">
      <c r="A635" t="inlineStr">
        <is>
          <t>A 29870-2025</t>
        </is>
      </c>
      <c r="B635" s="1" t="n">
        <v>45826.35716435185</v>
      </c>
      <c r="C635" s="1" t="n">
        <v>45967</v>
      </c>
      <c r="D635" t="inlineStr">
        <is>
          <t>DALARNAS LÄN</t>
        </is>
      </c>
      <c r="E635" t="inlineStr">
        <is>
          <t>MORA</t>
        </is>
      </c>
      <c r="G635" t="n">
        <v>1.2</v>
      </c>
      <c r="H635" t="n">
        <v>0</v>
      </c>
      <c r="I635" t="n">
        <v>0</v>
      </c>
      <c r="J635" t="n">
        <v>0</v>
      </c>
      <c r="K635" t="n">
        <v>0</v>
      </c>
      <c r="L635" t="n">
        <v>0</v>
      </c>
      <c r="M635" t="n">
        <v>0</v>
      </c>
      <c r="N635" t="n">
        <v>0</v>
      </c>
      <c r="O635" t="n">
        <v>0</v>
      </c>
      <c r="P635" t="n">
        <v>0</v>
      </c>
      <c r="Q635" t="n">
        <v>0</v>
      </c>
      <c r="R635" s="2" t="inlineStr"/>
    </row>
    <row r="636" ht="15" customHeight="1">
      <c r="A636" t="inlineStr">
        <is>
          <t>A 29873-2025</t>
        </is>
      </c>
      <c r="B636" s="1" t="n">
        <v>45826</v>
      </c>
      <c r="C636" s="1" t="n">
        <v>45967</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9855-2024</t>
        </is>
      </c>
      <c r="B637" s="1" t="n">
        <v>45363.40368055556</v>
      </c>
      <c r="C637" s="1" t="n">
        <v>45967</v>
      </c>
      <c r="D637" t="inlineStr">
        <is>
          <t>DALARNAS LÄN</t>
        </is>
      </c>
      <c r="E637" t="inlineStr">
        <is>
          <t>MORA</t>
        </is>
      </c>
      <c r="G637" t="n">
        <v>8.6</v>
      </c>
      <c r="H637" t="n">
        <v>0</v>
      </c>
      <c r="I637" t="n">
        <v>0</v>
      </c>
      <c r="J637" t="n">
        <v>0</v>
      </c>
      <c r="K637" t="n">
        <v>0</v>
      </c>
      <c r="L637" t="n">
        <v>0</v>
      </c>
      <c r="M637" t="n">
        <v>0</v>
      </c>
      <c r="N637" t="n">
        <v>0</v>
      </c>
      <c r="O637" t="n">
        <v>0</v>
      </c>
      <c r="P637" t="n">
        <v>0</v>
      </c>
      <c r="Q637" t="n">
        <v>0</v>
      </c>
      <c r="R637" s="2" t="inlineStr"/>
    </row>
    <row r="638" ht="15" customHeight="1">
      <c r="A638" t="inlineStr">
        <is>
          <t>A 22732-2024</t>
        </is>
      </c>
      <c r="B638" s="1" t="n">
        <v>45448.38677083333</v>
      </c>
      <c r="C638" s="1" t="n">
        <v>45967</v>
      </c>
      <c r="D638" t="inlineStr">
        <is>
          <t>DALARNAS LÄN</t>
        </is>
      </c>
      <c r="E638" t="inlineStr">
        <is>
          <t>MORA</t>
        </is>
      </c>
      <c r="G638" t="n">
        <v>3.6</v>
      </c>
      <c r="H638" t="n">
        <v>0</v>
      </c>
      <c r="I638" t="n">
        <v>0</v>
      </c>
      <c r="J638" t="n">
        <v>0</v>
      </c>
      <c r="K638" t="n">
        <v>0</v>
      </c>
      <c r="L638" t="n">
        <v>0</v>
      </c>
      <c r="M638" t="n">
        <v>0</v>
      </c>
      <c r="N638" t="n">
        <v>0</v>
      </c>
      <c r="O638" t="n">
        <v>0</v>
      </c>
      <c r="P638" t="n">
        <v>0</v>
      </c>
      <c r="Q638" t="n">
        <v>0</v>
      </c>
      <c r="R638" s="2" t="inlineStr"/>
    </row>
    <row r="639" ht="15" customHeight="1">
      <c r="A639" t="inlineStr">
        <is>
          <t>A 29528-2025</t>
        </is>
      </c>
      <c r="B639" s="1" t="n">
        <v>45825.34322916667</v>
      </c>
      <c r="C639" s="1" t="n">
        <v>45967</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47784-2024</t>
        </is>
      </c>
      <c r="B640" s="1" t="n">
        <v>45588.59290509259</v>
      </c>
      <c r="C640" s="1" t="n">
        <v>45967</v>
      </c>
      <c r="D640" t="inlineStr">
        <is>
          <t>DALARNAS LÄN</t>
        </is>
      </c>
      <c r="E640" t="inlineStr">
        <is>
          <t>MORA</t>
        </is>
      </c>
      <c r="G640" t="n">
        <v>15.3</v>
      </c>
      <c r="H640" t="n">
        <v>0</v>
      </c>
      <c r="I640" t="n">
        <v>0</v>
      </c>
      <c r="J640" t="n">
        <v>0</v>
      </c>
      <c r="K640" t="n">
        <v>0</v>
      </c>
      <c r="L640" t="n">
        <v>0</v>
      </c>
      <c r="M640" t="n">
        <v>0</v>
      </c>
      <c r="N640" t="n">
        <v>0</v>
      </c>
      <c r="O640" t="n">
        <v>0</v>
      </c>
      <c r="P640" t="n">
        <v>0</v>
      </c>
      <c r="Q640" t="n">
        <v>0</v>
      </c>
      <c r="R640" s="2" t="inlineStr"/>
    </row>
    <row r="641" ht="15" customHeight="1">
      <c r="A641" t="inlineStr">
        <is>
          <t>A 30087-2025</t>
        </is>
      </c>
      <c r="B641" s="1" t="n">
        <v>45826.6575</v>
      </c>
      <c r="C641" s="1" t="n">
        <v>45967</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30166-2025</t>
        </is>
      </c>
      <c r="B642" s="1" t="n">
        <v>45827.33116898148</v>
      </c>
      <c r="C642" s="1" t="n">
        <v>45967</v>
      </c>
      <c r="D642" t="inlineStr">
        <is>
          <t>DALARNAS LÄN</t>
        </is>
      </c>
      <c r="E642" t="inlineStr">
        <is>
          <t>MORA</t>
        </is>
      </c>
      <c r="G642" t="n">
        <v>1.3</v>
      </c>
      <c r="H642" t="n">
        <v>0</v>
      </c>
      <c r="I642" t="n">
        <v>0</v>
      </c>
      <c r="J642" t="n">
        <v>0</v>
      </c>
      <c r="K642" t="n">
        <v>0</v>
      </c>
      <c r="L642" t="n">
        <v>0</v>
      </c>
      <c r="M642" t="n">
        <v>0</v>
      </c>
      <c r="N642" t="n">
        <v>0</v>
      </c>
      <c r="O642" t="n">
        <v>0</v>
      </c>
      <c r="P642" t="n">
        <v>0</v>
      </c>
      <c r="Q642" t="n">
        <v>0</v>
      </c>
      <c r="R642" s="2" t="inlineStr"/>
    </row>
    <row r="643" ht="15" customHeight="1">
      <c r="A643" t="inlineStr">
        <is>
          <t>A 64099-2023</t>
        </is>
      </c>
      <c r="B643" s="1" t="n">
        <v>45279.46009259259</v>
      </c>
      <c r="C643" s="1" t="n">
        <v>45967</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21244-2024</t>
        </is>
      </c>
      <c r="B644" s="1" t="n">
        <v>45440.59936342593</v>
      </c>
      <c r="C644" s="1" t="n">
        <v>45967</v>
      </c>
      <c r="D644" t="inlineStr">
        <is>
          <t>DALARNAS LÄN</t>
        </is>
      </c>
      <c r="E644" t="inlineStr">
        <is>
          <t>MORA</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30507-2025</t>
        </is>
      </c>
      <c r="B645" s="1" t="n">
        <v>45831.24760416667</v>
      </c>
      <c r="C645" s="1" t="n">
        <v>45967</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37471-2024</t>
        </is>
      </c>
      <c r="B646" s="1" t="n">
        <v>45540.85054398148</v>
      </c>
      <c r="C646" s="1" t="n">
        <v>45967</v>
      </c>
      <c r="D646" t="inlineStr">
        <is>
          <t>DALARNAS LÄN</t>
        </is>
      </c>
      <c r="E646" t="inlineStr">
        <is>
          <t>MORA</t>
        </is>
      </c>
      <c r="G646" t="n">
        <v>3.5</v>
      </c>
      <c r="H646" t="n">
        <v>0</v>
      </c>
      <c r="I646" t="n">
        <v>0</v>
      </c>
      <c r="J646" t="n">
        <v>0</v>
      </c>
      <c r="K646" t="n">
        <v>0</v>
      </c>
      <c r="L646" t="n">
        <v>0</v>
      </c>
      <c r="M646" t="n">
        <v>0</v>
      </c>
      <c r="N646" t="n">
        <v>0</v>
      </c>
      <c r="O646" t="n">
        <v>0</v>
      </c>
      <c r="P646" t="n">
        <v>0</v>
      </c>
      <c r="Q646" t="n">
        <v>0</v>
      </c>
      <c r="R646" s="2" t="inlineStr"/>
    </row>
    <row r="647" ht="15" customHeight="1">
      <c r="A647" t="inlineStr">
        <is>
          <t>A 33531-2024</t>
        </is>
      </c>
      <c r="B647" s="1" t="n">
        <v>45519.67503472222</v>
      </c>
      <c r="C647" s="1" t="n">
        <v>45967</v>
      </c>
      <c r="D647" t="inlineStr">
        <is>
          <t>DALARNAS LÄN</t>
        </is>
      </c>
      <c r="E647" t="inlineStr">
        <is>
          <t>MORA</t>
        </is>
      </c>
      <c r="G647" t="n">
        <v>14.8</v>
      </c>
      <c r="H647" t="n">
        <v>0</v>
      </c>
      <c r="I647" t="n">
        <v>0</v>
      </c>
      <c r="J647" t="n">
        <v>0</v>
      </c>
      <c r="K647" t="n">
        <v>0</v>
      </c>
      <c r="L647" t="n">
        <v>0</v>
      </c>
      <c r="M647" t="n">
        <v>0</v>
      </c>
      <c r="N647" t="n">
        <v>0</v>
      </c>
      <c r="O647" t="n">
        <v>0</v>
      </c>
      <c r="P647" t="n">
        <v>0</v>
      </c>
      <c r="Q647" t="n">
        <v>0</v>
      </c>
      <c r="R647" s="2" t="inlineStr"/>
    </row>
    <row r="648" ht="15" customHeight="1">
      <c r="A648" t="inlineStr">
        <is>
          <t>A 30858-2025</t>
        </is>
      </c>
      <c r="B648" s="1" t="n">
        <v>45831.92416666666</v>
      </c>
      <c r="C648" s="1" t="n">
        <v>45967</v>
      </c>
      <c r="D648" t="inlineStr">
        <is>
          <t>DALARNAS LÄN</t>
        </is>
      </c>
      <c r="E648" t="inlineStr">
        <is>
          <t>MORA</t>
        </is>
      </c>
      <c r="G648" t="n">
        <v>2.9</v>
      </c>
      <c r="H648" t="n">
        <v>0</v>
      </c>
      <c r="I648" t="n">
        <v>0</v>
      </c>
      <c r="J648" t="n">
        <v>0</v>
      </c>
      <c r="K648" t="n">
        <v>0</v>
      </c>
      <c r="L648" t="n">
        <v>0</v>
      </c>
      <c r="M648" t="n">
        <v>0</v>
      </c>
      <c r="N648" t="n">
        <v>0</v>
      </c>
      <c r="O648" t="n">
        <v>0</v>
      </c>
      <c r="P648" t="n">
        <v>0</v>
      </c>
      <c r="Q648" t="n">
        <v>0</v>
      </c>
      <c r="R648" s="2" t="inlineStr"/>
    </row>
    <row r="649" ht="15" customHeight="1">
      <c r="A649" t="inlineStr">
        <is>
          <t>A 30859-2025</t>
        </is>
      </c>
      <c r="B649" s="1" t="n">
        <v>45831.93105324074</v>
      </c>
      <c r="C649" s="1" t="n">
        <v>45967</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30989-2025</t>
        </is>
      </c>
      <c r="B650" s="1" t="n">
        <v>45832.48185185185</v>
      </c>
      <c r="C650" s="1" t="n">
        <v>45967</v>
      </c>
      <c r="D650" t="inlineStr">
        <is>
          <t>DALARNAS LÄN</t>
        </is>
      </c>
      <c r="E650" t="inlineStr">
        <is>
          <t>MORA</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22785-2023</t>
        </is>
      </c>
      <c r="B651" s="1" t="n">
        <v>45072.34796296297</v>
      </c>
      <c r="C651" s="1" t="n">
        <v>45967</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30509-2025</t>
        </is>
      </c>
      <c r="B652" s="1" t="n">
        <v>45831.25519675926</v>
      </c>
      <c r="C652" s="1" t="n">
        <v>45967</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31849-2025</t>
        </is>
      </c>
      <c r="B653" s="1" t="n">
        <v>45834.60525462963</v>
      </c>
      <c r="C653" s="1" t="n">
        <v>45967</v>
      </c>
      <c r="D653" t="inlineStr">
        <is>
          <t>DALARNAS LÄN</t>
        </is>
      </c>
      <c r="E653" t="inlineStr">
        <is>
          <t>MORA</t>
        </is>
      </c>
      <c r="G653" t="n">
        <v>3.9</v>
      </c>
      <c r="H653" t="n">
        <v>0</v>
      </c>
      <c r="I653" t="n">
        <v>0</v>
      </c>
      <c r="J653" t="n">
        <v>0</v>
      </c>
      <c r="K653" t="n">
        <v>0</v>
      </c>
      <c r="L653" t="n">
        <v>0</v>
      </c>
      <c r="M653" t="n">
        <v>0</v>
      </c>
      <c r="N653" t="n">
        <v>0</v>
      </c>
      <c r="O653" t="n">
        <v>0</v>
      </c>
      <c r="P653" t="n">
        <v>0</v>
      </c>
      <c r="Q653" t="n">
        <v>0</v>
      </c>
      <c r="R653" s="2" t="inlineStr"/>
    </row>
    <row r="654" ht="15" customHeight="1">
      <c r="A654" t="inlineStr">
        <is>
          <t>A 53754-2024</t>
        </is>
      </c>
      <c r="B654" s="1" t="n">
        <v>45615.49371527778</v>
      </c>
      <c r="C654" s="1" t="n">
        <v>45967</v>
      </c>
      <c r="D654" t="inlineStr">
        <is>
          <t>DALARNAS LÄN</t>
        </is>
      </c>
      <c r="E654" t="inlineStr">
        <is>
          <t>MORA</t>
        </is>
      </c>
      <c r="G654" t="n">
        <v>4.8</v>
      </c>
      <c r="H654" t="n">
        <v>0</v>
      </c>
      <c r="I654" t="n">
        <v>0</v>
      </c>
      <c r="J654" t="n">
        <v>0</v>
      </c>
      <c r="K654" t="n">
        <v>0</v>
      </c>
      <c r="L654" t="n">
        <v>0</v>
      </c>
      <c r="M654" t="n">
        <v>0</v>
      </c>
      <c r="N654" t="n">
        <v>0</v>
      </c>
      <c r="O654" t="n">
        <v>0</v>
      </c>
      <c r="P654" t="n">
        <v>0</v>
      </c>
      <c r="Q654" t="n">
        <v>0</v>
      </c>
      <c r="R654" s="2" t="inlineStr"/>
    </row>
    <row r="655" ht="15" customHeight="1">
      <c r="A655" t="inlineStr">
        <is>
          <t>A 20989-2024</t>
        </is>
      </c>
      <c r="B655" s="1" t="n">
        <v>45439</v>
      </c>
      <c r="C655" s="1" t="n">
        <v>45967</v>
      </c>
      <c r="D655" t="inlineStr">
        <is>
          <t>DALARNAS LÄN</t>
        </is>
      </c>
      <c r="E655" t="inlineStr">
        <is>
          <t>MORA</t>
        </is>
      </c>
      <c r="F655" t="inlineStr">
        <is>
          <t>Bergvik skog öst AB</t>
        </is>
      </c>
      <c r="G655" t="n">
        <v>14.7</v>
      </c>
      <c r="H655" t="n">
        <v>0</v>
      </c>
      <c r="I655" t="n">
        <v>0</v>
      </c>
      <c r="J655" t="n">
        <v>0</v>
      </c>
      <c r="K655" t="n">
        <v>0</v>
      </c>
      <c r="L655" t="n">
        <v>0</v>
      </c>
      <c r="M655" t="n">
        <v>0</v>
      </c>
      <c r="N655" t="n">
        <v>0</v>
      </c>
      <c r="O655" t="n">
        <v>0</v>
      </c>
      <c r="P655" t="n">
        <v>0</v>
      </c>
      <c r="Q655" t="n">
        <v>0</v>
      </c>
      <c r="R655" s="2" t="inlineStr"/>
    </row>
    <row r="656" ht="15" customHeight="1">
      <c r="A656" t="inlineStr">
        <is>
          <t>A 20930-2024</t>
        </is>
      </c>
      <c r="B656" s="1" t="n">
        <v>45439.51907407407</v>
      </c>
      <c r="C656" s="1" t="n">
        <v>45967</v>
      </c>
      <c r="D656" t="inlineStr">
        <is>
          <t>DALARNAS LÄN</t>
        </is>
      </c>
      <c r="E656" t="inlineStr">
        <is>
          <t>MORA</t>
        </is>
      </c>
      <c r="F656" t="inlineStr">
        <is>
          <t>Bergvik skog väst AB</t>
        </is>
      </c>
      <c r="G656" t="n">
        <v>5.3</v>
      </c>
      <c r="H656" t="n">
        <v>0</v>
      </c>
      <c r="I656" t="n">
        <v>0</v>
      </c>
      <c r="J656" t="n">
        <v>0</v>
      </c>
      <c r="K656" t="n">
        <v>0</v>
      </c>
      <c r="L656" t="n">
        <v>0</v>
      </c>
      <c r="M656" t="n">
        <v>0</v>
      </c>
      <c r="N656" t="n">
        <v>0</v>
      </c>
      <c r="O656" t="n">
        <v>0</v>
      </c>
      <c r="P656" t="n">
        <v>0</v>
      </c>
      <c r="Q656" t="n">
        <v>0</v>
      </c>
      <c r="R656" s="2" t="inlineStr"/>
    </row>
    <row r="657" ht="15" customHeight="1">
      <c r="A657" t="inlineStr">
        <is>
          <t>A 31846-2025</t>
        </is>
      </c>
      <c r="B657" s="1" t="n">
        <v>45834.60209490741</v>
      </c>
      <c r="C657" s="1" t="n">
        <v>45967</v>
      </c>
      <c r="D657" t="inlineStr">
        <is>
          <t>DALARNAS LÄN</t>
        </is>
      </c>
      <c r="E657" t="inlineStr">
        <is>
          <t>MORA</t>
        </is>
      </c>
      <c r="G657" t="n">
        <v>3.6</v>
      </c>
      <c r="H657" t="n">
        <v>0</v>
      </c>
      <c r="I657" t="n">
        <v>0</v>
      </c>
      <c r="J657" t="n">
        <v>0</v>
      </c>
      <c r="K657" t="n">
        <v>0</v>
      </c>
      <c r="L657" t="n">
        <v>0</v>
      </c>
      <c r="M657" t="n">
        <v>0</v>
      </c>
      <c r="N657" t="n">
        <v>0</v>
      </c>
      <c r="O657" t="n">
        <v>0</v>
      </c>
      <c r="P657" t="n">
        <v>0</v>
      </c>
      <c r="Q657" t="n">
        <v>0</v>
      </c>
      <c r="R657" s="2" t="inlineStr"/>
    </row>
    <row r="658" ht="15" customHeight="1">
      <c r="A658" t="inlineStr">
        <is>
          <t>A 31842-2025</t>
        </is>
      </c>
      <c r="B658" s="1" t="n">
        <v>45834.59822916667</v>
      </c>
      <c r="C658" s="1" t="n">
        <v>45967</v>
      </c>
      <c r="D658" t="inlineStr">
        <is>
          <t>DALARNAS LÄN</t>
        </is>
      </c>
      <c r="E658" t="inlineStr">
        <is>
          <t>MORA</t>
        </is>
      </c>
      <c r="G658" t="n">
        <v>1.1</v>
      </c>
      <c r="H658" t="n">
        <v>0</v>
      </c>
      <c r="I658" t="n">
        <v>0</v>
      </c>
      <c r="J658" t="n">
        <v>0</v>
      </c>
      <c r="K658" t="n">
        <v>0</v>
      </c>
      <c r="L658" t="n">
        <v>0</v>
      </c>
      <c r="M658" t="n">
        <v>0</v>
      </c>
      <c r="N658" t="n">
        <v>0</v>
      </c>
      <c r="O658" t="n">
        <v>0</v>
      </c>
      <c r="P658" t="n">
        <v>0</v>
      </c>
      <c r="Q658" t="n">
        <v>0</v>
      </c>
      <c r="R658" s="2" t="inlineStr"/>
    </row>
    <row r="659" ht="15" customHeight="1">
      <c r="A659" t="inlineStr">
        <is>
          <t>A 7972-2024</t>
        </is>
      </c>
      <c r="B659" s="1" t="n">
        <v>45350</v>
      </c>
      <c r="C659" s="1" t="n">
        <v>45967</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43432-2024</t>
        </is>
      </c>
      <c r="B660" s="1" t="n">
        <v>45568.64337962963</v>
      </c>
      <c r="C660" s="1" t="n">
        <v>45967</v>
      </c>
      <c r="D660" t="inlineStr">
        <is>
          <t>DALARNAS LÄN</t>
        </is>
      </c>
      <c r="E660" t="inlineStr">
        <is>
          <t>MORA</t>
        </is>
      </c>
      <c r="G660" t="n">
        <v>0.4</v>
      </c>
      <c r="H660" t="n">
        <v>0</v>
      </c>
      <c r="I660" t="n">
        <v>0</v>
      </c>
      <c r="J660" t="n">
        <v>0</v>
      </c>
      <c r="K660" t="n">
        <v>0</v>
      </c>
      <c r="L660" t="n">
        <v>0</v>
      </c>
      <c r="M660" t="n">
        <v>0</v>
      </c>
      <c r="N660" t="n">
        <v>0</v>
      </c>
      <c r="O660" t="n">
        <v>0</v>
      </c>
      <c r="P660" t="n">
        <v>0</v>
      </c>
      <c r="Q660" t="n">
        <v>0</v>
      </c>
      <c r="R660" s="2" t="inlineStr"/>
    </row>
    <row r="661" ht="15" customHeight="1">
      <c r="A661" t="inlineStr">
        <is>
          <t>A 60428-2023</t>
        </is>
      </c>
      <c r="B661" s="1" t="n">
        <v>45259.50996527778</v>
      </c>
      <c r="C661" s="1" t="n">
        <v>45967</v>
      </c>
      <c r="D661" t="inlineStr">
        <is>
          <t>DALARNAS LÄN</t>
        </is>
      </c>
      <c r="E661" t="inlineStr">
        <is>
          <t>MORA</t>
        </is>
      </c>
      <c r="G661" t="n">
        <v>4.9</v>
      </c>
      <c r="H661" t="n">
        <v>0</v>
      </c>
      <c r="I661" t="n">
        <v>0</v>
      </c>
      <c r="J661" t="n">
        <v>0</v>
      </c>
      <c r="K661" t="n">
        <v>0</v>
      </c>
      <c r="L661" t="n">
        <v>0</v>
      </c>
      <c r="M661" t="n">
        <v>0</v>
      </c>
      <c r="N661" t="n">
        <v>0</v>
      </c>
      <c r="O661" t="n">
        <v>0</v>
      </c>
      <c r="P661" t="n">
        <v>0</v>
      </c>
      <c r="Q661" t="n">
        <v>0</v>
      </c>
      <c r="R661" s="2" t="inlineStr"/>
    </row>
    <row r="662" ht="15" customHeight="1">
      <c r="A662" t="inlineStr">
        <is>
          <t>A 437-2024</t>
        </is>
      </c>
      <c r="B662" s="1" t="n">
        <v>45296</v>
      </c>
      <c r="C662" s="1" t="n">
        <v>45967</v>
      </c>
      <c r="D662" t="inlineStr">
        <is>
          <t>DALARNAS LÄN</t>
        </is>
      </c>
      <c r="E662" t="inlineStr">
        <is>
          <t>MORA</t>
        </is>
      </c>
      <c r="G662" t="n">
        <v>1.6</v>
      </c>
      <c r="H662" t="n">
        <v>0</v>
      </c>
      <c r="I662" t="n">
        <v>0</v>
      </c>
      <c r="J662" t="n">
        <v>0</v>
      </c>
      <c r="K662" t="n">
        <v>0</v>
      </c>
      <c r="L662" t="n">
        <v>0</v>
      </c>
      <c r="M662" t="n">
        <v>0</v>
      </c>
      <c r="N662" t="n">
        <v>0</v>
      </c>
      <c r="O662" t="n">
        <v>0</v>
      </c>
      <c r="P662" t="n">
        <v>0</v>
      </c>
      <c r="Q662" t="n">
        <v>0</v>
      </c>
      <c r="R662" s="2" t="inlineStr"/>
    </row>
    <row r="663" ht="15" customHeight="1">
      <c r="A663" t="inlineStr">
        <is>
          <t>A 60715-2023</t>
        </is>
      </c>
      <c r="B663" s="1" t="n">
        <v>45260.52684027778</v>
      </c>
      <c r="C663" s="1" t="n">
        <v>45967</v>
      </c>
      <c r="D663" t="inlineStr">
        <is>
          <t>DALARNAS LÄN</t>
        </is>
      </c>
      <c r="E663" t="inlineStr">
        <is>
          <t>MORA</t>
        </is>
      </c>
      <c r="G663" t="n">
        <v>1.7</v>
      </c>
      <c r="H663" t="n">
        <v>0</v>
      </c>
      <c r="I663" t="n">
        <v>0</v>
      </c>
      <c r="J663" t="n">
        <v>0</v>
      </c>
      <c r="K663" t="n">
        <v>0</v>
      </c>
      <c r="L663" t="n">
        <v>0</v>
      </c>
      <c r="M663" t="n">
        <v>0</v>
      </c>
      <c r="N663" t="n">
        <v>0</v>
      </c>
      <c r="O663" t="n">
        <v>0</v>
      </c>
      <c r="P663" t="n">
        <v>0</v>
      </c>
      <c r="Q663" t="n">
        <v>0</v>
      </c>
      <c r="R663" s="2" t="inlineStr"/>
    </row>
    <row r="664" ht="15" customHeight="1">
      <c r="A664" t="inlineStr">
        <is>
          <t>A 32852-2025</t>
        </is>
      </c>
      <c r="B664" s="1" t="n">
        <v>45839.57559027777</v>
      </c>
      <c r="C664" s="1" t="n">
        <v>45967</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33443-2025</t>
        </is>
      </c>
      <c r="B665" s="1" t="n">
        <v>45841</v>
      </c>
      <c r="C665" s="1" t="n">
        <v>45967</v>
      </c>
      <c r="D665" t="inlineStr">
        <is>
          <t>DALARNAS LÄN</t>
        </is>
      </c>
      <c r="E665" t="inlineStr">
        <is>
          <t>MORA</t>
        </is>
      </c>
      <c r="G665" t="n">
        <v>2.7</v>
      </c>
      <c r="H665" t="n">
        <v>0</v>
      </c>
      <c r="I665" t="n">
        <v>0</v>
      </c>
      <c r="J665" t="n">
        <v>0</v>
      </c>
      <c r="K665" t="n">
        <v>0</v>
      </c>
      <c r="L665" t="n">
        <v>0</v>
      </c>
      <c r="M665" t="n">
        <v>0</v>
      </c>
      <c r="N665" t="n">
        <v>0</v>
      </c>
      <c r="O665" t="n">
        <v>0</v>
      </c>
      <c r="P665" t="n">
        <v>0</v>
      </c>
      <c r="Q665" t="n">
        <v>0</v>
      </c>
      <c r="R665" s="2" t="inlineStr"/>
    </row>
    <row r="666" ht="15" customHeight="1">
      <c r="A666" t="inlineStr">
        <is>
          <t>A 27125-2024</t>
        </is>
      </c>
      <c r="B666" s="1" t="n">
        <v>45471</v>
      </c>
      <c r="C666" s="1" t="n">
        <v>45967</v>
      </c>
      <c r="D666" t="inlineStr">
        <is>
          <t>DALARNAS LÄN</t>
        </is>
      </c>
      <c r="E666" t="inlineStr">
        <is>
          <t>MORA</t>
        </is>
      </c>
      <c r="G666" t="n">
        <v>2.3</v>
      </c>
      <c r="H666" t="n">
        <v>0</v>
      </c>
      <c r="I666" t="n">
        <v>0</v>
      </c>
      <c r="J666" t="n">
        <v>0</v>
      </c>
      <c r="K666" t="n">
        <v>0</v>
      </c>
      <c r="L666" t="n">
        <v>0</v>
      </c>
      <c r="M666" t="n">
        <v>0</v>
      </c>
      <c r="N666" t="n">
        <v>0</v>
      </c>
      <c r="O666" t="n">
        <v>0</v>
      </c>
      <c r="P666" t="n">
        <v>0</v>
      </c>
      <c r="Q666" t="n">
        <v>0</v>
      </c>
      <c r="R666" s="2" t="inlineStr"/>
    </row>
    <row r="667" ht="15" customHeight="1">
      <c r="A667" t="inlineStr">
        <is>
          <t>A 30822-2024</t>
        </is>
      </c>
      <c r="B667" s="1" t="n">
        <v>45497</v>
      </c>
      <c r="C667" s="1" t="n">
        <v>45967</v>
      </c>
      <c r="D667" t="inlineStr">
        <is>
          <t>DALARNAS LÄN</t>
        </is>
      </c>
      <c r="E667" t="inlineStr">
        <is>
          <t>MORA</t>
        </is>
      </c>
      <c r="G667" t="n">
        <v>1.8</v>
      </c>
      <c r="H667" t="n">
        <v>0</v>
      </c>
      <c r="I667" t="n">
        <v>0</v>
      </c>
      <c r="J667" t="n">
        <v>0</v>
      </c>
      <c r="K667" t="n">
        <v>0</v>
      </c>
      <c r="L667" t="n">
        <v>0</v>
      </c>
      <c r="M667" t="n">
        <v>0</v>
      </c>
      <c r="N667" t="n">
        <v>0</v>
      </c>
      <c r="O667" t="n">
        <v>0</v>
      </c>
      <c r="P667" t="n">
        <v>0</v>
      </c>
      <c r="Q667" t="n">
        <v>0</v>
      </c>
      <c r="R667" s="2" t="inlineStr"/>
    </row>
    <row r="668" ht="15" customHeight="1">
      <c r="A668" t="inlineStr">
        <is>
          <t>A 34005-2025</t>
        </is>
      </c>
      <c r="B668" s="1" t="n">
        <v>45844.58890046296</v>
      </c>
      <c r="C668" s="1" t="n">
        <v>45967</v>
      </c>
      <c r="D668" t="inlineStr">
        <is>
          <t>DALARNAS LÄN</t>
        </is>
      </c>
      <c r="E668" t="inlineStr">
        <is>
          <t>MORA</t>
        </is>
      </c>
      <c r="G668" t="n">
        <v>7.2</v>
      </c>
      <c r="H668" t="n">
        <v>0</v>
      </c>
      <c r="I668" t="n">
        <v>0</v>
      </c>
      <c r="J668" t="n">
        <v>0</v>
      </c>
      <c r="K668" t="n">
        <v>0</v>
      </c>
      <c r="L668" t="n">
        <v>0</v>
      </c>
      <c r="M668" t="n">
        <v>0</v>
      </c>
      <c r="N668" t="n">
        <v>0</v>
      </c>
      <c r="O668" t="n">
        <v>0</v>
      </c>
      <c r="P668" t="n">
        <v>0</v>
      </c>
      <c r="Q668" t="n">
        <v>0</v>
      </c>
      <c r="R668" s="2" t="inlineStr"/>
    </row>
    <row r="669" ht="15" customHeight="1">
      <c r="A669" t="inlineStr">
        <is>
          <t>A 58177-2024</t>
        </is>
      </c>
      <c r="B669" s="1" t="n">
        <v>45632.46821759259</v>
      </c>
      <c r="C669" s="1" t="n">
        <v>45967</v>
      </c>
      <c r="D669" t="inlineStr">
        <is>
          <t>DALARNAS LÄN</t>
        </is>
      </c>
      <c r="E669" t="inlineStr">
        <is>
          <t>MORA</t>
        </is>
      </c>
      <c r="G669" t="n">
        <v>0.8</v>
      </c>
      <c r="H669" t="n">
        <v>0</v>
      </c>
      <c r="I669" t="n">
        <v>0</v>
      </c>
      <c r="J669" t="n">
        <v>0</v>
      </c>
      <c r="K669" t="n">
        <v>0</v>
      </c>
      <c r="L669" t="n">
        <v>0</v>
      </c>
      <c r="M669" t="n">
        <v>0</v>
      </c>
      <c r="N669" t="n">
        <v>0</v>
      </c>
      <c r="O669" t="n">
        <v>0</v>
      </c>
      <c r="P669" t="n">
        <v>0</v>
      </c>
      <c r="Q669" t="n">
        <v>0</v>
      </c>
      <c r="R669" s="2" t="inlineStr"/>
    </row>
    <row r="670" ht="15" customHeight="1">
      <c r="A670" t="inlineStr">
        <is>
          <t>A 17172-2025</t>
        </is>
      </c>
      <c r="B670" s="1" t="n">
        <v>45756.37201388889</v>
      </c>
      <c r="C670" s="1" t="n">
        <v>45967</v>
      </c>
      <c r="D670" t="inlineStr">
        <is>
          <t>DALARNAS LÄN</t>
        </is>
      </c>
      <c r="E670" t="inlineStr">
        <is>
          <t>MORA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34382-2025</t>
        </is>
      </c>
      <c r="B671" s="1" t="n">
        <v>45846</v>
      </c>
      <c r="C671" s="1" t="n">
        <v>45967</v>
      </c>
      <c r="D671" t="inlineStr">
        <is>
          <t>DALARNAS LÄN</t>
        </is>
      </c>
      <c r="E671" t="inlineStr">
        <is>
          <t>MORA</t>
        </is>
      </c>
      <c r="G671" t="n">
        <v>0.7</v>
      </c>
      <c r="H671" t="n">
        <v>0</v>
      </c>
      <c r="I671" t="n">
        <v>0</v>
      </c>
      <c r="J671" t="n">
        <v>0</v>
      </c>
      <c r="K671" t="n">
        <v>0</v>
      </c>
      <c r="L671" t="n">
        <v>0</v>
      </c>
      <c r="M671" t="n">
        <v>0</v>
      </c>
      <c r="N671" t="n">
        <v>0</v>
      </c>
      <c r="O671" t="n">
        <v>0</v>
      </c>
      <c r="P671" t="n">
        <v>0</v>
      </c>
      <c r="Q671" t="n">
        <v>0</v>
      </c>
      <c r="R671" s="2" t="inlineStr"/>
    </row>
    <row r="672" ht="15" customHeight="1">
      <c r="A672" t="inlineStr">
        <is>
          <t>A 34182-2025</t>
        </is>
      </c>
      <c r="B672" s="1" t="n">
        <v>45845.60520833333</v>
      </c>
      <c r="C672" s="1" t="n">
        <v>45967</v>
      </c>
      <c r="D672" t="inlineStr">
        <is>
          <t>DALARNAS LÄN</t>
        </is>
      </c>
      <c r="E672" t="inlineStr">
        <is>
          <t>MORA</t>
        </is>
      </c>
      <c r="G672" t="n">
        <v>3.4</v>
      </c>
      <c r="H672" t="n">
        <v>0</v>
      </c>
      <c r="I672" t="n">
        <v>0</v>
      </c>
      <c r="J672" t="n">
        <v>0</v>
      </c>
      <c r="K672" t="n">
        <v>0</v>
      </c>
      <c r="L672" t="n">
        <v>0</v>
      </c>
      <c r="M672" t="n">
        <v>0</v>
      </c>
      <c r="N672" t="n">
        <v>0</v>
      </c>
      <c r="O672" t="n">
        <v>0</v>
      </c>
      <c r="P672" t="n">
        <v>0</v>
      </c>
      <c r="Q672" t="n">
        <v>0</v>
      </c>
      <c r="R672" s="2" t="inlineStr"/>
    </row>
    <row r="673" ht="15" customHeight="1">
      <c r="A673" t="inlineStr">
        <is>
          <t>A 34482-2025</t>
        </is>
      </c>
      <c r="B673" s="1" t="n">
        <v>45847.38469907407</v>
      </c>
      <c r="C673" s="1" t="n">
        <v>45967</v>
      </c>
      <c r="D673" t="inlineStr">
        <is>
          <t>DALARNAS LÄN</t>
        </is>
      </c>
      <c r="E673" t="inlineStr">
        <is>
          <t>MORA</t>
        </is>
      </c>
      <c r="G673" t="n">
        <v>1.5</v>
      </c>
      <c r="H673" t="n">
        <v>0</v>
      </c>
      <c r="I673" t="n">
        <v>0</v>
      </c>
      <c r="J673" t="n">
        <v>0</v>
      </c>
      <c r="K673" t="n">
        <v>0</v>
      </c>
      <c r="L673" t="n">
        <v>0</v>
      </c>
      <c r="M673" t="n">
        <v>0</v>
      </c>
      <c r="N673" t="n">
        <v>0</v>
      </c>
      <c r="O673" t="n">
        <v>0</v>
      </c>
      <c r="P673" t="n">
        <v>0</v>
      </c>
      <c r="Q673" t="n">
        <v>0</v>
      </c>
      <c r="R673" s="2" t="inlineStr"/>
    </row>
    <row r="674" ht="15" customHeight="1">
      <c r="A674" t="inlineStr">
        <is>
          <t>A 34933-2025</t>
        </is>
      </c>
      <c r="B674" s="1" t="n">
        <v>45849.57297453703</v>
      </c>
      <c r="C674" s="1" t="n">
        <v>45967</v>
      </c>
      <c r="D674" t="inlineStr">
        <is>
          <t>DALARNAS LÄN</t>
        </is>
      </c>
      <c r="E674" t="inlineStr">
        <is>
          <t>MORA</t>
        </is>
      </c>
      <c r="F674" t="inlineStr">
        <is>
          <t>Bergvik skog väst AB</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35121-2025</t>
        </is>
      </c>
      <c r="B675" s="1" t="n">
        <v>45852.60936342592</v>
      </c>
      <c r="C675" s="1" t="n">
        <v>45967</v>
      </c>
      <c r="D675" t="inlineStr">
        <is>
          <t>DALARNAS LÄN</t>
        </is>
      </c>
      <c r="E675" t="inlineStr">
        <is>
          <t>MORA</t>
        </is>
      </c>
      <c r="F675" t="inlineStr">
        <is>
          <t>Bergvik skog öst AB</t>
        </is>
      </c>
      <c r="G675" t="n">
        <v>15.9</v>
      </c>
      <c r="H675" t="n">
        <v>0</v>
      </c>
      <c r="I675" t="n">
        <v>0</v>
      </c>
      <c r="J675" t="n">
        <v>0</v>
      </c>
      <c r="K675" t="n">
        <v>0</v>
      </c>
      <c r="L675" t="n">
        <v>0</v>
      </c>
      <c r="M675" t="n">
        <v>0</v>
      </c>
      <c r="N675" t="n">
        <v>0</v>
      </c>
      <c r="O675" t="n">
        <v>0</v>
      </c>
      <c r="P675" t="n">
        <v>0</v>
      </c>
      <c r="Q675" t="n">
        <v>0</v>
      </c>
      <c r="R675" s="2" t="inlineStr"/>
    </row>
    <row r="676" ht="15" customHeight="1">
      <c r="A676" t="inlineStr">
        <is>
          <t>A 35407-2025</t>
        </is>
      </c>
      <c r="B676" s="1" t="n">
        <v>45855.35989583333</v>
      </c>
      <c r="C676" s="1" t="n">
        <v>45967</v>
      </c>
      <c r="D676" t="inlineStr">
        <is>
          <t>DALARNAS LÄN</t>
        </is>
      </c>
      <c r="E676" t="inlineStr">
        <is>
          <t>MORA</t>
        </is>
      </c>
      <c r="G676" t="n">
        <v>1.4</v>
      </c>
      <c r="H676" t="n">
        <v>0</v>
      </c>
      <c r="I676" t="n">
        <v>0</v>
      </c>
      <c r="J676" t="n">
        <v>0</v>
      </c>
      <c r="K676" t="n">
        <v>0</v>
      </c>
      <c r="L676" t="n">
        <v>0</v>
      </c>
      <c r="M676" t="n">
        <v>0</v>
      </c>
      <c r="N676" t="n">
        <v>0</v>
      </c>
      <c r="O676" t="n">
        <v>0</v>
      </c>
      <c r="P676" t="n">
        <v>0</v>
      </c>
      <c r="Q676" t="n">
        <v>0</v>
      </c>
      <c r="R676" s="2" t="inlineStr"/>
    </row>
    <row r="677" ht="15" customHeight="1">
      <c r="A677" t="inlineStr">
        <is>
          <t>A 35611-2025</t>
        </is>
      </c>
      <c r="B677" s="1" t="n">
        <v>45859.35384259259</v>
      </c>
      <c r="C677" s="1" t="n">
        <v>45967</v>
      </c>
      <c r="D677" t="inlineStr">
        <is>
          <t>DALARNAS LÄN</t>
        </is>
      </c>
      <c r="E677" t="inlineStr">
        <is>
          <t>MORA</t>
        </is>
      </c>
      <c r="G677" t="n">
        <v>2.5</v>
      </c>
      <c r="H677" t="n">
        <v>0</v>
      </c>
      <c r="I677" t="n">
        <v>0</v>
      </c>
      <c r="J677" t="n">
        <v>0</v>
      </c>
      <c r="K677" t="n">
        <v>0</v>
      </c>
      <c r="L677" t="n">
        <v>0</v>
      </c>
      <c r="M677" t="n">
        <v>0</v>
      </c>
      <c r="N677" t="n">
        <v>0</v>
      </c>
      <c r="O677" t="n">
        <v>0</v>
      </c>
      <c r="P677" t="n">
        <v>0</v>
      </c>
      <c r="Q677" t="n">
        <v>0</v>
      </c>
      <c r="R677" s="2" t="inlineStr"/>
    </row>
    <row r="678" ht="15" customHeight="1">
      <c r="A678" t="inlineStr">
        <is>
          <t>A 35622-2025</t>
        </is>
      </c>
      <c r="B678" s="1" t="n">
        <v>45859</v>
      </c>
      <c r="C678" s="1" t="n">
        <v>45967</v>
      </c>
      <c r="D678" t="inlineStr">
        <is>
          <t>DALARNAS LÄN</t>
        </is>
      </c>
      <c r="E678" t="inlineStr">
        <is>
          <t>MORA</t>
        </is>
      </c>
      <c r="F678" t="inlineStr">
        <is>
          <t>Bergvik skog öst AB</t>
        </is>
      </c>
      <c r="G678" t="n">
        <v>5.8</v>
      </c>
      <c r="H678" t="n">
        <v>0</v>
      </c>
      <c r="I678" t="n">
        <v>0</v>
      </c>
      <c r="J678" t="n">
        <v>0</v>
      </c>
      <c r="K678" t="n">
        <v>0</v>
      </c>
      <c r="L678" t="n">
        <v>0</v>
      </c>
      <c r="M678" t="n">
        <v>0</v>
      </c>
      <c r="N678" t="n">
        <v>0</v>
      </c>
      <c r="O678" t="n">
        <v>0</v>
      </c>
      <c r="P678" t="n">
        <v>0</v>
      </c>
      <c r="Q678" t="n">
        <v>0</v>
      </c>
      <c r="R678" s="2" t="inlineStr"/>
    </row>
    <row r="679" ht="15" customHeight="1">
      <c r="A679" t="inlineStr">
        <is>
          <t>A 35734-2025</t>
        </is>
      </c>
      <c r="B679" s="1" t="n">
        <v>45860.471875</v>
      </c>
      <c r="C679" s="1" t="n">
        <v>45967</v>
      </c>
      <c r="D679" t="inlineStr">
        <is>
          <t>DALARNAS LÄN</t>
        </is>
      </c>
      <c r="E679" t="inlineStr">
        <is>
          <t>MORA</t>
        </is>
      </c>
      <c r="G679" t="n">
        <v>1.3</v>
      </c>
      <c r="H679" t="n">
        <v>0</v>
      </c>
      <c r="I679" t="n">
        <v>0</v>
      </c>
      <c r="J679" t="n">
        <v>0</v>
      </c>
      <c r="K679" t="n">
        <v>0</v>
      </c>
      <c r="L679" t="n">
        <v>0</v>
      </c>
      <c r="M679" t="n">
        <v>0</v>
      </c>
      <c r="N679" t="n">
        <v>0</v>
      </c>
      <c r="O679" t="n">
        <v>0</v>
      </c>
      <c r="P679" t="n">
        <v>0</v>
      </c>
      <c r="Q679" t="n">
        <v>0</v>
      </c>
      <c r="R679" s="2" t="inlineStr"/>
    </row>
    <row r="680" ht="15" customHeight="1">
      <c r="A680" t="inlineStr">
        <is>
          <t>A 9277-2024</t>
        </is>
      </c>
      <c r="B680" s="1" t="n">
        <v>45358.63265046296</v>
      </c>
      <c r="C680" s="1" t="n">
        <v>45967</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35623-2025</t>
        </is>
      </c>
      <c r="B681" s="1" t="n">
        <v>45859</v>
      </c>
      <c r="C681" s="1" t="n">
        <v>45967</v>
      </c>
      <c r="D681" t="inlineStr">
        <is>
          <t>DALARNAS LÄN</t>
        </is>
      </c>
      <c r="E681" t="inlineStr">
        <is>
          <t>MORA</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35624-2025</t>
        </is>
      </c>
      <c r="B682" s="1" t="n">
        <v>45859</v>
      </c>
      <c r="C682" s="1" t="n">
        <v>45967</v>
      </c>
      <c r="D682" t="inlineStr">
        <is>
          <t>DALARNAS LÄN</t>
        </is>
      </c>
      <c r="E682" t="inlineStr">
        <is>
          <t>MORA</t>
        </is>
      </c>
      <c r="F682" t="inlineStr">
        <is>
          <t>Bergvik skog öst AB</t>
        </is>
      </c>
      <c r="G682" t="n">
        <v>0.8</v>
      </c>
      <c r="H682" t="n">
        <v>0</v>
      </c>
      <c r="I682" t="n">
        <v>0</v>
      </c>
      <c r="J682" t="n">
        <v>0</v>
      </c>
      <c r="K682" t="n">
        <v>0</v>
      </c>
      <c r="L682" t="n">
        <v>0</v>
      </c>
      <c r="M682" t="n">
        <v>0</v>
      </c>
      <c r="N682" t="n">
        <v>0</v>
      </c>
      <c r="O682" t="n">
        <v>0</v>
      </c>
      <c r="P682" t="n">
        <v>0</v>
      </c>
      <c r="Q682" t="n">
        <v>0</v>
      </c>
      <c r="R682" s="2" t="inlineStr"/>
    </row>
    <row r="683" ht="15" customHeight="1">
      <c r="A683" t="inlineStr">
        <is>
          <t>A 36041-2025</t>
        </is>
      </c>
      <c r="B683" s="1" t="n">
        <v>45866.34385416667</v>
      </c>
      <c r="C683" s="1" t="n">
        <v>45967</v>
      </c>
      <c r="D683" t="inlineStr">
        <is>
          <t>DALARNAS LÄN</t>
        </is>
      </c>
      <c r="E683" t="inlineStr">
        <is>
          <t>MORA</t>
        </is>
      </c>
      <c r="G683" t="n">
        <v>0.6</v>
      </c>
      <c r="H683" t="n">
        <v>0</v>
      </c>
      <c r="I683" t="n">
        <v>0</v>
      </c>
      <c r="J683" t="n">
        <v>0</v>
      </c>
      <c r="K683" t="n">
        <v>0</v>
      </c>
      <c r="L683" t="n">
        <v>0</v>
      </c>
      <c r="M683" t="n">
        <v>0</v>
      </c>
      <c r="N683" t="n">
        <v>0</v>
      </c>
      <c r="O683" t="n">
        <v>0</v>
      </c>
      <c r="P683" t="n">
        <v>0</v>
      </c>
      <c r="Q683" t="n">
        <v>0</v>
      </c>
      <c r="R683" s="2" t="inlineStr"/>
    </row>
    <row r="684" ht="15" customHeight="1">
      <c r="A684" t="inlineStr">
        <is>
          <t>A 16174-2025</t>
        </is>
      </c>
      <c r="B684" s="1" t="n">
        <v>45750</v>
      </c>
      <c r="C684" s="1" t="n">
        <v>45967</v>
      </c>
      <c r="D684" t="inlineStr">
        <is>
          <t>DALARNAS LÄN</t>
        </is>
      </c>
      <c r="E684" t="inlineStr">
        <is>
          <t>MORA</t>
        </is>
      </c>
      <c r="G684" t="n">
        <v>0.9</v>
      </c>
      <c r="H684" t="n">
        <v>0</v>
      </c>
      <c r="I684" t="n">
        <v>0</v>
      </c>
      <c r="J684" t="n">
        <v>0</v>
      </c>
      <c r="K684" t="n">
        <v>0</v>
      </c>
      <c r="L684" t="n">
        <v>0</v>
      </c>
      <c r="M684" t="n">
        <v>0</v>
      </c>
      <c r="N684" t="n">
        <v>0</v>
      </c>
      <c r="O684" t="n">
        <v>0</v>
      </c>
      <c r="P684" t="n">
        <v>0</v>
      </c>
      <c r="Q684" t="n">
        <v>0</v>
      </c>
      <c r="R684" s="2" t="inlineStr"/>
    </row>
    <row r="685" ht="15" customHeight="1">
      <c r="A685" t="inlineStr">
        <is>
          <t>A 36586-2025</t>
        </is>
      </c>
      <c r="B685" s="1" t="n">
        <v>45869</v>
      </c>
      <c r="C685" s="1" t="n">
        <v>45967</v>
      </c>
      <c r="D685" t="inlineStr">
        <is>
          <t>DALARNAS LÄN</t>
        </is>
      </c>
      <c r="E685" t="inlineStr">
        <is>
          <t>MORA</t>
        </is>
      </c>
      <c r="G685" t="n">
        <v>1.8</v>
      </c>
      <c r="H685" t="n">
        <v>0</v>
      </c>
      <c r="I685" t="n">
        <v>0</v>
      </c>
      <c r="J685" t="n">
        <v>0</v>
      </c>
      <c r="K685" t="n">
        <v>0</v>
      </c>
      <c r="L685" t="n">
        <v>0</v>
      </c>
      <c r="M685" t="n">
        <v>0</v>
      </c>
      <c r="N685" t="n">
        <v>0</v>
      </c>
      <c r="O685" t="n">
        <v>0</v>
      </c>
      <c r="P685" t="n">
        <v>0</v>
      </c>
      <c r="Q685" t="n">
        <v>0</v>
      </c>
      <c r="R685" s="2" t="inlineStr"/>
    </row>
    <row r="686" ht="15" customHeight="1">
      <c r="A686" t="inlineStr">
        <is>
          <t>A 36760-2025</t>
        </is>
      </c>
      <c r="B686" s="1" t="n">
        <v>45873.57319444444</v>
      </c>
      <c r="C686" s="1" t="n">
        <v>45967</v>
      </c>
      <c r="D686" t="inlineStr">
        <is>
          <t>DALARNAS LÄN</t>
        </is>
      </c>
      <c r="E686" t="inlineStr">
        <is>
          <t>MORA</t>
        </is>
      </c>
      <c r="G686" t="n">
        <v>4.6</v>
      </c>
      <c r="H686" t="n">
        <v>0</v>
      </c>
      <c r="I686" t="n">
        <v>0</v>
      </c>
      <c r="J686" t="n">
        <v>0</v>
      </c>
      <c r="K686" t="n">
        <v>0</v>
      </c>
      <c r="L686" t="n">
        <v>0</v>
      </c>
      <c r="M686" t="n">
        <v>0</v>
      </c>
      <c r="N686" t="n">
        <v>0</v>
      </c>
      <c r="O686" t="n">
        <v>0</v>
      </c>
      <c r="P686" t="n">
        <v>0</v>
      </c>
      <c r="Q686" t="n">
        <v>0</v>
      </c>
      <c r="R686" s="2" t="inlineStr"/>
    </row>
    <row r="687" ht="15" customHeight="1">
      <c r="A687" t="inlineStr">
        <is>
          <t>A 22854-2023</t>
        </is>
      </c>
      <c r="B687" s="1" t="n">
        <v>45072</v>
      </c>
      <c r="C687" s="1" t="n">
        <v>45967</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36846-2025</t>
        </is>
      </c>
      <c r="B688" s="1" t="n">
        <v>45874.38655092593</v>
      </c>
      <c r="C688" s="1" t="n">
        <v>45967</v>
      </c>
      <c r="D688" t="inlineStr">
        <is>
          <t>DALARNAS LÄN</t>
        </is>
      </c>
      <c r="E688" t="inlineStr">
        <is>
          <t>MORA</t>
        </is>
      </c>
      <c r="G688" t="n">
        <v>10.7</v>
      </c>
      <c r="H688" t="n">
        <v>0</v>
      </c>
      <c r="I688" t="n">
        <v>0</v>
      </c>
      <c r="J688" t="n">
        <v>0</v>
      </c>
      <c r="K688" t="n">
        <v>0</v>
      </c>
      <c r="L688" t="n">
        <v>0</v>
      </c>
      <c r="M688" t="n">
        <v>0</v>
      </c>
      <c r="N688" t="n">
        <v>0</v>
      </c>
      <c r="O688" t="n">
        <v>0</v>
      </c>
      <c r="P688" t="n">
        <v>0</v>
      </c>
      <c r="Q688" t="n">
        <v>0</v>
      </c>
      <c r="R688" s="2" t="inlineStr"/>
    </row>
    <row r="689" ht="15" customHeight="1">
      <c r="A689" t="inlineStr">
        <is>
          <t>A 37268-2025</t>
        </is>
      </c>
      <c r="B689" s="1" t="n">
        <v>45876.46681712963</v>
      </c>
      <c r="C689" s="1" t="n">
        <v>45967</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37070-2025</t>
        </is>
      </c>
      <c r="B690" s="1" t="n">
        <v>45875.39822916667</v>
      </c>
      <c r="C690" s="1" t="n">
        <v>45967</v>
      </c>
      <c r="D690" t="inlineStr">
        <is>
          <t>DALARNAS LÄN</t>
        </is>
      </c>
      <c r="E690" t="inlineStr">
        <is>
          <t>MORA</t>
        </is>
      </c>
      <c r="G690" t="n">
        <v>2.7</v>
      </c>
      <c r="H690" t="n">
        <v>0</v>
      </c>
      <c r="I690" t="n">
        <v>0</v>
      </c>
      <c r="J690" t="n">
        <v>0</v>
      </c>
      <c r="K690" t="n">
        <v>0</v>
      </c>
      <c r="L690" t="n">
        <v>0</v>
      </c>
      <c r="M690" t="n">
        <v>0</v>
      </c>
      <c r="N690" t="n">
        <v>0</v>
      </c>
      <c r="O690" t="n">
        <v>0</v>
      </c>
      <c r="P690" t="n">
        <v>0</v>
      </c>
      <c r="Q690" t="n">
        <v>0</v>
      </c>
      <c r="R690" s="2" t="inlineStr"/>
    </row>
    <row r="691" ht="15" customHeight="1">
      <c r="A691" t="inlineStr">
        <is>
          <t>A 38073-2025</t>
        </is>
      </c>
      <c r="B691" s="1" t="n">
        <v>45882</v>
      </c>
      <c r="C691" s="1" t="n">
        <v>45967</v>
      </c>
      <c r="D691" t="inlineStr">
        <is>
          <t>DALARNAS LÄN</t>
        </is>
      </c>
      <c r="E691" t="inlineStr">
        <is>
          <t>MORA</t>
        </is>
      </c>
      <c r="G691" t="n">
        <v>2.5</v>
      </c>
      <c r="H691" t="n">
        <v>0</v>
      </c>
      <c r="I691" t="n">
        <v>0</v>
      </c>
      <c r="J691" t="n">
        <v>0</v>
      </c>
      <c r="K691" t="n">
        <v>0</v>
      </c>
      <c r="L691" t="n">
        <v>0</v>
      </c>
      <c r="M691" t="n">
        <v>0</v>
      </c>
      <c r="N691" t="n">
        <v>0</v>
      </c>
      <c r="O691" t="n">
        <v>0</v>
      </c>
      <c r="P691" t="n">
        <v>0</v>
      </c>
      <c r="Q691" t="n">
        <v>0</v>
      </c>
      <c r="R691" s="2" t="inlineStr"/>
    </row>
    <row r="692" ht="15" customHeight="1">
      <c r="A692" t="inlineStr">
        <is>
          <t>A 38086-2025</t>
        </is>
      </c>
      <c r="B692" s="1" t="n">
        <v>45882.47625</v>
      </c>
      <c r="C692" s="1" t="n">
        <v>45967</v>
      </c>
      <c r="D692" t="inlineStr">
        <is>
          <t>DALARNAS LÄN</t>
        </is>
      </c>
      <c r="E692" t="inlineStr">
        <is>
          <t>MORA</t>
        </is>
      </c>
      <c r="G692" t="n">
        <v>2.4</v>
      </c>
      <c r="H692" t="n">
        <v>0</v>
      </c>
      <c r="I692" t="n">
        <v>0</v>
      </c>
      <c r="J692" t="n">
        <v>0</v>
      </c>
      <c r="K692" t="n">
        <v>0</v>
      </c>
      <c r="L692" t="n">
        <v>0</v>
      </c>
      <c r="M692" t="n">
        <v>0</v>
      </c>
      <c r="N692" t="n">
        <v>0</v>
      </c>
      <c r="O692" t="n">
        <v>0</v>
      </c>
      <c r="P692" t="n">
        <v>0</v>
      </c>
      <c r="Q692" t="n">
        <v>0</v>
      </c>
      <c r="R692" s="2" t="inlineStr"/>
    </row>
    <row r="693" ht="15" customHeight="1">
      <c r="A693" t="inlineStr">
        <is>
          <t>A 37879-2025</t>
        </is>
      </c>
      <c r="B693" s="1" t="n">
        <v>45881.48791666667</v>
      </c>
      <c r="C693" s="1" t="n">
        <v>45967</v>
      </c>
      <c r="D693" t="inlineStr">
        <is>
          <t>DALARNAS LÄN</t>
        </is>
      </c>
      <c r="E693" t="inlineStr">
        <is>
          <t>MORA</t>
        </is>
      </c>
      <c r="G693" t="n">
        <v>1.4</v>
      </c>
      <c r="H693" t="n">
        <v>0</v>
      </c>
      <c r="I693" t="n">
        <v>0</v>
      </c>
      <c r="J693" t="n">
        <v>0</v>
      </c>
      <c r="K693" t="n">
        <v>0</v>
      </c>
      <c r="L693" t="n">
        <v>0</v>
      </c>
      <c r="M693" t="n">
        <v>0</v>
      </c>
      <c r="N693" t="n">
        <v>0</v>
      </c>
      <c r="O693" t="n">
        <v>0</v>
      </c>
      <c r="P693" t="n">
        <v>0</v>
      </c>
      <c r="Q693" t="n">
        <v>0</v>
      </c>
      <c r="R693" s="2" t="inlineStr"/>
    </row>
    <row r="694">
      <c r="A694" t="inlineStr">
        <is>
          <t>A 53527-2024</t>
        </is>
      </c>
      <c r="B694" s="1" t="n">
        <v>45614.61569444444</v>
      </c>
      <c r="C694" s="1" t="n">
        <v>45967</v>
      </c>
      <c r="D694" t="inlineStr">
        <is>
          <t>DALARNAS LÄN</t>
        </is>
      </c>
      <c r="E694" t="inlineStr">
        <is>
          <t>MORA</t>
        </is>
      </c>
      <c r="G694" t="n">
        <v>3.3</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2025-11-06T10:20:17Z</dcterms:created>
  <dcterms:modified xmlns:dcterms="http://purl.org/dc/terms/" xmlns:xsi="http://www.w3.org/2001/XMLSchema-instance" xsi:type="dcterms:W3CDTF">2025-11-06T10:20:17Z</dcterms:modified>
</cp:coreProperties>
</file>