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45741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45741</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45741</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45741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45741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45741</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45741</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45741</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45741</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45741</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45741</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45741</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45741</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45741</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45741</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45741</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45741</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45741</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45741</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45741</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45741</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45741</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45741</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45741</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45741</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45741</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45741</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45741</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45741</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45741</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45741</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45741</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45741</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45741</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45741</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45741</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45741</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45741</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45741</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45741</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45741</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45741</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45741</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45741</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45741</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45741</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45741</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45741</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45741</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45741</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45741</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45741</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45741</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45741</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45741</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45741</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45741</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45741</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45741</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45741</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13728-2025</t>
        </is>
      </c>
      <c r="B62" s="1" t="n">
        <v>45737</v>
      </c>
      <c r="C62" s="1" t="n">
        <v>45741</v>
      </c>
      <c r="D62" t="inlineStr">
        <is>
          <t>DALARNAS LÄN</t>
        </is>
      </c>
      <c r="E62" t="inlineStr">
        <is>
          <t>MORA</t>
        </is>
      </c>
      <c r="G62" t="n">
        <v>111.2</v>
      </c>
      <c r="H62" t="n">
        <v>0</v>
      </c>
      <c r="I62" t="n">
        <v>0</v>
      </c>
      <c r="J62" t="n">
        <v>0</v>
      </c>
      <c r="K62" t="n">
        <v>1</v>
      </c>
      <c r="L62" t="n">
        <v>0</v>
      </c>
      <c r="M62" t="n">
        <v>0</v>
      </c>
      <c r="N62" t="n">
        <v>0</v>
      </c>
      <c r="O62" t="n">
        <v>1</v>
      </c>
      <c r="P62" t="n">
        <v>1</v>
      </c>
      <c r="Q62" t="n">
        <v>1</v>
      </c>
      <c r="R62" s="2" t="inlineStr">
        <is>
          <t>Smalfotad taggsvamp</t>
        </is>
      </c>
      <c r="S62">
        <f>HYPERLINK("https://klasma.github.io/Logging_2062/artfynd/A 13728-2025 artfynd.xlsx", "A 13728-2025")</f>
        <v/>
      </c>
      <c r="T62">
        <f>HYPERLINK("https://klasma.github.io/Logging_2062/kartor/A 13728-2025 karta.png", "A 13728-2025")</f>
        <v/>
      </c>
      <c r="V62">
        <f>HYPERLINK("https://klasma.github.io/Logging_2062/klagomål/A 13728-2025 FSC-klagomål.docx", "A 13728-2025")</f>
        <v/>
      </c>
      <c r="W62">
        <f>HYPERLINK("https://klasma.github.io/Logging_2062/klagomålsmail/A 13728-2025 FSC-klagomål mail.docx", "A 13728-2025")</f>
        <v/>
      </c>
      <c r="X62">
        <f>HYPERLINK("https://klasma.github.io/Logging_2062/tillsyn/A 13728-2025 tillsynsbegäran.docx", "A 13728-2025")</f>
        <v/>
      </c>
      <c r="Y62">
        <f>HYPERLINK("https://klasma.github.io/Logging_2062/tillsynsmail/A 13728-2025 tillsynsbegäran mail.docx", "A 13728-2025")</f>
        <v/>
      </c>
    </row>
    <row r="63" ht="15" customHeight="1">
      <c r="A63" t="inlineStr">
        <is>
          <t>A 20226-2019</t>
        </is>
      </c>
      <c r="B63" s="1" t="n">
        <v>43570</v>
      </c>
      <c r="C63" s="1" t="n">
        <v>45741</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45741</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45741</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45741</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45741</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45741</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45741</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45741</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45741</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45741</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45741</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45741</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45741</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45741</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45741</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45741</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45741</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45741</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45741</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45741</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45741</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45741</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45741</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45741</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45741</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45741</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45741</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45741</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45741</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45741</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45741</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45741</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45741</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45741</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45741</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45741</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45741</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45741</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45741</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45741</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45741</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45741</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45741</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45741</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45741</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45741</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45741</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45741</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45741</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45741</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45741</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45741</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45741</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45741</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45741</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45741</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45741</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45741</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45741</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45741</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45741</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45741</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45741</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45741</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45741</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45741</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45741</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45741</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45741</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45741</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45741</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45741</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45741</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45741</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45741</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45741</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45741</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45741</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45741</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45741</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45741</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45741</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45741</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45741</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45741</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45741</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45741</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45741</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45741</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45741</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45741</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45741</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45741</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45741</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45741</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45741</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45741</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45741</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45741</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45741</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45741</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45741</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45741</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45741</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45741</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45741</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45741</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45741</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45741</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45741</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45741</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45741</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45741</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45741</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45741</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45741</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45741</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45741</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45741</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45741</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45741</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45741</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45741</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45741</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45741</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45741</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45741</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45741</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45741</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45741</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45741</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45741</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45741</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45741</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45741</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45741</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45741</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45741</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45741</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45741</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45741</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45741</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45741</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45741</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45741</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45741</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45741</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45741</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45741</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45741</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45741</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45741</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45741</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45741</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45741</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45741</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45741</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45741</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45741</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45741</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45741</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45741</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45741</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45741</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45741</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45741</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45741</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45741</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45741</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45741</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45741</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45741</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45741</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45741</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45741</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45741</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45741</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45741</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45741</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45741</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45741</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45741</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45741</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45741</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45741</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45741</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45741</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45741</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45741</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45741</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45741</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45741</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45741</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45741</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45741</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45741</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45741</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45741</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45741</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45741</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45741</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45741</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45741</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45741</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45741</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45741</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45741</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45741</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45741</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45741</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45741</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45741</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45741</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45741</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45741</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45741</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45741</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45741</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45741</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45741</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45741</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45741</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45741</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45741</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45741</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45741</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45741</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45741</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45741</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45741</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45741</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45741</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45741</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45741</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45741</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45741</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45741</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45741</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45741</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45741</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45741</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45741</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45741</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45741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45741</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45741</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45741</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45741</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45741</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45741</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45741</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45741</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45741</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45741</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45741</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45741</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45741</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45741</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45741</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45741</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45741</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45741</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45741</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45741</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45741</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45741</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45741</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45741</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45741</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45741</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45741</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45741</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45741</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45741</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45741</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45741</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45741</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45741</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45741</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45741</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45741</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45741</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45741</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45741</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45741</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45741</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45741</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45741</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45741</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45741</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45741</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45741</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45741</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45741</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45741</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45741</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45741</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45741</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45741</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45741</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45741</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45741</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45741</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45741</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45741</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45741</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45741</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45741</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45741</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45741</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45741</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45741</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45741</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45741</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45741</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45741</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45741</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45741</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45741</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45741</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45741</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45741</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45741</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45741</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45741</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45741</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45741</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45741</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45741</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45741</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45741</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45741</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45741</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45741</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45741</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45741</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45741</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45741</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45741</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45741</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45741</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45741</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45741</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45741</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45741</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45741</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45741</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45741</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45741</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45741</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45741</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45741</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45741</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45741</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45741</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45741</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45741</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45741</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45741</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45741</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45741</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45741</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45741</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45741</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45741</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45741</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45741</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45741</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45741</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45741</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45741</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45741</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45741</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45741</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45741</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45741</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45741</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45741</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45741</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45741</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45741</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45741</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45741</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45741</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45741</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45741</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45741</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45741</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45741</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45741</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45741</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45741</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45741</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45741</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45741</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45741</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45741</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45741</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45741</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45741</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45741</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45741</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45741</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45741</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45741</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45741</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45741</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45741</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45741</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45741</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45741</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45741</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45741</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45741</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45741</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45741</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45741</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45741</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45741</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45741</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45741</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45741</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45741</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45741</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45741</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45741</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45741</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45741</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45741</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45741</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45741</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45741</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45741</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45741</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45741</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45741</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45741</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45741</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45741</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45741</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45741</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45741</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45741</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45741</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45741</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45741</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45741</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45741</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45741</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45741</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45741</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45741</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45741</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45741</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45741</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45741</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45741</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45741</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45741</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45741</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45741</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45741</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45741</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45741</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45741</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45741</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45741</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45741</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45741</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45741</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45741</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45741</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45741</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45741</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45741</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45741</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45741</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45741</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45741</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45741</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45741</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45741</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45741</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45741</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45741</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45741</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45741</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45741</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45741</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45741</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45741</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45741</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45741</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45741</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45741</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45741</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45741</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45741</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45741</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45741</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45741</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45741</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45741</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45741</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45741</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45741</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45741</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45741</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45741</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45741</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45741</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45741</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45741</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45741</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45741</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45741</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45741</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45741</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45741</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45741</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45741</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45741</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45741</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45741</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45741</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45741</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45741</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45741</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45741</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45741</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45741</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45741</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45741</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45741</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45741</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45741</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45741</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45741</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45741</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45741</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45741</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45741</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45741</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45741</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45741</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45741</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45741</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45741</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45741</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45741</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45741</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45741</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45741</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45741</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45741</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45741</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45741</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45741</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45741</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45741</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45741</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45741</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45741</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45741</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45741</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45741</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45741</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45741</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45741</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45741</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45741</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45741</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45741</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45741</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45741</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45741</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45741</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45741</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45741</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45741</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45741</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45741</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45741</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45741</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45741</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45741</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45741</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45741</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45741</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45741</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45741</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45741</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45741</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45741</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45741</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45741</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45741</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45741</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45741</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45741</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45741</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45741</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45741</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45741</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45741</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45741</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45741</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45741</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45741</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45741</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45741</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45741</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45741</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45741</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45741</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45741</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45741</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45741</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45741</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45741</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45741</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45741</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45741</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45741</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45741</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45741</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45741</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45741</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45741</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45741</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45741</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45741</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45741</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45741</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45741</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45741</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45741</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45741</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45741</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45741</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45741</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45741</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45741</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45741</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45741</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45741</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45741</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45741</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45741</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45741</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45741</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45741</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45741</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45741</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45741</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45741</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45741</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45741</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45741</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45741</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45741</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45741</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45741</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45741</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45741</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45741</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45741</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45741</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45741</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45741</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45741</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45741</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45741</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45741</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45741</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45741</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45741</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45741</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45741</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45741</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45741</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45741</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45741</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45741</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45741</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45741</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45741</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45741</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45741</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45741</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45741</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45741</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45741</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45741</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45741</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45741</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45741</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45741</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45741</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45741</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45741</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45741</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45741</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45741</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45741</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45741</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45741</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45741</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45741</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45741</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45741</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45741</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45741</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45741</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45741</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45741</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45741</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45741</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45741</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45741</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45741</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45741</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45741</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45741</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45741</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45741</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45741</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45741</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45741</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45741</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45741</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45741</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45741</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45741</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45741</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45741</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45741</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45741</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45741</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45741</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45741</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45741</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45741</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45741</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45741</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45741</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45741</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45741</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45741</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45741</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45741</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45741</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45741</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45741</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45741</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45741</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45741</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45741</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45741</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45741</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45741</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45741</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45741</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45741</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45741</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45741</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45741</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45741</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45741</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45741</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45741</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45741</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45741</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45741</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45741</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45741</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45741</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45741</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45741</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45741</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45741</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45741</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45741</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45741</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45741</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45741</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45741</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45741</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45741</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45741</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45741</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45741</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45741</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45741</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45741</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45741</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45741</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45741</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45741</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45741</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45741</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45741</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45741</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45741</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45741</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45741</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45741</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45741</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45741</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45741</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45741</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45741</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45741</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45741</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45741</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45741</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45741</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45741</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45741</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45741</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45741</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45741</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45741</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45741</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45741</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45741</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45741</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45741</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45741</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45741</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45741</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45741</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45741</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45741</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45741</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45741</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45741</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45741</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45741</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45741</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45741</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45741</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45741</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45741</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45741</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45741</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45741</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45741</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45741</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45741</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45741</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45741</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45741</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45741</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45741</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45741</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45741</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45741</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45741</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45741</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45741</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45741</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45741</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45741</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45741</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45741</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45741</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45741</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45741</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45741</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45741</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45741</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45741</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45741</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45741</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45741</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45741</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45741</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45741</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45741</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45741</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45741</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45741</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45741</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45741</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45741</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45741</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45741</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45741</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45741</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45741</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45741</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45741</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45741</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45741</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45741</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45741</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45741</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45741</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45741</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45741</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45741</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45741</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45741</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45741</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45741</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45741</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45741</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45741</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45741</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45741</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45741</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45741</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45741</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45741</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45741</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45741</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45741</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45741</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45741</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45741</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45741</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45741</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45741</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45741</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45741</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45741</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45741</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45741</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45741</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45741</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45741</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45741</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45741</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45741</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45741</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45741</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45741</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45741</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45741</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45741</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45741</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45741</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45741</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45741</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45741</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45741</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45741</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45741</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45741</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45741</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45741</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45741</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45741</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45741</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45741</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45741</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45741</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45741</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45741</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45741</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45741</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45741</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45741</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45741</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45741</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45741</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45741</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45741</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45741</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45741</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45741</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45741</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45741</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45741</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45741</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45741</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45741</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45741</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45741</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45741</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45741</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45741</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45741</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45741</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45741</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45741</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45741</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45741</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45741</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45741</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45741</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45741</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45741</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45741</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45741</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45741</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45741</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45741</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45741</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45741</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45741</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45741</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45741</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45741</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45741</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45741</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45741</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45741</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45741</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45741</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45741</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45741</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45741</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45741</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45741</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45741</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45741</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45741</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45741</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45741</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45741</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45741</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45741</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45741</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45741</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45741</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45741</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45741</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45741</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45741</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45741</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45741</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45741</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45741</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45741</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45741</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45741</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45741</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45741</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45741</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45741</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45741</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45741</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45741</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45741</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45741</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45741</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45741</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45741</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45741</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45741</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45741</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45741</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45741</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45741</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45741</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45741</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45741</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45741</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45741</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45741</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45741</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45741</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45741</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45741</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45741</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45741</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45741</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45741</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45741</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45741</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45741</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45741</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45741</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45741</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45741</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45741</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45741</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45741</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45741</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45741</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45741</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45741</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45741</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45741</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45741</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45741</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45741</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45741</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45741</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45741</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45741</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45741</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45741</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45741</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45741</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45741</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45741</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45741</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45741</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45741</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45741</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45741</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45741</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45741</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45741</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45741</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45741</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45741</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45741</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45741</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45741</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45741</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45741</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45741</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45741</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45741</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45741</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45741</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45741</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45741</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45741</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45741</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45741</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45741</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45741</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45741</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45741</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45741</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c r="A1193" t="inlineStr">
        <is>
          <t>A 14017-2025</t>
        </is>
      </c>
      <c r="B1193" s="1" t="n">
        <v>45740</v>
      </c>
      <c r="C1193" s="1" t="n">
        <v>45741</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2025-03-25T17:46:02Z</dcterms:created>
  <dcterms:modified xmlns:dcterms="http://purl.org/dc/terms/" xmlns:xsi="http://www.w3.org/2001/XMLSchema-instance" xsi:type="dcterms:W3CDTF">2025-03-25T17:46:03Z</dcterms:modified>
</cp:coreProperties>
</file>