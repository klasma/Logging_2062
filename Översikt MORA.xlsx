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45974</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45974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45974</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43504-2025</t>
        </is>
      </c>
      <c r="B11" s="1" t="n">
        <v>45911</v>
      </c>
      <c r="C11" s="1" t="n">
        <v>45974</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45974</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45199-2025</t>
        </is>
      </c>
      <c r="B13" s="1" t="n">
        <v>45919.56107638889</v>
      </c>
      <c r="C13" s="1" t="n">
        <v>45974</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34018-2021</t>
        </is>
      </c>
      <c r="B14" s="1" t="n">
        <v>44379.34289351852</v>
      </c>
      <c r="C14" s="1" t="n">
        <v>45974</v>
      </c>
      <c r="D14" t="inlineStr">
        <is>
          <t>DALARNAS LÄN</t>
        </is>
      </c>
      <c r="E14" t="inlineStr">
        <is>
          <t>MORA</t>
        </is>
      </c>
      <c r="G14" t="n">
        <v>5.7</v>
      </c>
      <c r="H14" t="n">
        <v>4</v>
      </c>
      <c r="I14" t="n">
        <v>3</v>
      </c>
      <c r="J14" t="n">
        <v>10</v>
      </c>
      <c r="K14" t="n">
        <v>1</v>
      </c>
      <c r="L14" t="n">
        <v>0</v>
      </c>
      <c r="M14" t="n">
        <v>0</v>
      </c>
      <c r="N14" t="n">
        <v>0</v>
      </c>
      <c r="O14" t="n">
        <v>11</v>
      </c>
      <c r="P14" t="n">
        <v>1</v>
      </c>
      <c r="Q14" t="n">
        <v>17</v>
      </c>
      <c r="R14" s="2" t="inlineStr">
        <is>
          <t>Rynkskinn
Garnlav
Granticka
Knölgrynna
Kolflarnlav
Mörk kolflarnlav
Spillkråka
Vedflamlav
Vedskivlav
Violettgrå tagellav
Vitgrynig nållav
Dropptaggsvamp
Mindre märgborre
Nästlav
Kungsfågel
Tjäder
Huggorm</t>
        </is>
      </c>
      <c r="S14">
        <f>HYPERLINK("https://klasma.github.io/Logging_2062/artfynd/A 34018-2021 artfynd.xlsx", "A 34018-2021")</f>
        <v/>
      </c>
      <c r="T14">
        <f>HYPERLINK("https://klasma.github.io/Logging_2062/kartor/A 34018-2021 karta.png", "A 34018-2021")</f>
        <v/>
      </c>
      <c r="V14">
        <f>HYPERLINK("https://klasma.github.io/Logging_2062/klagomål/A 34018-2021 FSC-klagomål.docx", "A 34018-2021")</f>
        <v/>
      </c>
      <c r="W14">
        <f>HYPERLINK("https://klasma.github.io/Logging_2062/klagomålsmail/A 34018-2021 FSC-klagomål mail.docx", "A 34018-2021")</f>
        <v/>
      </c>
      <c r="X14">
        <f>HYPERLINK("https://klasma.github.io/Logging_2062/tillsyn/A 34018-2021 tillsynsbegäran.docx", "A 34018-2021")</f>
        <v/>
      </c>
      <c r="Y14">
        <f>HYPERLINK("https://klasma.github.io/Logging_2062/tillsynsmail/A 34018-2021 tillsynsbegäran mail.docx", "A 34018-2021")</f>
        <v/>
      </c>
      <c r="Z14">
        <f>HYPERLINK("https://klasma.github.io/Logging_2062/fåglar/A 34018-2021 prioriterade fågelarter.docx", "A 34018-2021")</f>
        <v/>
      </c>
    </row>
    <row r="15" ht="15" customHeight="1">
      <c r="A15" t="inlineStr">
        <is>
          <t>A 15853-2025</t>
        </is>
      </c>
      <c r="B15" s="1" t="n">
        <v>45749</v>
      </c>
      <c r="C15" s="1" t="n">
        <v>45974</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45974</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45974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45974</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45974</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45974</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45974</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45974</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45974</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45974</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50759-2023</t>
        </is>
      </c>
      <c r="B28" s="1" t="n">
        <v>45217.60914351852</v>
      </c>
      <c r="C28" s="1" t="n">
        <v>45974</v>
      </c>
      <c r="D28" t="inlineStr">
        <is>
          <t>DALARNAS LÄN</t>
        </is>
      </c>
      <c r="E28" t="inlineStr">
        <is>
          <t>MORA</t>
        </is>
      </c>
      <c r="G28" t="n">
        <v>5.3</v>
      </c>
      <c r="H28" t="n">
        <v>5</v>
      </c>
      <c r="I28" t="n">
        <v>1</v>
      </c>
      <c r="J28" t="n">
        <v>7</v>
      </c>
      <c r="K28" t="n">
        <v>0</v>
      </c>
      <c r="L28" t="n">
        <v>0</v>
      </c>
      <c r="M28" t="n">
        <v>0</v>
      </c>
      <c r="N28" t="n">
        <v>0</v>
      </c>
      <c r="O28" t="n">
        <v>7</v>
      </c>
      <c r="P28" t="n">
        <v>0</v>
      </c>
      <c r="Q28" t="n">
        <v>10</v>
      </c>
      <c r="R28" s="2" t="inlineStr">
        <is>
          <t>Garnlav
Rosenticka
Spillkråka
Talltita
Tretåig hackspett
Ullticka
Vedskivlav
Mindre märgborre
Kungsfågel
Revlummer</t>
        </is>
      </c>
      <c r="S28">
        <f>HYPERLINK("https://klasma.github.io/Logging_2062/artfynd/A 50759-2023 artfynd.xlsx", "A 50759-2023")</f>
        <v/>
      </c>
      <c r="T28">
        <f>HYPERLINK("https://klasma.github.io/Logging_2062/kartor/A 50759-2023 karta.png", "A 50759-2023")</f>
        <v/>
      </c>
      <c r="V28">
        <f>HYPERLINK("https://klasma.github.io/Logging_2062/klagomål/A 50759-2023 FSC-klagomål.docx", "A 50759-2023")</f>
        <v/>
      </c>
      <c r="W28">
        <f>HYPERLINK("https://klasma.github.io/Logging_2062/klagomålsmail/A 50759-2023 FSC-klagomål mail.docx", "A 50759-2023")</f>
        <v/>
      </c>
      <c r="X28">
        <f>HYPERLINK("https://klasma.github.io/Logging_2062/tillsyn/A 50759-2023 tillsynsbegäran.docx", "A 50759-2023")</f>
        <v/>
      </c>
      <c r="Y28">
        <f>HYPERLINK("https://klasma.github.io/Logging_2062/tillsynsmail/A 50759-2023 tillsynsbegäran mail.docx", "A 50759-2023")</f>
        <v/>
      </c>
      <c r="Z28">
        <f>HYPERLINK("https://klasma.github.io/Logging_2062/fåglar/A 50759-2023 prioriterade fågelarter.docx", "A 50759-2023")</f>
        <v/>
      </c>
    </row>
    <row r="29" ht="15" customHeight="1">
      <c r="A29" t="inlineStr">
        <is>
          <t>A 34714-2025</t>
        </is>
      </c>
      <c r="B29" s="1" t="n">
        <v>45848</v>
      </c>
      <c r="C29" s="1" t="n">
        <v>45974</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61943-2024</t>
        </is>
      </c>
      <c r="B30" s="1" t="n">
        <v>45653.49774305556</v>
      </c>
      <c r="C30" s="1" t="n">
        <v>45974</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40313-2025</t>
        </is>
      </c>
      <c r="B31" s="1" t="n">
        <v>45895.42209490741</v>
      </c>
      <c r="C31" s="1" t="n">
        <v>45974</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21041-2023</t>
        </is>
      </c>
      <c r="B32" s="1" t="n">
        <v>45061.58952546296</v>
      </c>
      <c r="C32" s="1" t="n">
        <v>45974</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41794-2025</t>
        </is>
      </c>
      <c r="B33" s="1" t="n">
        <v>45902.60008101852</v>
      </c>
      <c r="C33" s="1" t="n">
        <v>45974</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35486-2025</t>
        </is>
      </c>
      <c r="B34" s="1" t="n">
        <v>45855</v>
      </c>
      <c r="C34" s="1" t="n">
        <v>45974</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45974</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45974</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45974</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46450-2025</t>
        </is>
      </c>
      <c r="B38" s="1" t="n">
        <v>45925.6530324074</v>
      </c>
      <c r="C38" s="1" t="n">
        <v>45974</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45974</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29520-2025</t>
        </is>
      </c>
      <c r="B40" s="1" t="n">
        <v>45825.3303125</v>
      </c>
      <c r="C40" s="1" t="n">
        <v>45974</v>
      </c>
      <c r="D40" t="inlineStr">
        <is>
          <t>DALARNAS LÄN</t>
        </is>
      </c>
      <c r="E40" t="inlineStr">
        <is>
          <t>MORA</t>
        </is>
      </c>
      <c r="G40" t="n">
        <v>20.5</v>
      </c>
      <c r="H40" t="n">
        <v>1</v>
      </c>
      <c r="I40" t="n">
        <v>2</v>
      </c>
      <c r="J40" t="n">
        <v>5</v>
      </c>
      <c r="K40" t="n">
        <v>0</v>
      </c>
      <c r="L40" t="n">
        <v>0</v>
      </c>
      <c r="M40" t="n">
        <v>0</v>
      </c>
      <c r="N40" t="n">
        <v>0</v>
      </c>
      <c r="O40" t="n">
        <v>5</v>
      </c>
      <c r="P40" t="n">
        <v>0</v>
      </c>
      <c r="Q40" t="n">
        <v>7</v>
      </c>
      <c r="R40" s="2" t="inlineStr">
        <is>
          <t>Garnlav
Granticka
Mörk kolflarnlav
Tretåig hackspett
Vedskivlav
Korallblylav
Mindre märgborre</t>
        </is>
      </c>
      <c r="S40">
        <f>HYPERLINK("https://klasma.github.io/Logging_2062/artfynd/A 29520-2025 artfynd.xlsx", "A 29520-2025")</f>
        <v/>
      </c>
      <c r="T40">
        <f>HYPERLINK("https://klasma.github.io/Logging_2062/kartor/A 29520-2025 karta.png", "A 29520-2025")</f>
        <v/>
      </c>
      <c r="V40">
        <f>HYPERLINK("https://klasma.github.io/Logging_2062/klagomål/A 29520-2025 FSC-klagomål.docx", "A 29520-2025")</f>
        <v/>
      </c>
      <c r="W40">
        <f>HYPERLINK("https://klasma.github.io/Logging_2062/klagomålsmail/A 29520-2025 FSC-klagomål mail.docx", "A 29520-2025")</f>
        <v/>
      </c>
      <c r="X40">
        <f>HYPERLINK("https://klasma.github.io/Logging_2062/tillsyn/A 29520-2025 tillsynsbegäran.docx", "A 29520-2025")</f>
        <v/>
      </c>
      <c r="Y40">
        <f>HYPERLINK("https://klasma.github.io/Logging_2062/tillsynsmail/A 29520-2025 tillsynsbegäran mail.docx", "A 29520-2025")</f>
        <v/>
      </c>
      <c r="Z40">
        <f>HYPERLINK("https://klasma.github.io/Logging_2062/fåglar/A 29520-2025 prioriterade fågelarter.docx", "A 29520-2025")</f>
        <v/>
      </c>
    </row>
    <row r="41" ht="15" customHeight="1">
      <c r="A41" t="inlineStr">
        <is>
          <t>A 29380-2025</t>
        </is>
      </c>
      <c r="B41" s="1" t="n">
        <v>45824.59025462963</v>
      </c>
      <c r="C41" s="1" t="n">
        <v>45974</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45974</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34447-2024</t>
        </is>
      </c>
      <c r="B43" s="1" t="n">
        <v>45525</v>
      </c>
      <c r="C43" s="1" t="n">
        <v>45974</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45974</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45974</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45974</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31539-2025</t>
        </is>
      </c>
      <c r="B47" s="1" t="n">
        <v>45833</v>
      </c>
      <c r="C47" s="1" t="n">
        <v>45974</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35487-2025</t>
        </is>
      </c>
      <c r="B48" s="1" t="n">
        <v>45855</v>
      </c>
      <c r="C48" s="1" t="n">
        <v>45974</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45974</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17648-2024</t>
        </is>
      </c>
      <c r="B50" s="1" t="n">
        <v>45418.39261574074</v>
      </c>
      <c r="C50" s="1" t="n">
        <v>45974</v>
      </c>
      <c r="D50" t="inlineStr">
        <is>
          <t>DALARNAS LÄN</t>
        </is>
      </c>
      <c r="E50" t="inlineStr">
        <is>
          <t>MORA</t>
        </is>
      </c>
      <c r="G50" t="n">
        <v>1.7</v>
      </c>
      <c r="H50" t="n">
        <v>4</v>
      </c>
      <c r="I50" t="n">
        <v>0</v>
      </c>
      <c r="J50" t="n">
        <v>2</v>
      </c>
      <c r="K50" t="n">
        <v>0</v>
      </c>
      <c r="L50" t="n">
        <v>0</v>
      </c>
      <c r="M50" t="n">
        <v>0</v>
      </c>
      <c r="N50" t="n">
        <v>0</v>
      </c>
      <c r="O50" t="n">
        <v>2</v>
      </c>
      <c r="P50" t="n">
        <v>0</v>
      </c>
      <c r="Q50" t="n">
        <v>4</v>
      </c>
      <c r="R50" s="2" t="inlineStr">
        <is>
          <t>Brunlångöra
Nordfladdermus
Dvärgpipistrell
Vattenfladdermus</t>
        </is>
      </c>
      <c r="S50">
        <f>HYPERLINK("https://klasma.github.io/Logging_2062/artfynd/A 17648-2024 artfynd.xlsx", "A 17648-2024")</f>
        <v/>
      </c>
      <c r="T50">
        <f>HYPERLINK("https://klasma.github.io/Logging_2062/kartor/A 17648-2024 karta.png", "A 17648-2024")</f>
        <v/>
      </c>
      <c r="V50">
        <f>HYPERLINK("https://klasma.github.io/Logging_2062/klagomål/A 17648-2024 FSC-klagomål.docx", "A 17648-2024")</f>
        <v/>
      </c>
      <c r="W50">
        <f>HYPERLINK("https://klasma.github.io/Logging_2062/klagomålsmail/A 17648-2024 FSC-klagomål mail.docx", "A 17648-2024")</f>
        <v/>
      </c>
      <c r="X50">
        <f>HYPERLINK("https://klasma.github.io/Logging_2062/tillsyn/A 17648-2024 tillsynsbegäran.docx", "A 17648-2024")</f>
        <v/>
      </c>
      <c r="Y50">
        <f>HYPERLINK("https://klasma.github.io/Logging_2062/tillsynsmail/A 17648-2024 tillsynsbegäran mail.docx", "A 17648-2024")</f>
        <v/>
      </c>
    </row>
    <row r="51" ht="15" customHeight="1">
      <c r="A51" t="inlineStr">
        <is>
          <t>A 32222-2025</t>
        </is>
      </c>
      <c r="B51" s="1" t="n">
        <v>45835.59140046296</v>
      </c>
      <c r="C51" s="1" t="n">
        <v>45974</v>
      </c>
      <c r="D51" t="inlineStr">
        <is>
          <t>DALARNAS LÄN</t>
        </is>
      </c>
      <c r="E51" t="inlineStr">
        <is>
          <t>MORA</t>
        </is>
      </c>
      <c r="G51" t="n">
        <v>11.5</v>
      </c>
      <c r="H51" t="n">
        <v>1</v>
      </c>
      <c r="I51" t="n">
        <v>0</v>
      </c>
      <c r="J51" t="n">
        <v>4</v>
      </c>
      <c r="K51" t="n">
        <v>0</v>
      </c>
      <c r="L51" t="n">
        <v>0</v>
      </c>
      <c r="M51" t="n">
        <v>0</v>
      </c>
      <c r="N51" t="n">
        <v>0</v>
      </c>
      <c r="O51" t="n">
        <v>4</v>
      </c>
      <c r="P51" t="n">
        <v>0</v>
      </c>
      <c r="Q51" t="n">
        <v>4</v>
      </c>
      <c r="R51" s="2" t="inlineStr">
        <is>
          <t>Garnlav
Reliktbock
Tallticka
Tretåig hackspett</t>
        </is>
      </c>
      <c r="S51">
        <f>HYPERLINK("https://klasma.github.io/Logging_2062/artfynd/A 32222-2025 artfynd.xlsx", "A 32222-2025")</f>
        <v/>
      </c>
      <c r="T51">
        <f>HYPERLINK("https://klasma.github.io/Logging_2062/kartor/A 32222-2025 karta.png", "A 32222-2025")</f>
        <v/>
      </c>
      <c r="V51">
        <f>HYPERLINK("https://klasma.github.io/Logging_2062/klagomål/A 32222-2025 FSC-klagomål.docx", "A 32222-2025")</f>
        <v/>
      </c>
      <c r="W51">
        <f>HYPERLINK("https://klasma.github.io/Logging_2062/klagomålsmail/A 32222-2025 FSC-klagomål mail.docx", "A 32222-2025")</f>
        <v/>
      </c>
      <c r="X51">
        <f>HYPERLINK("https://klasma.github.io/Logging_2062/tillsyn/A 32222-2025 tillsynsbegäran.docx", "A 32222-2025")</f>
        <v/>
      </c>
      <c r="Y51">
        <f>HYPERLINK("https://klasma.github.io/Logging_2062/tillsynsmail/A 32222-2025 tillsynsbegäran mail.docx", "A 32222-2025")</f>
        <v/>
      </c>
      <c r="Z51">
        <f>HYPERLINK("https://klasma.github.io/Logging_2062/fåglar/A 32222-2025 prioriterade fågelarter.docx", "A 32222-2025")</f>
        <v/>
      </c>
    </row>
    <row r="52" ht="15" customHeight="1">
      <c r="A52" t="inlineStr">
        <is>
          <t>A 14293-2024</t>
        </is>
      </c>
      <c r="B52" s="1" t="n">
        <v>45393.63902777778</v>
      </c>
      <c r="C52" s="1" t="n">
        <v>45974</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39478-2025</t>
        </is>
      </c>
      <c r="B53" s="1" t="n">
        <v>45890.3469212963</v>
      </c>
      <c r="C53" s="1" t="n">
        <v>45974</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45974</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14829-2025</t>
        </is>
      </c>
      <c r="B55" s="1" t="n">
        <v>45743.36951388889</v>
      </c>
      <c r="C55" s="1" t="n">
        <v>45974</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34715-2025</t>
        </is>
      </c>
      <c r="B56" s="1" t="n">
        <v>45848.52225694444</v>
      </c>
      <c r="C56" s="1" t="n">
        <v>45974</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29392-2025</t>
        </is>
      </c>
      <c r="B57" s="1" t="n">
        <v>45824.60537037037</v>
      </c>
      <c r="C57" s="1" t="n">
        <v>45974</v>
      </c>
      <c r="D57" t="inlineStr">
        <is>
          <t>DALARNAS LÄN</t>
        </is>
      </c>
      <c r="E57" t="inlineStr">
        <is>
          <t>MORA</t>
        </is>
      </c>
      <c r="G57" t="n">
        <v>1</v>
      </c>
      <c r="H57" t="n">
        <v>1</v>
      </c>
      <c r="I57" t="n">
        <v>2</v>
      </c>
      <c r="J57" t="n">
        <v>1</v>
      </c>
      <c r="K57" t="n">
        <v>0</v>
      </c>
      <c r="L57" t="n">
        <v>0</v>
      </c>
      <c r="M57" t="n">
        <v>0</v>
      </c>
      <c r="N57" t="n">
        <v>0</v>
      </c>
      <c r="O57" t="n">
        <v>1</v>
      </c>
      <c r="P57" t="n">
        <v>0</v>
      </c>
      <c r="Q57" t="n">
        <v>3</v>
      </c>
      <c r="R57" s="2" t="inlineStr">
        <is>
          <t>Garnlav
Mindre märgborre
Plattlummer</t>
        </is>
      </c>
      <c r="S57">
        <f>HYPERLINK("https://klasma.github.io/Logging_2062/artfynd/A 29392-2025 artfynd.xlsx", "A 29392-2025")</f>
        <v/>
      </c>
      <c r="T57">
        <f>HYPERLINK("https://klasma.github.io/Logging_2062/kartor/A 29392-2025 karta.png", "A 29392-2025")</f>
        <v/>
      </c>
      <c r="V57">
        <f>HYPERLINK("https://klasma.github.io/Logging_2062/klagomål/A 29392-2025 FSC-klagomål.docx", "A 29392-2025")</f>
        <v/>
      </c>
      <c r="W57">
        <f>HYPERLINK("https://klasma.github.io/Logging_2062/klagomålsmail/A 29392-2025 FSC-klagomål mail.docx", "A 29392-2025")</f>
        <v/>
      </c>
      <c r="X57">
        <f>HYPERLINK("https://klasma.github.io/Logging_2062/tillsyn/A 29392-2025 tillsynsbegäran.docx", "A 29392-2025")</f>
        <v/>
      </c>
      <c r="Y57">
        <f>HYPERLINK("https://klasma.github.io/Logging_2062/tillsynsmail/A 29392-2025 tillsynsbegäran mail.docx", "A 29392-2025")</f>
        <v/>
      </c>
    </row>
    <row r="58" ht="15" customHeight="1">
      <c r="A58" t="inlineStr">
        <is>
          <t>A 39481-2025</t>
        </is>
      </c>
      <c r="B58" s="1" t="n">
        <v>45890.35545138889</v>
      </c>
      <c r="C58" s="1" t="n">
        <v>45974</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49695-2025</t>
        </is>
      </c>
      <c r="B59" s="1" t="n">
        <v>45939.67418981482</v>
      </c>
      <c r="C59" s="1" t="n">
        <v>45974</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49695-2025 artfynd.xlsx", "A 49695-2025")</f>
        <v/>
      </c>
      <c r="T59">
        <f>HYPERLINK("https://klasma.github.io/Logging_2062/kartor/A 49695-2025 karta.png", "A 49695-2025")</f>
        <v/>
      </c>
      <c r="V59">
        <f>HYPERLINK("https://klasma.github.io/Logging_2062/klagomål/A 49695-2025 FSC-klagomål.docx", "A 49695-2025")</f>
        <v/>
      </c>
      <c r="W59">
        <f>HYPERLINK("https://klasma.github.io/Logging_2062/klagomålsmail/A 49695-2025 FSC-klagomål mail.docx", "A 49695-2025")</f>
        <v/>
      </c>
      <c r="X59">
        <f>HYPERLINK("https://klasma.github.io/Logging_2062/tillsyn/A 49695-2025 tillsynsbegäran.docx", "A 49695-2025")</f>
        <v/>
      </c>
      <c r="Y59">
        <f>HYPERLINK("https://klasma.github.io/Logging_2062/tillsynsmail/A 49695-2025 tillsynsbegäran mail.docx", "A 49695-2025")</f>
        <v/>
      </c>
      <c r="Z59">
        <f>HYPERLINK("https://klasma.github.io/Logging_2062/fåglar/A 49695-2025 prioriterade fågelarter.docx", "A 49695-2025")</f>
        <v/>
      </c>
    </row>
    <row r="60" ht="15" customHeight="1">
      <c r="A60" t="inlineStr">
        <is>
          <t>A 59626-2020</t>
        </is>
      </c>
      <c r="B60" s="1" t="n">
        <v>44150</v>
      </c>
      <c r="C60" s="1" t="n">
        <v>45974</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45974</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23163-2025</t>
        </is>
      </c>
      <c r="B62" s="1" t="n">
        <v>45791.41832175926</v>
      </c>
      <c r="C62" s="1" t="n">
        <v>45974</v>
      </c>
      <c r="D62" t="inlineStr">
        <is>
          <t>DALARNAS LÄN</t>
        </is>
      </c>
      <c r="E62" t="inlineStr">
        <is>
          <t>MORA</t>
        </is>
      </c>
      <c r="G62" t="n">
        <v>4.2</v>
      </c>
      <c r="H62" t="n">
        <v>2</v>
      </c>
      <c r="I62" t="n">
        <v>0</v>
      </c>
      <c r="J62" t="n">
        <v>2</v>
      </c>
      <c r="K62" t="n">
        <v>0</v>
      </c>
      <c r="L62" t="n">
        <v>0</v>
      </c>
      <c r="M62" t="n">
        <v>0</v>
      </c>
      <c r="N62" t="n">
        <v>0</v>
      </c>
      <c r="O62" t="n">
        <v>2</v>
      </c>
      <c r="P62" t="n">
        <v>0</v>
      </c>
      <c r="Q62" t="n">
        <v>2</v>
      </c>
      <c r="R62" s="2" t="inlineStr">
        <is>
          <t>Spillkråka
Talltita</t>
        </is>
      </c>
      <c r="S62">
        <f>HYPERLINK("https://klasma.github.io/Logging_2062/artfynd/A 23163-2025 artfynd.xlsx", "A 23163-2025")</f>
        <v/>
      </c>
      <c r="T62">
        <f>HYPERLINK("https://klasma.github.io/Logging_2062/kartor/A 23163-2025 karta.png",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37552-2023</t>
        </is>
      </c>
      <c r="B63" s="1" t="n">
        <v>45159.32799768518</v>
      </c>
      <c r="C63" s="1" t="n">
        <v>45974</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45974</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45974</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13717-2023</t>
        </is>
      </c>
      <c r="B66" s="1" t="n">
        <v>45007</v>
      </c>
      <c r="C66" s="1" t="n">
        <v>45974</v>
      </c>
      <c r="D66" t="inlineStr">
        <is>
          <t>DALARNAS LÄN</t>
        </is>
      </c>
      <c r="E66" t="inlineStr">
        <is>
          <t>MORA</t>
        </is>
      </c>
      <c r="G66" t="n">
        <v>5.6</v>
      </c>
      <c r="H66" t="n">
        <v>0</v>
      </c>
      <c r="I66" t="n">
        <v>0</v>
      </c>
      <c r="J66" t="n">
        <v>1</v>
      </c>
      <c r="K66" t="n">
        <v>0</v>
      </c>
      <c r="L66" t="n">
        <v>0</v>
      </c>
      <c r="M66" t="n">
        <v>0</v>
      </c>
      <c r="N66" t="n">
        <v>0</v>
      </c>
      <c r="O66" t="n">
        <v>1</v>
      </c>
      <c r="P66" t="n">
        <v>0</v>
      </c>
      <c r="Q66" t="n">
        <v>1</v>
      </c>
      <c r="R66" s="2" t="inlineStr">
        <is>
          <t>Slåtterfibbla</t>
        </is>
      </c>
      <c r="S66">
        <f>HYPERLINK("https://klasma.github.io/Logging_2062/artfynd/A 13717-2023 artfynd.xlsx", "A 13717-2023")</f>
        <v/>
      </c>
      <c r="T66">
        <f>HYPERLINK("https://klasma.github.io/Logging_2062/kartor/A 13717-2023 karta.png", "A 13717-2023")</f>
        <v/>
      </c>
      <c r="U66">
        <f>HYPERLINK("https://klasma.github.io/Logging_2062/knärot/A 13717-2023 karta knärot.png", "A 13717-2023")</f>
        <v/>
      </c>
      <c r="V66">
        <f>HYPERLINK("https://klasma.github.io/Logging_2062/klagomål/A 13717-2023 FSC-klagomål.docx", "A 13717-2023")</f>
        <v/>
      </c>
      <c r="W66">
        <f>HYPERLINK("https://klasma.github.io/Logging_2062/klagomålsmail/A 13717-2023 FSC-klagomål mail.docx", "A 13717-2023")</f>
        <v/>
      </c>
      <c r="X66">
        <f>HYPERLINK("https://klasma.github.io/Logging_2062/tillsyn/A 13717-2023 tillsynsbegäran.docx", "A 13717-2023")</f>
        <v/>
      </c>
      <c r="Y66">
        <f>HYPERLINK("https://klasma.github.io/Logging_2062/tillsynsmail/A 13717-2023 tillsynsbegäran mail.docx", "A 13717-2023")</f>
        <v/>
      </c>
    </row>
    <row r="67" ht="15" customHeight="1">
      <c r="A67" t="inlineStr">
        <is>
          <t>A 20538-2025</t>
        </is>
      </c>
      <c r="B67" s="1" t="n">
        <v>45775.62283564815</v>
      </c>
      <c r="C67" s="1" t="n">
        <v>45974</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831-2025</t>
        </is>
      </c>
      <c r="B68" s="1" t="n">
        <v>45665.58001157407</v>
      </c>
      <c r="C68" s="1" t="n">
        <v>45974</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16094-2024</t>
        </is>
      </c>
      <c r="B69" s="1" t="n">
        <v>45406.41648148148</v>
      </c>
      <c r="C69" s="1" t="n">
        <v>45974</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45344-2024</t>
        </is>
      </c>
      <c r="B70" s="1" t="n">
        <v>45576</v>
      </c>
      <c r="C70" s="1" t="n">
        <v>45974</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5304-2023</t>
        </is>
      </c>
      <c r="B71" s="1" t="n">
        <v>44959.55116898148</v>
      </c>
      <c r="C71" s="1" t="n">
        <v>45974</v>
      </c>
      <c r="D71" t="inlineStr">
        <is>
          <t>DALARNAS LÄN</t>
        </is>
      </c>
      <c r="E71" t="inlineStr">
        <is>
          <t>MORA</t>
        </is>
      </c>
      <c r="F71" t="inlineStr">
        <is>
          <t>Bergvik skog väst AB</t>
        </is>
      </c>
      <c r="G71" t="n">
        <v>7.3</v>
      </c>
      <c r="H71" t="n">
        <v>0</v>
      </c>
      <c r="I71" t="n">
        <v>0</v>
      </c>
      <c r="J71" t="n">
        <v>1</v>
      </c>
      <c r="K71" t="n">
        <v>0</v>
      </c>
      <c r="L71" t="n">
        <v>0</v>
      </c>
      <c r="M71" t="n">
        <v>0</v>
      </c>
      <c r="N71" t="n">
        <v>0</v>
      </c>
      <c r="O71" t="n">
        <v>1</v>
      </c>
      <c r="P71" t="n">
        <v>0</v>
      </c>
      <c r="Q71" t="n">
        <v>1</v>
      </c>
      <c r="R71" s="2" t="inlineStr">
        <is>
          <t>Backruta</t>
        </is>
      </c>
      <c r="S71">
        <f>HYPERLINK("https://klasma.github.io/Logging_2062/artfynd/A 5304-2023 artfynd.xlsx", "A 5304-2023")</f>
        <v/>
      </c>
      <c r="T71">
        <f>HYPERLINK("https://klasma.github.io/Logging_2062/kartor/A 5304-2023 karta.png", "A 5304-2023")</f>
        <v/>
      </c>
      <c r="V71">
        <f>HYPERLINK("https://klasma.github.io/Logging_2062/klagomål/A 5304-2023 FSC-klagomål.docx", "A 5304-2023")</f>
        <v/>
      </c>
      <c r="W71">
        <f>HYPERLINK("https://klasma.github.io/Logging_2062/klagomålsmail/A 5304-2023 FSC-klagomål mail.docx", "A 5304-2023")</f>
        <v/>
      </c>
      <c r="X71">
        <f>HYPERLINK("https://klasma.github.io/Logging_2062/tillsyn/A 5304-2023 tillsynsbegäran.docx", "A 5304-2023")</f>
        <v/>
      </c>
      <c r="Y71">
        <f>HYPERLINK("https://klasma.github.io/Logging_2062/tillsynsmail/A 5304-2023 tillsynsbegäran mail.docx", "A 5304-2023")</f>
        <v/>
      </c>
    </row>
    <row r="72" ht="15" customHeight="1">
      <c r="A72" t="inlineStr">
        <is>
          <t>A 30328-2021</t>
        </is>
      </c>
      <c r="B72" s="1" t="n">
        <v>44364</v>
      </c>
      <c r="C72" s="1" t="n">
        <v>45974</v>
      </c>
      <c r="D72" t="inlineStr">
        <is>
          <t>DALARNAS LÄN</t>
        </is>
      </c>
      <c r="E72" t="inlineStr">
        <is>
          <t>MORA</t>
        </is>
      </c>
      <c r="F72" t="inlineStr">
        <is>
          <t>Bergvik skog öst AB</t>
        </is>
      </c>
      <c r="G72" t="n">
        <v>1.1</v>
      </c>
      <c r="H72" t="n">
        <v>1</v>
      </c>
      <c r="I72" t="n">
        <v>0</v>
      </c>
      <c r="J72" t="n">
        <v>1</v>
      </c>
      <c r="K72" t="n">
        <v>0</v>
      </c>
      <c r="L72" t="n">
        <v>0</v>
      </c>
      <c r="M72" t="n">
        <v>0</v>
      </c>
      <c r="N72" t="n">
        <v>0</v>
      </c>
      <c r="O72" t="n">
        <v>1</v>
      </c>
      <c r="P72" t="n">
        <v>0</v>
      </c>
      <c r="Q72" t="n">
        <v>1</v>
      </c>
      <c r="R72" s="2" t="inlineStr">
        <is>
          <t>Fjällvråk</t>
        </is>
      </c>
      <c r="S72">
        <f>HYPERLINK("https://klasma.github.io/Logging_2062/artfynd/A 30328-2021 artfynd.xlsx", "A 30328-2021")</f>
        <v/>
      </c>
      <c r="T72">
        <f>HYPERLINK("https://klasma.github.io/Logging_2062/kartor/A 30328-2021 karta.png", "A 30328-2021")</f>
        <v/>
      </c>
      <c r="V72">
        <f>HYPERLINK("https://klasma.github.io/Logging_2062/klagomål/A 30328-2021 FSC-klagomål.docx", "A 30328-2021")</f>
        <v/>
      </c>
      <c r="W72">
        <f>HYPERLINK("https://klasma.github.io/Logging_2062/klagomålsmail/A 30328-2021 FSC-klagomål mail.docx", "A 30328-2021")</f>
        <v/>
      </c>
      <c r="X72">
        <f>HYPERLINK("https://klasma.github.io/Logging_2062/tillsyn/A 30328-2021 tillsynsbegäran.docx", "A 30328-2021")</f>
        <v/>
      </c>
      <c r="Y72">
        <f>HYPERLINK("https://klasma.github.io/Logging_2062/tillsynsmail/A 30328-2021 tillsynsbegäran mail.docx", "A 30328-2021")</f>
        <v/>
      </c>
      <c r="Z72">
        <f>HYPERLINK("https://klasma.github.io/Logging_2062/fåglar/A 30328-2021 prioriterade fågelarter.docx", "A 30328-2021")</f>
        <v/>
      </c>
    </row>
    <row r="73" ht="15" customHeight="1">
      <c r="A73" t="inlineStr">
        <is>
          <t>A 27113-2024</t>
        </is>
      </c>
      <c r="B73" s="1" t="n">
        <v>45471</v>
      </c>
      <c r="C73" s="1" t="n">
        <v>45974</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57669-2022</t>
        </is>
      </c>
      <c r="B74" s="1" t="n">
        <v>44897</v>
      </c>
      <c r="C74" s="1" t="n">
        <v>45974</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Igelkott</t>
        </is>
      </c>
      <c r="S74">
        <f>HYPERLINK("https://klasma.github.io/Logging_2062/artfynd/A 57669-2022 artfynd.xlsx", "A 57669-2022")</f>
        <v/>
      </c>
      <c r="T74">
        <f>HYPERLINK("https://klasma.github.io/Logging_2062/kartor/A 57669-2022 karta.png", "A 57669-2022")</f>
        <v/>
      </c>
      <c r="V74">
        <f>HYPERLINK("https://klasma.github.io/Logging_2062/klagomål/A 57669-2022 FSC-klagomål.docx", "A 57669-2022")</f>
        <v/>
      </c>
      <c r="W74">
        <f>HYPERLINK("https://klasma.github.io/Logging_2062/klagomålsmail/A 57669-2022 FSC-klagomål mail.docx", "A 57669-2022")</f>
        <v/>
      </c>
      <c r="X74">
        <f>HYPERLINK("https://klasma.github.io/Logging_2062/tillsyn/A 57669-2022 tillsynsbegäran.docx", "A 57669-2022")</f>
        <v/>
      </c>
      <c r="Y74">
        <f>HYPERLINK("https://klasma.github.io/Logging_2062/tillsynsmail/A 57669-2022 tillsynsbegäran mail.docx", "A 57669-2022")</f>
        <v/>
      </c>
    </row>
    <row r="75" ht="15" customHeight="1">
      <c r="A75" t="inlineStr">
        <is>
          <t>A 23736-2023</t>
        </is>
      </c>
      <c r="B75" s="1" t="n">
        <v>45077</v>
      </c>
      <c r="C75" s="1" t="n">
        <v>45974</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45974</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45974</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45974</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45974</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45974</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45974</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45974</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45974</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45974</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45974</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45974</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61338-2020</t>
        </is>
      </c>
      <c r="B87" s="1" t="n">
        <v>44155</v>
      </c>
      <c r="C87" s="1" t="n">
        <v>45974</v>
      </c>
      <c r="D87" t="inlineStr">
        <is>
          <t>DALARNAS LÄN</t>
        </is>
      </c>
      <c r="E87" t="inlineStr">
        <is>
          <t>MORA</t>
        </is>
      </c>
      <c r="F87" t="inlineStr">
        <is>
          <t>Bergvik skog väst AB</t>
        </is>
      </c>
      <c r="G87" t="n">
        <v>2</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45974</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1951-2021</t>
        </is>
      </c>
      <c r="B89" s="1" t="n">
        <v>44210</v>
      </c>
      <c r="C89" s="1" t="n">
        <v>45974</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45974</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29697-2021</t>
        </is>
      </c>
      <c r="B91" s="1" t="n">
        <v>44362.38358796296</v>
      </c>
      <c r="C91" s="1" t="n">
        <v>45974</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45974</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45974</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45974</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45974</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45974</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45974</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45974</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49583-2021</t>
        </is>
      </c>
      <c r="B99" s="1" t="n">
        <v>44455</v>
      </c>
      <c r="C99" s="1" t="n">
        <v>45974</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45974</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45974</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45974</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45974</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45974</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43458-2021</t>
        </is>
      </c>
      <c r="B105" s="1" t="n">
        <v>44432</v>
      </c>
      <c r="C105" s="1" t="n">
        <v>45974</v>
      </c>
      <c r="D105" t="inlineStr">
        <is>
          <t>DALARNAS LÄN</t>
        </is>
      </c>
      <c r="E105" t="inlineStr">
        <is>
          <t>MORA</t>
        </is>
      </c>
      <c r="G105" t="n">
        <v>2.4</v>
      </c>
      <c r="H105" t="n">
        <v>0</v>
      </c>
      <c r="I105" t="n">
        <v>0</v>
      </c>
      <c r="J105" t="n">
        <v>0</v>
      </c>
      <c r="K105" t="n">
        <v>0</v>
      </c>
      <c r="L105" t="n">
        <v>0</v>
      </c>
      <c r="M105" t="n">
        <v>0</v>
      </c>
      <c r="N105" t="n">
        <v>0</v>
      </c>
      <c r="O105" t="n">
        <v>0</v>
      </c>
      <c r="P105" t="n">
        <v>0</v>
      </c>
      <c r="Q105" t="n">
        <v>0</v>
      </c>
      <c r="R105" s="2" t="inlineStr"/>
    </row>
    <row r="106" ht="15" customHeight="1">
      <c r="A106" t="inlineStr">
        <is>
          <t>A 30895-2021</t>
        </is>
      </c>
      <c r="B106" s="1" t="n">
        <v>44365.59125</v>
      </c>
      <c r="C106" s="1" t="n">
        <v>45974</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45974</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45974</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45974</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45974</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45974</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45974</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45974</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45974</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45974</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45974</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8064-2021</t>
        </is>
      </c>
      <c r="B117" s="1" t="n">
        <v>44243</v>
      </c>
      <c r="C117" s="1" t="n">
        <v>45974</v>
      </c>
      <c r="D117" t="inlineStr">
        <is>
          <t>DALARNAS LÄN</t>
        </is>
      </c>
      <c r="E117" t="inlineStr">
        <is>
          <t>MORA</t>
        </is>
      </c>
      <c r="G117" t="n">
        <v>4</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45974</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58413-2021</t>
        </is>
      </c>
      <c r="B119" s="1" t="n">
        <v>44488</v>
      </c>
      <c r="C119" s="1" t="n">
        <v>45974</v>
      </c>
      <c r="D119" t="inlineStr">
        <is>
          <t>DALARNAS LÄN</t>
        </is>
      </c>
      <c r="E119" t="inlineStr">
        <is>
          <t>MORA</t>
        </is>
      </c>
      <c r="F119" t="inlineStr">
        <is>
          <t>Bergvik skog öst AB</t>
        </is>
      </c>
      <c r="G119" t="n">
        <v>5.3</v>
      </c>
      <c r="H119" t="n">
        <v>0</v>
      </c>
      <c r="I119" t="n">
        <v>0</v>
      </c>
      <c r="J119" t="n">
        <v>0</v>
      </c>
      <c r="K119" t="n">
        <v>0</v>
      </c>
      <c r="L119" t="n">
        <v>0</v>
      </c>
      <c r="M119" t="n">
        <v>0</v>
      </c>
      <c r="N119" t="n">
        <v>0</v>
      </c>
      <c r="O119" t="n">
        <v>0</v>
      </c>
      <c r="P119" t="n">
        <v>0</v>
      </c>
      <c r="Q119" t="n">
        <v>0</v>
      </c>
      <c r="R119" s="2" t="inlineStr"/>
    </row>
    <row r="120" ht="15" customHeight="1">
      <c r="A120" t="inlineStr">
        <is>
          <t>A 62301-2020</t>
        </is>
      </c>
      <c r="B120" s="1" t="n">
        <v>44160</v>
      </c>
      <c r="C120" s="1" t="n">
        <v>45974</v>
      </c>
      <c r="D120" t="inlineStr">
        <is>
          <t>DALARNAS LÄN</t>
        </is>
      </c>
      <c r="E120" t="inlineStr">
        <is>
          <t>MORA</t>
        </is>
      </c>
      <c r="G120" t="n">
        <v>2.1</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45974</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45462-2022</t>
        </is>
      </c>
      <c r="B122" s="1" t="n">
        <v>44845.35591435185</v>
      </c>
      <c r="C122" s="1" t="n">
        <v>45974</v>
      </c>
      <c r="D122" t="inlineStr">
        <is>
          <t>DALARNAS LÄN</t>
        </is>
      </c>
      <c r="E122" t="inlineStr">
        <is>
          <t>MORA</t>
        </is>
      </c>
      <c r="G122" t="n">
        <v>6.9</v>
      </c>
      <c r="H122" t="n">
        <v>0</v>
      </c>
      <c r="I122" t="n">
        <v>0</v>
      </c>
      <c r="J122" t="n">
        <v>0</v>
      </c>
      <c r="K122" t="n">
        <v>0</v>
      </c>
      <c r="L122" t="n">
        <v>0</v>
      </c>
      <c r="M122" t="n">
        <v>0</v>
      </c>
      <c r="N122" t="n">
        <v>0</v>
      </c>
      <c r="O122" t="n">
        <v>0</v>
      </c>
      <c r="P122" t="n">
        <v>0</v>
      </c>
      <c r="Q122" t="n">
        <v>0</v>
      </c>
      <c r="R122" s="2" t="inlineStr"/>
    </row>
    <row r="123" ht="15" customHeight="1">
      <c r="A123" t="inlineStr">
        <is>
          <t>A 58690-2021</t>
        </is>
      </c>
      <c r="B123" s="1" t="n">
        <v>44489</v>
      </c>
      <c r="C123" s="1" t="n">
        <v>45974</v>
      </c>
      <c r="D123" t="inlineStr">
        <is>
          <t>DALARNAS LÄN</t>
        </is>
      </c>
      <c r="E123" t="inlineStr">
        <is>
          <t>MORA</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52573-2021</t>
        </is>
      </c>
      <c r="B124" s="1" t="n">
        <v>44466</v>
      </c>
      <c r="C124" s="1" t="n">
        <v>45974</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45974</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56501-2021</t>
        </is>
      </c>
      <c r="B126" s="1" t="n">
        <v>44480.57549768518</v>
      </c>
      <c r="C126" s="1" t="n">
        <v>45974</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60250-2020</t>
        </is>
      </c>
      <c r="B127" s="1" t="n">
        <v>44152</v>
      </c>
      <c r="C127" s="1" t="n">
        <v>45974</v>
      </c>
      <c r="D127" t="inlineStr">
        <is>
          <t>DALARNAS LÄN</t>
        </is>
      </c>
      <c r="E127" t="inlineStr">
        <is>
          <t>MORA</t>
        </is>
      </c>
      <c r="F127" t="inlineStr">
        <is>
          <t>Bergvik skog öst AB</t>
        </is>
      </c>
      <c r="G127" t="n">
        <v>0.8</v>
      </c>
      <c r="H127" t="n">
        <v>0</v>
      </c>
      <c r="I127" t="n">
        <v>0</v>
      </c>
      <c r="J127" t="n">
        <v>0</v>
      </c>
      <c r="K127" t="n">
        <v>0</v>
      </c>
      <c r="L127" t="n">
        <v>0</v>
      </c>
      <c r="M127" t="n">
        <v>0</v>
      </c>
      <c r="N127" t="n">
        <v>0</v>
      </c>
      <c r="O127" t="n">
        <v>0</v>
      </c>
      <c r="P127" t="n">
        <v>0</v>
      </c>
      <c r="Q127" t="n">
        <v>0</v>
      </c>
      <c r="R127" s="2" t="inlineStr"/>
    </row>
    <row r="128" ht="15" customHeight="1">
      <c r="A128" t="inlineStr">
        <is>
          <t>A 41121-2021</t>
        </is>
      </c>
      <c r="B128" s="1" t="n">
        <v>44423.65152777778</v>
      </c>
      <c r="C128" s="1" t="n">
        <v>45974</v>
      </c>
      <c r="D128" t="inlineStr">
        <is>
          <t>DALARNAS LÄN</t>
        </is>
      </c>
      <c r="E128" t="inlineStr">
        <is>
          <t>MORA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45974</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8145-2022</t>
        </is>
      </c>
      <c r="B130" s="1" t="n">
        <v>44609.62314814814</v>
      </c>
      <c r="C130" s="1" t="n">
        <v>45974</v>
      </c>
      <c r="D130" t="inlineStr">
        <is>
          <t>DALARNAS LÄN</t>
        </is>
      </c>
      <c r="E130" t="inlineStr">
        <is>
          <t>MORA</t>
        </is>
      </c>
      <c r="G130" t="n">
        <v>7.3</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45974</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45974</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45974</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45974</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45974</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67045-2021</t>
        </is>
      </c>
      <c r="B136" s="1" t="n">
        <v>44522</v>
      </c>
      <c r="C136" s="1" t="n">
        <v>45974</v>
      </c>
      <c r="D136" t="inlineStr">
        <is>
          <t>DALARNAS LÄN</t>
        </is>
      </c>
      <c r="E136" t="inlineStr">
        <is>
          <t>MORA</t>
        </is>
      </c>
      <c r="G136" t="n">
        <v>0.2</v>
      </c>
      <c r="H136" t="n">
        <v>0</v>
      </c>
      <c r="I136" t="n">
        <v>0</v>
      </c>
      <c r="J136" t="n">
        <v>0</v>
      </c>
      <c r="K136" t="n">
        <v>0</v>
      </c>
      <c r="L136" t="n">
        <v>0</v>
      </c>
      <c r="M136" t="n">
        <v>0</v>
      </c>
      <c r="N136" t="n">
        <v>0</v>
      </c>
      <c r="O136" t="n">
        <v>0</v>
      </c>
      <c r="P136" t="n">
        <v>0</v>
      </c>
      <c r="Q136" t="n">
        <v>0</v>
      </c>
      <c r="R136" s="2" t="inlineStr"/>
    </row>
    <row r="137" ht="15" customHeight="1">
      <c r="A137" t="inlineStr">
        <is>
          <t>A 36168-2021</t>
        </is>
      </c>
      <c r="B137" s="1" t="n">
        <v>44389.62159722222</v>
      </c>
      <c r="C137" s="1" t="n">
        <v>45974</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45974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45974</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45974</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15127-2022</t>
        </is>
      </c>
      <c r="B141" s="1" t="n">
        <v>44658</v>
      </c>
      <c r="C141" s="1" t="n">
        <v>45974</v>
      </c>
      <c r="D141" t="inlineStr">
        <is>
          <t>DALARNAS LÄN</t>
        </is>
      </c>
      <c r="E141" t="inlineStr">
        <is>
          <t>MORA</t>
        </is>
      </c>
      <c r="G141" t="n">
        <v>4.9</v>
      </c>
      <c r="H141" t="n">
        <v>0</v>
      </c>
      <c r="I141" t="n">
        <v>0</v>
      </c>
      <c r="J141" t="n">
        <v>0</v>
      </c>
      <c r="K141" t="n">
        <v>0</v>
      </c>
      <c r="L141" t="n">
        <v>0</v>
      </c>
      <c r="M141" t="n">
        <v>0</v>
      </c>
      <c r="N141" t="n">
        <v>0</v>
      </c>
      <c r="O141" t="n">
        <v>0</v>
      </c>
      <c r="P141" t="n">
        <v>0</v>
      </c>
      <c r="Q141" t="n">
        <v>0</v>
      </c>
      <c r="R141" s="2" t="inlineStr"/>
    </row>
    <row r="142" ht="15" customHeight="1">
      <c r="A142" t="inlineStr">
        <is>
          <t>A 72659-2021</t>
        </is>
      </c>
      <c r="B142" s="1" t="n">
        <v>44546.60960648148</v>
      </c>
      <c r="C142" s="1" t="n">
        <v>45974</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68966-2021</t>
        </is>
      </c>
      <c r="B143" s="1" t="n">
        <v>44530</v>
      </c>
      <c r="C143" s="1" t="n">
        <v>45974</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17865-2025</t>
        </is>
      </c>
      <c r="B144" s="1" t="n">
        <v>45758.62951388889</v>
      </c>
      <c r="C144" s="1" t="n">
        <v>45974</v>
      </c>
      <c r="D144" t="inlineStr">
        <is>
          <t>DALARNAS LÄN</t>
        </is>
      </c>
      <c r="E144" t="inlineStr">
        <is>
          <t>MORA</t>
        </is>
      </c>
      <c r="G144" t="n">
        <v>1.6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45974</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33676-2023</t>
        </is>
      </c>
      <c r="B146" s="1" t="n">
        <v>45132.6291550926</v>
      </c>
      <c r="C146" s="1" t="n">
        <v>45974</v>
      </c>
      <c r="D146" t="inlineStr">
        <is>
          <t>DALARNAS LÄN</t>
        </is>
      </c>
      <c r="E146" t="inlineStr">
        <is>
          <t>MORA</t>
        </is>
      </c>
      <c r="F146" t="inlineStr">
        <is>
          <t>Bergvik skog öst AB</t>
        </is>
      </c>
      <c r="G146" t="n">
        <v>2.7</v>
      </c>
      <c r="H146" t="n">
        <v>0</v>
      </c>
      <c r="I146" t="n">
        <v>0</v>
      </c>
      <c r="J146" t="n">
        <v>0</v>
      </c>
      <c r="K146" t="n">
        <v>0</v>
      </c>
      <c r="L146" t="n">
        <v>0</v>
      </c>
      <c r="M146" t="n">
        <v>0</v>
      </c>
      <c r="N146" t="n">
        <v>0</v>
      </c>
      <c r="O146" t="n">
        <v>0</v>
      </c>
      <c r="P146" t="n">
        <v>0</v>
      </c>
      <c r="Q146" t="n">
        <v>0</v>
      </c>
      <c r="R146" s="2" t="inlineStr"/>
    </row>
    <row r="147" ht="15" customHeight="1">
      <c r="A147" t="inlineStr">
        <is>
          <t>A 61188-2024</t>
        </is>
      </c>
      <c r="B147" s="1" t="n">
        <v>45645.62282407407</v>
      </c>
      <c r="C147" s="1" t="n">
        <v>45974</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45974</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45974</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37710-2023</t>
        </is>
      </c>
      <c r="B150" s="1" t="n">
        <v>45159.59186342593</v>
      </c>
      <c r="C150" s="1" t="n">
        <v>45974</v>
      </c>
      <c r="D150" t="inlineStr">
        <is>
          <t>DALARNAS LÄN</t>
        </is>
      </c>
      <c r="E150" t="inlineStr">
        <is>
          <t>MORA</t>
        </is>
      </c>
      <c r="G150" t="n">
        <v>1.9</v>
      </c>
      <c r="H150" t="n">
        <v>0</v>
      </c>
      <c r="I150" t="n">
        <v>0</v>
      </c>
      <c r="J150" t="n">
        <v>0</v>
      </c>
      <c r="K150" t="n">
        <v>0</v>
      </c>
      <c r="L150" t="n">
        <v>0</v>
      </c>
      <c r="M150" t="n">
        <v>0</v>
      </c>
      <c r="N150" t="n">
        <v>0</v>
      </c>
      <c r="O150" t="n">
        <v>0</v>
      </c>
      <c r="P150" t="n">
        <v>0</v>
      </c>
      <c r="Q150" t="n">
        <v>0</v>
      </c>
      <c r="R150" s="2" t="inlineStr"/>
    </row>
    <row r="151" ht="15" customHeight="1">
      <c r="A151" t="inlineStr">
        <is>
          <t>A 17904-2021</t>
        </is>
      </c>
      <c r="B151" s="1" t="n">
        <v>44301</v>
      </c>
      <c r="C151" s="1" t="n">
        <v>45974</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24393-2022</t>
        </is>
      </c>
      <c r="B152" s="1" t="n">
        <v>44726</v>
      </c>
      <c r="C152" s="1" t="n">
        <v>45974</v>
      </c>
      <c r="D152" t="inlineStr">
        <is>
          <t>DALARNAS LÄN</t>
        </is>
      </c>
      <c r="E152" t="inlineStr">
        <is>
          <t>MORA</t>
        </is>
      </c>
      <c r="G152" t="n">
        <v>2.1</v>
      </c>
      <c r="H152" t="n">
        <v>0</v>
      </c>
      <c r="I152" t="n">
        <v>0</v>
      </c>
      <c r="J152" t="n">
        <v>0</v>
      </c>
      <c r="K152" t="n">
        <v>0</v>
      </c>
      <c r="L152" t="n">
        <v>0</v>
      </c>
      <c r="M152" t="n">
        <v>0</v>
      </c>
      <c r="N152" t="n">
        <v>0</v>
      </c>
      <c r="O152" t="n">
        <v>0</v>
      </c>
      <c r="P152" t="n">
        <v>0</v>
      </c>
      <c r="Q152" t="n">
        <v>0</v>
      </c>
      <c r="R152" s="2" t="inlineStr"/>
    </row>
    <row r="153" ht="15" customHeight="1">
      <c r="A153" t="inlineStr">
        <is>
          <t>A 45355-2024</t>
        </is>
      </c>
      <c r="B153" s="1" t="n">
        <v>45576</v>
      </c>
      <c r="C153" s="1" t="n">
        <v>45974</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37695-2024</t>
        </is>
      </c>
      <c r="B154" s="1" t="n">
        <v>45541.61094907407</v>
      </c>
      <c r="C154" s="1" t="n">
        <v>45974</v>
      </c>
      <c r="D154" t="inlineStr">
        <is>
          <t>DALARNAS LÄN</t>
        </is>
      </c>
      <c r="E154" t="inlineStr">
        <is>
          <t>MORA</t>
        </is>
      </c>
      <c r="G154" t="n">
        <v>19.7</v>
      </c>
      <c r="H154" t="n">
        <v>0</v>
      </c>
      <c r="I154" t="n">
        <v>0</v>
      </c>
      <c r="J154" t="n">
        <v>0</v>
      </c>
      <c r="K154" t="n">
        <v>0</v>
      </c>
      <c r="L154" t="n">
        <v>0</v>
      </c>
      <c r="M154" t="n">
        <v>0</v>
      </c>
      <c r="N154" t="n">
        <v>0</v>
      </c>
      <c r="O154" t="n">
        <v>0</v>
      </c>
      <c r="P154" t="n">
        <v>0</v>
      </c>
      <c r="Q154" t="n">
        <v>0</v>
      </c>
      <c r="R154" s="2" t="inlineStr"/>
    </row>
    <row r="155" ht="15" customHeight="1">
      <c r="A155" t="inlineStr">
        <is>
          <t>A 28934-2023</t>
        </is>
      </c>
      <c r="B155" s="1" t="n">
        <v>45104</v>
      </c>
      <c r="C155" s="1" t="n">
        <v>45974</v>
      </c>
      <c r="D155" t="inlineStr">
        <is>
          <t>DALARNAS LÄN</t>
        </is>
      </c>
      <c r="E155" t="inlineStr">
        <is>
          <t>MORA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17622-2022</t>
        </is>
      </c>
      <c r="B156" s="1" t="n">
        <v>44680.4265162037</v>
      </c>
      <c r="C156" s="1" t="n">
        <v>45974</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45674-2024</t>
        </is>
      </c>
      <c r="B157" s="1" t="n">
        <v>45573</v>
      </c>
      <c r="C157" s="1" t="n">
        <v>45974</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18139-2025</t>
        </is>
      </c>
      <c r="B158" s="1" t="n">
        <v>45761.60459490741</v>
      </c>
      <c r="C158" s="1" t="n">
        <v>45974</v>
      </c>
      <c r="D158" t="inlineStr">
        <is>
          <t>DALARNAS LÄN</t>
        </is>
      </c>
      <c r="E158" t="inlineStr">
        <is>
          <t>MORA</t>
        </is>
      </c>
      <c r="F158" t="inlineStr">
        <is>
          <t>Bergvik skog öst AB</t>
        </is>
      </c>
      <c r="G158" t="n">
        <v>3</v>
      </c>
      <c r="H158" t="n">
        <v>0</v>
      </c>
      <c r="I158" t="n">
        <v>0</v>
      </c>
      <c r="J158" t="n">
        <v>0</v>
      </c>
      <c r="K158" t="n">
        <v>0</v>
      </c>
      <c r="L158" t="n">
        <v>0</v>
      </c>
      <c r="M158" t="n">
        <v>0</v>
      </c>
      <c r="N158" t="n">
        <v>0</v>
      </c>
      <c r="O158" t="n">
        <v>0</v>
      </c>
      <c r="P158" t="n">
        <v>0</v>
      </c>
      <c r="Q158" t="n">
        <v>0</v>
      </c>
      <c r="R158" s="2" t="inlineStr"/>
    </row>
    <row r="159" ht="15" customHeight="1">
      <c r="A159" t="inlineStr">
        <is>
          <t>A 15416-2023</t>
        </is>
      </c>
      <c r="B159" s="1" t="n">
        <v>45019.71342592593</v>
      </c>
      <c r="C159" s="1" t="n">
        <v>45974</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57999-2023</t>
        </is>
      </c>
      <c r="B160" s="1" t="n">
        <v>45247</v>
      </c>
      <c r="C160" s="1" t="n">
        <v>45974</v>
      </c>
      <c r="D160" t="inlineStr">
        <is>
          <t>DALARNAS LÄN</t>
        </is>
      </c>
      <c r="E160" t="inlineStr">
        <is>
          <t>MORA</t>
        </is>
      </c>
      <c r="G160" t="n">
        <v>0.4</v>
      </c>
      <c r="H160" t="n">
        <v>0</v>
      </c>
      <c r="I160" t="n">
        <v>0</v>
      </c>
      <c r="J160" t="n">
        <v>0</v>
      </c>
      <c r="K160" t="n">
        <v>0</v>
      </c>
      <c r="L160" t="n">
        <v>0</v>
      </c>
      <c r="M160" t="n">
        <v>0</v>
      </c>
      <c r="N160" t="n">
        <v>0</v>
      </c>
      <c r="O160" t="n">
        <v>0</v>
      </c>
      <c r="P160" t="n">
        <v>0</v>
      </c>
      <c r="Q160" t="n">
        <v>0</v>
      </c>
      <c r="R160" s="2" t="inlineStr"/>
    </row>
    <row r="161" ht="15" customHeight="1">
      <c r="A161" t="inlineStr">
        <is>
          <t>A 24335-2022</t>
        </is>
      </c>
      <c r="B161" s="1" t="n">
        <v>44725</v>
      </c>
      <c r="C161" s="1" t="n">
        <v>45974</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58961-2021</t>
        </is>
      </c>
      <c r="B162" s="1" t="n">
        <v>44489.94246527777</v>
      </c>
      <c r="C162" s="1" t="n">
        <v>45974</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55120-2024</t>
        </is>
      </c>
      <c r="B163" s="1" t="n">
        <v>45621.45765046297</v>
      </c>
      <c r="C163" s="1" t="n">
        <v>45974</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34660-2021</t>
        </is>
      </c>
      <c r="B164" s="1" t="n">
        <v>44382.57981481482</v>
      </c>
      <c r="C164" s="1" t="n">
        <v>45974</v>
      </c>
      <c r="D164" t="inlineStr">
        <is>
          <t>DALARNAS LÄN</t>
        </is>
      </c>
      <c r="E164" t="inlineStr">
        <is>
          <t>MORA</t>
        </is>
      </c>
      <c r="G164" t="n">
        <v>7.5</v>
      </c>
      <c r="H164" t="n">
        <v>0</v>
      </c>
      <c r="I164" t="n">
        <v>0</v>
      </c>
      <c r="J164" t="n">
        <v>0</v>
      </c>
      <c r="K164" t="n">
        <v>0</v>
      </c>
      <c r="L164" t="n">
        <v>0</v>
      </c>
      <c r="M164" t="n">
        <v>0</v>
      </c>
      <c r="N164" t="n">
        <v>0</v>
      </c>
      <c r="O164" t="n">
        <v>0</v>
      </c>
      <c r="P164" t="n">
        <v>0</v>
      </c>
      <c r="Q164" t="n">
        <v>0</v>
      </c>
      <c r="R164" s="2" t="inlineStr"/>
    </row>
    <row r="165" ht="15" customHeight="1">
      <c r="A165" t="inlineStr">
        <is>
          <t>A 5769-2025</t>
        </is>
      </c>
      <c r="B165" s="1" t="n">
        <v>45694.59288194445</v>
      </c>
      <c r="C165" s="1" t="n">
        <v>45974</v>
      </c>
      <c r="D165" t="inlineStr">
        <is>
          <t>DALARNAS LÄN</t>
        </is>
      </c>
      <c r="E165" t="inlineStr">
        <is>
          <t>MORA</t>
        </is>
      </c>
      <c r="G165" t="n">
        <v>15.7</v>
      </c>
      <c r="H165" t="n">
        <v>0</v>
      </c>
      <c r="I165" t="n">
        <v>0</v>
      </c>
      <c r="J165" t="n">
        <v>0</v>
      </c>
      <c r="K165" t="n">
        <v>0</v>
      </c>
      <c r="L165" t="n">
        <v>0</v>
      </c>
      <c r="M165" t="n">
        <v>0</v>
      </c>
      <c r="N165" t="n">
        <v>0</v>
      </c>
      <c r="O165" t="n">
        <v>0</v>
      </c>
      <c r="P165" t="n">
        <v>0</v>
      </c>
      <c r="Q165" t="n">
        <v>0</v>
      </c>
      <c r="R165" s="2" t="inlineStr"/>
    </row>
    <row r="166" ht="15" customHeight="1">
      <c r="A166" t="inlineStr">
        <is>
          <t>A 42934-2024</t>
        </is>
      </c>
      <c r="B166" s="1" t="n">
        <v>45567.33655092592</v>
      </c>
      <c r="C166" s="1" t="n">
        <v>45974</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54253-2023</t>
        </is>
      </c>
      <c r="B167" s="1" t="n">
        <v>45232.63217592592</v>
      </c>
      <c r="C167" s="1" t="n">
        <v>45974</v>
      </c>
      <c r="D167" t="inlineStr">
        <is>
          <t>DALARNAS LÄN</t>
        </is>
      </c>
      <c r="E167" t="inlineStr">
        <is>
          <t>MORA</t>
        </is>
      </c>
      <c r="G167" t="n">
        <v>4.5</v>
      </c>
      <c r="H167" t="n">
        <v>0</v>
      </c>
      <c r="I167" t="n">
        <v>0</v>
      </c>
      <c r="J167" t="n">
        <v>0</v>
      </c>
      <c r="K167" t="n">
        <v>0</v>
      </c>
      <c r="L167" t="n">
        <v>0</v>
      </c>
      <c r="M167" t="n">
        <v>0</v>
      </c>
      <c r="N167" t="n">
        <v>0</v>
      </c>
      <c r="O167" t="n">
        <v>0</v>
      </c>
      <c r="P167" t="n">
        <v>0</v>
      </c>
      <c r="Q167" t="n">
        <v>0</v>
      </c>
      <c r="R167" s="2" t="inlineStr"/>
    </row>
    <row r="168" ht="15" customHeight="1">
      <c r="A168" t="inlineStr">
        <is>
          <t>A 17516-2024</t>
        </is>
      </c>
      <c r="B168" s="1" t="n">
        <v>45415.58502314815</v>
      </c>
      <c r="C168" s="1" t="n">
        <v>45974</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49159-2023</t>
        </is>
      </c>
      <c r="B169" s="1" t="n">
        <v>45210</v>
      </c>
      <c r="C169" s="1" t="n">
        <v>45974</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29188-2023</t>
        </is>
      </c>
      <c r="B170" s="1" t="n">
        <v>45105.54270833333</v>
      </c>
      <c r="C170" s="1" t="n">
        <v>45974</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57608-2021</t>
        </is>
      </c>
      <c r="B171" s="1" t="n">
        <v>44484</v>
      </c>
      <c r="C171" s="1" t="n">
        <v>45974</v>
      </c>
      <c r="D171" t="inlineStr">
        <is>
          <t>DALARNAS LÄN</t>
        </is>
      </c>
      <c r="E171" t="inlineStr">
        <is>
          <t>MORA</t>
        </is>
      </c>
      <c r="G171" t="n">
        <v>6.3</v>
      </c>
      <c r="H171" t="n">
        <v>0</v>
      </c>
      <c r="I171" t="n">
        <v>0</v>
      </c>
      <c r="J171" t="n">
        <v>0</v>
      </c>
      <c r="K171" t="n">
        <v>0</v>
      </c>
      <c r="L171" t="n">
        <v>0</v>
      </c>
      <c r="M171" t="n">
        <v>0</v>
      </c>
      <c r="N171" t="n">
        <v>0</v>
      </c>
      <c r="O171" t="n">
        <v>0</v>
      </c>
      <c r="P171" t="n">
        <v>0</v>
      </c>
      <c r="Q171" t="n">
        <v>0</v>
      </c>
      <c r="R171" s="2" t="inlineStr"/>
    </row>
    <row r="172" ht="15" customHeight="1">
      <c r="A172" t="inlineStr">
        <is>
          <t>A 12151-2021</t>
        </is>
      </c>
      <c r="B172" s="1" t="n">
        <v>44266</v>
      </c>
      <c r="C172" s="1" t="n">
        <v>45974</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26314-2021</t>
        </is>
      </c>
      <c r="B173" s="1" t="n">
        <v>44347</v>
      </c>
      <c r="C173" s="1" t="n">
        <v>45974</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34927-2022</t>
        </is>
      </c>
      <c r="B174" s="1" t="n">
        <v>44796.60181712963</v>
      </c>
      <c r="C174" s="1" t="n">
        <v>45974</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48456-2022</t>
        </is>
      </c>
      <c r="B175" s="1" t="n">
        <v>44858.66387731482</v>
      </c>
      <c r="C175" s="1" t="n">
        <v>45974</v>
      </c>
      <c r="D175" t="inlineStr">
        <is>
          <t>DALARNAS LÄN</t>
        </is>
      </c>
      <c r="E175" t="inlineStr">
        <is>
          <t>MORA</t>
        </is>
      </c>
      <c r="G175" t="n">
        <v>0.7</v>
      </c>
      <c r="H175" t="n">
        <v>0</v>
      </c>
      <c r="I175" t="n">
        <v>0</v>
      </c>
      <c r="J175" t="n">
        <v>0</v>
      </c>
      <c r="K175" t="n">
        <v>0</v>
      </c>
      <c r="L175" t="n">
        <v>0</v>
      </c>
      <c r="M175" t="n">
        <v>0</v>
      </c>
      <c r="N175" t="n">
        <v>0</v>
      </c>
      <c r="O175" t="n">
        <v>0</v>
      </c>
      <c r="P175" t="n">
        <v>0</v>
      </c>
      <c r="Q175" t="n">
        <v>0</v>
      </c>
      <c r="R175" s="2" t="inlineStr"/>
    </row>
    <row r="176" ht="15" customHeight="1">
      <c r="A176" t="inlineStr">
        <is>
          <t>A 30985-2024</t>
        </is>
      </c>
      <c r="B176" s="1" t="n">
        <v>45499.51721064815</v>
      </c>
      <c r="C176" s="1" t="n">
        <v>45974</v>
      </c>
      <c r="D176" t="inlineStr">
        <is>
          <t>DALARNAS LÄN</t>
        </is>
      </c>
      <c r="E176" t="inlineStr">
        <is>
          <t>MORA</t>
        </is>
      </c>
      <c r="G176" t="n">
        <v>0.7</v>
      </c>
      <c r="H176" t="n">
        <v>0</v>
      </c>
      <c r="I176" t="n">
        <v>0</v>
      </c>
      <c r="J176" t="n">
        <v>0</v>
      </c>
      <c r="K176" t="n">
        <v>0</v>
      </c>
      <c r="L176" t="n">
        <v>0</v>
      </c>
      <c r="M176" t="n">
        <v>0</v>
      </c>
      <c r="N176" t="n">
        <v>0</v>
      </c>
      <c r="O176" t="n">
        <v>0</v>
      </c>
      <c r="P176" t="n">
        <v>0</v>
      </c>
      <c r="Q176" t="n">
        <v>0</v>
      </c>
      <c r="R176" s="2" t="inlineStr"/>
    </row>
    <row r="177" ht="15" customHeight="1">
      <c r="A177" t="inlineStr">
        <is>
          <t>A 37771-2022</t>
        </is>
      </c>
      <c r="B177" s="1" t="n">
        <v>44810.63806712963</v>
      </c>
      <c r="C177" s="1" t="n">
        <v>45974</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41812-2024</t>
        </is>
      </c>
      <c r="B178" s="1" t="n">
        <v>45561.3771412037</v>
      </c>
      <c r="C178" s="1" t="n">
        <v>45974</v>
      </c>
      <c r="D178" t="inlineStr">
        <is>
          <t>DALARNAS LÄN</t>
        </is>
      </c>
      <c r="E178" t="inlineStr">
        <is>
          <t>MORA</t>
        </is>
      </c>
      <c r="G178" t="n">
        <v>2.2</v>
      </c>
      <c r="H178" t="n">
        <v>0</v>
      </c>
      <c r="I178" t="n">
        <v>0</v>
      </c>
      <c r="J178" t="n">
        <v>0</v>
      </c>
      <c r="K178" t="n">
        <v>0</v>
      </c>
      <c r="L178" t="n">
        <v>0</v>
      </c>
      <c r="M178" t="n">
        <v>0</v>
      </c>
      <c r="N178" t="n">
        <v>0</v>
      </c>
      <c r="O178" t="n">
        <v>0</v>
      </c>
      <c r="P178" t="n">
        <v>0</v>
      </c>
      <c r="Q178" t="n">
        <v>0</v>
      </c>
      <c r="R178" s="2" t="inlineStr"/>
    </row>
    <row r="179" ht="15" customHeight="1">
      <c r="A179" t="inlineStr">
        <is>
          <t>A 18202-2024</t>
        </is>
      </c>
      <c r="B179" s="1" t="n">
        <v>45420.68172453704</v>
      </c>
      <c r="C179" s="1" t="n">
        <v>45974</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40286-2024</t>
        </is>
      </c>
      <c r="B180" s="1" t="n">
        <v>45554.6687037037</v>
      </c>
      <c r="C180" s="1" t="n">
        <v>45974</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17393-2025</t>
        </is>
      </c>
      <c r="B181" s="1" t="n">
        <v>45757.34350694445</v>
      </c>
      <c r="C181" s="1" t="n">
        <v>45974</v>
      </c>
      <c r="D181" t="inlineStr">
        <is>
          <t>DALARNAS LÄN</t>
        </is>
      </c>
      <c r="E181" t="inlineStr">
        <is>
          <t>MORA</t>
        </is>
      </c>
      <c r="G181" t="n">
        <v>10.1</v>
      </c>
      <c r="H181" t="n">
        <v>0</v>
      </c>
      <c r="I181" t="n">
        <v>0</v>
      </c>
      <c r="J181" t="n">
        <v>0</v>
      </c>
      <c r="K181" t="n">
        <v>0</v>
      </c>
      <c r="L181" t="n">
        <v>0</v>
      </c>
      <c r="M181" t="n">
        <v>0</v>
      </c>
      <c r="N181" t="n">
        <v>0</v>
      </c>
      <c r="O181" t="n">
        <v>0</v>
      </c>
      <c r="P181" t="n">
        <v>0</v>
      </c>
      <c r="Q181" t="n">
        <v>0</v>
      </c>
      <c r="R181" s="2" t="inlineStr"/>
    </row>
    <row r="182" ht="15" customHeight="1">
      <c r="A182" t="inlineStr">
        <is>
          <t>A 20594-2025</t>
        </is>
      </c>
      <c r="B182" s="1" t="n">
        <v>45775.74009259259</v>
      </c>
      <c r="C182" s="1" t="n">
        <v>45974</v>
      </c>
      <c r="D182" t="inlineStr">
        <is>
          <t>DALARNAS LÄN</t>
        </is>
      </c>
      <c r="E182" t="inlineStr">
        <is>
          <t>MORA</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41169-2023</t>
        </is>
      </c>
      <c r="B183" s="1" t="n">
        <v>45174.34662037037</v>
      </c>
      <c r="C183" s="1" t="n">
        <v>45974</v>
      </c>
      <c r="D183" t="inlineStr">
        <is>
          <t>DALARNAS LÄN</t>
        </is>
      </c>
      <c r="E183" t="inlineStr">
        <is>
          <t>MORA</t>
        </is>
      </c>
      <c r="G183" t="n">
        <v>3</v>
      </c>
      <c r="H183" t="n">
        <v>0</v>
      </c>
      <c r="I183" t="n">
        <v>0</v>
      </c>
      <c r="J183" t="n">
        <v>0</v>
      </c>
      <c r="K183" t="n">
        <v>0</v>
      </c>
      <c r="L183" t="n">
        <v>0</v>
      </c>
      <c r="M183" t="n">
        <v>0</v>
      </c>
      <c r="N183" t="n">
        <v>0</v>
      </c>
      <c r="O183" t="n">
        <v>0</v>
      </c>
      <c r="P183" t="n">
        <v>0</v>
      </c>
      <c r="Q183" t="n">
        <v>0</v>
      </c>
      <c r="R183" s="2" t="inlineStr"/>
    </row>
    <row r="184" ht="15" customHeight="1">
      <c r="A184" t="inlineStr">
        <is>
          <t>A 51888-2024</t>
        </is>
      </c>
      <c r="B184" s="1" t="n">
        <v>45607.57142361111</v>
      </c>
      <c r="C184" s="1" t="n">
        <v>45974</v>
      </c>
      <c r="D184" t="inlineStr">
        <is>
          <t>DALARNAS LÄN</t>
        </is>
      </c>
      <c r="E184" t="inlineStr">
        <is>
          <t>MORA</t>
        </is>
      </c>
      <c r="G184" t="n">
        <v>0.9</v>
      </c>
      <c r="H184" t="n">
        <v>0</v>
      </c>
      <c r="I184" t="n">
        <v>0</v>
      </c>
      <c r="J184" t="n">
        <v>0</v>
      </c>
      <c r="K184" t="n">
        <v>0</v>
      </c>
      <c r="L184" t="n">
        <v>0</v>
      </c>
      <c r="M184" t="n">
        <v>0</v>
      </c>
      <c r="N184" t="n">
        <v>0</v>
      </c>
      <c r="O184" t="n">
        <v>0</v>
      </c>
      <c r="P184" t="n">
        <v>0</v>
      </c>
      <c r="Q184" t="n">
        <v>0</v>
      </c>
      <c r="R184" s="2" t="inlineStr"/>
    </row>
    <row r="185" ht="15" customHeight="1">
      <c r="A185" t="inlineStr">
        <is>
          <t>A 25887-2023</t>
        </is>
      </c>
      <c r="B185" s="1" t="n">
        <v>45090.62493055555</v>
      </c>
      <c r="C185" s="1" t="n">
        <v>45974</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32721-2024</t>
        </is>
      </c>
      <c r="B186" s="1" t="n">
        <v>45516.40261574074</v>
      </c>
      <c r="C186" s="1" t="n">
        <v>45974</v>
      </c>
      <c r="D186" t="inlineStr">
        <is>
          <t>DALARNAS LÄN</t>
        </is>
      </c>
      <c r="E186" t="inlineStr">
        <is>
          <t>MORA</t>
        </is>
      </c>
      <c r="G186" t="n">
        <v>4.2</v>
      </c>
      <c r="H186" t="n">
        <v>0</v>
      </c>
      <c r="I186" t="n">
        <v>0</v>
      </c>
      <c r="J186" t="n">
        <v>0</v>
      </c>
      <c r="K186" t="n">
        <v>0</v>
      </c>
      <c r="L186" t="n">
        <v>0</v>
      </c>
      <c r="M186" t="n">
        <v>0</v>
      </c>
      <c r="N186" t="n">
        <v>0</v>
      </c>
      <c r="O186" t="n">
        <v>0</v>
      </c>
      <c r="P186" t="n">
        <v>0</v>
      </c>
      <c r="Q186" t="n">
        <v>0</v>
      </c>
      <c r="R186" s="2" t="inlineStr"/>
    </row>
    <row r="187" ht="15" customHeight="1">
      <c r="A187" t="inlineStr">
        <is>
          <t>A 35287-2024</t>
        </is>
      </c>
      <c r="B187" s="1" t="n">
        <v>45530</v>
      </c>
      <c r="C187" s="1" t="n">
        <v>45974</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8153-2021</t>
        </is>
      </c>
      <c r="B188" s="1" t="n">
        <v>44244</v>
      </c>
      <c r="C188" s="1" t="n">
        <v>45974</v>
      </c>
      <c r="D188" t="inlineStr">
        <is>
          <t>DALARNAS LÄN</t>
        </is>
      </c>
      <c r="E188" t="inlineStr">
        <is>
          <t>MORA</t>
        </is>
      </c>
      <c r="G188" t="n">
        <v>2.5</v>
      </c>
      <c r="H188" t="n">
        <v>0</v>
      </c>
      <c r="I188" t="n">
        <v>0</v>
      </c>
      <c r="J188" t="n">
        <v>0</v>
      </c>
      <c r="K188" t="n">
        <v>0</v>
      </c>
      <c r="L188" t="n">
        <v>0</v>
      </c>
      <c r="M188" t="n">
        <v>0</v>
      </c>
      <c r="N188" t="n">
        <v>0</v>
      </c>
      <c r="O188" t="n">
        <v>0</v>
      </c>
      <c r="P188" t="n">
        <v>0</v>
      </c>
      <c r="Q188" t="n">
        <v>0</v>
      </c>
      <c r="R188" s="2" t="inlineStr"/>
    </row>
    <row r="189" ht="15" customHeight="1">
      <c r="A189" t="inlineStr">
        <is>
          <t>A 64099-2023</t>
        </is>
      </c>
      <c r="B189" s="1" t="n">
        <v>45279.46009259259</v>
      </c>
      <c r="C189" s="1" t="n">
        <v>45974</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43826-2022</t>
        </is>
      </c>
      <c r="B190" s="1" t="n">
        <v>44838</v>
      </c>
      <c r="C190" s="1" t="n">
        <v>45974</v>
      </c>
      <c r="D190" t="inlineStr">
        <is>
          <t>DALARNAS LÄN</t>
        </is>
      </c>
      <c r="E190" t="inlineStr">
        <is>
          <t>MORA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44106-2023</t>
        </is>
      </c>
      <c r="B191" s="1" t="n">
        <v>45188</v>
      </c>
      <c r="C191" s="1" t="n">
        <v>45974</v>
      </c>
      <c r="D191" t="inlineStr">
        <is>
          <t>DALARNAS LÄN</t>
        </is>
      </c>
      <c r="E191" t="inlineStr">
        <is>
          <t>MORA</t>
        </is>
      </c>
      <c r="G191" t="n">
        <v>10.1</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45974</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8068-2024</t>
        </is>
      </c>
      <c r="B193" s="1" t="n">
        <v>45351.41524305556</v>
      </c>
      <c r="C193" s="1" t="n">
        <v>45974</v>
      </c>
      <c r="D193" t="inlineStr">
        <is>
          <t>DALARNAS LÄN</t>
        </is>
      </c>
      <c r="E193" t="inlineStr">
        <is>
          <t>MORA</t>
        </is>
      </c>
      <c r="G193" t="n">
        <v>6.4</v>
      </c>
      <c r="H193" t="n">
        <v>0</v>
      </c>
      <c r="I193" t="n">
        <v>0</v>
      </c>
      <c r="J193" t="n">
        <v>0</v>
      </c>
      <c r="K193" t="n">
        <v>0</v>
      </c>
      <c r="L193" t="n">
        <v>0</v>
      </c>
      <c r="M193" t="n">
        <v>0</v>
      </c>
      <c r="N193" t="n">
        <v>0</v>
      </c>
      <c r="O193" t="n">
        <v>0</v>
      </c>
      <c r="P193" t="n">
        <v>0</v>
      </c>
      <c r="Q193" t="n">
        <v>0</v>
      </c>
      <c r="R193" s="2" t="inlineStr"/>
    </row>
    <row r="194" ht="15" customHeight="1">
      <c r="A194" t="inlineStr">
        <is>
          <t>A 8100-2024</t>
        </is>
      </c>
      <c r="B194" s="1" t="n">
        <v>45351.46583333334</v>
      </c>
      <c r="C194" s="1" t="n">
        <v>45974</v>
      </c>
      <c r="D194" t="inlineStr">
        <is>
          <t>DALARNAS LÄN</t>
        </is>
      </c>
      <c r="E194" t="inlineStr">
        <is>
          <t>MORA</t>
        </is>
      </c>
      <c r="G194" t="n">
        <v>3.2</v>
      </c>
      <c r="H194" t="n">
        <v>0</v>
      </c>
      <c r="I194" t="n">
        <v>0</v>
      </c>
      <c r="J194" t="n">
        <v>0</v>
      </c>
      <c r="K194" t="n">
        <v>0</v>
      </c>
      <c r="L194" t="n">
        <v>0</v>
      </c>
      <c r="M194" t="n">
        <v>0</v>
      </c>
      <c r="N194" t="n">
        <v>0</v>
      </c>
      <c r="O194" t="n">
        <v>0</v>
      </c>
      <c r="P194" t="n">
        <v>0</v>
      </c>
      <c r="Q194" t="n">
        <v>0</v>
      </c>
      <c r="R194" s="2" t="inlineStr"/>
    </row>
    <row r="195" ht="15" customHeight="1">
      <c r="A195" t="inlineStr">
        <is>
          <t>A 25749-2023</t>
        </is>
      </c>
      <c r="B195" s="1" t="n">
        <v>45090</v>
      </c>
      <c r="C195" s="1" t="n">
        <v>45974</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59002-2024</t>
        </is>
      </c>
      <c r="B196" s="1" t="n">
        <v>45636</v>
      </c>
      <c r="C196" s="1" t="n">
        <v>45974</v>
      </c>
      <c r="D196" t="inlineStr">
        <is>
          <t>DALARNAS LÄN</t>
        </is>
      </c>
      <c r="E196" t="inlineStr">
        <is>
          <t>MORA</t>
        </is>
      </c>
      <c r="F196" t="inlineStr">
        <is>
          <t>Bergvik skog väst AB</t>
        </is>
      </c>
      <c r="G196" t="n">
        <v>24.8</v>
      </c>
      <c r="H196" t="n">
        <v>0</v>
      </c>
      <c r="I196" t="n">
        <v>0</v>
      </c>
      <c r="J196" t="n">
        <v>0</v>
      </c>
      <c r="K196" t="n">
        <v>0</v>
      </c>
      <c r="L196" t="n">
        <v>0</v>
      </c>
      <c r="M196" t="n">
        <v>0</v>
      </c>
      <c r="N196" t="n">
        <v>0</v>
      </c>
      <c r="O196" t="n">
        <v>0</v>
      </c>
      <c r="P196" t="n">
        <v>0</v>
      </c>
      <c r="Q196" t="n">
        <v>0</v>
      </c>
      <c r="R196" s="2" t="inlineStr"/>
    </row>
    <row r="197" ht="15" customHeight="1">
      <c r="A197" t="inlineStr">
        <is>
          <t>A 5980-2025</t>
        </is>
      </c>
      <c r="B197" s="1" t="n">
        <v>45695.54651620371</v>
      </c>
      <c r="C197" s="1" t="n">
        <v>45974</v>
      </c>
      <c r="D197" t="inlineStr">
        <is>
          <t>DALARNAS LÄN</t>
        </is>
      </c>
      <c r="E197" t="inlineStr">
        <is>
          <t>MORA</t>
        </is>
      </c>
      <c r="G197" t="n">
        <v>2.7</v>
      </c>
      <c r="H197" t="n">
        <v>0</v>
      </c>
      <c r="I197" t="n">
        <v>0</v>
      </c>
      <c r="J197" t="n">
        <v>0</v>
      </c>
      <c r="K197" t="n">
        <v>0</v>
      </c>
      <c r="L197" t="n">
        <v>0</v>
      </c>
      <c r="M197" t="n">
        <v>0</v>
      </c>
      <c r="N197" t="n">
        <v>0</v>
      </c>
      <c r="O197" t="n">
        <v>0</v>
      </c>
      <c r="P197" t="n">
        <v>0</v>
      </c>
      <c r="Q197" t="n">
        <v>0</v>
      </c>
      <c r="R197" s="2" t="inlineStr"/>
    </row>
    <row r="198" ht="15" customHeight="1">
      <c r="A198" t="inlineStr">
        <is>
          <t>A 40325-2024</t>
        </is>
      </c>
      <c r="B198" s="1" t="n">
        <v>45554.88538194444</v>
      </c>
      <c r="C198" s="1" t="n">
        <v>45974</v>
      </c>
      <c r="D198" t="inlineStr">
        <is>
          <t>DALARNAS LÄN</t>
        </is>
      </c>
      <c r="E198" t="inlineStr">
        <is>
          <t>MORA</t>
        </is>
      </c>
      <c r="G198" t="n">
        <v>2.8</v>
      </c>
      <c r="H198" t="n">
        <v>0</v>
      </c>
      <c r="I198" t="n">
        <v>0</v>
      </c>
      <c r="J198" t="n">
        <v>0</v>
      </c>
      <c r="K198" t="n">
        <v>0</v>
      </c>
      <c r="L198" t="n">
        <v>0</v>
      </c>
      <c r="M198" t="n">
        <v>0</v>
      </c>
      <c r="N198" t="n">
        <v>0</v>
      </c>
      <c r="O198" t="n">
        <v>0</v>
      </c>
      <c r="P198" t="n">
        <v>0</v>
      </c>
      <c r="Q198" t="n">
        <v>0</v>
      </c>
      <c r="R198" s="2" t="inlineStr"/>
    </row>
    <row r="199" ht="15" customHeight="1">
      <c r="A199" t="inlineStr">
        <is>
          <t>A 43964-2024</t>
        </is>
      </c>
      <c r="B199" s="1" t="n">
        <v>45572.48407407408</v>
      </c>
      <c r="C199" s="1" t="n">
        <v>45974</v>
      </c>
      <c r="D199" t="inlineStr">
        <is>
          <t>DALARNAS LÄN</t>
        </is>
      </c>
      <c r="E199" t="inlineStr">
        <is>
          <t>MORA</t>
        </is>
      </c>
      <c r="G199" t="n">
        <v>0.9</v>
      </c>
      <c r="H199" t="n">
        <v>0</v>
      </c>
      <c r="I199" t="n">
        <v>0</v>
      </c>
      <c r="J199" t="n">
        <v>0</v>
      </c>
      <c r="K199" t="n">
        <v>0</v>
      </c>
      <c r="L199" t="n">
        <v>0</v>
      </c>
      <c r="M199" t="n">
        <v>0</v>
      </c>
      <c r="N199" t="n">
        <v>0</v>
      </c>
      <c r="O199" t="n">
        <v>0</v>
      </c>
      <c r="P199" t="n">
        <v>0</v>
      </c>
      <c r="Q199" t="n">
        <v>0</v>
      </c>
      <c r="R199" s="2" t="inlineStr"/>
    </row>
    <row r="200" ht="15" customHeight="1">
      <c r="A200" t="inlineStr">
        <is>
          <t>A 36058-2024</t>
        </is>
      </c>
      <c r="B200" s="1" t="n">
        <v>45533</v>
      </c>
      <c r="C200" s="1" t="n">
        <v>45974</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51883-2024</t>
        </is>
      </c>
      <c r="B201" s="1" t="n">
        <v>45607</v>
      </c>
      <c r="C201" s="1" t="n">
        <v>45974</v>
      </c>
      <c r="D201" t="inlineStr">
        <is>
          <t>DALARNAS LÄN</t>
        </is>
      </c>
      <c r="E201" t="inlineStr">
        <is>
          <t>MORA</t>
        </is>
      </c>
      <c r="G201" t="n">
        <v>0.2</v>
      </c>
      <c r="H201" t="n">
        <v>0</v>
      </c>
      <c r="I201" t="n">
        <v>0</v>
      </c>
      <c r="J201" t="n">
        <v>0</v>
      </c>
      <c r="K201" t="n">
        <v>0</v>
      </c>
      <c r="L201" t="n">
        <v>0</v>
      </c>
      <c r="M201" t="n">
        <v>0</v>
      </c>
      <c r="N201" t="n">
        <v>0</v>
      </c>
      <c r="O201" t="n">
        <v>0</v>
      </c>
      <c r="P201" t="n">
        <v>0</v>
      </c>
      <c r="Q201" t="n">
        <v>0</v>
      </c>
      <c r="R201" s="2" t="inlineStr"/>
    </row>
    <row r="202" ht="15" customHeight="1">
      <c r="A202" t="inlineStr">
        <is>
          <t>A 42941-2024</t>
        </is>
      </c>
      <c r="B202" s="1" t="n">
        <v>45567.3515162037</v>
      </c>
      <c r="C202" s="1" t="n">
        <v>45974</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43873-2024</t>
        </is>
      </c>
      <c r="B203" s="1" t="n">
        <v>45572.38429398148</v>
      </c>
      <c r="C203" s="1" t="n">
        <v>45974</v>
      </c>
      <c r="D203" t="inlineStr">
        <is>
          <t>DALARNAS LÄN</t>
        </is>
      </c>
      <c r="E203" t="inlineStr">
        <is>
          <t>MORA</t>
        </is>
      </c>
      <c r="G203" t="n">
        <v>4.1</v>
      </c>
      <c r="H203" t="n">
        <v>0</v>
      </c>
      <c r="I203" t="n">
        <v>0</v>
      </c>
      <c r="J203" t="n">
        <v>0</v>
      </c>
      <c r="K203" t="n">
        <v>0</v>
      </c>
      <c r="L203" t="n">
        <v>0</v>
      </c>
      <c r="M203" t="n">
        <v>0</v>
      </c>
      <c r="N203" t="n">
        <v>0</v>
      </c>
      <c r="O203" t="n">
        <v>0</v>
      </c>
      <c r="P203" t="n">
        <v>0</v>
      </c>
      <c r="Q203" t="n">
        <v>0</v>
      </c>
      <c r="R203" s="2" t="inlineStr"/>
    </row>
    <row r="204" ht="15" customHeight="1">
      <c r="A204" t="inlineStr">
        <is>
          <t>A 19910-2024</t>
        </is>
      </c>
      <c r="B204" s="1" t="n">
        <v>45433.5741087963</v>
      </c>
      <c r="C204" s="1" t="n">
        <v>45974</v>
      </c>
      <c r="D204" t="inlineStr">
        <is>
          <t>DALARNAS LÄN</t>
        </is>
      </c>
      <c r="E204" t="inlineStr">
        <is>
          <t>MORA</t>
        </is>
      </c>
      <c r="G204" t="n">
        <v>0.9</v>
      </c>
      <c r="H204" t="n">
        <v>0</v>
      </c>
      <c r="I204" t="n">
        <v>0</v>
      </c>
      <c r="J204" t="n">
        <v>0</v>
      </c>
      <c r="K204" t="n">
        <v>0</v>
      </c>
      <c r="L204" t="n">
        <v>0</v>
      </c>
      <c r="M204" t="n">
        <v>0</v>
      </c>
      <c r="N204" t="n">
        <v>0</v>
      </c>
      <c r="O204" t="n">
        <v>0</v>
      </c>
      <c r="P204" t="n">
        <v>0</v>
      </c>
      <c r="Q204" t="n">
        <v>0</v>
      </c>
      <c r="R204" s="2" t="inlineStr"/>
    </row>
    <row r="205" ht="15" customHeight="1">
      <c r="A205" t="inlineStr">
        <is>
          <t>A 23300-2024</t>
        </is>
      </c>
      <c r="B205" s="1" t="n">
        <v>45453.43695601852</v>
      </c>
      <c r="C205" s="1" t="n">
        <v>45974</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5527-2024</t>
        </is>
      </c>
      <c r="B206" s="1" t="n">
        <v>45334.38981481481</v>
      </c>
      <c r="C206" s="1" t="n">
        <v>45974</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39856-2024</t>
        </is>
      </c>
      <c r="B207" s="1" t="n">
        <v>45553.44084490741</v>
      </c>
      <c r="C207" s="1" t="n">
        <v>45974</v>
      </c>
      <c r="D207" t="inlineStr">
        <is>
          <t>DALARNAS LÄN</t>
        </is>
      </c>
      <c r="E207" t="inlineStr">
        <is>
          <t>MORA</t>
        </is>
      </c>
      <c r="G207" t="n">
        <v>4.8</v>
      </c>
      <c r="H207" t="n">
        <v>0</v>
      </c>
      <c r="I207" t="n">
        <v>0</v>
      </c>
      <c r="J207" t="n">
        <v>0</v>
      </c>
      <c r="K207" t="n">
        <v>0</v>
      </c>
      <c r="L207" t="n">
        <v>0</v>
      </c>
      <c r="M207" t="n">
        <v>0</v>
      </c>
      <c r="N207" t="n">
        <v>0</v>
      </c>
      <c r="O207" t="n">
        <v>0</v>
      </c>
      <c r="P207" t="n">
        <v>0</v>
      </c>
      <c r="Q207" t="n">
        <v>0</v>
      </c>
      <c r="R207" s="2" t="inlineStr"/>
    </row>
    <row r="208" ht="15" customHeight="1">
      <c r="A208" t="inlineStr">
        <is>
          <t>A 52288-2024</t>
        </is>
      </c>
      <c r="B208" s="1" t="n">
        <v>45608.69395833334</v>
      </c>
      <c r="C208" s="1" t="n">
        <v>45974</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43879-2022</t>
        </is>
      </c>
      <c r="B209" s="1" t="n">
        <v>44838.46721064814</v>
      </c>
      <c r="C209" s="1" t="n">
        <v>45974</v>
      </c>
      <c r="D209" t="inlineStr">
        <is>
          <t>DALARNAS LÄN</t>
        </is>
      </c>
      <c r="E209" t="inlineStr">
        <is>
          <t>MORA</t>
        </is>
      </c>
      <c r="G209" t="n">
        <v>3.4</v>
      </c>
      <c r="H209" t="n">
        <v>0</v>
      </c>
      <c r="I209" t="n">
        <v>0</v>
      </c>
      <c r="J209" t="n">
        <v>0</v>
      </c>
      <c r="K209" t="n">
        <v>0</v>
      </c>
      <c r="L209" t="n">
        <v>0</v>
      </c>
      <c r="M209" t="n">
        <v>0</v>
      </c>
      <c r="N209" t="n">
        <v>0</v>
      </c>
      <c r="O209" t="n">
        <v>0</v>
      </c>
      <c r="P209" t="n">
        <v>0</v>
      </c>
      <c r="Q209" t="n">
        <v>0</v>
      </c>
      <c r="R209" s="2" t="inlineStr"/>
    </row>
    <row r="210" ht="15" customHeight="1">
      <c r="A210" t="inlineStr">
        <is>
          <t>A 62266-2020</t>
        </is>
      </c>
      <c r="B210" s="1" t="n">
        <v>44160.35008101852</v>
      </c>
      <c r="C210" s="1" t="n">
        <v>45974</v>
      </c>
      <c r="D210" t="inlineStr">
        <is>
          <t>DALARNAS LÄN</t>
        </is>
      </c>
      <c r="E210" t="inlineStr">
        <is>
          <t>MORA</t>
        </is>
      </c>
      <c r="F210" t="inlineStr">
        <is>
          <t>Bergvik skog väst AB</t>
        </is>
      </c>
      <c r="G210" t="n">
        <v>5.9</v>
      </c>
      <c r="H210" t="n">
        <v>0</v>
      </c>
      <c r="I210" t="n">
        <v>0</v>
      </c>
      <c r="J210" t="n">
        <v>0</v>
      </c>
      <c r="K210" t="n">
        <v>0</v>
      </c>
      <c r="L210" t="n">
        <v>0</v>
      </c>
      <c r="M210" t="n">
        <v>0</v>
      </c>
      <c r="N210" t="n">
        <v>0</v>
      </c>
      <c r="O210" t="n">
        <v>0</v>
      </c>
      <c r="P210" t="n">
        <v>0</v>
      </c>
      <c r="Q210" t="n">
        <v>0</v>
      </c>
      <c r="R210" s="2" t="inlineStr"/>
    </row>
    <row r="211" ht="15" customHeight="1">
      <c r="A211" t="inlineStr">
        <is>
          <t>A 12920-2022</t>
        </is>
      </c>
      <c r="B211" s="1" t="n">
        <v>44642.65418981481</v>
      </c>
      <c r="C211" s="1" t="n">
        <v>45974</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19896-2021</t>
        </is>
      </c>
      <c r="B212" s="1" t="n">
        <v>44313.54942129629</v>
      </c>
      <c r="C212" s="1" t="n">
        <v>45974</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17280-2025</t>
        </is>
      </c>
      <c r="B213" s="1" t="n">
        <v>45756</v>
      </c>
      <c r="C213" s="1" t="n">
        <v>45974</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9599-2022</t>
        </is>
      </c>
      <c r="B214" s="1" t="n">
        <v>44617.48909722222</v>
      </c>
      <c r="C214" s="1" t="n">
        <v>45974</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59101-2024</t>
        </is>
      </c>
      <c r="B215" s="1" t="n">
        <v>45637.34074074074</v>
      </c>
      <c r="C215" s="1" t="n">
        <v>45974</v>
      </c>
      <c r="D215" t="inlineStr">
        <is>
          <t>DALARNAS LÄN</t>
        </is>
      </c>
      <c r="E215" t="inlineStr">
        <is>
          <t>MORA</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35521-2023</t>
        </is>
      </c>
      <c r="B216" s="1" t="n">
        <v>45147.33251157407</v>
      </c>
      <c r="C216" s="1" t="n">
        <v>45974</v>
      </c>
      <c r="D216" t="inlineStr">
        <is>
          <t>DALARNAS LÄN</t>
        </is>
      </c>
      <c r="E216" t="inlineStr">
        <is>
          <t>MORA</t>
        </is>
      </c>
      <c r="G216" t="n">
        <v>3.7</v>
      </c>
      <c r="H216" t="n">
        <v>0</v>
      </c>
      <c r="I216" t="n">
        <v>0</v>
      </c>
      <c r="J216" t="n">
        <v>0</v>
      </c>
      <c r="K216" t="n">
        <v>0</v>
      </c>
      <c r="L216" t="n">
        <v>0</v>
      </c>
      <c r="M216" t="n">
        <v>0</v>
      </c>
      <c r="N216" t="n">
        <v>0</v>
      </c>
      <c r="O216" t="n">
        <v>0</v>
      </c>
      <c r="P216" t="n">
        <v>0</v>
      </c>
      <c r="Q216" t="n">
        <v>0</v>
      </c>
      <c r="R216" s="2" t="inlineStr"/>
    </row>
    <row r="217" ht="15" customHeight="1">
      <c r="A217" t="inlineStr">
        <is>
          <t>A 5418-2025</t>
        </is>
      </c>
      <c r="B217" s="1" t="n">
        <v>45692.68561342593</v>
      </c>
      <c r="C217" s="1" t="n">
        <v>45974</v>
      </c>
      <c r="D217" t="inlineStr">
        <is>
          <t>DALARNAS LÄN</t>
        </is>
      </c>
      <c r="E217" t="inlineStr">
        <is>
          <t>MORA</t>
        </is>
      </c>
      <c r="G217" t="n">
        <v>0.9</v>
      </c>
      <c r="H217" t="n">
        <v>0</v>
      </c>
      <c r="I217" t="n">
        <v>0</v>
      </c>
      <c r="J217" t="n">
        <v>0</v>
      </c>
      <c r="K217" t="n">
        <v>0</v>
      </c>
      <c r="L217" t="n">
        <v>0</v>
      </c>
      <c r="M217" t="n">
        <v>0</v>
      </c>
      <c r="N217" t="n">
        <v>0</v>
      </c>
      <c r="O217" t="n">
        <v>0</v>
      </c>
      <c r="P217" t="n">
        <v>0</v>
      </c>
      <c r="Q217" t="n">
        <v>0</v>
      </c>
      <c r="R217" s="2" t="inlineStr"/>
    </row>
    <row r="218" ht="15" customHeight="1">
      <c r="A218" t="inlineStr">
        <is>
          <t>A 17176-2025</t>
        </is>
      </c>
      <c r="B218" s="1" t="n">
        <v>45756.37520833333</v>
      </c>
      <c r="C218" s="1" t="n">
        <v>45974</v>
      </c>
      <c r="D218" t="inlineStr">
        <is>
          <t>DALARNAS LÄN</t>
        </is>
      </c>
      <c r="E218" t="inlineStr">
        <is>
          <t>MORA</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60715-2023</t>
        </is>
      </c>
      <c r="B219" s="1" t="n">
        <v>45260.52684027778</v>
      </c>
      <c r="C219" s="1" t="n">
        <v>45974</v>
      </c>
      <c r="D219" t="inlineStr">
        <is>
          <t>DALARNAS LÄN</t>
        </is>
      </c>
      <c r="E219" t="inlineStr">
        <is>
          <t>MORA</t>
        </is>
      </c>
      <c r="G219" t="n">
        <v>1.7</v>
      </c>
      <c r="H219" t="n">
        <v>0</v>
      </c>
      <c r="I219" t="n">
        <v>0</v>
      </c>
      <c r="J219" t="n">
        <v>0</v>
      </c>
      <c r="K219" t="n">
        <v>0</v>
      </c>
      <c r="L219" t="n">
        <v>0</v>
      </c>
      <c r="M219" t="n">
        <v>0</v>
      </c>
      <c r="N219" t="n">
        <v>0</v>
      </c>
      <c r="O219" t="n">
        <v>0</v>
      </c>
      <c r="P219" t="n">
        <v>0</v>
      </c>
      <c r="Q219" t="n">
        <v>0</v>
      </c>
      <c r="R219" s="2" t="inlineStr"/>
    </row>
    <row r="220" ht="15" customHeight="1">
      <c r="A220" t="inlineStr">
        <is>
          <t>A 54257-2023</t>
        </is>
      </c>
      <c r="B220" s="1" t="n">
        <v>45232.64195601852</v>
      </c>
      <c r="C220" s="1" t="n">
        <v>45974</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34282-2024</t>
        </is>
      </c>
      <c r="B221" s="1" t="n">
        <v>45524.62600694445</v>
      </c>
      <c r="C221" s="1" t="n">
        <v>45974</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11442-2022</t>
        </is>
      </c>
      <c r="B222" s="1" t="n">
        <v>44630.62788194444</v>
      </c>
      <c r="C222" s="1" t="n">
        <v>45974</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52525-2022</t>
        </is>
      </c>
      <c r="B223" s="1" t="n">
        <v>44874</v>
      </c>
      <c r="C223" s="1" t="n">
        <v>45974</v>
      </c>
      <c r="D223" t="inlineStr">
        <is>
          <t>DALARNAS LÄN</t>
        </is>
      </c>
      <c r="E223" t="inlineStr">
        <is>
          <t>MORA</t>
        </is>
      </c>
      <c r="F223" t="inlineStr">
        <is>
          <t>Bergvik skog öst AB</t>
        </is>
      </c>
      <c r="G223" t="n">
        <v>0.9</v>
      </c>
      <c r="H223" t="n">
        <v>0</v>
      </c>
      <c r="I223" t="n">
        <v>0</v>
      </c>
      <c r="J223" t="n">
        <v>0</v>
      </c>
      <c r="K223" t="n">
        <v>0</v>
      </c>
      <c r="L223" t="n">
        <v>0</v>
      </c>
      <c r="M223" t="n">
        <v>0</v>
      </c>
      <c r="N223" t="n">
        <v>0</v>
      </c>
      <c r="O223" t="n">
        <v>0</v>
      </c>
      <c r="P223" t="n">
        <v>0</v>
      </c>
      <c r="Q223" t="n">
        <v>0</v>
      </c>
      <c r="R223" s="2" t="inlineStr"/>
    </row>
    <row r="224" ht="15" customHeight="1">
      <c r="A224" t="inlineStr">
        <is>
          <t>A 48390-2024</t>
        </is>
      </c>
      <c r="B224" s="1" t="n">
        <v>45590.60216435185</v>
      </c>
      <c r="C224" s="1" t="n">
        <v>45974</v>
      </c>
      <c r="D224" t="inlineStr">
        <is>
          <t>DALARNAS LÄN</t>
        </is>
      </c>
      <c r="E224" t="inlineStr">
        <is>
          <t>MORA</t>
        </is>
      </c>
      <c r="G224" t="n">
        <v>5</v>
      </c>
      <c r="H224" t="n">
        <v>0</v>
      </c>
      <c r="I224" t="n">
        <v>0</v>
      </c>
      <c r="J224" t="n">
        <v>0</v>
      </c>
      <c r="K224" t="n">
        <v>0</v>
      </c>
      <c r="L224" t="n">
        <v>0</v>
      </c>
      <c r="M224" t="n">
        <v>0</v>
      </c>
      <c r="N224" t="n">
        <v>0</v>
      </c>
      <c r="O224" t="n">
        <v>0</v>
      </c>
      <c r="P224" t="n">
        <v>0</v>
      </c>
      <c r="Q224" t="n">
        <v>0</v>
      </c>
      <c r="R224" s="2" t="inlineStr"/>
    </row>
    <row r="225" ht="15" customHeight="1">
      <c r="A225" t="inlineStr">
        <is>
          <t>A 25499-2024</t>
        </is>
      </c>
      <c r="B225" s="1" t="n">
        <v>45463</v>
      </c>
      <c r="C225" s="1" t="n">
        <v>45974</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58958-2022</t>
        </is>
      </c>
      <c r="B226" s="1" t="n">
        <v>44903.6605324074</v>
      </c>
      <c r="C226" s="1" t="n">
        <v>45974</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14372-2025</t>
        </is>
      </c>
      <c r="B227" s="1" t="n">
        <v>45741.4050462963</v>
      </c>
      <c r="C227" s="1" t="n">
        <v>45974</v>
      </c>
      <c r="D227" t="inlineStr">
        <is>
          <t>DALARNAS LÄN</t>
        </is>
      </c>
      <c r="E227" t="inlineStr">
        <is>
          <t>MORA</t>
        </is>
      </c>
      <c r="G227" t="n">
        <v>5.1</v>
      </c>
      <c r="H227" t="n">
        <v>0</v>
      </c>
      <c r="I227" t="n">
        <v>0</v>
      </c>
      <c r="J227" t="n">
        <v>0</v>
      </c>
      <c r="K227" t="n">
        <v>0</v>
      </c>
      <c r="L227" t="n">
        <v>0</v>
      </c>
      <c r="M227" t="n">
        <v>0</v>
      </c>
      <c r="N227" t="n">
        <v>0</v>
      </c>
      <c r="O227" t="n">
        <v>0</v>
      </c>
      <c r="P227" t="n">
        <v>0</v>
      </c>
      <c r="Q227" t="n">
        <v>0</v>
      </c>
      <c r="R227" s="2" t="inlineStr"/>
    </row>
    <row r="228" ht="15" customHeight="1">
      <c r="A228" t="inlineStr">
        <is>
          <t>A 14378-2025</t>
        </is>
      </c>
      <c r="B228" s="1" t="n">
        <v>45741</v>
      </c>
      <c r="C228" s="1" t="n">
        <v>45974</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38055-2024</t>
        </is>
      </c>
      <c r="B229" s="1" t="n">
        <v>45544</v>
      </c>
      <c r="C229" s="1" t="n">
        <v>45974</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7116-2024</t>
        </is>
      </c>
      <c r="B230" s="1" t="n">
        <v>45343.95445601852</v>
      </c>
      <c r="C230" s="1" t="n">
        <v>45974</v>
      </c>
      <c r="D230" t="inlineStr">
        <is>
          <t>DALARNAS LÄN</t>
        </is>
      </c>
      <c r="E230" t="inlineStr">
        <is>
          <t>MORA</t>
        </is>
      </c>
      <c r="G230" t="n">
        <v>0.3</v>
      </c>
      <c r="H230" t="n">
        <v>0</v>
      </c>
      <c r="I230" t="n">
        <v>0</v>
      </c>
      <c r="J230" t="n">
        <v>0</v>
      </c>
      <c r="K230" t="n">
        <v>0</v>
      </c>
      <c r="L230" t="n">
        <v>0</v>
      </c>
      <c r="M230" t="n">
        <v>0</v>
      </c>
      <c r="N230" t="n">
        <v>0</v>
      </c>
      <c r="O230" t="n">
        <v>0</v>
      </c>
      <c r="P230" t="n">
        <v>0</v>
      </c>
      <c r="Q230" t="n">
        <v>0</v>
      </c>
      <c r="R230" s="2" t="inlineStr"/>
    </row>
    <row r="231" ht="15" customHeight="1">
      <c r="A231" t="inlineStr">
        <is>
          <t>A 16733-2024</t>
        </is>
      </c>
      <c r="B231" s="1" t="n">
        <v>45410.78502314815</v>
      </c>
      <c r="C231" s="1" t="n">
        <v>45974</v>
      </c>
      <c r="D231" t="inlineStr">
        <is>
          <t>DALARNAS LÄN</t>
        </is>
      </c>
      <c r="E231" t="inlineStr">
        <is>
          <t>MORA</t>
        </is>
      </c>
      <c r="G231" t="n">
        <v>6.3</v>
      </c>
      <c r="H231" t="n">
        <v>0</v>
      </c>
      <c r="I231" t="n">
        <v>0</v>
      </c>
      <c r="J231" t="n">
        <v>0</v>
      </c>
      <c r="K231" t="n">
        <v>0</v>
      </c>
      <c r="L231" t="n">
        <v>0</v>
      </c>
      <c r="M231" t="n">
        <v>0</v>
      </c>
      <c r="N231" t="n">
        <v>0</v>
      </c>
      <c r="O231" t="n">
        <v>0</v>
      </c>
      <c r="P231" t="n">
        <v>0</v>
      </c>
      <c r="Q231" t="n">
        <v>0</v>
      </c>
      <c r="R231" s="2" t="inlineStr"/>
    </row>
    <row r="232" ht="15" customHeight="1">
      <c r="A232" t="inlineStr">
        <is>
          <t>A 22785-2023</t>
        </is>
      </c>
      <c r="B232" s="1" t="n">
        <v>45072.34796296297</v>
      </c>
      <c r="C232" s="1" t="n">
        <v>45974</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52908-2023</t>
        </is>
      </c>
      <c r="B233" s="1" t="n">
        <v>45226.49950231481</v>
      </c>
      <c r="C233" s="1" t="n">
        <v>45974</v>
      </c>
      <c r="D233" t="inlineStr">
        <is>
          <t>DALARNAS LÄN</t>
        </is>
      </c>
      <c r="E233" t="inlineStr">
        <is>
          <t>MORA</t>
        </is>
      </c>
      <c r="G233" t="n">
        <v>3.3</v>
      </c>
      <c r="H233" t="n">
        <v>0</v>
      </c>
      <c r="I233" t="n">
        <v>0</v>
      </c>
      <c r="J233" t="n">
        <v>0</v>
      </c>
      <c r="K233" t="n">
        <v>0</v>
      </c>
      <c r="L233" t="n">
        <v>0</v>
      </c>
      <c r="M233" t="n">
        <v>0</v>
      </c>
      <c r="N233" t="n">
        <v>0</v>
      </c>
      <c r="O233" t="n">
        <v>0</v>
      </c>
      <c r="P233" t="n">
        <v>0</v>
      </c>
      <c r="Q233" t="n">
        <v>0</v>
      </c>
      <c r="R233" s="2" t="inlineStr"/>
    </row>
    <row r="234" ht="15" customHeight="1">
      <c r="A234" t="inlineStr">
        <is>
          <t>A 18214-2024</t>
        </is>
      </c>
      <c r="B234" s="1" t="n">
        <v>45420</v>
      </c>
      <c r="C234" s="1" t="n">
        <v>45974</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61217-2023</t>
        </is>
      </c>
      <c r="B235" s="1" t="n">
        <v>45264.43802083333</v>
      </c>
      <c r="C235" s="1" t="n">
        <v>45974</v>
      </c>
      <c r="D235" t="inlineStr">
        <is>
          <t>DALARNAS LÄN</t>
        </is>
      </c>
      <c r="E235" t="inlineStr">
        <is>
          <t>MORA</t>
        </is>
      </c>
      <c r="F235" t="inlineStr">
        <is>
          <t>Allmännings- och besparingsskogar</t>
        </is>
      </c>
      <c r="G235" t="n">
        <v>2</v>
      </c>
      <c r="H235" t="n">
        <v>0</v>
      </c>
      <c r="I235" t="n">
        <v>0</v>
      </c>
      <c r="J235" t="n">
        <v>0</v>
      </c>
      <c r="K235" t="n">
        <v>0</v>
      </c>
      <c r="L235" t="n">
        <v>0</v>
      </c>
      <c r="M235" t="n">
        <v>0</v>
      </c>
      <c r="N235" t="n">
        <v>0</v>
      </c>
      <c r="O235" t="n">
        <v>0</v>
      </c>
      <c r="P235" t="n">
        <v>0</v>
      </c>
      <c r="Q235" t="n">
        <v>0</v>
      </c>
      <c r="R235" s="2" t="inlineStr"/>
    </row>
    <row r="236" ht="15" customHeight="1">
      <c r="A236" t="inlineStr">
        <is>
          <t>A 61218-2023</t>
        </is>
      </c>
      <c r="B236" s="1" t="n">
        <v>45264</v>
      </c>
      <c r="C236" s="1" t="n">
        <v>45974</v>
      </c>
      <c r="D236" t="inlineStr">
        <is>
          <t>DALARNAS LÄN</t>
        </is>
      </c>
      <c r="E236" t="inlineStr">
        <is>
          <t>MORA</t>
        </is>
      </c>
      <c r="F236" t="inlineStr">
        <is>
          <t>Allmännings- och besparingsskogar</t>
        </is>
      </c>
      <c r="G236" t="n">
        <v>2.6</v>
      </c>
      <c r="H236" t="n">
        <v>0</v>
      </c>
      <c r="I236" t="n">
        <v>0</v>
      </c>
      <c r="J236" t="n">
        <v>0</v>
      </c>
      <c r="K236" t="n">
        <v>0</v>
      </c>
      <c r="L236" t="n">
        <v>0</v>
      </c>
      <c r="M236" t="n">
        <v>0</v>
      </c>
      <c r="N236" t="n">
        <v>0</v>
      </c>
      <c r="O236" t="n">
        <v>0</v>
      </c>
      <c r="P236" t="n">
        <v>0</v>
      </c>
      <c r="Q236" t="n">
        <v>0</v>
      </c>
      <c r="R236" s="2" t="inlineStr"/>
    </row>
    <row r="237" ht="15" customHeight="1">
      <c r="A237" t="inlineStr">
        <is>
          <t>A 43874-2024</t>
        </is>
      </c>
      <c r="B237" s="1" t="n">
        <v>45572.38476851852</v>
      </c>
      <c r="C237" s="1" t="n">
        <v>45974</v>
      </c>
      <c r="D237" t="inlineStr">
        <is>
          <t>DALARNAS LÄN</t>
        </is>
      </c>
      <c r="E237" t="inlineStr">
        <is>
          <t>MORA</t>
        </is>
      </c>
      <c r="G237" t="n">
        <v>3.6</v>
      </c>
      <c r="H237" t="n">
        <v>0</v>
      </c>
      <c r="I237" t="n">
        <v>0</v>
      </c>
      <c r="J237" t="n">
        <v>0</v>
      </c>
      <c r="K237" t="n">
        <v>0</v>
      </c>
      <c r="L237" t="n">
        <v>0</v>
      </c>
      <c r="M237" t="n">
        <v>0</v>
      </c>
      <c r="N237" t="n">
        <v>0</v>
      </c>
      <c r="O237" t="n">
        <v>0</v>
      </c>
      <c r="P237" t="n">
        <v>0</v>
      </c>
      <c r="Q237" t="n">
        <v>0</v>
      </c>
      <c r="R237" s="2" t="inlineStr"/>
    </row>
    <row r="238" ht="15" customHeight="1">
      <c r="A238" t="inlineStr">
        <is>
          <t>A 60465-2023</t>
        </is>
      </c>
      <c r="B238" s="1" t="n">
        <v>45259.57872685185</v>
      </c>
      <c r="C238" s="1" t="n">
        <v>45974</v>
      </c>
      <c r="D238" t="inlineStr">
        <is>
          <t>DALARNAS LÄN</t>
        </is>
      </c>
      <c r="E238" t="inlineStr">
        <is>
          <t>MORA</t>
        </is>
      </c>
      <c r="G238" t="n">
        <v>1.3</v>
      </c>
      <c r="H238" t="n">
        <v>0</v>
      </c>
      <c r="I238" t="n">
        <v>0</v>
      </c>
      <c r="J238" t="n">
        <v>0</v>
      </c>
      <c r="K238" t="n">
        <v>0</v>
      </c>
      <c r="L238" t="n">
        <v>0</v>
      </c>
      <c r="M238" t="n">
        <v>0</v>
      </c>
      <c r="N238" t="n">
        <v>0</v>
      </c>
      <c r="O238" t="n">
        <v>0</v>
      </c>
      <c r="P238" t="n">
        <v>0</v>
      </c>
      <c r="Q238" t="n">
        <v>0</v>
      </c>
      <c r="R238" s="2" t="inlineStr"/>
    </row>
    <row r="239" ht="15" customHeight="1">
      <c r="A239" t="inlineStr">
        <is>
          <t>A 61654-2024</t>
        </is>
      </c>
      <c r="B239" s="1" t="n">
        <v>45646.74988425926</v>
      </c>
      <c r="C239" s="1" t="n">
        <v>45974</v>
      </c>
      <c r="D239" t="inlineStr">
        <is>
          <t>DALARNAS LÄN</t>
        </is>
      </c>
      <c r="E239" t="inlineStr">
        <is>
          <t>MORA</t>
        </is>
      </c>
      <c r="G239" t="n">
        <v>1.7</v>
      </c>
      <c r="H239" t="n">
        <v>0</v>
      </c>
      <c r="I239" t="n">
        <v>0</v>
      </c>
      <c r="J239" t="n">
        <v>0</v>
      </c>
      <c r="K239" t="n">
        <v>0</v>
      </c>
      <c r="L239" t="n">
        <v>0</v>
      </c>
      <c r="M239" t="n">
        <v>0</v>
      </c>
      <c r="N239" t="n">
        <v>0</v>
      </c>
      <c r="O239" t="n">
        <v>0</v>
      </c>
      <c r="P239" t="n">
        <v>0</v>
      </c>
      <c r="Q239" t="n">
        <v>0</v>
      </c>
      <c r="R239" s="2" t="inlineStr"/>
    </row>
    <row r="240" ht="15" customHeight="1">
      <c r="A240" t="inlineStr">
        <is>
          <t>A 60428-2023</t>
        </is>
      </c>
      <c r="B240" s="1" t="n">
        <v>45259.50996527778</v>
      </c>
      <c r="C240" s="1" t="n">
        <v>45974</v>
      </c>
      <c r="D240" t="inlineStr">
        <is>
          <t>DALARNAS LÄN</t>
        </is>
      </c>
      <c r="E240" t="inlineStr">
        <is>
          <t>MORA</t>
        </is>
      </c>
      <c r="G240" t="n">
        <v>4.9</v>
      </c>
      <c r="H240" t="n">
        <v>0</v>
      </c>
      <c r="I240" t="n">
        <v>0</v>
      </c>
      <c r="J240" t="n">
        <v>0</v>
      </c>
      <c r="K240" t="n">
        <v>0</v>
      </c>
      <c r="L240" t="n">
        <v>0</v>
      </c>
      <c r="M240" t="n">
        <v>0</v>
      </c>
      <c r="N240" t="n">
        <v>0</v>
      </c>
      <c r="O240" t="n">
        <v>0</v>
      </c>
      <c r="P240" t="n">
        <v>0</v>
      </c>
      <c r="Q240" t="n">
        <v>0</v>
      </c>
      <c r="R240" s="2" t="inlineStr"/>
    </row>
    <row r="241" ht="15" customHeight="1">
      <c r="A241" t="inlineStr">
        <is>
          <t>A 2308-2023</t>
        </is>
      </c>
      <c r="B241" s="1" t="n">
        <v>44942.57987268519</v>
      </c>
      <c r="C241" s="1" t="n">
        <v>45974</v>
      </c>
      <c r="D241" t="inlineStr">
        <is>
          <t>DALARNAS LÄN</t>
        </is>
      </c>
      <c r="E241" t="inlineStr">
        <is>
          <t>MORA</t>
        </is>
      </c>
      <c r="G241" t="n">
        <v>2.2</v>
      </c>
      <c r="H241" t="n">
        <v>0</v>
      </c>
      <c r="I241" t="n">
        <v>0</v>
      </c>
      <c r="J241" t="n">
        <v>0</v>
      </c>
      <c r="K241" t="n">
        <v>0</v>
      </c>
      <c r="L241" t="n">
        <v>0</v>
      </c>
      <c r="M241" t="n">
        <v>0</v>
      </c>
      <c r="N241" t="n">
        <v>0</v>
      </c>
      <c r="O241" t="n">
        <v>0</v>
      </c>
      <c r="P241" t="n">
        <v>0</v>
      </c>
      <c r="Q241" t="n">
        <v>0</v>
      </c>
      <c r="R241" s="2" t="inlineStr"/>
    </row>
    <row r="242" ht="15" customHeight="1">
      <c r="A242" t="inlineStr">
        <is>
          <t>A 60099-2024</t>
        </is>
      </c>
      <c r="B242" s="1" t="n">
        <v>45642.55645833333</v>
      </c>
      <c r="C242" s="1" t="n">
        <v>45974</v>
      </c>
      <c r="D242" t="inlineStr">
        <is>
          <t>DALARNAS LÄN</t>
        </is>
      </c>
      <c r="E242" t="inlineStr">
        <is>
          <t>MORA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63958-2023</t>
        </is>
      </c>
      <c r="B243" s="1" t="n">
        <v>45278</v>
      </c>
      <c r="C243" s="1" t="n">
        <v>45974</v>
      </c>
      <c r="D243" t="inlineStr">
        <is>
          <t>DALARNAS LÄN</t>
        </is>
      </c>
      <c r="E243" t="inlineStr">
        <is>
          <t>MORA</t>
        </is>
      </c>
      <c r="G243" t="n">
        <v>1.9</v>
      </c>
      <c r="H243" t="n">
        <v>0</v>
      </c>
      <c r="I243" t="n">
        <v>0</v>
      </c>
      <c r="J243" t="n">
        <v>0</v>
      </c>
      <c r="K243" t="n">
        <v>0</v>
      </c>
      <c r="L243" t="n">
        <v>0</v>
      </c>
      <c r="M243" t="n">
        <v>0</v>
      </c>
      <c r="N243" t="n">
        <v>0</v>
      </c>
      <c r="O243" t="n">
        <v>0</v>
      </c>
      <c r="P243" t="n">
        <v>0</v>
      </c>
      <c r="Q243" t="n">
        <v>0</v>
      </c>
      <c r="R243" s="2" t="inlineStr"/>
    </row>
    <row r="244" ht="15" customHeight="1">
      <c r="A244" t="inlineStr">
        <is>
          <t>A 39348-2024</t>
        </is>
      </c>
      <c r="B244" s="1" t="n">
        <v>45551.45322916667</v>
      </c>
      <c r="C244" s="1" t="n">
        <v>45974</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15443-2025</t>
        </is>
      </c>
      <c r="B245" s="1" t="n">
        <v>45747.48371527778</v>
      </c>
      <c r="C245" s="1" t="n">
        <v>45974</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53159-2024</t>
        </is>
      </c>
      <c r="B246" s="1" t="n">
        <v>45611.63849537037</v>
      </c>
      <c r="C246" s="1" t="n">
        <v>45974</v>
      </c>
      <c r="D246" t="inlineStr">
        <is>
          <t>DALARNAS LÄN</t>
        </is>
      </c>
      <c r="E246" t="inlineStr">
        <is>
          <t>MORA</t>
        </is>
      </c>
      <c r="G246" t="n">
        <v>3.3</v>
      </c>
      <c r="H246" t="n">
        <v>0</v>
      </c>
      <c r="I246" t="n">
        <v>0</v>
      </c>
      <c r="J246" t="n">
        <v>0</v>
      </c>
      <c r="K246" t="n">
        <v>0</v>
      </c>
      <c r="L246" t="n">
        <v>0</v>
      </c>
      <c r="M246" t="n">
        <v>0</v>
      </c>
      <c r="N246" t="n">
        <v>0</v>
      </c>
      <c r="O246" t="n">
        <v>0</v>
      </c>
      <c r="P246" t="n">
        <v>0</v>
      </c>
      <c r="Q246" t="n">
        <v>0</v>
      </c>
      <c r="R246" s="2" t="inlineStr"/>
    </row>
    <row r="247" ht="15" customHeight="1">
      <c r="A247" t="inlineStr">
        <is>
          <t>A 29754-2022</t>
        </is>
      </c>
      <c r="B247" s="1" t="n">
        <v>44755.59188657408</v>
      </c>
      <c r="C247" s="1" t="n">
        <v>45974</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54903-2024</t>
        </is>
      </c>
      <c r="B248" s="1" t="n">
        <v>45618</v>
      </c>
      <c r="C248" s="1" t="n">
        <v>45974</v>
      </c>
      <c r="D248" t="inlineStr">
        <is>
          <t>DALARNAS LÄN</t>
        </is>
      </c>
      <c r="E248" t="inlineStr">
        <is>
          <t>MORA</t>
        </is>
      </c>
      <c r="G248" t="n">
        <v>28.2</v>
      </c>
      <c r="H248" t="n">
        <v>0</v>
      </c>
      <c r="I248" t="n">
        <v>0</v>
      </c>
      <c r="J248" t="n">
        <v>0</v>
      </c>
      <c r="K248" t="n">
        <v>0</v>
      </c>
      <c r="L248" t="n">
        <v>0</v>
      </c>
      <c r="M248" t="n">
        <v>0</v>
      </c>
      <c r="N248" t="n">
        <v>0</v>
      </c>
      <c r="O248" t="n">
        <v>0</v>
      </c>
      <c r="P248" t="n">
        <v>0</v>
      </c>
      <c r="Q248" t="n">
        <v>0</v>
      </c>
      <c r="R248" s="2" t="inlineStr"/>
    </row>
    <row r="249" ht="15" customHeight="1">
      <c r="A249" t="inlineStr">
        <is>
          <t>A 27188-2023</t>
        </is>
      </c>
      <c r="B249" s="1" t="n">
        <v>45096</v>
      </c>
      <c r="C249" s="1" t="n">
        <v>45974</v>
      </c>
      <c r="D249" t="inlineStr">
        <is>
          <t>DALARNAS LÄN</t>
        </is>
      </c>
      <c r="E249" t="inlineStr">
        <is>
          <t>MORA</t>
        </is>
      </c>
      <c r="G249" t="n">
        <v>4.8</v>
      </c>
      <c r="H249" t="n">
        <v>0</v>
      </c>
      <c r="I249" t="n">
        <v>0</v>
      </c>
      <c r="J249" t="n">
        <v>0</v>
      </c>
      <c r="K249" t="n">
        <v>0</v>
      </c>
      <c r="L249" t="n">
        <v>0</v>
      </c>
      <c r="M249" t="n">
        <v>0</v>
      </c>
      <c r="N249" t="n">
        <v>0</v>
      </c>
      <c r="O249" t="n">
        <v>0</v>
      </c>
      <c r="P249" t="n">
        <v>0</v>
      </c>
      <c r="Q249" t="n">
        <v>0</v>
      </c>
      <c r="R249" s="2" t="inlineStr"/>
    </row>
    <row r="250" ht="15" customHeight="1">
      <c r="A250" t="inlineStr">
        <is>
          <t>A 56268-2024</t>
        </is>
      </c>
      <c r="B250" s="1" t="n">
        <v>45624.65785879629</v>
      </c>
      <c r="C250" s="1" t="n">
        <v>45974</v>
      </c>
      <c r="D250" t="inlineStr">
        <is>
          <t>DALARNAS LÄN</t>
        </is>
      </c>
      <c r="E250" t="inlineStr">
        <is>
          <t>MORA</t>
        </is>
      </c>
      <c r="G250" t="n">
        <v>2.7</v>
      </c>
      <c r="H250" t="n">
        <v>0</v>
      </c>
      <c r="I250" t="n">
        <v>0</v>
      </c>
      <c r="J250" t="n">
        <v>0</v>
      </c>
      <c r="K250" t="n">
        <v>0</v>
      </c>
      <c r="L250" t="n">
        <v>0</v>
      </c>
      <c r="M250" t="n">
        <v>0</v>
      </c>
      <c r="N250" t="n">
        <v>0</v>
      </c>
      <c r="O250" t="n">
        <v>0</v>
      </c>
      <c r="P250" t="n">
        <v>0</v>
      </c>
      <c r="Q250" t="n">
        <v>0</v>
      </c>
      <c r="R250" s="2" t="inlineStr"/>
    </row>
    <row r="251" ht="15" customHeight="1">
      <c r="A251" t="inlineStr">
        <is>
          <t>A 23302-2024</t>
        </is>
      </c>
      <c r="B251" s="1" t="n">
        <v>45453.44091435185</v>
      </c>
      <c r="C251" s="1" t="n">
        <v>45974</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14641-2023</t>
        </is>
      </c>
      <c r="B252" s="1" t="n">
        <v>45013</v>
      </c>
      <c r="C252" s="1" t="n">
        <v>45974</v>
      </c>
      <c r="D252" t="inlineStr">
        <is>
          <t>DALARNAS LÄN</t>
        </is>
      </c>
      <c r="E252" t="inlineStr">
        <is>
          <t>MORA</t>
        </is>
      </c>
      <c r="G252" t="n">
        <v>1.5</v>
      </c>
      <c r="H252" t="n">
        <v>0</v>
      </c>
      <c r="I252" t="n">
        <v>0</v>
      </c>
      <c r="J252" t="n">
        <v>0</v>
      </c>
      <c r="K252" t="n">
        <v>0</v>
      </c>
      <c r="L252" t="n">
        <v>0</v>
      </c>
      <c r="M252" t="n">
        <v>0</v>
      </c>
      <c r="N252" t="n">
        <v>0</v>
      </c>
      <c r="O252" t="n">
        <v>0</v>
      </c>
      <c r="P252" t="n">
        <v>0</v>
      </c>
      <c r="Q252" t="n">
        <v>0</v>
      </c>
      <c r="R252" s="2" t="inlineStr"/>
    </row>
    <row r="253" ht="15" customHeight="1">
      <c r="A253" t="inlineStr">
        <is>
          <t>A 31929-2024</t>
        </is>
      </c>
      <c r="B253" s="1" t="n">
        <v>45510.40587962963</v>
      </c>
      <c r="C253" s="1" t="n">
        <v>45974</v>
      </c>
      <c r="D253" t="inlineStr">
        <is>
          <t>DALARNAS LÄN</t>
        </is>
      </c>
      <c r="E253" t="inlineStr">
        <is>
          <t>MORA</t>
        </is>
      </c>
      <c r="G253" t="n">
        <v>10.8</v>
      </c>
      <c r="H253" t="n">
        <v>0</v>
      </c>
      <c r="I253" t="n">
        <v>0</v>
      </c>
      <c r="J253" t="n">
        <v>0</v>
      </c>
      <c r="K253" t="n">
        <v>0</v>
      </c>
      <c r="L253" t="n">
        <v>0</v>
      </c>
      <c r="M253" t="n">
        <v>0</v>
      </c>
      <c r="N253" t="n">
        <v>0</v>
      </c>
      <c r="O253" t="n">
        <v>0</v>
      </c>
      <c r="P253" t="n">
        <v>0</v>
      </c>
      <c r="Q253" t="n">
        <v>0</v>
      </c>
      <c r="R253" s="2" t="inlineStr"/>
    </row>
    <row r="254" ht="15" customHeight="1">
      <c r="A254" t="inlineStr">
        <is>
          <t>A 57408-2024</t>
        </is>
      </c>
      <c r="B254" s="1" t="n">
        <v>45629</v>
      </c>
      <c r="C254" s="1" t="n">
        <v>45974</v>
      </c>
      <c r="D254" t="inlineStr">
        <is>
          <t>DALARNAS LÄN</t>
        </is>
      </c>
      <c r="E254" t="inlineStr">
        <is>
          <t>MORA</t>
        </is>
      </c>
      <c r="F254" t="inlineStr">
        <is>
          <t>Allmännings- och besparingsskogar</t>
        </is>
      </c>
      <c r="G254" t="n">
        <v>2.5</v>
      </c>
      <c r="H254" t="n">
        <v>0</v>
      </c>
      <c r="I254" t="n">
        <v>0</v>
      </c>
      <c r="J254" t="n">
        <v>0</v>
      </c>
      <c r="K254" t="n">
        <v>0</v>
      </c>
      <c r="L254" t="n">
        <v>0</v>
      </c>
      <c r="M254" t="n">
        <v>0</v>
      </c>
      <c r="N254" t="n">
        <v>0</v>
      </c>
      <c r="O254" t="n">
        <v>0</v>
      </c>
      <c r="P254" t="n">
        <v>0</v>
      </c>
      <c r="Q254" t="n">
        <v>0</v>
      </c>
      <c r="R254" s="2" t="inlineStr"/>
    </row>
    <row r="255" ht="15" customHeight="1">
      <c r="A255" t="inlineStr">
        <is>
          <t>A 1252-2025</t>
        </is>
      </c>
      <c r="B255" s="1" t="n">
        <v>45667.46648148148</v>
      </c>
      <c r="C255" s="1" t="n">
        <v>45974</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60718-2023</t>
        </is>
      </c>
      <c r="B256" s="1" t="n">
        <v>45260.5284375</v>
      </c>
      <c r="C256" s="1" t="n">
        <v>45974</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61405-2023</t>
        </is>
      </c>
      <c r="B257" s="1" t="n">
        <v>45264.65987268519</v>
      </c>
      <c r="C257" s="1" t="n">
        <v>45974</v>
      </c>
      <c r="D257" t="inlineStr">
        <is>
          <t>DALARNAS LÄN</t>
        </is>
      </c>
      <c r="E257" t="inlineStr">
        <is>
          <t>MORA</t>
        </is>
      </c>
      <c r="G257" t="n">
        <v>0.4</v>
      </c>
      <c r="H257" t="n">
        <v>0</v>
      </c>
      <c r="I257" t="n">
        <v>0</v>
      </c>
      <c r="J257" t="n">
        <v>0</v>
      </c>
      <c r="K257" t="n">
        <v>0</v>
      </c>
      <c r="L257" t="n">
        <v>0</v>
      </c>
      <c r="M257" t="n">
        <v>0</v>
      </c>
      <c r="N257" t="n">
        <v>0</v>
      </c>
      <c r="O257" t="n">
        <v>0</v>
      </c>
      <c r="P257" t="n">
        <v>0</v>
      </c>
      <c r="Q257" t="n">
        <v>0</v>
      </c>
      <c r="R257" s="2" t="inlineStr"/>
    </row>
    <row r="258" ht="15" customHeight="1">
      <c r="A258" t="inlineStr">
        <is>
          <t>A 14832-2025</t>
        </is>
      </c>
      <c r="B258" s="1" t="n">
        <v>45743</v>
      </c>
      <c r="C258" s="1" t="n">
        <v>45974</v>
      </c>
      <c r="D258" t="inlineStr">
        <is>
          <t>DALARNAS LÄN</t>
        </is>
      </c>
      <c r="E258" t="inlineStr">
        <is>
          <t>MORA</t>
        </is>
      </c>
      <c r="G258" t="n">
        <v>9.1</v>
      </c>
      <c r="H258" t="n">
        <v>0</v>
      </c>
      <c r="I258" t="n">
        <v>0</v>
      </c>
      <c r="J258" t="n">
        <v>0</v>
      </c>
      <c r="K258" t="n">
        <v>0</v>
      </c>
      <c r="L258" t="n">
        <v>0</v>
      </c>
      <c r="M258" t="n">
        <v>0</v>
      </c>
      <c r="N258" t="n">
        <v>0</v>
      </c>
      <c r="O258" t="n">
        <v>0</v>
      </c>
      <c r="P258" t="n">
        <v>0</v>
      </c>
      <c r="Q258" t="n">
        <v>0</v>
      </c>
      <c r="R258" s="2" t="inlineStr"/>
    </row>
    <row r="259" ht="15" customHeight="1">
      <c r="A259" t="inlineStr">
        <is>
          <t>A 7972-2024</t>
        </is>
      </c>
      <c r="B259" s="1" t="n">
        <v>45350</v>
      </c>
      <c r="C259" s="1" t="n">
        <v>45974</v>
      </c>
      <c r="D259" t="inlineStr">
        <is>
          <t>DALARNAS LÄN</t>
        </is>
      </c>
      <c r="E259" t="inlineStr">
        <is>
          <t>MORA</t>
        </is>
      </c>
      <c r="G259" t="n">
        <v>2.4</v>
      </c>
      <c r="H259" t="n">
        <v>0</v>
      </c>
      <c r="I259" t="n">
        <v>0</v>
      </c>
      <c r="J259" t="n">
        <v>0</v>
      </c>
      <c r="K259" t="n">
        <v>0</v>
      </c>
      <c r="L259" t="n">
        <v>0</v>
      </c>
      <c r="M259" t="n">
        <v>0</v>
      </c>
      <c r="N259" t="n">
        <v>0</v>
      </c>
      <c r="O259" t="n">
        <v>0</v>
      </c>
      <c r="P259" t="n">
        <v>0</v>
      </c>
      <c r="Q259" t="n">
        <v>0</v>
      </c>
      <c r="R259" s="2" t="inlineStr"/>
    </row>
    <row r="260" ht="15" customHeight="1">
      <c r="A260" t="inlineStr">
        <is>
          <t>A 9554-2025</t>
        </is>
      </c>
      <c r="B260" s="1" t="n">
        <v>45715.59936342593</v>
      </c>
      <c r="C260" s="1" t="n">
        <v>45974</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39674-2023</t>
        </is>
      </c>
      <c r="B261" s="1" t="n">
        <v>45167</v>
      </c>
      <c r="C261" s="1" t="n">
        <v>45974</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571-2024</t>
        </is>
      </c>
      <c r="B262" s="1" t="n">
        <v>45299</v>
      </c>
      <c r="C262" s="1" t="n">
        <v>45974</v>
      </c>
      <c r="D262" t="inlineStr">
        <is>
          <t>DALARNAS LÄN</t>
        </is>
      </c>
      <c r="E262" t="inlineStr">
        <is>
          <t>MORA</t>
        </is>
      </c>
      <c r="G262" t="n">
        <v>3.3</v>
      </c>
      <c r="H262" t="n">
        <v>0</v>
      </c>
      <c r="I262" t="n">
        <v>0</v>
      </c>
      <c r="J262" t="n">
        <v>0</v>
      </c>
      <c r="K262" t="n">
        <v>0</v>
      </c>
      <c r="L262" t="n">
        <v>0</v>
      </c>
      <c r="M262" t="n">
        <v>0</v>
      </c>
      <c r="N262" t="n">
        <v>0</v>
      </c>
      <c r="O262" t="n">
        <v>0</v>
      </c>
      <c r="P262" t="n">
        <v>0</v>
      </c>
      <c r="Q262" t="n">
        <v>0</v>
      </c>
      <c r="R262" s="2" t="inlineStr"/>
    </row>
    <row r="263" ht="15" customHeight="1">
      <c r="A263" t="inlineStr">
        <is>
          <t>A 20549-2025</t>
        </is>
      </c>
      <c r="B263" s="1" t="n">
        <v>45775.63459490741</v>
      </c>
      <c r="C263" s="1" t="n">
        <v>45974</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12478-2025</t>
        </is>
      </c>
      <c r="B264" s="1" t="n">
        <v>45730.57429398148</v>
      </c>
      <c r="C264" s="1" t="n">
        <v>45974</v>
      </c>
      <c r="D264" t="inlineStr">
        <is>
          <t>DALARNAS LÄN</t>
        </is>
      </c>
      <c r="E264" t="inlineStr">
        <is>
          <t>MORA</t>
        </is>
      </c>
      <c r="F264" t="inlineStr">
        <is>
          <t>Bergvik skog öst AB</t>
        </is>
      </c>
      <c r="G264" t="n">
        <v>1.6</v>
      </c>
      <c r="H264" t="n">
        <v>0</v>
      </c>
      <c r="I264" t="n">
        <v>0</v>
      </c>
      <c r="J264" t="n">
        <v>0</v>
      </c>
      <c r="K264" t="n">
        <v>0</v>
      </c>
      <c r="L264" t="n">
        <v>0</v>
      </c>
      <c r="M264" t="n">
        <v>0</v>
      </c>
      <c r="N264" t="n">
        <v>0</v>
      </c>
      <c r="O264" t="n">
        <v>0</v>
      </c>
      <c r="P264" t="n">
        <v>0</v>
      </c>
      <c r="Q264" t="n">
        <v>0</v>
      </c>
      <c r="R264" s="2" t="inlineStr"/>
    </row>
    <row r="265" ht="15" customHeight="1">
      <c r="A265" t="inlineStr">
        <is>
          <t>A 16637-2025</t>
        </is>
      </c>
      <c r="B265" s="1" t="n">
        <v>45754.36738425926</v>
      </c>
      <c r="C265" s="1" t="n">
        <v>45974</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53743-2024</t>
        </is>
      </c>
      <c r="B266" s="1" t="n">
        <v>45615.47137731482</v>
      </c>
      <c r="C266" s="1" t="n">
        <v>45974</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16573-2024</t>
        </is>
      </c>
      <c r="B267" s="1" t="n">
        <v>45408.46980324074</v>
      </c>
      <c r="C267" s="1" t="n">
        <v>45974</v>
      </c>
      <c r="D267" t="inlineStr">
        <is>
          <t>DALARNAS LÄN</t>
        </is>
      </c>
      <c r="E267" t="inlineStr">
        <is>
          <t>MORA</t>
        </is>
      </c>
      <c r="G267" t="n">
        <v>4.5</v>
      </c>
      <c r="H267" t="n">
        <v>0</v>
      </c>
      <c r="I267" t="n">
        <v>0</v>
      </c>
      <c r="J267" t="n">
        <v>0</v>
      </c>
      <c r="K267" t="n">
        <v>0</v>
      </c>
      <c r="L267" t="n">
        <v>0</v>
      </c>
      <c r="M267" t="n">
        <v>0</v>
      </c>
      <c r="N267" t="n">
        <v>0</v>
      </c>
      <c r="O267" t="n">
        <v>0</v>
      </c>
      <c r="P267" t="n">
        <v>0</v>
      </c>
      <c r="Q267" t="n">
        <v>0</v>
      </c>
      <c r="R267" s="2" t="inlineStr"/>
    </row>
    <row r="268" ht="15" customHeight="1">
      <c r="A268" t="inlineStr">
        <is>
          <t>A 18702-2025</t>
        </is>
      </c>
      <c r="B268" s="1" t="n">
        <v>45763.63166666667</v>
      </c>
      <c r="C268" s="1" t="n">
        <v>45974</v>
      </c>
      <c r="D268" t="inlineStr">
        <is>
          <t>DALARNAS LÄN</t>
        </is>
      </c>
      <c r="E268" t="inlineStr">
        <is>
          <t>MORA</t>
        </is>
      </c>
      <c r="G268" t="n">
        <v>3.6</v>
      </c>
      <c r="H268" t="n">
        <v>0</v>
      </c>
      <c r="I268" t="n">
        <v>0</v>
      </c>
      <c r="J268" t="n">
        <v>0</v>
      </c>
      <c r="K268" t="n">
        <v>0</v>
      </c>
      <c r="L268" t="n">
        <v>0</v>
      </c>
      <c r="M268" t="n">
        <v>0</v>
      </c>
      <c r="N268" t="n">
        <v>0</v>
      </c>
      <c r="O268" t="n">
        <v>0</v>
      </c>
      <c r="P268" t="n">
        <v>0</v>
      </c>
      <c r="Q268" t="n">
        <v>0</v>
      </c>
      <c r="R268" s="2" t="inlineStr"/>
    </row>
    <row r="269" ht="15" customHeight="1">
      <c r="A269" t="inlineStr">
        <is>
          <t>A 21894-2025</t>
        </is>
      </c>
      <c r="B269" s="1" t="n">
        <v>45784.45060185185</v>
      </c>
      <c r="C269" s="1" t="n">
        <v>45974</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21890-2025</t>
        </is>
      </c>
      <c r="B270" s="1" t="n">
        <v>45784.44481481481</v>
      </c>
      <c r="C270" s="1" t="n">
        <v>45974</v>
      </c>
      <c r="D270" t="inlineStr">
        <is>
          <t>DALARNAS LÄN</t>
        </is>
      </c>
      <c r="E270" t="inlineStr">
        <is>
          <t>MORA</t>
        </is>
      </c>
      <c r="G270" t="n">
        <v>3.8</v>
      </c>
      <c r="H270" t="n">
        <v>0</v>
      </c>
      <c r="I270" t="n">
        <v>0</v>
      </c>
      <c r="J270" t="n">
        <v>0</v>
      </c>
      <c r="K270" t="n">
        <v>0</v>
      </c>
      <c r="L270" t="n">
        <v>0</v>
      </c>
      <c r="M270" t="n">
        <v>0</v>
      </c>
      <c r="N270" t="n">
        <v>0</v>
      </c>
      <c r="O270" t="n">
        <v>0</v>
      </c>
      <c r="P270" t="n">
        <v>0</v>
      </c>
      <c r="Q270" t="n">
        <v>0</v>
      </c>
      <c r="R270" s="2" t="inlineStr"/>
    </row>
    <row r="271" ht="15" customHeight="1">
      <c r="A271" t="inlineStr">
        <is>
          <t>A 43432-2024</t>
        </is>
      </c>
      <c r="B271" s="1" t="n">
        <v>45568.64337962963</v>
      </c>
      <c r="C271" s="1" t="n">
        <v>45974</v>
      </c>
      <c r="D271" t="inlineStr">
        <is>
          <t>DALARNAS LÄN</t>
        </is>
      </c>
      <c r="E271" t="inlineStr">
        <is>
          <t>MORA</t>
        </is>
      </c>
      <c r="G271" t="n">
        <v>0.4</v>
      </c>
      <c r="H271" t="n">
        <v>0</v>
      </c>
      <c r="I271" t="n">
        <v>0</v>
      </c>
      <c r="J271" t="n">
        <v>0</v>
      </c>
      <c r="K271" t="n">
        <v>0</v>
      </c>
      <c r="L271" t="n">
        <v>0</v>
      </c>
      <c r="M271" t="n">
        <v>0</v>
      </c>
      <c r="N271" t="n">
        <v>0</v>
      </c>
      <c r="O271" t="n">
        <v>0</v>
      </c>
      <c r="P271" t="n">
        <v>0</v>
      </c>
      <c r="Q271" t="n">
        <v>0</v>
      </c>
      <c r="R271" s="2" t="inlineStr"/>
    </row>
    <row r="272" ht="15" customHeight="1">
      <c r="A272" t="inlineStr">
        <is>
          <t>A 21895-2025</t>
        </is>
      </c>
      <c r="B272" s="1" t="n">
        <v>45784.45273148148</v>
      </c>
      <c r="C272" s="1" t="n">
        <v>45974</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48342-2023</t>
        </is>
      </c>
      <c r="B273" s="1" t="n">
        <v>45205</v>
      </c>
      <c r="C273" s="1" t="n">
        <v>45974</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37971-2024</t>
        </is>
      </c>
      <c r="B274" s="1" t="n">
        <v>45544</v>
      </c>
      <c r="C274" s="1" t="n">
        <v>45974</v>
      </c>
      <c r="D274" t="inlineStr">
        <is>
          <t>DALARNAS LÄN</t>
        </is>
      </c>
      <c r="E274" t="inlineStr">
        <is>
          <t>MORA</t>
        </is>
      </c>
      <c r="G274" t="n">
        <v>2.3</v>
      </c>
      <c r="H274" t="n">
        <v>0</v>
      </c>
      <c r="I274" t="n">
        <v>0</v>
      </c>
      <c r="J274" t="n">
        <v>0</v>
      </c>
      <c r="K274" t="n">
        <v>0</v>
      </c>
      <c r="L274" t="n">
        <v>0</v>
      </c>
      <c r="M274" t="n">
        <v>0</v>
      </c>
      <c r="N274" t="n">
        <v>0</v>
      </c>
      <c r="O274" t="n">
        <v>0</v>
      </c>
      <c r="P274" t="n">
        <v>0</v>
      </c>
      <c r="Q274" t="n">
        <v>0</v>
      </c>
      <c r="R274" s="2" t="inlineStr"/>
    </row>
    <row r="275" ht="15" customHeight="1">
      <c r="A275" t="inlineStr">
        <is>
          <t>A 12490-2025</t>
        </is>
      </c>
      <c r="B275" s="1" t="n">
        <v>45730.59239583334</v>
      </c>
      <c r="C275" s="1" t="n">
        <v>45974</v>
      </c>
      <c r="D275" t="inlineStr">
        <is>
          <t>DALARNAS LÄN</t>
        </is>
      </c>
      <c r="E275" t="inlineStr">
        <is>
          <t>MORA</t>
        </is>
      </c>
      <c r="F275" t="inlineStr">
        <is>
          <t>Bergvik skog öst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55671-2024</t>
        </is>
      </c>
      <c r="B276" s="1" t="n">
        <v>45622.65269675926</v>
      </c>
      <c r="C276" s="1" t="n">
        <v>45974</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18806-2025</t>
        </is>
      </c>
      <c r="B277" s="1" t="n">
        <v>45764.35269675926</v>
      </c>
      <c r="C277" s="1" t="n">
        <v>45974</v>
      </c>
      <c r="D277" t="inlineStr">
        <is>
          <t>DALARNAS LÄN</t>
        </is>
      </c>
      <c r="E277" t="inlineStr">
        <is>
          <t>MORA</t>
        </is>
      </c>
      <c r="G277" t="n">
        <v>1.7</v>
      </c>
      <c r="H277" t="n">
        <v>0</v>
      </c>
      <c r="I277" t="n">
        <v>0</v>
      </c>
      <c r="J277" t="n">
        <v>0</v>
      </c>
      <c r="K277" t="n">
        <v>0</v>
      </c>
      <c r="L277" t="n">
        <v>0</v>
      </c>
      <c r="M277" t="n">
        <v>0</v>
      </c>
      <c r="N277" t="n">
        <v>0</v>
      </c>
      <c r="O277" t="n">
        <v>0</v>
      </c>
      <c r="P277" t="n">
        <v>0</v>
      </c>
      <c r="Q277" t="n">
        <v>0</v>
      </c>
      <c r="R277" s="2" t="inlineStr"/>
    </row>
    <row r="278" ht="15" customHeight="1">
      <c r="A278" t="inlineStr">
        <is>
          <t>A 8146-2021</t>
        </is>
      </c>
      <c r="B278" s="1" t="n">
        <v>44244</v>
      </c>
      <c r="C278" s="1" t="n">
        <v>45974</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45349-2024</t>
        </is>
      </c>
      <c r="B279" s="1" t="n">
        <v>45576</v>
      </c>
      <c r="C279" s="1" t="n">
        <v>45974</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54628-2024</t>
        </is>
      </c>
      <c r="B280" s="1" t="n">
        <v>45617.83969907407</v>
      </c>
      <c r="C280" s="1" t="n">
        <v>45974</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69483-2021</t>
        </is>
      </c>
      <c r="B281" s="1" t="n">
        <v>44531</v>
      </c>
      <c r="C281" s="1" t="n">
        <v>45974</v>
      </c>
      <c r="D281" t="inlineStr">
        <is>
          <t>DALARNAS LÄN</t>
        </is>
      </c>
      <c r="E281" t="inlineStr">
        <is>
          <t>MORA</t>
        </is>
      </c>
      <c r="G281" t="n">
        <v>1.5</v>
      </c>
      <c r="H281" t="n">
        <v>0</v>
      </c>
      <c r="I281" t="n">
        <v>0</v>
      </c>
      <c r="J281" t="n">
        <v>0</v>
      </c>
      <c r="K281" t="n">
        <v>0</v>
      </c>
      <c r="L281" t="n">
        <v>0</v>
      </c>
      <c r="M281" t="n">
        <v>0</v>
      </c>
      <c r="N281" t="n">
        <v>0</v>
      </c>
      <c r="O281" t="n">
        <v>0</v>
      </c>
      <c r="P281" t="n">
        <v>0</v>
      </c>
      <c r="Q281" t="n">
        <v>0</v>
      </c>
      <c r="R281" s="2" t="inlineStr"/>
    </row>
    <row r="282" ht="15" customHeight="1">
      <c r="A282" t="inlineStr">
        <is>
          <t>A 22354-2025</t>
        </is>
      </c>
      <c r="B282" s="1" t="n">
        <v>45786.45721064815</v>
      </c>
      <c r="C282" s="1" t="n">
        <v>45974</v>
      </c>
      <c r="D282" t="inlineStr">
        <is>
          <t>DALARNAS LÄN</t>
        </is>
      </c>
      <c r="E282" t="inlineStr">
        <is>
          <t>MORA</t>
        </is>
      </c>
      <c r="F282" t="inlineStr">
        <is>
          <t>Bergvik skog öst AB</t>
        </is>
      </c>
      <c r="G282" t="n">
        <v>2</v>
      </c>
      <c r="H282" t="n">
        <v>0</v>
      </c>
      <c r="I282" t="n">
        <v>0</v>
      </c>
      <c r="J282" t="n">
        <v>0</v>
      </c>
      <c r="K282" t="n">
        <v>0</v>
      </c>
      <c r="L282" t="n">
        <v>0</v>
      </c>
      <c r="M282" t="n">
        <v>0</v>
      </c>
      <c r="N282" t="n">
        <v>0</v>
      </c>
      <c r="O282" t="n">
        <v>0</v>
      </c>
      <c r="P282" t="n">
        <v>0</v>
      </c>
      <c r="Q282" t="n">
        <v>0</v>
      </c>
      <c r="R282" s="2" t="inlineStr"/>
    </row>
    <row r="283" ht="15" customHeight="1">
      <c r="A283" t="inlineStr">
        <is>
          <t>A 22409-2025</t>
        </is>
      </c>
      <c r="B283" s="1" t="n">
        <v>45786.54940972223</v>
      </c>
      <c r="C283" s="1" t="n">
        <v>45974</v>
      </c>
      <c r="D283" t="inlineStr">
        <is>
          <t>DALARNAS LÄN</t>
        </is>
      </c>
      <c r="E283" t="inlineStr">
        <is>
          <t>MORA</t>
        </is>
      </c>
      <c r="F283" t="inlineStr">
        <is>
          <t>Bergvik skog öst AB</t>
        </is>
      </c>
      <c r="G283" t="n">
        <v>5</v>
      </c>
      <c r="H283" t="n">
        <v>0</v>
      </c>
      <c r="I283" t="n">
        <v>0</v>
      </c>
      <c r="J283" t="n">
        <v>0</v>
      </c>
      <c r="K283" t="n">
        <v>0</v>
      </c>
      <c r="L283" t="n">
        <v>0</v>
      </c>
      <c r="M283" t="n">
        <v>0</v>
      </c>
      <c r="N283" t="n">
        <v>0</v>
      </c>
      <c r="O283" t="n">
        <v>0</v>
      </c>
      <c r="P283" t="n">
        <v>0</v>
      </c>
      <c r="Q283" t="n">
        <v>0</v>
      </c>
      <c r="R283" s="2" t="inlineStr"/>
    </row>
    <row r="284" ht="15" customHeight="1">
      <c r="A284" t="inlineStr">
        <is>
          <t>A 59448-2022</t>
        </is>
      </c>
      <c r="B284" s="1" t="n">
        <v>44907</v>
      </c>
      <c r="C284" s="1" t="n">
        <v>45974</v>
      </c>
      <c r="D284" t="inlineStr">
        <is>
          <t>DALARNAS LÄN</t>
        </is>
      </c>
      <c r="E284" t="inlineStr">
        <is>
          <t>MORA</t>
        </is>
      </c>
      <c r="G284" t="n">
        <v>35.7</v>
      </c>
      <c r="H284" t="n">
        <v>0</v>
      </c>
      <c r="I284" t="n">
        <v>0</v>
      </c>
      <c r="J284" t="n">
        <v>0</v>
      </c>
      <c r="K284" t="n">
        <v>0</v>
      </c>
      <c r="L284" t="n">
        <v>0</v>
      </c>
      <c r="M284" t="n">
        <v>0</v>
      </c>
      <c r="N284" t="n">
        <v>0</v>
      </c>
      <c r="O284" t="n">
        <v>0</v>
      </c>
      <c r="P284" t="n">
        <v>0</v>
      </c>
      <c r="Q284" t="n">
        <v>0</v>
      </c>
      <c r="R284" s="2" t="inlineStr"/>
    </row>
    <row r="285" ht="15" customHeight="1">
      <c r="A285" t="inlineStr">
        <is>
          <t>A 57319-2023</t>
        </is>
      </c>
      <c r="B285" s="1" t="n">
        <v>45245.64877314815</v>
      </c>
      <c r="C285" s="1" t="n">
        <v>45974</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17494-2025</t>
        </is>
      </c>
      <c r="B286" s="1" t="n">
        <v>45757.52033564815</v>
      </c>
      <c r="C286" s="1" t="n">
        <v>45974</v>
      </c>
      <c r="D286" t="inlineStr">
        <is>
          <t>DALARNAS LÄN</t>
        </is>
      </c>
      <c r="E286" t="inlineStr">
        <is>
          <t>MORA</t>
        </is>
      </c>
      <c r="G286" t="n">
        <v>5.3</v>
      </c>
      <c r="H286" t="n">
        <v>0</v>
      </c>
      <c r="I286" t="n">
        <v>0</v>
      </c>
      <c r="J286" t="n">
        <v>0</v>
      </c>
      <c r="K286" t="n">
        <v>0</v>
      </c>
      <c r="L286" t="n">
        <v>0</v>
      </c>
      <c r="M286" t="n">
        <v>0</v>
      </c>
      <c r="N286" t="n">
        <v>0</v>
      </c>
      <c r="O286" t="n">
        <v>0</v>
      </c>
      <c r="P286" t="n">
        <v>0</v>
      </c>
      <c r="Q286" t="n">
        <v>0</v>
      </c>
      <c r="R286" s="2" t="inlineStr"/>
    </row>
    <row r="287" ht="15" customHeight="1">
      <c r="A287" t="inlineStr">
        <is>
          <t>A 43498-2023</t>
        </is>
      </c>
      <c r="B287" s="1" t="n">
        <v>45184</v>
      </c>
      <c r="C287" s="1" t="n">
        <v>45974</v>
      </c>
      <c r="D287" t="inlineStr">
        <is>
          <t>DALARNAS LÄN</t>
        </is>
      </c>
      <c r="E287" t="inlineStr">
        <is>
          <t>MORA</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32261-2022</t>
        </is>
      </c>
      <c r="B288" s="1" t="n">
        <v>44781.5350925926</v>
      </c>
      <c r="C288" s="1" t="n">
        <v>45974</v>
      </c>
      <c r="D288" t="inlineStr">
        <is>
          <t>DALARNAS LÄN</t>
        </is>
      </c>
      <c r="E288" t="inlineStr">
        <is>
          <t>MORA</t>
        </is>
      </c>
      <c r="G288" t="n">
        <v>2.7</v>
      </c>
      <c r="H288" t="n">
        <v>0</v>
      </c>
      <c r="I288" t="n">
        <v>0</v>
      </c>
      <c r="J288" t="n">
        <v>0</v>
      </c>
      <c r="K288" t="n">
        <v>0</v>
      </c>
      <c r="L288" t="n">
        <v>0</v>
      </c>
      <c r="M288" t="n">
        <v>0</v>
      </c>
      <c r="N288" t="n">
        <v>0</v>
      </c>
      <c r="O288" t="n">
        <v>0</v>
      </c>
      <c r="P288" t="n">
        <v>0</v>
      </c>
      <c r="Q288" t="n">
        <v>0</v>
      </c>
      <c r="R288" s="2" t="inlineStr"/>
    </row>
    <row r="289" ht="15" customHeight="1">
      <c r="A289" t="inlineStr">
        <is>
          <t>A 23368-2025</t>
        </is>
      </c>
      <c r="B289" s="1" t="n">
        <v>45791.70299768518</v>
      </c>
      <c r="C289" s="1" t="n">
        <v>45974</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30998-2022</t>
        </is>
      </c>
      <c r="B290" s="1" t="n">
        <v>44768</v>
      </c>
      <c r="C290" s="1" t="n">
        <v>45974</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35381-2024</t>
        </is>
      </c>
      <c r="B291" s="1" t="n">
        <v>45531.38372685185</v>
      </c>
      <c r="C291" s="1" t="n">
        <v>45974</v>
      </c>
      <c r="D291" t="inlineStr">
        <is>
          <t>DALARNAS LÄN</t>
        </is>
      </c>
      <c r="E291" t="inlineStr">
        <is>
          <t>MORA</t>
        </is>
      </c>
      <c r="G291" t="n">
        <v>3.7</v>
      </c>
      <c r="H291" t="n">
        <v>0</v>
      </c>
      <c r="I291" t="n">
        <v>0</v>
      </c>
      <c r="J291" t="n">
        <v>0</v>
      </c>
      <c r="K291" t="n">
        <v>0</v>
      </c>
      <c r="L291" t="n">
        <v>0</v>
      </c>
      <c r="M291" t="n">
        <v>0</v>
      </c>
      <c r="N291" t="n">
        <v>0</v>
      </c>
      <c r="O291" t="n">
        <v>0</v>
      </c>
      <c r="P291" t="n">
        <v>0</v>
      </c>
      <c r="Q291" t="n">
        <v>0</v>
      </c>
      <c r="R291" s="2" t="inlineStr"/>
    </row>
    <row r="292" ht="15" customHeight="1">
      <c r="A292" t="inlineStr">
        <is>
          <t>A 47143-2022</t>
        </is>
      </c>
      <c r="B292" s="1" t="n">
        <v>44852</v>
      </c>
      <c r="C292" s="1" t="n">
        <v>45974</v>
      </c>
      <c r="D292" t="inlineStr">
        <is>
          <t>DALARNAS LÄN</t>
        </is>
      </c>
      <c r="E292" t="inlineStr">
        <is>
          <t>MORA</t>
        </is>
      </c>
      <c r="G292" t="n">
        <v>3.9</v>
      </c>
      <c r="H292" t="n">
        <v>0</v>
      </c>
      <c r="I292" t="n">
        <v>0</v>
      </c>
      <c r="J292" t="n">
        <v>0</v>
      </c>
      <c r="K292" t="n">
        <v>0</v>
      </c>
      <c r="L292" t="n">
        <v>0</v>
      </c>
      <c r="M292" t="n">
        <v>0</v>
      </c>
      <c r="N292" t="n">
        <v>0</v>
      </c>
      <c r="O292" t="n">
        <v>0</v>
      </c>
      <c r="P292" t="n">
        <v>0</v>
      </c>
      <c r="Q292" t="n">
        <v>0</v>
      </c>
      <c r="R292" s="2" t="inlineStr"/>
    </row>
    <row r="293" ht="15" customHeight="1">
      <c r="A293" t="inlineStr">
        <is>
          <t>A 13479-2024</t>
        </is>
      </c>
      <c r="B293" s="1" t="n">
        <v>45387.5900925926</v>
      </c>
      <c r="C293" s="1" t="n">
        <v>45974</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56935-2024</t>
        </is>
      </c>
      <c r="B294" s="1" t="n">
        <v>45625</v>
      </c>
      <c r="C294" s="1" t="n">
        <v>45974</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56927-2024</t>
        </is>
      </c>
      <c r="B295" s="1" t="n">
        <v>45625</v>
      </c>
      <c r="C295" s="1" t="n">
        <v>45974</v>
      </c>
      <c r="D295" t="inlineStr">
        <is>
          <t>DALARNAS LÄN</t>
        </is>
      </c>
      <c r="E295" t="inlineStr">
        <is>
          <t>MORA</t>
        </is>
      </c>
      <c r="G295" t="n">
        <v>2.8</v>
      </c>
      <c r="H295" t="n">
        <v>0</v>
      </c>
      <c r="I295" t="n">
        <v>0</v>
      </c>
      <c r="J295" t="n">
        <v>0</v>
      </c>
      <c r="K295" t="n">
        <v>0</v>
      </c>
      <c r="L295" t="n">
        <v>0</v>
      </c>
      <c r="M295" t="n">
        <v>0</v>
      </c>
      <c r="N295" t="n">
        <v>0</v>
      </c>
      <c r="O295" t="n">
        <v>0</v>
      </c>
      <c r="P295" t="n">
        <v>0</v>
      </c>
      <c r="Q295" t="n">
        <v>0</v>
      </c>
      <c r="R295" s="2" t="inlineStr"/>
    </row>
    <row r="296" ht="15" customHeight="1">
      <c r="A296" t="inlineStr">
        <is>
          <t>A 22185-2025</t>
        </is>
      </c>
      <c r="B296" s="1" t="n">
        <v>45785</v>
      </c>
      <c r="C296" s="1" t="n">
        <v>45974</v>
      </c>
      <c r="D296" t="inlineStr">
        <is>
          <t>DALARNAS LÄN</t>
        </is>
      </c>
      <c r="E296" t="inlineStr">
        <is>
          <t>MORA</t>
        </is>
      </c>
      <c r="G296" t="n">
        <v>2.4</v>
      </c>
      <c r="H296" t="n">
        <v>0</v>
      </c>
      <c r="I296" t="n">
        <v>0</v>
      </c>
      <c r="J296" t="n">
        <v>0</v>
      </c>
      <c r="K296" t="n">
        <v>0</v>
      </c>
      <c r="L296" t="n">
        <v>0</v>
      </c>
      <c r="M296" t="n">
        <v>0</v>
      </c>
      <c r="N296" t="n">
        <v>0</v>
      </c>
      <c r="O296" t="n">
        <v>0</v>
      </c>
      <c r="P296" t="n">
        <v>0</v>
      </c>
      <c r="Q296" t="n">
        <v>0</v>
      </c>
      <c r="R296" s="2" t="inlineStr"/>
    </row>
    <row r="297" ht="15" customHeight="1">
      <c r="A297" t="inlineStr">
        <is>
          <t>A 59404-2024</t>
        </is>
      </c>
      <c r="B297" s="1" t="n">
        <v>45638</v>
      </c>
      <c r="C297" s="1" t="n">
        <v>45974</v>
      </c>
      <c r="D297" t="inlineStr">
        <is>
          <t>DALARNAS LÄN</t>
        </is>
      </c>
      <c r="E297" t="inlineStr">
        <is>
          <t>MORA</t>
        </is>
      </c>
      <c r="G297" t="n">
        <v>2.6</v>
      </c>
      <c r="H297" t="n">
        <v>0</v>
      </c>
      <c r="I297" t="n">
        <v>0</v>
      </c>
      <c r="J297" t="n">
        <v>0</v>
      </c>
      <c r="K297" t="n">
        <v>0</v>
      </c>
      <c r="L297" t="n">
        <v>0</v>
      </c>
      <c r="M297" t="n">
        <v>0</v>
      </c>
      <c r="N297" t="n">
        <v>0</v>
      </c>
      <c r="O297" t="n">
        <v>0</v>
      </c>
      <c r="P297" t="n">
        <v>0</v>
      </c>
      <c r="Q297" t="n">
        <v>0</v>
      </c>
      <c r="R297" s="2" t="inlineStr"/>
    </row>
    <row r="298" ht="15" customHeight="1">
      <c r="A298" t="inlineStr">
        <is>
          <t>A 50911-2024</t>
        </is>
      </c>
      <c r="B298" s="1" t="n">
        <v>45602.7022337963</v>
      </c>
      <c r="C298" s="1" t="n">
        <v>45974</v>
      </c>
      <c r="D298" t="inlineStr">
        <is>
          <t>DALARNAS LÄN</t>
        </is>
      </c>
      <c r="E298" t="inlineStr">
        <is>
          <t>MORA</t>
        </is>
      </c>
      <c r="G298" t="n">
        <v>1.7</v>
      </c>
      <c r="H298" t="n">
        <v>0</v>
      </c>
      <c r="I298" t="n">
        <v>0</v>
      </c>
      <c r="J298" t="n">
        <v>0</v>
      </c>
      <c r="K298" t="n">
        <v>0</v>
      </c>
      <c r="L298" t="n">
        <v>0</v>
      </c>
      <c r="M298" t="n">
        <v>0</v>
      </c>
      <c r="N298" t="n">
        <v>0</v>
      </c>
      <c r="O298" t="n">
        <v>0</v>
      </c>
      <c r="P298" t="n">
        <v>0</v>
      </c>
      <c r="Q298" t="n">
        <v>0</v>
      </c>
      <c r="R298" s="2" t="inlineStr"/>
    </row>
    <row r="299" ht="15" customHeight="1">
      <c r="A299" t="inlineStr">
        <is>
          <t>A 15440-2024</t>
        </is>
      </c>
      <c r="B299" s="1" t="n">
        <v>45401.4194212963</v>
      </c>
      <c r="C299" s="1" t="n">
        <v>45974</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11193-2025</t>
        </is>
      </c>
      <c r="B300" s="1" t="n">
        <v>45725</v>
      </c>
      <c r="C300" s="1" t="n">
        <v>45974</v>
      </c>
      <c r="D300" t="inlineStr">
        <is>
          <t>DALARNAS LÄN</t>
        </is>
      </c>
      <c r="E300" t="inlineStr">
        <is>
          <t>MORA</t>
        </is>
      </c>
      <c r="G300" t="n">
        <v>4.1</v>
      </c>
      <c r="H300" t="n">
        <v>0</v>
      </c>
      <c r="I300" t="n">
        <v>0</v>
      </c>
      <c r="J300" t="n">
        <v>0</v>
      </c>
      <c r="K300" t="n">
        <v>0</v>
      </c>
      <c r="L300" t="n">
        <v>0</v>
      </c>
      <c r="M300" t="n">
        <v>0</v>
      </c>
      <c r="N300" t="n">
        <v>0</v>
      </c>
      <c r="O300" t="n">
        <v>0</v>
      </c>
      <c r="P300" t="n">
        <v>0</v>
      </c>
      <c r="Q300" t="n">
        <v>0</v>
      </c>
      <c r="R300" s="2" t="inlineStr"/>
    </row>
    <row r="301" ht="15" customHeight="1">
      <c r="A301" t="inlineStr">
        <is>
          <t>A 55691-2023</t>
        </is>
      </c>
      <c r="B301" s="1" t="n">
        <v>45239.36509259259</v>
      </c>
      <c r="C301" s="1" t="n">
        <v>45974</v>
      </c>
      <c r="D301" t="inlineStr">
        <is>
          <t>DALARNAS LÄN</t>
        </is>
      </c>
      <c r="E301" t="inlineStr">
        <is>
          <t>MORA</t>
        </is>
      </c>
      <c r="G301" t="n">
        <v>2.2</v>
      </c>
      <c r="H301" t="n">
        <v>0</v>
      </c>
      <c r="I301" t="n">
        <v>0</v>
      </c>
      <c r="J301" t="n">
        <v>0</v>
      </c>
      <c r="K301" t="n">
        <v>0</v>
      </c>
      <c r="L301" t="n">
        <v>0</v>
      </c>
      <c r="M301" t="n">
        <v>0</v>
      </c>
      <c r="N301" t="n">
        <v>0</v>
      </c>
      <c r="O301" t="n">
        <v>0</v>
      </c>
      <c r="P301" t="n">
        <v>0</v>
      </c>
      <c r="Q301" t="n">
        <v>0</v>
      </c>
      <c r="R301" s="2" t="inlineStr"/>
    </row>
    <row r="302" ht="15" customHeight="1">
      <c r="A302" t="inlineStr">
        <is>
          <t>A 56900-2024</t>
        </is>
      </c>
      <c r="B302" s="1" t="n">
        <v>45625</v>
      </c>
      <c r="C302" s="1" t="n">
        <v>45974</v>
      </c>
      <c r="D302" t="inlineStr">
        <is>
          <t>DALARNAS LÄN</t>
        </is>
      </c>
      <c r="E302" t="inlineStr">
        <is>
          <t>MORA</t>
        </is>
      </c>
      <c r="G302" t="n">
        <v>2.7</v>
      </c>
      <c r="H302" t="n">
        <v>0</v>
      </c>
      <c r="I302" t="n">
        <v>0</v>
      </c>
      <c r="J302" t="n">
        <v>0</v>
      </c>
      <c r="K302" t="n">
        <v>0</v>
      </c>
      <c r="L302" t="n">
        <v>0</v>
      </c>
      <c r="M302" t="n">
        <v>0</v>
      </c>
      <c r="N302" t="n">
        <v>0</v>
      </c>
      <c r="O302" t="n">
        <v>0</v>
      </c>
      <c r="P302" t="n">
        <v>0</v>
      </c>
      <c r="Q302" t="n">
        <v>0</v>
      </c>
      <c r="R302" s="2" t="inlineStr"/>
    </row>
    <row r="303" ht="15" customHeight="1">
      <c r="A303" t="inlineStr">
        <is>
          <t>A 20299-2023</t>
        </is>
      </c>
      <c r="B303" s="1" t="n">
        <v>45056</v>
      </c>
      <c r="C303" s="1" t="n">
        <v>45974</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49991-2023</t>
        </is>
      </c>
      <c r="B304" s="1" t="n">
        <v>45215.43879629629</v>
      </c>
      <c r="C304" s="1" t="n">
        <v>45974</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28131-2024</t>
        </is>
      </c>
      <c r="B305" s="1" t="n">
        <v>45476.68435185185</v>
      </c>
      <c r="C305" s="1" t="n">
        <v>45974</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28132-2024</t>
        </is>
      </c>
      <c r="B306" s="1" t="n">
        <v>45476.68616898148</v>
      </c>
      <c r="C306" s="1" t="n">
        <v>45974</v>
      </c>
      <c r="D306" t="inlineStr">
        <is>
          <t>DALARNAS LÄN</t>
        </is>
      </c>
      <c r="E306" t="inlineStr">
        <is>
          <t>MORA</t>
        </is>
      </c>
      <c r="G306" t="n">
        <v>0.2</v>
      </c>
      <c r="H306" t="n">
        <v>0</v>
      </c>
      <c r="I306" t="n">
        <v>0</v>
      </c>
      <c r="J306" t="n">
        <v>0</v>
      </c>
      <c r="K306" t="n">
        <v>0</v>
      </c>
      <c r="L306" t="n">
        <v>0</v>
      </c>
      <c r="M306" t="n">
        <v>0</v>
      </c>
      <c r="N306" t="n">
        <v>0</v>
      </c>
      <c r="O306" t="n">
        <v>0</v>
      </c>
      <c r="P306" t="n">
        <v>0</v>
      </c>
      <c r="Q306" t="n">
        <v>0</v>
      </c>
      <c r="R306" s="2" t="inlineStr"/>
    </row>
    <row r="307" ht="15" customHeight="1">
      <c r="A307" t="inlineStr">
        <is>
          <t>A 57475-2022</t>
        </is>
      </c>
      <c r="B307" s="1" t="n">
        <v>44896</v>
      </c>
      <c r="C307" s="1" t="n">
        <v>45974</v>
      </c>
      <c r="D307" t="inlineStr">
        <is>
          <t>DALARNAS LÄN</t>
        </is>
      </c>
      <c r="E307" t="inlineStr">
        <is>
          <t>MORA</t>
        </is>
      </c>
      <c r="G307" t="n">
        <v>5.7</v>
      </c>
      <c r="H307" t="n">
        <v>0</v>
      </c>
      <c r="I307" t="n">
        <v>0</v>
      </c>
      <c r="J307" t="n">
        <v>0</v>
      </c>
      <c r="K307" t="n">
        <v>0</v>
      </c>
      <c r="L307" t="n">
        <v>0</v>
      </c>
      <c r="M307" t="n">
        <v>0</v>
      </c>
      <c r="N307" t="n">
        <v>0</v>
      </c>
      <c r="O307" t="n">
        <v>0</v>
      </c>
      <c r="P307" t="n">
        <v>0</v>
      </c>
      <c r="Q307" t="n">
        <v>0</v>
      </c>
      <c r="R307" s="2" t="inlineStr"/>
    </row>
    <row r="308" ht="15" customHeight="1">
      <c r="A308" t="inlineStr">
        <is>
          <t>A 23354-2022</t>
        </is>
      </c>
      <c r="B308" s="1" t="n">
        <v>44720</v>
      </c>
      <c r="C308" s="1" t="n">
        <v>45974</v>
      </c>
      <c r="D308" t="inlineStr">
        <is>
          <t>DALARNAS LÄN</t>
        </is>
      </c>
      <c r="E308" t="inlineStr">
        <is>
          <t>MORA</t>
        </is>
      </c>
      <c r="G308" t="n">
        <v>5.2</v>
      </c>
      <c r="H308" t="n">
        <v>0</v>
      </c>
      <c r="I308" t="n">
        <v>0</v>
      </c>
      <c r="J308" t="n">
        <v>0</v>
      </c>
      <c r="K308" t="n">
        <v>0</v>
      </c>
      <c r="L308" t="n">
        <v>0</v>
      </c>
      <c r="M308" t="n">
        <v>0</v>
      </c>
      <c r="N308" t="n">
        <v>0</v>
      </c>
      <c r="O308" t="n">
        <v>0</v>
      </c>
      <c r="P308" t="n">
        <v>0</v>
      </c>
      <c r="Q308" t="n">
        <v>0</v>
      </c>
      <c r="R308" s="2" t="inlineStr"/>
    </row>
    <row r="309" ht="15" customHeight="1">
      <c r="A309" t="inlineStr">
        <is>
          <t>A 28487-2024</t>
        </is>
      </c>
      <c r="B309" s="1" t="n">
        <v>45477.75744212963</v>
      </c>
      <c r="C309" s="1" t="n">
        <v>45974</v>
      </c>
      <c r="D309" t="inlineStr">
        <is>
          <t>DALARNAS LÄN</t>
        </is>
      </c>
      <c r="E309" t="inlineStr">
        <is>
          <t>MORA</t>
        </is>
      </c>
      <c r="G309" t="n">
        <v>3.1</v>
      </c>
      <c r="H309" t="n">
        <v>0</v>
      </c>
      <c r="I309" t="n">
        <v>0</v>
      </c>
      <c r="J309" t="n">
        <v>0</v>
      </c>
      <c r="K309" t="n">
        <v>0</v>
      </c>
      <c r="L309" t="n">
        <v>0</v>
      </c>
      <c r="M309" t="n">
        <v>0</v>
      </c>
      <c r="N309" t="n">
        <v>0</v>
      </c>
      <c r="O309" t="n">
        <v>0</v>
      </c>
      <c r="P309" t="n">
        <v>0</v>
      </c>
      <c r="Q309" t="n">
        <v>0</v>
      </c>
      <c r="R309" s="2" t="inlineStr"/>
    </row>
    <row r="310" ht="15" customHeight="1">
      <c r="A310" t="inlineStr">
        <is>
          <t>A 23586-2023</t>
        </is>
      </c>
      <c r="B310" s="1" t="n">
        <v>45077</v>
      </c>
      <c r="C310" s="1" t="n">
        <v>45974</v>
      </c>
      <c r="D310" t="inlineStr">
        <is>
          <t>DALARNAS LÄN</t>
        </is>
      </c>
      <c r="E310" t="inlineStr">
        <is>
          <t>MORA</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54192-2023</t>
        </is>
      </c>
      <c r="B311" s="1" t="n">
        <v>45232.53052083333</v>
      </c>
      <c r="C311" s="1" t="n">
        <v>45974</v>
      </c>
      <c r="D311" t="inlineStr">
        <is>
          <t>DALARNAS LÄN</t>
        </is>
      </c>
      <c r="E311" t="inlineStr">
        <is>
          <t>MORA</t>
        </is>
      </c>
      <c r="G311" t="n">
        <v>3.4</v>
      </c>
      <c r="H311" t="n">
        <v>0</v>
      </c>
      <c r="I311" t="n">
        <v>0</v>
      </c>
      <c r="J311" t="n">
        <v>0</v>
      </c>
      <c r="K311" t="n">
        <v>0</v>
      </c>
      <c r="L311" t="n">
        <v>0</v>
      </c>
      <c r="M311" t="n">
        <v>0</v>
      </c>
      <c r="N311" t="n">
        <v>0</v>
      </c>
      <c r="O311" t="n">
        <v>0</v>
      </c>
      <c r="P311" t="n">
        <v>0</v>
      </c>
      <c r="Q311" t="n">
        <v>0</v>
      </c>
      <c r="R311" s="2" t="inlineStr"/>
    </row>
    <row r="312" ht="15" customHeight="1">
      <c r="A312" t="inlineStr">
        <is>
          <t>A 35363-2024</t>
        </is>
      </c>
      <c r="B312" s="1" t="n">
        <v>45531.34050925926</v>
      </c>
      <c r="C312" s="1" t="n">
        <v>45974</v>
      </c>
      <c r="D312" t="inlineStr">
        <is>
          <t>DALARNAS LÄN</t>
        </is>
      </c>
      <c r="E312" t="inlineStr">
        <is>
          <t>MORA</t>
        </is>
      </c>
      <c r="G312" t="n">
        <v>2.5</v>
      </c>
      <c r="H312" t="n">
        <v>0</v>
      </c>
      <c r="I312" t="n">
        <v>0</v>
      </c>
      <c r="J312" t="n">
        <v>0</v>
      </c>
      <c r="K312" t="n">
        <v>0</v>
      </c>
      <c r="L312" t="n">
        <v>0</v>
      </c>
      <c r="M312" t="n">
        <v>0</v>
      </c>
      <c r="N312" t="n">
        <v>0</v>
      </c>
      <c r="O312" t="n">
        <v>0</v>
      </c>
      <c r="P312" t="n">
        <v>0</v>
      </c>
      <c r="Q312" t="n">
        <v>0</v>
      </c>
      <c r="R312" s="2" t="inlineStr"/>
    </row>
    <row r="313" ht="15" customHeight="1">
      <c r="A313" t="inlineStr">
        <is>
          <t>A 23229-2025</t>
        </is>
      </c>
      <c r="B313" s="1" t="n">
        <v>45791</v>
      </c>
      <c r="C313" s="1" t="n">
        <v>45974</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12987-2024</t>
        </is>
      </c>
      <c r="B314" s="1" t="n">
        <v>45385.55375</v>
      </c>
      <c r="C314" s="1" t="n">
        <v>45974</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44307-2021</t>
        </is>
      </c>
      <c r="B315" s="1" t="n">
        <v>44435</v>
      </c>
      <c r="C315" s="1" t="n">
        <v>45974</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62854-2023</t>
        </is>
      </c>
      <c r="B316" s="1" t="n">
        <v>45272</v>
      </c>
      <c r="C316" s="1" t="n">
        <v>45974</v>
      </c>
      <c r="D316" t="inlineStr">
        <is>
          <t>DALARNAS LÄN</t>
        </is>
      </c>
      <c r="E316" t="inlineStr">
        <is>
          <t>MORA</t>
        </is>
      </c>
      <c r="G316" t="n">
        <v>11.3</v>
      </c>
      <c r="H316" t="n">
        <v>0</v>
      </c>
      <c r="I316" t="n">
        <v>0</v>
      </c>
      <c r="J316" t="n">
        <v>0</v>
      </c>
      <c r="K316" t="n">
        <v>0</v>
      </c>
      <c r="L316" t="n">
        <v>0</v>
      </c>
      <c r="M316" t="n">
        <v>0</v>
      </c>
      <c r="N316" t="n">
        <v>0</v>
      </c>
      <c r="O316" t="n">
        <v>0</v>
      </c>
      <c r="P316" t="n">
        <v>0</v>
      </c>
      <c r="Q316" t="n">
        <v>0</v>
      </c>
      <c r="R316" s="2" t="inlineStr"/>
    </row>
    <row r="317" ht="15" customHeight="1">
      <c r="A317" t="inlineStr">
        <is>
          <t>A 24127-2025</t>
        </is>
      </c>
      <c r="B317" s="1" t="n">
        <v>45796.63137731481</v>
      </c>
      <c r="C317" s="1" t="n">
        <v>45974</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48170-2024</t>
        </is>
      </c>
      <c r="B318" s="1" t="n">
        <v>45589.76975694444</v>
      </c>
      <c r="C318" s="1" t="n">
        <v>45974</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58892-2023</t>
        </is>
      </c>
      <c r="B319" s="1" t="n">
        <v>45252.48592592592</v>
      </c>
      <c r="C319" s="1" t="n">
        <v>45974</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24249-2025</t>
        </is>
      </c>
      <c r="B320" s="1" t="n">
        <v>45797.40260416667</v>
      </c>
      <c r="C320" s="1" t="n">
        <v>45974</v>
      </c>
      <c r="D320" t="inlineStr">
        <is>
          <t>DALARNAS LÄN</t>
        </is>
      </c>
      <c r="E320" t="inlineStr">
        <is>
          <t>MORA</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34923-2022</t>
        </is>
      </c>
      <c r="B321" s="1" t="n">
        <v>44796</v>
      </c>
      <c r="C321" s="1" t="n">
        <v>45974</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27975-2023</t>
        </is>
      </c>
      <c r="B322" s="1" t="n">
        <v>45098</v>
      </c>
      <c r="C322" s="1" t="n">
        <v>45974</v>
      </c>
      <c r="D322" t="inlineStr">
        <is>
          <t>DALARNAS LÄN</t>
        </is>
      </c>
      <c r="E322" t="inlineStr">
        <is>
          <t>MORA</t>
        </is>
      </c>
      <c r="G322" t="n">
        <v>1.1</v>
      </c>
      <c r="H322" t="n">
        <v>0</v>
      </c>
      <c r="I322" t="n">
        <v>0</v>
      </c>
      <c r="J322" t="n">
        <v>0</v>
      </c>
      <c r="K322" t="n">
        <v>0</v>
      </c>
      <c r="L322" t="n">
        <v>0</v>
      </c>
      <c r="M322" t="n">
        <v>0</v>
      </c>
      <c r="N322" t="n">
        <v>0</v>
      </c>
      <c r="O322" t="n">
        <v>0</v>
      </c>
      <c r="P322" t="n">
        <v>0</v>
      </c>
      <c r="Q322" t="n">
        <v>0</v>
      </c>
      <c r="R322" s="2" t="inlineStr"/>
    </row>
    <row r="323" ht="15" customHeight="1">
      <c r="A323" t="inlineStr">
        <is>
          <t>A 55222-2023</t>
        </is>
      </c>
      <c r="B323" s="1" t="n">
        <v>45237.60775462963</v>
      </c>
      <c r="C323" s="1" t="n">
        <v>45974</v>
      </c>
      <c r="D323" t="inlineStr">
        <is>
          <t>DALARNAS LÄN</t>
        </is>
      </c>
      <c r="E323" t="inlineStr">
        <is>
          <t>MORA</t>
        </is>
      </c>
      <c r="F323" t="inlineStr">
        <is>
          <t>Allmännings- och besparingsskogar</t>
        </is>
      </c>
      <c r="G323" t="n">
        <v>19.8</v>
      </c>
      <c r="H323" t="n">
        <v>0</v>
      </c>
      <c r="I323" t="n">
        <v>0</v>
      </c>
      <c r="J323" t="n">
        <v>0</v>
      </c>
      <c r="K323" t="n">
        <v>0</v>
      </c>
      <c r="L323" t="n">
        <v>0</v>
      </c>
      <c r="M323" t="n">
        <v>0</v>
      </c>
      <c r="N323" t="n">
        <v>0</v>
      </c>
      <c r="O323" t="n">
        <v>0</v>
      </c>
      <c r="P323" t="n">
        <v>0</v>
      </c>
      <c r="Q323" t="n">
        <v>0</v>
      </c>
      <c r="R323" s="2" t="inlineStr"/>
    </row>
    <row r="324" ht="15" customHeight="1">
      <c r="A324" t="inlineStr">
        <is>
          <t>A 24772-2024</t>
        </is>
      </c>
      <c r="B324" s="1" t="n">
        <v>45460.70204861111</v>
      </c>
      <c r="C324" s="1" t="n">
        <v>45974</v>
      </c>
      <c r="D324" t="inlineStr">
        <is>
          <t>DALARNAS LÄN</t>
        </is>
      </c>
      <c r="E324" t="inlineStr">
        <is>
          <t>MORA</t>
        </is>
      </c>
      <c r="G324" t="n">
        <v>0.9</v>
      </c>
      <c r="H324" t="n">
        <v>0</v>
      </c>
      <c r="I324" t="n">
        <v>0</v>
      </c>
      <c r="J324" t="n">
        <v>0</v>
      </c>
      <c r="K324" t="n">
        <v>0</v>
      </c>
      <c r="L324" t="n">
        <v>0</v>
      </c>
      <c r="M324" t="n">
        <v>0</v>
      </c>
      <c r="N324" t="n">
        <v>0</v>
      </c>
      <c r="O324" t="n">
        <v>0</v>
      </c>
      <c r="P324" t="n">
        <v>0</v>
      </c>
      <c r="Q324" t="n">
        <v>0</v>
      </c>
      <c r="R324" s="2" t="inlineStr"/>
    </row>
    <row r="325" ht="15" customHeight="1">
      <c r="A325" t="inlineStr">
        <is>
          <t>A 9461-2025</t>
        </is>
      </c>
      <c r="B325" s="1" t="n">
        <v>45715.45341435185</v>
      </c>
      <c r="C325" s="1" t="n">
        <v>45974</v>
      </c>
      <c r="D325" t="inlineStr">
        <is>
          <t>DALARNAS LÄN</t>
        </is>
      </c>
      <c r="E325" t="inlineStr">
        <is>
          <t>MORA</t>
        </is>
      </c>
      <c r="G325" t="n">
        <v>1.8</v>
      </c>
      <c r="H325" t="n">
        <v>0</v>
      </c>
      <c r="I325" t="n">
        <v>0</v>
      </c>
      <c r="J325" t="n">
        <v>0</v>
      </c>
      <c r="K325" t="n">
        <v>0</v>
      </c>
      <c r="L325" t="n">
        <v>0</v>
      </c>
      <c r="M325" t="n">
        <v>0</v>
      </c>
      <c r="N325" t="n">
        <v>0</v>
      </c>
      <c r="O325" t="n">
        <v>0</v>
      </c>
      <c r="P325" t="n">
        <v>0</v>
      </c>
      <c r="Q325" t="n">
        <v>0</v>
      </c>
      <c r="R325" s="2" t="inlineStr"/>
    </row>
    <row r="326" ht="15" customHeight="1">
      <c r="A326" t="inlineStr">
        <is>
          <t>A 34928-2022</t>
        </is>
      </c>
      <c r="B326" s="1" t="n">
        <v>44796.60479166666</v>
      </c>
      <c r="C326" s="1" t="n">
        <v>45974</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5486-2023</t>
        </is>
      </c>
      <c r="B327" s="1" t="n">
        <v>44957</v>
      </c>
      <c r="C327" s="1" t="n">
        <v>45974</v>
      </c>
      <c r="D327" t="inlineStr">
        <is>
          <t>DALARNAS LÄN</t>
        </is>
      </c>
      <c r="E327" t="inlineStr">
        <is>
          <t>MORA</t>
        </is>
      </c>
      <c r="G327" t="n">
        <v>3.2</v>
      </c>
      <c r="H327" t="n">
        <v>0</v>
      </c>
      <c r="I327" t="n">
        <v>0</v>
      </c>
      <c r="J327" t="n">
        <v>0</v>
      </c>
      <c r="K327" t="n">
        <v>0</v>
      </c>
      <c r="L327" t="n">
        <v>0</v>
      </c>
      <c r="M327" t="n">
        <v>0</v>
      </c>
      <c r="N327" t="n">
        <v>0</v>
      </c>
      <c r="O327" t="n">
        <v>0</v>
      </c>
      <c r="P327" t="n">
        <v>0</v>
      </c>
      <c r="Q327" t="n">
        <v>0</v>
      </c>
      <c r="R327" s="2" t="inlineStr"/>
    </row>
    <row r="328" ht="15" customHeight="1">
      <c r="A328" t="inlineStr">
        <is>
          <t>A 42943-2024</t>
        </is>
      </c>
      <c r="B328" s="1" t="n">
        <v>45567.35359953704</v>
      </c>
      <c r="C328" s="1" t="n">
        <v>45974</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19286-2023</t>
        </is>
      </c>
      <c r="B329" s="1" t="n">
        <v>45049</v>
      </c>
      <c r="C329" s="1" t="n">
        <v>45974</v>
      </c>
      <c r="D329" t="inlineStr">
        <is>
          <t>DALARNAS LÄN</t>
        </is>
      </c>
      <c r="E329" t="inlineStr">
        <is>
          <t>MORA</t>
        </is>
      </c>
      <c r="G329" t="n">
        <v>1</v>
      </c>
      <c r="H329" t="n">
        <v>0</v>
      </c>
      <c r="I329" t="n">
        <v>0</v>
      </c>
      <c r="J329" t="n">
        <v>0</v>
      </c>
      <c r="K329" t="n">
        <v>0</v>
      </c>
      <c r="L329" t="n">
        <v>0</v>
      </c>
      <c r="M329" t="n">
        <v>0</v>
      </c>
      <c r="N329" t="n">
        <v>0</v>
      </c>
      <c r="O329" t="n">
        <v>0</v>
      </c>
      <c r="P329" t="n">
        <v>0</v>
      </c>
      <c r="Q329" t="n">
        <v>0</v>
      </c>
      <c r="R329" s="2" t="inlineStr"/>
    </row>
    <row r="330" ht="15" customHeight="1">
      <c r="A330" t="inlineStr">
        <is>
          <t>A 24230-2025</t>
        </is>
      </c>
      <c r="B330" s="1" t="n">
        <v>45797.37607638889</v>
      </c>
      <c r="C330" s="1" t="n">
        <v>45974</v>
      </c>
      <c r="D330" t="inlineStr">
        <is>
          <t>DALARNAS LÄN</t>
        </is>
      </c>
      <c r="E330" t="inlineStr">
        <is>
          <t>MORA</t>
        </is>
      </c>
      <c r="G330" t="n">
        <v>6.8</v>
      </c>
      <c r="H330" t="n">
        <v>0</v>
      </c>
      <c r="I330" t="n">
        <v>0</v>
      </c>
      <c r="J330" t="n">
        <v>0</v>
      </c>
      <c r="K330" t="n">
        <v>0</v>
      </c>
      <c r="L330" t="n">
        <v>0</v>
      </c>
      <c r="M330" t="n">
        <v>0</v>
      </c>
      <c r="N330" t="n">
        <v>0</v>
      </c>
      <c r="O330" t="n">
        <v>0</v>
      </c>
      <c r="P330" t="n">
        <v>0</v>
      </c>
      <c r="Q330" t="n">
        <v>0</v>
      </c>
      <c r="R330" s="2" t="inlineStr"/>
    </row>
    <row r="331" ht="15" customHeight="1">
      <c r="A331" t="inlineStr">
        <is>
          <t>A 24280-2025</t>
        </is>
      </c>
      <c r="B331" s="1" t="n">
        <v>45797.45581018519</v>
      </c>
      <c r="C331" s="1" t="n">
        <v>45974</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5922-2025</t>
        </is>
      </c>
      <c r="B332" s="1" t="n">
        <v>45695.42762731481</v>
      </c>
      <c r="C332" s="1" t="n">
        <v>45974</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9855-2024</t>
        </is>
      </c>
      <c r="B333" s="1" t="n">
        <v>45363.40368055556</v>
      </c>
      <c r="C333" s="1" t="n">
        <v>45974</v>
      </c>
      <c r="D333" t="inlineStr">
        <is>
          <t>DALARNAS LÄN</t>
        </is>
      </c>
      <c r="E333" t="inlineStr">
        <is>
          <t>MORA</t>
        </is>
      </c>
      <c r="G333" t="n">
        <v>8.6</v>
      </c>
      <c r="H333" t="n">
        <v>0</v>
      </c>
      <c r="I333" t="n">
        <v>0</v>
      </c>
      <c r="J333" t="n">
        <v>0</v>
      </c>
      <c r="K333" t="n">
        <v>0</v>
      </c>
      <c r="L333" t="n">
        <v>0</v>
      </c>
      <c r="M333" t="n">
        <v>0</v>
      </c>
      <c r="N333" t="n">
        <v>0</v>
      </c>
      <c r="O333" t="n">
        <v>0</v>
      </c>
      <c r="P333" t="n">
        <v>0</v>
      </c>
      <c r="Q333" t="n">
        <v>0</v>
      </c>
      <c r="R333" s="2" t="inlineStr"/>
    </row>
    <row r="334" ht="15" customHeight="1">
      <c r="A334" t="inlineStr">
        <is>
          <t>A 58972-2023</t>
        </is>
      </c>
      <c r="B334" s="1" t="n">
        <v>45252</v>
      </c>
      <c r="C334" s="1" t="n">
        <v>45974</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43533-2023</t>
        </is>
      </c>
      <c r="B335" s="1" t="n">
        <v>45184.53412037037</v>
      </c>
      <c r="C335" s="1" t="n">
        <v>45974</v>
      </c>
      <c r="D335" t="inlineStr">
        <is>
          <t>DALARNAS LÄN</t>
        </is>
      </c>
      <c r="E335" t="inlineStr">
        <is>
          <t>MORA</t>
        </is>
      </c>
      <c r="F335" t="inlineStr">
        <is>
          <t>Bergvik skog väst AB</t>
        </is>
      </c>
      <c r="G335" t="n">
        <v>10.3</v>
      </c>
      <c r="H335" t="n">
        <v>0</v>
      </c>
      <c r="I335" t="n">
        <v>0</v>
      </c>
      <c r="J335" t="n">
        <v>0</v>
      </c>
      <c r="K335" t="n">
        <v>0</v>
      </c>
      <c r="L335" t="n">
        <v>0</v>
      </c>
      <c r="M335" t="n">
        <v>0</v>
      </c>
      <c r="N335" t="n">
        <v>0</v>
      </c>
      <c r="O335" t="n">
        <v>0</v>
      </c>
      <c r="P335" t="n">
        <v>0</v>
      </c>
      <c r="Q335" t="n">
        <v>0</v>
      </c>
      <c r="R335" s="2" t="inlineStr"/>
    </row>
    <row r="336" ht="15" customHeight="1">
      <c r="A336" t="inlineStr">
        <is>
          <t>A 37774-2022</t>
        </is>
      </c>
      <c r="B336" s="1" t="n">
        <v>44810.64164351852</v>
      </c>
      <c r="C336" s="1" t="n">
        <v>45974</v>
      </c>
      <c r="D336" t="inlineStr">
        <is>
          <t>DALARNAS LÄN</t>
        </is>
      </c>
      <c r="E336" t="inlineStr">
        <is>
          <t>MORA</t>
        </is>
      </c>
      <c r="F336" t="inlineStr">
        <is>
          <t>Bergvik skog väst AB</t>
        </is>
      </c>
      <c r="G336" t="n">
        <v>8.5</v>
      </c>
      <c r="H336" t="n">
        <v>0</v>
      </c>
      <c r="I336" t="n">
        <v>0</v>
      </c>
      <c r="J336" t="n">
        <v>0</v>
      </c>
      <c r="K336" t="n">
        <v>0</v>
      </c>
      <c r="L336" t="n">
        <v>0</v>
      </c>
      <c r="M336" t="n">
        <v>0</v>
      </c>
      <c r="N336" t="n">
        <v>0</v>
      </c>
      <c r="O336" t="n">
        <v>0</v>
      </c>
      <c r="P336" t="n">
        <v>0</v>
      </c>
      <c r="Q336" t="n">
        <v>0</v>
      </c>
      <c r="R336" s="2" t="inlineStr"/>
    </row>
    <row r="337" ht="15" customHeight="1">
      <c r="A337" t="inlineStr">
        <is>
          <t>A 19183-2025</t>
        </is>
      </c>
      <c r="B337" s="1" t="n">
        <v>45769</v>
      </c>
      <c r="C337" s="1" t="n">
        <v>45974</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64327-2023</t>
        </is>
      </c>
      <c r="B338" s="1" t="n">
        <v>45280</v>
      </c>
      <c r="C338" s="1" t="n">
        <v>45974</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17145-2024</t>
        </is>
      </c>
      <c r="B339" s="1" t="n">
        <v>45412</v>
      </c>
      <c r="C339" s="1" t="n">
        <v>45974</v>
      </c>
      <c r="D339" t="inlineStr">
        <is>
          <t>DALARNAS LÄN</t>
        </is>
      </c>
      <c r="E339" t="inlineStr">
        <is>
          <t>MORA</t>
        </is>
      </c>
      <c r="G339" t="n">
        <v>1.4</v>
      </c>
      <c r="H339" t="n">
        <v>0</v>
      </c>
      <c r="I339" t="n">
        <v>0</v>
      </c>
      <c r="J339" t="n">
        <v>0</v>
      </c>
      <c r="K339" t="n">
        <v>0</v>
      </c>
      <c r="L339" t="n">
        <v>0</v>
      </c>
      <c r="M339" t="n">
        <v>0</v>
      </c>
      <c r="N339" t="n">
        <v>0</v>
      </c>
      <c r="O339" t="n">
        <v>0</v>
      </c>
      <c r="P339" t="n">
        <v>0</v>
      </c>
      <c r="Q339" t="n">
        <v>0</v>
      </c>
      <c r="R339" s="2" t="inlineStr"/>
    </row>
    <row r="340" ht="15" customHeight="1">
      <c r="A340" t="inlineStr">
        <is>
          <t>A 21244-2024</t>
        </is>
      </c>
      <c r="B340" s="1" t="n">
        <v>45440.59936342593</v>
      </c>
      <c r="C340" s="1" t="n">
        <v>45974</v>
      </c>
      <c r="D340" t="inlineStr">
        <is>
          <t>DALARNAS LÄN</t>
        </is>
      </c>
      <c r="E340" t="inlineStr">
        <is>
          <t>MORA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28964-2024</t>
        </is>
      </c>
      <c r="B341" s="1" t="n">
        <v>45481.42923611111</v>
      </c>
      <c r="C341" s="1" t="n">
        <v>45974</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48728-2022</t>
        </is>
      </c>
      <c r="B342" s="1" t="n">
        <v>44859.52145833334</v>
      </c>
      <c r="C342" s="1" t="n">
        <v>45974</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30194-2024</t>
        </is>
      </c>
      <c r="B343" s="1" t="n">
        <v>45490.33387731481</v>
      </c>
      <c r="C343" s="1" t="n">
        <v>45974</v>
      </c>
      <c r="D343" t="inlineStr">
        <is>
          <t>DALARNAS LÄN</t>
        </is>
      </c>
      <c r="E343" t="inlineStr">
        <is>
          <t>MORA</t>
        </is>
      </c>
      <c r="G343" t="n">
        <v>3.1</v>
      </c>
      <c r="H343" t="n">
        <v>0</v>
      </c>
      <c r="I343" t="n">
        <v>0</v>
      </c>
      <c r="J343" t="n">
        <v>0</v>
      </c>
      <c r="K343" t="n">
        <v>0</v>
      </c>
      <c r="L343" t="n">
        <v>0</v>
      </c>
      <c r="M343" t="n">
        <v>0</v>
      </c>
      <c r="N343" t="n">
        <v>0</v>
      </c>
      <c r="O343" t="n">
        <v>0</v>
      </c>
      <c r="P343" t="n">
        <v>0</v>
      </c>
      <c r="Q343" t="n">
        <v>0</v>
      </c>
      <c r="R343" s="2" t="inlineStr"/>
    </row>
    <row r="344" ht="15" customHeight="1">
      <c r="A344" t="inlineStr">
        <is>
          <t>A 58177-2024</t>
        </is>
      </c>
      <c r="B344" s="1" t="n">
        <v>45632.46821759259</v>
      </c>
      <c r="C344" s="1" t="n">
        <v>45974</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24640-2025</t>
        </is>
      </c>
      <c r="B345" s="1" t="n">
        <v>45798.62243055556</v>
      </c>
      <c r="C345" s="1" t="n">
        <v>45974</v>
      </c>
      <c r="D345" t="inlineStr">
        <is>
          <t>DALARNAS LÄN</t>
        </is>
      </c>
      <c r="E345" t="inlineStr">
        <is>
          <t>MORA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46188-2022</t>
        </is>
      </c>
      <c r="B346" s="1" t="n">
        <v>44847.518125</v>
      </c>
      <c r="C346" s="1" t="n">
        <v>45974</v>
      </c>
      <c r="D346" t="inlineStr">
        <is>
          <t>DALARNAS LÄN</t>
        </is>
      </c>
      <c r="E346" t="inlineStr">
        <is>
          <t>MORA</t>
        </is>
      </c>
      <c r="G346" t="n">
        <v>1.8</v>
      </c>
      <c r="H346" t="n">
        <v>0</v>
      </c>
      <c r="I346" t="n">
        <v>0</v>
      </c>
      <c r="J346" t="n">
        <v>0</v>
      </c>
      <c r="K346" t="n">
        <v>0</v>
      </c>
      <c r="L346" t="n">
        <v>0</v>
      </c>
      <c r="M346" t="n">
        <v>0</v>
      </c>
      <c r="N346" t="n">
        <v>0</v>
      </c>
      <c r="O346" t="n">
        <v>0</v>
      </c>
      <c r="P346" t="n">
        <v>0</v>
      </c>
      <c r="Q346" t="n">
        <v>0</v>
      </c>
      <c r="R346" s="2" t="inlineStr"/>
    </row>
    <row r="347" ht="15" customHeight="1">
      <c r="A347" t="inlineStr">
        <is>
          <t>A 32410-2024</t>
        </is>
      </c>
      <c r="B347" s="1" t="n">
        <v>45512.70077546296</v>
      </c>
      <c r="C347" s="1" t="n">
        <v>45974</v>
      </c>
      <c r="D347" t="inlineStr">
        <is>
          <t>DALARNAS LÄN</t>
        </is>
      </c>
      <c r="E347" t="inlineStr">
        <is>
          <t>MORA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45390-2024</t>
        </is>
      </c>
      <c r="B348" s="1" t="n">
        <v>45576.54820601852</v>
      </c>
      <c r="C348" s="1" t="n">
        <v>45974</v>
      </c>
      <c r="D348" t="inlineStr">
        <is>
          <t>DALARNAS LÄN</t>
        </is>
      </c>
      <c r="E348" t="inlineStr">
        <is>
          <t>MORA</t>
        </is>
      </c>
      <c r="F348" t="inlineStr">
        <is>
          <t>Bergvik skog väst AB</t>
        </is>
      </c>
      <c r="G348" t="n">
        <v>5.6</v>
      </c>
      <c r="H348" t="n">
        <v>0</v>
      </c>
      <c r="I348" t="n">
        <v>0</v>
      </c>
      <c r="J348" t="n">
        <v>0</v>
      </c>
      <c r="K348" t="n">
        <v>0</v>
      </c>
      <c r="L348" t="n">
        <v>0</v>
      </c>
      <c r="M348" t="n">
        <v>0</v>
      </c>
      <c r="N348" t="n">
        <v>0</v>
      </c>
      <c r="O348" t="n">
        <v>0</v>
      </c>
      <c r="P348" t="n">
        <v>0</v>
      </c>
      <c r="Q348" t="n">
        <v>0</v>
      </c>
      <c r="R348" s="2" t="inlineStr"/>
    </row>
    <row r="349" ht="15" customHeight="1">
      <c r="A349" t="inlineStr">
        <is>
          <t>A 58089-2024</t>
        </is>
      </c>
      <c r="B349" s="1" t="n">
        <v>45632.34984953704</v>
      </c>
      <c r="C349" s="1" t="n">
        <v>45974</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24947-2025</t>
        </is>
      </c>
      <c r="B350" s="1" t="n">
        <v>45799.56524305556</v>
      </c>
      <c r="C350" s="1" t="n">
        <v>45974</v>
      </c>
      <c r="D350" t="inlineStr">
        <is>
          <t>DALARNAS LÄN</t>
        </is>
      </c>
      <c r="E350" t="inlineStr">
        <is>
          <t>MORA</t>
        </is>
      </c>
      <c r="G350" t="n">
        <v>2</v>
      </c>
      <c r="H350" t="n">
        <v>0</v>
      </c>
      <c r="I350" t="n">
        <v>0</v>
      </c>
      <c r="J350" t="n">
        <v>0</v>
      </c>
      <c r="K350" t="n">
        <v>0</v>
      </c>
      <c r="L350" t="n">
        <v>0</v>
      </c>
      <c r="M350" t="n">
        <v>0</v>
      </c>
      <c r="N350" t="n">
        <v>0</v>
      </c>
      <c r="O350" t="n">
        <v>0</v>
      </c>
      <c r="P350" t="n">
        <v>0</v>
      </c>
      <c r="Q350" t="n">
        <v>0</v>
      </c>
      <c r="R350" s="2" t="inlineStr"/>
    </row>
    <row r="351" ht="15" customHeight="1">
      <c r="A351" t="inlineStr">
        <is>
          <t>A 24630-2025</t>
        </is>
      </c>
      <c r="B351" s="1" t="n">
        <v>45798.6003587963</v>
      </c>
      <c r="C351" s="1" t="n">
        <v>45974</v>
      </c>
      <c r="D351" t="inlineStr">
        <is>
          <t>DALARNAS LÄN</t>
        </is>
      </c>
      <c r="E351" t="inlineStr">
        <is>
          <t>MORA</t>
        </is>
      </c>
      <c r="F351" t="inlineStr">
        <is>
          <t>Bergvik skog väst AB</t>
        </is>
      </c>
      <c r="G351" t="n">
        <v>10.4</v>
      </c>
      <c r="H351" t="n">
        <v>0</v>
      </c>
      <c r="I351" t="n">
        <v>0</v>
      </c>
      <c r="J351" t="n">
        <v>0</v>
      </c>
      <c r="K351" t="n">
        <v>0</v>
      </c>
      <c r="L351" t="n">
        <v>0</v>
      </c>
      <c r="M351" t="n">
        <v>0</v>
      </c>
      <c r="N351" t="n">
        <v>0</v>
      </c>
      <c r="O351" t="n">
        <v>0</v>
      </c>
      <c r="P351" t="n">
        <v>0</v>
      </c>
      <c r="Q351" t="n">
        <v>0</v>
      </c>
      <c r="R351" s="2" t="inlineStr"/>
    </row>
    <row r="352" ht="15" customHeight="1">
      <c r="A352" t="inlineStr">
        <is>
          <t>A 24960-2025</t>
        </is>
      </c>
      <c r="B352" s="1" t="n">
        <v>45799.57666666667</v>
      </c>
      <c r="C352" s="1" t="n">
        <v>45974</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4994-2025</t>
        </is>
      </c>
      <c r="B353" s="1" t="n">
        <v>45691.35427083333</v>
      </c>
      <c r="C353" s="1" t="n">
        <v>45974</v>
      </c>
      <c r="D353" t="inlineStr">
        <is>
          <t>DALARNAS LÄN</t>
        </is>
      </c>
      <c r="E353" t="inlineStr">
        <is>
          <t>MORA</t>
        </is>
      </c>
      <c r="G353" t="n">
        <v>4.6</v>
      </c>
      <c r="H353" t="n">
        <v>0</v>
      </c>
      <c r="I353" t="n">
        <v>0</v>
      </c>
      <c r="J353" t="n">
        <v>0</v>
      </c>
      <c r="K353" t="n">
        <v>0</v>
      </c>
      <c r="L353" t="n">
        <v>0</v>
      </c>
      <c r="M353" t="n">
        <v>0</v>
      </c>
      <c r="N353" t="n">
        <v>0</v>
      </c>
      <c r="O353" t="n">
        <v>0</v>
      </c>
      <c r="P353" t="n">
        <v>0</v>
      </c>
      <c r="Q353" t="n">
        <v>0</v>
      </c>
      <c r="R353" s="2" t="inlineStr"/>
    </row>
    <row r="354" ht="15" customHeight="1">
      <c r="A354" t="inlineStr">
        <is>
          <t>A 24642-2025</t>
        </is>
      </c>
      <c r="B354" s="1" t="n">
        <v>45798.62894675926</v>
      </c>
      <c r="C354" s="1" t="n">
        <v>45974</v>
      </c>
      <c r="D354" t="inlineStr">
        <is>
          <t>DALARNAS LÄN</t>
        </is>
      </c>
      <c r="E354" t="inlineStr">
        <is>
          <t>MORA</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15993-2025</t>
        </is>
      </c>
      <c r="B355" s="1" t="n">
        <v>45749.58428240741</v>
      </c>
      <c r="C355" s="1" t="n">
        <v>45974</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42035-2022</t>
        </is>
      </c>
      <c r="B356" s="1" t="n">
        <v>44830</v>
      </c>
      <c r="C356" s="1" t="n">
        <v>45974</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51253-2023</t>
        </is>
      </c>
      <c r="B357" s="1" t="n">
        <v>45219</v>
      </c>
      <c r="C357" s="1" t="n">
        <v>45974</v>
      </c>
      <c r="D357" t="inlineStr">
        <is>
          <t>DALARNAS LÄN</t>
        </is>
      </c>
      <c r="E357" t="inlineStr">
        <is>
          <t>MORA</t>
        </is>
      </c>
      <c r="G357" t="n">
        <v>5</v>
      </c>
      <c r="H357" t="n">
        <v>0</v>
      </c>
      <c r="I357" t="n">
        <v>0</v>
      </c>
      <c r="J357" t="n">
        <v>0</v>
      </c>
      <c r="K357" t="n">
        <v>0</v>
      </c>
      <c r="L357" t="n">
        <v>0</v>
      </c>
      <c r="M357" t="n">
        <v>0</v>
      </c>
      <c r="N357" t="n">
        <v>0</v>
      </c>
      <c r="O357" t="n">
        <v>0</v>
      </c>
      <c r="P357" t="n">
        <v>0</v>
      </c>
      <c r="Q357" t="n">
        <v>0</v>
      </c>
      <c r="R357" s="2" t="inlineStr"/>
    </row>
    <row r="358" ht="15" customHeight="1">
      <c r="A358" t="inlineStr">
        <is>
          <t>A 57110-2021</t>
        </is>
      </c>
      <c r="B358" s="1" t="n">
        <v>44482</v>
      </c>
      <c r="C358" s="1" t="n">
        <v>45974</v>
      </c>
      <c r="D358" t="inlineStr">
        <is>
          <t>DALARNAS LÄN</t>
        </is>
      </c>
      <c r="E358" t="inlineStr">
        <is>
          <t>MORA</t>
        </is>
      </c>
      <c r="G358" t="n">
        <v>5.4</v>
      </c>
      <c r="H358" t="n">
        <v>0</v>
      </c>
      <c r="I358" t="n">
        <v>0</v>
      </c>
      <c r="J358" t="n">
        <v>0</v>
      </c>
      <c r="K358" t="n">
        <v>0</v>
      </c>
      <c r="L358" t="n">
        <v>0</v>
      </c>
      <c r="M358" t="n">
        <v>0</v>
      </c>
      <c r="N358" t="n">
        <v>0</v>
      </c>
      <c r="O358" t="n">
        <v>0</v>
      </c>
      <c r="P358" t="n">
        <v>0</v>
      </c>
      <c r="Q358" t="n">
        <v>0</v>
      </c>
      <c r="R358" s="2" t="inlineStr"/>
    </row>
    <row r="359" ht="15" customHeight="1">
      <c r="A359" t="inlineStr">
        <is>
          <t>A 4208-2023</t>
        </is>
      </c>
      <c r="B359" s="1" t="n">
        <v>44953</v>
      </c>
      <c r="C359" s="1" t="n">
        <v>45974</v>
      </c>
      <c r="D359" t="inlineStr">
        <is>
          <t>DALARNAS LÄN</t>
        </is>
      </c>
      <c r="E359" t="inlineStr">
        <is>
          <t>MORA</t>
        </is>
      </c>
      <c r="G359" t="n">
        <v>2.4</v>
      </c>
      <c r="H359" t="n">
        <v>0</v>
      </c>
      <c r="I359" t="n">
        <v>0</v>
      </c>
      <c r="J359" t="n">
        <v>0</v>
      </c>
      <c r="K359" t="n">
        <v>0</v>
      </c>
      <c r="L359" t="n">
        <v>0</v>
      </c>
      <c r="M359" t="n">
        <v>0</v>
      </c>
      <c r="N359" t="n">
        <v>0</v>
      </c>
      <c r="O359" t="n">
        <v>0</v>
      </c>
      <c r="P359" t="n">
        <v>0</v>
      </c>
      <c r="Q359" t="n">
        <v>0</v>
      </c>
      <c r="R359" s="2" t="inlineStr"/>
    </row>
    <row r="360" ht="15" customHeight="1">
      <c r="A360" t="inlineStr">
        <is>
          <t>A 4210-2023</t>
        </is>
      </c>
      <c r="B360" s="1" t="n">
        <v>44953.44965277778</v>
      </c>
      <c r="C360" s="1" t="n">
        <v>45974</v>
      </c>
      <c r="D360" t="inlineStr">
        <is>
          <t>DALARNAS LÄN</t>
        </is>
      </c>
      <c r="E360" t="inlineStr">
        <is>
          <t>MORA</t>
        </is>
      </c>
      <c r="G360" t="n">
        <v>0.9</v>
      </c>
      <c r="H360" t="n">
        <v>0</v>
      </c>
      <c r="I360" t="n">
        <v>0</v>
      </c>
      <c r="J360" t="n">
        <v>0</v>
      </c>
      <c r="K360" t="n">
        <v>0</v>
      </c>
      <c r="L360" t="n">
        <v>0</v>
      </c>
      <c r="M360" t="n">
        <v>0</v>
      </c>
      <c r="N360" t="n">
        <v>0</v>
      </c>
      <c r="O360" t="n">
        <v>0</v>
      </c>
      <c r="P360" t="n">
        <v>0</v>
      </c>
      <c r="Q360" t="n">
        <v>0</v>
      </c>
      <c r="R360" s="2" t="inlineStr"/>
    </row>
    <row r="361" ht="15" customHeight="1">
      <c r="A361" t="inlineStr">
        <is>
          <t>A 11857-2023</t>
        </is>
      </c>
      <c r="B361" s="1" t="n">
        <v>44995</v>
      </c>
      <c r="C361" s="1" t="n">
        <v>45974</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54398-2021</t>
        </is>
      </c>
      <c r="B362" s="1" t="n">
        <v>44473.39252314815</v>
      </c>
      <c r="C362" s="1" t="n">
        <v>45974</v>
      </c>
      <c r="D362" t="inlineStr">
        <is>
          <t>DALARNAS LÄN</t>
        </is>
      </c>
      <c r="E362" t="inlineStr">
        <is>
          <t>MORA</t>
        </is>
      </c>
      <c r="G362" t="n">
        <v>0.9</v>
      </c>
      <c r="H362" t="n">
        <v>0</v>
      </c>
      <c r="I362" t="n">
        <v>0</v>
      </c>
      <c r="J362" t="n">
        <v>0</v>
      </c>
      <c r="K362" t="n">
        <v>0</v>
      </c>
      <c r="L362" t="n">
        <v>0</v>
      </c>
      <c r="M362" t="n">
        <v>0</v>
      </c>
      <c r="N362" t="n">
        <v>0</v>
      </c>
      <c r="O362" t="n">
        <v>0</v>
      </c>
      <c r="P362" t="n">
        <v>0</v>
      </c>
      <c r="Q362" t="n">
        <v>0</v>
      </c>
      <c r="R362" s="2" t="inlineStr"/>
    </row>
    <row r="363" ht="15" customHeight="1">
      <c r="A363" t="inlineStr">
        <is>
          <t>A 56012-2023</t>
        </is>
      </c>
      <c r="B363" s="1" t="n">
        <v>45240</v>
      </c>
      <c r="C363" s="1" t="n">
        <v>45974</v>
      </c>
      <c r="D363" t="inlineStr">
        <is>
          <t>DALARNAS LÄN</t>
        </is>
      </c>
      <c r="E363" t="inlineStr">
        <is>
          <t>MORA</t>
        </is>
      </c>
      <c r="G363" t="n">
        <v>0.3</v>
      </c>
      <c r="H363" t="n">
        <v>0</v>
      </c>
      <c r="I363" t="n">
        <v>0</v>
      </c>
      <c r="J363" t="n">
        <v>0</v>
      </c>
      <c r="K363" t="n">
        <v>0</v>
      </c>
      <c r="L363" t="n">
        <v>0</v>
      </c>
      <c r="M363" t="n">
        <v>0</v>
      </c>
      <c r="N363" t="n">
        <v>0</v>
      </c>
      <c r="O363" t="n">
        <v>0</v>
      </c>
      <c r="P363" t="n">
        <v>0</v>
      </c>
      <c r="Q363" t="n">
        <v>0</v>
      </c>
      <c r="R363" s="2" t="inlineStr"/>
    </row>
    <row r="364" ht="15" customHeight="1">
      <c r="A364" t="inlineStr">
        <is>
          <t>A 60674-2023</t>
        </is>
      </c>
      <c r="B364" s="1" t="n">
        <v>45260.46609953704</v>
      </c>
      <c r="C364" s="1" t="n">
        <v>45974</v>
      </c>
      <c r="D364" t="inlineStr">
        <is>
          <t>DALARNAS LÄN</t>
        </is>
      </c>
      <c r="E364" t="inlineStr">
        <is>
          <t>MORA</t>
        </is>
      </c>
      <c r="G364" t="n">
        <v>2.9</v>
      </c>
      <c r="H364" t="n">
        <v>0</v>
      </c>
      <c r="I364" t="n">
        <v>0</v>
      </c>
      <c r="J364" t="n">
        <v>0</v>
      </c>
      <c r="K364" t="n">
        <v>0</v>
      </c>
      <c r="L364" t="n">
        <v>0</v>
      </c>
      <c r="M364" t="n">
        <v>0</v>
      </c>
      <c r="N364" t="n">
        <v>0</v>
      </c>
      <c r="O364" t="n">
        <v>0</v>
      </c>
      <c r="P364" t="n">
        <v>0</v>
      </c>
      <c r="Q364" t="n">
        <v>0</v>
      </c>
      <c r="R364" s="2" t="inlineStr"/>
    </row>
    <row r="365" ht="15" customHeight="1">
      <c r="A365" t="inlineStr">
        <is>
          <t>A 5298-2023</t>
        </is>
      </c>
      <c r="B365" s="1" t="n">
        <v>44959.54355324074</v>
      </c>
      <c r="C365" s="1" t="n">
        <v>45974</v>
      </c>
      <c r="D365" t="inlineStr">
        <is>
          <t>DALARNAS LÄN</t>
        </is>
      </c>
      <c r="E365" t="inlineStr">
        <is>
          <t>MORA</t>
        </is>
      </c>
      <c r="F365" t="inlineStr">
        <is>
          <t>Bergvik skog väst AB</t>
        </is>
      </c>
      <c r="G365" t="n">
        <v>6.2</v>
      </c>
      <c r="H365" t="n">
        <v>0</v>
      </c>
      <c r="I365" t="n">
        <v>0</v>
      </c>
      <c r="J365" t="n">
        <v>0</v>
      </c>
      <c r="K365" t="n">
        <v>0</v>
      </c>
      <c r="L365" t="n">
        <v>0</v>
      </c>
      <c r="M365" t="n">
        <v>0</v>
      </c>
      <c r="N365" t="n">
        <v>0</v>
      </c>
      <c r="O365" t="n">
        <v>0</v>
      </c>
      <c r="P365" t="n">
        <v>0</v>
      </c>
      <c r="Q365" t="n">
        <v>0</v>
      </c>
      <c r="R365" s="2" t="inlineStr"/>
    </row>
    <row r="366" ht="15" customHeight="1">
      <c r="A366" t="inlineStr">
        <is>
          <t>A 57859-2022</t>
        </is>
      </c>
      <c r="B366" s="1" t="n">
        <v>44898</v>
      </c>
      <c r="C366" s="1" t="n">
        <v>45974</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15817-2024</t>
        </is>
      </c>
      <c r="B367" s="1" t="n">
        <v>45404.67387731482</v>
      </c>
      <c r="C367" s="1" t="n">
        <v>45974</v>
      </c>
      <c r="D367" t="inlineStr">
        <is>
          <t>DALARNAS LÄN</t>
        </is>
      </c>
      <c r="E367" t="inlineStr">
        <is>
          <t>MORA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61249-2023</t>
        </is>
      </c>
      <c r="B368" s="1" t="n">
        <v>45264</v>
      </c>
      <c r="C368" s="1" t="n">
        <v>45974</v>
      </c>
      <c r="D368" t="inlineStr">
        <is>
          <t>DALARNAS LÄN</t>
        </is>
      </c>
      <c r="E368" t="inlineStr">
        <is>
          <t>MORA</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44769-2021</t>
        </is>
      </c>
      <c r="B369" s="1" t="n">
        <v>44438</v>
      </c>
      <c r="C369" s="1" t="n">
        <v>45974</v>
      </c>
      <c r="D369" t="inlineStr">
        <is>
          <t>DALARNAS LÄN</t>
        </is>
      </c>
      <c r="E369" t="inlineStr">
        <is>
          <t>MORA</t>
        </is>
      </c>
      <c r="G369" t="n">
        <v>0.9</v>
      </c>
      <c r="H369" t="n">
        <v>0</v>
      </c>
      <c r="I369" t="n">
        <v>0</v>
      </c>
      <c r="J369" t="n">
        <v>0</v>
      </c>
      <c r="K369" t="n">
        <v>0</v>
      </c>
      <c r="L369" t="n">
        <v>0</v>
      </c>
      <c r="M369" t="n">
        <v>0</v>
      </c>
      <c r="N369" t="n">
        <v>0</v>
      </c>
      <c r="O369" t="n">
        <v>0</v>
      </c>
      <c r="P369" t="n">
        <v>0</v>
      </c>
      <c r="Q369" t="n">
        <v>0</v>
      </c>
      <c r="R369" s="2" t="inlineStr"/>
    </row>
    <row r="370" ht="15" customHeight="1">
      <c r="A370" t="inlineStr">
        <is>
          <t>A 58116-2022</t>
        </is>
      </c>
      <c r="B370" s="1" t="n">
        <v>44900.65716435185</v>
      </c>
      <c r="C370" s="1" t="n">
        <v>45974</v>
      </c>
      <c r="D370" t="inlineStr">
        <is>
          <t>DALARNAS LÄN</t>
        </is>
      </c>
      <c r="E370" t="inlineStr">
        <is>
          <t>MORA</t>
        </is>
      </c>
      <c r="G370" t="n">
        <v>2.9</v>
      </c>
      <c r="H370" t="n">
        <v>0</v>
      </c>
      <c r="I370" t="n">
        <v>0</v>
      </c>
      <c r="J370" t="n">
        <v>0</v>
      </c>
      <c r="K370" t="n">
        <v>0</v>
      </c>
      <c r="L370" t="n">
        <v>0</v>
      </c>
      <c r="M370" t="n">
        <v>0</v>
      </c>
      <c r="N370" t="n">
        <v>0</v>
      </c>
      <c r="O370" t="n">
        <v>0</v>
      </c>
      <c r="P370" t="n">
        <v>0</v>
      </c>
      <c r="Q370" t="n">
        <v>0</v>
      </c>
      <c r="R370" s="2" t="inlineStr"/>
    </row>
    <row r="371" ht="15" customHeight="1">
      <c r="A371" t="inlineStr">
        <is>
          <t>A 25935-2023</t>
        </is>
      </c>
      <c r="B371" s="1" t="n">
        <v>45090.68675925926</v>
      </c>
      <c r="C371" s="1" t="n">
        <v>45974</v>
      </c>
      <c r="D371" t="inlineStr">
        <is>
          <t>DALARNAS LÄN</t>
        </is>
      </c>
      <c r="E371" t="inlineStr">
        <is>
          <t>MORA</t>
        </is>
      </c>
      <c r="G371" t="n">
        <v>1.4</v>
      </c>
      <c r="H371" t="n">
        <v>0</v>
      </c>
      <c r="I371" t="n">
        <v>0</v>
      </c>
      <c r="J371" t="n">
        <v>0</v>
      </c>
      <c r="K371" t="n">
        <v>0</v>
      </c>
      <c r="L371" t="n">
        <v>0</v>
      </c>
      <c r="M371" t="n">
        <v>0</v>
      </c>
      <c r="N371" t="n">
        <v>0</v>
      </c>
      <c r="O371" t="n">
        <v>0</v>
      </c>
      <c r="P371" t="n">
        <v>0</v>
      </c>
      <c r="Q371" t="n">
        <v>0</v>
      </c>
      <c r="R371" s="2" t="inlineStr"/>
    </row>
    <row r="372" ht="15" customHeight="1">
      <c r="A372" t="inlineStr">
        <is>
          <t>A 23057-2024</t>
        </is>
      </c>
      <c r="B372" s="1" t="n">
        <v>45450</v>
      </c>
      <c r="C372" s="1" t="n">
        <v>45974</v>
      </c>
      <c r="D372" t="inlineStr">
        <is>
          <t>DALARNAS LÄN</t>
        </is>
      </c>
      <c r="E372" t="inlineStr">
        <is>
          <t>MORA</t>
        </is>
      </c>
      <c r="F372" t="inlineStr">
        <is>
          <t>Bergvik skog väst AB</t>
        </is>
      </c>
      <c r="G372" t="n">
        <v>2.2</v>
      </c>
      <c r="H372" t="n">
        <v>0</v>
      </c>
      <c r="I372" t="n">
        <v>0</v>
      </c>
      <c r="J372" t="n">
        <v>0</v>
      </c>
      <c r="K372" t="n">
        <v>0</v>
      </c>
      <c r="L372" t="n">
        <v>0</v>
      </c>
      <c r="M372" t="n">
        <v>0</v>
      </c>
      <c r="N372" t="n">
        <v>0</v>
      </c>
      <c r="O372" t="n">
        <v>0</v>
      </c>
      <c r="P372" t="n">
        <v>0</v>
      </c>
      <c r="Q372" t="n">
        <v>0</v>
      </c>
      <c r="R372" s="2" t="inlineStr"/>
    </row>
    <row r="373" ht="15" customHeight="1">
      <c r="A373" t="inlineStr">
        <is>
          <t>A 18992-2024</t>
        </is>
      </c>
      <c r="B373" s="1" t="n">
        <v>45427.61516203704</v>
      </c>
      <c r="C373" s="1" t="n">
        <v>45974</v>
      </c>
      <c r="D373" t="inlineStr">
        <is>
          <t>DALARNAS LÄN</t>
        </is>
      </c>
      <c r="E373" t="inlineStr">
        <is>
          <t>MORA</t>
        </is>
      </c>
      <c r="G373" t="n">
        <v>9.9</v>
      </c>
      <c r="H373" t="n">
        <v>0</v>
      </c>
      <c r="I373" t="n">
        <v>0</v>
      </c>
      <c r="J373" t="n">
        <v>0</v>
      </c>
      <c r="K373" t="n">
        <v>0</v>
      </c>
      <c r="L373" t="n">
        <v>0</v>
      </c>
      <c r="M373" t="n">
        <v>0</v>
      </c>
      <c r="N373" t="n">
        <v>0</v>
      </c>
      <c r="O373" t="n">
        <v>0</v>
      </c>
      <c r="P373" t="n">
        <v>0</v>
      </c>
      <c r="Q373" t="n">
        <v>0</v>
      </c>
      <c r="R373" s="2" t="inlineStr"/>
    </row>
    <row r="374" ht="15" customHeight="1">
      <c r="A374" t="inlineStr">
        <is>
          <t>A 51168-2024</t>
        </is>
      </c>
      <c r="B374" s="1" t="n">
        <v>45603.58619212963</v>
      </c>
      <c r="C374" s="1" t="n">
        <v>45974</v>
      </c>
      <c r="D374" t="inlineStr">
        <is>
          <t>DALARNAS LÄN</t>
        </is>
      </c>
      <c r="E374" t="inlineStr">
        <is>
          <t>MORA</t>
        </is>
      </c>
      <c r="G374" t="n">
        <v>3</v>
      </c>
      <c r="H374" t="n">
        <v>0</v>
      </c>
      <c r="I374" t="n">
        <v>0</v>
      </c>
      <c r="J374" t="n">
        <v>0</v>
      </c>
      <c r="K374" t="n">
        <v>0</v>
      </c>
      <c r="L374" t="n">
        <v>0</v>
      </c>
      <c r="M374" t="n">
        <v>0</v>
      </c>
      <c r="N374" t="n">
        <v>0</v>
      </c>
      <c r="O374" t="n">
        <v>0</v>
      </c>
      <c r="P374" t="n">
        <v>0</v>
      </c>
      <c r="Q374" t="n">
        <v>0</v>
      </c>
      <c r="R374" s="2" t="inlineStr"/>
    </row>
    <row r="375" ht="15" customHeight="1">
      <c r="A375" t="inlineStr">
        <is>
          <t>A 59182-2023</t>
        </is>
      </c>
      <c r="B375" s="1" t="n">
        <v>45253</v>
      </c>
      <c r="C375" s="1" t="n">
        <v>45974</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60647-2022</t>
        </is>
      </c>
      <c r="B376" s="1" t="n">
        <v>44911</v>
      </c>
      <c r="C376" s="1" t="n">
        <v>45974</v>
      </c>
      <c r="D376" t="inlineStr">
        <is>
          <t>DALARNAS LÄN</t>
        </is>
      </c>
      <c r="E376" t="inlineStr">
        <is>
          <t>MORA</t>
        </is>
      </c>
      <c r="G376" t="n">
        <v>4.8</v>
      </c>
      <c r="H376" t="n">
        <v>0</v>
      </c>
      <c r="I376" t="n">
        <v>0</v>
      </c>
      <c r="J376" t="n">
        <v>0</v>
      </c>
      <c r="K376" t="n">
        <v>0</v>
      </c>
      <c r="L376" t="n">
        <v>0</v>
      </c>
      <c r="M376" t="n">
        <v>0</v>
      </c>
      <c r="N376" t="n">
        <v>0</v>
      </c>
      <c r="O376" t="n">
        <v>0</v>
      </c>
      <c r="P376" t="n">
        <v>0</v>
      </c>
      <c r="Q376" t="n">
        <v>0</v>
      </c>
      <c r="R376" s="2" t="inlineStr"/>
    </row>
    <row r="377" ht="15" customHeight="1">
      <c r="A377" t="inlineStr">
        <is>
          <t>A 36600-2023</t>
        </is>
      </c>
      <c r="B377" s="1" t="n">
        <v>45153</v>
      </c>
      <c r="C377" s="1" t="n">
        <v>45974</v>
      </c>
      <c r="D377" t="inlineStr">
        <is>
          <t>DALARNAS LÄN</t>
        </is>
      </c>
      <c r="E377" t="inlineStr">
        <is>
          <t>MORA</t>
        </is>
      </c>
      <c r="G377" t="n">
        <v>7.3</v>
      </c>
      <c r="H377" t="n">
        <v>0</v>
      </c>
      <c r="I377" t="n">
        <v>0</v>
      </c>
      <c r="J377" t="n">
        <v>0</v>
      </c>
      <c r="K377" t="n">
        <v>0</v>
      </c>
      <c r="L377" t="n">
        <v>0</v>
      </c>
      <c r="M377" t="n">
        <v>0</v>
      </c>
      <c r="N377" t="n">
        <v>0</v>
      </c>
      <c r="O377" t="n">
        <v>0</v>
      </c>
      <c r="P377" t="n">
        <v>0</v>
      </c>
      <c r="Q377" t="n">
        <v>0</v>
      </c>
      <c r="R377" s="2" t="inlineStr"/>
    </row>
    <row r="378" ht="15" customHeight="1">
      <c r="A378" t="inlineStr">
        <is>
          <t>A 26577-2025</t>
        </is>
      </c>
      <c r="B378" s="1" t="n">
        <v>45807</v>
      </c>
      <c r="C378" s="1" t="n">
        <v>45974</v>
      </c>
      <c r="D378" t="inlineStr">
        <is>
          <t>DALARNAS LÄN</t>
        </is>
      </c>
      <c r="E378" t="inlineStr">
        <is>
          <t>MORA</t>
        </is>
      </c>
      <c r="G378" t="n">
        <v>2.8</v>
      </c>
      <c r="H378" t="n">
        <v>0</v>
      </c>
      <c r="I378" t="n">
        <v>0</v>
      </c>
      <c r="J378" t="n">
        <v>0</v>
      </c>
      <c r="K378" t="n">
        <v>0</v>
      </c>
      <c r="L378" t="n">
        <v>0</v>
      </c>
      <c r="M378" t="n">
        <v>0</v>
      </c>
      <c r="N378" t="n">
        <v>0</v>
      </c>
      <c r="O378" t="n">
        <v>0</v>
      </c>
      <c r="P378" t="n">
        <v>0</v>
      </c>
      <c r="Q378" t="n">
        <v>0</v>
      </c>
      <c r="R378" s="2" t="inlineStr"/>
    </row>
    <row r="379" ht="15" customHeight="1">
      <c r="A379" t="inlineStr">
        <is>
          <t>A 58036-2024</t>
        </is>
      </c>
      <c r="B379" s="1" t="n">
        <v>45631.71893518518</v>
      </c>
      <c r="C379" s="1" t="n">
        <v>45974</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26532-2025</t>
        </is>
      </c>
      <c r="B380" s="1" t="n">
        <v>45807</v>
      </c>
      <c r="C380" s="1" t="n">
        <v>45974</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26545-2025</t>
        </is>
      </c>
      <c r="B381" s="1" t="n">
        <v>45807</v>
      </c>
      <c r="C381" s="1" t="n">
        <v>45974</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26546-2025</t>
        </is>
      </c>
      <c r="B382" s="1" t="n">
        <v>45807</v>
      </c>
      <c r="C382" s="1" t="n">
        <v>45974</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69519-2020</t>
        </is>
      </c>
      <c r="B383" s="1" t="n">
        <v>44194</v>
      </c>
      <c r="C383" s="1" t="n">
        <v>45974</v>
      </c>
      <c r="D383" t="inlineStr">
        <is>
          <t>DALARNAS LÄN</t>
        </is>
      </c>
      <c r="E383" t="inlineStr">
        <is>
          <t>MORA</t>
        </is>
      </c>
      <c r="G383" t="n">
        <v>0.4</v>
      </c>
      <c r="H383" t="n">
        <v>0</v>
      </c>
      <c r="I383" t="n">
        <v>0</v>
      </c>
      <c r="J383" t="n">
        <v>0</v>
      </c>
      <c r="K383" t="n">
        <v>0</v>
      </c>
      <c r="L383" t="n">
        <v>0</v>
      </c>
      <c r="M383" t="n">
        <v>0</v>
      </c>
      <c r="N383" t="n">
        <v>0</v>
      </c>
      <c r="O383" t="n">
        <v>0</v>
      </c>
      <c r="P383" t="n">
        <v>0</v>
      </c>
      <c r="Q383" t="n">
        <v>0</v>
      </c>
      <c r="R383" s="2" t="inlineStr"/>
    </row>
    <row r="384" ht="15" customHeight="1">
      <c r="A384" t="inlineStr">
        <is>
          <t>A 26573-2025</t>
        </is>
      </c>
      <c r="B384" s="1" t="n">
        <v>45807</v>
      </c>
      <c r="C384" s="1" t="n">
        <v>45974</v>
      </c>
      <c r="D384" t="inlineStr">
        <is>
          <t>DALARNAS LÄN</t>
        </is>
      </c>
      <c r="E384" t="inlineStr">
        <is>
          <t>MORA</t>
        </is>
      </c>
      <c r="G384" t="n">
        <v>4.3</v>
      </c>
      <c r="H384" t="n">
        <v>0</v>
      </c>
      <c r="I384" t="n">
        <v>0</v>
      </c>
      <c r="J384" t="n">
        <v>0</v>
      </c>
      <c r="K384" t="n">
        <v>0</v>
      </c>
      <c r="L384" t="n">
        <v>0</v>
      </c>
      <c r="M384" t="n">
        <v>0</v>
      </c>
      <c r="N384" t="n">
        <v>0</v>
      </c>
      <c r="O384" t="n">
        <v>0</v>
      </c>
      <c r="P384" t="n">
        <v>0</v>
      </c>
      <c r="Q384" t="n">
        <v>0</v>
      </c>
      <c r="R384" s="2" t="inlineStr"/>
    </row>
    <row r="385" ht="15" customHeight="1">
      <c r="A385" t="inlineStr">
        <is>
          <t>A 30819-2024</t>
        </is>
      </c>
      <c r="B385" s="1" t="n">
        <v>45497</v>
      </c>
      <c r="C385" s="1" t="n">
        <v>45974</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35325-2024</t>
        </is>
      </c>
      <c r="B386" s="1" t="n">
        <v>45530.71158564815</v>
      </c>
      <c r="C386" s="1" t="n">
        <v>45974</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26731-2025</t>
        </is>
      </c>
      <c r="B387" s="1" t="n">
        <v>45810.50702546296</v>
      </c>
      <c r="C387" s="1" t="n">
        <v>45974</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20885-2024</t>
        </is>
      </c>
      <c r="B388" s="1" t="n">
        <v>45439.45527777778</v>
      </c>
      <c r="C388" s="1" t="n">
        <v>45974</v>
      </c>
      <c r="D388" t="inlineStr">
        <is>
          <t>DALARNAS LÄN</t>
        </is>
      </c>
      <c r="E388" t="inlineStr">
        <is>
          <t>MORA</t>
        </is>
      </c>
      <c r="G388" t="n">
        <v>5</v>
      </c>
      <c r="H388" t="n">
        <v>0</v>
      </c>
      <c r="I388" t="n">
        <v>0</v>
      </c>
      <c r="J388" t="n">
        <v>0</v>
      </c>
      <c r="K388" t="n">
        <v>0</v>
      </c>
      <c r="L388" t="n">
        <v>0</v>
      </c>
      <c r="M388" t="n">
        <v>0</v>
      </c>
      <c r="N388" t="n">
        <v>0</v>
      </c>
      <c r="O388" t="n">
        <v>0</v>
      </c>
      <c r="P388" t="n">
        <v>0</v>
      </c>
      <c r="Q388" t="n">
        <v>0</v>
      </c>
      <c r="R388" s="2" t="inlineStr"/>
    </row>
    <row r="389" ht="15" customHeight="1">
      <c r="A389" t="inlineStr">
        <is>
          <t>A 66232-2021</t>
        </is>
      </c>
      <c r="B389" s="1" t="n">
        <v>44518.39234953704</v>
      </c>
      <c r="C389" s="1" t="n">
        <v>45974</v>
      </c>
      <c r="D389" t="inlineStr">
        <is>
          <t>DALARNAS LÄN</t>
        </is>
      </c>
      <c r="E389" t="inlineStr">
        <is>
          <t>MORA</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56425-2024</t>
        </is>
      </c>
      <c r="B390" s="1" t="n">
        <v>45625.38677083333</v>
      </c>
      <c r="C390" s="1" t="n">
        <v>45974</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26711-2025</t>
        </is>
      </c>
      <c r="B391" s="1" t="n">
        <v>45810.46144675926</v>
      </c>
      <c r="C391" s="1" t="n">
        <v>45974</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45562-2023</t>
        </is>
      </c>
      <c r="B392" s="1" t="n">
        <v>45194.59378472222</v>
      </c>
      <c r="C392" s="1" t="n">
        <v>45974</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51570-2023</t>
        </is>
      </c>
      <c r="B393" s="1" t="n">
        <v>45222</v>
      </c>
      <c r="C393" s="1" t="n">
        <v>45974</v>
      </c>
      <c r="D393" t="inlineStr">
        <is>
          <t>DALARNAS LÄN</t>
        </is>
      </c>
      <c r="E393" t="inlineStr">
        <is>
          <t>MORA</t>
        </is>
      </c>
      <c r="G393" t="n">
        <v>10.1</v>
      </c>
      <c r="H393" t="n">
        <v>0</v>
      </c>
      <c r="I393" t="n">
        <v>0</v>
      </c>
      <c r="J393" t="n">
        <v>0</v>
      </c>
      <c r="K393" t="n">
        <v>0</v>
      </c>
      <c r="L393" t="n">
        <v>0</v>
      </c>
      <c r="M393" t="n">
        <v>0</v>
      </c>
      <c r="N393" t="n">
        <v>0</v>
      </c>
      <c r="O393" t="n">
        <v>0</v>
      </c>
      <c r="P393" t="n">
        <v>0</v>
      </c>
      <c r="Q393" t="n">
        <v>0</v>
      </c>
      <c r="R393" s="2" t="inlineStr"/>
    </row>
    <row r="394" ht="15" customHeight="1">
      <c r="A394" t="inlineStr">
        <is>
          <t>A 7565-2025</t>
        </is>
      </c>
      <c r="B394" s="1" t="n">
        <v>45705.59269675926</v>
      </c>
      <c r="C394" s="1" t="n">
        <v>45974</v>
      </c>
      <c r="D394" t="inlineStr">
        <is>
          <t>DALARNAS LÄN</t>
        </is>
      </c>
      <c r="E394" t="inlineStr">
        <is>
          <t>MORA</t>
        </is>
      </c>
      <c r="G394" t="n">
        <v>3</v>
      </c>
      <c r="H394" t="n">
        <v>0</v>
      </c>
      <c r="I394" t="n">
        <v>0</v>
      </c>
      <c r="J394" t="n">
        <v>0</v>
      </c>
      <c r="K394" t="n">
        <v>0</v>
      </c>
      <c r="L394" t="n">
        <v>0</v>
      </c>
      <c r="M394" t="n">
        <v>0</v>
      </c>
      <c r="N394" t="n">
        <v>0</v>
      </c>
      <c r="O394" t="n">
        <v>0</v>
      </c>
      <c r="P394" t="n">
        <v>0</v>
      </c>
      <c r="Q394" t="n">
        <v>0</v>
      </c>
      <c r="R394" s="2" t="inlineStr"/>
    </row>
    <row r="395" ht="15" customHeight="1">
      <c r="A395" t="inlineStr">
        <is>
          <t>A 26854-2025</t>
        </is>
      </c>
      <c r="B395" s="1" t="n">
        <v>45810.67462962963</v>
      </c>
      <c r="C395" s="1" t="n">
        <v>45974</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26647-2025</t>
        </is>
      </c>
      <c r="B396" s="1" t="n">
        <v>45810.38439814815</v>
      </c>
      <c r="C396" s="1" t="n">
        <v>45974</v>
      </c>
      <c r="D396" t="inlineStr">
        <is>
          <t>DALARNAS LÄN</t>
        </is>
      </c>
      <c r="E396" t="inlineStr">
        <is>
          <t>MORA</t>
        </is>
      </c>
      <c r="G396" t="n">
        <v>7.9</v>
      </c>
      <c r="H396" t="n">
        <v>0</v>
      </c>
      <c r="I396" t="n">
        <v>0</v>
      </c>
      <c r="J396" t="n">
        <v>0</v>
      </c>
      <c r="K396" t="n">
        <v>0</v>
      </c>
      <c r="L396" t="n">
        <v>0</v>
      </c>
      <c r="M396" t="n">
        <v>0</v>
      </c>
      <c r="N396" t="n">
        <v>0</v>
      </c>
      <c r="O396" t="n">
        <v>0</v>
      </c>
      <c r="P396" t="n">
        <v>0</v>
      </c>
      <c r="Q396" t="n">
        <v>0</v>
      </c>
      <c r="R396" s="2" t="inlineStr"/>
    </row>
    <row r="397" ht="15" customHeight="1">
      <c r="A397" t="inlineStr">
        <is>
          <t>A 3430-2023</t>
        </is>
      </c>
      <c r="B397" s="1" t="n">
        <v>44949.57856481482</v>
      </c>
      <c r="C397" s="1" t="n">
        <v>45974</v>
      </c>
      <c r="D397" t="inlineStr">
        <is>
          <t>DALARNAS LÄN</t>
        </is>
      </c>
      <c r="E397" t="inlineStr">
        <is>
          <t>MORA</t>
        </is>
      </c>
      <c r="G397" t="n">
        <v>2.6</v>
      </c>
      <c r="H397" t="n">
        <v>0</v>
      </c>
      <c r="I397" t="n">
        <v>0</v>
      </c>
      <c r="J397" t="n">
        <v>0</v>
      </c>
      <c r="K397" t="n">
        <v>0</v>
      </c>
      <c r="L397" t="n">
        <v>0</v>
      </c>
      <c r="M397" t="n">
        <v>0</v>
      </c>
      <c r="N397" t="n">
        <v>0</v>
      </c>
      <c r="O397" t="n">
        <v>0</v>
      </c>
      <c r="P397" t="n">
        <v>0</v>
      </c>
      <c r="Q397" t="n">
        <v>0</v>
      </c>
      <c r="R397" s="2" t="inlineStr"/>
    </row>
    <row r="398" ht="15" customHeight="1">
      <c r="A398" t="inlineStr">
        <is>
          <t>A 59995-2023</t>
        </is>
      </c>
      <c r="B398" s="1" t="n">
        <v>45254</v>
      </c>
      <c r="C398" s="1" t="n">
        <v>45974</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15172-2025</t>
        </is>
      </c>
      <c r="B399" s="1" t="n">
        <v>45744.50722222222</v>
      </c>
      <c r="C399" s="1" t="n">
        <v>45974</v>
      </c>
      <c r="D399" t="inlineStr">
        <is>
          <t>DALARNAS LÄN</t>
        </is>
      </c>
      <c r="E399" t="inlineStr">
        <is>
          <t>MORA</t>
        </is>
      </c>
      <c r="G399" t="n">
        <v>3.2</v>
      </c>
      <c r="H399" t="n">
        <v>0</v>
      </c>
      <c r="I399" t="n">
        <v>0</v>
      </c>
      <c r="J399" t="n">
        <v>0</v>
      </c>
      <c r="K399" t="n">
        <v>0</v>
      </c>
      <c r="L399" t="n">
        <v>0</v>
      </c>
      <c r="M399" t="n">
        <v>0</v>
      </c>
      <c r="N399" t="n">
        <v>0</v>
      </c>
      <c r="O399" t="n">
        <v>0</v>
      </c>
      <c r="P399" t="n">
        <v>0</v>
      </c>
      <c r="Q399" t="n">
        <v>0</v>
      </c>
      <c r="R399" s="2" t="inlineStr"/>
    </row>
    <row r="400" ht="15" customHeight="1">
      <c r="A400" t="inlineStr">
        <is>
          <t>A 56460-2022</t>
        </is>
      </c>
      <c r="B400" s="1" t="n">
        <v>44893</v>
      </c>
      <c r="C400" s="1" t="n">
        <v>45974</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26630-2025</t>
        </is>
      </c>
      <c r="B401" s="1" t="n">
        <v>45809</v>
      </c>
      <c r="C401" s="1" t="n">
        <v>45974</v>
      </c>
      <c r="D401" t="inlineStr">
        <is>
          <t>DALARNAS LÄN</t>
        </is>
      </c>
      <c r="E401" t="inlineStr">
        <is>
          <t>MORA</t>
        </is>
      </c>
      <c r="G401" t="n">
        <v>32.1</v>
      </c>
      <c r="H401" t="n">
        <v>0</v>
      </c>
      <c r="I401" t="n">
        <v>0</v>
      </c>
      <c r="J401" t="n">
        <v>0</v>
      </c>
      <c r="K401" t="n">
        <v>0</v>
      </c>
      <c r="L401" t="n">
        <v>0</v>
      </c>
      <c r="M401" t="n">
        <v>0</v>
      </c>
      <c r="N401" t="n">
        <v>0</v>
      </c>
      <c r="O401" t="n">
        <v>0</v>
      </c>
      <c r="P401" t="n">
        <v>0</v>
      </c>
      <c r="Q401" t="n">
        <v>0</v>
      </c>
      <c r="R401" s="2" t="inlineStr"/>
    </row>
    <row r="402" ht="15" customHeight="1">
      <c r="A402" t="inlineStr">
        <is>
          <t>A 437-2024</t>
        </is>
      </c>
      <c r="B402" s="1" t="n">
        <v>45296</v>
      </c>
      <c r="C402" s="1" t="n">
        <v>45974</v>
      </c>
      <c r="D402" t="inlineStr">
        <is>
          <t>DALARNAS LÄN</t>
        </is>
      </c>
      <c r="E402" t="inlineStr">
        <is>
          <t>MORA</t>
        </is>
      </c>
      <c r="G402" t="n">
        <v>1.6</v>
      </c>
      <c r="H402" t="n">
        <v>0</v>
      </c>
      <c r="I402" t="n">
        <v>0</v>
      </c>
      <c r="J402" t="n">
        <v>0</v>
      </c>
      <c r="K402" t="n">
        <v>0</v>
      </c>
      <c r="L402" t="n">
        <v>0</v>
      </c>
      <c r="M402" t="n">
        <v>0</v>
      </c>
      <c r="N402" t="n">
        <v>0</v>
      </c>
      <c r="O402" t="n">
        <v>0</v>
      </c>
      <c r="P402" t="n">
        <v>0</v>
      </c>
      <c r="Q402" t="n">
        <v>0</v>
      </c>
      <c r="R402" s="2" t="inlineStr"/>
    </row>
    <row r="403" ht="15" customHeight="1">
      <c r="A403" t="inlineStr">
        <is>
          <t>A 27194-2025</t>
        </is>
      </c>
      <c r="B403" s="1" t="n">
        <v>45812.37965277778</v>
      </c>
      <c r="C403" s="1" t="n">
        <v>45974</v>
      </c>
      <c r="D403" t="inlineStr">
        <is>
          <t>DALARNAS LÄN</t>
        </is>
      </c>
      <c r="E403" t="inlineStr">
        <is>
          <t>MORA</t>
        </is>
      </c>
      <c r="G403" t="n">
        <v>2.4</v>
      </c>
      <c r="H403" t="n">
        <v>0</v>
      </c>
      <c r="I403" t="n">
        <v>0</v>
      </c>
      <c r="J403" t="n">
        <v>0</v>
      </c>
      <c r="K403" t="n">
        <v>0</v>
      </c>
      <c r="L403" t="n">
        <v>0</v>
      </c>
      <c r="M403" t="n">
        <v>0</v>
      </c>
      <c r="N403" t="n">
        <v>0</v>
      </c>
      <c r="O403" t="n">
        <v>0</v>
      </c>
      <c r="P403" t="n">
        <v>0</v>
      </c>
      <c r="Q403" t="n">
        <v>0</v>
      </c>
      <c r="R403" s="2" t="inlineStr"/>
    </row>
    <row r="404" ht="15" customHeight="1">
      <c r="A404" t="inlineStr">
        <is>
          <t>A 39897-2022</t>
        </is>
      </c>
      <c r="B404" s="1" t="n">
        <v>44819.66083333334</v>
      </c>
      <c r="C404" s="1" t="n">
        <v>45974</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17268-2025</t>
        </is>
      </c>
      <c r="B405" s="1" t="n">
        <v>45756</v>
      </c>
      <c r="C405" s="1" t="n">
        <v>45974</v>
      </c>
      <c r="D405" t="inlineStr">
        <is>
          <t>DALARNAS LÄN</t>
        </is>
      </c>
      <c r="E405" t="inlineStr">
        <is>
          <t>MORA</t>
        </is>
      </c>
      <c r="G405" t="n">
        <v>6.8</v>
      </c>
      <c r="H405" t="n">
        <v>0</v>
      </c>
      <c r="I405" t="n">
        <v>0</v>
      </c>
      <c r="J405" t="n">
        <v>0</v>
      </c>
      <c r="K405" t="n">
        <v>0</v>
      </c>
      <c r="L405" t="n">
        <v>0</v>
      </c>
      <c r="M405" t="n">
        <v>0</v>
      </c>
      <c r="N405" t="n">
        <v>0</v>
      </c>
      <c r="O405" t="n">
        <v>0</v>
      </c>
      <c r="P405" t="n">
        <v>0</v>
      </c>
      <c r="Q405" t="n">
        <v>0</v>
      </c>
      <c r="R405" s="2" t="inlineStr"/>
    </row>
    <row r="406" ht="15" customHeight="1">
      <c r="A406" t="inlineStr">
        <is>
          <t>A 62853-2023</t>
        </is>
      </c>
      <c r="B406" s="1" t="n">
        <v>45272</v>
      </c>
      <c r="C406" s="1" t="n">
        <v>45974</v>
      </c>
      <c r="D406" t="inlineStr">
        <is>
          <t>DALARNAS LÄN</t>
        </is>
      </c>
      <c r="E406" t="inlineStr">
        <is>
          <t>MORA</t>
        </is>
      </c>
      <c r="G406" t="n">
        <v>13.6</v>
      </c>
      <c r="H406" t="n">
        <v>0</v>
      </c>
      <c r="I406" t="n">
        <v>0</v>
      </c>
      <c r="J406" t="n">
        <v>0</v>
      </c>
      <c r="K406" t="n">
        <v>0</v>
      </c>
      <c r="L406" t="n">
        <v>0</v>
      </c>
      <c r="M406" t="n">
        <v>0</v>
      </c>
      <c r="N406" t="n">
        <v>0</v>
      </c>
      <c r="O406" t="n">
        <v>0</v>
      </c>
      <c r="P406" t="n">
        <v>0</v>
      </c>
      <c r="Q406" t="n">
        <v>0</v>
      </c>
      <c r="R406" s="2" t="inlineStr"/>
    </row>
    <row r="407" ht="15" customHeight="1">
      <c r="A407" t="inlineStr">
        <is>
          <t>A 27642-2025</t>
        </is>
      </c>
      <c r="B407" s="1" t="n">
        <v>45813.59405092592</v>
      </c>
      <c r="C407" s="1" t="n">
        <v>45974</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60673-2023</t>
        </is>
      </c>
      <c r="B408" s="1" t="n">
        <v>45260.46438657407</v>
      </c>
      <c r="C408" s="1" t="n">
        <v>45974</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27184-2025</t>
        </is>
      </c>
      <c r="B409" s="1" t="n">
        <v>45812.36133101852</v>
      </c>
      <c r="C409" s="1" t="n">
        <v>45974</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31395-2024</t>
        </is>
      </c>
      <c r="B410" s="1" t="n">
        <v>45505.47716435185</v>
      </c>
      <c r="C410" s="1" t="n">
        <v>45974</v>
      </c>
      <c r="D410" t="inlineStr">
        <is>
          <t>DALARNAS LÄN</t>
        </is>
      </c>
      <c r="E410" t="inlineStr">
        <is>
          <t>MORA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11919-2024</t>
        </is>
      </c>
      <c r="B411" s="1" t="n">
        <v>45376.61019675926</v>
      </c>
      <c r="C411" s="1" t="n">
        <v>45974</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27177-2025</t>
        </is>
      </c>
      <c r="B412" s="1" t="n">
        <v>45812.3533912037</v>
      </c>
      <c r="C412" s="1" t="n">
        <v>45974</v>
      </c>
      <c r="D412" t="inlineStr">
        <is>
          <t>DALARNAS LÄN</t>
        </is>
      </c>
      <c r="E412" t="inlineStr">
        <is>
          <t>MORA</t>
        </is>
      </c>
      <c r="F412" t="inlineStr">
        <is>
          <t>Bergvik skog öst AB</t>
        </is>
      </c>
      <c r="G412" t="n">
        <v>2.5</v>
      </c>
      <c r="H412" t="n">
        <v>0</v>
      </c>
      <c r="I412" t="n">
        <v>0</v>
      </c>
      <c r="J412" t="n">
        <v>0</v>
      </c>
      <c r="K412" t="n">
        <v>0</v>
      </c>
      <c r="L412" t="n">
        <v>0</v>
      </c>
      <c r="M412" t="n">
        <v>0</v>
      </c>
      <c r="N412" t="n">
        <v>0</v>
      </c>
      <c r="O412" t="n">
        <v>0</v>
      </c>
      <c r="P412" t="n">
        <v>0</v>
      </c>
      <c r="Q412" t="n">
        <v>0</v>
      </c>
      <c r="R412" s="2" t="inlineStr"/>
    </row>
    <row r="413" ht="15" customHeight="1">
      <c r="A413" t="inlineStr">
        <is>
          <t>A 14611-2025</t>
        </is>
      </c>
      <c r="B413" s="1" t="n">
        <v>45742.38511574074</v>
      </c>
      <c r="C413" s="1" t="n">
        <v>45974</v>
      </c>
      <c r="D413" t="inlineStr">
        <is>
          <t>DALARNAS LÄN</t>
        </is>
      </c>
      <c r="E413" t="inlineStr">
        <is>
          <t>MORA</t>
        </is>
      </c>
      <c r="F413" t="inlineStr">
        <is>
          <t>Bergvik skog väst AB</t>
        </is>
      </c>
      <c r="G413" t="n">
        <v>2.9</v>
      </c>
      <c r="H413" t="n">
        <v>0</v>
      </c>
      <c r="I413" t="n">
        <v>0</v>
      </c>
      <c r="J413" t="n">
        <v>0</v>
      </c>
      <c r="K413" t="n">
        <v>0</v>
      </c>
      <c r="L413" t="n">
        <v>0</v>
      </c>
      <c r="M413" t="n">
        <v>0</v>
      </c>
      <c r="N413" t="n">
        <v>0</v>
      </c>
      <c r="O413" t="n">
        <v>0</v>
      </c>
      <c r="P413" t="n">
        <v>0</v>
      </c>
      <c r="Q413" t="n">
        <v>0</v>
      </c>
      <c r="R413" s="2" t="inlineStr"/>
    </row>
    <row r="414" ht="15" customHeight="1">
      <c r="A414" t="inlineStr">
        <is>
          <t>A 27175-2025</t>
        </is>
      </c>
      <c r="B414" s="1" t="n">
        <v>45812.35072916667</v>
      </c>
      <c r="C414" s="1" t="n">
        <v>45974</v>
      </c>
      <c r="D414" t="inlineStr">
        <is>
          <t>DALARNAS LÄN</t>
        </is>
      </c>
      <c r="E414" t="inlineStr">
        <is>
          <t>MORA</t>
        </is>
      </c>
      <c r="F414" t="inlineStr">
        <is>
          <t>Bergvik skog öst AB</t>
        </is>
      </c>
      <c r="G414" t="n">
        <v>4</v>
      </c>
      <c r="H414" t="n">
        <v>0</v>
      </c>
      <c r="I414" t="n">
        <v>0</v>
      </c>
      <c r="J414" t="n">
        <v>0</v>
      </c>
      <c r="K414" t="n">
        <v>0</v>
      </c>
      <c r="L414" t="n">
        <v>0</v>
      </c>
      <c r="M414" t="n">
        <v>0</v>
      </c>
      <c r="N414" t="n">
        <v>0</v>
      </c>
      <c r="O414" t="n">
        <v>0</v>
      </c>
      <c r="P414" t="n">
        <v>0</v>
      </c>
      <c r="Q414" t="n">
        <v>0</v>
      </c>
      <c r="R414" s="2" t="inlineStr"/>
    </row>
    <row r="415" ht="15" customHeight="1">
      <c r="A415" t="inlineStr">
        <is>
          <t>A 1897-2023</t>
        </is>
      </c>
      <c r="B415" s="1" t="n">
        <v>44937</v>
      </c>
      <c r="C415" s="1" t="n">
        <v>45974</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60847-2021</t>
        </is>
      </c>
      <c r="B416" s="1" t="n">
        <v>44497</v>
      </c>
      <c r="C416" s="1" t="n">
        <v>45974</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37385-2022</t>
        </is>
      </c>
      <c r="B417" s="1" t="n">
        <v>44806</v>
      </c>
      <c r="C417" s="1" t="n">
        <v>45974</v>
      </c>
      <c r="D417" t="inlineStr">
        <is>
          <t>DALARNAS LÄN</t>
        </is>
      </c>
      <c r="E417" t="inlineStr">
        <is>
          <t>MORA</t>
        </is>
      </c>
      <c r="G417" t="n">
        <v>2.2</v>
      </c>
      <c r="H417" t="n">
        <v>0</v>
      </c>
      <c r="I417" t="n">
        <v>0</v>
      </c>
      <c r="J417" t="n">
        <v>0</v>
      </c>
      <c r="K417" t="n">
        <v>0</v>
      </c>
      <c r="L417" t="n">
        <v>0</v>
      </c>
      <c r="M417" t="n">
        <v>0</v>
      </c>
      <c r="N417" t="n">
        <v>0</v>
      </c>
      <c r="O417" t="n">
        <v>0</v>
      </c>
      <c r="P417" t="n">
        <v>0</v>
      </c>
      <c r="Q417" t="n">
        <v>0</v>
      </c>
      <c r="R417" s="2" t="inlineStr"/>
    </row>
    <row r="418" ht="15" customHeight="1">
      <c r="A418" t="inlineStr">
        <is>
          <t>A 15435-2024</t>
        </is>
      </c>
      <c r="B418" s="1" t="n">
        <v>45401.40806712963</v>
      </c>
      <c r="C418" s="1" t="n">
        <v>45974</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31085-2024</t>
        </is>
      </c>
      <c r="B419" s="1" t="n">
        <v>45502.48047453703</v>
      </c>
      <c r="C419" s="1" t="n">
        <v>45974</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43863-2023</t>
        </is>
      </c>
      <c r="B420" s="1" t="n">
        <v>45187.62532407408</v>
      </c>
      <c r="C420" s="1" t="n">
        <v>45974</v>
      </c>
      <c r="D420" t="inlineStr">
        <is>
          <t>DALARNAS LÄN</t>
        </is>
      </c>
      <c r="E420" t="inlineStr">
        <is>
          <t>MORA</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28033-2025</t>
        </is>
      </c>
      <c r="B421" s="1" t="n">
        <v>45817.6325462963</v>
      </c>
      <c r="C421" s="1" t="n">
        <v>45974</v>
      </c>
      <c r="D421" t="inlineStr">
        <is>
          <t>DALARNAS LÄN</t>
        </is>
      </c>
      <c r="E421" t="inlineStr">
        <is>
          <t>MORA</t>
        </is>
      </c>
      <c r="F421" t="inlineStr">
        <is>
          <t>Bergvik skog öst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60051-2022</t>
        </is>
      </c>
      <c r="B422" s="1" t="n">
        <v>44909.52385416667</v>
      </c>
      <c r="C422" s="1" t="n">
        <v>45974</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24465-2021</t>
        </is>
      </c>
      <c r="B423" s="1" t="n">
        <v>44337</v>
      </c>
      <c r="C423" s="1" t="n">
        <v>45974</v>
      </c>
      <c r="D423" t="inlineStr">
        <is>
          <t>DALARNAS LÄN</t>
        </is>
      </c>
      <c r="E423" t="inlineStr">
        <is>
          <t>MORA</t>
        </is>
      </c>
      <c r="G423" t="n">
        <v>2.6</v>
      </c>
      <c r="H423" t="n">
        <v>0</v>
      </c>
      <c r="I423" t="n">
        <v>0</v>
      </c>
      <c r="J423" t="n">
        <v>0</v>
      </c>
      <c r="K423" t="n">
        <v>0</v>
      </c>
      <c r="L423" t="n">
        <v>0</v>
      </c>
      <c r="M423" t="n">
        <v>0</v>
      </c>
      <c r="N423" t="n">
        <v>0</v>
      </c>
      <c r="O423" t="n">
        <v>0</v>
      </c>
      <c r="P423" t="n">
        <v>0</v>
      </c>
      <c r="Q423" t="n">
        <v>0</v>
      </c>
      <c r="R423" s="2" t="inlineStr"/>
    </row>
    <row r="424" ht="15" customHeight="1">
      <c r="A424" t="inlineStr">
        <is>
          <t>A 13262-2022</t>
        </is>
      </c>
      <c r="B424" s="1" t="n">
        <v>44644.70184027778</v>
      </c>
      <c r="C424" s="1" t="n">
        <v>45974</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61270-2024</t>
        </is>
      </c>
      <c r="B425" s="1" t="n">
        <v>45645.74694444444</v>
      </c>
      <c r="C425" s="1" t="n">
        <v>45974</v>
      </c>
      <c r="D425" t="inlineStr">
        <is>
          <t>DALARNAS LÄN</t>
        </is>
      </c>
      <c r="E425" t="inlineStr">
        <is>
          <t>MORA</t>
        </is>
      </c>
      <c r="G425" t="n">
        <v>5.1</v>
      </c>
      <c r="H425" t="n">
        <v>0</v>
      </c>
      <c r="I425" t="n">
        <v>0</v>
      </c>
      <c r="J425" t="n">
        <v>0</v>
      </c>
      <c r="K425" t="n">
        <v>0</v>
      </c>
      <c r="L425" t="n">
        <v>0</v>
      </c>
      <c r="M425" t="n">
        <v>0</v>
      </c>
      <c r="N425" t="n">
        <v>0</v>
      </c>
      <c r="O425" t="n">
        <v>0</v>
      </c>
      <c r="P425" t="n">
        <v>0</v>
      </c>
      <c r="Q425" t="n">
        <v>0</v>
      </c>
      <c r="R425" s="2" t="inlineStr"/>
    </row>
    <row r="426" ht="15" customHeight="1">
      <c r="A426" t="inlineStr">
        <is>
          <t>A 56767-2023</t>
        </is>
      </c>
      <c r="B426" s="1" t="n">
        <v>45244</v>
      </c>
      <c r="C426" s="1" t="n">
        <v>45974</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50056-2022</t>
        </is>
      </c>
      <c r="B427" s="1" t="n">
        <v>44865</v>
      </c>
      <c r="C427" s="1" t="n">
        <v>45974</v>
      </c>
      <c r="D427" t="inlineStr">
        <is>
          <t>DALARNAS LÄN</t>
        </is>
      </c>
      <c r="E427" t="inlineStr">
        <is>
          <t>MORA</t>
        </is>
      </c>
      <c r="G427" t="n">
        <v>1.2</v>
      </c>
      <c r="H427" t="n">
        <v>0</v>
      </c>
      <c r="I427" t="n">
        <v>0</v>
      </c>
      <c r="J427" t="n">
        <v>0</v>
      </c>
      <c r="K427" t="n">
        <v>0</v>
      </c>
      <c r="L427" t="n">
        <v>0</v>
      </c>
      <c r="M427" t="n">
        <v>0</v>
      </c>
      <c r="N427" t="n">
        <v>0</v>
      </c>
      <c r="O427" t="n">
        <v>0</v>
      </c>
      <c r="P427" t="n">
        <v>0</v>
      </c>
      <c r="Q427" t="n">
        <v>0</v>
      </c>
      <c r="R427" s="2" t="inlineStr"/>
    </row>
    <row r="428" ht="15" customHeight="1">
      <c r="A428" t="inlineStr">
        <is>
          <t>A 20930-2024</t>
        </is>
      </c>
      <c r="B428" s="1" t="n">
        <v>45439.51907407407</v>
      </c>
      <c r="C428" s="1" t="n">
        <v>45974</v>
      </c>
      <c r="D428" t="inlineStr">
        <is>
          <t>DALARNAS LÄN</t>
        </is>
      </c>
      <c r="E428" t="inlineStr">
        <is>
          <t>MORA</t>
        </is>
      </c>
      <c r="F428" t="inlineStr">
        <is>
          <t>Bergvik skog väst AB</t>
        </is>
      </c>
      <c r="G428" t="n">
        <v>5.3</v>
      </c>
      <c r="H428" t="n">
        <v>0</v>
      </c>
      <c r="I428" t="n">
        <v>0</v>
      </c>
      <c r="J428" t="n">
        <v>0</v>
      </c>
      <c r="K428" t="n">
        <v>0</v>
      </c>
      <c r="L428" t="n">
        <v>0</v>
      </c>
      <c r="M428" t="n">
        <v>0</v>
      </c>
      <c r="N428" t="n">
        <v>0</v>
      </c>
      <c r="O428" t="n">
        <v>0</v>
      </c>
      <c r="P428" t="n">
        <v>0</v>
      </c>
      <c r="Q428" t="n">
        <v>0</v>
      </c>
      <c r="R428" s="2" t="inlineStr"/>
    </row>
    <row r="429" ht="15" customHeight="1">
      <c r="A429" t="inlineStr">
        <is>
          <t>A 42611-2022</t>
        </is>
      </c>
      <c r="B429" s="1" t="n">
        <v>44831.81482638889</v>
      </c>
      <c r="C429" s="1" t="n">
        <v>45974</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15499-2024</t>
        </is>
      </c>
      <c r="B430" s="1" t="n">
        <v>45401.53798611111</v>
      </c>
      <c r="C430" s="1" t="n">
        <v>45974</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68415-2021</t>
        </is>
      </c>
      <c r="B431" s="1" t="n">
        <v>44529</v>
      </c>
      <c r="C431" s="1" t="n">
        <v>45974</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29068-2025</t>
        </is>
      </c>
      <c r="B432" s="1" t="n">
        <v>45821.50900462963</v>
      </c>
      <c r="C432" s="1" t="n">
        <v>45974</v>
      </c>
      <c r="D432" t="inlineStr">
        <is>
          <t>DALARNAS LÄN</t>
        </is>
      </c>
      <c r="E432" t="inlineStr">
        <is>
          <t>MORA</t>
        </is>
      </c>
      <c r="G432" t="n">
        <v>1.2</v>
      </c>
      <c r="H432" t="n">
        <v>0</v>
      </c>
      <c r="I432" t="n">
        <v>0</v>
      </c>
      <c r="J432" t="n">
        <v>0</v>
      </c>
      <c r="K432" t="n">
        <v>0</v>
      </c>
      <c r="L432" t="n">
        <v>0</v>
      </c>
      <c r="M432" t="n">
        <v>0</v>
      </c>
      <c r="N432" t="n">
        <v>0</v>
      </c>
      <c r="O432" t="n">
        <v>0</v>
      </c>
      <c r="P432" t="n">
        <v>0</v>
      </c>
      <c r="Q432" t="n">
        <v>0</v>
      </c>
      <c r="R432" s="2" t="inlineStr"/>
    </row>
    <row r="433" ht="15" customHeight="1">
      <c r="A433" t="inlineStr">
        <is>
          <t>A 28976-2025</t>
        </is>
      </c>
      <c r="B433" s="1" t="n">
        <v>45821.34855324074</v>
      </c>
      <c r="C433" s="1" t="n">
        <v>45974</v>
      </c>
      <c r="D433" t="inlineStr">
        <is>
          <t>DALARNAS LÄN</t>
        </is>
      </c>
      <c r="E433" t="inlineStr">
        <is>
          <t>MORA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28925-2025</t>
        </is>
      </c>
      <c r="B434" s="1" t="n">
        <v>45820.67107638889</v>
      </c>
      <c r="C434" s="1" t="n">
        <v>45974</v>
      </c>
      <c r="D434" t="inlineStr">
        <is>
          <t>DALARNAS LÄN</t>
        </is>
      </c>
      <c r="E434" t="inlineStr">
        <is>
          <t>MORA</t>
        </is>
      </c>
      <c r="G434" t="n">
        <v>3.7</v>
      </c>
      <c r="H434" t="n">
        <v>0</v>
      </c>
      <c r="I434" t="n">
        <v>0</v>
      </c>
      <c r="J434" t="n">
        <v>0</v>
      </c>
      <c r="K434" t="n">
        <v>0</v>
      </c>
      <c r="L434" t="n">
        <v>0</v>
      </c>
      <c r="M434" t="n">
        <v>0</v>
      </c>
      <c r="N434" t="n">
        <v>0</v>
      </c>
      <c r="O434" t="n">
        <v>0</v>
      </c>
      <c r="P434" t="n">
        <v>0</v>
      </c>
      <c r="Q434" t="n">
        <v>0</v>
      </c>
      <c r="R434" s="2" t="inlineStr"/>
    </row>
    <row r="435" ht="15" customHeight="1">
      <c r="A435" t="inlineStr">
        <is>
          <t>A 28927-2025</t>
        </is>
      </c>
      <c r="B435" s="1" t="n">
        <v>45820.67221064815</v>
      </c>
      <c r="C435" s="1" t="n">
        <v>45974</v>
      </c>
      <c r="D435" t="inlineStr">
        <is>
          <t>DALARNAS LÄN</t>
        </is>
      </c>
      <c r="E435" t="inlineStr">
        <is>
          <t>MORA</t>
        </is>
      </c>
      <c r="G435" t="n">
        <v>0.4</v>
      </c>
      <c r="H435" t="n">
        <v>0</v>
      </c>
      <c r="I435" t="n">
        <v>0</v>
      </c>
      <c r="J435" t="n">
        <v>0</v>
      </c>
      <c r="K435" t="n">
        <v>0</v>
      </c>
      <c r="L435" t="n">
        <v>0</v>
      </c>
      <c r="M435" t="n">
        <v>0</v>
      </c>
      <c r="N435" t="n">
        <v>0</v>
      </c>
      <c r="O435" t="n">
        <v>0</v>
      </c>
      <c r="P435" t="n">
        <v>0</v>
      </c>
      <c r="Q435" t="n">
        <v>0</v>
      </c>
      <c r="R435" s="2" t="inlineStr"/>
    </row>
    <row r="436" ht="15" customHeight="1">
      <c r="A436" t="inlineStr">
        <is>
          <t>A 42391-2023</t>
        </is>
      </c>
      <c r="B436" s="1" t="n">
        <v>45180</v>
      </c>
      <c r="C436" s="1" t="n">
        <v>45974</v>
      </c>
      <c r="D436" t="inlineStr">
        <is>
          <t>DALARNAS LÄN</t>
        </is>
      </c>
      <c r="E436" t="inlineStr">
        <is>
          <t>MORA</t>
        </is>
      </c>
      <c r="F436" t="inlineStr">
        <is>
          <t>Kommuner</t>
        </is>
      </c>
      <c r="G436" t="n">
        <v>0.3</v>
      </c>
      <c r="H436" t="n">
        <v>0</v>
      </c>
      <c r="I436" t="n">
        <v>0</v>
      </c>
      <c r="J436" t="n">
        <v>0</v>
      </c>
      <c r="K436" t="n">
        <v>0</v>
      </c>
      <c r="L436" t="n">
        <v>0</v>
      </c>
      <c r="M436" t="n">
        <v>0</v>
      </c>
      <c r="N436" t="n">
        <v>0</v>
      </c>
      <c r="O436" t="n">
        <v>0</v>
      </c>
      <c r="P436" t="n">
        <v>0</v>
      </c>
      <c r="Q436" t="n">
        <v>0</v>
      </c>
      <c r="R436" s="2" t="inlineStr"/>
    </row>
    <row r="437" ht="15" customHeight="1">
      <c r="A437" t="inlineStr">
        <is>
          <t>A 28924-2025</t>
        </is>
      </c>
      <c r="B437" s="1" t="n">
        <v>45820.66846064815</v>
      </c>
      <c r="C437" s="1" t="n">
        <v>45974</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15643-2025</t>
        </is>
      </c>
      <c r="B438" s="1" t="n">
        <v>45748.39222222222</v>
      </c>
      <c r="C438" s="1" t="n">
        <v>45974</v>
      </c>
      <c r="D438" t="inlineStr">
        <is>
          <t>DALARNAS LÄN</t>
        </is>
      </c>
      <c r="E438" t="inlineStr">
        <is>
          <t>MORA</t>
        </is>
      </c>
      <c r="G438" t="n">
        <v>7.6</v>
      </c>
      <c r="H438" t="n">
        <v>0</v>
      </c>
      <c r="I438" t="n">
        <v>0</v>
      </c>
      <c r="J438" t="n">
        <v>0</v>
      </c>
      <c r="K438" t="n">
        <v>0</v>
      </c>
      <c r="L438" t="n">
        <v>0</v>
      </c>
      <c r="M438" t="n">
        <v>0</v>
      </c>
      <c r="N438" t="n">
        <v>0</v>
      </c>
      <c r="O438" t="n">
        <v>0</v>
      </c>
      <c r="P438" t="n">
        <v>0</v>
      </c>
      <c r="Q438" t="n">
        <v>0</v>
      </c>
      <c r="R438" s="2" t="inlineStr"/>
    </row>
    <row r="439" ht="15" customHeight="1">
      <c r="A439" t="inlineStr">
        <is>
          <t>A 28751-2025</t>
        </is>
      </c>
      <c r="B439" s="1" t="n">
        <v>45820.40034722222</v>
      </c>
      <c r="C439" s="1" t="n">
        <v>45974</v>
      </c>
      <c r="D439" t="inlineStr">
        <is>
          <t>DALARNAS LÄN</t>
        </is>
      </c>
      <c r="E439" t="inlineStr">
        <is>
          <t>MORA</t>
        </is>
      </c>
      <c r="F439" t="inlineStr">
        <is>
          <t>Bergvik skog öst AB</t>
        </is>
      </c>
      <c r="G439" t="n">
        <v>1</v>
      </c>
      <c r="H439" t="n">
        <v>0</v>
      </c>
      <c r="I439" t="n">
        <v>0</v>
      </c>
      <c r="J439" t="n">
        <v>0</v>
      </c>
      <c r="K439" t="n">
        <v>0</v>
      </c>
      <c r="L439" t="n">
        <v>0</v>
      </c>
      <c r="M439" t="n">
        <v>0</v>
      </c>
      <c r="N439" t="n">
        <v>0</v>
      </c>
      <c r="O439" t="n">
        <v>0</v>
      </c>
      <c r="P439" t="n">
        <v>0</v>
      </c>
      <c r="Q439" t="n">
        <v>0</v>
      </c>
      <c r="R439" s="2" t="inlineStr"/>
    </row>
    <row r="440" ht="15" customHeight="1">
      <c r="A440" t="inlineStr">
        <is>
          <t>A 46755-2023</t>
        </is>
      </c>
      <c r="B440" s="1" t="n">
        <v>45198.61314814815</v>
      </c>
      <c r="C440" s="1" t="n">
        <v>45974</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70141-2021</t>
        </is>
      </c>
      <c r="B441" s="1" t="n">
        <v>44533</v>
      </c>
      <c r="C441" s="1" t="n">
        <v>45974</v>
      </c>
      <c r="D441" t="inlineStr">
        <is>
          <t>DALARNAS LÄN</t>
        </is>
      </c>
      <c r="E441" t="inlineStr">
        <is>
          <t>MORA</t>
        </is>
      </c>
      <c r="G441" t="n">
        <v>4.1</v>
      </c>
      <c r="H441" t="n">
        <v>0</v>
      </c>
      <c r="I441" t="n">
        <v>0</v>
      </c>
      <c r="J441" t="n">
        <v>0</v>
      </c>
      <c r="K441" t="n">
        <v>0</v>
      </c>
      <c r="L441" t="n">
        <v>0</v>
      </c>
      <c r="M441" t="n">
        <v>0</v>
      </c>
      <c r="N441" t="n">
        <v>0</v>
      </c>
      <c r="O441" t="n">
        <v>0</v>
      </c>
      <c r="P441" t="n">
        <v>0</v>
      </c>
      <c r="Q441" t="n">
        <v>0</v>
      </c>
      <c r="R441" s="2" t="inlineStr"/>
    </row>
    <row r="442" ht="15" customHeight="1">
      <c r="A442" t="inlineStr">
        <is>
          <t>A 64093-2023</t>
        </is>
      </c>
      <c r="B442" s="1" t="n">
        <v>45279</v>
      </c>
      <c r="C442" s="1" t="n">
        <v>45974</v>
      </c>
      <c r="D442" t="inlineStr">
        <is>
          <t>DALARNAS LÄN</t>
        </is>
      </c>
      <c r="E442" t="inlineStr">
        <is>
          <t>MORA</t>
        </is>
      </c>
      <c r="G442" t="n">
        <v>0.9</v>
      </c>
      <c r="H442" t="n">
        <v>0</v>
      </c>
      <c r="I442" t="n">
        <v>0</v>
      </c>
      <c r="J442" t="n">
        <v>0</v>
      </c>
      <c r="K442" t="n">
        <v>0</v>
      </c>
      <c r="L442" t="n">
        <v>0</v>
      </c>
      <c r="M442" t="n">
        <v>0</v>
      </c>
      <c r="N442" t="n">
        <v>0</v>
      </c>
      <c r="O442" t="n">
        <v>0</v>
      </c>
      <c r="P442" t="n">
        <v>0</v>
      </c>
      <c r="Q442" t="n">
        <v>0</v>
      </c>
      <c r="R442" s="2" t="inlineStr"/>
    </row>
    <row r="443" ht="15" customHeight="1">
      <c r="A443" t="inlineStr">
        <is>
          <t>A 18122-2025</t>
        </is>
      </c>
      <c r="B443" s="1" t="n">
        <v>45761.59221064814</v>
      </c>
      <c r="C443" s="1" t="n">
        <v>45974</v>
      </c>
      <c r="D443" t="inlineStr">
        <is>
          <t>DALARNAS LÄN</t>
        </is>
      </c>
      <c r="E443" t="inlineStr">
        <is>
          <t>MORA</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29528-2025</t>
        </is>
      </c>
      <c r="B444" s="1" t="n">
        <v>45825.34322916667</v>
      </c>
      <c r="C444" s="1" t="n">
        <v>45974</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29440-2025</t>
        </is>
      </c>
      <c r="B445" s="1" t="n">
        <v>45824.65862268519</v>
      </c>
      <c r="C445" s="1" t="n">
        <v>45974</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37471-2024</t>
        </is>
      </c>
      <c r="B446" s="1" t="n">
        <v>45540.85054398148</v>
      </c>
      <c r="C446" s="1" t="n">
        <v>45974</v>
      </c>
      <c r="D446" t="inlineStr">
        <is>
          <t>DALARNAS LÄN</t>
        </is>
      </c>
      <c r="E446" t="inlineStr">
        <is>
          <t>MORA</t>
        </is>
      </c>
      <c r="G446" t="n">
        <v>3.5</v>
      </c>
      <c r="H446" t="n">
        <v>0</v>
      </c>
      <c r="I446" t="n">
        <v>0</v>
      </c>
      <c r="J446" t="n">
        <v>0</v>
      </c>
      <c r="K446" t="n">
        <v>0</v>
      </c>
      <c r="L446" t="n">
        <v>0</v>
      </c>
      <c r="M446" t="n">
        <v>0</v>
      </c>
      <c r="N446" t="n">
        <v>0</v>
      </c>
      <c r="O446" t="n">
        <v>0</v>
      </c>
      <c r="P446" t="n">
        <v>0</v>
      </c>
      <c r="Q446" t="n">
        <v>0</v>
      </c>
      <c r="R446" s="2" t="inlineStr"/>
    </row>
    <row r="447" ht="15" customHeight="1">
      <c r="A447" t="inlineStr">
        <is>
          <t>A 14936-2025</t>
        </is>
      </c>
      <c r="B447" s="1" t="n">
        <v>45743.55756944444</v>
      </c>
      <c r="C447" s="1" t="n">
        <v>45974</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29425-2025</t>
        </is>
      </c>
      <c r="B448" s="1" t="n">
        <v>45824.64524305556</v>
      </c>
      <c r="C448" s="1" t="n">
        <v>45974</v>
      </c>
      <c r="D448" t="inlineStr">
        <is>
          <t>DALARNAS LÄN</t>
        </is>
      </c>
      <c r="E448" t="inlineStr">
        <is>
          <t>MORA</t>
        </is>
      </c>
      <c r="G448" t="n">
        <v>4.4</v>
      </c>
      <c r="H448" t="n">
        <v>0</v>
      </c>
      <c r="I448" t="n">
        <v>0</v>
      </c>
      <c r="J448" t="n">
        <v>0</v>
      </c>
      <c r="K448" t="n">
        <v>0</v>
      </c>
      <c r="L448" t="n">
        <v>0</v>
      </c>
      <c r="M448" t="n">
        <v>0</v>
      </c>
      <c r="N448" t="n">
        <v>0</v>
      </c>
      <c r="O448" t="n">
        <v>0</v>
      </c>
      <c r="P448" t="n">
        <v>0</v>
      </c>
      <c r="Q448" t="n">
        <v>0</v>
      </c>
      <c r="R448" s="2" t="inlineStr"/>
    </row>
    <row r="449" ht="15" customHeight="1">
      <c r="A449" t="inlineStr">
        <is>
          <t>A 44817-2023</t>
        </is>
      </c>
      <c r="B449" s="1" t="n">
        <v>45190.51887731482</v>
      </c>
      <c r="C449" s="1" t="n">
        <v>45974</v>
      </c>
      <c r="D449" t="inlineStr">
        <is>
          <t>DALARNAS LÄN</t>
        </is>
      </c>
      <c r="E449" t="inlineStr">
        <is>
          <t>MORA</t>
        </is>
      </c>
      <c r="G449" t="n">
        <v>1.6</v>
      </c>
      <c r="H449" t="n">
        <v>0</v>
      </c>
      <c r="I449" t="n">
        <v>0</v>
      </c>
      <c r="J449" t="n">
        <v>0</v>
      </c>
      <c r="K449" t="n">
        <v>0</v>
      </c>
      <c r="L449" t="n">
        <v>0</v>
      </c>
      <c r="M449" t="n">
        <v>0</v>
      </c>
      <c r="N449" t="n">
        <v>0</v>
      </c>
      <c r="O449" t="n">
        <v>0</v>
      </c>
      <c r="P449" t="n">
        <v>0</v>
      </c>
      <c r="Q449" t="n">
        <v>0</v>
      </c>
      <c r="R449" s="2" t="inlineStr"/>
    </row>
    <row r="450" ht="15" customHeight="1">
      <c r="A450" t="inlineStr">
        <is>
          <t>A 53344-2023</t>
        </is>
      </c>
      <c r="B450" s="1" t="n">
        <v>45229</v>
      </c>
      <c r="C450" s="1" t="n">
        <v>45974</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30087-2025</t>
        </is>
      </c>
      <c r="B451" s="1" t="n">
        <v>45826.6575</v>
      </c>
      <c r="C451" s="1" t="n">
        <v>45974</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48522-2024</t>
        </is>
      </c>
      <c r="B452" s="1" t="n">
        <v>45593.32924768519</v>
      </c>
      <c r="C452" s="1" t="n">
        <v>45974</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39511-2024</t>
        </is>
      </c>
      <c r="B453" s="1" t="n">
        <v>45551.68347222222</v>
      </c>
      <c r="C453" s="1" t="n">
        <v>45974</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57797-2022</t>
        </is>
      </c>
      <c r="B454" s="1" t="n">
        <v>44897</v>
      </c>
      <c r="C454" s="1" t="n">
        <v>45974</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27125-2024</t>
        </is>
      </c>
      <c r="B455" s="1" t="n">
        <v>45471</v>
      </c>
      <c r="C455" s="1" t="n">
        <v>45974</v>
      </c>
      <c r="D455" t="inlineStr">
        <is>
          <t>DALARNAS LÄN</t>
        </is>
      </c>
      <c r="E455" t="inlineStr">
        <is>
          <t>MORA</t>
        </is>
      </c>
      <c r="G455" t="n">
        <v>2.3</v>
      </c>
      <c r="H455" t="n">
        <v>0</v>
      </c>
      <c r="I455" t="n">
        <v>0</v>
      </c>
      <c r="J455" t="n">
        <v>0</v>
      </c>
      <c r="K455" t="n">
        <v>0</v>
      </c>
      <c r="L455" t="n">
        <v>0</v>
      </c>
      <c r="M455" t="n">
        <v>0</v>
      </c>
      <c r="N455" t="n">
        <v>0</v>
      </c>
      <c r="O455" t="n">
        <v>0</v>
      </c>
      <c r="P455" t="n">
        <v>0</v>
      </c>
      <c r="Q455" t="n">
        <v>0</v>
      </c>
      <c r="R455" s="2" t="inlineStr"/>
    </row>
    <row r="456" ht="15" customHeight="1">
      <c r="A456" t="inlineStr">
        <is>
          <t>A 30166-2025</t>
        </is>
      </c>
      <c r="B456" s="1" t="n">
        <v>45827.33116898148</v>
      </c>
      <c r="C456" s="1" t="n">
        <v>45974</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29870-2025</t>
        </is>
      </c>
      <c r="B457" s="1" t="n">
        <v>45826.35716435185</v>
      </c>
      <c r="C457" s="1" t="n">
        <v>45974</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29873-2025</t>
        </is>
      </c>
      <c r="B458" s="1" t="n">
        <v>45826</v>
      </c>
      <c r="C458" s="1" t="n">
        <v>45974</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53754-2024</t>
        </is>
      </c>
      <c r="B459" s="1" t="n">
        <v>45615.49371527778</v>
      </c>
      <c r="C459" s="1" t="n">
        <v>45974</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30822-2024</t>
        </is>
      </c>
      <c r="B460" s="1" t="n">
        <v>45497</v>
      </c>
      <c r="C460" s="1" t="n">
        <v>45974</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14040-2023</t>
        </is>
      </c>
      <c r="B461" s="1" t="n">
        <v>45008.64575231481</v>
      </c>
      <c r="C461" s="1" t="n">
        <v>45974</v>
      </c>
      <c r="D461" t="inlineStr">
        <is>
          <t>DALARNAS LÄN</t>
        </is>
      </c>
      <c r="E461" t="inlineStr">
        <is>
          <t>MORA</t>
        </is>
      </c>
      <c r="G461" t="n">
        <v>1.3</v>
      </c>
      <c r="H461" t="n">
        <v>0</v>
      </c>
      <c r="I461" t="n">
        <v>0</v>
      </c>
      <c r="J461" t="n">
        <v>0</v>
      </c>
      <c r="K461" t="n">
        <v>0</v>
      </c>
      <c r="L461" t="n">
        <v>0</v>
      </c>
      <c r="M461" t="n">
        <v>0</v>
      </c>
      <c r="N461" t="n">
        <v>0</v>
      </c>
      <c r="O461" t="n">
        <v>0</v>
      </c>
      <c r="P461" t="n">
        <v>0</v>
      </c>
      <c r="Q461" t="n">
        <v>0</v>
      </c>
      <c r="R461" s="2" t="inlineStr"/>
    </row>
    <row r="462" ht="15" customHeight="1">
      <c r="A462" t="inlineStr">
        <is>
          <t>A 56770-2024</t>
        </is>
      </c>
      <c r="B462" s="1" t="n">
        <v>45628.41587962963</v>
      </c>
      <c r="C462" s="1" t="n">
        <v>45974</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30507-2025</t>
        </is>
      </c>
      <c r="B463" s="1" t="n">
        <v>45831.24760416667</v>
      </c>
      <c r="C463" s="1" t="n">
        <v>45974</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30509-2025</t>
        </is>
      </c>
      <c r="B464" s="1" t="n">
        <v>45831.25519675926</v>
      </c>
      <c r="C464" s="1" t="n">
        <v>45974</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18120-2025</t>
        </is>
      </c>
      <c r="B465" s="1" t="n">
        <v>45761</v>
      </c>
      <c r="C465" s="1" t="n">
        <v>45974</v>
      </c>
      <c r="D465" t="inlineStr">
        <is>
          <t>DALARNAS LÄN</t>
        </is>
      </c>
      <c r="E465" t="inlineStr">
        <is>
          <t>MORA</t>
        </is>
      </c>
      <c r="F465" t="inlineStr">
        <is>
          <t>Bergvik skog väst AB</t>
        </is>
      </c>
      <c r="G465" t="n">
        <v>6.4</v>
      </c>
      <c r="H465" t="n">
        <v>0</v>
      </c>
      <c r="I465" t="n">
        <v>0</v>
      </c>
      <c r="J465" t="n">
        <v>0</v>
      </c>
      <c r="K465" t="n">
        <v>0</v>
      </c>
      <c r="L465" t="n">
        <v>0</v>
      </c>
      <c r="M465" t="n">
        <v>0</v>
      </c>
      <c r="N465" t="n">
        <v>0</v>
      </c>
      <c r="O465" t="n">
        <v>0</v>
      </c>
      <c r="P465" t="n">
        <v>0</v>
      </c>
      <c r="Q465" t="n">
        <v>0</v>
      </c>
      <c r="R465" s="2" t="inlineStr"/>
    </row>
    <row r="466" ht="15" customHeight="1">
      <c r="A466" t="inlineStr">
        <is>
          <t>A 6371-2022</t>
        </is>
      </c>
      <c r="B466" s="1" t="n">
        <v>44600</v>
      </c>
      <c r="C466" s="1" t="n">
        <v>45974</v>
      </c>
      <c r="D466" t="inlineStr">
        <is>
          <t>DALARNAS LÄN</t>
        </is>
      </c>
      <c r="E466" t="inlineStr">
        <is>
          <t>MORA</t>
        </is>
      </c>
      <c r="G466" t="n">
        <v>4.6</v>
      </c>
      <c r="H466" t="n">
        <v>0</v>
      </c>
      <c r="I466" t="n">
        <v>0</v>
      </c>
      <c r="J466" t="n">
        <v>0</v>
      </c>
      <c r="K466" t="n">
        <v>0</v>
      </c>
      <c r="L466" t="n">
        <v>0</v>
      </c>
      <c r="M466" t="n">
        <v>0</v>
      </c>
      <c r="N466" t="n">
        <v>0</v>
      </c>
      <c r="O466" t="n">
        <v>0</v>
      </c>
      <c r="P466" t="n">
        <v>0</v>
      </c>
      <c r="Q466" t="n">
        <v>0</v>
      </c>
      <c r="R466" s="2" t="inlineStr"/>
    </row>
    <row r="467" ht="15" customHeight="1">
      <c r="A467" t="inlineStr">
        <is>
          <t>A 18127-2025</t>
        </is>
      </c>
      <c r="B467" s="1" t="n">
        <v>45761.59523148148</v>
      </c>
      <c r="C467" s="1" t="n">
        <v>45974</v>
      </c>
      <c r="D467" t="inlineStr">
        <is>
          <t>DALARNAS LÄN</t>
        </is>
      </c>
      <c r="E467" t="inlineStr">
        <is>
          <t>MORA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30989-2025</t>
        </is>
      </c>
      <c r="B468" s="1" t="n">
        <v>45832.48185185185</v>
      </c>
      <c r="C468" s="1" t="n">
        <v>45974</v>
      </c>
      <c r="D468" t="inlineStr">
        <is>
          <t>DALARNAS LÄN</t>
        </is>
      </c>
      <c r="E468" t="inlineStr">
        <is>
          <t>MORA</t>
        </is>
      </c>
      <c r="F468" t="inlineStr">
        <is>
          <t>Bergvik skog öst AB</t>
        </is>
      </c>
      <c r="G468" t="n">
        <v>4.1</v>
      </c>
      <c r="H468" t="n">
        <v>0</v>
      </c>
      <c r="I468" t="n">
        <v>0</v>
      </c>
      <c r="J468" t="n">
        <v>0</v>
      </c>
      <c r="K468" t="n">
        <v>0</v>
      </c>
      <c r="L468" t="n">
        <v>0</v>
      </c>
      <c r="M468" t="n">
        <v>0</v>
      </c>
      <c r="N468" t="n">
        <v>0</v>
      </c>
      <c r="O468" t="n">
        <v>0</v>
      </c>
      <c r="P468" t="n">
        <v>0</v>
      </c>
      <c r="Q468" t="n">
        <v>0</v>
      </c>
      <c r="R468" s="2" t="inlineStr"/>
    </row>
    <row r="469" ht="15" customHeight="1">
      <c r="A469" t="inlineStr">
        <is>
          <t>A 4489-2022</t>
        </is>
      </c>
      <c r="B469" s="1" t="n">
        <v>44589</v>
      </c>
      <c r="C469" s="1" t="n">
        <v>45974</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45574-2023</t>
        </is>
      </c>
      <c r="B470" s="1" t="n">
        <v>45194</v>
      </c>
      <c r="C470" s="1" t="n">
        <v>45974</v>
      </c>
      <c r="D470" t="inlineStr">
        <is>
          <t>DALARNAS LÄN</t>
        </is>
      </c>
      <c r="E470" t="inlineStr">
        <is>
          <t>MORA</t>
        </is>
      </c>
      <c r="G470" t="n">
        <v>6.3</v>
      </c>
      <c r="H470" t="n">
        <v>0</v>
      </c>
      <c r="I470" t="n">
        <v>0</v>
      </c>
      <c r="J470" t="n">
        <v>0</v>
      </c>
      <c r="K470" t="n">
        <v>0</v>
      </c>
      <c r="L470" t="n">
        <v>0</v>
      </c>
      <c r="M470" t="n">
        <v>0</v>
      </c>
      <c r="N470" t="n">
        <v>0</v>
      </c>
      <c r="O470" t="n">
        <v>0</v>
      </c>
      <c r="P470" t="n">
        <v>0</v>
      </c>
      <c r="Q470" t="n">
        <v>0</v>
      </c>
      <c r="R470" s="2" t="inlineStr"/>
    </row>
    <row r="471" ht="15" customHeight="1">
      <c r="A471" t="inlineStr">
        <is>
          <t>A 61350-2024</t>
        </is>
      </c>
      <c r="B471" s="1" t="n">
        <v>45646.37872685185</v>
      </c>
      <c r="C471" s="1" t="n">
        <v>45974</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45315-2024</t>
        </is>
      </c>
      <c r="B472" s="1" t="n">
        <v>45576.43782407408</v>
      </c>
      <c r="C472" s="1" t="n">
        <v>45974</v>
      </c>
      <c r="D472" t="inlineStr">
        <is>
          <t>DALARNAS LÄN</t>
        </is>
      </c>
      <c r="E472" t="inlineStr">
        <is>
          <t>MORA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17172-2025</t>
        </is>
      </c>
      <c r="B473" s="1" t="n">
        <v>45756.37201388889</v>
      </c>
      <c r="C473" s="1" t="n">
        <v>45974</v>
      </c>
      <c r="D473" t="inlineStr">
        <is>
          <t>DALARNAS LÄN</t>
        </is>
      </c>
      <c r="E473" t="inlineStr">
        <is>
          <t>MORA</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39009-2023</t>
        </is>
      </c>
      <c r="B474" s="1" t="n">
        <v>45162</v>
      </c>
      <c r="C474" s="1" t="n">
        <v>45974</v>
      </c>
      <c r="D474" t="inlineStr">
        <is>
          <t>DALARNAS LÄN</t>
        </is>
      </c>
      <c r="E474" t="inlineStr">
        <is>
          <t>MORA</t>
        </is>
      </c>
      <c r="G474" t="n">
        <v>1.9</v>
      </c>
      <c r="H474" t="n">
        <v>0</v>
      </c>
      <c r="I474" t="n">
        <v>0</v>
      </c>
      <c r="J474" t="n">
        <v>0</v>
      </c>
      <c r="K474" t="n">
        <v>0</v>
      </c>
      <c r="L474" t="n">
        <v>0</v>
      </c>
      <c r="M474" t="n">
        <v>0</v>
      </c>
      <c r="N474" t="n">
        <v>0</v>
      </c>
      <c r="O474" t="n">
        <v>0</v>
      </c>
      <c r="P474" t="n">
        <v>0</v>
      </c>
      <c r="Q474" t="n">
        <v>0</v>
      </c>
      <c r="R474" s="2" t="inlineStr"/>
    </row>
    <row r="475" ht="15" customHeight="1">
      <c r="A475" t="inlineStr">
        <is>
          <t>A 56532-2024</t>
        </is>
      </c>
      <c r="B475" s="1" t="n">
        <v>45625.55440972222</v>
      </c>
      <c r="C475" s="1" t="n">
        <v>45974</v>
      </c>
      <c r="D475" t="inlineStr">
        <is>
          <t>DALARNAS LÄN</t>
        </is>
      </c>
      <c r="E475" t="inlineStr">
        <is>
          <t>MORA</t>
        </is>
      </c>
      <c r="G475" t="n">
        <v>6.9</v>
      </c>
      <c r="H475" t="n">
        <v>0</v>
      </c>
      <c r="I475" t="n">
        <v>0</v>
      </c>
      <c r="J475" t="n">
        <v>0</v>
      </c>
      <c r="K475" t="n">
        <v>0</v>
      </c>
      <c r="L475" t="n">
        <v>0</v>
      </c>
      <c r="M475" t="n">
        <v>0</v>
      </c>
      <c r="N475" t="n">
        <v>0</v>
      </c>
      <c r="O475" t="n">
        <v>0</v>
      </c>
      <c r="P475" t="n">
        <v>0</v>
      </c>
      <c r="Q475" t="n">
        <v>0</v>
      </c>
      <c r="R475" s="2" t="inlineStr"/>
    </row>
    <row r="476" ht="15" customHeight="1">
      <c r="A476" t="inlineStr">
        <is>
          <t>A 30858-2025</t>
        </is>
      </c>
      <c r="B476" s="1" t="n">
        <v>45831.92416666666</v>
      </c>
      <c r="C476" s="1" t="n">
        <v>45974</v>
      </c>
      <c r="D476" t="inlineStr">
        <is>
          <t>DALARNAS LÄN</t>
        </is>
      </c>
      <c r="E476" t="inlineStr">
        <is>
          <t>MORA</t>
        </is>
      </c>
      <c r="G476" t="n">
        <v>2.9</v>
      </c>
      <c r="H476" t="n">
        <v>0</v>
      </c>
      <c r="I476" t="n">
        <v>0</v>
      </c>
      <c r="J476" t="n">
        <v>0</v>
      </c>
      <c r="K476" t="n">
        <v>0</v>
      </c>
      <c r="L476" t="n">
        <v>0</v>
      </c>
      <c r="M476" t="n">
        <v>0</v>
      </c>
      <c r="N476" t="n">
        <v>0</v>
      </c>
      <c r="O476" t="n">
        <v>0</v>
      </c>
      <c r="P476" t="n">
        <v>0</v>
      </c>
      <c r="Q476" t="n">
        <v>0</v>
      </c>
      <c r="R476" s="2" t="inlineStr"/>
    </row>
    <row r="477" ht="15" customHeight="1">
      <c r="A477" t="inlineStr">
        <is>
          <t>A 30859-2025</t>
        </is>
      </c>
      <c r="B477" s="1" t="n">
        <v>45831.93105324074</v>
      </c>
      <c r="C477" s="1" t="n">
        <v>45974</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5001-2025</t>
        </is>
      </c>
      <c r="B478" s="1" t="n">
        <v>45691.36403935185</v>
      </c>
      <c r="C478" s="1" t="n">
        <v>45974</v>
      </c>
      <c r="D478" t="inlineStr">
        <is>
          <t>DALARNAS LÄN</t>
        </is>
      </c>
      <c r="E478" t="inlineStr">
        <is>
          <t>MORA</t>
        </is>
      </c>
      <c r="G478" t="n">
        <v>1.3</v>
      </c>
      <c r="H478" t="n">
        <v>0</v>
      </c>
      <c r="I478" t="n">
        <v>0</v>
      </c>
      <c r="J478" t="n">
        <v>0</v>
      </c>
      <c r="K478" t="n">
        <v>0</v>
      </c>
      <c r="L478" t="n">
        <v>0</v>
      </c>
      <c r="M478" t="n">
        <v>0</v>
      </c>
      <c r="N478" t="n">
        <v>0</v>
      </c>
      <c r="O478" t="n">
        <v>0</v>
      </c>
      <c r="P478" t="n">
        <v>0</v>
      </c>
      <c r="Q478" t="n">
        <v>0</v>
      </c>
      <c r="R478" s="2" t="inlineStr"/>
    </row>
    <row r="479" ht="15" customHeight="1">
      <c r="A479" t="inlineStr">
        <is>
          <t>A 20126-2025</t>
        </is>
      </c>
      <c r="B479" s="1" t="n">
        <v>45772.49640046297</v>
      </c>
      <c r="C479" s="1" t="n">
        <v>45974</v>
      </c>
      <c r="D479" t="inlineStr">
        <is>
          <t>DALARNAS LÄN</t>
        </is>
      </c>
      <c r="E479" t="inlineStr">
        <is>
          <t>MORA</t>
        </is>
      </c>
      <c r="G479" t="n">
        <v>12.1</v>
      </c>
      <c r="H479" t="n">
        <v>0</v>
      </c>
      <c r="I479" t="n">
        <v>0</v>
      </c>
      <c r="J479" t="n">
        <v>0</v>
      </c>
      <c r="K479" t="n">
        <v>0</v>
      </c>
      <c r="L479" t="n">
        <v>0</v>
      </c>
      <c r="M479" t="n">
        <v>0</v>
      </c>
      <c r="N479" t="n">
        <v>0</v>
      </c>
      <c r="O479" t="n">
        <v>0</v>
      </c>
      <c r="P479" t="n">
        <v>0</v>
      </c>
      <c r="Q479" t="n">
        <v>0</v>
      </c>
      <c r="R479" s="2" t="inlineStr"/>
    </row>
    <row r="480" ht="15" customHeight="1">
      <c r="A480" t="inlineStr">
        <is>
          <t>A 60360-2023</t>
        </is>
      </c>
      <c r="B480" s="1" t="n">
        <v>45259</v>
      </c>
      <c r="C480" s="1" t="n">
        <v>45974</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17164-2025</t>
        </is>
      </c>
      <c r="B481" s="1" t="n">
        <v>45756.36403935185</v>
      </c>
      <c r="C481" s="1" t="n">
        <v>45974</v>
      </c>
      <c r="D481" t="inlineStr">
        <is>
          <t>DALARNAS LÄN</t>
        </is>
      </c>
      <c r="E481" t="inlineStr">
        <is>
          <t>MORA</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24768-2024</t>
        </is>
      </c>
      <c r="B482" s="1" t="n">
        <v>45460.69545138889</v>
      </c>
      <c r="C482" s="1" t="n">
        <v>45974</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27420-2024</t>
        </is>
      </c>
      <c r="B483" s="1" t="n">
        <v>45474.37850694444</v>
      </c>
      <c r="C483" s="1" t="n">
        <v>45974</v>
      </c>
      <c r="D483" t="inlineStr">
        <is>
          <t>DALARNAS LÄN</t>
        </is>
      </c>
      <c r="E483" t="inlineStr">
        <is>
          <t>MORA</t>
        </is>
      </c>
      <c r="G483" t="n">
        <v>7.3</v>
      </c>
      <c r="H483" t="n">
        <v>0</v>
      </c>
      <c r="I483" t="n">
        <v>0</v>
      </c>
      <c r="J483" t="n">
        <v>0</v>
      </c>
      <c r="K483" t="n">
        <v>0</v>
      </c>
      <c r="L483" t="n">
        <v>0</v>
      </c>
      <c r="M483" t="n">
        <v>0</v>
      </c>
      <c r="N483" t="n">
        <v>0</v>
      </c>
      <c r="O483" t="n">
        <v>0</v>
      </c>
      <c r="P483" t="n">
        <v>0</v>
      </c>
      <c r="Q483" t="n">
        <v>0</v>
      </c>
      <c r="R483" s="2" t="inlineStr"/>
    </row>
    <row r="484" ht="15" customHeight="1">
      <c r="A484" t="inlineStr">
        <is>
          <t>A 31846-2025</t>
        </is>
      </c>
      <c r="B484" s="1" t="n">
        <v>45834.60209490741</v>
      </c>
      <c r="C484" s="1" t="n">
        <v>45974</v>
      </c>
      <c r="D484" t="inlineStr">
        <is>
          <t>DALARNAS LÄN</t>
        </is>
      </c>
      <c r="E484" t="inlineStr">
        <is>
          <t>MORA</t>
        </is>
      </c>
      <c r="G484" t="n">
        <v>3.6</v>
      </c>
      <c r="H484" t="n">
        <v>0</v>
      </c>
      <c r="I484" t="n">
        <v>0</v>
      </c>
      <c r="J484" t="n">
        <v>0</v>
      </c>
      <c r="K484" t="n">
        <v>0</v>
      </c>
      <c r="L484" t="n">
        <v>0</v>
      </c>
      <c r="M484" t="n">
        <v>0</v>
      </c>
      <c r="N484" t="n">
        <v>0</v>
      </c>
      <c r="O484" t="n">
        <v>0</v>
      </c>
      <c r="P484" t="n">
        <v>0</v>
      </c>
      <c r="Q484" t="n">
        <v>0</v>
      </c>
      <c r="R484" s="2" t="inlineStr"/>
    </row>
    <row r="485" ht="15" customHeight="1">
      <c r="A485" t="inlineStr">
        <is>
          <t>A 31849-2025</t>
        </is>
      </c>
      <c r="B485" s="1" t="n">
        <v>45834.60525462963</v>
      </c>
      <c r="C485" s="1" t="n">
        <v>45974</v>
      </c>
      <c r="D485" t="inlineStr">
        <is>
          <t>DALARNAS LÄN</t>
        </is>
      </c>
      <c r="E485" t="inlineStr">
        <is>
          <t>MORA</t>
        </is>
      </c>
      <c r="G485" t="n">
        <v>3.9</v>
      </c>
      <c r="H485" t="n">
        <v>0</v>
      </c>
      <c r="I485" t="n">
        <v>0</v>
      </c>
      <c r="J485" t="n">
        <v>0</v>
      </c>
      <c r="K485" t="n">
        <v>0</v>
      </c>
      <c r="L485" t="n">
        <v>0</v>
      </c>
      <c r="M485" t="n">
        <v>0</v>
      </c>
      <c r="N485" t="n">
        <v>0</v>
      </c>
      <c r="O485" t="n">
        <v>0</v>
      </c>
      <c r="P485" t="n">
        <v>0</v>
      </c>
      <c r="Q485" t="n">
        <v>0</v>
      </c>
      <c r="R485" s="2" t="inlineStr"/>
    </row>
    <row r="486" ht="15" customHeight="1">
      <c r="A486" t="inlineStr">
        <is>
          <t>A 39344-2024</t>
        </is>
      </c>
      <c r="B486" s="1" t="n">
        <v>45551.44503472222</v>
      </c>
      <c r="C486" s="1" t="n">
        <v>45974</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31842-2025</t>
        </is>
      </c>
      <c r="B487" s="1" t="n">
        <v>45834.59822916667</v>
      </c>
      <c r="C487" s="1" t="n">
        <v>45974</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24590-2024</t>
        </is>
      </c>
      <c r="B488" s="1" t="n">
        <v>45460</v>
      </c>
      <c r="C488" s="1" t="n">
        <v>45974</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17278-2025</t>
        </is>
      </c>
      <c r="B489" s="1" t="n">
        <v>45756.56131944444</v>
      </c>
      <c r="C489" s="1" t="n">
        <v>45974</v>
      </c>
      <c r="D489" t="inlineStr">
        <is>
          <t>DALARNAS LÄN</t>
        </is>
      </c>
      <c r="E489" t="inlineStr">
        <is>
          <t>MORA</t>
        </is>
      </c>
      <c r="G489" t="n">
        <v>3</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45974</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24169-2022</t>
        </is>
      </c>
      <c r="B491" s="1" t="n">
        <v>44725.50280092593</v>
      </c>
      <c r="C491" s="1" t="n">
        <v>45974</v>
      </c>
      <c r="D491" t="inlineStr">
        <is>
          <t>DALARNAS LÄN</t>
        </is>
      </c>
      <c r="E491" t="inlineStr">
        <is>
          <t>MORA</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32852-2025</t>
        </is>
      </c>
      <c r="B492" s="1" t="n">
        <v>45839.57559027777</v>
      </c>
      <c r="C492" s="1" t="n">
        <v>45974</v>
      </c>
      <c r="D492" t="inlineStr">
        <is>
          <t>DALARNAS LÄN</t>
        </is>
      </c>
      <c r="E492" t="inlineStr">
        <is>
          <t>MORA</t>
        </is>
      </c>
      <c r="G492" t="n">
        <v>1.7</v>
      </c>
      <c r="H492" t="n">
        <v>0</v>
      </c>
      <c r="I492" t="n">
        <v>0</v>
      </c>
      <c r="J492" t="n">
        <v>0</v>
      </c>
      <c r="K492" t="n">
        <v>0</v>
      </c>
      <c r="L492" t="n">
        <v>0</v>
      </c>
      <c r="M492" t="n">
        <v>0</v>
      </c>
      <c r="N492" t="n">
        <v>0</v>
      </c>
      <c r="O492" t="n">
        <v>0</v>
      </c>
      <c r="P492" t="n">
        <v>0</v>
      </c>
      <c r="Q492" t="n">
        <v>0</v>
      </c>
      <c r="R492" s="2" t="inlineStr"/>
    </row>
    <row r="493" ht="15" customHeight="1">
      <c r="A493" t="inlineStr">
        <is>
          <t>A 47860-2025</t>
        </is>
      </c>
      <c r="B493" s="1" t="n">
        <v>45932.42298611111</v>
      </c>
      <c r="C493" s="1" t="n">
        <v>45974</v>
      </c>
      <c r="D493" t="inlineStr">
        <is>
          <t>DALARNAS LÄN</t>
        </is>
      </c>
      <c r="E493" t="inlineStr">
        <is>
          <t>MORA</t>
        </is>
      </c>
      <c r="G493" t="n">
        <v>2.1</v>
      </c>
      <c r="H493" t="n">
        <v>0</v>
      </c>
      <c r="I493" t="n">
        <v>0</v>
      </c>
      <c r="J493" t="n">
        <v>0</v>
      </c>
      <c r="K493" t="n">
        <v>0</v>
      </c>
      <c r="L493" t="n">
        <v>0</v>
      </c>
      <c r="M493" t="n">
        <v>0</v>
      </c>
      <c r="N493" t="n">
        <v>0</v>
      </c>
      <c r="O493" t="n">
        <v>0</v>
      </c>
      <c r="P493" t="n">
        <v>0</v>
      </c>
      <c r="Q493" t="n">
        <v>0</v>
      </c>
      <c r="R493" s="2" t="inlineStr"/>
    </row>
    <row r="494" ht="15" customHeight="1">
      <c r="A494" t="inlineStr">
        <is>
          <t>A 44205-2023</t>
        </is>
      </c>
      <c r="B494" s="1" t="n">
        <v>45188</v>
      </c>
      <c r="C494" s="1" t="n">
        <v>45974</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43641-2022</t>
        </is>
      </c>
      <c r="B495" s="1" t="n">
        <v>44837</v>
      </c>
      <c r="C495" s="1" t="n">
        <v>45974</v>
      </c>
      <c r="D495" t="inlineStr">
        <is>
          <t>DALARNAS LÄN</t>
        </is>
      </c>
      <c r="E495" t="inlineStr">
        <is>
          <t>MORA</t>
        </is>
      </c>
      <c r="G495" t="n">
        <v>1.8</v>
      </c>
      <c r="H495" t="n">
        <v>0</v>
      </c>
      <c r="I495" t="n">
        <v>0</v>
      </c>
      <c r="J495" t="n">
        <v>0</v>
      </c>
      <c r="K495" t="n">
        <v>0</v>
      </c>
      <c r="L495" t="n">
        <v>0</v>
      </c>
      <c r="M495" t="n">
        <v>0</v>
      </c>
      <c r="N495" t="n">
        <v>0</v>
      </c>
      <c r="O495" t="n">
        <v>0</v>
      </c>
      <c r="P495" t="n">
        <v>0</v>
      </c>
      <c r="Q495" t="n">
        <v>0</v>
      </c>
      <c r="R495" s="2" t="inlineStr"/>
    </row>
    <row r="496" ht="15" customHeight="1">
      <c r="A496" t="inlineStr">
        <is>
          <t>A 22732-2024</t>
        </is>
      </c>
      <c r="B496" s="1" t="n">
        <v>45448.38677083333</v>
      </c>
      <c r="C496" s="1" t="n">
        <v>45974</v>
      </c>
      <c r="D496" t="inlineStr">
        <is>
          <t>DALARNAS LÄN</t>
        </is>
      </c>
      <c r="E496" t="inlineStr">
        <is>
          <t>MORA</t>
        </is>
      </c>
      <c r="G496" t="n">
        <v>3.6</v>
      </c>
      <c r="H496" t="n">
        <v>0</v>
      </c>
      <c r="I496" t="n">
        <v>0</v>
      </c>
      <c r="J496" t="n">
        <v>0</v>
      </c>
      <c r="K496" t="n">
        <v>0</v>
      </c>
      <c r="L496" t="n">
        <v>0</v>
      </c>
      <c r="M496" t="n">
        <v>0</v>
      </c>
      <c r="N496" t="n">
        <v>0</v>
      </c>
      <c r="O496" t="n">
        <v>0</v>
      </c>
      <c r="P496" t="n">
        <v>0</v>
      </c>
      <c r="Q496" t="n">
        <v>0</v>
      </c>
      <c r="R496" s="2" t="inlineStr"/>
    </row>
    <row r="497" ht="15" customHeight="1">
      <c r="A497" t="inlineStr">
        <is>
          <t>A 53750-2024</t>
        </is>
      </c>
      <c r="B497" s="1" t="n">
        <v>45615.48465277778</v>
      </c>
      <c r="C497" s="1" t="n">
        <v>45974</v>
      </c>
      <c r="D497" t="inlineStr">
        <is>
          <t>DALARNAS LÄN</t>
        </is>
      </c>
      <c r="E497" t="inlineStr">
        <is>
          <t>MORA</t>
        </is>
      </c>
      <c r="G497" t="n">
        <v>2.3</v>
      </c>
      <c r="H497" t="n">
        <v>0</v>
      </c>
      <c r="I497" t="n">
        <v>0</v>
      </c>
      <c r="J497" t="n">
        <v>0</v>
      </c>
      <c r="K497" t="n">
        <v>0</v>
      </c>
      <c r="L497" t="n">
        <v>0</v>
      </c>
      <c r="M497" t="n">
        <v>0</v>
      </c>
      <c r="N497" t="n">
        <v>0</v>
      </c>
      <c r="O497" t="n">
        <v>0</v>
      </c>
      <c r="P497" t="n">
        <v>0</v>
      </c>
      <c r="Q497" t="n">
        <v>0</v>
      </c>
      <c r="R497" s="2" t="inlineStr"/>
    </row>
    <row r="498" ht="15" customHeight="1">
      <c r="A498" t="inlineStr">
        <is>
          <t>A 19756-2022</t>
        </is>
      </c>
      <c r="B498" s="1" t="n">
        <v>44694.62913194444</v>
      </c>
      <c r="C498" s="1" t="n">
        <v>45974</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48376-2025</t>
        </is>
      </c>
      <c r="B499" s="1" t="n">
        <v>45933.71648148148</v>
      </c>
      <c r="C499" s="1" t="n">
        <v>45974</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39456-2025</t>
        </is>
      </c>
      <c r="B500" s="1" t="n">
        <v>45889.76200231481</v>
      </c>
      <c r="C500" s="1" t="n">
        <v>45974</v>
      </c>
      <c r="D500" t="inlineStr">
        <is>
          <t>DALARNAS LÄN</t>
        </is>
      </c>
      <c r="E500" t="inlineStr">
        <is>
          <t>MORA</t>
        </is>
      </c>
      <c r="F500" t="inlineStr">
        <is>
          <t>Bergvik skog öst AB</t>
        </is>
      </c>
      <c r="G500" t="n">
        <v>16.7</v>
      </c>
      <c r="H500" t="n">
        <v>0</v>
      </c>
      <c r="I500" t="n">
        <v>0</v>
      </c>
      <c r="J500" t="n">
        <v>0</v>
      </c>
      <c r="K500" t="n">
        <v>0</v>
      </c>
      <c r="L500" t="n">
        <v>0</v>
      </c>
      <c r="M500" t="n">
        <v>0</v>
      </c>
      <c r="N500" t="n">
        <v>0</v>
      </c>
      <c r="O500" t="n">
        <v>0</v>
      </c>
      <c r="P500" t="n">
        <v>0</v>
      </c>
      <c r="Q500" t="n">
        <v>0</v>
      </c>
      <c r="R500" s="2" t="inlineStr"/>
    </row>
    <row r="501" ht="15" customHeight="1">
      <c r="A501" t="inlineStr">
        <is>
          <t>A 46801-2022</t>
        </is>
      </c>
      <c r="B501" s="1" t="n">
        <v>44851</v>
      </c>
      <c r="C501" s="1" t="n">
        <v>45974</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5644-2024</t>
        </is>
      </c>
      <c r="B502" s="1" t="n">
        <v>45334</v>
      </c>
      <c r="C502" s="1" t="n">
        <v>45974</v>
      </c>
      <c r="D502" t="inlineStr">
        <is>
          <t>DALARNAS LÄN</t>
        </is>
      </c>
      <c r="E502" t="inlineStr">
        <is>
          <t>MORA</t>
        </is>
      </c>
      <c r="F502" t="inlineStr">
        <is>
          <t>Bergvik skog väst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39824-2025</t>
        </is>
      </c>
      <c r="B503" s="1" t="n">
        <v>45891</v>
      </c>
      <c r="C503" s="1" t="n">
        <v>45974</v>
      </c>
      <c r="D503" t="inlineStr">
        <is>
          <t>DALARNAS LÄN</t>
        </is>
      </c>
      <c r="E503" t="inlineStr">
        <is>
          <t>MORA</t>
        </is>
      </c>
      <c r="G503" t="n">
        <v>2</v>
      </c>
      <c r="H503" t="n">
        <v>0</v>
      </c>
      <c r="I503" t="n">
        <v>0</v>
      </c>
      <c r="J503" t="n">
        <v>0</v>
      </c>
      <c r="K503" t="n">
        <v>0</v>
      </c>
      <c r="L503" t="n">
        <v>0</v>
      </c>
      <c r="M503" t="n">
        <v>0</v>
      </c>
      <c r="N503" t="n">
        <v>0</v>
      </c>
      <c r="O503" t="n">
        <v>0</v>
      </c>
      <c r="P503" t="n">
        <v>0</v>
      </c>
      <c r="Q503" t="n">
        <v>0</v>
      </c>
      <c r="R503" s="2" t="inlineStr"/>
    </row>
    <row r="504" ht="15" customHeight="1">
      <c r="A504" t="inlineStr">
        <is>
          <t>A 33627-2024</t>
        </is>
      </c>
      <c r="B504" s="1" t="n">
        <v>45520</v>
      </c>
      <c r="C504" s="1" t="n">
        <v>45974</v>
      </c>
      <c r="D504" t="inlineStr">
        <is>
          <t>DALARNAS LÄN</t>
        </is>
      </c>
      <c r="E504" t="inlineStr">
        <is>
          <t>MORA</t>
        </is>
      </c>
      <c r="G504" t="n">
        <v>1.1</v>
      </c>
      <c r="H504" t="n">
        <v>0</v>
      </c>
      <c r="I504" t="n">
        <v>0</v>
      </c>
      <c r="J504" t="n">
        <v>0</v>
      </c>
      <c r="K504" t="n">
        <v>0</v>
      </c>
      <c r="L504" t="n">
        <v>0</v>
      </c>
      <c r="M504" t="n">
        <v>0</v>
      </c>
      <c r="N504" t="n">
        <v>0</v>
      </c>
      <c r="O504" t="n">
        <v>0</v>
      </c>
      <c r="P504" t="n">
        <v>0</v>
      </c>
      <c r="Q504" t="n">
        <v>0</v>
      </c>
      <c r="R504" s="2" t="inlineStr"/>
    </row>
    <row r="505" ht="15" customHeight="1">
      <c r="A505" t="inlineStr">
        <is>
          <t>A 46923-2024</t>
        </is>
      </c>
      <c r="B505" s="1" t="n">
        <v>45584.42887731481</v>
      </c>
      <c r="C505" s="1" t="n">
        <v>45974</v>
      </c>
      <c r="D505" t="inlineStr">
        <is>
          <t>DALARNAS LÄN</t>
        </is>
      </c>
      <c r="E505" t="inlineStr">
        <is>
          <t>MORA</t>
        </is>
      </c>
      <c r="G505" t="n">
        <v>3.4</v>
      </c>
      <c r="H505" t="n">
        <v>0</v>
      </c>
      <c r="I505" t="n">
        <v>0</v>
      </c>
      <c r="J505" t="n">
        <v>0</v>
      </c>
      <c r="K505" t="n">
        <v>0</v>
      </c>
      <c r="L505" t="n">
        <v>0</v>
      </c>
      <c r="M505" t="n">
        <v>0</v>
      </c>
      <c r="N505" t="n">
        <v>0</v>
      </c>
      <c r="O505" t="n">
        <v>0</v>
      </c>
      <c r="P505" t="n">
        <v>0</v>
      </c>
      <c r="Q505" t="n">
        <v>0</v>
      </c>
      <c r="R505" s="2" t="inlineStr"/>
    </row>
    <row r="506" ht="15" customHeight="1">
      <c r="A506" t="inlineStr">
        <is>
          <t>A 39888-2024</t>
        </is>
      </c>
      <c r="B506" s="1" t="n">
        <v>45553.47538194444</v>
      </c>
      <c r="C506" s="1" t="n">
        <v>45974</v>
      </c>
      <c r="D506" t="inlineStr">
        <is>
          <t>DALARNAS LÄN</t>
        </is>
      </c>
      <c r="E506" t="inlineStr">
        <is>
          <t>MORA</t>
        </is>
      </c>
      <c r="G506" t="n">
        <v>5.4</v>
      </c>
      <c r="H506" t="n">
        <v>0</v>
      </c>
      <c r="I506" t="n">
        <v>0</v>
      </c>
      <c r="J506" t="n">
        <v>0</v>
      </c>
      <c r="K506" t="n">
        <v>0</v>
      </c>
      <c r="L506" t="n">
        <v>0</v>
      </c>
      <c r="M506" t="n">
        <v>0</v>
      </c>
      <c r="N506" t="n">
        <v>0</v>
      </c>
      <c r="O506" t="n">
        <v>0</v>
      </c>
      <c r="P506" t="n">
        <v>0</v>
      </c>
      <c r="Q506" t="n">
        <v>0</v>
      </c>
      <c r="R506" s="2" t="inlineStr"/>
    </row>
    <row r="507" ht="15" customHeight="1">
      <c r="A507" t="inlineStr">
        <is>
          <t>A 10777-2025</t>
        </is>
      </c>
      <c r="B507" s="1" t="n">
        <v>45722.47743055555</v>
      </c>
      <c r="C507" s="1" t="n">
        <v>45974</v>
      </c>
      <c r="D507" t="inlineStr">
        <is>
          <t>DALARNAS LÄN</t>
        </is>
      </c>
      <c r="E507" t="inlineStr">
        <is>
          <t>MORA</t>
        </is>
      </c>
      <c r="G507" t="n">
        <v>9.9</v>
      </c>
      <c r="H507" t="n">
        <v>0</v>
      </c>
      <c r="I507" t="n">
        <v>0</v>
      </c>
      <c r="J507" t="n">
        <v>0</v>
      </c>
      <c r="K507" t="n">
        <v>0</v>
      </c>
      <c r="L507" t="n">
        <v>0</v>
      </c>
      <c r="M507" t="n">
        <v>0</v>
      </c>
      <c r="N507" t="n">
        <v>0</v>
      </c>
      <c r="O507" t="n">
        <v>0</v>
      </c>
      <c r="P507" t="n">
        <v>0</v>
      </c>
      <c r="Q507" t="n">
        <v>0</v>
      </c>
      <c r="R507" s="2" t="inlineStr"/>
    </row>
    <row r="508" ht="15" customHeight="1">
      <c r="A508" t="inlineStr">
        <is>
          <t>A 39787-2025</t>
        </is>
      </c>
      <c r="B508" s="1" t="n">
        <v>45891</v>
      </c>
      <c r="C508" s="1" t="n">
        <v>45974</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33443-2025</t>
        </is>
      </c>
      <c r="B509" s="1" t="n">
        <v>45841</v>
      </c>
      <c r="C509" s="1" t="n">
        <v>45974</v>
      </c>
      <c r="D509" t="inlineStr">
        <is>
          <t>DALARNAS LÄN</t>
        </is>
      </c>
      <c r="E509" t="inlineStr">
        <is>
          <t>MORA</t>
        </is>
      </c>
      <c r="G509" t="n">
        <v>2.7</v>
      </c>
      <c r="H509" t="n">
        <v>0</v>
      </c>
      <c r="I509" t="n">
        <v>0</v>
      </c>
      <c r="J509" t="n">
        <v>0</v>
      </c>
      <c r="K509" t="n">
        <v>0</v>
      </c>
      <c r="L509" t="n">
        <v>0</v>
      </c>
      <c r="M509" t="n">
        <v>0</v>
      </c>
      <c r="N509" t="n">
        <v>0</v>
      </c>
      <c r="O509" t="n">
        <v>0</v>
      </c>
      <c r="P509" t="n">
        <v>0</v>
      </c>
      <c r="Q509" t="n">
        <v>0</v>
      </c>
      <c r="R509" s="2" t="inlineStr"/>
    </row>
    <row r="510" ht="15" customHeight="1">
      <c r="A510" t="inlineStr">
        <is>
          <t>A 48377-2025</t>
        </is>
      </c>
      <c r="B510" s="1" t="n">
        <v>45933.71896990741</v>
      </c>
      <c r="C510" s="1" t="n">
        <v>45974</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33666-2024</t>
        </is>
      </c>
      <c r="B511" s="1" t="n">
        <v>45520.48304398148</v>
      </c>
      <c r="C511" s="1" t="n">
        <v>45974</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20989-2024</t>
        </is>
      </c>
      <c r="B512" s="1" t="n">
        <v>45439</v>
      </c>
      <c r="C512" s="1" t="n">
        <v>45974</v>
      </c>
      <c r="D512" t="inlineStr">
        <is>
          <t>DALARNAS LÄN</t>
        </is>
      </c>
      <c r="E512" t="inlineStr">
        <is>
          <t>MORA</t>
        </is>
      </c>
      <c r="F512" t="inlineStr">
        <is>
          <t>Bergvik skog öst AB</t>
        </is>
      </c>
      <c r="G512" t="n">
        <v>14.7</v>
      </c>
      <c r="H512" t="n">
        <v>0</v>
      </c>
      <c r="I512" t="n">
        <v>0</v>
      </c>
      <c r="J512" t="n">
        <v>0</v>
      </c>
      <c r="K512" t="n">
        <v>0</v>
      </c>
      <c r="L512" t="n">
        <v>0</v>
      </c>
      <c r="M512" t="n">
        <v>0</v>
      </c>
      <c r="N512" t="n">
        <v>0</v>
      </c>
      <c r="O512" t="n">
        <v>0</v>
      </c>
      <c r="P512" t="n">
        <v>0</v>
      </c>
      <c r="Q512" t="n">
        <v>0</v>
      </c>
      <c r="R512" s="2" t="inlineStr"/>
    </row>
    <row r="513" ht="15" customHeight="1">
      <c r="A513" t="inlineStr">
        <is>
          <t>A 48926-2025</t>
        </is>
      </c>
      <c r="B513" s="1" t="n">
        <v>45937.50666666667</v>
      </c>
      <c r="C513" s="1" t="n">
        <v>45974</v>
      </c>
      <c r="D513" t="inlineStr">
        <is>
          <t>DALARNAS LÄN</t>
        </is>
      </c>
      <c r="E513" t="inlineStr">
        <is>
          <t>MORA</t>
        </is>
      </c>
      <c r="G513" t="n">
        <v>0.6</v>
      </c>
      <c r="H513" t="n">
        <v>0</v>
      </c>
      <c r="I513" t="n">
        <v>0</v>
      </c>
      <c r="J513" t="n">
        <v>0</v>
      </c>
      <c r="K513" t="n">
        <v>0</v>
      </c>
      <c r="L513" t="n">
        <v>0</v>
      </c>
      <c r="M513" t="n">
        <v>0</v>
      </c>
      <c r="N513" t="n">
        <v>0</v>
      </c>
      <c r="O513" t="n">
        <v>0</v>
      </c>
      <c r="P513" t="n">
        <v>0</v>
      </c>
      <c r="Q513" t="n">
        <v>0</v>
      </c>
      <c r="R513" s="2" t="inlineStr"/>
    </row>
    <row r="514" ht="15" customHeight="1">
      <c r="A514" t="inlineStr">
        <is>
          <t>A 19842-2025</t>
        </is>
      </c>
      <c r="B514" s="1" t="n">
        <v>45771.47938657407</v>
      </c>
      <c r="C514" s="1" t="n">
        <v>45974</v>
      </c>
      <c r="D514" t="inlineStr">
        <is>
          <t>DALARNAS LÄN</t>
        </is>
      </c>
      <c r="E514" t="inlineStr">
        <is>
          <t>MORA</t>
        </is>
      </c>
      <c r="G514" t="n">
        <v>1.9</v>
      </c>
      <c r="H514" t="n">
        <v>0</v>
      </c>
      <c r="I514" t="n">
        <v>0</v>
      </c>
      <c r="J514" t="n">
        <v>0</v>
      </c>
      <c r="K514" t="n">
        <v>0</v>
      </c>
      <c r="L514" t="n">
        <v>0</v>
      </c>
      <c r="M514" t="n">
        <v>0</v>
      </c>
      <c r="N514" t="n">
        <v>0</v>
      </c>
      <c r="O514" t="n">
        <v>0</v>
      </c>
      <c r="P514" t="n">
        <v>0</v>
      </c>
      <c r="Q514" t="n">
        <v>0</v>
      </c>
      <c r="R514" s="2" t="inlineStr"/>
    </row>
    <row r="515" ht="15" customHeight="1">
      <c r="A515" t="inlineStr">
        <is>
          <t>A 40471-2025</t>
        </is>
      </c>
      <c r="B515" s="1" t="n">
        <v>45895.67356481482</v>
      </c>
      <c r="C515" s="1" t="n">
        <v>45974</v>
      </c>
      <c r="D515" t="inlineStr">
        <is>
          <t>DALARNAS LÄN</t>
        </is>
      </c>
      <c r="E515" t="inlineStr">
        <is>
          <t>MORA</t>
        </is>
      </c>
      <c r="G515" t="n">
        <v>2.8</v>
      </c>
      <c r="H515" t="n">
        <v>0</v>
      </c>
      <c r="I515" t="n">
        <v>0</v>
      </c>
      <c r="J515" t="n">
        <v>0</v>
      </c>
      <c r="K515" t="n">
        <v>0</v>
      </c>
      <c r="L515" t="n">
        <v>0</v>
      </c>
      <c r="M515" t="n">
        <v>0</v>
      </c>
      <c r="N515" t="n">
        <v>0</v>
      </c>
      <c r="O515" t="n">
        <v>0</v>
      </c>
      <c r="P515" t="n">
        <v>0</v>
      </c>
      <c r="Q515" t="n">
        <v>0</v>
      </c>
      <c r="R515" s="2" t="inlineStr"/>
    </row>
    <row r="516" ht="15" customHeight="1">
      <c r="A516" t="inlineStr">
        <is>
          <t>A 44177-2023</t>
        </is>
      </c>
      <c r="B516" s="1" t="n">
        <v>45188.51439814815</v>
      </c>
      <c r="C516" s="1" t="n">
        <v>45974</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34182-2025</t>
        </is>
      </c>
      <c r="B517" s="1" t="n">
        <v>45845.60520833333</v>
      </c>
      <c r="C517" s="1" t="n">
        <v>45974</v>
      </c>
      <c r="D517" t="inlineStr">
        <is>
          <t>DALARNAS LÄN</t>
        </is>
      </c>
      <c r="E517" t="inlineStr">
        <is>
          <t>MORA</t>
        </is>
      </c>
      <c r="G517" t="n">
        <v>3.4</v>
      </c>
      <c r="H517" t="n">
        <v>0</v>
      </c>
      <c r="I517" t="n">
        <v>0</v>
      </c>
      <c r="J517" t="n">
        <v>0</v>
      </c>
      <c r="K517" t="n">
        <v>0</v>
      </c>
      <c r="L517" t="n">
        <v>0</v>
      </c>
      <c r="M517" t="n">
        <v>0</v>
      </c>
      <c r="N517" t="n">
        <v>0</v>
      </c>
      <c r="O517" t="n">
        <v>0</v>
      </c>
      <c r="P517" t="n">
        <v>0</v>
      </c>
      <c r="Q517" t="n">
        <v>0</v>
      </c>
      <c r="R517" s="2" t="inlineStr"/>
    </row>
    <row r="518" ht="15" customHeight="1">
      <c r="A518" t="inlineStr">
        <is>
          <t>A 34005-2025</t>
        </is>
      </c>
      <c r="B518" s="1" t="n">
        <v>45844.58890046296</v>
      </c>
      <c r="C518" s="1" t="n">
        <v>45974</v>
      </c>
      <c r="D518" t="inlineStr">
        <is>
          <t>DALARNAS LÄN</t>
        </is>
      </c>
      <c r="E518" t="inlineStr">
        <is>
          <t>MORA</t>
        </is>
      </c>
      <c r="G518" t="n">
        <v>7.2</v>
      </c>
      <c r="H518" t="n">
        <v>0</v>
      </c>
      <c r="I518" t="n">
        <v>0</v>
      </c>
      <c r="J518" t="n">
        <v>0</v>
      </c>
      <c r="K518" t="n">
        <v>0</v>
      </c>
      <c r="L518" t="n">
        <v>0</v>
      </c>
      <c r="M518" t="n">
        <v>0</v>
      </c>
      <c r="N518" t="n">
        <v>0</v>
      </c>
      <c r="O518" t="n">
        <v>0</v>
      </c>
      <c r="P518" t="n">
        <v>0</v>
      </c>
      <c r="Q518" t="n">
        <v>0</v>
      </c>
      <c r="R518" s="2" t="inlineStr"/>
    </row>
    <row r="519" ht="15" customHeight="1">
      <c r="A519" t="inlineStr">
        <is>
          <t>A 18134-2025</t>
        </is>
      </c>
      <c r="B519" s="1" t="n">
        <v>45761.60189814815</v>
      </c>
      <c r="C519" s="1" t="n">
        <v>45974</v>
      </c>
      <c r="D519" t="inlineStr">
        <is>
          <t>DALARNAS LÄN</t>
        </is>
      </c>
      <c r="E519" t="inlineStr">
        <is>
          <t>MORA</t>
        </is>
      </c>
      <c r="F519" t="inlineStr">
        <is>
          <t>Bergvik skog öst AB</t>
        </is>
      </c>
      <c r="G519" t="n">
        <v>0.9</v>
      </c>
      <c r="H519" t="n">
        <v>0</v>
      </c>
      <c r="I519" t="n">
        <v>0</v>
      </c>
      <c r="J519" t="n">
        <v>0</v>
      </c>
      <c r="K519" t="n">
        <v>0</v>
      </c>
      <c r="L519" t="n">
        <v>0</v>
      </c>
      <c r="M519" t="n">
        <v>0</v>
      </c>
      <c r="N519" t="n">
        <v>0</v>
      </c>
      <c r="O519" t="n">
        <v>0</v>
      </c>
      <c r="P519" t="n">
        <v>0</v>
      </c>
      <c r="Q519" t="n">
        <v>0</v>
      </c>
      <c r="R519" s="2" t="inlineStr"/>
    </row>
    <row r="520" ht="15" customHeight="1">
      <c r="A520" t="inlineStr">
        <is>
          <t>A 34482-2025</t>
        </is>
      </c>
      <c r="B520" s="1" t="n">
        <v>45847.38469907407</v>
      </c>
      <c r="C520" s="1" t="n">
        <v>45974</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25737-2025</t>
        </is>
      </c>
      <c r="B521" s="1" t="n">
        <v>45800</v>
      </c>
      <c r="C521" s="1" t="n">
        <v>45974</v>
      </c>
      <c r="D521" t="inlineStr">
        <is>
          <t>DALARNAS LÄN</t>
        </is>
      </c>
      <c r="E521" t="inlineStr">
        <is>
          <t>MORA</t>
        </is>
      </c>
      <c r="G521" t="n">
        <v>9.6</v>
      </c>
      <c r="H521" t="n">
        <v>0</v>
      </c>
      <c r="I521" t="n">
        <v>0</v>
      </c>
      <c r="J521" t="n">
        <v>0</v>
      </c>
      <c r="K521" t="n">
        <v>0</v>
      </c>
      <c r="L521" t="n">
        <v>0</v>
      </c>
      <c r="M521" t="n">
        <v>0</v>
      </c>
      <c r="N521" t="n">
        <v>0</v>
      </c>
      <c r="O521" t="n">
        <v>0</v>
      </c>
      <c r="P521" t="n">
        <v>0</v>
      </c>
      <c r="Q521" t="n">
        <v>0</v>
      </c>
      <c r="R521" s="2" t="inlineStr"/>
    </row>
    <row r="522" ht="15" customHeight="1">
      <c r="A522" t="inlineStr">
        <is>
          <t>A 34382-2025</t>
        </is>
      </c>
      <c r="B522" s="1" t="n">
        <v>45846</v>
      </c>
      <c r="C522" s="1" t="n">
        <v>45974</v>
      </c>
      <c r="D522" t="inlineStr">
        <is>
          <t>DALARNAS LÄN</t>
        </is>
      </c>
      <c r="E522" t="inlineStr">
        <is>
          <t>MORA</t>
        </is>
      </c>
      <c r="G522" t="n">
        <v>0.7</v>
      </c>
      <c r="H522" t="n">
        <v>0</v>
      </c>
      <c r="I522" t="n">
        <v>0</v>
      </c>
      <c r="J522" t="n">
        <v>0</v>
      </c>
      <c r="K522" t="n">
        <v>0</v>
      </c>
      <c r="L522" t="n">
        <v>0</v>
      </c>
      <c r="M522" t="n">
        <v>0</v>
      </c>
      <c r="N522" t="n">
        <v>0</v>
      </c>
      <c r="O522" t="n">
        <v>0</v>
      </c>
      <c r="P522" t="n">
        <v>0</v>
      </c>
      <c r="Q522" t="n">
        <v>0</v>
      </c>
      <c r="R522" s="2" t="inlineStr"/>
    </row>
    <row r="523" ht="15" customHeight="1">
      <c r="A523" t="inlineStr">
        <is>
          <t>A 40140-2025</t>
        </is>
      </c>
      <c r="B523" s="1" t="n">
        <v>45894.57016203704</v>
      </c>
      <c r="C523" s="1" t="n">
        <v>45974</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34933-2025</t>
        </is>
      </c>
      <c r="B524" s="1" t="n">
        <v>45849.57297453703</v>
      </c>
      <c r="C524" s="1" t="n">
        <v>45974</v>
      </c>
      <c r="D524" t="inlineStr">
        <is>
          <t>DALARNAS LÄN</t>
        </is>
      </c>
      <c r="E524" t="inlineStr">
        <is>
          <t>MORA</t>
        </is>
      </c>
      <c r="F524" t="inlineStr">
        <is>
          <t>Bergvik skog väst AB</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40142-2025</t>
        </is>
      </c>
      <c r="B525" s="1" t="n">
        <v>45894.57202546296</v>
      </c>
      <c r="C525" s="1" t="n">
        <v>45974</v>
      </c>
      <c r="D525" t="inlineStr">
        <is>
          <t>DALARNAS LÄN</t>
        </is>
      </c>
      <c r="E525" t="inlineStr">
        <is>
          <t>MORA</t>
        </is>
      </c>
      <c r="G525" t="n">
        <v>0.4</v>
      </c>
      <c r="H525" t="n">
        <v>0</v>
      </c>
      <c r="I525" t="n">
        <v>0</v>
      </c>
      <c r="J525" t="n">
        <v>0</v>
      </c>
      <c r="K525" t="n">
        <v>0</v>
      </c>
      <c r="L525" t="n">
        <v>0</v>
      </c>
      <c r="M525" t="n">
        <v>0</v>
      </c>
      <c r="N525" t="n">
        <v>0</v>
      </c>
      <c r="O525" t="n">
        <v>0</v>
      </c>
      <c r="P525" t="n">
        <v>0</v>
      </c>
      <c r="Q525" t="n">
        <v>0</v>
      </c>
      <c r="R525" s="2" t="inlineStr"/>
    </row>
    <row r="526" ht="15" customHeight="1">
      <c r="A526" t="inlineStr">
        <is>
          <t>A 35327-2024</t>
        </is>
      </c>
      <c r="B526" s="1" t="n">
        <v>45530.71334490741</v>
      </c>
      <c r="C526" s="1" t="n">
        <v>45974</v>
      </c>
      <c r="D526" t="inlineStr">
        <is>
          <t>DALARNAS LÄN</t>
        </is>
      </c>
      <c r="E526" t="inlineStr">
        <is>
          <t>MORA</t>
        </is>
      </c>
      <c r="G526" t="n">
        <v>5</v>
      </c>
      <c r="H526" t="n">
        <v>0</v>
      </c>
      <c r="I526" t="n">
        <v>0</v>
      </c>
      <c r="J526" t="n">
        <v>0</v>
      </c>
      <c r="K526" t="n">
        <v>0</v>
      </c>
      <c r="L526" t="n">
        <v>0</v>
      </c>
      <c r="M526" t="n">
        <v>0</v>
      </c>
      <c r="N526" t="n">
        <v>0</v>
      </c>
      <c r="O526" t="n">
        <v>0</v>
      </c>
      <c r="P526" t="n">
        <v>0</v>
      </c>
      <c r="Q526" t="n">
        <v>0</v>
      </c>
      <c r="R526" s="2" t="inlineStr"/>
    </row>
    <row r="527" ht="15" customHeight="1">
      <c r="A527" t="inlineStr">
        <is>
          <t>A 47716-2025</t>
        </is>
      </c>
      <c r="B527" s="1" t="n">
        <v>45931</v>
      </c>
      <c r="C527" s="1" t="n">
        <v>45974</v>
      </c>
      <c r="D527" t="inlineStr">
        <is>
          <t>DALARNAS LÄN</t>
        </is>
      </c>
      <c r="E527" t="inlineStr">
        <is>
          <t>MORA</t>
        </is>
      </c>
      <c r="G527" t="n">
        <v>8.9</v>
      </c>
      <c r="H527" t="n">
        <v>0</v>
      </c>
      <c r="I527" t="n">
        <v>0</v>
      </c>
      <c r="J527" t="n">
        <v>0</v>
      </c>
      <c r="K527" t="n">
        <v>0</v>
      </c>
      <c r="L527" t="n">
        <v>0</v>
      </c>
      <c r="M527" t="n">
        <v>0</v>
      </c>
      <c r="N527" t="n">
        <v>0</v>
      </c>
      <c r="O527" t="n">
        <v>0</v>
      </c>
      <c r="P527" t="n">
        <v>0</v>
      </c>
      <c r="Q527" t="n">
        <v>0</v>
      </c>
      <c r="R527" s="2" t="inlineStr"/>
    </row>
    <row r="528" ht="15" customHeight="1">
      <c r="A528" t="inlineStr">
        <is>
          <t>A 48927-2025</t>
        </is>
      </c>
      <c r="B528" s="1" t="n">
        <v>45931</v>
      </c>
      <c r="C528" s="1" t="n">
        <v>45974</v>
      </c>
      <c r="D528" t="inlineStr">
        <is>
          <t>DALARNAS LÄN</t>
        </is>
      </c>
      <c r="E528" t="inlineStr">
        <is>
          <t>MORA</t>
        </is>
      </c>
      <c r="G528" t="n">
        <v>2.1</v>
      </c>
      <c r="H528" t="n">
        <v>0</v>
      </c>
      <c r="I528" t="n">
        <v>0</v>
      </c>
      <c r="J528" t="n">
        <v>0</v>
      </c>
      <c r="K528" t="n">
        <v>0</v>
      </c>
      <c r="L528" t="n">
        <v>0</v>
      </c>
      <c r="M528" t="n">
        <v>0</v>
      </c>
      <c r="N528" t="n">
        <v>0</v>
      </c>
      <c r="O528" t="n">
        <v>0</v>
      </c>
      <c r="P528" t="n">
        <v>0</v>
      </c>
      <c r="Q528" t="n">
        <v>0</v>
      </c>
      <c r="R528" s="2" t="inlineStr"/>
    </row>
    <row r="529" ht="15" customHeight="1">
      <c r="A529" t="inlineStr">
        <is>
          <t>A 31112-2024</t>
        </is>
      </c>
      <c r="B529" s="1" t="n">
        <v>45502.55185185185</v>
      </c>
      <c r="C529" s="1" t="n">
        <v>45974</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442-2024</t>
        </is>
      </c>
      <c r="B530" s="1" t="n">
        <v>45296.60353009259</v>
      </c>
      <c r="C530" s="1" t="n">
        <v>45974</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501-2024</t>
        </is>
      </c>
      <c r="B531" s="1" t="n">
        <v>45299</v>
      </c>
      <c r="C531" s="1" t="n">
        <v>45974</v>
      </c>
      <c r="D531" t="inlineStr">
        <is>
          <t>DALARNAS LÄN</t>
        </is>
      </c>
      <c r="E531" t="inlineStr">
        <is>
          <t>MORA</t>
        </is>
      </c>
      <c r="G531" t="n">
        <v>2.5</v>
      </c>
      <c r="H531" t="n">
        <v>0</v>
      </c>
      <c r="I531" t="n">
        <v>0</v>
      </c>
      <c r="J531" t="n">
        <v>0</v>
      </c>
      <c r="K531" t="n">
        <v>0</v>
      </c>
      <c r="L531" t="n">
        <v>0</v>
      </c>
      <c r="M531" t="n">
        <v>0</v>
      </c>
      <c r="N531" t="n">
        <v>0</v>
      </c>
      <c r="O531" t="n">
        <v>0</v>
      </c>
      <c r="P531" t="n">
        <v>0</v>
      </c>
      <c r="Q531" t="n">
        <v>0</v>
      </c>
      <c r="R531" s="2" t="inlineStr"/>
    </row>
    <row r="532" ht="15" customHeight="1">
      <c r="A532" t="inlineStr">
        <is>
          <t>A 40147-2025</t>
        </is>
      </c>
      <c r="B532" s="1" t="n">
        <v>45894.57918981482</v>
      </c>
      <c r="C532" s="1" t="n">
        <v>45974</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48929-2025</t>
        </is>
      </c>
      <c r="B533" s="1" t="n">
        <v>45937.51315972222</v>
      </c>
      <c r="C533" s="1" t="n">
        <v>45974</v>
      </c>
      <c r="D533" t="inlineStr">
        <is>
          <t>DALARNAS LÄN</t>
        </is>
      </c>
      <c r="E533" t="inlineStr">
        <is>
          <t>MORA</t>
        </is>
      </c>
      <c r="G533" t="n">
        <v>0.5</v>
      </c>
      <c r="H533" t="n">
        <v>0</v>
      </c>
      <c r="I533" t="n">
        <v>0</v>
      </c>
      <c r="J533" t="n">
        <v>0</v>
      </c>
      <c r="K533" t="n">
        <v>0</v>
      </c>
      <c r="L533" t="n">
        <v>0</v>
      </c>
      <c r="M533" t="n">
        <v>0</v>
      </c>
      <c r="N533" t="n">
        <v>0</v>
      </c>
      <c r="O533" t="n">
        <v>0</v>
      </c>
      <c r="P533" t="n">
        <v>0</v>
      </c>
      <c r="Q533" t="n">
        <v>0</v>
      </c>
      <c r="R533" s="2" t="inlineStr"/>
    </row>
    <row r="534" ht="15" customHeight="1">
      <c r="A534" t="inlineStr">
        <is>
          <t>A 48570-2022</t>
        </is>
      </c>
      <c r="B534" s="1" t="n">
        <v>44859</v>
      </c>
      <c r="C534" s="1" t="n">
        <v>45974</v>
      </c>
      <c r="D534" t="inlineStr">
        <is>
          <t>DALARNAS LÄN</t>
        </is>
      </c>
      <c r="E534" t="inlineStr">
        <is>
          <t>MORA</t>
        </is>
      </c>
      <c r="G534" t="n">
        <v>6.2</v>
      </c>
      <c r="H534" t="n">
        <v>0</v>
      </c>
      <c r="I534" t="n">
        <v>0</v>
      </c>
      <c r="J534" t="n">
        <v>0</v>
      </c>
      <c r="K534" t="n">
        <v>0</v>
      </c>
      <c r="L534" t="n">
        <v>0</v>
      </c>
      <c r="M534" t="n">
        <v>0</v>
      </c>
      <c r="N534" t="n">
        <v>0</v>
      </c>
      <c r="O534" t="n">
        <v>0</v>
      </c>
      <c r="P534" t="n">
        <v>0</v>
      </c>
      <c r="Q534" t="n">
        <v>0</v>
      </c>
      <c r="R534" s="2" t="inlineStr"/>
    </row>
    <row r="535" ht="15" customHeight="1">
      <c r="A535" t="inlineStr">
        <is>
          <t>A 19814-2025</t>
        </is>
      </c>
      <c r="B535" s="1" t="n">
        <v>45771.45686342593</v>
      </c>
      <c r="C535" s="1" t="n">
        <v>45974</v>
      </c>
      <c r="D535" t="inlineStr">
        <is>
          <t>DALARNAS LÄN</t>
        </is>
      </c>
      <c r="E535" t="inlineStr">
        <is>
          <t>MORA</t>
        </is>
      </c>
      <c r="G535" t="n">
        <v>2.1</v>
      </c>
      <c r="H535" t="n">
        <v>0</v>
      </c>
      <c r="I535" t="n">
        <v>0</v>
      </c>
      <c r="J535" t="n">
        <v>0</v>
      </c>
      <c r="K535" t="n">
        <v>0</v>
      </c>
      <c r="L535" t="n">
        <v>0</v>
      </c>
      <c r="M535" t="n">
        <v>0</v>
      </c>
      <c r="N535" t="n">
        <v>0</v>
      </c>
      <c r="O535" t="n">
        <v>0</v>
      </c>
      <c r="P535" t="n">
        <v>0</v>
      </c>
      <c r="Q535" t="n">
        <v>0</v>
      </c>
      <c r="R535" s="2" t="inlineStr"/>
    </row>
    <row r="536" ht="15" customHeight="1">
      <c r="A536" t="inlineStr">
        <is>
          <t>A 35121-2025</t>
        </is>
      </c>
      <c r="B536" s="1" t="n">
        <v>45852.60936342592</v>
      </c>
      <c r="C536" s="1" t="n">
        <v>45974</v>
      </c>
      <c r="D536" t="inlineStr">
        <is>
          <t>DALARNAS LÄN</t>
        </is>
      </c>
      <c r="E536" t="inlineStr">
        <is>
          <t>MORA</t>
        </is>
      </c>
      <c r="F536" t="inlineStr">
        <is>
          <t>Bergvik skog öst AB</t>
        </is>
      </c>
      <c r="G536" t="n">
        <v>15.9</v>
      </c>
      <c r="H536" t="n">
        <v>0</v>
      </c>
      <c r="I536" t="n">
        <v>0</v>
      </c>
      <c r="J536" t="n">
        <v>0</v>
      </c>
      <c r="K536" t="n">
        <v>0</v>
      </c>
      <c r="L536" t="n">
        <v>0</v>
      </c>
      <c r="M536" t="n">
        <v>0</v>
      </c>
      <c r="N536" t="n">
        <v>0</v>
      </c>
      <c r="O536" t="n">
        <v>0</v>
      </c>
      <c r="P536" t="n">
        <v>0</v>
      </c>
      <c r="Q536" t="n">
        <v>0</v>
      </c>
      <c r="R536" s="2" t="inlineStr"/>
    </row>
    <row r="537" ht="15" customHeight="1">
      <c r="A537" t="inlineStr">
        <is>
          <t>A 60526-2023</t>
        </is>
      </c>
      <c r="B537" s="1" t="n">
        <v>45259</v>
      </c>
      <c r="C537" s="1" t="n">
        <v>45974</v>
      </c>
      <c r="D537" t="inlineStr">
        <is>
          <t>DALARNAS LÄN</t>
        </is>
      </c>
      <c r="E537" t="inlineStr">
        <is>
          <t>MORA</t>
        </is>
      </c>
      <c r="G537" t="n">
        <v>6.7</v>
      </c>
      <c r="H537" t="n">
        <v>0</v>
      </c>
      <c r="I537" t="n">
        <v>0</v>
      </c>
      <c r="J537" t="n">
        <v>0</v>
      </c>
      <c r="K537" t="n">
        <v>0</v>
      </c>
      <c r="L537" t="n">
        <v>0</v>
      </c>
      <c r="M537" t="n">
        <v>0</v>
      </c>
      <c r="N537" t="n">
        <v>0</v>
      </c>
      <c r="O537" t="n">
        <v>0</v>
      </c>
      <c r="P537" t="n">
        <v>0</v>
      </c>
      <c r="Q537" t="n">
        <v>0</v>
      </c>
      <c r="R537" s="2" t="inlineStr"/>
    </row>
    <row r="538" ht="15" customHeight="1">
      <c r="A538" t="inlineStr">
        <is>
          <t>A 49404-2025</t>
        </is>
      </c>
      <c r="B538" s="1" t="n">
        <v>45938.67662037037</v>
      </c>
      <c r="C538" s="1" t="n">
        <v>45974</v>
      </c>
      <c r="D538" t="inlineStr">
        <is>
          <t>DALARNAS LÄN</t>
        </is>
      </c>
      <c r="E538" t="inlineStr">
        <is>
          <t>MORA</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53341-2023</t>
        </is>
      </c>
      <c r="B539" s="1" t="n">
        <v>45229</v>
      </c>
      <c r="C539" s="1" t="n">
        <v>45974</v>
      </c>
      <c r="D539" t="inlineStr">
        <is>
          <t>DALARNAS LÄN</t>
        </is>
      </c>
      <c r="E539" t="inlineStr">
        <is>
          <t>MORA</t>
        </is>
      </c>
      <c r="G539" t="n">
        <v>2.1</v>
      </c>
      <c r="H539" t="n">
        <v>0</v>
      </c>
      <c r="I539" t="n">
        <v>0</v>
      </c>
      <c r="J539" t="n">
        <v>0</v>
      </c>
      <c r="K539" t="n">
        <v>0</v>
      </c>
      <c r="L539" t="n">
        <v>0</v>
      </c>
      <c r="M539" t="n">
        <v>0</v>
      </c>
      <c r="N539" t="n">
        <v>0</v>
      </c>
      <c r="O539" t="n">
        <v>0</v>
      </c>
      <c r="P539" t="n">
        <v>0</v>
      </c>
      <c r="Q539" t="n">
        <v>0</v>
      </c>
      <c r="R539" s="2" t="inlineStr"/>
    </row>
    <row r="540" ht="15" customHeight="1">
      <c r="A540" t="inlineStr">
        <is>
          <t>A 12828-2023</t>
        </is>
      </c>
      <c r="B540" s="1" t="n">
        <v>45001</v>
      </c>
      <c r="C540" s="1" t="n">
        <v>45974</v>
      </c>
      <c r="D540" t="inlineStr">
        <is>
          <t>DALARNAS LÄN</t>
        </is>
      </c>
      <c r="E540" t="inlineStr">
        <is>
          <t>MORA</t>
        </is>
      </c>
      <c r="F540" t="inlineStr">
        <is>
          <t>Bergvik skog väst AB</t>
        </is>
      </c>
      <c r="G540" t="n">
        <v>5.4</v>
      </c>
      <c r="H540" t="n">
        <v>0</v>
      </c>
      <c r="I540" t="n">
        <v>0</v>
      </c>
      <c r="J540" t="n">
        <v>0</v>
      </c>
      <c r="K540" t="n">
        <v>0</v>
      </c>
      <c r="L540" t="n">
        <v>0</v>
      </c>
      <c r="M540" t="n">
        <v>0</v>
      </c>
      <c r="N540" t="n">
        <v>0</v>
      </c>
      <c r="O540" t="n">
        <v>0</v>
      </c>
      <c r="P540" t="n">
        <v>0</v>
      </c>
      <c r="Q540" t="n">
        <v>0</v>
      </c>
      <c r="R540" s="2" t="inlineStr"/>
    </row>
    <row r="541" ht="15" customHeight="1">
      <c r="A541" t="inlineStr">
        <is>
          <t>A 40660-2025</t>
        </is>
      </c>
      <c r="B541" s="1" t="n">
        <v>45896.64631944444</v>
      </c>
      <c r="C541" s="1" t="n">
        <v>45974</v>
      </c>
      <c r="D541" t="inlineStr">
        <is>
          <t>DALARNAS LÄN</t>
        </is>
      </c>
      <c r="E541" t="inlineStr">
        <is>
          <t>MORA</t>
        </is>
      </c>
      <c r="F541" t="inlineStr">
        <is>
          <t>Bergvik skog väst AB</t>
        </is>
      </c>
      <c r="G541" t="n">
        <v>5.4</v>
      </c>
      <c r="H541" t="n">
        <v>0</v>
      </c>
      <c r="I541" t="n">
        <v>0</v>
      </c>
      <c r="J541" t="n">
        <v>0</v>
      </c>
      <c r="K541" t="n">
        <v>0</v>
      </c>
      <c r="L541" t="n">
        <v>0</v>
      </c>
      <c r="M541" t="n">
        <v>0</v>
      </c>
      <c r="N541" t="n">
        <v>0</v>
      </c>
      <c r="O541" t="n">
        <v>0</v>
      </c>
      <c r="P541" t="n">
        <v>0</v>
      </c>
      <c r="Q541" t="n">
        <v>0</v>
      </c>
      <c r="R541" s="2" t="inlineStr"/>
    </row>
    <row r="542" ht="15" customHeight="1">
      <c r="A542" t="inlineStr">
        <is>
          <t>A 35407-2025</t>
        </is>
      </c>
      <c r="B542" s="1" t="n">
        <v>45855.35989583333</v>
      </c>
      <c r="C542" s="1" t="n">
        <v>45974</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9277-2024</t>
        </is>
      </c>
      <c r="B543" s="1" t="n">
        <v>45358.63265046296</v>
      </c>
      <c r="C543" s="1" t="n">
        <v>45974</v>
      </c>
      <c r="D543" t="inlineStr">
        <is>
          <t>DALARNAS LÄN</t>
        </is>
      </c>
      <c r="E543" t="inlineStr">
        <is>
          <t>MORA</t>
        </is>
      </c>
      <c r="G543" t="n">
        <v>1.7</v>
      </c>
      <c r="H543" t="n">
        <v>0</v>
      </c>
      <c r="I543" t="n">
        <v>0</v>
      </c>
      <c r="J543" t="n">
        <v>0</v>
      </c>
      <c r="K543" t="n">
        <v>0</v>
      </c>
      <c r="L543" t="n">
        <v>0</v>
      </c>
      <c r="M543" t="n">
        <v>0</v>
      </c>
      <c r="N543" t="n">
        <v>0</v>
      </c>
      <c r="O543" t="n">
        <v>0</v>
      </c>
      <c r="P543" t="n">
        <v>0</v>
      </c>
      <c r="Q543" t="n">
        <v>0</v>
      </c>
      <c r="R543" s="2" t="inlineStr"/>
    </row>
    <row r="544" ht="15" customHeight="1">
      <c r="A544" t="inlineStr">
        <is>
          <t>A 40805-2025</t>
        </is>
      </c>
      <c r="B544" s="1" t="n">
        <v>45897.46659722222</v>
      </c>
      <c r="C544" s="1" t="n">
        <v>45974</v>
      </c>
      <c r="D544" t="inlineStr">
        <is>
          <t>DALARNAS LÄN</t>
        </is>
      </c>
      <c r="E544" t="inlineStr">
        <is>
          <t>MORA</t>
        </is>
      </c>
      <c r="G544" t="n">
        <v>1.6</v>
      </c>
      <c r="H544" t="n">
        <v>0</v>
      </c>
      <c r="I544" t="n">
        <v>0</v>
      </c>
      <c r="J544" t="n">
        <v>0</v>
      </c>
      <c r="K544" t="n">
        <v>0</v>
      </c>
      <c r="L544" t="n">
        <v>0</v>
      </c>
      <c r="M544" t="n">
        <v>0</v>
      </c>
      <c r="N544" t="n">
        <v>0</v>
      </c>
      <c r="O544" t="n">
        <v>0</v>
      </c>
      <c r="P544" t="n">
        <v>0</v>
      </c>
      <c r="Q544" t="n">
        <v>0</v>
      </c>
      <c r="R544" s="2" t="inlineStr"/>
    </row>
    <row r="545" ht="15" customHeight="1">
      <c r="A545" t="inlineStr">
        <is>
          <t>A 40661-2025</t>
        </is>
      </c>
      <c r="B545" s="1" t="n">
        <v>45896.64715277778</v>
      </c>
      <c r="C545" s="1" t="n">
        <v>45974</v>
      </c>
      <c r="D545" t="inlineStr">
        <is>
          <t>DALARNAS LÄN</t>
        </is>
      </c>
      <c r="E545" t="inlineStr">
        <is>
          <t>MORA</t>
        </is>
      </c>
      <c r="G545" t="n">
        <v>2.8</v>
      </c>
      <c r="H545" t="n">
        <v>0</v>
      </c>
      <c r="I545" t="n">
        <v>0</v>
      </c>
      <c r="J545" t="n">
        <v>0</v>
      </c>
      <c r="K545" t="n">
        <v>0</v>
      </c>
      <c r="L545" t="n">
        <v>0</v>
      </c>
      <c r="M545" t="n">
        <v>0</v>
      </c>
      <c r="N545" t="n">
        <v>0</v>
      </c>
      <c r="O545" t="n">
        <v>0</v>
      </c>
      <c r="P545" t="n">
        <v>0</v>
      </c>
      <c r="Q545" t="n">
        <v>0</v>
      </c>
      <c r="R545" s="2" t="inlineStr"/>
    </row>
    <row r="546" ht="15" customHeight="1">
      <c r="A546" t="inlineStr">
        <is>
          <t>A 35611-2025</t>
        </is>
      </c>
      <c r="B546" s="1" t="n">
        <v>45859.35384259259</v>
      </c>
      <c r="C546" s="1" t="n">
        <v>45974</v>
      </c>
      <c r="D546" t="inlineStr">
        <is>
          <t>DALARNAS LÄN</t>
        </is>
      </c>
      <c r="E546" t="inlineStr">
        <is>
          <t>MORA</t>
        </is>
      </c>
      <c r="G546" t="n">
        <v>2.5</v>
      </c>
      <c r="H546" t="n">
        <v>0</v>
      </c>
      <c r="I546" t="n">
        <v>0</v>
      </c>
      <c r="J546" t="n">
        <v>0</v>
      </c>
      <c r="K546" t="n">
        <v>0</v>
      </c>
      <c r="L546" t="n">
        <v>0</v>
      </c>
      <c r="M546" t="n">
        <v>0</v>
      </c>
      <c r="N546" t="n">
        <v>0</v>
      </c>
      <c r="O546" t="n">
        <v>0</v>
      </c>
      <c r="P546" t="n">
        <v>0</v>
      </c>
      <c r="Q546" t="n">
        <v>0</v>
      </c>
      <c r="R546" s="2" t="inlineStr"/>
    </row>
    <row r="547" ht="15" customHeight="1">
      <c r="A547" t="inlineStr">
        <is>
          <t>A 35734-2025</t>
        </is>
      </c>
      <c r="B547" s="1" t="n">
        <v>45860.471875</v>
      </c>
      <c r="C547" s="1" t="n">
        <v>45974</v>
      </c>
      <c r="D547" t="inlineStr">
        <is>
          <t>DALARNAS LÄN</t>
        </is>
      </c>
      <c r="E547" t="inlineStr">
        <is>
          <t>MORA</t>
        </is>
      </c>
      <c r="G547" t="n">
        <v>1.3</v>
      </c>
      <c r="H547" t="n">
        <v>0</v>
      </c>
      <c r="I547" t="n">
        <v>0</v>
      </c>
      <c r="J547" t="n">
        <v>0</v>
      </c>
      <c r="K547" t="n">
        <v>0</v>
      </c>
      <c r="L547" t="n">
        <v>0</v>
      </c>
      <c r="M547" t="n">
        <v>0</v>
      </c>
      <c r="N547" t="n">
        <v>0</v>
      </c>
      <c r="O547" t="n">
        <v>0</v>
      </c>
      <c r="P547" t="n">
        <v>0</v>
      </c>
      <c r="Q547" t="n">
        <v>0</v>
      </c>
      <c r="R547" s="2" t="inlineStr"/>
    </row>
    <row r="548" ht="15" customHeight="1">
      <c r="A548" t="inlineStr">
        <is>
          <t>A 35623-2025</t>
        </is>
      </c>
      <c r="B548" s="1" t="n">
        <v>45859</v>
      </c>
      <c r="C548" s="1" t="n">
        <v>45974</v>
      </c>
      <c r="D548" t="inlineStr">
        <is>
          <t>DALARNAS LÄN</t>
        </is>
      </c>
      <c r="E548" t="inlineStr">
        <is>
          <t>MORA</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49574-2025</t>
        </is>
      </c>
      <c r="B549" s="1" t="n">
        <v>45939.49045138889</v>
      </c>
      <c r="C549" s="1" t="n">
        <v>45974</v>
      </c>
      <c r="D549" t="inlineStr">
        <is>
          <t>DALARNAS LÄN</t>
        </is>
      </c>
      <c r="E549" t="inlineStr">
        <is>
          <t>MORA</t>
        </is>
      </c>
      <c r="G549" t="n">
        <v>6.3</v>
      </c>
      <c r="H549" t="n">
        <v>0</v>
      </c>
      <c r="I549" t="n">
        <v>0</v>
      </c>
      <c r="J549" t="n">
        <v>0</v>
      </c>
      <c r="K549" t="n">
        <v>0</v>
      </c>
      <c r="L549" t="n">
        <v>0</v>
      </c>
      <c r="M549" t="n">
        <v>0</v>
      </c>
      <c r="N549" t="n">
        <v>0</v>
      </c>
      <c r="O549" t="n">
        <v>0</v>
      </c>
      <c r="P549" t="n">
        <v>0</v>
      </c>
      <c r="Q549" t="n">
        <v>0</v>
      </c>
      <c r="R549" s="2" t="inlineStr"/>
    </row>
    <row r="550" ht="15" customHeight="1">
      <c r="A550" t="inlineStr">
        <is>
          <t>A 25345-2025</t>
        </is>
      </c>
      <c r="B550" s="1" t="n">
        <v>45799</v>
      </c>
      <c r="C550" s="1" t="n">
        <v>45974</v>
      </c>
      <c r="D550" t="inlineStr">
        <is>
          <t>DALARNAS LÄN</t>
        </is>
      </c>
      <c r="E550" t="inlineStr">
        <is>
          <t>MORA</t>
        </is>
      </c>
      <c r="G550" t="n">
        <v>3.1</v>
      </c>
      <c r="H550" t="n">
        <v>0</v>
      </c>
      <c r="I550" t="n">
        <v>0</v>
      </c>
      <c r="J550" t="n">
        <v>0</v>
      </c>
      <c r="K550" t="n">
        <v>0</v>
      </c>
      <c r="L550" t="n">
        <v>0</v>
      </c>
      <c r="M550" t="n">
        <v>0</v>
      </c>
      <c r="N550" t="n">
        <v>0</v>
      </c>
      <c r="O550" t="n">
        <v>0</v>
      </c>
      <c r="P550" t="n">
        <v>0</v>
      </c>
      <c r="Q550" t="n">
        <v>0</v>
      </c>
      <c r="R550" s="2" t="inlineStr"/>
    </row>
    <row r="551" ht="15" customHeight="1">
      <c r="A551" t="inlineStr">
        <is>
          <t>A 35622-2025</t>
        </is>
      </c>
      <c r="B551" s="1" t="n">
        <v>45859</v>
      </c>
      <c r="C551" s="1" t="n">
        <v>45974</v>
      </c>
      <c r="D551" t="inlineStr">
        <is>
          <t>DALARNAS LÄN</t>
        </is>
      </c>
      <c r="E551" t="inlineStr">
        <is>
          <t>MORA</t>
        </is>
      </c>
      <c r="F551" t="inlineStr">
        <is>
          <t>Bergvik skog öst AB</t>
        </is>
      </c>
      <c r="G551" t="n">
        <v>5.8</v>
      </c>
      <c r="H551" t="n">
        <v>0</v>
      </c>
      <c r="I551" t="n">
        <v>0</v>
      </c>
      <c r="J551" t="n">
        <v>0</v>
      </c>
      <c r="K551" t="n">
        <v>0</v>
      </c>
      <c r="L551" t="n">
        <v>0</v>
      </c>
      <c r="M551" t="n">
        <v>0</v>
      </c>
      <c r="N551" t="n">
        <v>0</v>
      </c>
      <c r="O551" t="n">
        <v>0</v>
      </c>
      <c r="P551" t="n">
        <v>0</v>
      </c>
      <c r="Q551" t="n">
        <v>0</v>
      </c>
      <c r="R551" s="2" t="inlineStr"/>
    </row>
    <row r="552" ht="15" customHeight="1">
      <c r="A552" t="inlineStr">
        <is>
          <t>A 49401-2025</t>
        </is>
      </c>
      <c r="B552" s="1" t="n">
        <v>45938.66932870371</v>
      </c>
      <c r="C552" s="1" t="n">
        <v>45974</v>
      </c>
      <c r="D552" t="inlineStr">
        <is>
          <t>DALARNAS LÄN</t>
        </is>
      </c>
      <c r="E552" t="inlineStr">
        <is>
          <t>MORA</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35624-2025</t>
        </is>
      </c>
      <c r="B553" s="1" t="n">
        <v>45859</v>
      </c>
      <c r="C553" s="1" t="n">
        <v>45974</v>
      </c>
      <c r="D553" t="inlineStr">
        <is>
          <t>DALARNAS LÄN</t>
        </is>
      </c>
      <c r="E553" t="inlineStr">
        <is>
          <t>MORA</t>
        </is>
      </c>
      <c r="F553" t="inlineStr">
        <is>
          <t>Bergvik skog öst AB</t>
        </is>
      </c>
      <c r="G553" t="n">
        <v>0.8</v>
      </c>
      <c r="H553" t="n">
        <v>0</v>
      </c>
      <c r="I553" t="n">
        <v>0</v>
      </c>
      <c r="J553" t="n">
        <v>0</v>
      </c>
      <c r="K553" t="n">
        <v>0</v>
      </c>
      <c r="L553" t="n">
        <v>0</v>
      </c>
      <c r="M553" t="n">
        <v>0</v>
      </c>
      <c r="N553" t="n">
        <v>0</v>
      </c>
      <c r="O553" t="n">
        <v>0</v>
      </c>
      <c r="P553" t="n">
        <v>0</v>
      </c>
      <c r="Q553" t="n">
        <v>0</v>
      </c>
      <c r="R553" s="2" t="inlineStr"/>
    </row>
    <row r="554" ht="15" customHeight="1">
      <c r="A554" t="inlineStr">
        <is>
          <t>A 5309-2023</t>
        </is>
      </c>
      <c r="B554" s="1" t="n">
        <v>44956</v>
      </c>
      <c r="C554" s="1" t="n">
        <v>45974</v>
      </c>
      <c r="D554" t="inlineStr">
        <is>
          <t>DALARNAS LÄN</t>
        </is>
      </c>
      <c r="E554" t="inlineStr">
        <is>
          <t>MORA</t>
        </is>
      </c>
      <c r="G554" t="n">
        <v>1.1</v>
      </c>
      <c r="H554" t="n">
        <v>0</v>
      </c>
      <c r="I554" t="n">
        <v>0</v>
      </c>
      <c r="J554" t="n">
        <v>0</v>
      </c>
      <c r="K554" t="n">
        <v>0</v>
      </c>
      <c r="L554" t="n">
        <v>0</v>
      </c>
      <c r="M554" t="n">
        <v>0</v>
      </c>
      <c r="N554" t="n">
        <v>0</v>
      </c>
      <c r="O554" t="n">
        <v>0</v>
      </c>
      <c r="P554" t="n">
        <v>0</v>
      </c>
      <c r="Q554" t="n">
        <v>0</v>
      </c>
      <c r="R554" s="2" t="inlineStr"/>
    </row>
    <row r="555" ht="15" customHeight="1">
      <c r="A555" t="inlineStr">
        <is>
          <t>A 41200-2025</t>
        </is>
      </c>
      <c r="B555" s="1" t="n">
        <v>45898.5738425926</v>
      </c>
      <c r="C555" s="1" t="n">
        <v>45974</v>
      </c>
      <c r="D555" t="inlineStr">
        <is>
          <t>DALARNAS LÄN</t>
        </is>
      </c>
      <c r="E555" t="inlineStr">
        <is>
          <t>MORA</t>
        </is>
      </c>
      <c r="G555" t="n">
        <v>8.9</v>
      </c>
      <c r="H555" t="n">
        <v>0</v>
      </c>
      <c r="I555" t="n">
        <v>0</v>
      </c>
      <c r="J555" t="n">
        <v>0</v>
      </c>
      <c r="K555" t="n">
        <v>0</v>
      </c>
      <c r="L555" t="n">
        <v>0</v>
      </c>
      <c r="M555" t="n">
        <v>0</v>
      </c>
      <c r="N555" t="n">
        <v>0</v>
      </c>
      <c r="O555" t="n">
        <v>0</v>
      </c>
      <c r="P555" t="n">
        <v>0</v>
      </c>
      <c r="Q555" t="n">
        <v>0</v>
      </c>
      <c r="R555" s="2" t="inlineStr"/>
    </row>
    <row r="556" ht="15" customHeight="1">
      <c r="A556" t="inlineStr">
        <is>
          <t>A 21410-2023</t>
        </is>
      </c>
      <c r="B556" s="1" t="n">
        <v>45063</v>
      </c>
      <c r="C556" s="1" t="n">
        <v>45974</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41175-2025</t>
        </is>
      </c>
      <c r="B557" s="1" t="n">
        <v>45898.55165509259</v>
      </c>
      <c r="C557" s="1" t="n">
        <v>45974</v>
      </c>
      <c r="D557" t="inlineStr">
        <is>
          <t>DALARNAS LÄN</t>
        </is>
      </c>
      <c r="E557" t="inlineStr">
        <is>
          <t>MORA</t>
        </is>
      </c>
      <c r="G557" t="n">
        <v>4.5</v>
      </c>
      <c r="H557" t="n">
        <v>0</v>
      </c>
      <c r="I557" t="n">
        <v>0</v>
      </c>
      <c r="J557" t="n">
        <v>0</v>
      </c>
      <c r="K557" t="n">
        <v>0</v>
      </c>
      <c r="L557" t="n">
        <v>0</v>
      </c>
      <c r="M557" t="n">
        <v>0</v>
      </c>
      <c r="N557" t="n">
        <v>0</v>
      </c>
      <c r="O557" t="n">
        <v>0</v>
      </c>
      <c r="P557" t="n">
        <v>0</v>
      </c>
      <c r="Q557" t="n">
        <v>0</v>
      </c>
      <c r="R557" s="2" t="inlineStr"/>
    </row>
    <row r="558" ht="15" customHeight="1">
      <c r="A558" t="inlineStr">
        <is>
          <t>A 3531-2024</t>
        </is>
      </c>
      <c r="B558" s="1" t="n">
        <v>45320</v>
      </c>
      <c r="C558" s="1" t="n">
        <v>45974</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c r="U558">
        <f>HYPERLINK("https://klasma.github.io/Logging_2062/knärot/A 3531-2024 karta knärot.png", "A 3531-2024")</f>
        <v/>
      </c>
      <c r="V558">
        <f>HYPERLINK("https://klasma.github.io/Logging_2062/klagomål/A 3531-2024 FSC-klagomål.docx", "A 3531-2024")</f>
        <v/>
      </c>
      <c r="W558">
        <f>HYPERLINK("https://klasma.github.io/Logging_2062/klagomålsmail/A 3531-2024 FSC-klagomål mail.docx", "A 3531-2024")</f>
        <v/>
      </c>
      <c r="X558">
        <f>HYPERLINK("https://klasma.github.io/Logging_2062/tillsyn/A 3531-2024 tillsynsbegäran.docx", "A 3531-2024")</f>
        <v/>
      </c>
      <c r="Y558">
        <f>HYPERLINK("https://klasma.github.io/Logging_2062/tillsynsmail/A 3531-2024 tillsynsbegäran mail.docx", "A 3531-2024")</f>
        <v/>
      </c>
    </row>
    <row r="559" ht="15" customHeight="1">
      <c r="A559" t="inlineStr">
        <is>
          <t>A 36041-2025</t>
        </is>
      </c>
      <c r="B559" s="1" t="n">
        <v>45866.34385416667</v>
      </c>
      <c r="C559" s="1" t="n">
        <v>45974</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45475-2023</t>
        </is>
      </c>
      <c r="B560" s="1" t="n">
        <v>45188</v>
      </c>
      <c r="C560" s="1" t="n">
        <v>45974</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44071-2024</t>
        </is>
      </c>
      <c r="B561" s="1" t="n">
        <v>45572.60915509259</v>
      </c>
      <c r="C561" s="1" t="n">
        <v>45974</v>
      </c>
      <c r="D561" t="inlineStr">
        <is>
          <t>DALARNAS LÄN</t>
        </is>
      </c>
      <c r="E561" t="inlineStr">
        <is>
          <t>MORA</t>
        </is>
      </c>
      <c r="G561" t="n">
        <v>4.5</v>
      </c>
      <c r="H561" t="n">
        <v>0</v>
      </c>
      <c r="I561" t="n">
        <v>0</v>
      </c>
      <c r="J561" t="n">
        <v>0</v>
      </c>
      <c r="K561" t="n">
        <v>0</v>
      </c>
      <c r="L561" t="n">
        <v>0</v>
      </c>
      <c r="M561" t="n">
        <v>0</v>
      </c>
      <c r="N561" t="n">
        <v>0</v>
      </c>
      <c r="O561" t="n">
        <v>0</v>
      </c>
      <c r="P561" t="n">
        <v>0</v>
      </c>
      <c r="Q561" t="n">
        <v>0</v>
      </c>
      <c r="R561" s="2" t="inlineStr"/>
    </row>
    <row r="562" ht="15" customHeight="1">
      <c r="A562" t="inlineStr">
        <is>
          <t>A 11463-2024</t>
        </is>
      </c>
      <c r="B562" s="1" t="n">
        <v>45372.58969907407</v>
      </c>
      <c r="C562" s="1" t="n">
        <v>45974</v>
      </c>
      <c r="D562" t="inlineStr">
        <is>
          <t>DALARNAS LÄN</t>
        </is>
      </c>
      <c r="E562" t="inlineStr">
        <is>
          <t>MORA</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41614-2025</t>
        </is>
      </c>
      <c r="B563" s="1" t="n">
        <v>45901.68267361111</v>
      </c>
      <c r="C563" s="1" t="n">
        <v>45974</v>
      </c>
      <c r="D563" t="inlineStr">
        <is>
          <t>DALARNAS LÄN</t>
        </is>
      </c>
      <c r="E563" t="inlineStr">
        <is>
          <t>MORA</t>
        </is>
      </c>
      <c r="F563" t="inlineStr">
        <is>
          <t>Bergvik skog väst AB</t>
        </is>
      </c>
      <c r="G563" t="n">
        <v>13.8</v>
      </c>
      <c r="H563" t="n">
        <v>0</v>
      </c>
      <c r="I563" t="n">
        <v>0</v>
      </c>
      <c r="J563" t="n">
        <v>0</v>
      </c>
      <c r="K563" t="n">
        <v>0</v>
      </c>
      <c r="L563" t="n">
        <v>0</v>
      </c>
      <c r="M563" t="n">
        <v>0</v>
      </c>
      <c r="N563" t="n">
        <v>0</v>
      </c>
      <c r="O563" t="n">
        <v>0</v>
      </c>
      <c r="P563" t="n">
        <v>0</v>
      </c>
      <c r="Q563" t="n">
        <v>0</v>
      </c>
      <c r="R563" s="2" t="inlineStr"/>
    </row>
    <row r="564" ht="15" customHeight="1">
      <c r="A564" t="inlineStr">
        <is>
          <t>A 16174-2025</t>
        </is>
      </c>
      <c r="B564" s="1" t="n">
        <v>45750</v>
      </c>
      <c r="C564" s="1" t="n">
        <v>45974</v>
      </c>
      <c r="D564" t="inlineStr">
        <is>
          <t>DALARNAS LÄN</t>
        </is>
      </c>
      <c r="E564" t="inlineStr">
        <is>
          <t>MORA</t>
        </is>
      </c>
      <c r="G564" t="n">
        <v>0.9</v>
      </c>
      <c r="H564" t="n">
        <v>0</v>
      </c>
      <c r="I564" t="n">
        <v>0</v>
      </c>
      <c r="J564" t="n">
        <v>0</v>
      </c>
      <c r="K564" t="n">
        <v>0</v>
      </c>
      <c r="L564" t="n">
        <v>0</v>
      </c>
      <c r="M564" t="n">
        <v>0</v>
      </c>
      <c r="N564" t="n">
        <v>0</v>
      </c>
      <c r="O564" t="n">
        <v>0</v>
      </c>
      <c r="P564" t="n">
        <v>0</v>
      </c>
      <c r="Q564" t="n">
        <v>0</v>
      </c>
      <c r="R564" s="2" t="inlineStr"/>
    </row>
    <row r="565" ht="15" customHeight="1">
      <c r="A565" t="inlineStr">
        <is>
          <t>A 2879-2022</t>
        </is>
      </c>
      <c r="B565" s="1" t="n">
        <v>44581</v>
      </c>
      <c r="C565" s="1" t="n">
        <v>45974</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57903-2022</t>
        </is>
      </c>
      <c r="B566" s="1" t="n">
        <v>44900.3521412037</v>
      </c>
      <c r="C566" s="1" t="n">
        <v>45974</v>
      </c>
      <c r="D566" t="inlineStr">
        <is>
          <t>DALARNAS LÄN</t>
        </is>
      </c>
      <c r="E566" t="inlineStr">
        <is>
          <t>MORA</t>
        </is>
      </c>
      <c r="G566" t="n">
        <v>4.3</v>
      </c>
      <c r="H566" t="n">
        <v>0</v>
      </c>
      <c r="I566" t="n">
        <v>0</v>
      </c>
      <c r="J566" t="n">
        <v>0</v>
      </c>
      <c r="K566" t="n">
        <v>0</v>
      </c>
      <c r="L566" t="n">
        <v>0</v>
      </c>
      <c r="M566" t="n">
        <v>0</v>
      </c>
      <c r="N566" t="n">
        <v>0</v>
      </c>
      <c r="O566" t="n">
        <v>0</v>
      </c>
      <c r="P566" t="n">
        <v>0</v>
      </c>
      <c r="Q566" t="n">
        <v>0</v>
      </c>
      <c r="R566" s="2" t="inlineStr"/>
    </row>
    <row r="567" ht="15" customHeight="1">
      <c r="A567" t="inlineStr">
        <is>
          <t>A 46129-2024</t>
        </is>
      </c>
      <c r="B567" s="1" t="n">
        <v>45581.43337962963</v>
      </c>
      <c r="C567" s="1" t="n">
        <v>45974</v>
      </c>
      <c r="D567" t="inlineStr">
        <is>
          <t>DALARNAS LÄN</t>
        </is>
      </c>
      <c r="E567" t="inlineStr">
        <is>
          <t>MORA</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49828-2025</t>
        </is>
      </c>
      <c r="B568" s="1" t="n">
        <v>45940.44993055556</v>
      </c>
      <c r="C568" s="1" t="n">
        <v>45974</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36586-2025</t>
        </is>
      </c>
      <c r="B569" s="1" t="n">
        <v>45869</v>
      </c>
      <c r="C569" s="1" t="n">
        <v>45974</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36760-2025</t>
        </is>
      </c>
      <c r="B570" s="1" t="n">
        <v>45873.57319444444</v>
      </c>
      <c r="C570" s="1" t="n">
        <v>45974</v>
      </c>
      <c r="D570" t="inlineStr">
        <is>
          <t>DALARNAS LÄN</t>
        </is>
      </c>
      <c r="E570" t="inlineStr">
        <is>
          <t>MORA</t>
        </is>
      </c>
      <c r="G570" t="n">
        <v>4.6</v>
      </c>
      <c r="H570" t="n">
        <v>0</v>
      </c>
      <c r="I570" t="n">
        <v>0</v>
      </c>
      <c r="J570" t="n">
        <v>0</v>
      </c>
      <c r="K570" t="n">
        <v>0</v>
      </c>
      <c r="L570" t="n">
        <v>0</v>
      </c>
      <c r="M570" t="n">
        <v>0</v>
      </c>
      <c r="N570" t="n">
        <v>0</v>
      </c>
      <c r="O570" t="n">
        <v>0</v>
      </c>
      <c r="P570" t="n">
        <v>0</v>
      </c>
      <c r="Q570" t="n">
        <v>0</v>
      </c>
      <c r="R570" s="2" t="inlineStr"/>
    </row>
    <row r="571" ht="15" customHeight="1">
      <c r="A571" t="inlineStr">
        <is>
          <t>A 24620-2025</t>
        </is>
      </c>
      <c r="B571" s="1" t="n">
        <v>45798.59290509259</v>
      </c>
      <c r="C571" s="1" t="n">
        <v>45974</v>
      </c>
      <c r="D571" t="inlineStr">
        <is>
          <t>DALARNAS LÄN</t>
        </is>
      </c>
      <c r="E571" t="inlineStr">
        <is>
          <t>MORA</t>
        </is>
      </c>
      <c r="F571" t="inlineStr">
        <is>
          <t>Bergvik skog väst AB</t>
        </is>
      </c>
      <c r="G571" t="n">
        <v>4.9</v>
      </c>
      <c r="H571" t="n">
        <v>0</v>
      </c>
      <c r="I571" t="n">
        <v>0</v>
      </c>
      <c r="J571" t="n">
        <v>0</v>
      </c>
      <c r="K571" t="n">
        <v>0</v>
      </c>
      <c r="L571" t="n">
        <v>0</v>
      </c>
      <c r="M571" t="n">
        <v>0</v>
      </c>
      <c r="N571" t="n">
        <v>0</v>
      </c>
      <c r="O571" t="n">
        <v>0</v>
      </c>
      <c r="P571" t="n">
        <v>0</v>
      </c>
      <c r="Q571" t="n">
        <v>0</v>
      </c>
      <c r="R571" s="2" t="inlineStr"/>
    </row>
    <row r="572" ht="15" customHeight="1">
      <c r="A572" t="inlineStr">
        <is>
          <t>A 19193-2025</t>
        </is>
      </c>
      <c r="B572" s="1" t="n">
        <v>45769.42203703704</v>
      </c>
      <c r="C572" s="1" t="n">
        <v>45974</v>
      </c>
      <c r="D572" t="inlineStr">
        <is>
          <t>DALARNAS LÄN</t>
        </is>
      </c>
      <c r="E572" t="inlineStr">
        <is>
          <t>MORA</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36846-2025</t>
        </is>
      </c>
      <c r="B573" s="1" t="n">
        <v>45874.38655092593</v>
      </c>
      <c r="C573" s="1" t="n">
        <v>45974</v>
      </c>
      <c r="D573" t="inlineStr">
        <is>
          <t>DALARNAS LÄN</t>
        </is>
      </c>
      <c r="E573" t="inlineStr">
        <is>
          <t>MORA</t>
        </is>
      </c>
      <c r="G573" t="n">
        <v>10.7</v>
      </c>
      <c r="H573" t="n">
        <v>0</v>
      </c>
      <c r="I573" t="n">
        <v>0</v>
      </c>
      <c r="J573" t="n">
        <v>0</v>
      </c>
      <c r="K573" t="n">
        <v>0</v>
      </c>
      <c r="L573" t="n">
        <v>0</v>
      </c>
      <c r="M573" t="n">
        <v>0</v>
      </c>
      <c r="N573" t="n">
        <v>0</v>
      </c>
      <c r="O573" t="n">
        <v>0</v>
      </c>
      <c r="P573" t="n">
        <v>0</v>
      </c>
      <c r="Q573" t="n">
        <v>0</v>
      </c>
      <c r="R573" s="2" t="inlineStr"/>
    </row>
    <row r="574" ht="15" customHeight="1">
      <c r="A574" t="inlineStr">
        <is>
          <t>A 22854-2023</t>
        </is>
      </c>
      <c r="B574" s="1" t="n">
        <v>45072</v>
      </c>
      <c r="C574" s="1" t="n">
        <v>45974</v>
      </c>
      <c r="D574" t="inlineStr">
        <is>
          <t>DALARNAS LÄN</t>
        </is>
      </c>
      <c r="E574" t="inlineStr">
        <is>
          <t>MORA</t>
        </is>
      </c>
      <c r="G574" t="n">
        <v>3.3</v>
      </c>
      <c r="H574" t="n">
        <v>0</v>
      </c>
      <c r="I574" t="n">
        <v>0</v>
      </c>
      <c r="J574" t="n">
        <v>0</v>
      </c>
      <c r="K574" t="n">
        <v>0</v>
      </c>
      <c r="L574" t="n">
        <v>0</v>
      </c>
      <c r="M574" t="n">
        <v>0</v>
      </c>
      <c r="N574" t="n">
        <v>0</v>
      </c>
      <c r="O574" t="n">
        <v>0</v>
      </c>
      <c r="P574" t="n">
        <v>0</v>
      </c>
      <c r="Q574" t="n">
        <v>0</v>
      </c>
      <c r="R574" s="2" t="inlineStr"/>
    </row>
    <row r="575" ht="15" customHeight="1">
      <c r="A575" t="inlineStr">
        <is>
          <t>A 6183-2024</t>
        </is>
      </c>
      <c r="B575" s="1" t="n">
        <v>45337.54135416666</v>
      </c>
      <c r="C575" s="1" t="n">
        <v>45974</v>
      </c>
      <c r="D575" t="inlineStr">
        <is>
          <t>DALARNAS LÄN</t>
        </is>
      </c>
      <c r="E575" t="inlineStr">
        <is>
          <t>MORA</t>
        </is>
      </c>
      <c r="G575" t="n">
        <v>7.9</v>
      </c>
      <c r="H575" t="n">
        <v>0</v>
      </c>
      <c r="I575" t="n">
        <v>0</v>
      </c>
      <c r="J575" t="n">
        <v>0</v>
      </c>
      <c r="K575" t="n">
        <v>0</v>
      </c>
      <c r="L575" t="n">
        <v>0</v>
      </c>
      <c r="M575" t="n">
        <v>0</v>
      </c>
      <c r="N575" t="n">
        <v>0</v>
      </c>
      <c r="O575" t="n">
        <v>0</v>
      </c>
      <c r="P575" t="n">
        <v>0</v>
      </c>
      <c r="Q575" t="n">
        <v>0</v>
      </c>
      <c r="R575" s="2" t="inlineStr"/>
    </row>
    <row r="576" ht="15" customHeight="1">
      <c r="A576" t="inlineStr">
        <is>
          <t>A 24653-2025</t>
        </is>
      </c>
      <c r="B576" s="1" t="n">
        <v>45798.63875</v>
      </c>
      <c r="C576" s="1" t="n">
        <v>45974</v>
      </c>
      <c r="D576" t="inlineStr">
        <is>
          <t>DALARNAS LÄN</t>
        </is>
      </c>
      <c r="E576" t="inlineStr">
        <is>
          <t>MORA</t>
        </is>
      </c>
      <c r="F576" t="inlineStr">
        <is>
          <t>Bergvik skog väst AB</t>
        </is>
      </c>
      <c r="G576" t="n">
        <v>4.9</v>
      </c>
      <c r="H576" t="n">
        <v>0</v>
      </c>
      <c r="I576" t="n">
        <v>0</v>
      </c>
      <c r="J576" t="n">
        <v>0</v>
      </c>
      <c r="K576" t="n">
        <v>0</v>
      </c>
      <c r="L576" t="n">
        <v>0</v>
      </c>
      <c r="M576" t="n">
        <v>0</v>
      </c>
      <c r="N576" t="n">
        <v>0</v>
      </c>
      <c r="O576" t="n">
        <v>0</v>
      </c>
      <c r="P576" t="n">
        <v>0</v>
      </c>
      <c r="Q576" t="n">
        <v>0</v>
      </c>
      <c r="R576" s="2" t="inlineStr"/>
    </row>
    <row r="577" ht="15" customHeight="1">
      <c r="A577" t="inlineStr">
        <is>
          <t>A 41783-2025</t>
        </is>
      </c>
      <c r="B577" s="1" t="n">
        <v>45902.58721064815</v>
      </c>
      <c r="C577" s="1" t="n">
        <v>45974</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37070-2025</t>
        </is>
      </c>
      <c r="B578" s="1" t="n">
        <v>45875.39822916667</v>
      </c>
      <c r="C578" s="1" t="n">
        <v>45974</v>
      </c>
      <c r="D578" t="inlineStr">
        <is>
          <t>DALARNAS LÄN</t>
        </is>
      </c>
      <c r="E578" t="inlineStr">
        <is>
          <t>MORA</t>
        </is>
      </c>
      <c r="G578" t="n">
        <v>2.7</v>
      </c>
      <c r="H578" t="n">
        <v>0</v>
      </c>
      <c r="I578" t="n">
        <v>0</v>
      </c>
      <c r="J578" t="n">
        <v>0</v>
      </c>
      <c r="K578" t="n">
        <v>0</v>
      </c>
      <c r="L578" t="n">
        <v>0</v>
      </c>
      <c r="M578" t="n">
        <v>0</v>
      </c>
      <c r="N578" t="n">
        <v>0</v>
      </c>
      <c r="O578" t="n">
        <v>0</v>
      </c>
      <c r="P578" t="n">
        <v>0</v>
      </c>
      <c r="Q578" t="n">
        <v>0</v>
      </c>
      <c r="R578" s="2" t="inlineStr"/>
    </row>
    <row r="579" ht="15" customHeight="1">
      <c r="A579" t="inlineStr">
        <is>
          <t>A 37268-2025</t>
        </is>
      </c>
      <c r="B579" s="1" t="n">
        <v>45876.46681712963</v>
      </c>
      <c r="C579" s="1" t="n">
        <v>45974</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41855-2025</t>
        </is>
      </c>
      <c r="B580" s="1" t="n">
        <v>45902.93693287037</v>
      </c>
      <c r="C580" s="1" t="n">
        <v>45974</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42319-2025</t>
        </is>
      </c>
      <c r="B581" s="1" t="n">
        <v>45903</v>
      </c>
      <c r="C581" s="1" t="n">
        <v>45974</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47686-2025</t>
        </is>
      </c>
      <c r="B582" s="1" t="n">
        <v>45931</v>
      </c>
      <c r="C582" s="1" t="n">
        <v>45974</v>
      </c>
      <c r="D582" t="inlineStr">
        <is>
          <t>DALARNAS LÄN</t>
        </is>
      </c>
      <c r="E582" t="inlineStr">
        <is>
          <t>MORA</t>
        </is>
      </c>
      <c r="G582" t="n">
        <v>1.3</v>
      </c>
      <c r="H582" t="n">
        <v>0</v>
      </c>
      <c r="I582" t="n">
        <v>0</v>
      </c>
      <c r="J582" t="n">
        <v>0</v>
      </c>
      <c r="K582" t="n">
        <v>0</v>
      </c>
      <c r="L582" t="n">
        <v>0</v>
      </c>
      <c r="M582" t="n">
        <v>0</v>
      </c>
      <c r="N582" t="n">
        <v>0</v>
      </c>
      <c r="O582" t="n">
        <v>0</v>
      </c>
      <c r="P582" t="n">
        <v>0</v>
      </c>
      <c r="Q582" t="n">
        <v>0</v>
      </c>
      <c r="R582" s="2" t="inlineStr"/>
    </row>
    <row r="583" ht="15" customHeight="1">
      <c r="A583" t="inlineStr">
        <is>
          <t>A 46152-2023</t>
        </is>
      </c>
      <c r="B583" s="1" t="n">
        <v>45196.58278935185</v>
      </c>
      <c r="C583" s="1" t="n">
        <v>45974</v>
      </c>
      <c r="D583" t="inlineStr">
        <is>
          <t>DALARNAS LÄN</t>
        </is>
      </c>
      <c r="E583" t="inlineStr">
        <is>
          <t>MORA</t>
        </is>
      </c>
      <c r="G583" t="n">
        <v>2</v>
      </c>
      <c r="H583" t="n">
        <v>0</v>
      </c>
      <c r="I583" t="n">
        <v>0</v>
      </c>
      <c r="J583" t="n">
        <v>0</v>
      </c>
      <c r="K583" t="n">
        <v>0</v>
      </c>
      <c r="L583" t="n">
        <v>0</v>
      </c>
      <c r="M583" t="n">
        <v>0</v>
      </c>
      <c r="N583" t="n">
        <v>0</v>
      </c>
      <c r="O583" t="n">
        <v>0</v>
      </c>
      <c r="P583" t="n">
        <v>0</v>
      </c>
      <c r="Q583" t="n">
        <v>0</v>
      </c>
      <c r="R583" s="2" t="inlineStr"/>
    </row>
    <row r="584" ht="15" customHeight="1">
      <c r="A584" t="inlineStr">
        <is>
          <t>A 28832-2023</t>
        </is>
      </c>
      <c r="B584" s="1" t="n">
        <v>45104.40493055555</v>
      </c>
      <c r="C584" s="1" t="n">
        <v>45974</v>
      </c>
      <c r="D584" t="inlineStr">
        <is>
          <t>DALARNAS LÄN</t>
        </is>
      </c>
      <c r="E584" t="inlineStr">
        <is>
          <t>MORA</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37879-2025</t>
        </is>
      </c>
      <c r="B585" s="1" t="n">
        <v>45881.48791666667</v>
      </c>
      <c r="C585" s="1" t="n">
        <v>45974</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38086-2025</t>
        </is>
      </c>
      <c r="B586" s="1" t="n">
        <v>45882.47625</v>
      </c>
      <c r="C586" s="1" t="n">
        <v>45974</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53527-2024</t>
        </is>
      </c>
      <c r="B587" s="1" t="n">
        <v>45614.61569444444</v>
      </c>
      <c r="C587" s="1" t="n">
        <v>45974</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38073-2025</t>
        </is>
      </c>
      <c r="B588" s="1" t="n">
        <v>45882</v>
      </c>
      <c r="C588" s="1" t="n">
        <v>45974</v>
      </c>
      <c r="D588" t="inlineStr">
        <is>
          <t>DALARNAS LÄN</t>
        </is>
      </c>
      <c r="E588" t="inlineStr">
        <is>
          <t>MORA</t>
        </is>
      </c>
      <c r="G588" t="n">
        <v>2.5</v>
      </c>
      <c r="H588" t="n">
        <v>0</v>
      </c>
      <c r="I588" t="n">
        <v>0</v>
      </c>
      <c r="J588" t="n">
        <v>0</v>
      </c>
      <c r="K588" t="n">
        <v>0</v>
      </c>
      <c r="L588" t="n">
        <v>0</v>
      </c>
      <c r="M588" t="n">
        <v>0</v>
      </c>
      <c r="N588" t="n">
        <v>0</v>
      </c>
      <c r="O588" t="n">
        <v>0</v>
      </c>
      <c r="P588" t="n">
        <v>0</v>
      </c>
      <c r="Q588" t="n">
        <v>0</v>
      </c>
      <c r="R588" s="2" t="inlineStr"/>
    </row>
    <row r="589" ht="15" customHeight="1">
      <c r="A589" t="inlineStr">
        <is>
          <t>A 16967-2025</t>
        </is>
      </c>
      <c r="B589" s="1" t="n">
        <v>45755.46106481482</v>
      </c>
      <c r="C589" s="1" t="n">
        <v>45974</v>
      </c>
      <c r="D589" t="inlineStr">
        <is>
          <t>DALARNAS LÄN</t>
        </is>
      </c>
      <c r="E589" t="inlineStr">
        <is>
          <t>MORA</t>
        </is>
      </c>
      <c r="F589" t="inlineStr">
        <is>
          <t>Bergvik skog öst AB</t>
        </is>
      </c>
      <c r="G589" t="n">
        <v>2.9</v>
      </c>
      <c r="H589" t="n">
        <v>0</v>
      </c>
      <c r="I589" t="n">
        <v>0</v>
      </c>
      <c r="J589" t="n">
        <v>0</v>
      </c>
      <c r="K589" t="n">
        <v>0</v>
      </c>
      <c r="L589" t="n">
        <v>0</v>
      </c>
      <c r="M589" t="n">
        <v>0</v>
      </c>
      <c r="N589" t="n">
        <v>0</v>
      </c>
      <c r="O589" t="n">
        <v>0</v>
      </c>
      <c r="P589" t="n">
        <v>0</v>
      </c>
      <c r="Q589" t="n">
        <v>0</v>
      </c>
      <c r="R589" s="2" t="inlineStr"/>
    </row>
    <row r="590" ht="15" customHeight="1">
      <c r="A590" t="inlineStr">
        <is>
          <t>A 61278-2024</t>
        </is>
      </c>
      <c r="B590" s="1" t="n">
        <v>45645.76561342592</v>
      </c>
      <c r="C590" s="1" t="n">
        <v>45974</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48824-2023</t>
        </is>
      </c>
      <c r="B591" s="1" t="n">
        <v>45203</v>
      </c>
      <c r="C591" s="1" t="n">
        <v>45974</v>
      </c>
      <c r="D591" t="inlineStr">
        <is>
          <t>DALARNAS LÄN</t>
        </is>
      </c>
      <c r="E591" t="inlineStr">
        <is>
          <t>MORA</t>
        </is>
      </c>
      <c r="G591" t="n">
        <v>3.3</v>
      </c>
      <c r="H591" t="n">
        <v>0</v>
      </c>
      <c r="I591" t="n">
        <v>0</v>
      </c>
      <c r="J591" t="n">
        <v>0</v>
      </c>
      <c r="K591" t="n">
        <v>0</v>
      </c>
      <c r="L591" t="n">
        <v>0</v>
      </c>
      <c r="M591" t="n">
        <v>0</v>
      </c>
      <c r="N591" t="n">
        <v>0</v>
      </c>
      <c r="O591" t="n">
        <v>0</v>
      </c>
      <c r="P591" t="n">
        <v>0</v>
      </c>
      <c r="Q591" t="n">
        <v>0</v>
      </c>
      <c r="R591" s="2" t="inlineStr"/>
    </row>
    <row r="592" ht="15" customHeight="1">
      <c r="A592" t="inlineStr">
        <is>
          <t>A 42112-2025</t>
        </is>
      </c>
      <c r="B592" s="1" t="n">
        <v>45904.32134259259</v>
      </c>
      <c r="C592" s="1" t="n">
        <v>45974</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8343-2025</t>
        </is>
      </c>
      <c r="B593" s="1" t="n">
        <v>45708.67253472222</v>
      </c>
      <c r="C593" s="1" t="n">
        <v>45974</v>
      </c>
      <c r="D593" t="inlineStr">
        <is>
          <t>DALARNAS LÄN</t>
        </is>
      </c>
      <c r="E593" t="inlineStr">
        <is>
          <t>MORA</t>
        </is>
      </c>
      <c r="G593" t="n">
        <v>3.4</v>
      </c>
      <c r="H593" t="n">
        <v>0</v>
      </c>
      <c r="I593" t="n">
        <v>0</v>
      </c>
      <c r="J593" t="n">
        <v>0</v>
      </c>
      <c r="K593" t="n">
        <v>0</v>
      </c>
      <c r="L593" t="n">
        <v>0</v>
      </c>
      <c r="M593" t="n">
        <v>0</v>
      </c>
      <c r="N593" t="n">
        <v>0</v>
      </c>
      <c r="O593" t="n">
        <v>0</v>
      </c>
      <c r="P593" t="n">
        <v>0</v>
      </c>
      <c r="Q593" t="n">
        <v>0</v>
      </c>
      <c r="R593" s="2" t="inlineStr"/>
    </row>
    <row r="594" ht="15" customHeight="1">
      <c r="A594" t="inlineStr">
        <is>
          <t>A 17163-2025</t>
        </is>
      </c>
      <c r="B594" s="1" t="n">
        <v>45756.35998842592</v>
      </c>
      <c r="C594" s="1" t="n">
        <v>45974</v>
      </c>
      <c r="D594" t="inlineStr">
        <is>
          <t>DALARNAS LÄN</t>
        </is>
      </c>
      <c r="E594" t="inlineStr">
        <is>
          <t>MORA</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34272-2024</t>
        </is>
      </c>
      <c r="B595" s="1" t="n">
        <v>45524.61752314815</v>
      </c>
      <c r="C595" s="1" t="n">
        <v>45974</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42813-2025</t>
        </is>
      </c>
      <c r="B596" s="1" t="n">
        <v>45908.56168981481</v>
      </c>
      <c r="C596" s="1" t="n">
        <v>45974</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36579-2022</t>
        </is>
      </c>
      <c r="B597" s="1" t="n">
        <v>44804.61636574074</v>
      </c>
      <c r="C597" s="1" t="n">
        <v>45974</v>
      </c>
      <c r="D597" t="inlineStr">
        <is>
          <t>DALARNAS LÄN</t>
        </is>
      </c>
      <c r="E597" t="inlineStr">
        <is>
          <t>MORA</t>
        </is>
      </c>
      <c r="G597" t="n">
        <v>2.3</v>
      </c>
      <c r="H597" t="n">
        <v>0</v>
      </c>
      <c r="I597" t="n">
        <v>0</v>
      </c>
      <c r="J597" t="n">
        <v>0</v>
      </c>
      <c r="K597" t="n">
        <v>0</v>
      </c>
      <c r="L597" t="n">
        <v>0</v>
      </c>
      <c r="M597" t="n">
        <v>0</v>
      </c>
      <c r="N597" t="n">
        <v>0</v>
      </c>
      <c r="O597" t="n">
        <v>0</v>
      </c>
      <c r="P597" t="n">
        <v>0</v>
      </c>
      <c r="Q597" t="n">
        <v>0</v>
      </c>
      <c r="R597" s="2" t="inlineStr"/>
    </row>
    <row r="598" ht="15" customHeight="1">
      <c r="A598" t="inlineStr">
        <is>
          <t>A 30030-2021</t>
        </is>
      </c>
      <c r="B598" s="1" t="n">
        <v>44363</v>
      </c>
      <c r="C598" s="1" t="n">
        <v>45974</v>
      </c>
      <c r="D598" t="inlineStr">
        <is>
          <t>DALARNAS LÄN</t>
        </is>
      </c>
      <c r="E598" t="inlineStr">
        <is>
          <t>MORA</t>
        </is>
      </c>
      <c r="G598" t="n">
        <v>7.1</v>
      </c>
      <c r="H598" t="n">
        <v>0</v>
      </c>
      <c r="I598" t="n">
        <v>0</v>
      </c>
      <c r="J598" t="n">
        <v>0</v>
      </c>
      <c r="K598" t="n">
        <v>0</v>
      </c>
      <c r="L598" t="n">
        <v>0</v>
      </c>
      <c r="M598" t="n">
        <v>0</v>
      </c>
      <c r="N598" t="n">
        <v>0</v>
      </c>
      <c r="O598" t="n">
        <v>0</v>
      </c>
      <c r="P598" t="n">
        <v>0</v>
      </c>
      <c r="Q598" t="n">
        <v>0</v>
      </c>
      <c r="R598" s="2" t="inlineStr"/>
    </row>
    <row r="599" ht="15" customHeight="1">
      <c r="A599" t="inlineStr">
        <is>
          <t>A 33531-2024</t>
        </is>
      </c>
      <c r="B599" s="1" t="n">
        <v>45519.67503472222</v>
      </c>
      <c r="C599" s="1" t="n">
        <v>45974</v>
      </c>
      <c r="D599" t="inlineStr">
        <is>
          <t>DALARNAS LÄN</t>
        </is>
      </c>
      <c r="E599" t="inlineStr">
        <is>
          <t>MORA</t>
        </is>
      </c>
      <c r="G599" t="n">
        <v>14.8</v>
      </c>
      <c r="H599" t="n">
        <v>0</v>
      </c>
      <c r="I599" t="n">
        <v>0</v>
      </c>
      <c r="J599" t="n">
        <v>0</v>
      </c>
      <c r="K599" t="n">
        <v>0</v>
      </c>
      <c r="L599" t="n">
        <v>0</v>
      </c>
      <c r="M599" t="n">
        <v>0</v>
      </c>
      <c r="N599" t="n">
        <v>0</v>
      </c>
      <c r="O599" t="n">
        <v>0</v>
      </c>
      <c r="P599" t="n">
        <v>0</v>
      </c>
      <c r="Q599" t="n">
        <v>0</v>
      </c>
      <c r="R599" s="2" t="inlineStr"/>
    </row>
    <row r="600" ht="15" customHeight="1">
      <c r="A600" t="inlineStr">
        <is>
          <t>A 42947-2025</t>
        </is>
      </c>
      <c r="B600" s="1" t="n">
        <v>45909.34799768519</v>
      </c>
      <c r="C600" s="1" t="n">
        <v>45974</v>
      </c>
      <c r="D600" t="inlineStr">
        <is>
          <t>DALARNAS LÄN</t>
        </is>
      </c>
      <c r="E600" t="inlineStr">
        <is>
          <t>MORA</t>
        </is>
      </c>
      <c r="F600" t="inlineStr">
        <is>
          <t>Allmännings- och besparingsskogar</t>
        </is>
      </c>
      <c r="G600" t="n">
        <v>6.2</v>
      </c>
      <c r="H600" t="n">
        <v>0</v>
      </c>
      <c r="I600" t="n">
        <v>0</v>
      </c>
      <c r="J600" t="n">
        <v>0</v>
      </c>
      <c r="K600" t="n">
        <v>0</v>
      </c>
      <c r="L600" t="n">
        <v>0</v>
      </c>
      <c r="M600" t="n">
        <v>0</v>
      </c>
      <c r="N600" t="n">
        <v>0</v>
      </c>
      <c r="O600" t="n">
        <v>0</v>
      </c>
      <c r="P600" t="n">
        <v>0</v>
      </c>
      <c r="Q600" t="n">
        <v>0</v>
      </c>
      <c r="R600" s="2" t="inlineStr"/>
    </row>
    <row r="601" ht="15" customHeight="1">
      <c r="A601" t="inlineStr">
        <is>
          <t>A 42960-2025</t>
        </is>
      </c>
      <c r="B601" s="1" t="n">
        <v>45909.36631944445</v>
      </c>
      <c r="C601" s="1" t="n">
        <v>45974</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51771-2025</t>
        </is>
      </c>
      <c r="B602" s="1" t="n">
        <v>45951.64653935185</v>
      </c>
      <c r="C602" s="1" t="n">
        <v>45974</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42954-2025</t>
        </is>
      </c>
      <c r="B603" s="1" t="n">
        <v>45909.3578125</v>
      </c>
      <c r="C603" s="1" t="n">
        <v>45974</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42830-2025</t>
        </is>
      </c>
      <c r="B604" s="1" t="n">
        <v>45908.57753472222</v>
      </c>
      <c r="C604" s="1" t="n">
        <v>45974</v>
      </c>
      <c r="D604" t="inlineStr">
        <is>
          <t>DALARNAS LÄN</t>
        </is>
      </c>
      <c r="E604" t="inlineStr">
        <is>
          <t>MORA</t>
        </is>
      </c>
      <c r="G604" t="n">
        <v>1</v>
      </c>
      <c r="H604" t="n">
        <v>0</v>
      </c>
      <c r="I604" t="n">
        <v>0</v>
      </c>
      <c r="J604" t="n">
        <v>0</v>
      </c>
      <c r="K604" t="n">
        <v>0</v>
      </c>
      <c r="L604" t="n">
        <v>0</v>
      </c>
      <c r="M604" t="n">
        <v>0</v>
      </c>
      <c r="N604" t="n">
        <v>0</v>
      </c>
      <c r="O604" t="n">
        <v>0</v>
      </c>
      <c r="P604" t="n">
        <v>0</v>
      </c>
      <c r="Q604" t="n">
        <v>0</v>
      </c>
      <c r="R604" s="2" t="inlineStr"/>
    </row>
    <row r="605" ht="15" customHeight="1">
      <c r="A605" t="inlineStr">
        <is>
          <t>A 51780-2023</t>
        </is>
      </c>
      <c r="B605" s="1" t="n">
        <v>45222</v>
      </c>
      <c r="C605" s="1" t="n">
        <v>45974</v>
      </c>
      <c r="D605" t="inlineStr">
        <is>
          <t>DALARNAS LÄN</t>
        </is>
      </c>
      <c r="E605" t="inlineStr">
        <is>
          <t>MORA</t>
        </is>
      </c>
      <c r="G605" t="n">
        <v>9.9</v>
      </c>
      <c r="H605" t="n">
        <v>0</v>
      </c>
      <c r="I605" t="n">
        <v>0</v>
      </c>
      <c r="J605" t="n">
        <v>0</v>
      </c>
      <c r="K605" t="n">
        <v>0</v>
      </c>
      <c r="L605" t="n">
        <v>0</v>
      </c>
      <c r="M605" t="n">
        <v>0</v>
      </c>
      <c r="N605" t="n">
        <v>0</v>
      </c>
      <c r="O605" t="n">
        <v>0</v>
      </c>
      <c r="P605" t="n">
        <v>0</v>
      </c>
      <c r="Q605" t="n">
        <v>0</v>
      </c>
      <c r="R605" s="2" t="inlineStr"/>
    </row>
    <row r="606" ht="15" customHeight="1">
      <c r="A606" t="inlineStr">
        <is>
          <t>A 15818-2024</t>
        </is>
      </c>
      <c r="B606" s="1" t="n">
        <v>45404.67442129629</v>
      </c>
      <c r="C606" s="1" t="n">
        <v>45974</v>
      </c>
      <c r="D606" t="inlineStr">
        <is>
          <t>DALARNAS LÄN</t>
        </is>
      </c>
      <c r="E606" t="inlineStr">
        <is>
          <t>MORA</t>
        </is>
      </c>
      <c r="G606" t="n">
        <v>7</v>
      </c>
      <c r="H606" t="n">
        <v>0</v>
      </c>
      <c r="I606" t="n">
        <v>0</v>
      </c>
      <c r="J606" t="n">
        <v>0</v>
      </c>
      <c r="K606" t="n">
        <v>0</v>
      </c>
      <c r="L606" t="n">
        <v>0</v>
      </c>
      <c r="M606" t="n">
        <v>0</v>
      </c>
      <c r="N606" t="n">
        <v>0</v>
      </c>
      <c r="O606" t="n">
        <v>0</v>
      </c>
      <c r="P606" t="n">
        <v>0</v>
      </c>
      <c r="Q606" t="n">
        <v>0</v>
      </c>
      <c r="R606" s="2" t="inlineStr"/>
    </row>
    <row r="607" ht="15" customHeight="1">
      <c r="A607" t="inlineStr">
        <is>
          <t>A 43157-2025</t>
        </is>
      </c>
      <c r="B607" s="1" t="n">
        <v>45910.34953703704</v>
      </c>
      <c r="C607" s="1" t="n">
        <v>45974</v>
      </c>
      <c r="D607" t="inlineStr">
        <is>
          <t>DALARNAS LÄN</t>
        </is>
      </c>
      <c r="E607" t="inlineStr">
        <is>
          <t>MORA</t>
        </is>
      </c>
      <c r="G607" t="n">
        <v>1.3</v>
      </c>
      <c r="H607" t="n">
        <v>0</v>
      </c>
      <c r="I607" t="n">
        <v>0</v>
      </c>
      <c r="J607" t="n">
        <v>0</v>
      </c>
      <c r="K607" t="n">
        <v>0</v>
      </c>
      <c r="L607" t="n">
        <v>0</v>
      </c>
      <c r="M607" t="n">
        <v>0</v>
      </c>
      <c r="N607" t="n">
        <v>0</v>
      </c>
      <c r="O607" t="n">
        <v>0</v>
      </c>
      <c r="P607" t="n">
        <v>0</v>
      </c>
      <c r="Q607" t="n">
        <v>0</v>
      </c>
      <c r="R607" s="2" t="inlineStr"/>
    </row>
    <row r="608" ht="15" customHeight="1">
      <c r="A608" t="inlineStr">
        <is>
          <t>A 33513-2024</t>
        </is>
      </c>
      <c r="B608" s="1" t="n">
        <v>45519.644375</v>
      </c>
      <c r="C608" s="1" t="n">
        <v>45974</v>
      </c>
      <c r="D608" t="inlineStr">
        <is>
          <t>DALARNAS LÄN</t>
        </is>
      </c>
      <c r="E608" t="inlineStr">
        <is>
          <t>MORA</t>
        </is>
      </c>
      <c r="G608" t="n">
        <v>5.9</v>
      </c>
      <c r="H608" t="n">
        <v>0</v>
      </c>
      <c r="I608" t="n">
        <v>0</v>
      </c>
      <c r="J608" t="n">
        <v>0</v>
      </c>
      <c r="K608" t="n">
        <v>0</v>
      </c>
      <c r="L608" t="n">
        <v>0</v>
      </c>
      <c r="M608" t="n">
        <v>0</v>
      </c>
      <c r="N608" t="n">
        <v>0</v>
      </c>
      <c r="O608" t="n">
        <v>0</v>
      </c>
      <c r="P608" t="n">
        <v>0</v>
      </c>
      <c r="Q608" t="n">
        <v>0</v>
      </c>
      <c r="R608" s="2" t="inlineStr"/>
    </row>
    <row r="609" ht="15" customHeight="1">
      <c r="A609" t="inlineStr">
        <is>
          <t>A 43569-2025</t>
        </is>
      </c>
      <c r="B609" s="1" t="n">
        <v>45911.63363425926</v>
      </c>
      <c r="C609" s="1" t="n">
        <v>45974</v>
      </c>
      <c r="D609" t="inlineStr">
        <is>
          <t>DALARNAS LÄN</t>
        </is>
      </c>
      <c r="E609" t="inlineStr">
        <is>
          <t>MORA</t>
        </is>
      </c>
      <c r="G609" t="n">
        <v>4.7</v>
      </c>
      <c r="H609" t="n">
        <v>0</v>
      </c>
      <c r="I609" t="n">
        <v>0</v>
      </c>
      <c r="J609" t="n">
        <v>0</v>
      </c>
      <c r="K609" t="n">
        <v>0</v>
      </c>
      <c r="L609" t="n">
        <v>0</v>
      </c>
      <c r="M609" t="n">
        <v>0</v>
      </c>
      <c r="N609" t="n">
        <v>0</v>
      </c>
      <c r="O609" t="n">
        <v>0</v>
      </c>
      <c r="P609" t="n">
        <v>0</v>
      </c>
      <c r="Q609" t="n">
        <v>0</v>
      </c>
      <c r="R609" s="2" t="inlineStr"/>
    </row>
    <row r="610" ht="15" customHeight="1">
      <c r="A610" t="inlineStr">
        <is>
          <t>A 35040-2023</t>
        </is>
      </c>
      <c r="B610" s="1" t="n">
        <v>45145.36853009259</v>
      </c>
      <c r="C610" s="1" t="n">
        <v>45974</v>
      </c>
      <c r="D610" t="inlineStr">
        <is>
          <t>DALARNAS LÄN</t>
        </is>
      </c>
      <c r="E610" t="inlineStr">
        <is>
          <t>MORA</t>
        </is>
      </c>
      <c r="G610" t="n">
        <v>2.1</v>
      </c>
      <c r="H610" t="n">
        <v>0</v>
      </c>
      <c r="I610" t="n">
        <v>0</v>
      </c>
      <c r="J610" t="n">
        <v>0</v>
      </c>
      <c r="K610" t="n">
        <v>0</v>
      </c>
      <c r="L610" t="n">
        <v>0</v>
      </c>
      <c r="M610" t="n">
        <v>0</v>
      </c>
      <c r="N610" t="n">
        <v>0</v>
      </c>
      <c r="O610" t="n">
        <v>0</v>
      </c>
      <c r="P610" t="n">
        <v>0</v>
      </c>
      <c r="Q610" t="n">
        <v>0</v>
      </c>
      <c r="R610" s="2" t="inlineStr"/>
    </row>
    <row r="611" ht="15" customHeight="1">
      <c r="A611" t="inlineStr">
        <is>
          <t>A 52110-2025</t>
        </is>
      </c>
      <c r="B611" s="1" t="n">
        <v>45952.69306712963</v>
      </c>
      <c r="C611" s="1" t="n">
        <v>45974</v>
      </c>
      <c r="D611" t="inlineStr">
        <is>
          <t>DALARNAS LÄN</t>
        </is>
      </c>
      <c r="E611" t="inlineStr">
        <is>
          <t>MORA</t>
        </is>
      </c>
      <c r="G611" t="n">
        <v>2.2</v>
      </c>
      <c r="H611" t="n">
        <v>0</v>
      </c>
      <c r="I611" t="n">
        <v>0</v>
      </c>
      <c r="J611" t="n">
        <v>0</v>
      </c>
      <c r="K611" t="n">
        <v>0</v>
      </c>
      <c r="L611" t="n">
        <v>0</v>
      </c>
      <c r="M611" t="n">
        <v>0</v>
      </c>
      <c r="N611" t="n">
        <v>0</v>
      </c>
      <c r="O611" t="n">
        <v>0</v>
      </c>
      <c r="P611" t="n">
        <v>0</v>
      </c>
      <c r="Q611" t="n">
        <v>0</v>
      </c>
      <c r="R611" s="2" t="inlineStr"/>
    </row>
    <row r="612" ht="15" customHeight="1">
      <c r="A612" t="inlineStr">
        <is>
          <t>A 43153-2025</t>
        </is>
      </c>
      <c r="B612" s="1" t="n">
        <v>45910.34449074074</v>
      </c>
      <c r="C612" s="1" t="n">
        <v>45974</v>
      </c>
      <c r="D612" t="inlineStr">
        <is>
          <t>DALARNAS LÄN</t>
        </is>
      </c>
      <c r="E612" t="inlineStr">
        <is>
          <t>MORA</t>
        </is>
      </c>
      <c r="G612" t="n">
        <v>3.9</v>
      </c>
      <c r="H612" t="n">
        <v>0</v>
      </c>
      <c r="I612" t="n">
        <v>0</v>
      </c>
      <c r="J612" t="n">
        <v>0</v>
      </c>
      <c r="K612" t="n">
        <v>0</v>
      </c>
      <c r="L612" t="n">
        <v>0</v>
      </c>
      <c r="M612" t="n">
        <v>0</v>
      </c>
      <c r="N612" t="n">
        <v>0</v>
      </c>
      <c r="O612" t="n">
        <v>0</v>
      </c>
      <c r="P612" t="n">
        <v>0</v>
      </c>
      <c r="Q612" t="n">
        <v>0</v>
      </c>
      <c r="R612" s="2" t="inlineStr"/>
    </row>
    <row r="613" ht="15" customHeight="1">
      <c r="A613" t="inlineStr">
        <is>
          <t>A 43474-2025</t>
        </is>
      </c>
      <c r="B613" s="1" t="n">
        <v>45911.48967592593</v>
      </c>
      <c r="C613" s="1" t="n">
        <v>45974</v>
      </c>
      <c r="D613" t="inlineStr">
        <is>
          <t>DALARNAS LÄN</t>
        </is>
      </c>
      <c r="E613" t="inlineStr">
        <is>
          <t>MORA</t>
        </is>
      </c>
      <c r="G613" t="n">
        <v>1.8</v>
      </c>
      <c r="H613" t="n">
        <v>0</v>
      </c>
      <c r="I613" t="n">
        <v>0</v>
      </c>
      <c r="J613" t="n">
        <v>0</v>
      </c>
      <c r="K613" t="n">
        <v>0</v>
      </c>
      <c r="L613" t="n">
        <v>0</v>
      </c>
      <c r="M613" t="n">
        <v>0</v>
      </c>
      <c r="N613" t="n">
        <v>0</v>
      </c>
      <c r="O613" t="n">
        <v>0</v>
      </c>
      <c r="P613" t="n">
        <v>0</v>
      </c>
      <c r="Q613" t="n">
        <v>0</v>
      </c>
      <c r="R613" s="2" t="inlineStr"/>
    </row>
    <row r="614" ht="15" customHeight="1">
      <c r="A614" t="inlineStr">
        <is>
          <t>A 44595-2024</t>
        </is>
      </c>
      <c r="B614" s="1" t="n">
        <v>45574.51053240741</v>
      </c>
      <c r="C614" s="1" t="n">
        <v>45974</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61293-2022</t>
        </is>
      </c>
      <c r="B615" s="1" t="n">
        <v>44915.62751157407</v>
      </c>
      <c r="C615" s="1" t="n">
        <v>45974</v>
      </c>
      <c r="D615" t="inlineStr">
        <is>
          <t>DALARNAS LÄN</t>
        </is>
      </c>
      <c r="E615" t="inlineStr">
        <is>
          <t>MORA</t>
        </is>
      </c>
      <c r="G615" t="n">
        <v>0.3</v>
      </c>
      <c r="H615" t="n">
        <v>0</v>
      </c>
      <c r="I615" t="n">
        <v>0</v>
      </c>
      <c r="J615" t="n">
        <v>0</v>
      </c>
      <c r="K615" t="n">
        <v>0</v>
      </c>
      <c r="L615" t="n">
        <v>0</v>
      </c>
      <c r="M615" t="n">
        <v>0</v>
      </c>
      <c r="N615" t="n">
        <v>0</v>
      </c>
      <c r="O615" t="n">
        <v>0</v>
      </c>
      <c r="P615" t="n">
        <v>0</v>
      </c>
      <c r="Q615" t="n">
        <v>0</v>
      </c>
      <c r="R615" s="2" t="inlineStr"/>
    </row>
    <row r="616" ht="15" customHeight="1">
      <c r="A616" t="inlineStr">
        <is>
          <t>A 46412-2024</t>
        </is>
      </c>
      <c r="B616" s="1" t="n">
        <v>45582.44894675926</v>
      </c>
      <c r="C616" s="1" t="n">
        <v>45974</v>
      </c>
      <c r="D616" t="inlineStr">
        <is>
          <t>DALARNAS LÄN</t>
        </is>
      </c>
      <c r="E616" t="inlineStr">
        <is>
          <t>MORA</t>
        </is>
      </c>
      <c r="G616" t="n">
        <v>4.1</v>
      </c>
      <c r="H616" t="n">
        <v>0</v>
      </c>
      <c r="I616" t="n">
        <v>0</v>
      </c>
      <c r="J616" t="n">
        <v>0</v>
      </c>
      <c r="K616" t="n">
        <v>0</v>
      </c>
      <c r="L616" t="n">
        <v>0</v>
      </c>
      <c r="M616" t="n">
        <v>0</v>
      </c>
      <c r="N616" t="n">
        <v>0</v>
      </c>
      <c r="O616" t="n">
        <v>0</v>
      </c>
      <c r="P616" t="n">
        <v>0</v>
      </c>
      <c r="Q616" t="n">
        <v>0</v>
      </c>
      <c r="R616" s="2" t="inlineStr"/>
    </row>
    <row r="617" ht="15" customHeight="1">
      <c r="A617" t="inlineStr">
        <is>
          <t>A 57091-2021</t>
        </is>
      </c>
      <c r="B617" s="1" t="n">
        <v>44482</v>
      </c>
      <c r="C617" s="1" t="n">
        <v>45974</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52804-2025</t>
        </is>
      </c>
      <c r="B618" s="1" t="n">
        <v>45957.44552083333</v>
      </c>
      <c r="C618" s="1" t="n">
        <v>45974</v>
      </c>
      <c r="D618" t="inlineStr">
        <is>
          <t>DALARNAS LÄN</t>
        </is>
      </c>
      <c r="E618" t="inlineStr">
        <is>
          <t>MORA</t>
        </is>
      </c>
      <c r="G618" t="n">
        <v>2.9</v>
      </c>
      <c r="H618" t="n">
        <v>0</v>
      </c>
      <c r="I618" t="n">
        <v>0</v>
      </c>
      <c r="J618" t="n">
        <v>0</v>
      </c>
      <c r="K618" t="n">
        <v>0</v>
      </c>
      <c r="L618" t="n">
        <v>0</v>
      </c>
      <c r="M618" t="n">
        <v>0</v>
      </c>
      <c r="N618" t="n">
        <v>0</v>
      </c>
      <c r="O618" t="n">
        <v>0</v>
      </c>
      <c r="P618" t="n">
        <v>0</v>
      </c>
      <c r="Q618" t="n">
        <v>0</v>
      </c>
      <c r="R618" s="2" t="inlineStr"/>
    </row>
    <row r="619" ht="15" customHeight="1">
      <c r="A619" t="inlineStr">
        <is>
          <t>A 50685-2023</t>
        </is>
      </c>
      <c r="B619" s="1" t="n">
        <v>45210</v>
      </c>
      <c r="C619" s="1" t="n">
        <v>45974</v>
      </c>
      <c r="D619" t="inlineStr">
        <is>
          <t>DALARNAS LÄN</t>
        </is>
      </c>
      <c r="E619" t="inlineStr">
        <is>
          <t>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36740-2023</t>
        </is>
      </c>
      <c r="B620" s="1" t="n">
        <v>45153</v>
      </c>
      <c r="C620" s="1" t="n">
        <v>45974</v>
      </c>
      <c r="D620" t="inlineStr">
        <is>
          <t>DALARNAS LÄN</t>
        </is>
      </c>
      <c r="E620" t="inlineStr">
        <is>
          <t>MORA</t>
        </is>
      </c>
      <c r="G620" t="n">
        <v>0.2</v>
      </c>
      <c r="H620" t="n">
        <v>0</v>
      </c>
      <c r="I620" t="n">
        <v>0</v>
      </c>
      <c r="J620" t="n">
        <v>0</v>
      </c>
      <c r="K620" t="n">
        <v>0</v>
      </c>
      <c r="L620" t="n">
        <v>0</v>
      </c>
      <c r="M620" t="n">
        <v>0</v>
      </c>
      <c r="N620" t="n">
        <v>0</v>
      </c>
      <c r="O620" t="n">
        <v>0</v>
      </c>
      <c r="P620" t="n">
        <v>0</v>
      </c>
      <c r="Q620" t="n">
        <v>0</v>
      </c>
      <c r="R620" s="2" t="inlineStr"/>
    </row>
    <row r="621" ht="15" customHeight="1">
      <c r="A621" t="inlineStr">
        <is>
          <t>A 31177-2021</t>
        </is>
      </c>
      <c r="B621" s="1" t="n">
        <v>44368</v>
      </c>
      <c r="C621" s="1" t="n">
        <v>45974</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65186-2021</t>
        </is>
      </c>
      <c r="B622" s="1" t="n">
        <v>44515</v>
      </c>
      <c r="C622" s="1" t="n">
        <v>45974</v>
      </c>
      <c r="D622" t="inlineStr">
        <is>
          <t>DALARNAS LÄN</t>
        </is>
      </c>
      <c r="E622" t="inlineStr">
        <is>
          <t>MORA</t>
        </is>
      </c>
      <c r="G622" t="n">
        <v>1.4</v>
      </c>
      <c r="H622" t="n">
        <v>0</v>
      </c>
      <c r="I622" t="n">
        <v>0</v>
      </c>
      <c r="J622" t="n">
        <v>0</v>
      </c>
      <c r="K622" t="n">
        <v>0</v>
      </c>
      <c r="L622" t="n">
        <v>0</v>
      </c>
      <c r="M622" t="n">
        <v>0</v>
      </c>
      <c r="N622" t="n">
        <v>0</v>
      </c>
      <c r="O622" t="n">
        <v>0</v>
      </c>
      <c r="P622" t="n">
        <v>0</v>
      </c>
      <c r="Q622" t="n">
        <v>0</v>
      </c>
      <c r="R622" s="2" t="inlineStr"/>
    </row>
    <row r="623" ht="15" customHeight="1">
      <c r="A623" t="inlineStr">
        <is>
          <t>A 43811-2025</t>
        </is>
      </c>
      <c r="B623" s="1" t="n">
        <v>45912.58710648148</v>
      </c>
      <c r="C623" s="1" t="n">
        <v>45974</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58171-2024</t>
        </is>
      </c>
      <c r="B624" s="1" t="n">
        <v>45632.46545138889</v>
      </c>
      <c r="C624" s="1" t="n">
        <v>45974</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52599-2025</t>
        </is>
      </c>
      <c r="B625" s="1" t="n">
        <v>45954.65564814815</v>
      </c>
      <c r="C625" s="1" t="n">
        <v>45974</v>
      </c>
      <c r="D625" t="inlineStr">
        <is>
          <t>DALARNAS LÄN</t>
        </is>
      </c>
      <c r="E625" t="inlineStr">
        <is>
          <t>MORA</t>
        </is>
      </c>
      <c r="G625" t="n">
        <v>10.8</v>
      </c>
      <c r="H625" t="n">
        <v>0</v>
      </c>
      <c r="I625" t="n">
        <v>0</v>
      </c>
      <c r="J625" t="n">
        <v>0</v>
      </c>
      <c r="K625" t="n">
        <v>0</v>
      </c>
      <c r="L625" t="n">
        <v>0</v>
      </c>
      <c r="M625" t="n">
        <v>0</v>
      </c>
      <c r="N625" t="n">
        <v>0</v>
      </c>
      <c r="O625" t="n">
        <v>0</v>
      </c>
      <c r="P625" t="n">
        <v>0</v>
      </c>
      <c r="Q625" t="n">
        <v>0</v>
      </c>
      <c r="R625" s="2" t="inlineStr"/>
    </row>
    <row r="626" ht="15" customHeight="1">
      <c r="A626" t="inlineStr">
        <is>
          <t>A 17167-2025</t>
        </is>
      </c>
      <c r="B626" s="1" t="n">
        <v>45756.36844907407</v>
      </c>
      <c r="C626" s="1" t="n">
        <v>45974</v>
      </c>
      <c r="D626" t="inlineStr">
        <is>
          <t>DALARNAS LÄN</t>
        </is>
      </c>
      <c r="E626" t="inlineStr">
        <is>
          <t>MORA</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44384-2025</t>
        </is>
      </c>
      <c r="B627" s="1" t="n">
        <v>45916.48513888889</v>
      </c>
      <c r="C627" s="1" t="n">
        <v>45974</v>
      </c>
      <c r="D627" t="inlineStr">
        <is>
          <t>DALARNAS LÄN</t>
        </is>
      </c>
      <c r="E627" t="inlineStr">
        <is>
          <t>MORA</t>
        </is>
      </c>
      <c r="F627" t="inlineStr">
        <is>
          <t>Kyrkan</t>
        </is>
      </c>
      <c r="G627" t="n">
        <v>5.1</v>
      </c>
      <c r="H627" t="n">
        <v>0</v>
      </c>
      <c r="I627" t="n">
        <v>0</v>
      </c>
      <c r="J627" t="n">
        <v>0</v>
      </c>
      <c r="K627" t="n">
        <v>0</v>
      </c>
      <c r="L627" t="n">
        <v>0</v>
      </c>
      <c r="M627" t="n">
        <v>0</v>
      </c>
      <c r="N627" t="n">
        <v>0</v>
      </c>
      <c r="O627" t="n">
        <v>0</v>
      </c>
      <c r="P627" t="n">
        <v>0</v>
      </c>
      <c r="Q627" t="n">
        <v>0</v>
      </c>
      <c r="R627" s="2" t="inlineStr"/>
    </row>
    <row r="628" ht="15" customHeight="1">
      <c r="A628" t="inlineStr">
        <is>
          <t>A 20504-2023</t>
        </is>
      </c>
      <c r="B628" s="1" t="n">
        <v>45057</v>
      </c>
      <c r="C628" s="1" t="n">
        <v>45974</v>
      </c>
      <c r="D628" t="inlineStr">
        <is>
          <t>DALARNAS LÄN</t>
        </is>
      </c>
      <c r="E628" t="inlineStr">
        <is>
          <t>MORA</t>
        </is>
      </c>
      <c r="F628" t="inlineStr">
        <is>
          <t>Bergvik skog väst AB</t>
        </is>
      </c>
      <c r="G628" t="n">
        <v>1.2</v>
      </c>
      <c r="H628" t="n">
        <v>0</v>
      </c>
      <c r="I628" t="n">
        <v>0</v>
      </c>
      <c r="J628" t="n">
        <v>0</v>
      </c>
      <c r="K628" t="n">
        <v>0</v>
      </c>
      <c r="L628" t="n">
        <v>0</v>
      </c>
      <c r="M628" t="n">
        <v>0</v>
      </c>
      <c r="N628" t="n">
        <v>0</v>
      </c>
      <c r="O628" t="n">
        <v>0</v>
      </c>
      <c r="P628" t="n">
        <v>0</v>
      </c>
      <c r="Q628" t="n">
        <v>0</v>
      </c>
      <c r="R628" s="2" t="inlineStr"/>
    </row>
    <row r="629" ht="15" customHeight="1">
      <c r="A629" t="inlineStr">
        <is>
          <t>A 53150-2025</t>
        </is>
      </c>
      <c r="B629" s="1" t="n">
        <v>45958.48280092593</v>
      </c>
      <c r="C629" s="1" t="n">
        <v>45974</v>
      </c>
      <c r="D629" t="inlineStr">
        <is>
          <t>DALARNAS LÄN</t>
        </is>
      </c>
      <c r="E629" t="inlineStr">
        <is>
          <t>MORA</t>
        </is>
      </c>
      <c r="F629" t="inlineStr">
        <is>
          <t>Bergvik skog öst AB</t>
        </is>
      </c>
      <c r="G629" t="n">
        <v>0.8</v>
      </c>
      <c r="H629" t="n">
        <v>0</v>
      </c>
      <c r="I629" t="n">
        <v>0</v>
      </c>
      <c r="J629" t="n">
        <v>0</v>
      </c>
      <c r="K629" t="n">
        <v>0</v>
      </c>
      <c r="L629" t="n">
        <v>0</v>
      </c>
      <c r="M629" t="n">
        <v>0</v>
      </c>
      <c r="N629" t="n">
        <v>0</v>
      </c>
      <c r="O629" t="n">
        <v>0</v>
      </c>
      <c r="P629" t="n">
        <v>0</v>
      </c>
      <c r="Q629" t="n">
        <v>0</v>
      </c>
      <c r="R629" s="2" t="inlineStr"/>
    </row>
    <row r="630" ht="15" customHeight="1">
      <c r="A630" t="inlineStr">
        <is>
          <t>A 53151-2025</t>
        </is>
      </c>
      <c r="B630" s="1" t="n">
        <v>45958.48611111111</v>
      </c>
      <c r="C630" s="1" t="n">
        <v>45974</v>
      </c>
      <c r="D630" t="inlineStr">
        <is>
          <t>DALARNAS LÄN</t>
        </is>
      </c>
      <c r="E630" t="inlineStr">
        <is>
          <t>MORA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36184-2021</t>
        </is>
      </c>
      <c r="B631" s="1" t="n">
        <v>44389</v>
      </c>
      <c r="C631" s="1" t="n">
        <v>45974</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17529-2023</t>
        </is>
      </c>
      <c r="B632" s="1" t="n">
        <v>45036.46804398148</v>
      </c>
      <c r="C632" s="1" t="n">
        <v>45974</v>
      </c>
      <c r="D632" t="inlineStr">
        <is>
          <t>DALARNAS LÄN</t>
        </is>
      </c>
      <c r="E632" t="inlineStr">
        <is>
          <t>MORA</t>
        </is>
      </c>
      <c r="G632" t="n">
        <v>6</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45974</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16522-2024</t>
        </is>
      </c>
      <c r="B634" s="1" t="n">
        <v>45408.41166666667</v>
      </c>
      <c r="C634" s="1" t="n">
        <v>45974</v>
      </c>
      <c r="D634" t="inlineStr">
        <is>
          <t>DALARNAS LÄN</t>
        </is>
      </c>
      <c r="E634" t="inlineStr">
        <is>
          <t>MORA</t>
        </is>
      </c>
      <c r="G634" t="n">
        <v>11.2</v>
      </c>
      <c r="H634" t="n">
        <v>0</v>
      </c>
      <c r="I634" t="n">
        <v>0</v>
      </c>
      <c r="J634" t="n">
        <v>0</v>
      </c>
      <c r="K634" t="n">
        <v>0</v>
      </c>
      <c r="L634" t="n">
        <v>0</v>
      </c>
      <c r="M634" t="n">
        <v>0</v>
      </c>
      <c r="N634" t="n">
        <v>0</v>
      </c>
      <c r="O634" t="n">
        <v>0</v>
      </c>
      <c r="P634" t="n">
        <v>0</v>
      </c>
      <c r="Q634" t="n">
        <v>0</v>
      </c>
      <c r="R634" s="2" t="inlineStr"/>
    </row>
    <row r="635" ht="15" customHeight="1">
      <c r="A635" t="inlineStr">
        <is>
          <t>A 36038-2024</t>
        </is>
      </c>
      <c r="B635" s="1" t="n">
        <v>45533</v>
      </c>
      <c r="C635" s="1" t="n">
        <v>45974</v>
      </c>
      <c r="D635" t="inlineStr">
        <is>
          <t>DALARNAS LÄN</t>
        </is>
      </c>
      <c r="E635" t="inlineStr">
        <is>
          <t>MORA</t>
        </is>
      </c>
      <c r="G635" t="n">
        <v>5.1</v>
      </c>
      <c r="H635" t="n">
        <v>0</v>
      </c>
      <c r="I635" t="n">
        <v>0</v>
      </c>
      <c r="J635" t="n">
        <v>0</v>
      </c>
      <c r="K635" t="n">
        <v>0</v>
      </c>
      <c r="L635" t="n">
        <v>0</v>
      </c>
      <c r="M635" t="n">
        <v>0</v>
      </c>
      <c r="N635" t="n">
        <v>0</v>
      </c>
      <c r="O635" t="n">
        <v>0</v>
      </c>
      <c r="P635" t="n">
        <v>0</v>
      </c>
      <c r="Q635" t="n">
        <v>0</v>
      </c>
      <c r="R635" s="2" t="inlineStr"/>
    </row>
    <row r="636" ht="15" customHeight="1">
      <c r="A636" t="inlineStr">
        <is>
          <t>A 2865-2022</t>
        </is>
      </c>
      <c r="B636" s="1" t="n">
        <v>44581</v>
      </c>
      <c r="C636" s="1" t="n">
        <v>45974</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56834-2024</t>
        </is>
      </c>
      <c r="B637" s="1" t="n">
        <v>45628.49931712963</v>
      </c>
      <c r="C637" s="1" t="n">
        <v>45974</v>
      </c>
      <c r="D637" t="inlineStr">
        <is>
          <t>DALARNAS LÄN</t>
        </is>
      </c>
      <c r="E637" t="inlineStr">
        <is>
          <t>MORA</t>
        </is>
      </c>
      <c r="G637" t="n">
        <v>0.4</v>
      </c>
      <c r="H637" t="n">
        <v>0</v>
      </c>
      <c r="I637" t="n">
        <v>0</v>
      </c>
      <c r="J637" t="n">
        <v>0</v>
      </c>
      <c r="K637" t="n">
        <v>0</v>
      </c>
      <c r="L637" t="n">
        <v>0</v>
      </c>
      <c r="M637" t="n">
        <v>0</v>
      </c>
      <c r="N637" t="n">
        <v>0</v>
      </c>
      <c r="O637" t="n">
        <v>0</v>
      </c>
      <c r="P637" t="n">
        <v>0</v>
      </c>
      <c r="Q637" t="n">
        <v>0</v>
      </c>
      <c r="R637" s="2" t="inlineStr"/>
    </row>
    <row r="638" ht="15" customHeight="1">
      <c r="A638" t="inlineStr">
        <is>
          <t>A 47036-2023</t>
        </is>
      </c>
      <c r="B638" s="1" t="n">
        <v>45196</v>
      </c>
      <c r="C638" s="1" t="n">
        <v>45974</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20544-2025</t>
        </is>
      </c>
      <c r="B639" s="1" t="n">
        <v>45775.63119212963</v>
      </c>
      <c r="C639" s="1" t="n">
        <v>45974</v>
      </c>
      <c r="D639" t="inlineStr">
        <is>
          <t>DALARNAS LÄN</t>
        </is>
      </c>
      <c r="E639" t="inlineStr">
        <is>
          <t>MORA</t>
        </is>
      </c>
      <c r="G639" t="n">
        <v>3.6</v>
      </c>
      <c r="H639" t="n">
        <v>0</v>
      </c>
      <c r="I639" t="n">
        <v>0</v>
      </c>
      <c r="J639" t="n">
        <v>0</v>
      </c>
      <c r="K639" t="n">
        <v>0</v>
      </c>
      <c r="L639" t="n">
        <v>0</v>
      </c>
      <c r="M639" t="n">
        <v>0</v>
      </c>
      <c r="N639" t="n">
        <v>0</v>
      </c>
      <c r="O639" t="n">
        <v>0</v>
      </c>
      <c r="P639" t="n">
        <v>0</v>
      </c>
      <c r="Q639" t="n">
        <v>0</v>
      </c>
      <c r="R639" s="2" t="inlineStr"/>
    </row>
    <row r="640" ht="15" customHeight="1">
      <c r="A640" t="inlineStr">
        <is>
          <t>A 53418-2025</t>
        </is>
      </c>
      <c r="B640" s="1" t="n">
        <v>45959.58747685186</v>
      </c>
      <c r="C640" s="1" t="n">
        <v>45974</v>
      </c>
      <c r="D640" t="inlineStr">
        <is>
          <t>DALARNAS LÄN</t>
        </is>
      </c>
      <c r="E640" t="inlineStr">
        <is>
          <t>MORA</t>
        </is>
      </c>
      <c r="G640" t="n">
        <v>1</v>
      </c>
      <c r="H640" t="n">
        <v>0</v>
      </c>
      <c r="I640" t="n">
        <v>0</v>
      </c>
      <c r="J640" t="n">
        <v>0</v>
      </c>
      <c r="K640" t="n">
        <v>0</v>
      </c>
      <c r="L640" t="n">
        <v>0</v>
      </c>
      <c r="M640" t="n">
        <v>0</v>
      </c>
      <c r="N640" t="n">
        <v>0</v>
      </c>
      <c r="O640" t="n">
        <v>0</v>
      </c>
      <c r="P640" t="n">
        <v>0</v>
      </c>
      <c r="Q640" t="n">
        <v>0</v>
      </c>
      <c r="R640" s="2" t="inlineStr"/>
    </row>
    <row r="641" ht="15" customHeight="1">
      <c r="A641" t="inlineStr">
        <is>
          <t>A 51965-2024</t>
        </is>
      </c>
      <c r="B641" s="1" t="n">
        <v>45607.65123842593</v>
      </c>
      <c r="C641" s="1" t="n">
        <v>45974</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44621-2025</t>
        </is>
      </c>
      <c r="B642" s="1" t="n">
        <v>45917.466875</v>
      </c>
      <c r="C642" s="1" t="n">
        <v>45974</v>
      </c>
      <c r="D642" t="inlineStr">
        <is>
          <t>DALARNAS LÄN</t>
        </is>
      </c>
      <c r="E642" t="inlineStr">
        <is>
          <t>MORA</t>
        </is>
      </c>
      <c r="G642" t="n">
        <v>0.8</v>
      </c>
      <c r="H642" t="n">
        <v>0</v>
      </c>
      <c r="I642" t="n">
        <v>0</v>
      </c>
      <c r="J642" t="n">
        <v>0</v>
      </c>
      <c r="K642" t="n">
        <v>0</v>
      </c>
      <c r="L642" t="n">
        <v>0</v>
      </c>
      <c r="M642" t="n">
        <v>0</v>
      </c>
      <c r="N642" t="n">
        <v>0</v>
      </c>
      <c r="O642" t="n">
        <v>0</v>
      </c>
      <c r="P642" t="n">
        <v>0</v>
      </c>
      <c r="Q642" t="n">
        <v>0</v>
      </c>
      <c r="R642" s="2" t="inlineStr"/>
    </row>
    <row r="643" ht="15" customHeight="1">
      <c r="A643" t="inlineStr">
        <is>
          <t>A 45181-2025</t>
        </is>
      </c>
      <c r="B643" s="1" t="n">
        <v>45919.53329861111</v>
      </c>
      <c r="C643" s="1" t="n">
        <v>45974</v>
      </c>
      <c r="D643" t="inlineStr">
        <is>
          <t>DALARNAS LÄN</t>
        </is>
      </c>
      <c r="E643" t="inlineStr">
        <is>
          <t>MORA</t>
        </is>
      </c>
      <c r="G643" t="n">
        <v>4.5</v>
      </c>
      <c r="H643" t="n">
        <v>0</v>
      </c>
      <c r="I643" t="n">
        <v>0</v>
      </c>
      <c r="J643" t="n">
        <v>0</v>
      </c>
      <c r="K643" t="n">
        <v>0</v>
      </c>
      <c r="L643" t="n">
        <v>0</v>
      </c>
      <c r="M643" t="n">
        <v>0</v>
      </c>
      <c r="N643" t="n">
        <v>0</v>
      </c>
      <c r="O643" t="n">
        <v>0</v>
      </c>
      <c r="P643" t="n">
        <v>0</v>
      </c>
      <c r="Q643" t="n">
        <v>0</v>
      </c>
      <c r="R643" s="2" t="inlineStr"/>
    </row>
    <row r="644" ht="15" customHeight="1">
      <c r="A644" t="inlineStr">
        <is>
          <t>A 53560-2025</t>
        </is>
      </c>
      <c r="B644" s="1" t="n">
        <v>45960.39960648148</v>
      </c>
      <c r="C644" s="1" t="n">
        <v>45974</v>
      </c>
      <c r="D644" t="inlineStr">
        <is>
          <t>DALARNAS LÄN</t>
        </is>
      </c>
      <c r="E644" t="inlineStr">
        <is>
          <t>MORA</t>
        </is>
      </c>
      <c r="G644" t="n">
        <v>5.2</v>
      </c>
      <c r="H644" t="n">
        <v>0</v>
      </c>
      <c r="I644" t="n">
        <v>0</v>
      </c>
      <c r="J644" t="n">
        <v>0</v>
      </c>
      <c r="K644" t="n">
        <v>0</v>
      </c>
      <c r="L644" t="n">
        <v>0</v>
      </c>
      <c r="M644" t="n">
        <v>0</v>
      </c>
      <c r="N644" t="n">
        <v>0</v>
      </c>
      <c r="O644" t="n">
        <v>0</v>
      </c>
      <c r="P644" t="n">
        <v>0</v>
      </c>
      <c r="Q644" t="n">
        <v>0</v>
      </c>
      <c r="R644" s="2" t="inlineStr"/>
    </row>
    <row r="645" ht="15" customHeight="1">
      <c r="A645" t="inlineStr">
        <is>
          <t>A 53591-2025</t>
        </is>
      </c>
      <c r="B645" s="1" t="n">
        <v>45960.43893518519</v>
      </c>
      <c r="C645" s="1" t="n">
        <v>45974</v>
      </c>
      <c r="D645" t="inlineStr">
        <is>
          <t>DALARNAS LÄN</t>
        </is>
      </c>
      <c r="E645" t="inlineStr">
        <is>
          <t>MORA</t>
        </is>
      </c>
      <c r="G645" t="n">
        <v>3.8</v>
      </c>
      <c r="H645" t="n">
        <v>0</v>
      </c>
      <c r="I645" t="n">
        <v>0</v>
      </c>
      <c r="J645" t="n">
        <v>0</v>
      </c>
      <c r="K645" t="n">
        <v>0</v>
      </c>
      <c r="L645" t="n">
        <v>0</v>
      </c>
      <c r="M645" t="n">
        <v>0</v>
      </c>
      <c r="N645" t="n">
        <v>0</v>
      </c>
      <c r="O645" t="n">
        <v>0</v>
      </c>
      <c r="P645" t="n">
        <v>0</v>
      </c>
      <c r="Q645" t="n">
        <v>0</v>
      </c>
      <c r="R645" s="2" t="inlineStr"/>
    </row>
    <row r="646" ht="15" customHeight="1">
      <c r="A646" t="inlineStr">
        <is>
          <t>A 53982-2025</t>
        </is>
      </c>
      <c r="B646" s="1" t="n">
        <v>45961.57019675926</v>
      </c>
      <c r="C646" s="1" t="n">
        <v>45974</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ht="15" customHeight="1">
      <c r="A647" t="inlineStr">
        <is>
          <t>A 20401-2022</t>
        </is>
      </c>
      <c r="B647" s="1" t="n">
        <v>44699</v>
      </c>
      <c r="C647" s="1" t="n">
        <v>45974</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53556-2025</t>
        </is>
      </c>
      <c r="B648" s="1" t="n">
        <v>45960.3921875</v>
      </c>
      <c r="C648" s="1" t="n">
        <v>45974</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53562-2025</t>
        </is>
      </c>
      <c r="B649" s="1" t="n">
        <v>45960.40662037037</v>
      </c>
      <c r="C649" s="1" t="n">
        <v>45974</v>
      </c>
      <c r="D649" t="inlineStr">
        <is>
          <t>DALARNAS LÄN</t>
        </is>
      </c>
      <c r="E649" t="inlineStr">
        <is>
          <t>MORA</t>
        </is>
      </c>
      <c r="G649" t="n">
        <v>5.1</v>
      </c>
      <c r="H649" t="n">
        <v>0</v>
      </c>
      <c r="I649" t="n">
        <v>0</v>
      </c>
      <c r="J649" t="n">
        <v>0</v>
      </c>
      <c r="K649" t="n">
        <v>0</v>
      </c>
      <c r="L649" t="n">
        <v>0</v>
      </c>
      <c r="M649" t="n">
        <v>0</v>
      </c>
      <c r="N649" t="n">
        <v>0</v>
      </c>
      <c r="O649" t="n">
        <v>0</v>
      </c>
      <c r="P649" t="n">
        <v>0</v>
      </c>
      <c r="Q649" t="n">
        <v>0</v>
      </c>
      <c r="R649" s="2" t="inlineStr"/>
    </row>
    <row r="650" ht="15" customHeight="1">
      <c r="A650" t="inlineStr">
        <is>
          <t>A 53632-2025</t>
        </is>
      </c>
      <c r="B650" s="1" t="n">
        <v>45960.49972222222</v>
      </c>
      <c r="C650" s="1" t="n">
        <v>45974</v>
      </c>
      <c r="D650" t="inlineStr">
        <is>
          <t>DALARNAS LÄN</t>
        </is>
      </c>
      <c r="E650" t="inlineStr">
        <is>
          <t>MORA</t>
        </is>
      </c>
      <c r="G650" t="n">
        <v>3.1</v>
      </c>
      <c r="H650" t="n">
        <v>0</v>
      </c>
      <c r="I650" t="n">
        <v>0</v>
      </c>
      <c r="J650" t="n">
        <v>0</v>
      </c>
      <c r="K650" t="n">
        <v>0</v>
      </c>
      <c r="L650" t="n">
        <v>0</v>
      </c>
      <c r="M650" t="n">
        <v>0</v>
      </c>
      <c r="N650" t="n">
        <v>0</v>
      </c>
      <c r="O650" t="n">
        <v>0</v>
      </c>
      <c r="P650" t="n">
        <v>0</v>
      </c>
      <c r="Q650" t="n">
        <v>0</v>
      </c>
      <c r="R650" s="2" t="inlineStr"/>
    </row>
    <row r="651" ht="15" customHeight="1">
      <c r="A651" t="inlineStr">
        <is>
          <t>A 45191-2025</t>
        </is>
      </c>
      <c r="B651" s="1" t="n">
        <v>45919.54811342592</v>
      </c>
      <c r="C651" s="1" t="n">
        <v>45974</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25494-2024</t>
        </is>
      </c>
      <c r="B652" s="1" t="n">
        <v>45463</v>
      </c>
      <c r="C652" s="1" t="n">
        <v>45974</v>
      </c>
      <c r="D652" t="inlineStr">
        <is>
          <t>DALARNAS LÄN</t>
        </is>
      </c>
      <c r="E652" t="inlineStr">
        <is>
          <t>MORA</t>
        </is>
      </c>
      <c r="G652" t="n">
        <v>4.9</v>
      </c>
      <c r="H652" t="n">
        <v>0</v>
      </c>
      <c r="I652" t="n">
        <v>0</v>
      </c>
      <c r="J652" t="n">
        <v>0</v>
      </c>
      <c r="K652" t="n">
        <v>0</v>
      </c>
      <c r="L652" t="n">
        <v>0</v>
      </c>
      <c r="M652" t="n">
        <v>0</v>
      </c>
      <c r="N652" t="n">
        <v>0</v>
      </c>
      <c r="O652" t="n">
        <v>0</v>
      </c>
      <c r="P652" t="n">
        <v>0</v>
      </c>
      <c r="Q652" t="n">
        <v>0</v>
      </c>
      <c r="R652" s="2" t="inlineStr"/>
    </row>
    <row r="653" ht="15" customHeight="1">
      <c r="A653" t="inlineStr">
        <is>
          <t>A 53565-2025</t>
        </is>
      </c>
      <c r="B653" s="1" t="n">
        <v>45960.40711805555</v>
      </c>
      <c r="C653" s="1" t="n">
        <v>45974</v>
      </c>
      <c r="D653" t="inlineStr">
        <is>
          <t>DALARNAS LÄN</t>
        </is>
      </c>
      <c r="E653" t="inlineStr">
        <is>
          <t>MORA</t>
        </is>
      </c>
      <c r="G653" t="n">
        <v>5.1</v>
      </c>
      <c r="H653" t="n">
        <v>0</v>
      </c>
      <c r="I653" t="n">
        <v>0</v>
      </c>
      <c r="J653" t="n">
        <v>0</v>
      </c>
      <c r="K653" t="n">
        <v>0</v>
      </c>
      <c r="L653" t="n">
        <v>0</v>
      </c>
      <c r="M653" t="n">
        <v>0</v>
      </c>
      <c r="N653" t="n">
        <v>0</v>
      </c>
      <c r="O653" t="n">
        <v>0</v>
      </c>
      <c r="P653" t="n">
        <v>0</v>
      </c>
      <c r="Q653" t="n">
        <v>0</v>
      </c>
      <c r="R653" s="2" t="inlineStr"/>
    </row>
    <row r="654" ht="15" customHeight="1">
      <c r="A654" t="inlineStr">
        <is>
          <t>A 54099-2025</t>
        </is>
      </c>
      <c r="B654" s="1" t="n">
        <v>45964.41665509259</v>
      </c>
      <c r="C654" s="1" t="n">
        <v>45974</v>
      </c>
      <c r="D654" t="inlineStr">
        <is>
          <t>DALARNAS LÄN</t>
        </is>
      </c>
      <c r="E654" t="inlineStr">
        <is>
          <t>MORA</t>
        </is>
      </c>
      <c r="G654" t="n">
        <v>5.3</v>
      </c>
      <c r="H654" t="n">
        <v>0</v>
      </c>
      <c r="I654" t="n">
        <v>0</v>
      </c>
      <c r="J654" t="n">
        <v>0</v>
      </c>
      <c r="K654" t="n">
        <v>0</v>
      </c>
      <c r="L654" t="n">
        <v>0</v>
      </c>
      <c r="M654" t="n">
        <v>0</v>
      </c>
      <c r="N654" t="n">
        <v>0</v>
      </c>
      <c r="O654" t="n">
        <v>0</v>
      </c>
      <c r="P654" t="n">
        <v>0</v>
      </c>
      <c r="Q654" t="n">
        <v>0</v>
      </c>
      <c r="R654" s="2" t="inlineStr"/>
    </row>
    <row r="655" ht="15" customHeight="1">
      <c r="A655" t="inlineStr">
        <is>
          <t>A 54508-2025</t>
        </is>
      </c>
      <c r="B655" s="1" t="n">
        <v>45965.61844907407</v>
      </c>
      <c r="C655" s="1" t="n">
        <v>45974</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54504-2025</t>
        </is>
      </c>
      <c r="B656" s="1" t="n">
        <v>45965.61686342592</v>
      </c>
      <c r="C656" s="1" t="n">
        <v>45974</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38627-2023</t>
        </is>
      </c>
      <c r="B657" s="1" t="n">
        <v>45162.68787037037</v>
      </c>
      <c r="C657" s="1" t="n">
        <v>45974</v>
      </c>
      <c r="D657" t="inlineStr">
        <is>
          <t>DALARNAS LÄN</t>
        </is>
      </c>
      <c r="E657" t="inlineStr">
        <is>
          <t>MORA</t>
        </is>
      </c>
      <c r="G657" t="n">
        <v>6.5</v>
      </c>
      <c r="H657" t="n">
        <v>0</v>
      </c>
      <c r="I657" t="n">
        <v>0</v>
      </c>
      <c r="J657" t="n">
        <v>0</v>
      </c>
      <c r="K657" t="n">
        <v>0</v>
      </c>
      <c r="L657" t="n">
        <v>0</v>
      </c>
      <c r="M657" t="n">
        <v>0</v>
      </c>
      <c r="N657" t="n">
        <v>0</v>
      </c>
      <c r="O657" t="n">
        <v>0</v>
      </c>
      <c r="P657" t="n">
        <v>0</v>
      </c>
      <c r="Q657" t="n">
        <v>0</v>
      </c>
      <c r="R657" s="2" t="inlineStr"/>
    </row>
    <row r="658" ht="15" customHeight="1">
      <c r="A658" t="inlineStr">
        <is>
          <t>A 64088-2023</t>
        </is>
      </c>
      <c r="B658" s="1" t="n">
        <v>45279.43570601852</v>
      </c>
      <c r="C658" s="1" t="n">
        <v>45974</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54367-2025</t>
        </is>
      </c>
      <c r="B659" s="1" t="n">
        <v>45965.4031712963</v>
      </c>
      <c r="C659" s="1" t="n">
        <v>45974</v>
      </c>
      <c r="D659" t="inlineStr">
        <is>
          <t>DALARNAS LÄN</t>
        </is>
      </c>
      <c r="E659" t="inlineStr">
        <is>
          <t>MORA</t>
        </is>
      </c>
      <c r="G659" t="n">
        <v>7</v>
      </c>
      <c r="H659" t="n">
        <v>0</v>
      </c>
      <c r="I659" t="n">
        <v>0</v>
      </c>
      <c r="J659" t="n">
        <v>0</v>
      </c>
      <c r="K659" t="n">
        <v>0</v>
      </c>
      <c r="L659" t="n">
        <v>0</v>
      </c>
      <c r="M659" t="n">
        <v>0</v>
      </c>
      <c r="N659" t="n">
        <v>0</v>
      </c>
      <c r="O659" t="n">
        <v>0</v>
      </c>
      <c r="P659" t="n">
        <v>0</v>
      </c>
      <c r="Q659" t="n">
        <v>0</v>
      </c>
      <c r="R659" s="2" t="inlineStr"/>
    </row>
    <row r="660" ht="15" customHeight="1">
      <c r="A660" t="inlineStr">
        <is>
          <t>A 2830-2023</t>
        </is>
      </c>
      <c r="B660" s="1" t="n">
        <v>44945.32997685186</v>
      </c>
      <c r="C660" s="1" t="n">
        <v>45974</v>
      </c>
      <c r="D660" t="inlineStr">
        <is>
          <t>DALARNAS LÄN</t>
        </is>
      </c>
      <c r="E660" t="inlineStr">
        <is>
          <t>MORA</t>
        </is>
      </c>
      <c r="G660" t="n">
        <v>0.5</v>
      </c>
      <c r="H660" t="n">
        <v>0</v>
      </c>
      <c r="I660" t="n">
        <v>0</v>
      </c>
      <c r="J660" t="n">
        <v>0</v>
      </c>
      <c r="K660" t="n">
        <v>0</v>
      </c>
      <c r="L660" t="n">
        <v>0</v>
      </c>
      <c r="M660" t="n">
        <v>0</v>
      </c>
      <c r="N660" t="n">
        <v>0</v>
      </c>
      <c r="O660" t="n">
        <v>0</v>
      </c>
      <c r="P660" t="n">
        <v>0</v>
      </c>
      <c r="Q660" t="n">
        <v>0</v>
      </c>
      <c r="R660" s="2" t="inlineStr"/>
    </row>
    <row r="661" ht="15" customHeight="1">
      <c r="A661" t="inlineStr">
        <is>
          <t>A 39882-2024</t>
        </is>
      </c>
      <c r="B661" s="1" t="n">
        <v>45553</v>
      </c>
      <c r="C661" s="1" t="n">
        <v>45974</v>
      </c>
      <c r="D661" t="inlineStr">
        <is>
          <t>DALARNAS LÄN</t>
        </is>
      </c>
      <c r="E661" t="inlineStr">
        <is>
          <t>MORA</t>
        </is>
      </c>
      <c r="G661" t="n">
        <v>14.6</v>
      </c>
      <c r="H661" t="n">
        <v>0</v>
      </c>
      <c r="I661" t="n">
        <v>0</v>
      </c>
      <c r="J661" t="n">
        <v>0</v>
      </c>
      <c r="K661" t="n">
        <v>0</v>
      </c>
      <c r="L661" t="n">
        <v>0</v>
      </c>
      <c r="M661" t="n">
        <v>0</v>
      </c>
      <c r="N661" t="n">
        <v>0</v>
      </c>
      <c r="O661" t="n">
        <v>0</v>
      </c>
      <c r="P661" t="n">
        <v>0</v>
      </c>
      <c r="Q661" t="n">
        <v>0</v>
      </c>
      <c r="R661" s="2" t="inlineStr"/>
    </row>
    <row r="662" ht="15" customHeight="1">
      <c r="A662" t="inlineStr">
        <is>
          <t>A 54518-2025</t>
        </is>
      </c>
      <c r="B662" s="1" t="n">
        <v>45965.62608796296</v>
      </c>
      <c r="C662" s="1" t="n">
        <v>45974</v>
      </c>
      <c r="D662" t="inlineStr">
        <is>
          <t>DALARNAS LÄN</t>
        </is>
      </c>
      <c r="E662" t="inlineStr">
        <is>
          <t>MORA</t>
        </is>
      </c>
      <c r="G662" t="n">
        <v>7.1</v>
      </c>
      <c r="H662" t="n">
        <v>0</v>
      </c>
      <c r="I662" t="n">
        <v>0</v>
      </c>
      <c r="J662" t="n">
        <v>0</v>
      </c>
      <c r="K662" t="n">
        <v>0</v>
      </c>
      <c r="L662" t="n">
        <v>0</v>
      </c>
      <c r="M662" t="n">
        <v>0</v>
      </c>
      <c r="N662" t="n">
        <v>0</v>
      </c>
      <c r="O662" t="n">
        <v>0</v>
      </c>
      <c r="P662" t="n">
        <v>0</v>
      </c>
      <c r="Q662" t="n">
        <v>0</v>
      </c>
      <c r="R662" s="2" t="inlineStr"/>
    </row>
    <row r="663" ht="15" customHeight="1">
      <c r="A663" t="inlineStr">
        <is>
          <t>A 43566-2023</t>
        </is>
      </c>
      <c r="B663" s="1" t="n">
        <v>45184.58199074074</v>
      </c>
      <c r="C663" s="1" t="n">
        <v>45974</v>
      </c>
      <c r="D663" t="inlineStr">
        <is>
          <t>DALARNAS LÄN</t>
        </is>
      </c>
      <c r="E663" t="inlineStr">
        <is>
          <t>MORA</t>
        </is>
      </c>
      <c r="F663" t="inlineStr">
        <is>
          <t>Bergvik skog väst AB</t>
        </is>
      </c>
      <c r="G663" t="n">
        <v>4.3</v>
      </c>
      <c r="H663" t="n">
        <v>0</v>
      </c>
      <c r="I663" t="n">
        <v>0</v>
      </c>
      <c r="J663" t="n">
        <v>0</v>
      </c>
      <c r="K663" t="n">
        <v>0</v>
      </c>
      <c r="L663" t="n">
        <v>0</v>
      </c>
      <c r="M663" t="n">
        <v>0</v>
      </c>
      <c r="N663" t="n">
        <v>0</v>
      </c>
      <c r="O663" t="n">
        <v>0</v>
      </c>
      <c r="P663" t="n">
        <v>0</v>
      </c>
      <c r="Q663" t="n">
        <v>0</v>
      </c>
      <c r="R663" s="2" t="inlineStr"/>
    </row>
    <row r="664" ht="15" customHeight="1">
      <c r="A664" t="inlineStr">
        <is>
          <t>A 54919-2025</t>
        </is>
      </c>
      <c r="B664" s="1" t="n">
        <v>45967.38884259259</v>
      </c>
      <c r="C664" s="1" t="n">
        <v>45974</v>
      </c>
      <c r="D664" t="inlineStr">
        <is>
          <t>DALARNAS LÄN</t>
        </is>
      </c>
      <c r="E664" t="inlineStr">
        <is>
          <t>MORA</t>
        </is>
      </c>
      <c r="F664" t="inlineStr">
        <is>
          <t>Bergvik skog väst AB</t>
        </is>
      </c>
      <c r="G664" t="n">
        <v>5.6</v>
      </c>
      <c r="H664" t="n">
        <v>0</v>
      </c>
      <c r="I664" t="n">
        <v>0</v>
      </c>
      <c r="J664" t="n">
        <v>0</v>
      </c>
      <c r="K664" t="n">
        <v>0</v>
      </c>
      <c r="L664" t="n">
        <v>0</v>
      </c>
      <c r="M664" t="n">
        <v>0</v>
      </c>
      <c r="N664" t="n">
        <v>0</v>
      </c>
      <c r="O664" t="n">
        <v>0</v>
      </c>
      <c r="P664" t="n">
        <v>0</v>
      </c>
      <c r="Q664" t="n">
        <v>0</v>
      </c>
      <c r="R664" s="2" t="inlineStr"/>
    </row>
    <row r="665" ht="15" customHeight="1">
      <c r="A665" t="inlineStr">
        <is>
          <t>A 54905-2025</t>
        </is>
      </c>
      <c r="B665" s="1" t="n">
        <v>45967.3700462963</v>
      </c>
      <c r="C665" s="1" t="n">
        <v>45974</v>
      </c>
      <c r="D665" t="inlineStr">
        <is>
          <t>DALARNAS LÄN</t>
        </is>
      </c>
      <c r="E665" t="inlineStr">
        <is>
          <t>MORA</t>
        </is>
      </c>
      <c r="G665" t="n">
        <v>0.4</v>
      </c>
      <c r="H665" t="n">
        <v>0</v>
      </c>
      <c r="I665" t="n">
        <v>0</v>
      </c>
      <c r="J665" t="n">
        <v>0</v>
      </c>
      <c r="K665" t="n">
        <v>0</v>
      </c>
      <c r="L665" t="n">
        <v>0</v>
      </c>
      <c r="M665" t="n">
        <v>0</v>
      </c>
      <c r="N665" t="n">
        <v>0</v>
      </c>
      <c r="O665" t="n">
        <v>0</v>
      </c>
      <c r="P665" t="n">
        <v>0</v>
      </c>
      <c r="Q665" t="n">
        <v>0</v>
      </c>
      <c r="R665" s="2" t="inlineStr"/>
    </row>
    <row r="666" ht="15" customHeight="1">
      <c r="A666" t="inlineStr">
        <is>
          <t>A 46414-2024</t>
        </is>
      </c>
      <c r="B666" s="1" t="n">
        <v>45582.45226851852</v>
      </c>
      <c r="C666" s="1" t="n">
        <v>45974</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46417-2024</t>
        </is>
      </c>
      <c r="B667" s="1" t="n">
        <v>45582.45449074074</v>
      </c>
      <c r="C667" s="1" t="n">
        <v>45974</v>
      </c>
      <c r="D667" t="inlineStr">
        <is>
          <t>DALARNAS LÄN</t>
        </is>
      </c>
      <c r="E667" t="inlineStr">
        <is>
          <t>MORA</t>
        </is>
      </c>
      <c r="G667" t="n">
        <v>0.8</v>
      </c>
      <c r="H667" t="n">
        <v>0</v>
      </c>
      <c r="I667" t="n">
        <v>0</v>
      </c>
      <c r="J667" t="n">
        <v>0</v>
      </c>
      <c r="K667" t="n">
        <v>0</v>
      </c>
      <c r="L667" t="n">
        <v>0</v>
      </c>
      <c r="M667" t="n">
        <v>0</v>
      </c>
      <c r="N667" t="n">
        <v>0</v>
      </c>
      <c r="O667" t="n">
        <v>0</v>
      </c>
      <c r="P667" t="n">
        <v>0</v>
      </c>
      <c r="Q667" t="n">
        <v>0</v>
      </c>
      <c r="R667" s="2" t="inlineStr"/>
    </row>
    <row r="668" ht="15" customHeight="1">
      <c r="A668" t="inlineStr">
        <is>
          <t>A 54909-2025</t>
        </is>
      </c>
      <c r="B668" s="1" t="n">
        <v>45967.374375</v>
      </c>
      <c r="C668" s="1" t="n">
        <v>45974</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46090-2025</t>
        </is>
      </c>
      <c r="B669" s="1" t="n">
        <v>45924.5253125</v>
      </c>
      <c r="C669" s="1" t="n">
        <v>45974</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46091-2025</t>
        </is>
      </c>
      <c r="B670" s="1" t="n">
        <v>45924.52871527777</v>
      </c>
      <c r="C670" s="1" t="n">
        <v>45974</v>
      </c>
      <c r="D670" t="inlineStr">
        <is>
          <t>DALARNAS LÄN</t>
        </is>
      </c>
      <c r="E670" t="inlineStr">
        <is>
          <t>MORA</t>
        </is>
      </c>
      <c r="G670" t="n">
        <v>1.2</v>
      </c>
      <c r="H670" t="n">
        <v>0</v>
      </c>
      <c r="I670" t="n">
        <v>0</v>
      </c>
      <c r="J670" t="n">
        <v>0</v>
      </c>
      <c r="K670" t="n">
        <v>0</v>
      </c>
      <c r="L670" t="n">
        <v>0</v>
      </c>
      <c r="M670" t="n">
        <v>0</v>
      </c>
      <c r="N670" t="n">
        <v>0</v>
      </c>
      <c r="O670" t="n">
        <v>0</v>
      </c>
      <c r="P670" t="n">
        <v>0</v>
      </c>
      <c r="Q670" t="n">
        <v>0</v>
      </c>
      <c r="R670" s="2" t="inlineStr"/>
    </row>
    <row r="671" ht="15" customHeight="1">
      <c r="A671" t="inlineStr">
        <is>
          <t>A 5491-2023</t>
        </is>
      </c>
      <c r="B671" s="1" t="n">
        <v>44957</v>
      </c>
      <c r="C671" s="1" t="n">
        <v>45974</v>
      </c>
      <c r="D671" t="inlineStr">
        <is>
          <t>DALARNAS LÄN</t>
        </is>
      </c>
      <c r="E671" t="inlineStr">
        <is>
          <t>MORA</t>
        </is>
      </c>
      <c r="G671" t="n">
        <v>3.5</v>
      </c>
      <c r="H671" t="n">
        <v>0</v>
      </c>
      <c r="I671" t="n">
        <v>0</v>
      </c>
      <c r="J671" t="n">
        <v>0</v>
      </c>
      <c r="K671" t="n">
        <v>0</v>
      </c>
      <c r="L671" t="n">
        <v>0</v>
      </c>
      <c r="M671" t="n">
        <v>0</v>
      </c>
      <c r="N671" t="n">
        <v>0</v>
      </c>
      <c r="O671" t="n">
        <v>0</v>
      </c>
      <c r="P671" t="n">
        <v>0</v>
      </c>
      <c r="Q671" t="n">
        <v>0</v>
      </c>
      <c r="R671" s="2" t="inlineStr"/>
    </row>
    <row r="672" ht="15" customHeight="1">
      <c r="A672" t="inlineStr">
        <is>
          <t>A 5493-2023</t>
        </is>
      </c>
      <c r="B672" s="1" t="n">
        <v>44957</v>
      </c>
      <c r="C672" s="1" t="n">
        <v>45974</v>
      </c>
      <c r="D672" t="inlineStr">
        <is>
          <t>DALARNAS LÄN</t>
        </is>
      </c>
      <c r="E672" t="inlineStr">
        <is>
          <t>MORA</t>
        </is>
      </c>
      <c r="F672" t="inlineStr">
        <is>
          <t>Allmännings- och besparingsskogar</t>
        </is>
      </c>
      <c r="G672" t="n">
        <v>14.9</v>
      </c>
      <c r="H672" t="n">
        <v>0</v>
      </c>
      <c r="I672" t="n">
        <v>0</v>
      </c>
      <c r="J672" t="n">
        <v>0</v>
      </c>
      <c r="K672" t="n">
        <v>0</v>
      </c>
      <c r="L672" t="n">
        <v>0</v>
      </c>
      <c r="M672" t="n">
        <v>0</v>
      </c>
      <c r="N672" t="n">
        <v>0</v>
      </c>
      <c r="O672" t="n">
        <v>0</v>
      </c>
      <c r="P672" t="n">
        <v>0</v>
      </c>
      <c r="Q672" t="n">
        <v>0</v>
      </c>
      <c r="R672" s="2" t="inlineStr"/>
    </row>
    <row r="673" ht="15" customHeight="1">
      <c r="A673" t="inlineStr">
        <is>
          <t>A 54868-2025</t>
        </is>
      </c>
      <c r="B673" s="1" t="n">
        <v>45966.85649305556</v>
      </c>
      <c r="C673" s="1" t="n">
        <v>45974</v>
      </c>
      <c r="D673" t="inlineStr">
        <is>
          <t>DALARNAS LÄN</t>
        </is>
      </c>
      <c r="E673" t="inlineStr">
        <is>
          <t>MORA</t>
        </is>
      </c>
      <c r="F673" t="inlineStr">
        <is>
          <t>Bergvik skog väst AB</t>
        </is>
      </c>
      <c r="G673" t="n">
        <v>5.6</v>
      </c>
      <c r="H673" t="n">
        <v>0</v>
      </c>
      <c r="I673" t="n">
        <v>0</v>
      </c>
      <c r="J673" t="n">
        <v>0</v>
      </c>
      <c r="K673" t="n">
        <v>0</v>
      </c>
      <c r="L673" t="n">
        <v>0</v>
      </c>
      <c r="M673" t="n">
        <v>0</v>
      </c>
      <c r="N673" t="n">
        <v>0</v>
      </c>
      <c r="O673" t="n">
        <v>0</v>
      </c>
      <c r="P673" t="n">
        <v>0</v>
      </c>
      <c r="Q673" t="n">
        <v>0</v>
      </c>
      <c r="R673" s="2" t="inlineStr"/>
    </row>
    <row r="674" ht="15" customHeight="1">
      <c r="A674" t="inlineStr">
        <is>
          <t>A 54910-2025</t>
        </is>
      </c>
      <c r="B674" s="1" t="n">
        <v>45967.37679398148</v>
      </c>
      <c r="C674" s="1" t="n">
        <v>45974</v>
      </c>
      <c r="D674" t="inlineStr">
        <is>
          <t>DALARNAS LÄN</t>
        </is>
      </c>
      <c r="E674" t="inlineStr">
        <is>
          <t>MORA</t>
        </is>
      </c>
      <c r="G674" t="n">
        <v>0.5</v>
      </c>
      <c r="H674" t="n">
        <v>0</v>
      </c>
      <c r="I674" t="n">
        <v>0</v>
      </c>
      <c r="J674" t="n">
        <v>0</v>
      </c>
      <c r="K674" t="n">
        <v>0</v>
      </c>
      <c r="L674" t="n">
        <v>0</v>
      </c>
      <c r="M674" t="n">
        <v>0</v>
      </c>
      <c r="N674" t="n">
        <v>0</v>
      </c>
      <c r="O674" t="n">
        <v>0</v>
      </c>
      <c r="P674" t="n">
        <v>0</v>
      </c>
      <c r="Q674" t="n">
        <v>0</v>
      </c>
      <c r="R674" s="2" t="inlineStr"/>
    </row>
    <row r="675" ht="15" customHeight="1">
      <c r="A675" t="inlineStr">
        <is>
          <t>A 48825-2023</t>
        </is>
      </c>
      <c r="B675" s="1" t="n">
        <v>45203</v>
      </c>
      <c r="C675" s="1" t="n">
        <v>45974</v>
      </c>
      <c r="D675" t="inlineStr">
        <is>
          <t>DALARNAS LÄN</t>
        </is>
      </c>
      <c r="E675" t="inlineStr">
        <is>
          <t>MORA</t>
        </is>
      </c>
      <c r="G675" t="n">
        <v>7.9</v>
      </c>
      <c r="H675" t="n">
        <v>0</v>
      </c>
      <c r="I675" t="n">
        <v>0</v>
      </c>
      <c r="J675" t="n">
        <v>0</v>
      </c>
      <c r="K675" t="n">
        <v>0</v>
      </c>
      <c r="L675" t="n">
        <v>0</v>
      </c>
      <c r="M675" t="n">
        <v>0</v>
      </c>
      <c r="N675" t="n">
        <v>0</v>
      </c>
      <c r="O675" t="n">
        <v>0</v>
      </c>
      <c r="P675" t="n">
        <v>0</v>
      </c>
      <c r="Q675" t="n">
        <v>0</v>
      </c>
      <c r="R675" s="2" t="inlineStr"/>
    </row>
    <row r="676" ht="15" customHeight="1">
      <c r="A676" t="inlineStr">
        <is>
          <t>A 46283-2025</t>
        </is>
      </c>
      <c r="B676" s="1" t="n">
        <v>45925</v>
      </c>
      <c r="C676" s="1" t="n">
        <v>45974</v>
      </c>
      <c r="D676" t="inlineStr">
        <is>
          <t>DALARNAS LÄN</t>
        </is>
      </c>
      <c r="E676" t="inlineStr">
        <is>
          <t>MORA</t>
        </is>
      </c>
      <c r="G676" t="n">
        <v>0.5</v>
      </c>
      <c r="H676" t="n">
        <v>0</v>
      </c>
      <c r="I676" t="n">
        <v>0</v>
      </c>
      <c r="J676" t="n">
        <v>0</v>
      </c>
      <c r="K676" t="n">
        <v>0</v>
      </c>
      <c r="L676" t="n">
        <v>0</v>
      </c>
      <c r="M676" t="n">
        <v>0</v>
      </c>
      <c r="N676" t="n">
        <v>0</v>
      </c>
      <c r="O676" t="n">
        <v>0</v>
      </c>
      <c r="P676" t="n">
        <v>0</v>
      </c>
      <c r="Q676" t="n">
        <v>0</v>
      </c>
      <c r="R676" s="2" t="inlineStr"/>
    </row>
    <row r="677" ht="15" customHeight="1">
      <c r="A677" t="inlineStr">
        <is>
          <t>A 54862-2025</t>
        </is>
      </c>
      <c r="B677" s="1" t="n">
        <v>45966.76542824074</v>
      </c>
      <c r="C677" s="1" t="n">
        <v>45974</v>
      </c>
      <c r="D677" t="inlineStr">
        <is>
          <t>DALARNAS LÄN</t>
        </is>
      </c>
      <c r="E677" t="inlineStr">
        <is>
          <t>MORA</t>
        </is>
      </c>
      <c r="G677" t="n">
        <v>1.2</v>
      </c>
      <c r="H677" t="n">
        <v>0</v>
      </c>
      <c r="I677" t="n">
        <v>0</v>
      </c>
      <c r="J677" t="n">
        <v>0</v>
      </c>
      <c r="K677" t="n">
        <v>0</v>
      </c>
      <c r="L677" t="n">
        <v>0</v>
      </c>
      <c r="M677" t="n">
        <v>0</v>
      </c>
      <c r="N677" t="n">
        <v>0</v>
      </c>
      <c r="O677" t="n">
        <v>0</v>
      </c>
      <c r="P677" t="n">
        <v>0</v>
      </c>
      <c r="Q677" t="n">
        <v>0</v>
      </c>
      <c r="R677" s="2" t="inlineStr"/>
    </row>
    <row r="678" ht="15" customHeight="1">
      <c r="A678" t="inlineStr">
        <is>
          <t>A 55135-2025</t>
        </is>
      </c>
      <c r="B678" s="1" t="n">
        <v>45968.42591435185</v>
      </c>
      <c r="C678" s="1" t="n">
        <v>45974</v>
      </c>
      <c r="D678" t="inlineStr">
        <is>
          <t>DALARNAS LÄN</t>
        </is>
      </c>
      <c r="E678" t="inlineStr">
        <is>
          <t>MORA</t>
        </is>
      </c>
      <c r="G678" t="n">
        <v>5.1</v>
      </c>
      <c r="H678" t="n">
        <v>0</v>
      </c>
      <c r="I678" t="n">
        <v>0</v>
      </c>
      <c r="J678" t="n">
        <v>0</v>
      </c>
      <c r="K678" t="n">
        <v>0</v>
      </c>
      <c r="L678" t="n">
        <v>0</v>
      </c>
      <c r="M678" t="n">
        <v>0</v>
      </c>
      <c r="N678" t="n">
        <v>0</v>
      </c>
      <c r="O678" t="n">
        <v>0</v>
      </c>
      <c r="P678" t="n">
        <v>0</v>
      </c>
      <c r="Q678" t="n">
        <v>0</v>
      </c>
      <c r="R678" s="2" t="inlineStr"/>
    </row>
    <row r="679" ht="15" customHeight="1">
      <c r="A679" t="inlineStr">
        <is>
          <t>A 55124-2025</t>
        </is>
      </c>
      <c r="B679" s="1" t="n">
        <v>45968.40621527778</v>
      </c>
      <c r="C679" s="1" t="n">
        <v>45974</v>
      </c>
      <c r="D679" t="inlineStr">
        <is>
          <t>DALARNAS LÄN</t>
        </is>
      </c>
      <c r="E679" t="inlineStr">
        <is>
          <t>MORA</t>
        </is>
      </c>
      <c r="G679" t="n">
        <v>1.2</v>
      </c>
      <c r="H679" t="n">
        <v>0</v>
      </c>
      <c r="I679" t="n">
        <v>0</v>
      </c>
      <c r="J679" t="n">
        <v>0</v>
      </c>
      <c r="K679" t="n">
        <v>0</v>
      </c>
      <c r="L679" t="n">
        <v>0</v>
      </c>
      <c r="M679" t="n">
        <v>0</v>
      </c>
      <c r="N679" t="n">
        <v>0</v>
      </c>
      <c r="O679" t="n">
        <v>0</v>
      </c>
      <c r="P679" t="n">
        <v>0</v>
      </c>
      <c r="Q679" t="n">
        <v>0</v>
      </c>
      <c r="R679" s="2" t="inlineStr"/>
    </row>
    <row r="680" ht="15" customHeight="1">
      <c r="A680" t="inlineStr">
        <is>
          <t>A 29193-2023</t>
        </is>
      </c>
      <c r="B680" s="1" t="n">
        <v>45105.54791666667</v>
      </c>
      <c r="C680" s="1" t="n">
        <v>45974</v>
      </c>
      <c r="D680" t="inlineStr">
        <is>
          <t>DALARNAS LÄN</t>
        </is>
      </c>
      <c r="E680" t="inlineStr">
        <is>
          <t>MORA</t>
        </is>
      </c>
      <c r="G680" t="n">
        <v>0.4</v>
      </c>
      <c r="H680" t="n">
        <v>0</v>
      </c>
      <c r="I680" t="n">
        <v>0</v>
      </c>
      <c r="J680" t="n">
        <v>0</v>
      </c>
      <c r="K680" t="n">
        <v>0</v>
      </c>
      <c r="L680" t="n">
        <v>0</v>
      </c>
      <c r="M680" t="n">
        <v>0</v>
      </c>
      <c r="N680" t="n">
        <v>0</v>
      </c>
      <c r="O680" t="n">
        <v>0</v>
      </c>
      <c r="P680" t="n">
        <v>0</v>
      </c>
      <c r="Q680" t="n">
        <v>0</v>
      </c>
      <c r="R680" s="2" t="inlineStr"/>
    </row>
    <row r="681" ht="15" customHeight="1">
      <c r="A681" t="inlineStr">
        <is>
          <t>A 18444-2024</t>
        </is>
      </c>
      <c r="B681" s="1" t="n">
        <v>45425.45568287037</v>
      </c>
      <c r="C681" s="1" t="n">
        <v>45974</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55262-2025</t>
        </is>
      </c>
      <c r="B682" s="1" t="n">
        <v>45968.64847222222</v>
      </c>
      <c r="C682" s="1" t="n">
        <v>45974</v>
      </c>
      <c r="D682" t="inlineStr">
        <is>
          <t>DALARNAS LÄN</t>
        </is>
      </c>
      <c r="E682" t="inlineStr">
        <is>
          <t>MORA</t>
        </is>
      </c>
      <c r="G682" t="n">
        <v>1.2</v>
      </c>
      <c r="H682" t="n">
        <v>0</v>
      </c>
      <c r="I682" t="n">
        <v>0</v>
      </c>
      <c r="J682" t="n">
        <v>0</v>
      </c>
      <c r="K682" t="n">
        <v>0</v>
      </c>
      <c r="L682" t="n">
        <v>0</v>
      </c>
      <c r="M682" t="n">
        <v>0</v>
      </c>
      <c r="N682" t="n">
        <v>0</v>
      </c>
      <c r="O682" t="n">
        <v>0</v>
      </c>
      <c r="P682" t="n">
        <v>0</v>
      </c>
      <c r="Q682" t="n">
        <v>0</v>
      </c>
      <c r="R682" s="2" t="inlineStr"/>
    </row>
    <row r="683" ht="15" customHeight="1">
      <c r="A683" t="inlineStr">
        <is>
          <t>A 47784-2024</t>
        </is>
      </c>
      <c r="B683" s="1" t="n">
        <v>45588.59290509259</v>
      </c>
      <c r="C683" s="1" t="n">
        <v>45974</v>
      </c>
      <c r="D683" t="inlineStr">
        <is>
          <t>DALARNAS LÄN</t>
        </is>
      </c>
      <c r="E683" t="inlineStr">
        <is>
          <t>MORA</t>
        </is>
      </c>
      <c r="G683" t="n">
        <v>15.3</v>
      </c>
      <c r="H683" t="n">
        <v>0</v>
      </c>
      <c r="I683" t="n">
        <v>0</v>
      </c>
      <c r="J683" t="n">
        <v>0</v>
      </c>
      <c r="K683" t="n">
        <v>0</v>
      </c>
      <c r="L683" t="n">
        <v>0</v>
      </c>
      <c r="M683" t="n">
        <v>0</v>
      </c>
      <c r="N683" t="n">
        <v>0</v>
      </c>
      <c r="O683" t="n">
        <v>0</v>
      </c>
      <c r="P683" t="n">
        <v>0</v>
      </c>
      <c r="Q683" t="n">
        <v>0</v>
      </c>
      <c r="R683" s="2" t="inlineStr"/>
    </row>
    <row r="684" ht="15" customHeight="1">
      <c r="A684" t="inlineStr">
        <is>
          <t>A 46525-2025</t>
        </is>
      </c>
      <c r="B684" s="1" t="n">
        <v>45926.3312962963</v>
      </c>
      <c r="C684" s="1" t="n">
        <v>45974</v>
      </c>
      <c r="D684" t="inlineStr">
        <is>
          <t>DALARNAS LÄN</t>
        </is>
      </c>
      <c r="E684" t="inlineStr">
        <is>
          <t>MORA</t>
        </is>
      </c>
      <c r="G684" t="n">
        <v>6.3</v>
      </c>
      <c r="H684" t="n">
        <v>0</v>
      </c>
      <c r="I684" t="n">
        <v>0</v>
      </c>
      <c r="J684" t="n">
        <v>0</v>
      </c>
      <c r="K684" t="n">
        <v>0</v>
      </c>
      <c r="L684" t="n">
        <v>0</v>
      </c>
      <c r="M684" t="n">
        <v>0</v>
      </c>
      <c r="N684" t="n">
        <v>0</v>
      </c>
      <c r="O684" t="n">
        <v>0</v>
      </c>
      <c r="P684" t="n">
        <v>0</v>
      </c>
      <c r="Q684" t="n">
        <v>0</v>
      </c>
      <c r="R684" s="2" t="inlineStr"/>
    </row>
    <row r="685" ht="15" customHeight="1">
      <c r="A685" t="inlineStr">
        <is>
          <t>A 35551-2023</t>
        </is>
      </c>
      <c r="B685" s="1" t="n">
        <v>45147.3934837963</v>
      </c>
      <c r="C685" s="1" t="n">
        <v>45974</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59174-2023</t>
        </is>
      </c>
      <c r="B686" s="1" t="n">
        <v>45253.43202546296</v>
      </c>
      <c r="C686" s="1" t="n">
        <v>45974</v>
      </c>
      <c r="D686" t="inlineStr">
        <is>
          <t>DALARNAS LÄN</t>
        </is>
      </c>
      <c r="E686" t="inlineStr">
        <is>
          <t>MORA</t>
        </is>
      </c>
      <c r="G686" t="n">
        <v>2.5</v>
      </c>
      <c r="H686" t="n">
        <v>0</v>
      </c>
      <c r="I686" t="n">
        <v>0</v>
      </c>
      <c r="J686" t="n">
        <v>0</v>
      </c>
      <c r="K686" t="n">
        <v>0</v>
      </c>
      <c r="L686" t="n">
        <v>0</v>
      </c>
      <c r="M686" t="n">
        <v>0</v>
      </c>
      <c r="N686" t="n">
        <v>0</v>
      </c>
      <c r="O686" t="n">
        <v>0</v>
      </c>
      <c r="P686" t="n">
        <v>0</v>
      </c>
      <c r="Q686" t="n">
        <v>0</v>
      </c>
      <c r="R686" s="2" t="inlineStr"/>
    </row>
    <row r="687" ht="15" customHeight="1">
      <c r="A687" t="inlineStr">
        <is>
          <t>A 55331-2022</t>
        </is>
      </c>
      <c r="B687" s="1" t="n">
        <v>44887.43714120371</v>
      </c>
      <c r="C687" s="1" t="n">
        <v>45974</v>
      </c>
      <c r="D687" t="inlineStr">
        <is>
          <t>DALARNAS LÄN</t>
        </is>
      </c>
      <c r="E687" t="inlineStr">
        <is>
          <t>MORA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55123-2025</t>
        </is>
      </c>
      <c r="B688" s="1" t="n">
        <v>45968.40056712963</v>
      </c>
      <c r="C688" s="1" t="n">
        <v>45974</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42085-2024</t>
        </is>
      </c>
      <c r="B689" s="1" t="n">
        <v>45562.33179398148</v>
      </c>
      <c r="C689" s="1" t="n">
        <v>45974</v>
      </c>
      <c r="D689" t="inlineStr">
        <is>
          <t>DALARNAS LÄN</t>
        </is>
      </c>
      <c r="E689" t="inlineStr">
        <is>
          <t>MORA</t>
        </is>
      </c>
      <c r="G689" t="n">
        <v>4.9</v>
      </c>
      <c r="H689" t="n">
        <v>0</v>
      </c>
      <c r="I689" t="n">
        <v>0</v>
      </c>
      <c r="J689" t="n">
        <v>0</v>
      </c>
      <c r="K689" t="n">
        <v>0</v>
      </c>
      <c r="L689" t="n">
        <v>0</v>
      </c>
      <c r="M689" t="n">
        <v>0</v>
      </c>
      <c r="N689" t="n">
        <v>0</v>
      </c>
      <c r="O689" t="n">
        <v>0</v>
      </c>
      <c r="P689" t="n">
        <v>0</v>
      </c>
      <c r="Q689" t="n">
        <v>0</v>
      </c>
      <c r="R689" s="2" t="inlineStr"/>
    </row>
    <row r="690" ht="15" customHeight="1">
      <c r="A690" t="inlineStr">
        <is>
          <t>A 46537-2025</t>
        </is>
      </c>
      <c r="B690" s="1" t="n">
        <v>45926.34195601852</v>
      </c>
      <c r="C690" s="1" t="n">
        <v>45974</v>
      </c>
      <c r="D690" t="inlineStr">
        <is>
          <t>DALARNAS LÄN</t>
        </is>
      </c>
      <c r="E690" t="inlineStr">
        <is>
          <t>MORA</t>
        </is>
      </c>
      <c r="G690" t="n">
        <v>10.6</v>
      </c>
      <c r="H690" t="n">
        <v>0</v>
      </c>
      <c r="I690" t="n">
        <v>0</v>
      </c>
      <c r="J690" t="n">
        <v>0</v>
      </c>
      <c r="K690" t="n">
        <v>0</v>
      </c>
      <c r="L690" t="n">
        <v>0</v>
      </c>
      <c r="M690" t="n">
        <v>0</v>
      </c>
      <c r="N690" t="n">
        <v>0</v>
      </c>
      <c r="O690" t="n">
        <v>0</v>
      </c>
      <c r="P690" t="n">
        <v>0</v>
      </c>
      <c r="Q690" t="n">
        <v>0</v>
      </c>
      <c r="R690" s="2" t="inlineStr"/>
    </row>
    <row r="691" ht="15" customHeight="1">
      <c r="A691" t="inlineStr">
        <is>
          <t>A 54548-2025</t>
        </is>
      </c>
      <c r="B691" s="1" t="n">
        <v>45965.6534837963</v>
      </c>
      <c r="C691" s="1" t="n">
        <v>45974</v>
      </c>
      <c r="D691" t="inlineStr">
        <is>
          <t>DALARNAS LÄN</t>
        </is>
      </c>
      <c r="E691" t="inlineStr">
        <is>
          <t>MORA</t>
        </is>
      </c>
      <c r="G691" t="n">
        <v>2.3</v>
      </c>
      <c r="H691" t="n">
        <v>0</v>
      </c>
      <c r="I691" t="n">
        <v>0</v>
      </c>
      <c r="J691" t="n">
        <v>0</v>
      </c>
      <c r="K691" t="n">
        <v>0</v>
      </c>
      <c r="L691" t="n">
        <v>0</v>
      </c>
      <c r="M691" t="n">
        <v>0</v>
      </c>
      <c r="N691" t="n">
        <v>0</v>
      </c>
      <c r="O691" t="n">
        <v>0</v>
      </c>
      <c r="P691" t="n">
        <v>0</v>
      </c>
      <c r="Q691" t="n">
        <v>0</v>
      </c>
      <c r="R691" s="2" t="inlineStr"/>
    </row>
    <row r="692" ht="15" customHeight="1">
      <c r="A692" t="inlineStr">
        <is>
          <t>A 47140-2025</t>
        </is>
      </c>
      <c r="B692" s="1" t="n">
        <v>45929</v>
      </c>
      <c r="C692" s="1" t="n">
        <v>45974</v>
      </c>
      <c r="D692" t="inlineStr">
        <is>
          <t>DALARNAS LÄN</t>
        </is>
      </c>
      <c r="E692" t="inlineStr">
        <is>
          <t>MORA</t>
        </is>
      </c>
      <c r="G692" t="n">
        <v>6.7</v>
      </c>
      <c r="H692" t="n">
        <v>0</v>
      </c>
      <c r="I692" t="n">
        <v>0</v>
      </c>
      <c r="J692" t="n">
        <v>0</v>
      </c>
      <c r="K692" t="n">
        <v>0</v>
      </c>
      <c r="L692" t="n">
        <v>0</v>
      </c>
      <c r="M692" t="n">
        <v>0</v>
      </c>
      <c r="N692" t="n">
        <v>0</v>
      </c>
      <c r="O692" t="n">
        <v>0</v>
      </c>
      <c r="P692" t="n">
        <v>0</v>
      </c>
      <c r="Q692" t="n">
        <v>0</v>
      </c>
      <c r="R692" s="2" t="inlineStr"/>
    </row>
    <row r="693" ht="15" customHeight="1">
      <c r="A693" t="inlineStr">
        <is>
          <t>A 60187-2024</t>
        </is>
      </c>
      <c r="B693" s="1" t="n">
        <v>45642.64803240741</v>
      </c>
      <c r="C693" s="1" t="n">
        <v>45974</v>
      </c>
      <c r="D693" t="inlineStr">
        <is>
          <t>DALARNAS LÄN</t>
        </is>
      </c>
      <c r="E693" t="inlineStr">
        <is>
          <t>MORA</t>
        </is>
      </c>
      <c r="F693" t="inlineStr">
        <is>
          <t>Allmännings- och besparingsskogar</t>
        </is>
      </c>
      <c r="G693" t="n">
        <v>24.6</v>
      </c>
      <c r="H693" t="n">
        <v>0</v>
      </c>
      <c r="I693" t="n">
        <v>0</v>
      </c>
      <c r="J693" t="n">
        <v>0</v>
      </c>
      <c r="K693" t="n">
        <v>0</v>
      </c>
      <c r="L693" t="n">
        <v>0</v>
      </c>
      <c r="M693" t="n">
        <v>0</v>
      </c>
      <c r="N693" t="n">
        <v>0</v>
      </c>
      <c r="O693" t="n">
        <v>0</v>
      </c>
      <c r="P693" t="n">
        <v>0</v>
      </c>
      <c r="Q693" t="n">
        <v>0</v>
      </c>
      <c r="R693" s="2" t="inlineStr"/>
    </row>
    <row r="694" ht="15" customHeight="1">
      <c r="A694" t="inlineStr">
        <is>
          <t>A 55284-2025</t>
        </is>
      </c>
      <c r="B694" s="1" t="n">
        <v>45968.8227662037</v>
      </c>
      <c r="C694" s="1" t="n">
        <v>45974</v>
      </c>
      <c r="D694" t="inlineStr">
        <is>
          <t>DALARNAS LÄN</t>
        </is>
      </c>
      <c r="E694" t="inlineStr">
        <is>
          <t>MORA</t>
        </is>
      </c>
      <c r="G694" t="n">
        <v>2</v>
      </c>
      <c r="H694" t="n">
        <v>0</v>
      </c>
      <c r="I694" t="n">
        <v>0</v>
      </c>
      <c r="J694" t="n">
        <v>0</v>
      </c>
      <c r="K694" t="n">
        <v>0</v>
      </c>
      <c r="L694" t="n">
        <v>0</v>
      </c>
      <c r="M694" t="n">
        <v>0</v>
      </c>
      <c r="N694" t="n">
        <v>0</v>
      </c>
      <c r="O694" t="n">
        <v>0</v>
      </c>
      <c r="P694" t="n">
        <v>0</v>
      </c>
      <c r="Q694" t="n">
        <v>0</v>
      </c>
      <c r="R694" s="2" t="inlineStr"/>
    </row>
    <row r="695" ht="15" customHeight="1">
      <c r="A695" t="inlineStr">
        <is>
          <t>A 47055-2025</t>
        </is>
      </c>
      <c r="B695" s="1" t="n">
        <v>45929.61931712963</v>
      </c>
      <c r="C695" s="1" t="n">
        <v>45974</v>
      </c>
      <c r="D695" t="inlineStr">
        <is>
          <t>DALARNAS LÄN</t>
        </is>
      </c>
      <c r="E695" t="inlineStr">
        <is>
          <t>MORA</t>
        </is>
      </c>
      <c r="G695" t="n">
        <v>28.1</v>
      </c>
      <c r="H695" t="n">
        <v>0</v>
      </c>
      <c r="I695" t="n">
        <v>0</v>
      </c>
      <c r="J695" t="n">
        <v>0</v>
      </c>
      <c r="K695" t="n">
        <v>0</v>
      </c>
      <c r="L695" t="n">
        <v>0</v>
      </c>
      <c r="M695" t="n">
        <v>0</v>
      </c>
      <c r="N695" t="n">
        <v>0</v>
      </c>
      <c r="O695" t="n">
        <v>0</v>
      </c>
      <c r="P695" t="n">
        <v>0</v>
      </c>
      <c r="Q695" t="n">
        <v>0</v>
      </c>
      <c r="R695" s="2" t="inlineStr"/>
    </row>
    <row r="696" ht="15" customHeight="1">
      <c r="A696" t="inlineStr">
        <is>
          <t>A 47072-2025</t>
        </is>
      </c>
      <c r="B696" s="1" t="n">
        <v>45929.6365162037</v>
      </c>
      <c r="C696" s="1" t="n">
        <v>45974</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61222-2023</t>
        </is>
      </c>
      <c r="B697" s="1" t="n">
        <v>45264</v>
      </c>
      <c r="C697" s="1" t="n">
        <v>45974</v>
      </c>
      <c r="D697" t="inlineStr">
        <is>
          <t>DALARNAS LÄN</t>
        </is>
      </c>
      <c r="E697" t="inlineStr">
        <is>
          <t>MORA</t>
        </is>
      </c>
      <c r="F697" t="inlineStr">
        <is>
          <t>Allmännings- och besparingsskogar</t>
        </is>
      </c>
      <c r="G697" t="n">
        <v>1.1</v>
      </c>
      <c r="H697" t="n">
        <v>0</v>
      </c>
      <c r="I697" t="n">
        <v>0</v>
      </c>
      <c r="J697" t="n">
        <v>0</v>
      </c>
      <c r="K697" t="n">
        <v>0</v>
      </c>
      <c r="L697" t="n">
        <v>0</v>
      </c>
      <c r="M697" t="n">
        <v>0</v>
      </c>
      <c r="N697" t="n">
        <v>0</v>
      </c>
      <c r="O697" t="n">
        <v>0</v>
      </c>
      <c r="P697" t="n">
        <v>0</v>
      </c>
      <c r="Q697" t="n">
        <v>0</v>
      </c>
      <c r="R697" s="2" t="inlineStr"/>
    </row>
    <row r="698" ht="15" customHeight="1">
      <c r="A698" t="inlineStr">
        <is>
          <t>A 40949-2023</t>
        </is>
      </c>
      <c r="B698" s="1" t="n">
        <v>45173</v>
      </c>
      <c r="C698" s="1" t="n">
        <v>45974</v>
      </c>
      <c r="D698" t="inlineStr">
        <is>
          <t>DALARNAS LÄN</t>
        </is>
      </c>
      <c r="E698" t="inlineStr">
        <is>
          <t>MORA</t>
        </is>
      </c>
      <c r="F698" t="inlineStr">
        <is>
          <t>Kyrkan</t>
        </is>
      </c>
      <c r="G698" t="n">
        <v>0.5</v>
      </c>
      <c r="H698" t="n">
        <v>0</v>
      </c>
      <c r="I698" t="n">
        <v>0</v>
      </c>
      <c r="J698" t="n">
        <v>0</v>
      </c>
      <c r="K698" t="n">
        <v>0</v>
      </c>
      <c r="L698" t="n">
        <v>0</v>
      </c>
      <c r="M698" t="n">
        <v>0</v>
      </c>
      <c r="N698" t="n">
        <v>0</v>
      </c>
      <c r="O698" t="n">
        <v>0</v>
      </c>
      <c r="P698" t="n">
        <v>0</v>
      </c>
      <c r="Q698" t="n">
        <v>0</v>
      </c>
      <c r="R698" s="2" t="inlineStr"/>
    </row>
    <row r="699" ht="15" customHeight="1">
      <c r="A699" t="inlineStr">
        <is>
          <t>A 5216-2025</t>
        </is>
      </c>
      <c r="B699" s="1" t="n">
        <v>45691.69671296296</v>
      </c>
      <c r="C699" s="1" t="n">
        <v>45974</v>
      </c>
      <c r="D699" t="inlineStr">
        <is>
          <t>DALARNAS LÄN</t>
        </is>
      </c>
      <c r="E699" t="inlineStr">
        <is>
          <t>MORA</t>
        </is>
      </c>
      <c r="G699" t="n">
        <v>2.5</v>
      </c>
      <c r="H699" t="n">
        <v>0</v>
      </c>
      <c r="I699" t="n">
        <v>0</v>
      </c>
      <c r="J699" t="n">
        <v>0</v>
      </c>
      <c r="K699" t="n">
        <v>0</v>
      </c>
      <c r="L699" t="n">
        <v>0</v>
      </c>
      <c r="M699" t="n">
        <v>0</v>
      </c>
      <c r="N699" t="n">
        <v>0</v>
      </c>
      <c r="O699" t="n">
        <v>0</v>
      </c>
      <c r="P699" t="n">
        <v>0</v>
      </c>
      <c r="Q699" t="n">
        <v>0</v>
      </c>
      <c r="R699" s="2" t="inlineStr"/>
    </row>
    <row r="700" ht="15" customHeight="1">
      <c r="A700" t="inlineStr">
        <is>
          <t>A 47414-2025</t>
        </is>
      </c>
      <c r="B700" s="1" t="n">
        <v>45930.61896990741</v>
      </c>
      <c r="C700" s="1" t="n">
        <v>45974</v>
      </c>
      <c r="D700" t="inlineStr">
        <is>
          <t>DALARNAS LÄN</t>
        </is>
      </c>
      <c r="E700" t="inlineStr">
        <is>
          <t>MORA</t>
        </is>
      </c>
      <c r="G700" t="n">
        <v>6.1</v>
      </c>
      <c r="H700" t="n">
        <v>0</v>
      </c>
      <c r="I700" t="n">
        <v>0</v>
      </c>
      <c r="J700" t="n">
        <v>0</v>
      </c>
      <c r="K700" t="n">
        <v>0</v>
      </c>
      <c r="L700" t="n">
        <v>0</v>
      </c>
      <c r="M700" t="n">
        <v>0</v>
      </c>
      <c r="N700" t="n">
        <v>0</v>
      </c>
      <c r="O700" t="n">
        <v>0</v>
      </c>
      <c r="P700" t="n">
        <v>0</v>
      </c>
      <c r="Q700" t="n">
        <v>0</v>
      </c>
      <c r="R700" s="2" t="inlineStr"/>
    </row>
    <row r="701" ht="15" customHeight="1">
      <c r="A701" t="inlineStr">
        <is>
          <t>A 47765-2025</t>
        </is>
      </c>
      <c r="B701" s="1" t="n">
        <v>45931.69100694444</v>
      </c>
      <c r="C701" s="1" t="n">
        <v>45974</v>
      </c>
      <c r="D701" t="inlineStr">
        <is>
          <t>DALARNAS LÄN</t>
        </is>
      </c>
      <c r="E701" t="inlineStr">
        <is>
          <t>MORA</t>
        </is>
      </c>
      <c r="G701" t="n">
        <v>1.7</v>
      </c>
      <c r="H701" t="n">
        <v>0</v>
      </c>
      <c r="I701" t="n">
        <v>0</v>
      </c>
      <c r="J701" t="n">
        <v>0</v>
      </c>
      <c r="K701" t="n">
        <v>0</v>
      </c>
      <c r="L701" t="n">
        <v>0</v>
      </c>
      <c r="M701" t="n">
        <v>0</v>
      </c>
      <c r="N701" t="n">
        <v>0</v>
      </c>
      <c r="O701" t="n">
        <v>0</v>
      </c>
      <c r="P701" t="n">
        <v>0</v>
      </c>
      <c r="Q701" t="n">
        <v>0</v>
      </c>
      <c r="R701" s="2" t="inlineStr"/>
    </row>
    <row r="702">
      <c r="A702" t="inlineStr">
        <is>
          <t>A 47769-2025</t>
        </is>
      </c>
      <c r="B702" s="1" t="n">
        <v>45931.70715277778</v>
      </c>
      <c r="C702" s="1" t="n">
        <v>45974</v>
      </c>
      <c r="D702" t="inlineStr">
        <is>
          <t>DALARNAS LÄN</t>
        </is>
      </c>
      <c r="E702" t="inlineStr">
        <is>
          <t>MORA</t>
        </is>
      </c>
      <c r="G702" t="n">
        <v>6.7</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2025-11-13T10:11:38Z</dcterms:created>
  <dcterms:modified xmlns:dcterms="http://purl.org/dc/terms/" xmlns:xsi="http://www.w3.org/2001/XMLSchema-instance" xsi:type="dcterms:W3CDTF">2025-11-13T10:11:39Z</dcterms:modified>
</cp:coreProperties>
</file>