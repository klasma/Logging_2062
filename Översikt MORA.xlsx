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45990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45990</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45990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45990</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34018-2021</t>
        </is>
      </c>
      <c r="B11" s="1" t="n">
        <v>44379.34289351852</v>
      </c>
      <c r="C11" s="1" t="n">
        <v>45990</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45199-2025</t>
        </is>
      </c>
      <c r="B12" s="1" t="n">
        <v>45919.56107638889</v>
      </c>
      <c r="C12" s="1" t="n">
        <v>45990</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45990</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45990</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45990</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45990</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45990</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54991-2025</t>
        </is>
      </c>
      <c r="B19" s="1" t="n">
        <v>45967.57792824074</v>
      </c>
      <c r="C19" s="1" t="n">
        <v>45990</v>
      </c>
      <c r="D19" t="inlineStr">
        <is>
          <t>DALARNAS LÄN</t>
        </is>
      </c>
      <c r="E19" t="inlineStr">
        <is>
          <t>MORA</t>
        </is>
      </c>
      <c r="G19" t="n">
        <v>13</v>
      </c>
      <c r="H19" t="n">
        <v>0</v>
      </c>
      <c r="I19" t="n">
        <v>2</v>
      </c>
      <c r="J19" t="n">
        <v>6</v>
      </c>
      <c r="K19" t="n">
        <v>5</v>
      </c>
      <c r="L19" t="n">
        <v>0</v>
      </c>
      <c r="M19" t="n">
        <v>0</v>
      </c>
      <c r="N19" t="n">
        <v>0</v>
      </c>
      <c r="O19" t="n">
        <v>11</v>
      </c>
      <c r="P19" t="n">
        <v>5</v>
      </c>
      <c r="Q19" t="n">
        <v>13</v>
      </c>
      <c r="R19" s="2" t="inlineStr">
        <is>
          <t>Jättemusseron
Lammticka
Rotfingersvamp
Smalfotad taggsvamp
Tajgataggsvamp
Druvfingersvamp
Garnlav
Motaggsvamp
Orange taggsvamp
Skrovlig taggsvamp
Tallriska
Dropptaggsvamp
Tallfingersvamp</t>
        </is>
      </c>
      <c r="S19">
        <f>HYPERLINK("https://klasma.github.io/Logging_2062/artfynd/A 54991-2025 artfynd.xlsx", "A 54991-2025")</f>
        <v/>
      </c>
      <c r="T19">
        <f>HYPERLINK("https://klasma.github.io/Logging_2062/kartor/A 54991-2025 karta.png", "A 54991-2025")</f>
        <v/>
      </c>
      <c r="V19">
        <f>HYPERLINK("https://klasma.github.io/Logging_2062/klagomål/A 54991-2025 FSC-klagomål.docx", "A 54991-2025")</f>
        <v/>
      </c>
      <c r="W19">
        <f>HYPERLINK("https://klasma.github.io/Logging_2062/klagomålsmail/A 54991-2025 FSC-klagomål mail.docx", "A 54991-2025")</f>
        <v/>
      </c>
      <c r="X19">
        <f>HYPERLINK("https://klasma.github.io/Logging_2062/tillsyn/A 54991-2025 tillsynsbegäran.docx", "A 54991-2025")</f>
        <v/>
      </c>
      <c r="Y19">
        <f>HYPERLINK("https://klasma.github.io/Logging_2062/tillsynsmail/A 54991-2025 tillsynsbegäran mail.docx", "A 54991-2025")</f>
        <v/>
      </c>
    </row>
    <row r="20" ht="15" customHeight="1">
      <c r="A20" t="inlineStr">
        <is>
          <t>A 23535-2025</t>
        </is>
      </c>
      <c r="B20" s="1" t="n">
        <v>45792</v>
      </c>
      <c r="C20" s="1" t="n">
        <v>45990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45990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45990</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45990</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45990</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41794-2025</t>
        </is>
      </c>
      <c r="B29" s="1" t="n">
        <v>45902.60008101852</v>
      </c>
      <c r="C29" s="1" t="n">
        <v>45990</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40313-2025</t>
        </is>
      </c>
      <c r="B30" s="1" t="n">
        <v>45895.42209490741</v>
      </c>
      <c r="C30" s="1" t="n">
        <v>45990</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45990</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45990</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61943-2024</t>
        </is>
      </c>
      <c r="B33" s="1" t="n">
        <v>45653.49774305556</v>
      </c>
      <c r="C33" s="1" t="n">
        <v>45990</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21041-2023</t>
        </is>
      </c>
      <c r="B34" s="1" t="n">
        <v>45061.58952546296</v>
      </c>
      <c r="C34" s="1" t="n">
        <v>45990</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59983-2024</t>
        </is>
      </c>
      <c r="B35" s="1" t="n">
        <v>45642</v>
      </c>
      <c r="C35" s="1" t="n">
        <v>45990</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45990</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45990</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45990</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45832.36327546297</v>
      </c>
      <c r="C39" s="1" t="n">
        <v>45990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29520-2025</t>
        </is>
      </c>
      <c r="B40" s="1" t="n">
        <v>45825.3303125</v>
      </c>
      <c r="C40" s="1" t="n">
        <v>45990</v>
      </c>
      <c r="D40" t="inlineStr">
        <is>
          <t>DALARNAS LÄN</t>
        </is>
      </c>
      <c r="E40" t="inlineStr">
        <is>
          <t>MORA</t>
        </is>
      </c>
      <c r="G40" t="n">
        <v>20.5</v>
      </c>
      <c r="H40" t="n">
        <v>1</v>
      </c>
      <c r="I40" t="n">
        <v>2</v>
      </c>
      <c r="J40" t="n">
        <v>5</v>
      </c>
      <c r="K40" t="n">
        <v>0</v>
      </c>
      <c r="L40" t="n">
        <v>0</v>
      </c>
      <c r="M40" t="n">
        <v>0</v>
      </c>
      <c r="N40" t="n">
        <v>0</v>
      </c>
      <c r="O40" t="n">
        <v>5</v>
      </c>
      <c r="P40" t="n">
        <v>0</v>
      </c>
      <c r="Q40" t="n">
        <v>7</v>
      </c>
      <c r="R40" s="2" t="inlineStr">
        <is>
          <t>Garnlav
Granticka
Mörk kolflarnlav
Tretåig hackspett
Vedskivlav
Korallblylav
Mindre märgborre</t>
        </is>
      </c>
      <c r="S40">
        <f>HYPERLINK("https://klasma.github.io/Logging_2062/artfynd/A 29520-2025 artfynd.xlsx", "A 29520-2025")</f>
        <v/>
      </c>
      <c r="T40">
        <f>HYPERLINK("https://klasma.github.io/Logging_2062/kartor/A 29520-2025 karta.png", "A 29520-2025")</f>
        <v/>
      </c>
      <c r="V40">
        <f>HYPERLINK("https://klasma.github.io/Logging_2062/klagomål/A 29520-2025 FSC-klagomål.docx", "A 29520-2025")</f>
        <v/>
      </c>
      <c r="W40">
        <f>HYPERLINK("https://klasma.github.io/Logging_2062/klagomålsmail/A 29520-2025 FSC-klagomål mail.docx", "A 29520-2025")</f>
        <v/>
      </c>
      <c r="X40">
        <f>HYPERLINK("https://klasma.github.io/Logging_2062/tillsyn/A 29520-2025 tillsynsbegäran.docx", "A 29520-2025")</f>
        <v/>
      </c>
      <c r="Y40">
        <f>HYPERLINK("https://klasma.github.io/Logging_2062/tillsynsmail/A 29520-2025 tillsynsbegäran mail.docx", "A 29520-2025")</f>
        <v/>
      </c>
      <c r="Z40">
        <f>HYPERLINK("https://klasma.github.io/Logging_2062/fåglar/A 29520-2025 prioriterade fågelarter.docx", "A 29520-2025")</f>
        <v/>
      </c>
    </row>
    <row r="41" ht="15" customHeight="1">
      <c r="A41" t="inlineStr">
        <is>
          <t>A 29380-2025</t>
        </is>
      </c>
      <c r="B41" s="1" t="n">
        <v>45824.59025462963</v>
      </c>
      <c r="C41" s="1" t="n">
        <v>45990</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45990</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45990</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34719-2025</t>
        </is>
      </c>
      <c r="B44" s="1" t="n">
        <v>45848</v>
      </c>
      <c r="C44" s="1" t="n">
        <v>45990</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34447-2024</t>
        </is>
      </c>
      <c r="B45" s="1" t="n">
        <v>45525</v>
      </c>
      <c r="C45" s="1" t="n">
        <v>45990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53426-2025</t>
        </is>
      </c>
      <c r="B46" s="1" t="n">
        <v>45959.6131712963</v>
      </c>
      <c r="C46" s="1" t="n">
        <v>45990</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45990</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45990</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45990</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45990</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39478-2025</t>
        </is>
      </c>
      <c r="B51" s="1" t="n">
        <v>45890.3469212963</v>
      </c>
      <c r="C51" s="1" t="n">
        <v>45990</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45990</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45990</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45990</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14829-2025</t>
        </is>
      </c>
      <c r="B55" s="1" t="n">
        <v>45743.36951388889</v>
      </c>
      <c r="C55" s="1" t="n">
        <v>45990</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45990</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45990</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39481-2025</t>
        </is>
      </c>
      <c r="B58" s="1" t="n">
        <v>45890.35545138889</v>
      </c>
      <c r="C58" s="1" t="n">
        <v>45990</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45990</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45990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45990</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42028-2023</t>
        </is>
      </c>
      <c r="B62" s="1" t="n">
        <v>45177.49715277777</v>
      </c>
      <c r="C62" s="1" t="n">
        <v>45990</v>
      </c>
      <c r="D62" t="inlineStr">
        <is>
          <t>DALARNAS LÄN</t>
        </is>
      </c>
      <c r="E62" t="inlineStr">
        <is>
          <t>MORA</t>
        </is>
      </c>
      <c r="F62" t="inlineStr">
        <is>
          <t>Allmännings- och besparingsskogar</t>
        </is>
      </c>
      <c r="G62" t="n">
        <v>6.5</v>
      </c>
      <c r="H62" t="n">
        <v>0</v>
      </c>
      <c r="I62" t="n">
        <v>0</v>
      </c>
      <c r="J62" t="n">
        <v>2</v>
      </c>
      <c r="K62" t="n">
        <v>0</v>
      </c>
      <c r="L62" t="n">
        <v>0</v>
      </c>
      <c r="M62" t="n">
        <v>0</v>
      </c>
      <c r="N62" t="n">
        <v>0</v>
      </c>
      <c r="O62" t="n">
        <v>2</v>
      </c>
      <c r="P62" t="n">
        <v>0</v>
      </c>
      <c r="Q62" t="n">
        <v>2</v>
      </c>
      <c r="R62" s="2" t="inlineStr">
        <is>
          <t>Dvärgbägarlav
Vedskivlav</t>
        </is>
      </c>
      <c r="S62">
        <f>HYPERLINK("https://klasma.github.io/Logging_2062/artfynd/A 42028-2023 artfynd.xlsx", "A 42028-2023")</f>
        <v/>
      </c>
      <c r="T62">
        <f>HYPERLINK("https://klasma.github.io/Logging_2062/kartor/A 42028-2023 karta.png", "A 42028-2023")</f>
        <v/>
      </c>
      <c r="V62">
        <f>HYPERLINK("https://klasma.github.io/Logging_2062/klagomål/A 42028-2023 FSC-klagomål.docx", "A 42028-2023")</f>
        <v/>
      </c>
      <c r="W62">
        <f>HYPERLINK("https://klasma.github.io/Logging_2062/klagomålsmail/A 42028-2023 FSC-klagomål mail.docx", "A 42028-2023")</f>
        <v/>
      </c>
      <c r="X62">
        <f>HYPERLINK("https://klasma.github.io/Logging_2062/tillsyn/A 42028-2023 tillsynsbegäran.docx", "A 42028-2023")</f>
        <v/>
      </c>
      <c r="Y62">
        <f>HYPERLINK("https://klasma.github.io/Logging_2062/tillsynsmail/A 42028-2023 tillsynsbegäran mail.docx", "A 42028-2023")</f>
        <v/>
      </c>
    </row>
    <row r="63" ht="15" customHeight="1">
      <c r="A63" t="inlineStr">
        <is>
          <t>A 35068-2025</t>
        </is>
      </c>
      <c r="B63" s="1" t="n">
        <v>45852.45686342593</v>
      </c>
      <c r="C63" s="1" t="n">
        <v>45990</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45990</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16094-2024</t>
        </is>
      </c>
      <c r="B65" s="1" t="n">
        <v>45406.41648148148</v>
      </c>
      <c r="C65" s="1" t="n">
        <v>45990</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5304-2023</t>
        </is>
      </c>
      <c r="B66" s="1" t="n">
        <v>44959.55116898148</v>
      </c>
      <c r="C66" s="1" t="n">
        <v>45990</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27113-2024</t>
        </is>
      </c>
      <c r="B67" s="1" t="n">
        <v>45471</v>
      </c>
      <c r="C67" s="1" t="n">
        <v>45990</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45990</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57669-2022</t>
        </is>
      </c>
      <c r="B69" s="1" t="n">
        <v>44897</v>
      </c>
      <c r="C69" s="1" t="n">
        <v>45990</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23736-2023</t>
        </is>
      </c>
      <c r="B70" s="1" t="n">
        <v>45077</v>
      </c>
      <c r="C70" s="1" t="n">
        <v>45990</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45344-2024</t>
        </is>
      </c>
      <c r="B71" s="1" t="n">
        <v>45576</v>
      </c>
      <c r="C71" s="1" t="n">
        <v>45990</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30328-2021</t>
        </is>
      </c>
      <c r="B72" s="1" t="n">
        <v>44364</v>
      </c>
      <c r="C72" s="1" t="n">
        <v>45990</v>
      </c>
      <c r="D72" t="inlineStr">
        <is>
          <t>DALARNAS LÄN</t>
        </is>
      </c>
      <c r="E72" t="inlineStr">
        <is>
          <t>MORA</t>
        </is>
      </c>
      <c r="F72" t="inlineStr">
        <is>
          <t>Bergvik skog öst AB</t>
        </is>
      </c>
      <c r="G72" t="n">
        <v>1.1</v>
      </c>
      <c r="H72" t="n">
        <v>1</v>
      </c>
      <c r="I72" t="n">
        <v>0</v>
      </c>
      <c r="J72" t="n">
        <v>1</v>
      </c>
      <c r="K72" t="n">
        <v>0</v>
      </c>
      <c r="L72" t="n">
        <v>0</v>
      </c>
      <c r="M72" t="n">
        <v>0</v>
      </c>
      <c r="N72" t="n">
        <v>0</v>
      </c>
      <c r="O72" t="n">
        <v>1</v>
      </c>
      <c r="P72" t="n">
        <v>0</v>
      </c>
      <c r="Q72" t="n">
        <v>1</v>
      </c>
      <c r="R72" s="2" t="inlineStr">
        <is>
          <t>Fjällvråk</t>
        </is>
      </c>
      <c r="S72">
        <f>HYPERLINK("https://klasma.github.io/Logging_2062/artfynd/A 30328-2021 artfynd.xlsx", "A 30328-2021")</f>
        <v/>
      </c>
      <c r="T72">
        <f>HYPERLINK("https://klasma.github.io/Logging_2062/kartor/A 30328-2021 karta.png", "A 30328-2021")</f>
        <v/>
      </c>
      <c r="V72">
        <f>HYPERLINK("https://klasma.github.io/Logging_2062/klagomål/A 30328-2021 FSC-klagomål.docx", "A 30328-2021")</f>
        <v/>
      </c>
      <c r="W72">
        <f>HYPERLINK("https://klasma.github.io/Logging_2062/klagomålsmail/A 30328-2021 FSC-klagomål mail.docx", "A 30328-2021")</f>
        <v/>
      </c>
      <c r="X72">
        <f>HYPERLINK("https://klasma.github.io/Logging_2062/tillsyn/A 30328-2021 tillsynsbegäran.docx", "A 30328-2021")</f>
        <v/>
      </c>
      <c r="Y72">
        <f>HYPERLINK("https://klasma.github.io/Logging_2062/tillsynsmail/A 30328-2021 tillsynsbegäran mail.docx", "A 30328-2021")</f>
        <v/>
      </c>
      <c r="Z72">
        <f>HYPERLINK("https://klasma.github.io/Logging_2062/fåglar/A 30328-2021 prioriterade fågelarter.docx", "A 30328-2021")</f>
        <v/>
      </c>
    </row>
    <row r="73" ht="15" customHeight="1">
      <c r="A73" t="inlineStr">
        <is>
          <t>A 13717-2023</t>
        </is>
      </c>
      <c r="B73" s="1" t="n">
        <v>45007</v>
      </c>
      <c r="C73" s="1" t="n">
        <v>45990</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20538-2025</t>
        </is>
      </c>
      <c r="B74" s="1" t="n">
        <v>45775.62283564815</v>
      </c>
      <c r="C74" s="1" t="n">
        <v>45990</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66990-2020</t>
        </is>
      </c>
      <c r="B75" s="1" t="n">
        <v>44180</v>
      </c>
      <c r="C75" s="1" t="n">
        <v>45990</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45990</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45990</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45990</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45990</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45990</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45990</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45990</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45990</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45990</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45990</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45990</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45990</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45990</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45990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45990</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45990</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45990</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45990</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45990</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45990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45990</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45990</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45990</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45990</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45990</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45990</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45990</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45990</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45990</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45990</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45990</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45990</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45990</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45990</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45990</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45990</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45990</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45990</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45990</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45990</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45990</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45990</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45990</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45990</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45990</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45990</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45990</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45990</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45990</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45990</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45990</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45990</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45990</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45990</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45990</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45990</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45990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45990</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45990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45990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45990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45990</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45990</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45990</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45990</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45990</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45990</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45990</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45990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45990</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45990</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20594-2025</t>
        </is>
      </c>
      <c r="B150" s="1" t="n">
        <v>45775.74009259259</v>
      </c>
      <c r="C150" s="1" t="n">
        <v>45990</v>
      </c>
      <c r="D150" t="inlineStr">
        <is>
          <t>DALARNAS LÄN</t>
        </is>
      </c>
      <c r="E150" t="inlineStr">
        <is>
          <t>MORA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45990</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45990</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45990</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45990</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45990</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45990</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45990</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48390-2024</t>
        </is>
      </c>
      <c r="B158" s="1" t="n">
        <v>45590.60216435185</v>
      </c>
      <c r="C158" s="1" t="n">
        <v>45990</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44630.62788194444</v>
      </c>
      <c r="C159" s="1" t="n">
        <v>45990</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35287-2024</t>
        </is>
      </c>
      <c r="B160" s="1" t="n">
        <v>45530</v>
      </c>
      <c r="C160" s="1" t="n">
        <v>45990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45990</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45990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60099-2024</t>
        </is>
      </c>
      <c r="B163" s="1" t="n">
        <v>45642.55645833333</v>
      </c>
      <c r="C163" s="1" t="n">
        <v>45990</v>
      </c>
      <c r="D163" t="inlineStr">
        <is>
          <t>DALARNAS LÄN</t>
        </is>
      </c>
      <c r="E163" t="inlineStr">
        <is>
          <t>MORA</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63958-2023</t>
        </is>
      </c>
      <c r="B164" s="1" t="n">
        <v>45278</v>
      </c>
      <c r="C164" s="1" t="n">
        <v>45990</v>
      </c>
      <c r="D164" t="inlineStr">
        <is>
          <t>DALARNAS LÄN</t>
        </is>
      </c>
      <c r="E164" t="inlineStr">
        <is>
          <t>MORA</t>
        </is>
      </c>
      <c r="G164" t="n">
        <v>1.9</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45990</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45990</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45990</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45990</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45990</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45990</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18702-2025</t>
        </is>
      </c>
      <c r="B171" s="1" t="n">
        <v>45763.63166666667</v>
      </c>
      <c r="C171" s="1" t="n">
        <v>45990</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48342-2023</t>
        </is>
      </c>
      <c r="B172" s="1" t="n">
        <v>45205</v>
      </c>
      <c r="C172" s="1" t="n">
        <v>45990</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45990</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45990</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45990</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45990</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50911-2024</t>
        </is>
      </c>
      <c r="B177" s="1" t="n">
        <v>45602.7022337963</v>
      </c>
      <c r="C177" s="1" t="n">
        <v>45990</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45990</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45990</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45990</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15440-2024</t>
        </is>
      </c>
      <c r="B181" s="1" t="n">
        <v>45401.4194212963</v>
      </c>
      <c r="C181" s="1" t="n">
        <v>45990</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57475-2022</t>
        </is>
      </c>
      <c r="B182" s="1" t="n">
        <v>44896</v>
      </c>
      <c r="C182" s="1" t="n">
        <v>45990</v>
      </c>
      <c r="D182" t="inlineStr">
        <is>
          <t>DALARNAS LÄN</t>
        </is>
      </c>
      <c r="E182" t="inlineStr">
        <is>
          <t>MORA</t>
        </is>
      </c>
      <c r="G182" t="n">
        <v>5.7</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45990</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44307-2021</t>
        </is>
      </c>
      <c r="B184" s="1" t="n">
        <v>44435</v>
      </c>
      <c r="C184" s="1" t="n">
        <v>45990</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9461-2025</t>
        </is>
      </c>
      <c r="B185" s="1" t="n">
        <v>45715.45341435185</v>
      </c>
      <c r="C185" s="1" t="n">
        <v>45990</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45990</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19286-2023</t>
        </is>
      </c>
      <c r="B187" s="1" t="n">
        <v>45049</v>
      </c>
      <c r="C187" s="1" t="n">
        <v>45990</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45990</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5922-2025</t>
        </is>
      </c>
      <c r="B189" s="1" t="n">
        <v>45695.42762731481</v>
      </c>
      <c r="C189" s="1" t="n">
        <v>45990</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24280-2025</t>
        </is>
      </c>
      <c r="B190" s="1" t="n">
        <v>45797.45581018519</v>
      </c>
      <c r="C190" s="1" t="n">
        <v>45990</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34923-2022</t>
        </is>
      </c>
      <c r="B191" s="1" t="n">
        <v>44796</v>
      </c>
      <c r="C191" s="1" t="n">
        <v>45990</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43533-2023</t>
        </is>
      </c>
      <c r="B192" s="1" t="n">
        <v>45184.53412037037</v>
      </c>
      <c r="C192" s="1" t="n">
        <v>45990</v>
      </c>
      <c r="D192" t="inlineStr">
        <is>
          <t>DALARNAS LÄN</t>
        </is>
      </c>
      <c r="E192" t="inlineStr">
        <is>
          <t>MORA</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45990</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19183-2025</t>
        </is>
      </c>
      <c r="B194" s="1" t="n">
        <v>45769</v>
      </c>
      <c r="C194" s="1" t="n">
        <v>45990</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64327-2023</t>
        </is>
      </c>
      <c r="B195" s="1" t="n">
        <v>45280</v>
      </c>
      <c r="C195" s="1" t="n">
        <v>45990</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17145-2024</t>
        </is>
      </c>
      <c r="B196" s="1" t="n">
        <v>45412</v>
      </c>
      <c r="C196" s="1" t="n">
        <v>45990</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24640-2025</t>
        </is>
      </c>
      <c r="B197" s="1" t="n">
        <v>45798.62243055556</v>
      </c>
      <c r="C197" s="1" t="n">
        <v>45990</v>
      </c>
      <c r="D197" t="inlineStr">
        <is>
          <t>DALARNAS LÄN</t>
        </is>
      </c>
      <c r="E197" t="inlineStr">
        <is>
          <t>MORA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48728-2022</t>
        </is>
      </c>
      <c r="B198" s="1" t="n">
        <v>44859.52145833334</v>
      </c>
      <c r="C198" s="1" t="n">
        <v>45990</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32410-2024</t>
        </is>
      </c>
      <c r="B199" s="1" t="n">
        <v>45512.70077546296</v>
      </c>
      <c r="C199" s="1" t="n">
        <v>45990</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24947-2025</t>
        </is>
      </c>
      <c r="B200" s="1" t="n">
        <v>45799.56524305556</v>
      </c>
      <c r="C200" s="1" t="n">
        <v>45990</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24630-2025</t>
        </is>
      </c>
      <c r="B201" s="1" t="n">
        <v>45798.6003587963</v>
      </c>
      <c r="C201" s="1" t="n">
        <v>45990</v>
      </c>
      <c r="D201" t="inlineStr">
        <is>
          <t>DALARNAS LÄN</t>
        </is>
      </c>
      <c r="E201" t="inlineStr">
        <is>
          <t>MORA</t>
        </is>
      </c>
      <c r="F201" t="inlineStr">
        <is>
          <t>Bergvik skog väst AB</t>
        </is>
      </c>
      <c r="G201" t="n">
        <v>10.4</v>
      </c>
      <c r="H201" t="n">
        <v>0</v>
      </c>
      <c r="I201" t="n">
        <v>0</v>
      </c>
      <c r="J201" t="n">
        <v>0</v>
      </c>
      <c r="K201" t="n">
        <v>0</v>
      </c>
      <c r="L201" t="n">
        <v>0</v>
      </c>
      <c r="M201" t="n">
        <v>0</v>
      </c>
      <c r="N201" t="n">
        <v>0</v>
      </c>
      <c r="O201" t="n">
        <v>0</v>
      </c>
      <c r="P201" t="n">
        <v>0</v>
      </c>
      <c r="Q201" t="n">
        <v>0</v>
      </c>
      <c r="R201" s="2" t="inlineStr"/>
    </row>
    <row r="202" ht="15" customHeight="1">
      <c r="A202" t="inlineStr">
        <is>
          <t>A 24960-2025</t>
        </is>
      </c>
      <c r="B202" s="1" t="n">
        <v>45799.57666666667</v>
      </c>
      <c r="C202" s="1" t="n">
        <v>45990</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4994-2025</t>
        </is>
      </c>
      <c r="B203" s="1" t="n">
        <v>45691.35427083333</v>
      </c>
      <c r="C203" s="1" t="n">
        <v>45990</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24642-2025</t>
        </is>
      </c>
      <c r="B204" s="1" t="n">
        <v>45798.62894675926</v>
      </c>
      <c r="C204" s="1" t="n">
        <v>45990</v>
      </c>
      <c r="D204" t="inlineStr">
        <is>
          <t>DALARNAS LÄN</t>
        </is>
      </c>
      <c r="E204" t="inlineStr">
        <is>
          <t>MORA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15993-2025</t>
        </is>
      </c>
      <c r="B205" s="1" t="n">
        <v>45749.58428240741</v>
      </c>
      <c r="C205" s="1" t="n">
        <v>45990</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51253-2023</t>
        </is>
      </c>
      <c r="B206" s="1" t="n">
        <v>45219</v>
      </c>
      <c r="C206" s="1" t="n">
        <v>45990</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57110-2021</t>
        </is>
      </c>
      <c r="B207" s="1" t="n">
        <v>44482</v>
      </c>
      <c r="C207" s="1" t="n">
        <v>45990</v>
      </c>
      <c r="D207" t="inlineStr">
        <is>
          <t>DALARNAS LÄN</t>
        </is>
      </c>
      <c r="E207" t="inlineStr">
        <is>
          <t>MORA</t>
        </is>
      </c>
      <c r="G207" t="n">
        <v>5.4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45990</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54398-2021</t>
        </is>
      </c>
      <c r="B209" s="1" t="n">
        <v>44473.39252314815</v>
      </c>
      <c r="C209" s="1" t="n">
        <v>45990</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56012-2023</t>
        </is>
      </c>
      <c r="B210" s="1" t="n">
        <v>45240</v>
      </c>
      <c r="C210" s="1" t="n">
        <v>45990</v>
      </c>
      <c r="D210" t="inlineStr">
        <is>
          <t>DALARNAS LÄN</t>
        </is>
      </c>
      <c r="E210" t="inlineStr">
        <is>
          <t>MORA</t>
        </is>
      </c>
      <c r="G210" t="n">
        <v>0.3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45990</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5298-2023</t>
        </is>
      </c>
      <c r="B212" s="1" t="n">
        <v>44959.54355324074</v>
      </c>
      <c r="C212" s="1" t="n">
        <v>45990</v>
      </c>
      <c r="D212" t="inlineStr">
        <is>
          <t>DALARNAS LÄN</t>
        </is>
      </c>
      <c r="E212" t="inlineStr">
        <is>
          <t>MORA</t>
        </is>
      </c>
      <c r="F212" t="inlineStr">
        <is>
          <t>Bergvik skog väst AB</t>
        </is>
      </c>
      <c r="G212" t="n">
        <v>6.2</v>
      </c>
      <c r="H212" t="n">
        <v>0</v>
      </c>
      <c r="I212" t="n">
        <v>0</v>
      </c>
      <c r="J212" t="n">
        <v>0</v>
      </c>
      <c r="K212" t="n">
        <v>0</v>
      </c>
      <c r="L212" t="n">
        <v>0</v>
      </c>
      <c r="M212" t="n">
        <v>0</v>
      </c>
      <c r="N212" t="n">
        <v>0</v>
      </c>
      <c r="O212" t="n">
        <v>0</v>
      </c>
      <c r="P212" t="n">
        <v>0</v>
      </c>
      <c r="Q212" t="n">
        <v>0</v>
      </c>
      <c r="R212" s="2" t="inlineStr"/>
    </row>
    <row r="213" ht="15" customHeight="1">
      <c r="A213" t="inlineStr">
        <is>
          <t>A 57859-2022</t>
        </is>
      </c>
      <c r="B213" s="1" t="n">
        <v>44898</v>
      </c>
      <c r="C213" s="1" t="n">
        <v>45990</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61249-2023</t>
        </is>
      </c>
      <c r="B214" s="1" t="n">
        <v>45264</v>
      </c>
      <c r="C214" s="1" t="n">
        <v>45990</v>
      </c>
      <c r="D214" t="inlineStr">
        <is>
          <t>DALARNAS LÄN</t>
        </is>
      </c>
      <c r="E214" t="inlineStr">
        <is>
          <t>MORA</t>
        </is>
      </c>
      <c r="F214" t="inlineStr">
        <is>
          <t>Allmännings- och besparingsskogar</t>
        </is>
      </c>
      <c r="G214" t="n">
        <v>1.7</v>
      </c>
      <c r="H214" t="n">
        <v>0</v>
      </c>
      <c r="I214" t="n">
        <v>0</v>
      </c>
      <c r="J214" t="n">
        <v>0</v>
      </c>
      <c r="K214" t="n">
        <v>0</v>
      </c>
      <c r="L214" t="n">
        <v>0</v>
      </c>
      <c r="M214" t="n">
        <v>0</v>
      </c>
      <c r="N214" t="n">
        <v>0</v>
      </c>
      <c r="O214" t="n">
        <v>0</v>
      </c>
      <c r="P214" t="n">
        <v>0</v>
      </c>
      <c r="Q214" t="n">
        <v>0</v>
      </c>
      <c r="R214" s="2" t="inlineStr"/>
    </row>
    <row r="215" ht="15" customHeight="1">
      <c r="A215" t="inlineStr">
        <is>
          <t>A 25935-2023</t>
        </is>
      </c>
      <c r="B215" s="1" t="n">
        <v>45090.68675925926</v>
      </c>
      <c r="C215" s="1" t="n">
        <v>45990</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23057-2024</t>
        </is>
      </c>
      <c r="B216" s="1" t="n">
        <v>45450</v>
      </c>
      <c r="C216" s="1" t="n">
        <v>45990</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51168-2024</t>
        </is>
      </c>
      <c r="B217" s="1" t="n">
        <v>45603.58619212963</v>
      </c>
      <c r="C217" s="1" t="n">
        <v>45990</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59182-2023</t>
        </is>
      </c>
      <c r="B218" s="1" t="n">
        <v>45253</v>
      </c>
      <c r="C218" s="1" t="n">
        <v>45990</v>
      </c>
      <c r="D218" t="inlineStr">
        <is>
          <t>DALARNAS LÄN</t>
        </is>
      </c>
      <c r="E218" t="inlineStr">
        <is>
          <t>MORA</t>
        </is>
      </c>
      <c r="G218" t="n">
        <v>3.3</v>
      </c>
      <c r="H218" t="n">
        <v>0</v>
      </c>
      <c r="I218" t="n">
        <v>0</v>
      </c>
      <c r="J218" t="n">
        <v>0</v>
      </c>
      <c r="K218" t="n">
        <v>0</v>
      </c>
      <c r="L218" t="n">
        <v>0</v>
      </c>
      <c r="M218" t="n">
        <v>0</v>
      </c>
      <c r="N218" t="n">
        <v>0</v>
      </c>
      <c r="O218" t="n">
        <v>0</v>
      </c>
      <c r="P218" t="n">
        <v>0</v>
      </c>
      <c r="Q218" t="n">
        <v>0</v>
      </c>
      <c r="R218" s="2" t="inlineStr"/>
    </row>
    <row r="219" ht="15" customHeight="1">
      <c r="A219" t="inlineStr">
        <is>
          <t>A 36600-2023</t>
        </is>
      </c>
      <c r="B219" s="1" t="n">
        <v>45153</v>
      </c>
      <c r="C219" s="1" t="n">
        <v>45990</v>
      </c>
      <c r="D219" t="inlineStr">
        <is>
          <t>DALARNAS LÄN</t>
        </is>
      </c>
      <c r="E219" t="inlineStr">
        <is>
          <t>MORA</t>
        </is>
      </c>
      <c r="G219" t="n">
        <v>7.3</v>
      </c>
      <c r="H219" t="n">
        <v>0</v>
      </c>
      <c r="I219" t="n">
        <v>0</v>
      </c>
      <c r="J219" t="n">
        <v>0</v>
      </c>
      <c r="K219" t="n">
        <v>0</v>
      </c>
      <c r="L219" t="n">
        <v>0</v>
      </c>
      <c r="M219" t="n">
        <v>0</v>
      </c>
      <c r="N219" t="n">
        <v>0</v>
      </c>
      <c r="O219" t="n">
        <v>0</v>
      </c>
      <c r="P219" t="n">
        <v>0</v>
      </c>
      <c r="Q219" t="n">
        <v>0</v>
      </c>
      <c r="R219" s="2" t="inlineStr"/>
    </row>
    <row r="220" ht="15" customHeight="1">
      <c r="A220" t="inlineStr">
        <is>
          <t>A 26577-2025</t>
        </is>
      </c>
      <c r="B220" s="1" t="n">
        <v>45807</v>
      </c>
      <c r="C220" s="1" t="n">
        <v>45990</v>
      </c>
      <c r="D220" t="inlineStr">
        <is>
          <t>DALARNAS LÄN</t>
        </is>
      </c>
      <c r="E220" t="inlineStr">
        <is>
          <t>MORA</t>
        </is>
      </c>
      <c r="G220" t="n">
        <v>2.8</v>
      </c>
      <c r="H220" t="n">
        <v>0</v>
      </c>
      <c r="I220" t="n">
        <v>0</v>
      </c>
      <c r="J220" t="n">
        <v>0</v>
      </c>
      <c r="K220" t="n">
        <v>0</v>
      </c>
      <c r="L220" t="n">
        <v>0</v>
      </c>
      <c r="M220" t="n">
        <v>0</v>
      </c>
      <c r="N220" t="n">
        <v>0</v>
      </c>
      <c r="O220" t="n">
        <v>0</v>
      </c>
      <c r="P220" t="n">
        <v>0</v>
      </c>
      <c r="Q220" t="n">
        <v>0</v>
      </c>
      <c r="R220" s="2" t="inlineStr"/>
    </row>
    <row r="221" ht="15" customHeight="1">
      <c r="A221" t="inlineStr">
        <is>
          <t>A 26532-2025</t>
        </is>
      </c>
      <c r="B221" s="1" t="n">
        <v>45807</v>
      </c>
      <c r="C221" s="1" t="n">
        <v>45990</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26545-2025</t>
        </is>
      </c>
      <c r="B222" s="1" t="n">
        <v>45807</v>
      </c>
      <c r="C222" s="1" t="n">
        <v>45990</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26546-2025</t>
        </is>
      </c>
      <c r="B223" s="1" t="n">
        <v>45807</v>
      </c>
      <c r="C223" s="1" t="n">
        <v>45990</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45990</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35325-2024</t>
        </is>
      </c>
      <c r="B225" s="1" t="n">
        <v>45530.71158564815</v>
      </c>
      <c r="C225" s="1" t="n">
        <v>45990</v>
      </c>
      <c r="D225" t="inlineStr">
        <is>
          <t>DALARNAS LÄN</t>
        </is>
      </c>
      <c r="E225" t="inlineStr">
        <is>
          <t>MORA</t>
        </is>
      </c>
      <c r="G225" t="n">
        <v>5</v>
      </c>
      <c r="H225" t="n">
        <v>0</v>
      </c>
      <c r="I225" t="n">
        <v>0</v>
      </c>
      <c r="J225" t="n">
        <v>0</v>
      </c>
      <c r="K225" t="n">
        <v>0</v>
      </c>
      <c r="L225" t="n">
        <v>0</v>
      </c>
      <c r="M225" t="n">
        <v>0</v>
      </c>
      <c r="N225" t="n">
        <v>0</v>
      </c>
      <c r="O225" t="n">
        <v>0</v>
      </c>
      <c r="P225" t="n">
        <v>0</v>
      </c>
      <c r="Q225" t="n">
        <v>0</v>
      </c>
      <c r="R225" s="2" t="inlineStr"/>
    </row>
    <row r="226" ht="15" customHeight="1">
      <c r="A226" t="inlineStr">
        <is>
          <t>A 66232-2021</t>
        </is>
      </c>
      <c r="B226" s="1" t="n">
        <v>44518.39234953704</v>
      </c>
      <c r="C226" s="1" t="n">
        <v>45990</v>
      </c>
      <c r="D226" t="inlineStr">
        <is>
          <t>DALARNAS LÄN</t>
        </is>
      </c>
      <c r="E226" t="inlineStr">
        <is>
          <t>MORA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26573-2025</t>
        </is>
      </c>
      <c r="B227" s="1" t="n">
        <v>45807</v>
      </c>
      <c r="C227" s="1" t="n">
        <v>45990</v>
      </c>
      <c r="D227" t="inlineStr">
        <is>
          <t>DALARNAS LÄN</t>
        </is>
      </c>
      <c r="E227" t="inlineStr">
        <is>
          <t>MORA</t>
        </is>
      </c>
      <c r="G227" t="n">
        <v>4.3</v>
      </c>
      <c r="H227" t="n">
        <v>0</v>
      </c>
      <c r="I227" t="n">
        <v>0</v>
      </c>
      <c r="J227" t="n">
        <v>0</v>
      </c>
      <c r="K227" t="n">
        <v>0</v>
      </c>
      <c r="L227" t="n">
        <v>0</v>
      </c>
      <c r="M227" t="n">
        <v>0</v>
      </c>
      <c r="N227" t="n">
        <v>0</v>
      </c>
      <c r="O227" t="n">
        <v>0</v>
      </c>
      <c r="P227" t="n">
        <v>0</v>
      </c>
      <c r="Q227" t="n">
        <v>0</v>
      </c>
      <c r="R227" s="2" t="inlineStr"/>
    </row>
    <row r="228" ht="15" customHeight="1">
      <c r="A228" t="inlineStr">
        <is>
          <t>A 30819-2024</t>
        </is>
      </c>
      <c r="B228" s="1" t="n">
        <v>45497</v>
      </c>
      <c r="C228" s="1" t="n">
        <v>45990</v>
      </c>
      <c r="D228" t="inlineStr">
        <is>
          <t>DALARNAS LÄN</t>
        </is>
      </c>
      <c r="E228" t="inlineStr">
        <is>
          <t>MORA</t>
        </is>
      </c>
      <c r="G228" t="n">
        <v>2.2</v>
      </c>
      <c r="H228" t="n">
        <v>0</v>
      </c>
      <c r="I228" t="n">
        <v>0</v>
      </c>
      <c r="J228" t="n">
        <v>0</v>
      </c>
      <c r="K228" t="n">
        <v>0</v>
      </c>
      <c r="L228" t="n">
        <v>0</v>
      </c>
      <c r="M228" t="n">
        <v>0</v>
      </c>
      <c r="N228" t="n">
        <v>0</v>
      </c>
      <c r="O228" t="n">
        <v>0</v>
      </c>
      <c r="P228" t="n">
        <v>0</v>
      </c>
      <c r="Q228" t="n">
        <v>0</v>
      </c>
      <c r="R228" s="2" t="inlineStr"/>
    </row>
    <row r="229" ht="15" customHeight="1">
      <c r="A229" t="inlineStr">
        <is>
          <t>A 45562-2023</t>
        </is>
      </c>
      <c r="B229" s="1" t="n">
        <v>45194.59378472222</v>
      </c>
      <c r="C229" s="1" t="n">
        <v>45990</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51570-2023</t>
        </is>
      </c>
      <c r="B230" s="1" t="n">
        <v>45222</v>
      </c>
      <c r="C230" s="1" t="n">
        <v>45990</v>
      </c>
      <c r="D230" t="inlineStr">
        <is>
          <t>DALARNAS LÄN</t>
        </is>
      </c>
      <c r="E230" t="inlineStr">
        <is>
          <t>MORA</t>
        </is>
      </c>
      <c r="G230" t="n">
        <v>10.1</v>
      </c>
      <c r="H230" t="n">
        <v>0</v>
      </c>
      <c r="I230" t="n">
        <v>0</v>
      </c>
      <c r="J230" t="n">
        <v>0</v>
      </c>
      <c r="K230" t="n">
        <v>0</v>
      </c>
      <c r="L230" t="n">
        <v>0</v>
      </c>
      <c r="M230" t="n">
        <v>0</v>
      </c>
      <c r="N230" t="n">
        <v>0</v>
      </c>
      <c r="O230" t="n">
        <v>0</v>
      </c>
      <c r="P230" t="n">
        <v>0</v>
      </c>
      <c r="Q230" t="n">
        <v>0</v>
      </c>
      <c r="R230" s="2" t="inlineStr"/>
    </row>
    <row r="231" ht="15" customHeight="1">
      <c r="A231" t="inlineStr">
        <is>
          <t>A 26731-2025</t>
        </is>
      </c>
      <c r="B231" s="1" t="n">
        <v>45810.50702546296</v>
      </c>
      <c r="C231" s="1" t="n">
        <v>45990</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39456-2025</t>
        </is>
      </c>
      <c r="B232" s="1" t="n">
        <v>45889.76200231481</v>
      </c>
      <c r="C232" s="1" t="n">
        <v>45990</v>
      </c>
      <c r="D232" t="inlineStr">
        <is>
          <t>DALARNAS LÄN</t>
        </is>
      </c>
      <c r="E232" t="inlineStr">
        <is>
          <t>MORA</t>
        </is>
      </c>
      <c r="F232" t="inlineStr">
        <is>
          <t>Bergvik skog öst AB</t>
        </is>
      </c>
      <c r="G232" t="n">
        <v>16.7</v>
      </c>
      <c r="H232" t="n">
        <v>0</v>
      </c>
      <c r="I232" t="n">
        <v>0</v>
      </c>
      <c r="J232" t="n">
        <v>0</v>
      </c>
      <c r="K232" t="n">
        <v>0</v>
      </c>
      <c r="L232" t="n">
        <v>0</v>
      </c>
      <c r="M232" t="n">
        <v>0</v>
      </c>
      <c r="N232" t="n">
        <v>0</v>
      </c>
      <c r="O232" t="n">
        <v>0</v>
      </c>
      <c r="P232" t="n">
        <v>0</v>
      </c>
      <c r="Q232" t="n">
        <v>0</v>
      </c>
      <c r="R232" s="2" t="inlineStr"/>
    </row>
    <row r="233" ht="15" customHeight="1">
      <c r="A233" t="inlineStr">
        <is>
          <t>A 20885-2024</t>
        </is>
      </c>
      <c r="B233" s="1" t="n">
        <v>45439.45527777778</v>
      </c>
      <c r="C233" s="1" t="n">
        <v>45990</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39824-2025</t>
        </is>
      </c>
      <c r="B234" s="1" t="n">
        <v>45891</v>
      </c>
      <c r="C234" s="1" t="n">
        <v>45990</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56425-2024</t>
        </is>
      </c>
      <c r="B235" s="1" t="n">
        <v>45625.38677083333</v>
      </c>
      <c r="C235" s="1" t="n">
        <v>45990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26711-2025</t>
        </is>
      </c>
      <c r="B236" s="1" t="n">
        <v>45810.46144675926</v>
      </c>
      <c r="C236" s="1" t="n">
        <v>45990</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45990</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7565-2025</t>
        </is>
      </c>
      <c r="B238" s="1" t="n">
        <v>45705.59269675926</v>
      </c>
      <c r="C238" s="1" t="n">
        <v>45990</v>
      </c>
      <c r="D238" t="inlineStr">
        <is>
          <t>DALARNAS LÄN</t>
        </is>
      </c>
      <c r="E238" t="inlineStr">
        <is>
          <t>MORA</t>
        </is>
      </c>
      <c r="G238" t="n">
        <v>3</v>
      </c>
      <c r="H238" t="n">
        <v>0</v>
      </c>
      <c r="I238" t="n">
        <v>0</v>
      </c>
      <c r="J238" t="n">
        <v>0</v>
      </c>
      <c r="K238" t="n">
        <v>0</v>
      </c>
      <c r="L238" t="n">
        <v>0</v>
      </c>
      <c r="M238" t="n">
        <v>0</v>
      </c>
      <c r="N238" t="n">
        <v>0</v>
      </c>
      <c r="O238" t="n">
        <v>0</v>
      </c>
      <c r="P238" t="n">
        <v>0</v>
      </c>
      <c r="Q238" t="n">
        <v>0</v>
      </c>
      <c r="R238" s="2" t="inlineStr"/>
    </row>
    <row r="239" ht="15" customHeight="1">
      <c r="A239" t="inlineStr">
        <is>
          <t>A 26854-2025</t>
        </is>
      </c>
      <c r="B239" s="1" t="n">
        <v>45810.67462962963</v>
      </c>
      <c r="C239" s="1" t="n">
        <v>45990</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59995-2023</t>
        </is>
      </c>
      <c r="B240" s="1" t="n">
        <v>45254</v>
      </c>
      <c r="C240" s="1" t="n">
        <v>45990</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26647-2025</t>
        </is>
      </c>
      <c r="B241" s="1" t="n">
        <v>45810.38439814815</v>
      </c>
      <c r="C241" s="1" t="n">
        <v>45990</v>
      </c>
      <c r="D241" t="inlineStr">
        <is>
          <t>DALARNAS LÄN</t>
        </is>
      </c>
      <c r="E241" t="inlineStr">
        <is>
          <t>MORA</t>
        </is>
      </c>
      <c r="G241" t="n">
        <v>7.9</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45990</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25737-2025</t>
        </is>
      </c>
      <c r="B243" s="1" t="n">
        <v>45800</v>
      </c>
      <c r="C243" s="1" t="n">
        <v>45990</v>
      </c>
      <c r="D243" t="inlineStr">
        <is>
          <t>DALARNAS LÄN</t>
        </is>
      </c>
      <c r="E243" t="inlineStr">
        <is>
          <t>MORA</t>
        </is>
      </c>
      <c r="G243" t="n">
        <v>9.6</v>
      </c>
      <c r="H243" t="n">
        <v>0</v>
      </c>
      <c r="I243" t="n">
        <v>0</v>
      </c>
      <c r="J243" t="n">
        <v>0</v>
      </c>
      <c r="K243" t="n">
        <v>0</v>
      </c>
      <c r="L243" t="n">
        <v>0</v>
      </c>
      <c r="M243" t="n">
        <v>0</v>
      </c>
      <c r="N243" t="n">
        <v>0</v>
      </c>
      <c r="O243" t="n">
        <v>0</v>
      </c>
      <c r="P243" t="n">
        <v>0</v>
      </c>
      <c r="Q243" t="n">
        <v>0</v>
      </c>
      <c r="R243" s="2" t="inlineStr"/>
    </row>
    <row r="244" ht="15" customHeight="1">
      <c r="A244" t="inlineStr">
        <is>
          <t>A 60673-2023</t>
        </is>
      </c>
      <c r="B244" s="1" t="n">
        <v>45260.46438657407</v>
      </c>
      <c r="C244" s="1" t="n">
        <v>45990</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40140-2025</t>
        </is>
      </c>
      <c r="B245" s="1" t="n">
        <v>45894.57016203704</v>
      </c>
      <c r="C245" s="1" t="n">
        <v>45990</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40142-2025</t>
        </is>
      </c>
      <c r="B246" s="1" t="n">
        <v>45894.57202546296</v>
      </c>
      <c r="C246" s="1" t="n">
        <v>45990</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26630-2025</t>
        </is>
      </c>
      <c r="B247" s="1" t="n">
        <v>45809</v>
      </c>
      <c r="C247" s="1" t="n">
        <v>45990</v>
      </c>
      <c r="D247" t="inlineStr">
        <is>
          <t>DALARNAS LÄN</t>
        </is>
      </c>
      <c r="E247" t="inlineStr">
        <is>
          <t>MORA</t>
        </is>
      </c>
      <c r="G247" t="n">
        <v>32.1</v>
      </c>
      <c r="H247" t="n">
        <v>0</v>
      </c>
      <c r="I247" t="n">
        <v>0</v>
      </c>
      <c r="J247" t="n">
        <v>0</v>
      </c>
      <c r="K247" t="n">
        <v>0</v>
      </c>
      <c r="L247" t="n">
        <v>0</v>
      </c>
      <c r="M247" t="n">
        <v>0</v>
      </c>
      <c r="N247" t="n">
        <v>0</v>
      </c>
      <c r="O247" t="n">
        <v>0</v>
      </c>
      <c r="P247" t="n">
        <v>0</v>
      </c>
      <c r="Q247" t="n">
        <v>0</v>
      </c>
      <c r="R247" s="2" t="inlineStr"/>
    </row>
    <row r="248" ht="15" customHeight="1">
      <c r="A248" t="inlineStr">
        <is>
          <t>A 40147-2025</t>
        </is>
      </c>
      <c r="B248" s="1" t="n">
        <v>45894.57918981482</v>
      </c>
      <c r="C248" s="1" t="n">
        <v>45990</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27194-2025</t>
        </is>
      </c>
      <c r="B249" s="1" t="n">
        <v>45812.37965277778</v>
      </c>
      <c r="C249" s="1" t="n">
        <v>45990</v>
      </c>
      <c r="D249" t="inlineStr">
        <is>
          <t>DALARNAS LÄN</t>
        </is>
      </c>
      <c r="E249" t="inlineStr">
        <is>
          <t>MORA</t>
        </is>
      </c>
      <c r="G249" t="n">
        <v>2.4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45990</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61270-2024</t>
        </is>
      </c>
      <c r="B251" s="1" t="n">
        <v>45645.74694444444</v>
      </c>
      <c r="C251" s="1" t="n">
        <v>45990</v>
      </c>
      <c r="D251" t="inlineStr">
        <is>
          <t>DALARNAS LÄN</t>
        </is>
      </c>
      <c r="E251" t="inlineStr">
        <is>
          <t>MORA</t>
        </is>
      </c>
      <c r="G251" t="n">
        <v>5.1</v>
      </c>
      <c r="H251" t="n">
        <v>0</v>
      </c>
      <c r="I251" t="n">
        <v>0</v>
      </c>
      <c r="J251" t="n">
        <v>0</v>
      </c>
      <c r="K251" t="n">
        <v>0</v>
      </c>
      <c r="L251" t="n">
        <v>0</v>
      </c>
      <c r="M251" t="n">
        <v>0</v>
      </c>
      <c r="N251" t="n">
        <v>0</v>
      </c>
      <c r="O251" t="n">
        <v>0</v>
      </c>
      <c r="P251" t="n">
        <v>0</v>
      </c>
      <c r="Q251" t="n">
        <v>0</v>
      </c>
      <c r="R251" s="2" t="inlineStr"/>
    </row>
    <row r="252" ht="15" customHeight="1">
      <c r="A252" t="inlineStr">
        <is>
          <t>A 17268-2025</t>
        </is>
      </c>
      <c r="B252" s="1" t="n">
        <v>45756</v>
      </c>
      <c r="C252" s="1" t="n">
        <v>45990</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40660-2025</t>
        </is>
      </c>
      <c r="B253" s="1" t="n">
        <v>45896.64631944444</v>
      </c>
      <c r="C253" s="1" t="n">
        <v>45990</v>
      </c>
      <c r="D253" t="inlineStr">
        <is>
          <t>DALARNAS LÄN</t>
        </is>
      </c>
      <c r="E253" t="inlineStr">
        <is>
          <t>MORA</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27642-2025</t>
        </is>
      </c>
      <c r="B254" s="1" t="n">
        <v>45813.59405092592</v>
      </c>
      <c r="C254" s="1" t="n">
        <v>45990</v>
      </c>
      <c r="D254" t="inlineStr">
        <is>
          <t>DALARNAS LÄN</t>
        </is>
      </c>
      <c r="E254" t="inlineStr">
        <is>
          <t>MORA</t>
        </is>
      </c>
      <c r="G254" t="n">
        <v>2.5</v>
      </c>
      <c r="H254" t="n">
        <v>0</v>
      </c>
      <c r="I254" t="n">
        <v>0</v>
      </c>
      <c r="J254" t="n">
        <v>0</v>
      </c>
      <c r="K254" t="n">
        <v>0</v>
      </c>
      <c r="L254" t="n">
        <v>0</v>
      </c>
      <c r="M254" t="n">
        <v>0</v>
      </c>
      <c r="N254" t="n">
        <v>0</v>
      </c>
      <c r="O254" t="n">
        <v>0</v>
      </c>
      <c r="P254" t="n">
        <v>0</v>
      </c>
      <c r="Q254" t="n">
        <v>0</v>
      </c>
      <c r="R254" s="2" t="inlineStr"/>
    </row>
    <row r="255" ht="15" customHeight="1">
      <c r="A255" t="inlineStr">
        <is>
          <t>A 40805-2025</t>
        </is>
      </c>
      <c r="B255" s="1" t="n">
        <v>45897.46659722222</v>
      </c>
      <c r="C255" s="1" t="n">
        <v>45990</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27184-2025</t>
        </is>
      </c>
      <c r="B256" s="1" t="n">
        <v>45812.36133101852</v>
      </c>
      <c r="C256" s="1" t="n">
        <v>45990</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45990</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27177-2025</t>
        </is>
      </c>
      <c r="B258" s="1" t="n">
        <v>45812.3533912037</v>
      </c>
      <c r="C258" s="1" t="n">
        <v>45990</v>
      </c>
      <c r="D258" t="inlineStr">
        <is>
          <t>DALARNAS LÄN</t>
        </is>
      </c>
      <c r="E258" t="inlineStr">
        <is>
          <t>MORA</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14611-2025</t>
        </is>
      </c>
      <c r="B259" s="1" t="n">
        <v>45742.38511574074</v>
      </c>
      <c r="C259" s="1" t="n">
        <v>45990</v>
      </c>
      <c r="D259" t="inlineStr">
        <is>
          <t>DALARNAS LÄN</t>
        </is>
      </c>
      <c r="E259" t="inlineStr">
        <is>
          <t>MORA</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25345-2025</t>
        </is>
      </c>
      <c r="B260" s="1" t="n">
        <v>45799</v>
      </c>
      <c r="C260" s="1" t="n">
        <v>45990</v>
      </c>
      <c r="D260" t="inlineStr">
        <is>
          <t>DALARNAS LÄN</t>
        </is>
      </c>
      <c r="E260" t="inlineStr">
        <is>
          <t>MORA</t>
        </is>
      </c>
      <c r="G260" t="n">
        <v>3.1</v>
      </c>
      <c r="H260" t="n">
        <v>0</v>
      </c>
      <c r="I260" t="n">
        <v>0</v>
      </c>
      <c r="J260" t="n">
        <v>0</v>
      </c>
      <c r="K260" t="n">
        <v>0</v>
      </c>
      <c r="L260" t="n">
        <v>0</v>
      </c>
      <c r="M260" t="n">
        <v>0</v>
      </c>
      <c r="N260" t="n">
        <v>0</v>
      </c>
      <c r="O260" t="n">
        <v>0</v>
      </c>
      <c r="P260" t="n">
        <v>0</v>
      </c>
      <c r="Q260" t="n">
        <v>0</v>
      </c>
      <c r="R260" s="2" t="inlineStr"/>
    </row>
    <row r="261" ht="15" customHeight="1">
      <c r="A261" t="inlineStr">
        <is>
          <t>A 27175-2025</t>
        </is>
      </c>
      <c r="B261" s="1" t="n">
        <v>45812.35072916667</v>
      </c>
      <c r="C261" s="1" t="n">
        <v>45990</v>
      </c>
      <c r="D261" t="inlineStr">
        <is>
          <t>DALARNAS LÄN</t>
        </is>
      </c>
      <c r="E261" t="inlineStr">
        <is>
          <t>MORA</t>
        </is>
      </c>
      <c r="F261" t="inlineStr">
        <is>
          <t>Bergvik skog öst AB</t>
        </is>
      </c>
      <c r="G261" t="n">
        <v>4</v>
      </c>
      <c r="H261" t="n">
        <v>0</v>
      </c>
      <c r="I261" t="n">
        <v>0</v>
      </c>
      <c r="J261" t="n">
        <v>0</v>
      </c>
      <c r="K261" t="n">
        <v>0</v>
      </c>
      <c r="L261" t="n">
        <v>0</v>
      </c>
      <c r="M261" t="n">
        <v>0</v>
      </c>
      <c r="N261" t="n">
        <v>0</v>
      </c>
      <c r="O261" t="n">
        <v>0</v>
      </c>
      <c r="P261" t="n">
        <v>0</v>
      </c>
      <c r="Q261" t="n">
        <v>0</v>
      </c>
      <c r="R261" s="2" t="inlineStr"/>
    </row>
    <row r="262" ht="15" customHeight="1">
      <c r="A262" t="inlineStr">
        <is>
          <t>A 20930-2024</t>
        </is>
      </c>
      <c r="B262" s="1" t="n">
        <v>45439.51907407407</v>
      </c>
      <c r="C262" s="1" t="n">
        <v>45990</v>
      </c>
      <c r="D262" t="inlineStr">
        <is>
          <t>DALARNAS LÄN</t>
        </is>
      </c>
      <c r="E262" t="inlineStr">
        <is>
          <t>MORA</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42611-2022</t>
        </is>
      </c>
      <c r="B263" s="1" t="n">
        <v>44831.81482638889</v>
      </c>
      <c r="C263" s="1" t="n">
        <v>45990</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5309-2023</t>
        </is>
      </c>
      <c r="B264" s="1" t="n">
        <v>44956</v>
      </c>
      <c r="C264" s="1" t="n">
        <v>45990</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45990</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41175-2025</t>
        </is>
      </c>
      <c r="B266" s="1" t="n">
        <v>45898.55165509259</v>
      </c>
      <c r="C266" s="1" t="n">
        <v>45990</v>
      </c>
      <c r="D266" t="inlineStr">
        <is>
          <t>DALARNAS LÄN</t>
        </is>
      </c>
      <c r="E266" t="inlineStr">
        <is>
          <t>MORA</t>
        </is>
      </c>
      <c r="G266" t="n">
        <v>4.5</v>
      </c>
      <c r="H266" t="n">
        <v>0</v>
      </c>
      <c r="I266" t="n">
        <v>0</v>
      </c>
      <c r="J266" t="n">
        <v>0</v>
      </c>
      <c r="K266" t="n">
        <v>0</v>
      </c>
      <c r="L266" t="n">
        <v>0</v>
      </c>
      <c r="M266" t="n">
        <v>0</v>
      </c>
      <c r="N266" t="n">
        <v>0</v>
      </c>
      <c r="O266" t="n">
        <v>0</v>
      </c>
      <c r="P266" t="n">
        <v>0</v>
      </c>
      <c r="Q266" t="n">
        <v>0</v>
      </c>
      <c r="R266" s="2" t="inlineStr"/>
    </row>
    <row r="267" ht="15" customHeight="1">
      <c r="A267" t="inlineStr">
        <is>
          <t>A 28033-2025</t>
        </is>
      </c>
      <c r="B267" s="1" t="n">
        <v>45817.6325462963</v>
      </c>
      <c r="C267" s="1" t="n">
        <v>45990</v>
      </c>
      <c r="D267" t="inlineStr">
        <is>
          <t>DALARNAS LÄN</t>
        </is>
      </c>
      <c r="E267" t="inlineStr">
        <is>
          <t>MORA</t>
        </is>
      </c>
      <c r="F267" t="inlineStr">
        <is>
          <t>Bergvik skog öst AB</t>
        </is>
      </c>
      <c r="G267" t="n">
        <v>12.8</v>
      </c>
      <c r="H267" t="n">
        <v>0</v>
      </c>
      <c r="I267" t="n">
        <v>0</v>
      </c>
      <c r="J267" t="n">
        <v>0</v>
      </c>
      <c r="K267" t="n">
        <v>0</v>
      </c>
      <c r="L267" t="n">
        <v>0</v>
      </c>
      <c r="M267" t="n">
        <v>0</v>
      </c>
      <c r="N267" t="n">
        <v>0</v>
      </c>
      <c r="O267" t="n">
        <v>0</v>
      </c>
      <c r="P267" t="n">
        <v>0</v>
      </c>
      <c r="Q267" t="n">
        <v>0</v>
      </c>
      <c r="R267" s="2" t="inlineStr"/>
    </row>
    <row r="268" ht="15" customHeight="1">
      <c r="A268" t="inlineStr">
        <is>
          <t>A 17865-2025</t>
        </is>
      </c>
      <c r="B268" s="1" t="n">
        <v>45758.62951388889</v>
      </c>
      <c r="C268" s="1" t="n">
        <v>45990</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45990</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33676-2023</t>
        </is>
      </c>
      <c r="B270" s="1" t="n">
        <v>45132.6291550926</v>
      </c>
      <c r="C270" s="1" t="n">
        <v>45990</v>
      </c>
      <c r="D270" t="inlineStr">
        <is>
          <t>DALARNAS LÄN</t>
        </is>
      </c>
      <c r="E270" t="inlineStr">
        <is>
          <t>MORA</t>
        </is>
      </c>
      <c r="F270" t="inlineStr">
        <is>
          <t>Bergvik skog öst AB</t>
        </is>
      </c>
      <c r="G270" t="n">
        <v>2.7</v>
      </c>
      <c r="H270" t="n">
        <v>0</v>
      </c>
      <c r="I270" t="n">
        <v>0</v>
      </c>
      <c r="J270" t="n">
        <v>0</v>
      </c>
      <c r="K270" t="n">
        <v>0</v>
      </c>
      <c r="L270" t="n">
        <v>0</v>
      </c>
      <c r="M270" t="n">
        <v>0</v>
      </c>
      <c r="N270" t="n">
        <v>0</v>
      </c>
      <c r="O270" t="n">
        <v>0</v>
      </c>
      <c r="P270" t="n">
        <v>0</v>
      </c>
      <c r="Q270" t="n">
        <v>0</v>
      </c>
      <c r="R270" s="2" t="inlineStr"/>
    </row>
    <row r="271" ht="15" customHeight="1">
      <c r="A271" t="inlineStr">
        <is>
          <t>A 61188-2024</t>
        </is>
      </c>
      <c r="B271" s="1" t="n">
        <v>45645.62282407407</v>
      </c>
      <c r="C271" s="1" t="n">
        <v>45990</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2879-2022</t>
        </is>
      </c>
      <c r="B272" s="1" t="n">
        <v>44581</v>
      </c>
      <c r="C272" s="1" t="n">
        <v>45990</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37710-2023</t>
        </is>
      </c>
      <c r="B273" s="1" t="n">
        <v>45159.59186342593</v>
      </c>
      <c r="C273" s="1" t="n">
        <v>45990</v>
      </c>
      <c r="D273" t="inlineStr">
        <is>
          <t>DALARNAS LÄN</t>
        </is>
      </c>
      <c r="E273" t="inlineStr">
        <is>
          <t>MORA</t>
        </is>
      </c>
      <c r="G273" t="n">
        <v>1.9</v>
      </c>
      <c r="H273" t="n">
        <v>0</v>
      </c>
      <c r="I273" t="n">
        <v>0</v>
      </c>
      <c r="J273" t="n">
        <v>0</v>
      </c>
      <c r="K273" t="n">
        <v>0</v>
      </c>
      <c r="L273" t="n">
        <v>0</v>
      </c>
      <c r="M273" t="n">
        <v>0</v>
      </c>
      <c r="N273" t="n">
        <v>0</v>
      </c>
      <c r="O273" t="n">
        <v>0</v>
      </c>
      <c r="P273" t="n">
        <v>0</v>
      </c>
      <c r="Q273" t="n">
        <v>0</v>
      </c>
      <c r="R273" s="2" t="inlineStr"/>
    </row>
    <row r="274" ht="15" customHeight="1">
      <c r="A274" t="inlineStr">
        <is>
          <t>A 24620-2025</t>
        </is>
      </c>
      <c r="B274" s="1" t="n">
        <v>45798.59290509259</v>
      </c>
      <c r="C274" s="1" t="n">
        <v>45990</v>
      </c>
      <c r="D274" t="inlineStr">
        <is>
          <t>DALARNAS LÄN</t>
        </is>
      </c>
      <c r="E274" t="inlineStr">
        <is>
          <t>MORA</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45355-2024</t>
        </is>
      </c>
      <c r="B275" s="1" t="n">
        <v>45576</v>
      </c>
      <c r="C275" s="1" t="n">
        <v>45990</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37695-2024</t>
        </is>
      </c>
      <c r="B276" s="1" t="n">
        <v>45541.61094907407</v>
      </c>
      <c r="C276" s="1" t="n">
        <v>45990</v>
      </c>
      <c r="D276" t="inlineStr">
        <is>
          <t>DALARNAS LÄN</t>
        </is>
      </c>
      <c r="E276" t="inlineStr">
        <is>
          <t>MORA</t>
        </is>
      </c>
      <c r="G276" t="n">
        <v>19.7</v>
      </c>
      <c r="H276" t="n">
        <v>0</v>
      </c>
      <c r="I276" t="n">
        <v>0</v>
      </c>
      <c r="J276" t="n">
        <v>0</v>
      </c>
      <c r="K276" t="n">
        <v>0</v>
      </c>
      <c r="L276" t="n">
        <v>0</v>
      </c>
      <c r="M276" t="n">
        <v>0</v>
      </c>
      <c r="N276" t="n">
        <v>0</v>
      </c>
      <c r="O276" t="n">
        <v>0</v>
      </c>
      <c r="P276" t="n">
        <v>0</v>
      </c>
      <c r="Q276" t="n">
        <v>0</v>
      </c>
      <c r="R276" s="2" t="inlineStr"/>
    </row>
    <row r="277" ht="15" customHeight="1">
      <c r="A277" t="inlineStr">
        <is>
          <t>A 28934-2023</t>
        </is>
      </c>
      <c r="B277" s="1" t="n">
        <v>45104</v>
      </c>
      <c r="C277" s="1" t="n">
        <v>45990</v>
      </c>
      <c r="D277" t="inlineStr">
        <is>
          <t>DALARNAS LÄN</t>
        </is>
      </c>
      <c r="E277" t="inlineStr">
        <is>
          <t>MORA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24653-2025</t>
        </is>
      </c>
      <c r="B278" s="1" t="n">
        <v>45798.63875</v>
      </c>
      <c r="C278" s="1" t="n">
        <v>45990</v>
      </c>
      <c r="D278" t="inlineStr">
        <is>
          <t>DALARNAS LÄN</t>
        </is>
      </c>
      <c r="E278" t="inlineStr">
        <is>
          <t>MORA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29068-2025</t>
        </is>
      </c>
      <c r="B279" s="1" t="n">
        <v>45821.50900462963</v>
      </c>
      <c r="C279" s="1" t="n">
        <v>45990</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28976-2025</t>
        </is>
      </c>
      <c r="B280" s="1" t="n">
        <v>45821.34855324074</v>
      </c>
      <c r="C280" s="1" t="n">
        <v>45990</v>
      </c>
      <c r="D280" t="inlineStr">
        <is>
          <t>DALARNAS LÄN</t>
        </is>
      </c>
      <c r="E280" t="inlineStr">
        <is>
          <t>MORA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45990</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28925-2025</t>
        </is>
      </c>
      <c r="B282" s="1" t="n">
        <v>45820.67107638889</v>
      </c>
      <c r="C282" s="1" t="n">
        <v>45990</v>
      </c>
      <c r="D282" t="inlineStr">
        <is>
          <t>DALARNAS LÄN</t>
        </is>
      </c>
      <c r="E282" t="inlineStr">
        <is>
          <t>MORA</t>
        </is>
      </c>
      <c r="G282" t="n">
        <v>3.7</v>
      </c>
      <c r="H282" t="n">
        <v>0</v>
      </c>
      <c r="I282" t="n">
        <v>0</v>
      </c>
      <c r="J282" t="n">
        <v>0</v>
      </c>
      <c r="K282" t="n">
        <v>0</v>
      </c>
      <c r="L282" t="n">
        <v>0</v>
      </c>
      <c r="M282" t="n">
        <v>0</v>
      </c>
      <c r="N282" t="n">
        <v>0</v>
      </c>
      <c r="O282" t="n">
        <v>0</v>
      </c>
      <c r="P282" t="n">
        <v>0</v>
      </c>
      <c r="Q282" t="n">
        <v>0</v>
      </c>
      <c r="R282" s="2" t="inlineStr"/>
    </row>
    <row r="283" ht="15" customHeight="1">
      <c r="A283" t="inlineStr">
        <is>
          <t>A 28927-2025</t>
        </is>
      </c>
      <c r="B283" s="1" t="n">
        <v>45820.67221064815</v>
      </c>
      <c r="C283" s="1" t="n">
        <v>45990</v>
      </c>
      <c r="D283" t="inlineStr">
        <is>
          <t>DALARNAS LÄN</t>
        </is>
      </c>
      <c r="E283" t="inlineStr">
        <is>
          <t>MORA</t>
        </is>
      </c>
      <c r="G283" t="n">
        <v>0.4</v>
      </c>
      <c r="H283" t="n">
        <v>0</v>
      </c>
      <c r="I283" t="n">
        <v>0</v>
      </c>
      <c r="J283" t="n">
        <v>0</v>
      </c>
      <c r="K283" t="n">
        <v>0</v>
      </c>
      <c r="L283" t="n">
        <v>0</v>
      </c>
      <c r="M283" t="n">
        <v>0</v>
      </c>
      <c r="N283" t="n">
        <v>0</v>
      </c>
      <c r="O283" t="n">
        <v>0</v>
      </c>
      <c r="P283" t="n">
        <v>0</v>
      </c>
      <c r="Q283" t="n">
        <v>0</v>
      </c>
      <c r="R283" s="2" t="inlineStr"/>
    </row>
    <row r="284" ht="15" customHeight="1">
      <c r="A284" t="inlineStr">
        <is>
          <t>A 28924-2025</t>
        </is>
      </c>
      <c r="B284" s="1" t="n">
        <v>45820.66846064815</v>
      </c>
      <c r="C284" s="1" t="n">
        <v>45990</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15416-2023</t>
        </is>
      </c>
      <c r="B285" s="1" t="n">
        <v>45019.71342592593</v>
      </c>
      <c r="C285" s="1" t="n">
        <v>45990</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28751-2025</t>
        </is>
      </c>
      <c r="B286" s="1" t="n">
        <v>45820.40034722222</v>
      </c>
      <c r="C286" s="1" t="n">
        <v>45990</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5769-2025</t>
        </is>
      </c>
      <c r="B287" s="1" t="n">
        <v>45694.59288194445</v>
      </c>
      <c r="C287" s="1" t="n">
        <v>45990</v>
      </c>
      <c r="D287" t="inlineStr">
        <is>
          <t>DALARNAS LÄN</t>
        </is>
      </c>
      <c r="E287" t="inlineStr">
        <is>
          <t>MORA</t>
        </is>
      </c>
      <c r="G287" t="n">
        <v>15.7</v>
      </c>
      <c r="H287" t="n">
        <v>0</v>
      </c>
      <c r="I287" t="n">
        <v>0</v>
      </c>
      <c r="J287" t="n">
        <v>0</v>
      </c>
      <c r="K287" t="n">
        <v>0</v>
      </c>
      <c r="L287" t="n">
        <v>0</v>
      </c>
      <c r="M287" t="n">
        <v>0</v>
      </c>
      <c r="N287" t="n">
        <v>0</v>
      </c>
      <c r="O287" t="n">
        <v>0</v>
      </c>
      <c r="P287" t="n">
        <v>0</v>
      </c>
      <c r="Q287" t="n">
        <v>0</v>
      </c>
      <c r="R287" s="2" t="inlineStr"/>
    </row>
    <row r="288" ht="15" customHeight="1">
      <c r="A288" t="inlineStr">
        <is>
          <t>A 54253-2023</t>
        </is>
      </c>
      <c r="B288" s="1" t="n">
        <v>45232.63217592592</v>
      </c>
      <c r="C288" s="1" t="n">
        <v>45990</v>
      </c>
      <c r="D288" t="inlineStr">
        <is>
          <t>DALARNAS LÄN</t>
        </is>
      </c>
      <c r="E288" t="inlineStr">
        <is>
          <t>MORA</t>
        </is>
      </c>
      <c r="G288" t="n">
        <v>4.5</v>
      </c>
      <c r="H288" t="n">
        <v>0</v>
      </c>
      <c r="I288" t="n">
        <v>0</v>
      </c>
      <c r="J288" t="n">
        <v>0</v>
      </c>
      <c r="K288" t="n">
        <v>0</v>
      </c>
      <c r="L288" t="n">
        <v>0</v>
      </c>
      <c r="M288" t="n">
        <v>0</v>
      </c>
      <c r="N288" t="n">
        <v>0</v>
      </c>
      <c r="O288" t="n">
        <v>0</v>
      </c>
      <c r="P288" t="n">
        <v>0</v>
      </c>
      <c r="Q288" t="n">
        <v>0</v>
      </c>
      <c r="R288" s="2" t="inlineStr"/>
    </row>
    <row r="289" ht="15" customHeight="1">
      <c r="A289" t="inlineStr">
        <is>
          <t>A 57608-2021</t>
        </is>
      </c>
      <c r="B289" s="1" t="n">
        <v>44484</v>
      </c>
      <c r="C289" s="1" t="n">
        <v>45990</v>
      </c>
      <c r="D289" t="inlineStr">
        <is>
          <t>DALARNAS LÄN</t>
        </is>
      </c>
      <c r="E289" t="inlineStr">
        <is>
          <t>MORA</t>
        </is>
      </c>
      <c r="G289" t="n">
        <v>6.3</v>
      </c>
      <c r="H289" t="n">
        <v>0</v>
      </c>
      <c r="I289" t="n">
        <v>0</v>
      </c>
      <c r="J289" t="n">
        <v>0</v>
      </c>
      <c r="K289" t="n">
        <v>0</v>
      </c>
      <c r="L289" t="n">
        <v>0</v>
      </c>
      <c r="M289" t="n">
        <v>0</v>
      </c>
      <c r="N289" t="n">
        <v>0</v>
      </c>
      <c r="O289" t="n">
        <v>0</v>
      </c>
      <c r="P289" t="n">
        <v>0</v>
      </c>
      <c r="Q289" t="n">
        <v>0</v>
      </c>
      <c r="R289" s="2" t="inlineStr"/>
    </row>
    <row r="290" ht="15" customHeight="1">
      <c r="A290" t="inlineStr">
        <is>
          <t>A 41855-2025</t>
        </is>
      </c>
      <c r="B290" s="1" t="n">
        <v>45902.93693287037</v>
      </c>
      <c r="C290" s="1" t="n">
        <v>45990</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42319-2025</t>
        </is>
      </c>
      <c r="B291" s="1" t="n">
        <v>45903</v>
      </c>
      <c r="C291" s="1" t="n">
        <v>45990</v>
      </c>
      <c r="D291" t="inlineStr">
        <is>
          <t>DALARNAS LÄN</t>
        </is>
      </c>
      <c r="E291" t="inlineStr">
        <is>
          <t>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29528-2025</t>
        </is>
      </c>
      <c r="B292" s="1" t="n">
        <v>45825.34322916667</v>
      </c>
      <c r="C292" s="1" t="n">
        <v>45990</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29440-2025</t>
        </is>
      </c>
      <c r="B293" s="1" t="n">
        <v>45824.65862268519</v>
      </c>
      <c r="C293" s="1" t="n">
        <v>45990</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29425-2025</t>
        </is>
      </c>
      <c r="B294" s="1" t="n">
        <v>45824.64524305556</v>
      </c>
      <c r="C294" s="1" t="n">
        <v>45990</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17393-2025</t>
        </is>
      </c>
      <c r="B295" s="1" t="n">
        <v>45757.34350694445</v>
      </c>
      <c r="C295" s="1" t="n">
        <v>45990</v>
      </c>
      <c r="D295" t="inlineStr">
        <is>
          <t>DALARNAS LÄN</t>
        </is>
      </c>
      <c r="E295" t="inlineStr">
        <is>
          <t>MORA</t>
        </is>
      </c>
      <c r="G295" t="n">
        <v>10.1</v>
      </c>
      <c r="H295" t="n">
        <v>0</v>
      </c>
      <c r="I295" t="n">
        <v>0</v>
      </c>
      <c r="J295" t="n">
        <v>0</v>
      </c>
      <c r="K295" t="n">
        <v>0</v>
      </c>
      <c r="L295" t="n">
        <v>0</v>
      </c>
      <c r="M295" t="n">
        <v>0</v>
      </c>
      <c r="N295" t="n">
        <v>0</v>
      </c>
      <c r="O295" t="n">
        <v>0</v>
      </c>
      <c r="P295" t="n">
        <v>0</v>
      </c>
      <c r="Q295" t="n">
        <v>0</v>
      </c>
      <c r="R295" s="2" t="inlineStr"/>
    </row>
    <row r="296" ht="15" customHeight="1">
      <c r="A296" t="inlineStr">
        <is>
          <t>A 42112-2025</t>
        </is>
      </c>
      <c r="B296" s="1" t="n">
        <v>45904.32134259259</v>
      </c>
      <c r="C296" s="1" t="n">
        <v>45990</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25887-2023</t>
        </is>
      </c>
      <c r="B297" s="1" t="n">
        <v>45090.62493055555</v>
      </c>
      <c r="C297" s="1" t="n">
        <v>45990</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45990</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42813-2025</t>
        </is>
      </c>
      <c r="B299" s="1" t="n">
        <v>45908.56168981481</v>
      </c>
      <c r="C299" s="1" t="n">
        <v>45990</v>
      </c>
      <c r="D299" t="inlineStr">
        <is>
          <t>DALARNAS LÄN</t>
        </is>
      </c>
      <c r="E299" t="inlineStr">
        <is>
          <t>MORA</t>
        </is>
      </c>
      <c r="G299" t="n">
        <v>4.3</v>
      </c>
      <c r="H299" t="n">
        <v>0</v>
      </c>
      <c r="I299" t="n">
        <v>0</v>
      </c>
      <c r="J299" t="n">
        <v>0</v>
      </c>
      <c r="K299" t="n">
        <v>0</v>
      </c>
      <c r="L299" t="n">
        <v>0</v>
      </c>
      <c r="M299" t="n">
        <v>0</v>
      </c>
      <c r="N299" t="n">
        <v>0</v>
      </c>
      <c r="O299" t="n">
        <v>0</v>
      </c>
      <c r="P299" t="n">
        <v>0</v>
      </c>
      <c r="Q299" t="n">
        <v>0</v>
      </c>
      <c r="R299" s="2" t="inlineStr"/>
    </row>
    <row r="300" ht="15" customHeight="1">
      <c r="A300" t="inlineStr">
        <is>
          <t>A 64099-2023</t>
        </is>
      </c>
      <c r="B300" s="1" t="n">
        <v>45279.46009259259</v>
      </c>
      <c r="C300" s="1" t="n">
        <v>45990</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30166-2025</t>
        </is>
      </c>
      <c r="B301" s="1" t="n">
        <v>45827.33116898148</v>
      </c>
      <c r="C301" s="1" t="n">
        <v>45990</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29870-2025</t>
        </is>
      </c>
      <c r="B302" s="1" t="n">
        <v>45826.35716435185</v>
      </c>
      <c r="C302" s="1" t="n">
        <v>45990</v>
      </c>
      <c r="D302" t="inlineStr">
        <is>
          <t>DALARNAS LÄN</t>
        </is>
      </c>
      <c r="E302" t="inlineStr">
        <is>
          <t>MORA</t>
        </is>
      </c>
      <c r="G302" t="n">
        <v>1.2</v>
      </c>
      <c r="H302" t="n">
        <v>0</v>
      </c>
      <c r="I302" t="n">
        <v>0</v>
      </c>
      <c r="J302" t="n">
        <v>0</v>
      </c>
      <c r="K302" t="n">
        <v>0</v>
      </c>
      <c r="L302" t="n">
        <v>0</v>
      </c>
      <c r="M302" t="n">
        <v>0</v>
      </c>
      <c r="N302" t="n">
        <v>0</v>
      </c>
      <c r="O302" t="n">
        <v>0</v>
      </c>
      <c r="P302" t="n">
        <v>0</v>
      </c>
      <c r="Q302" t="n">
        <v>0</v>
      </c>
      <c r="R302" s="2" t="inlineStr"/>
    </row>
    <row r="303" ht="15" customHeight="1">
      <c r="A303" t="inlineStr">
        <is>
          <t>A 29873-2025</t>
        </is>
      </c>
      <c r="B303" s="1" t="n">
        <v>45826</v>
      </c>
      <c r="C303" s="1" t="n">
        <v>45990</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42947-2025</t>
        </is>
      </c>
      <c r="B304" s="1" t="n">
        <v>45909.34799768519</v>
      </c>
      <c r="C304" s="1" t="n">
        <v>45990</v>
      </c>
      <c r="D304" t="inlineStr">
        <is>
          <t>DALARNAS LÄN</t>
        </is>
      </c>
      <c r="E304" t="inlineStr">
        <is>
          <t>MORA</t>
        </is>
      </c>
      <c r="F304" t="inlineStr">
        <is>
          <t>Allmännings- och besparingsskogar</t>
        </is>
      </c>
      <c r="G304" t="n">
        <v>6.2</v>
      </c>
      <c r="H304" t="n">
        <v>0</v>
      </c>
      <c r="I304" t="n">
        <v>0</v>
      </c>
      <c r="J304" t="n">
        <v>0</v>
      </c>
      <c r="K304" t="n">
        <v>0</v>
      </c>
      <c r="L304" t="n">
        <v>0</v>
      </c>
      <c r="M304" t="n">
        <v>0</v>
      </c>
      <c r="N304" t="n">
        <v>0</v>
      </c>
      <c r="O304" t="n">
        <v>0</v>
      </c>
      <c r="P304" t="n">
        <v>0</v>
      </c>
      <c r="Q304" t="n">
        <v>0</v>
      </c>
      <c r="R304" s="2" t="inlineStr"/>
    </row>
    <row r="305" ht="15" customHeight="1">
      <c r="A305" t="inlineStr">
        <is>
          <t>A 42960-2025</t>
        </is>
      </c>
      <c r="B305" s="1" t="n">
        <v>45909.36631944445</v>
      </c>
      <c r="C305" s="1" t="n">
        <v>45990</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30507-2025</t>
        </is>
      </c>
      <c r="B306" s="1" t="n">
        <v>45831.24760416667</v>
      </c>
      <c r="C306" s="1" t="n">
        <v>45990</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19910-2024</t>
        </is>
      </c>
      <c r="B307" s="1" t="n">
        <v>45433.5741087963</v>
      </c>
      <c r="C307" s="1" t="n">
        <v>45990</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23300-2024</t>
        </is>
      </c>
      <c r="B308" s="1" t="n">
        <v>45453.43695601852</v>
      </c>
      <c r="C308" s="1" t="n">
        <v>45990</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30509-2025</t>
        </is>
      </c>
      <c r="B309" s="1" t="n">
        <v>45831.25519675926</v>
      </c>
      <c r="C309" s="1" t="n">
        <v>45990</v>
      </c>
      <c r="D309" t="inlineStr">
        <is>
          <t>DALARNAS LÄN</t>
        </is>
      </c>
      <c r="E309" t="inlineStr">
        <is>
          <t>MORA</t>
        </is>
      </c>
      <c r="G309" t="n">
        <v>1.7</v>
      </c>
      <c r="H309" t="n">
        <v>0</v>
      </c>
      <c r="I309" t="n">
        <v>0</v>
      </c>
      <c r="J309" t="n">
        <v>0</v>
      </c>
      <c r="K309" t="n">
        <v>0</v>
      </c>
      <c r="L309" t="n">
        <v>0</v>
      </c>
      <c r="M309" t="n">
        <v>0</v>
      </c>
      <c r="N309" t="n">
        <v>0</v>
      </c>
      <c r="O309" t="n">
        <v>0</v>
      </c>
      <c r="P309" t="n">
        <v>0</v>
      </c>
      <c r="Q309" t="n">
        <v>0</v>
      </c>
      <c r="R309" s="2" t="inlineStr"/>
    </row>
    <row r="310" ht="15" customHeight="1">
      <c r="A310" t="inlineStr">
        <is>
          <t>A 30989-2025</t>
        </is>
      </c>
      <c r="B310" s="1" t="n">
        <v>45832.48185185185</v>
      </c>
      <c r="C310" s="1" t="n">
        <v>45990</v>
      </c>
      <c r="D310" t="inlineStr">
        <is>
          <t>DALARNAS LÄN</t>
        </is>
      </c>
      <c r="E310" t="inlineStr">
        <is>
          <t>MORA</t>
        </is>
      </c>
      <c r="F310" t="inlineStr">
        <is>
          <t>Bergvik skog öst AB</t>
        </is>
      </c>
      <c r="G310" t="n">
        <v>4.1</v>
      </c>
      <c r="H310" t="n">
        <v>0</v>
      </c>
      <c r="I310" t="n">
        <v>0</v>
      </c>
      <c r="J310" t="n">
        <v>0</v>
      </c>
      <c r="K310" t="n">
        <v>0</v>
      </c>
      <c r="L310" t="n">
        <v>0</v>
      </c>
      <c r="M310" t="n">
        <v>0</v>
      </c>
      <c r="N310" t="n">
        <v>0</v>
      </c>
      <c r="O310" t="n">
        <v>0</v>
      </c>
      <c r="P310" t="n">
        <v>0</v>
      </c>
      <c r="Q310" t="n">
        <v>0</v>
      </c>
      <c r="R310" s="2" t="inlineStr"/>
    </row>
    <row r="311" ht="15" customHeight="1">
      <c r="A311" t="inlineStr">
        <is>
          <t>A 51771-2025</t>
        </is>
      </c>
      <c r="B311" s="1" t="n">
        <v>45951.64653935185</v>
      </c>
      <c r="C311" s="1" t="n">
        <v>45990</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19896-2021</t>
        </is>
      </c>
      <c r="B312" s="1" t="n">
        <v>44313.54942129629</v>
      </c>
      <c r="C312" s="1" t="n">
        <v>45990</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9599-2022</t>
        </is>
      </c>
      <c r="B313" s="1" t="n">
        <v>44617.48909722222</v>
      </c>
      <c r="C313" s="1" t="n">
        <v>45990</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35521-2023</t>
        </is>
      </c>
      <c r="B314" s="1" t="n">
        <v>45147.33251157407</v>
      </c>
      <c r="C314" s="1" t="n">
        <v>45990</v>
      </c>
      <c r="D314" t="inlineStr">
        <is>
          <t>DALARNAS LÄN</t>
        </is>
      </c>
      <c r="E314" t="inlineStr">
        <is>
          <t>MORA</t>
        </is>
      </c>
      <c r="G314" t="n">
        <v>3.7</v>
      </c>
      <c r="H314" t="n">
        <v>0</v>
      </c>
      <c r="I314" t="n">
        <v>0</v>
      </c>
      <c r="J314" t="n">
        <v>0</v>
      </c>
      <c r="K314" t="n">
        <v>0</v>
      </c>
      <c r="L314" t="n">
        <v>0</v>
      </c>
      <c r="M314" t="n">
        <v>0</v>
      </c>
      <c r="N314" t="n">
        <v>0</v>
      </c>
      <c r="O314" t="n">
        <v>0</v>
      </c>
      <c r="P314" t="n">
        <v>0</v>
      </c>
      <c r="Q314" t="n">
        <v>0</v>
      </c>
      <c r="R314" s="2" t="inlineStr"/>
    </row>
    <row r="315" ht="15" customHeight="1">
      <c r="A315" t="inlineStr">
        <is>
          <t>A 60715-2023</t>
        </is>
      </c>
      <c r="B315" s="1" t="n">
        <v>45260.52684027778</v>
      </c>
      <c r="C315" s="1" t="n">
        <v>45990</v>
      </c>
      <c r="D315" t="inlineStr">
        <is>
          <t>DALARNAS LÄN</t>
        </is>
      </c>
      <c r="E315" t="inlineStr">
        <is>
          <t>MORA</t>
        </is>
      </c>
      <c r="G315" t="n">
        <v>1.7</v>
      </c>
      <c r="H315" t="n">
        <v>0</v>
      </c>
      <c r="I315" t="n">
        <v>0</v>
      </c>
      <c r="J315" t="n">
        <v>0</v>
      </c>
      <c r="K315" t="n">
        <v>0</v>
      </c>
      <c r="L315" t="n">
        <v>0</v>
      </c>
      <c r="M315" t="n">
        <v>0</v>
      </c>
      <c r="N315" t="n">
        <v>0</v>
      </c>
      <c r="O315" t="n">
        <v>0</v>
      </c>
      <c r="P315" t="n">
        <v>0</v>
      </c>
      <c r="Q315" t="n">
        <v>0</v>
      </c>
      <c r="R315" s="2" t="inlineStr"/>
    </row>
    <row r="316" ht="15" customHeight="1">
      <c r="A316" t="inlineStr">
        <is>
          <t>A 54257-2023</t>
        </is>
      </c>
      <c r="B316" s="1" t="n">
        <v>45232.64195601852</v>
      </c>
      <c r="C316" s="1" t="n">
        <v>45990</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30858-2025</t>
        </is>
      </c>
      <c r="B317" s="1" t="n">
        <v>45831.92416666666</v>
      </c>
      <c r="C317" s="1" t="n">
        <v>45990</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30859-2025</t>
        </is>
      </c>
      <c r="B318" s="1" t="n">
        <v>45831.93105324074</v>
      </c>
      <c r="C318" s="1" t="n">
        <v>45990</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42954-2025</t>
        </is>
      </c>
      <c r="B319" s="1" t="n">
        <v>45909.3578125</v>
      </c>
      <c r="C319" s="1" t="n">
        <v>45990</v>
      </c>
      <c r="D319" t="inlineStr">
        <is>
          <t>DALARNAS LÄN</t>
        </is>
      </c>
      <c r="E319" t="inlineStr">
        <is>
          <t>MORA</t>
        </is>
      </c>
      <c r="G319" t="n">
        <v>2.5</v>
      </c>
      <c r="H319" t="n">
        <v>0</v>
      </c>
      <c r="I319" t="n">
        <v>0</v>
      </c>
      <c r="J319" t="n">
        <v>0</v>
      </c>
      <c r="K319" t="n">
        <v>0</v>
      </c>
      <c r="L319" t="n">
        <v>0</v>
      </c>
      <c r="M319" t="n">
        <v>0</v>
      </c>
      <c r="N319" t="n">
        <v>0</v>
      </c>
      <c r="O319" t="n">
        <v>0</v>
      </c>
      <c r="P319" t="n">
        <v>0</v>
      </c>
      <c r="Q319" t="n">
        <v>0</v>
      </c>
      <c r="R319" s="2" t="inlineStr"/>
    </row>
    <row r="320" ht="15" customHeight="1">
      <c r="A320" t="inlineStr">
        <is>
          <t>A 42830-2025</t>
        </is>
      </c>
      <c r="B320" s="1" t="n">
        <v>45908.57753472222</v>
      </c>
      <c r="C320" s="1" t="n">
        <v>45990</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31846-2025</t>
        </is>
      </c>
      <c r="B321" s="1" t="n">
        <v>45834.60209490741</v>
      </c>
      <c r="C321" s="1" t="n">
        <v>45990</v>
      </c>
      <c r="D321" t="inlineStr">
        <is>
          <t>DALARNAS LÄN</t>
        </is>
      </c>
      <c r="E321" t="inlineStr">
        <is>
          <t>MORA</t>
        </is>
      </c>
      <c r="G321" t="n">
        <v>3.6</v>
      </c>
      <c r="H321" t="n">
        <v>0</v>
      </c>
      <c r="I321" t="n">
        <v>0</v>
      </c>
      <c r="J321" t="n">
        <v>0</v>
      </c>
      <c r="K321" t="n">
        <v>0</v>
      </c>
      <c r="L321" t="n">
        <v>0</v>
      </c>
      <c r="M321" t="n">
        <v>0</v>
      </c>
      <c r="N321" t="n">
        <v>0</v>
      </c>
      <c r="O321" t="n">
        <v>0</v>
      </c>
      <c r="P321" t="n">
        <v>0</v>
      </c>
      <c r="Q321" t="n">
        <v>0</v>
      </c>
      <c r="R321" s="2" t="inlineStr"/>
    </row>
    <row r="322" ht="15" customHeight="1">
      <c r="A322" t="inlineStr">
        <is>
          <t>A 31849-2025</t>
        </is>
      </c>
      <c r="B322" s="1" t="n">
        <v>45834.60525462963</v>
      </c>
      <c r="C322" s="1" t="n">
        <v>45990</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43157-2025</t>
        </is>
      </c>
      <c r="B323" s="1" t="n">
        <v>45910.34953703704</v>
      </c>
      <c r="C323" s="1" t="n">
        <v>45990</v>
      </c>
      <c r="D323" t="inlineStr">
        <is>
          <t>DALARNAS LÄN</t>
        </is>
      </c>
      <c r="E323" t="inlineStr">
        <is>
          <t>MORA</t>
        </is>
      </c>
      <c r="G323" t="n">
        <v>1.3</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45990</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43569-2025</t>
        </is>
      </c>
      <c r="B325" s="1" t="n">
        <v>45911.63363425926</v>
      </c>
      <c r="C325" s="1" t="n">
        <v>45990</v>
      </c>
      <c r="D325" t="inlineStr">
        <is>
          <t>DALARNAS LÄN</t>
        </is>
      </c>
      <c r="E325" t="inlineStr">
        <is>
          <t>MORA</t>
        </is>
      </c>
      <c r="G325" t="n">
        <v>4.7</v>
      </c>
      <c r="H325" t="n">
        <v>0</v>
      </c>
      <c r="I325" t="n">
        <v>0</v>
      </c>
      <c r="J325" t="n">
        <v>0</v>
      </c>
      <c r="K325" t="n">
        <v>0</v>
      </c>
      <c r="L325" t="n">
        <v>0</v>
      </c>
      <c r="M325" t="n">
        <v>0</v>
      </c>
      <c r="N325" t="n">
        <v>0</v>
      </c>
      <c r="O325" t="n">
        <v>0</v>
      </c>
      <c r="P325" t="n">
        <v>0</v>
      </c>
      <c r="Q325" t="n">
        <v>0</v>
      </c>
      <c r="R325" s="2" t="inlineStr"/>
    </row>
    <row r="326" ht="15" customHeight="1">
      <c r="A326" t="inlineStr">
        <is>
          <t>A 31842-2025</t>
        </is>
      </c>
      <c r="B326" s="1" t="n">
        <v>45834.59822916667</v>
      </c>
      <c r="C326" s="1" t="n">
        <v>45990</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58958-2022</t>
        </is>
      </c>
      <c r="B327" s="1" t="n">
        <v>44903.6605324074</v>
      </c>
      <c r="C327" s="1" t="n">
        <v>45990</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52110-2025</t>
        </is>
      </c>
      <c r="B328" s="1" t="n">
        <v>45952.69306712963</v>
      </c>
      <c r="C328" s="1" t="n">
        <v>45990</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52908-2023</t>
        </is>
      </c>
      <c r="B329" s="1" t="n">
        <v>45226.49950231481</v>
      </c>
      <c r="C329" s="1" t="n">
        <v>45990</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18214-2024</t>
        </is>
      </c>
      <c r="B330" s="1" t="n">
        <v>45420</v>
      </c>
      <c r="C330" s="1" t="n">
        <v>45990</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43153-2025</t>
        </is>
      </c>
      <c r="B331" s="1" t="n">
        <v>45910.34449074074</v>
      </c>
      <c r="C331" s="1" t="n">
        <v>45990</v>
      </c>
      <c r="D331" t="inlineStr">
        <is>
          <t>DALARNAS LÄN</t>
        </is>
      </c>
      <c r="E331" t="inlineStr">
        <is>
          <t>MORA</t>
        </is>
      </c>
      <c r="G331" t="n">
        <v>3.9</v>
      </c>
      <c r="H331" t="n">
        <v>0</v>
      </c>
      <c r="I331" t="n">
        <v>0</v>
      </c>
      <c r="J331" t="n">
        <v>0</v>
      </c>
      <c r="K331" t="n">
        <v>0</v>
      </c>
      <c r="L331" t="n">
        <v>0</v>
      </c>
      <c r="M331" t="n">
        <v>0</v>
      </c>
      <c r="N331" t="n">
        <v>0</v>
      </c>
      <c r="O331" t="n">
        <v>0</v>
      </c>
      <c r="P331" t="n">
        <v>0</v>
      </c>
      <c r="Q331" t="n">
        <v>0</v>
      </c>
      <c r="R331" s="2" t="inlineStr"/>
    </row>
    <row r="332" ht="15" customHeight="1">
      <c r="A332" t="inlineStr">
        <is>
          <t>A 32852-2025</t>
        </is>
      </c>
      <c r="B332" s="1" t="n">
        <v>45839.57559027777</v>
      </c>
      <c r="C332" s="1" t="n">
        <v>45990</v>
      </c>
      <c r="D332" t="inlineStr">
        <is>
          <t>DALARNAS LÄN</t>
        </is>
      </c>
      <c r="E332" t="inlineStr">
        <is>
          <t>MORA</t>
        </is>
      </c>
      <c r="G332" t="n">
        <v>1.7</v>
      </c>
      <c r="H332" t="n">
        <v>0</v>
      </c>
      <c r="I332" t="n">
        <v>0</v>
      </c>
      <c r="J332" t="n">
        <v>0</v>
      </c>
      <c r="K332" t="n">
        <v>0</v>
      </c>
      <c r="L332" t="n">
        <v>0</v>
      </c>
      <c r="M332" t="n">
        <v>0</v>
      </c>
      <c r="N332" t="n">
        <v>0</v>
      </c>
      <c r="O332" t="n">
        <v>0</v>
      </c>
      <c r="P332" t="n">
        <v>0</v>
      </c>
      <c r="Q332" t="n">
        <v>0</v>
      </c>
      <c r="R332" s="2" t="inlineStr"/>
    </row>
    <row r="333" ht="15" customHeight="1">
      <c r="A333" t="inlineStr">
        <is>
          <t>A 43474-2025</t>
        </is>
      </c>
      <c r="B333" s="1" t="n">
        <v>45911.48967592593</v>
      </c>
      <c r="C333" s="1" t="n">
        <v>45990</v>
      </c>
      <c r="D333" t="inlineStr">
        <is>
          <t>DALARNAS LÄN</t>
        </is>
      </c>
      <c r="E333" t="inlineStr">
        <is>
          <t>MORA</t>
        </is>
      </c>
      <c r="G333" t="n">
        <v>1.8</v>
      </c>
      <c r="H333" t="n">
        <v>0</v>
      </c>
      <c r="I333" t="n">
        <v>0</v>
      </c>
      <c r="J333" t="n">
        <v>0</v>
      </c>
      <c r="K333" t="n">
        <v>0</v>
      </c>
      <c r="L333" t="n">
        <v>0</v>
      </c>
      <c r="M333" t="n">
        <v>0</v>
      </c>
      <c r="N333" t="n">
        <v>0</v>
      </c>
      <c r="O333" t="n">
        <v>0</v>
      </c>
      <c r="P333" t="n">
        <v>0</v>
      </c>
      <c r="Q333" t="n">
        <v>0</v>
      </c>
      <c r="R333" s="2" t="inlineStr"/>
    </row>
    <row r="334" ht="15" customHeight="1">
      <c r="A334" t="inlineStr">
        <is>
          <t>A 60465-2023</t>
        </is>
      </c>
      <c r="B334" s="1" t="n">
        <v>45259.57872685185</v>
      </c>
      <c r="C334" s="1" t="n">
        <v>45990</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61654-2024</t>
        </is>
      </c>
      <c r="B335" s="1" t="n">
        <v>45646.74988425926</v>
      </c>
      <c r="C335" s="1" t="n">
        <v>45990</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60428-2023</t>
        </is>
      </c>
      <c r="B336" s="1" t="n">
        <v>45259.50996527778</v>
      </c>
      <c r="C336" s="1" t="n">
        <v>45990</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45990</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52804-2025</t>
        </is>
      </c>
      <c r="B338" s="1" t="n">
        <v>45957.44552083333</v>
      </c>
      <c r="C338" s="1" t="n">
        <v>45990</v>
      </c>
      <c r="D338" t="inlineStr">
        <is>
          <t>DALARNAS LÄN</t>
        </is>
      </c>
      <c r="E338" t="inlineStr">
        <is>
          <t>MORA</t>
        </is>
      </c>
      <c r="G338" t="n">
        <v>2.9</v>
      </c>
      <c r="H338" t="n">
        <v>0</v>
      </c>
      <c r="I338" t="n">
        <v>0</v>
      </c>
      <c r="J338" t="n">
        <v>0</v>
      </c>
      <c r="K338" t="n">
        <v>0</v>
      </c>
      <c r="L338" t="n">
        <v>0</v>
      </c>
      <c r="M338" t="n">
        <v>0</v>
      </c>
      <c r="N338" t="n">
        <v>0</v>
      </c>
      <c r="O338" t="n">
        <v>0</v>
      </c>
      <c r="P338" t="n">
        <v>0</v>
      </c>
      <c r="Q338" t="n">
        <v>0</v>
      </c>
      <c r="R338" s="2" t="inlineStr"/>
    </row>
    <row r="339" ht="15" customHeight="1">
      <c r="A339" t="inlineStr">
        <is>
          <t>A 33443-2025</t>
        </is>
      </c>
      <c r="B339" s="1" t="n">
        <v>45841</v>
      </c>
      <c r="C339" s="1" t="n">
        <v>45990</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53159-2024</t>
        </is>
      </c>
      <c r="B340" s="1" t="n">
        <v>45611.63849537037</v>
      </c>
      <c r="C340" s="1" t="n">
        <v>45990</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29754-2022</t>
        </is>
      </c>
      <c r="B341" s="1" t="n">
        <v>44755.59188657408</v>
      </c>
      <c r="C341" s="1" t="n">
        <v>45990</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43811-2025</t>
        </is>
      </c>
      <c r="B342" s="1" t="n">
        <v>45912.58710648148</v>
      </c>
      <c r="C342" s="1" t="n">
        <v>45990</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27188-2023</t>
        </is>
      </c>
      <c r="B343" s="1" t="n">
        <v>45096</v>
      </c>
      <c r="C343" s="1" t="n">
        <v>45990</v>
      </c>
      <c r="D343" t="inlineStr">
        <is>
          <t>DALARNAS LÄN</t>
        </is>
      </c>
      <c r="E343" t="inlineStr">
        <is>
          <t>MORA</t>
        </is>
      </c>
      <c r="G343" t="n">
        <v>4.8</v>
      </c>
      <c r="H343" t="n">
        <v>0</v>
      </c>
      <c r="I343" t="n">
        <v>0</v>
      </c>
      <c r="J343" t="n">
        <v>0</v>
      </c>
      <c r="K343" t="n">
        <v>0</v>
      </c>
      <c r="L343" t="n">
        <v>0</v>
      </c>
      <c r="M343" t="n">
        <v>0</v>
      </c>
      <c r="N343" t="n">
        <v>0</v>
      </c>
      <c r="O343" t="n">
        <v>0</v>
      </c>
      <c r="P343" t="n">
        <v>0</v>
      </c>
      <c r="Q343" t="n">
        <v>0</v>
      </c>
      <c r="R343" s="2" t="inlineStr"/>
    </row>
    <row r="344" ht="15" customHeight="1">
      <c r="A344" t="inlineStr">
        <is>
          <t>A 56268-2024</t>
        </is>
      </c>
      <c r="B344" s="1" t="n">
        <v>45624.65785879629</v>
      </c>
      <c r="C344" s="1" t="n">
        <v>45990</v>
      </c>
      <c r="D344" t="inlineStr">
        <is>
          <t>DALARNAS LÄN</t>
        </is>
      </c>
      <c r="E344" t="inlineStr">
        <is>
          <t>MORA</t>
        </is>
      </c>
      <c r="G344" t="n">
        <v>2.7</v>
      </c>
      <c r="H344" t="n">
        <v>0</v>
      </c>
      <c r="I344" t="n">
        <v>0</v>
      </c>
      <c r="J344" t="n">
        <v>0</v>
      </c>
      <c r="K344" t="n">
        <v>0</v>
      </c>
      <c r="L344" t="n">
        <v>0</v>
      </c>
      <c r="M344" t="n">
        <v>0</v>
      </c>
      <c r="N344" t="n">
        <v>0</v>
      </c>
      <c r="O344" t="n">
        <v>0</v>
      </c>
      <c r="P344" t="n">
        <v>0</v>
      </c>
      <c r="Q344" t="n">
        <v>0</v>
      </c>
      <c r="R344" s="2" t="inlineStr"/>
    </row>
    <row r="345" ht="15" customHeight="1">
      <c r="A345" t="inlineStr">
        <is>
          <t>A 14641-2023</t>
        </is>
      </c>
      <c r="B345" s="1" t="n">
        <v>45013</v>
      </c>
      <c r="C345" s="1" t="n">
        <v>45990</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52599-2025</t>
        </is>
      </c>
      <c r="B346" s="1" t="n">
        <v>45954.65564814815</v>
      </c>
      <c r="C346" s="1" t="n">
        <v>45990</v>
      </c>
      <c r="D346" t="inlineStr">
        <is>
          <t>DALARNAS LÄN</t>
        </is>
      </c>
      <c r="E346" t="inlineStr">
        <is>
          <t>MORA</t>
        </is>
      </c>
      <c r="G346" t="n">
        <v>10.8</v>
      </c>
      <c r="H346" t="n">
        <v>0</v>
      </c>
      <c r="I346" t="n">
        <v>0</v>
      </c>
      <c r="J346" t="n">
        <v>0</v>
      </c>
      <c r="K346" t="n">
        <v>0</v>
      </c>
      <c r="L346" t="n">
        <v>0</v>
      </c>
      <c r="M346" t="n">
        <v>0</v>
      </c>
      <c r="N346" t="n">
        <v>0</v>
      </c>
      <c r="O346" t="n">
        <v>0</v>
      </c>
      <c r="P346" t="n">
        <v>0</v>
      </c>
      <c r="Q346" t="n">
        <v>0</v>
      </c>
      <c r="R346" s="2" t="inlineStr"/>
    </row>
    <row r="347" ht="15" customHeight="1">
      <c r="A347" t="inlineStr">
        <is>
          <t>A 34182-2025</t>
        </is>
      </c>
      <c r="B347" s="1" t="n">
        <v>45845.60520833333</v>
      </c>
      <c r="C347" s="1" t="n">
        <v>45990</v>
      </c>
      <c r="D347" t="inlineStr">
        <is>
          <t>DALARNAS LÄN</t>
        </is>
      </c>
      <c r="E347" t="inlineStr">
        <is>
          <t>MORA</t>
        </is>
      </c>
      <c r="G347" t="n">
        <v>3.4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45990</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34005-2025</t>
        </is>
      </c>
      <c r="B349" s="1" t="n">
        <v>45844.58890046296</v>
      </c>
      <c r="C349" s="1" t="n">
        <v>45990</v>
      </c>
      <c r="D349" t="inlineStr">
        <is>
          <t>DALARNAS LÄN</t>
        </is>
      </c>
      <c r="E349" t="inlineStr">
        <is>
          <t>MORA</t>
        </is>
      </c>
      <c r="G349" t="n">
        <v>7.2</v>
      </c>
      <c r="H349" t="n">
        <v>0</v>
      </c>
      <c r="I349" t="n">
        <v>0</v>
      </c>
      <c r="J349" t="n">
        <v>0</v>
      </c>
      <c r="K349" t="n">
        <v>0</v>
      </c>
      <c r="L349" t="n">
        <v>0</v>
      </c>
      <c r="M349" t="n">
        <v>0</v>
      </c>
      <c r="N349" t="n">
        <v>0</v>
      </c>
      <c r="O349" t="n">
        <v>0</v>
      </c>
      <c r="P349" t="n">
        <v>0</v>
      </c>
      <c r="Q349" t="n">
        <v>0</v>
      </c>
      <c r="R349" s="2" t="inlineStr"/>
    </row>
    <row r="350" ht="15" customHeight="1">
      <c r="A350" t="inlineStr">
        <is>
          <t>A 44384-2025</t>
        </is>
      </c>
      <c r="B350" s="1" t="n">
        <v>45916.48513888889</v>
      </c>
      <c r="C350" s="1" t="n">
        <v>45990</v>
      </c>
      <c r="D350" t="inlineStr">
        <is>
          <t>DALARNAS LÄN</t>
        </is>
      </c>
      <c r="E350" t="inlineStr">
        <is>
          <t>MORA</t>
        </is>
      </c>
      <c r="F350" t="inlineStr">
        <is>
          <t>Kyrkan</t>
        </is>
      </c>
      <c r="G350" t="n">
        <v>5.1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45990</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34482-2025</t>
        </is>
      </c>
      <c r="B352" s="1" t="n">
        <v>45847.38469907407</v>
      </c>
      <c r="C352" s="1" t="n">
        <v>45990</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53150-2025</t>
        </is>
      </c>
      <c r="B353" s="1" t="n">
        <v>45958.48280092593</v>
      </c>
      <c r="C353" s="1" t="n">
        <v>45990</v>
      </c>
      <c r="D353" t="inlineStr">
        <is>
          <t>DALARNAS LÄN</t>
        </is>
      </c>
      <c r="E353" t="inlineStr">
        <is>
          <t>MORA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53151-2025</t>
        </is>
      </c>
      <c r="B354" s="1" t="n">
        <v>45958.48611111111</v>
      </c>
      <c r="C354" s="1" t="n">
        <v>45990</v>
      </c>
      <c r="D354" t="inlineStr">
        <is>
          <t>DALARNAS LÄN</t>
        </is>
      </c>
      <c r="E354" t="inlineStr">
        <is>
          <t>MORA</t>
        </is>
      </c>
      <c r="F354" t="inlineStr">
        <is>
          <t>Bergvik skog öst AB</t>
        </is>
      </c>
      <c r="G354" t="n">
        <v>0.8</v>
      </c>
      <c r="H354" t="n">
        <v>0</v>
      </c>
      <c r="I354" t="n">
        <v>0</v>
      </c>
      <c r="J354" t="n">
        <v>0</v>
      </c>
      <c r="K354" t="n">
        <v>0</v>
      </c>
      <c r="L354" t="n">
        <v>0</v>
      </c>
      <c r="M354" t="n">
        <v>0</v>
      </c>
      <c r="N354" t="n">
        <v>0</v>
      </c>
      <c r="O354" t="n">
        <v>0</v>
      </c>
      <c r="P354" t="n">
        <v>0</v>
      </c>
      <c r="Q354" t="n">
        <v>0</v>
      </c>
      <c r="R354" s="2" t="inlineStr"/>
    </row>
    <row r="355" ht="15" customHeight="1">
      <c r="A355" t="inlineStr">
        <is>
          <t>A 34382-2025</t>
        </is>
      </c>
      <c r="B355" s="1" t="n">
        <v>45846</v>
      </c>
      <c r="C355" s="1" t="n">
        <v>45990</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45990</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34933-2025</t>
        </is>
      </c>
      <c r="B357" s="1" t="n">
        <v>45849.57297453703</v>
      </c>
      <c r="C357" s="1" t="n">
        <v>45990</v>
      </c>
      <c r="D357" t="inlineStr">
        <is>
          <t>DALARNAS LÄN</t>
        </is>
      </c>
      <c r="E357" t="inlineStr">
        <is>
          <t>MORA</t>
        </is>
      </c>
      <c r="F357" t="inlineStr">
        <is>
          <t>Bergvik skog väst AB</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571-2024</t>
        </is>
      </c>
      <c r="B358" s="1" t="n">
        <v>45299</v>
      </c>
      <c r="C358" s="1" t="n">
        <v>45990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45990</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12478-2025</t>
        </is>
      </c>
      <c r="B360" s="1" t="n">
        <v>45730.57429398148</v>
      </c>
      <c r="C360" s="1" t="n">
        <v>45990</v>
      </c>
      <c r="D360" t="inlineStr">
        <is>
          <t>DALARNAS LÄN</t>
        </is>
      </c>
      <c r="E360" t="inlineStr">
        <is>
          <t>MORA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53743-2024</t>
        </is>
      </c>
      <c r="B361" s="1" t="n">
        <v>45615.47137731482</v>
      </c>
      <c r="C361" s="1" t="n">
        <v>45990</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53418-2025</t>
        </is>
      </c>
      <c r="B362" s="1" t="n">
        <v>45959.58747685186</v>
      </c>
      <c r="C362" s="1" t="n">
        <v>45990</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44621-2025</t>
        </is>
      </c>
      <c r="B363" s="1" t="n">
        <v>45917.466875</v>
      </c>
      <c r="C363" s="1" t="n">
        <v>45990</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45181-2025</t>
        </is>
      </c>
      <c r="B364" s="1" t="n">
        <v>45919.53329861111</v>
      </c>
      <c r="C364" s="1" t="n">
        <v>45990</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53560-2025</t>
        </is>
      </c>
      <c r="B365" s="1" t="n">
        <v>45960.39960648148</v>
      </c>
      <c r="C365" s="1" t="n">
        <v>45990</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35121-2025</t>
        </is>
      </c>
      <c r="B366" s="1" t="n">
        <v>45852.60936342592</v>
      </c>
      <c r="C366" s="1" t="n">
        <v>45990</v>
      </c>
      <c r="D366" t="inlineStr">
        <is>
          <t>DALARNAS LÄN</t>
        </is>
      </c>
      <c r="E366" t="inlineStr">
        <is>
          <t>MORA</t>
        </is>
      </c>
      <c r="F366" t="inlineStr">
        <is>
          <t>Bergvik skog öst AB</t>
        </is>
      </c>
      <c r="G366" t="n">
        <v>15.9</v>
      </c>
      <c r="H366" t="n">
        <v>0</v>
      </c>
      <c r="I366" t="n">
        <v>0</v>
      </c>
      <c r="J366" t="n">
        <v>0</v>
      </c>
      <c r="K366" t="n">
        <v>0</v>
      </c>
      <c r="L366" t="n">
        <v>0</v>
      </c>
      <c r="M366" t="n">
        <v>0</v>
      </c>
      <c r="N366" t="n">
        <v>0</v>
      </c>
      <c r="O366" t="n">
        <v>0</v>
      </c>
      <c r="P366" t="n">
        <v>0</v>
      </c>
      <c r="Q366" t="n">
        <v>0</v>
      </c>
      <c r="R366" s="2" t="inlineStr"/>
    </row>
    <row r="367" ht="15" customHeight="1">
      <c r="A367" t="inlineStr">
        <is>
          <t>A 53591-2025</t>
        </is>
      </c>
      <c r="B367" s="1" t="n">
        <v>45960.43893518519</v>
      </c>
      <c r="C367" s="1" t="n">
        <v>45990</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35407-2025</t>
        </is>
      </c>
      <c r="B368" s="1" t="n">
        <v>45855.35989583333</v>
      </c>
      <c r="C368" s="1" t="n">
        <v>45990</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9277-2024</t>
        </is>
      </c>
      <c r="B369" s="1" t="n">
        <v>45358.63265046296</v>
      </c>
      <c r="C369" s="1" t="n">
        <v>45990</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53982-2025</t>
        </is>
      </c>
      <c r="B370" s="1" t="n">
        <v>45961.57019675926</v>
      </c>
      <c r="C370" s="1" t="n">
        <v>45990</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18806-2025</t>
        </is>
      </c>
      <c r="B371" s="1" t="n">
        <v>45764.35269675926</v>
      </c>
      <c r="C371" s="1" t="n">
        <v>45990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53556-2025</t>
        </is>
      </c>
      <c r="B372" s="1" t="n">
        <v>45960.3921875</v>
      </c>
      <c r="C372" s="1" t="n">
        <v>45990</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53562-2025</t>
        </is>
      </c>
      <c r="B373" s="1" t="n">
        <v>45960.40662037037</v>
      </c>
      <c r="C373" s="1" t="n">
        <v>45990</v>
      </c>
      <c r="D373" t="inlineStr">
        <is>
          <t>DALARNAS LÄN</t>
        </is>
      </c>
      <c r="E373" t="inlineStr">
        <is>
          <t>MORA</t>
        </is>
      </c>
      <c r="G373" t="n">
        <v>5.1</v>
      </c>
      <c r="H373" t="n">
        <v>0</v>
      </c>
      <c r="I373" t="n">
        <v>0</v>
      </c>
      <c r="J373" t="n">
        <v>0</v>
      </c>
      <c r="K373" t="n">
        <v>0</v>
      </c>
      <c r="L373" t="n">
        <v>0</v>
      </c>
      <c r="M373" t="n">
        <v>0</v>
      </c>
      <c r="N373" t="n">
        <v>0</v>
      </c>
      <c r="O373" t="n">
        <v>0</v>
      </c>
      <c r="P373" t="n">
        <v>0</v>
      </c>
      <c r="Q373" t="n">
        <v>0</v>
      </c>
      <c r="R373" s="2" t="inlineStr"/>
    </row>
    <row r="374" ht="15" customHeight="1">
      <c r="A374" t="inlineStr">
        <is>
          <t>A 35611-2025</t>
        </is>
      </c>
      <c r="B374" s="1" t="n">
        <v>45859.35384259259</v>
      </c>
      <c r="C374" s="1" t="n">
        <v>45990</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54628-2024</t>
        </is>
      </c>
      <c r="B375" s="1" t="n">
        <v>45617.83969907407</v>
      </c>
      <c r="C375" s="1" t="n">
        <v>45990</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53632-2025</t>
        </is>
      </c>
      <c r="B376" s="1" t="n">
        <v>45960.49972222222</v>
      </c>
      <c r="C376" s="1" t="n">
        <v>45990</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45191-2025</t>
        </is>
      </c>
      <c r="B377" s="1" t="n">
        <v>45919.54811342592</v>
      </c>
      <c r="C377" s="1" t="n">
        <v>45990</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35734-2025</t>
        </is>
      </c>
      <c r="B378" s="1" t="n">
        <v>45860.471875</v>
      </c>
      <c r="C378" s="1" t="n">
        <v>45990</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35623-2025</t>
        </is>
      </c>
      <c r="B379" s="1" t="n">
        <v>45859</v>
      </c>
      <c r="C379" s="1" t="n">
        <v>45990</v>
      </c>
      <c r="D379" t="inlineStr">
        <is>
          <t>DALARNAS LÄN</t>
        </is>
      </c>
      <c r="E379" t="inlineStr">
        <is>
          <t>MORA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45990</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35624-2025</t>
        </is>
      </c>
      <c r="B381" s="1" t="n">
        <v>45859</v>
      </c>
      <c r="C381" s="1" t="n">
        <v>45990</v>
      </c>
      <c r="D381" t="inlineStr">
        <is>
          <t>DALARNAS LÄN</t>
        </is>
      </c>
      <c r="E381" t="inlineStr">
        <is>
          <t>MORA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53565-2025</t>
        </is>
      </c>
      <c r="B382" s="1" t="n">
        <v>45960.40711805555</v>
      </c>
      <c r="C382" s="1" t="n">
        <v>45990</v>
      </c>
      <c r="D382" t="inlineStr">
        <is>
          <t>DALARNAS LÄN</t>
        </is>
      </c>
      <c r="E382" t="inlineStr">
        <is>
          <t>MORA</t>
        </is>
      </c>
      <c r="G382" t="n">
        <v>5.1</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45990</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57319-2023</t>
        </is>
      </c>
      <c r="B384" s="1" t="n">
        <v>45245.64877314815</v>
      </c>
      <c r="C384" s="1" t="n">
        <v>45990</v>
      </c>
      <c r="D384" t="inlineStr">
        <is>
          <t>DALARNAS LÄN</t>
        </is>
      </c>
      <c r="E384" t="inlineStr">
        <is>
          <t>MORA</t>
        </is>
      </c>
      <c r="G384" t="n">
        <v>2</v>
      </c>
      <c r="H384" t="n">
        <v>0</v>
      </c>
      <c r="I384" t="n">
        <v>0</v>
      </c>
      <c r="J384" t="n">
        <v>0</v>
      </c>
      <c r="K384" t="n">
        <v>0</v>
      </c>
      <c r="L384" t="n">
        <v>0</v>
      </c>
      <c r="M384" t="n">
        <v>0</v>
      </c>
      <c r="N384" t="n">
        <v>0</v>
      </c>
      <c r="O384" t="n">
        <v>0</v>
      </c>
      <c r="P384" t="n">
        <v>0</v>
      </c>
      <c r="Q384" t="n">
        <v>0</v>
      </c>
      <c r="R384" s="2" t="inlineStr"/>
    </row>
    <row r="385" ht="15" customHeight="1">
      <c r="A385" t="inlineStr">
        <is>
          <t>A 54099-2025</t>
        </is>
      </c>
      <c r="B385" s="1" t="n">
        <v>45964.41665509259</v>
      </c>
      <c r="C385" s="1" t="n">
        <v>45990</v>
      </c>
      <c r="D385" t="inlineStr">
        <is>
          <t>DALARNAS LÄN</t>
        </is>
      </c>
      <c r="E385" t="inlineStr">
        <is>
          <t>MORA</t>
        </is>
      </c>
      <c r="G385" t="n">
        <v>5.3</v>
      </c>
      <c r="H385" t="n">
        <v>0</v>
      </c>
      <c r="I385" t="n">
        <v>0</v>
      </c>
      <c r="J385" t="n">
        <v>0</v>
      </c>
      <c r="K385" t="n">
        <v>0</v>
      </c>
      <c r="L385" t="n">
        <v>0</v>
      </c>
      <c r="M385" t="n">
        <v>0</v>
      </c>
      <c r="N385" t="n">
        <v>0</v>
      </c>
      <c r="O385" t="n">
        <v>0</v>
      </c>
      <c r="P385" t="n">
        <v>0</v>
      </c>
      <c r="Q385" t="n">
        <v>0</v>
      </c>
      <c r="R385" s="2" t="inlineStr"/>
    </row>
    <row r="386" ht="15" customHeight="1">
      <c r="A386" t="inlineStr">
        <is>
          <t>A 36041-2025</t>
        </is>
      </c>
      <c r="B386" s="1" t="n">
        <v>45866.34385416667</v>
      </c>
      <c r="C386" s="1" t="n">
        <v>45990</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43498-2023</t>
        </is>
      </c>
      <c r="B387" s="1" t="n">
        <v>45184</v>
      </c>
      <c r="C387" s="1" t="n">
        <v>45990</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32261-2022</t>
        </is>
      </c>
      <c r="B388" s="1" t="n">
        <v>44781.5350925926</v>
      </c>
      <c r="C388" s="1" t="n">
        <v>45990</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54508-2025</t>
        </is>
      </c>
      <c r="B389" s="1" t="n">
        <v>45965.61844907407</v>
      </c>
      <c r="C389" s="1" t="n">
        <v>45990</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35381-2024</t>
        </is>
      </c>
      <c r="B390" s="1" t="n">
        <v>45531.38372685185</v>
      </c>
      <c r="C390" s="1" t="n">
        <v>45990</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13479-2024</t>
        </is>
      </c>
      <c r="B391" s="1" t="n">
        <v>45387.5900925926</v>
      </c>
      <c r="C391" s="1" t="n">
        <v>45990</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54504-2025</t>
        </is>
      </c>
      <c r="B392" s="1" t="n">
        <v>45965.61686342592</v>
      </c>
      <c r="C392" s="1" t="n">
        <v>45990</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16174-2025</t>
        </is>
      </c>
      <c r="B393" s="1" t="n">
        <v>45750</v>
      </c>
      <c r="C393" s="1" t="n">
        <v>45990</v>
      </c>
      <c r="D393" t="inlineStr">
        <is>
          <t>DALARNAS LÄN</t>
        </is>
      </c>
      <c r="E393" t="inlineStr">
        <is>
          <t>MORA</t>
        </is>
      </c>
      <c r="G393" t="n">
        <v>0.9</v>
      </c>
      <c r="H393" t="n">
        <v>0</v>
      </c>
      <c r="I393" t="n">
        <v>0</v>
      </c>
      <c r="J393" t="n">
        <v>0</v>
      </c>
      <c r="K393" t="n">
        <v>0</v>
      </c>
      <c r="L393" t="n">
        <v>0</v>
      </c>
      <c r="M393" t="n">
        <v>0</v>
      </c>
      <c r="N393" t="n">
        <v>0</v>
      </c>
      <c r="O393" t="n">
        <v>0</v>
      </c>
      <c r="P393" t="n">
        <v>0</v>
      </c>
      <c r="Q393" t="n">
        <v>0</v>
      </c>
      <c r="R393" s="2" t="inlineStr"/>
    </row>
    <row r="394" ht="15" customHeight="1">
      <c r="A394" t="inlineStr">
        <is>
          <t>A 36586-2025</t>
        </is>
      </c>
      <c r="B394" s="1" t="n">
        <v>45869</v>
      </c>
      <c r="C394" s="1" t="n">
        <v>45990</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36760-2025</t>
        </is>
      </c>
      <c r="B395" s="1" t="n">
        <v>45873.57319444444</v>
      </c>
      <c r="C395" s="1" t="n">
        <v>45990</v>
      </c>
      <c r="D395" t="inlineStr">
        <is>
          <t>DALARNAS LÄN</t>
        </is>
      </c>
      <c r="E395" t="inlineStr">
        <is>
          <t>MORA</t>
        </is>
      </c>
      <c r="G395" t="n">
        <v>4.6</v>
      </c>
      <c r="H395" t="n">
        <v>0</v>
      </c>
      <c r="I395" t="n">
        <v>0</v>
      </c>
      <c r="J395" t="n">
        <v>0</v>
      </c>
      <c r="K395" t="n">
        <v>0</v>
      </c>
      <c r="L395" t="n">
        <v>0</v>
      </c>
      <c r="M395" t="n">
        <v>0</v>
      </c>
      <c r="N395" t="n">
        <v>0</v>
      </c>
      <c r="O395" t="n">
        <v>0</v>
      </c>
      <c r="P395" t="n">
        <v>0</v>
      </c>
      <c r="Q395" t="n">
        <v>0</v>
      </c>
      <c r="R395" s="2" t="inlineStr"/>
    </row>
    <row r="396" ht="15" customHeight="1">
      <c r="A396" t="inlineStr">
        <is>
          <t>A 54367-2025</t>
        </is>
      </c>
      <c r="B396" s="1" t="n">
        <v>45965.4031712963</v>
      </c>
      <c r="C396" s="1" t="n">
        <v>45990</v>
      </c>
      <c r="D396" t="inlineStr">
        <is>
          <t>DALARNAS LÄN</t>
        </is>
      </c>
      <c r="E396" t="inlineStr">
        <is>
          <t>MORA</t>
        </is>
      </c>
      <c r="G396" t="n">
        <v>7</v>
      </c>
      <c r="H396" t="n">
        <v>0</v>
      </c>
      <c r="I396" t="n">
        <v>0</v>
      </c>
      <c r="J396" t="n">
        <v>0</v>
      </c>
      <c r="K396" t="n">
        <v>0</v>
      </c>
      <c r="L396" t="n">
        <v>0</v>
      </c>
      <c r="M396" t="n">
        <v>0</v>
      </c>
      <c r="N396" t="n">
        <v>0</v>
      </c>
      <c r="O396" t="n">
        <v>0</v>
      </c>
      <c r="P396" t="n">
        <v>0</v>
      </c>
      <c r="Q396" t="n">
        <v>0</v>
      </c>
      <c r="R396" s="2" t="inlineStr"/>
    </row>
    <row r="397" ht="15" customHeight="1">
      <c r="A397" t="inlineStr">
        <is>
          <t>A 54518-2025</t>
        </is>
      </c>
      <c r="B397" s="1" t="n">
        <v>45965.62608796296</v>
      </c>
      <c r="C397" s="1" t="n">
        <v>45990</v>
      </c>
      <c r="D397" t="inlineStr">
        <is>
          <t>DALARNAS LÄN</t>
        </is>
      </c>
      <c r="E397" t="inlineStr">
        <is>
          <t>MORA</t>
        </is>
      </c>
      <c r="G397" t="n">
        <v>7.1</v>
      </c>
      <c r="H397" t="n">
        <v>0</v>
      </c>
      <c r="I397" t="n">
        <v>0</v>
      </c>
      <c r="J397" t="n">
        <v>0</v>
      </c>
      <c r="K397" t="n">
        <v>0</v>
      </c>
      <c r="L397" t="n">
        <v>0</v>
      </c>
      <c r="M397" t="n">
        <v>0</v>
      </c>
      <c r="N397" t="n">
        <v>0</v>
      </c>
      <c r="O397" t="n">
        <v>0</v>
      </c>
      <c r="P397" t="n">
        <v>0</v>
      </c>
      <c r="Q397" t="n">
        <v>0</v>
      </c>
      <c r="R397" s="2" t="inlineStr"/>
    </row>
    <row r="398" ht="15" customHeight="1">
      <c r="A398" t="inlineStr">
        <is>
          <t>A 20299-2023</t>
        </is>
      </c>
      <c r="B398" s="1" t="n">
        <v>45056</v>
      </c>
      <c r="C398" s="1" t="n">
        <v>45990</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54919-2025</t>
        </is>
      </c>
      <c r="B399" s="1" t="n">
        <v>45967.38884259259</v>
      </c>
      <c r="C399" s="1" t="n">
        <v>45990</v>
      </c>
      <c r="D399" t="inlineStr">
        <is>
          <t>DALARNAS LÄN</t>
        </is>
      </c>
      <c r="E399" t="inlineStr">
        <is>
          <t>MORA</t>
        </is>
      </c>
      <c r="F399" t="inlineStr">
        <is>
          <t>Bergvik skog väst AB</t>
        </is>
      </c>
      <c r="G399" t="n">
        <v>5.6</v>
      </c>
      <c r="H399" t="n">
        <v>0</v>
      </c>
      <c r="I399" t="n">
        <v>0</v>
      </c>
      <c r="J399" t="n">
        <v>0</v>
      </c>
      <c r="K399" t="n">
        <v>0</v>
      </c>
      <c r="L399" t="n">
        <v>0</v>
      </c>
      <c r="M399" t="n">
        <v>0</v>
      </c>
      <c r="N399" t="n">
        <v>0</v>
      </c>
      <c r="O399" t="n">
        <v>0</v>
      </c>
      <c r="P399" t="n">
        <v>0</v>
      </c>
      <c r="Q399" t="n">
        <v>0</v>
      </c>
      <c r="R399" s="2" t="inlineStr"/>
    </row>
    <row r="400" ht="15" customHeight="1">
      <c r="A400" t="inlineStr">
        <is>
          <t>A 54905-2025</t>
        </is>
      </c>
      <c r="B400" s="1" t="n">
        <v>45967.3700462963</v>
      </c>
      <c r="C400" s="1" t="n">
        <v>45990</v>
      </c>
      <c r="D400" t="inlineStr">
        <is>
          <t>DALARNAS LÄN</t>
        </is>
      </c>
      <c r="E400" t="inlineStr">
        <is>
          <t>MORA</t>
        </is>
      </c>
      <c r="G400" t="n">
        <v>0.4</v>
      </c>
      <c r="H400" t="n">
        <v>0</v>
      </c>
      <c r="I400" t="n">
        <v>0</v>
      </c>
      <c r="J400" t="n">
        <v>0</v>
      </c>
      <c r="K400" t="n">
        <v>0</v>
      </c>
      <c r="L400" t="n">
        <v>0</v>
      </c>
      <c r="M400" t="n">
        <v>0</v>
      </c>
      <c r="N400" t="n">
        <v>0</v>
      </c>
      <c r="O400" t="n">
        <v>0</v>
      </c>
      <c r="P400" t="n">
        <v>0</v>
      </c>
      <c r="Q400" t="n">
        <v>0</v>
      </c>
      <c r="R400" s="2" t="inlineStr"/>
    </row>
    <row r="401" ht="15" customHeight="1">
      <c r="A401" t="inlineStr">
        <is>
          <t>A 28487-2024</t>
        </is>
      </c>
      <c r="B401" s="1" t="n">
        <v>45477.75744212963</v>
      </c>
      <c r="C401" s="1" t="n">
        <v>45990</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23586-2023</t>
        </is>
      </c>
      <c r="B402" s="1" t="n">
        <v>45077</v>
      </c>
      <c r="C402" s="1" t="n">
        <v>45990</v>
      </c>
      <c r="D402" t="inlineStr">
        <is>
          <t>DALARNAS LÄN</t>
        </is>
      </c>
      <c r="E402" t="inlineStr">
        <is>
          <t>MORA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36846-2025</t>
        </is>
      </c>
      <c r="B403" s="1" t="n">
        <v>45874.38655092593</v>
      </c>
      <c r="C403" s="1" t="n">
        <v>45990</v>
      </c>
      <c r="D403" t="inlineStr">
        <is>
          <t>DALARNAS LÄN</t>
        </is>
      </c>
      <c r="E403" t="inlineStr">
        <is>
          <t>MORA</t>
        </is>
      </c>
      <c r="G403" t="n">
        <v>10.7</v>
      </c>
      <c r="H403" t="n">
        <v>0</v>
      </c>
      <c r="I403" t="n">
        <v>0</v>
      </c>
      <c r="J403" t="n">
        <v>0</v>
      </c>
      <c r="K403" t="n">
        <v>0</v>
      </c>
      <c r="L403" t="n">
        <v>0</v>
      </c>
      <c r="M403" t="n">
        <v>0</v>
      </c>
      <c r="N403" t="n">
        <v>0</v>
      </c>
      <c r="O403" t="n">
        <v>0</v>
      </c>
      <c r="P403" t="n">
        <v>0</v>
      </c>
      <c r="Q403" t="n">
        <v>0</v>
      </c>
      <c r="R403" s="2" t="inlineStr"/>
    </row>
    <row r="404" ht="15" customHeight="1">
      <c r="A404" t="inlineStr">
        <is>
          <t>A 22854-2023</t>
        </is>
      </c>
      <c r="B404" s="1" t="n">
        <v>45072</v>
      </c>
      <c r="C404" s="1" t="n">
        <v>45990</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54909-2025</t>
        </is>
      </c>
      <c r="B405" s="1" t="n">
        <v>45967.374375</v>
      </c>
      <c r="C405" s="1" t="n">
        <v>45990</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46090-2025</t>
        </is>
      </c>
      <c r="B406" s="1" t="n">
        <v>45924.5253125</v>
      </c>
      <c r="C406" s="1" t="n">
        <v>45990</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46091-2025</t>
        </is>
      </c>
      <c r="B407" s="1" t="n">
        <v>45924.52871527777</v>
      </c>
      <c r="C407" s="1" t="n">
        <v>45990</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58972-2023</t>
        </is>
      </c>
      <c r="B408" s="1" t="n">
        <v>45252</v>
      </c>
      <c r="C408" s="1" t="n">
        <v>45990</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54868-2025</t>
        </is>
      </c>
      <c r="B409" s="1" t="n">
        <v>45966.85649305556</v>
      </c>
      <c r="C409" s="1" t="n">
        <v>45990</v>
      </c>
      <c r="D409" t="inlineStr">
        <is>
          <t>DALARNAS LÄN</t>
        </is>
      </c>
      <c r="E409" t="inlineStr">
        <is>
          <t>MORA</t>
        </is>
      </c>
      <c r="F409" t="inlineStr">
        <is>
          <t>Bergvik skog väst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54910-2025</t>
        </is>
      </c>
      <c r="B410" s="1" t="n">
        <v>45967.37679398148</v>
      </c>
      <c r="C410" s="1" t="n">
        <v>45990</v>
      </c>
      <c r="D410" t="inlineStr">
        <is>
          <t>DALARNAS LÄN</t>
        </is>
      </c>
      <c r="E410" t="inlineStr">
        <is>
          <t>MORA</t>
        </is>
      </c>
      <c r="G410" t="n">
        <v>0.5</v>
      </c>
      <c r="H410" t="n">
        <v>0</v>
      </c>
      <c r="I410" t="n">
        <v>0</v>
      </c>
      <c r="J410" t="n">
        <v>0</v>
      </c>
      <c r="K410" t="n">
        <v>0</v>
      </c>
      <c r="L410" t="n">
        <v>0</v>
      </c>
      <c r="M410" t="n">
        <v>0</v>
      </c>
      <c r="N410" t="n">
        <v>0</v>
      </c>
      <c r="O410" t="n">
        <v>0</v>
      </c>
      <c r="P410" t="n">
        <v>0</v>
      </c>
      <c r="Q410" t="n">
        <v>0</v>
      </c>
      <c r="R410" s="2" t="inlineStr"/>
    </row>
    <row r="411" ht="15" customHeight="1">
      <c r="A411" t="inlineStr">
        <is>
          <t>A 37070-2025</t>
        </is>
      </c>
      <c r="B411" s="1" t="n">
        <v>45875.39822916667</v>
      </c>
      <c r="C411" s="1" t="n">
        <v>45990</v>
      </c>
      <c r="D411" t="inlineStr">
        <is>
          <t>DALARNAS LÄN</t>
        </is>
      </c>
      <c r="E411" t="inlineStr">
        <is>
          <t>MORA</t>
        </is>
      </c>
      <c r="G411" t="n">
        <v>2.7</v>
      </c>
      <c r="H411" t="n">
        <v>0</v>
      </c>
      <c r="I411" t="n">
        <v>0</v>
      </c>
      <c r="J411" t="n">
        <v>0</v>
      </c>
      <c r="K411" t="n">
        <v>0</v>
      </c>
      <c r="L411" t="n">
        <v>0</v>
      </c>
      <c r="M411" t="n">
        <v>0</v>
      </c>
      <c r="N411" t="n">
        <v>0</v>
      </c>
      <c r="O411" t="n">
        <v>0</v>
      </c>
      <c r="P411" t="n">
        <v>0</v>
      </c>
      <c r="Q411" t="n">
        <v>0</v>
      </c>
      <c r="R411" s="2" t="inlineStr"/>
    </row>
    <row r="412" ht="15" customHeight="1">
      <c r="A412" t="inlineStr">
        <is>
          <t>A 46283-2025</t>
        </is>
      </c>
      <c r="B412" s="1" t="n">
        <v>45925</v>
      </c>
      <c r="C412" s="1" t="n">
        <v>45990</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54862-2025</t>
        </is>
      </c>
      <c r="B413" s="1" t="n">
        <v>45966.76542824074</v>
      </c>
      <c r="C413" s="1" t="n">
        <v>45990</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37268-2025</t>
        </is>
      </c>
      <c r="B414" s="1" t="n">
        <v>45876.46681712963</v>
      </c>
      <c r="C414" s="1" t="n">
        <v>45990</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55135-2025</t>
        </is>
      </c>
      <c r="B415" s="1" t="n">
        <v>45968.42591435185</v>
      </c>
      <c r="C415" s="1" t="n">
        <v>45990</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55124-2025</t>
        </is>
      </c>
      <c r="B416" s="1" t="n">
        <v>45968.40621527778</v>
      </c>
      <c r="C416" s="1" t="n">
        <v>45990</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55262-2025</t>
        </is>
      </c>
      <c r="B417" s="1" t="n">
        <v>45968.64847222222</v>
      </c>
      <c r="C417" s="1" t="n">
        <v>45990</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44847.518125</v>
      </c>
      <c r="C418" s="1" t="n">
        <v>45990</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46525-2025</t>
        </is>
      </c>
      <c r="B419" s="1" t="n">
        <v>45926.3312962963</v>
      </c>
      <c r="C419" s="1" t="n">
        <v>45990</v>
      </c>
      <c r="D419" t="inlineStr">
        <is>
          <t>DALARNAS LÄN</t>
        </is>
      </c>
      <c r="E419" t="inlineStr">
        <is>
          <t>MORA</t>
        </is>
      </c>
      <c r="G419" t="n">
        <v>6.3</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45990</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37879-2025</t>
        </is>
      </c>
      <c r="B421" s="1" t="n">
        <v>45881.48791666667</v>
      </c>
      <c r="C421" s="1" t="n">
        <v>45990</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38086-2025</t>
        </is>
      </c>
      <c r="B422" s="1" t="n">
        <v>45882.47625</v>
      </c>
      <c r="C422" s="1" t="n">
        <v>45990</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53527-2024</t>
        </is>
      </c>
      <c r="B423" s="1" t="n">
        <v>45614.61569444444</v>
      </c>
      <c r="C423" s="1" t="n">
        <v>45990</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55123-2025</t>
        </is>
      </c>
      <c r="B424" s="1" t="n">
        <v>45968.40056712963</v>
      </c>
      <c r="C424" s="1" t="n">
        <v>45990</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38073-2025</t>
        </is>
      </c>
      <c r="B425" s="1" t="n">
        <v>45882</v>
      </c>
      <c r="C425" s="1" t="n">
        <v>45990</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15817-2024</t>
        </is>
      </c>
      <c r="B426" s="1" t="n">
        <v>45404.67387731482</v>
      </c>
      <c r="C426" s="1" t="n">
        <v>45990</v>
      </c>
      <c r="D426" t="inlineStr">
        <is>
          <t>DALARNAS LÄN</t>
        </is>
      </c>
      <c r="E426" t="inlineStr">
        <is>
          <t>MORA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16967-2025</t>
        </is>
      </c>
      <c r="B427" s="1" t="n">
        <v>45755.46106481482</v>
      </c>
      <c r="C427" s="1" t="n">
        <v>45990</v>
      </c>
      <c r="D427" t="inlineStr">
        <is>
          <t>DALARNAS LÄN</t>
        </is>
      </c>
      <c r="E427" t="inlineStr">
        <is>
          <t>MORA</t>
        </is>
      </c>
      <c r="F427" t="inlineStr">
        <is>
          <t>Bergvik skog öst AB</t>
        </is>
      </c>
      <c r="G427" t="n">
        <v>2.9</v>
      </c>
      <c r="H427" t="n">
        <v>0</v>
      </c>
      <c r="I427" t="n">
        <v>0</v>
      </c>
      <c r="J427" t="n">
        <v>0</v>
      </c>
      <c r="K427" t="n">
        <v>0</v>
      </c>
      <c r="L427" t="n">
        <v>0</v>
      </c>
      <c r="M427" t="n">
        <v>0</v>
      </c>
      <c r="N427" t="n">
        <v>0</v>
      </c>
      <c r="O427" t="n">
        <v>0</v>
      </c>
      <c r="P427" t="n">
        <v>0</v>
      </c>
      <c r="Q427" t="n">
        <v>0</v>
      </c>
      <c r="R427" s="2" t="inlineStr"/>
    </row>
    <row r="428" ht="15" customHeight="1">
      <c r="A428" t="inlineStr">
        <is>
          <t>A 46537-2025</t>
        </is>
      </c>
      <c r="B428" s="1" t="n">
        <v>45926.34195601852</v>
      </c>
      <c r="C428" s="1" t="n">
        <v>45990</v>
      </c>
      <c r="D428" t="inlineStr">
        <is>
          <t>DALARNAS LÄN</t>
        </is>
      </c>
      <c r="E428" t="inlineStr">
        <is>
          <t>MORA</t>
        </is>
      </c>
      <c r="G428" t="n">
        <v>10.6</v>
      </c>
      <c r="H428" t="n">
        <v>0</v>
      </c>
      <c r="I428" t="n">
        <v>0</v>
      </c>
      <c r="J428" t="n">
        <v>0</v>
      </c>
      <c r="K428" t="n">
        <v>0</v>
      </c>
      <c r="L428" t="n">
        <v>0</v>
      </c>
      <c r="M428" t="n">
        <v>0</v>
      </c>
      <c r="N428" t="n">
        <v>0</v>
      </c>
      <c r="O428" t="n">
        <v>0</v>
      </c>
      <c r="P428" t="n">
        <v>0</v>
      </c>
      <c r="Q428" t="n">
        <v>0</v>
      </c>
      <c r="R428" s="2" t="inlineStr"/>
    </row>
    <row r="429" ht="15" customHeight="1">
      <c r="A429" t="inlineStr">
        <is>
          <t>A 54548-2025</t>
        </is>
      </c>
      <c r="B429" s="1" t="n">
        <v>45965.6534837963</v>
      </c>
      <c r="C429" s="1" t="n">
        <v>45990</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61278-2024</t>
        </is>
      </c>
      <c r="B430" s="1" t="n">
        <v>45645.76561342592</v>
      </c>
      <c r="C430" s="1" t="n">
        <v>45990</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58116-2022</t>
        </is>
      </c>
      <c r="B431" s="1" t="n">
        <v>44900.65716435185</v>
      </c>
      <c r="C431" s="1" t="n">
        <v>45990</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47140-2025</t>
        </is>
      </c>
      <c r="B432" s="1" t="n">
        <v>45929</v>
      </c>
      <c r="C432" s="1" t="n">
        <v>45990</v>
      </c>
      <c r="D432" t="inlineStr">
        <is>
          <t>DALARNAS LÄN</t>
        </is>
      </c>
      <c r="E432" t="inlineStr">
        <is>
          <t>MORA</t>
        </is>
      </c>
      <c r="G432" t="n">
        <v>6.7</v>
      </c>
      <c r="H432" t="n">
        <v>0</v>
      </c>
      <c r="I432" t="n">
        <v>0</v>
      </c>
      <c r="J432" t="n">
        <v>0</v>
      </c>
      <c r="K432" t="n">
        <v>0</v>
      </c>
      <c r="L432" t="n">
        <v>0</v>
      </c>
      <c r="M432" t="n">
        <v>0</v>
      </c>
      <c r="N432" t="n">
        <v>0</v>
      </c>
      <c r="O432" t="n">
        <v>0</v>
      </c>
      <c r="P432" t="n">
        <v>0</v>
      </c>
      <c r="Q432" t="n">
        <v>0</v>
      </c>
      <c r="R432" s="2" t="inlineStr"/>
    </row>
    <row r="433" ht="15" customHeight="1">
      <c r="A433" t="inlineStr">
        <is>
          <t>A 55284-2025</t>
        </is>
      </c>
      <c r="B433" s="1" t="n">
        <v>45968.8227662037</v>
      </c>
      <c r="C433" s="1" t="n">
        <v>45990</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47055-2025</t>
        </is>
      </c>
      <c r="B434" s="1" t="n">
        <v>45929.61931712963</v>
      </c>
      <c r="C434" s="1" t="n">
        <v>45990</v>
      </c>
      <c r="D434" t="inlineStr">
        <is>
          <t>DALARNAS LÄN</t>
        </is>
      </c>
      <c r="E434" t="inlineStr">
        <is>
          <t>MORA</t>
        </is>
      </c>
      <c r="G434" t="n">
        <v>28.1</v>
      </c>
      <c r="H434" t="n">
        <v>0</v>
      </c>
      <c r="I434" t="n">
        <v>0</v>
      </c>
      <c r="J434" t="n">
        <v>0</v>
      </c>
      <c r="K434" t="n">
        <v>0</v>
      </c>
      <c r="L434" t="n">
        <v>0</v>
      </c>
      <c r="M434" t="n">
        <v>0</v>
      </c>
      <c r="N434" t="n">
        <v>0</v>
      </c>
      <c r="O434" t="n">
        <v>0</v>
      </c>
      <c r="P434" t="n">
        <v>0</v>
      </c>
      <c r="Q434" t="n">
        <v>0</v>
      </c>
      <c r="R434" s="2" t="inlineStr"/>
    </row>
    <row r="435" ht="15" customHeight="1">
      <c r="A435" t="inlineStr">
        <is>
          <t>A 47072-2025</t>
        </is>
      </c>
      <c r="B435" s="1" t="n">
        <v>45929.6365162037</v>
      </c>
      <c r="C435" s="1" t="n">
        <v>45990</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18992-2024</t>
        </is>
      </c>
      <c r="B436" s="1" t="n">
        <v>45427.61516203704</v>
      </c>
      <c r="C436" s="1" t="n">
        <v>45990</v>
      </c>
      <c r="D436" t="inlineStr">
        <is>
          <t>DALARNAS LÄN</t>
        </is>
      </c>
      <c r="E436" t="inlineStr">
        <is>
          <t>MORA</t>
        </is>
      </c>
      <c r="G436" t="n">
        <v>9.9</v>
      </c>
      <c r="H436" t="n">
        <v>0</v>
      </c>
      <c r="I436" t="n">
        <v>0</v>
      </c>
      <c r="J436" t="n">
        <v>0</v>
      </c>
      <c r="K436" t="n">
        <v>0</v>
      </c>
      <c r="L436" t="n">
        <v>0</v>
      </c>
      <c r="M436" t="n">
        <v>0</v>
      </c>
      <c r="N436" t="n">
        <v>0</v>
      </c>
      <c r="O436" t="n">
        <v>0</v>
      </c>
      <c r="P436" t="n">
        <v>0</v>
      </c>
      <c r="Q436" t="n">
        <v>0</v>
      </c>
      <c r="R436" s="2" t="inlineStr"/>
    </row>
    <row r="437" ht="15" customHeight="1">
      <c r="A437" t="inlineStr">
        <is>
          <t>A 60647-2022</t>
        </is>
      </c>
      <c r="B437" s="1" t="n">
        <v>44911</v>
      </c>
      <c r="C437" s="1" t="n">
        <v>45990</v>
      </c>
      <c r="D437" t="inlineStr">
        <is>
          <t>DALARNAS LÄN</t>
        </is>
      </c>
      <c r="E437" t="inlineStr">
        <is>
          <t>MORA</t>
        </is>
      </c>
      <c r="G437" t="n">
        <v>4.8</v>
      </c>
      <c r="H437" t="n">
        <v>0</v>
      </c>
      <c r="I437" t="n">
        <v>0</v>
      </c>
      <c r="J437" t="n">
        <v>0</v>
      </c>
      <c r="K437" t="n">
        <v>0</v>
      </c>
      <c r="L437" t="n">
        <v>0</v>
      </c>
      <c r="M437" t="n">
        <v>0</v>
      </c>
      <c r="N437" t="n">
        <v>0</v>
      </c>
      <c r="O437" t="n">
        <v>0</v>
      </c>
      <c r="P437" t="n">
        <v>0</v>
      </c>
      <c r="Q437" t="n">
        <v>0</v>
      </c>
      <c r="R437" s="2" t="inlineStr"/>
    </row>
    <row r="438" ht="15" customHeight="1">
      <c r="A438" t="inlineStr">
        <is>
          <t>A 56460-2022</t>
        </is>
      </c>
      <c r="B438" s="1" t="n">
        <v>44893</v>
      </c>
      <c r="C438" s="1" t="n">
        <v>45990</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437-2024</t>
        </is>
      </c>
      <c r="B439" s="1" t="n">
        <v>45296</v>
      </c>
      <c r="C439" s="1" t="n">
        <v>45990</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47414-2025</t>
        </is>
      </c>
      <c r="B440" s="1" t="n">
        <v>45930.61896990741</v>
      </c>
      <c r="C440" s="1" t="n">
        <v>45990</v>
      </c>
      <c r="D440" t="inlineStr">
        <is>
          <t>DALARNAS LÄN</t>
        </is>
      </c>
      <c r="E440" t="inlineStr">
        <is>
          <t>MORA</t>
        </is>
      </c>
      <c r="G440" t="n">
        <v>6.1</v>
      </c>
      <c r="H440" t="n">
        <v>0</v>
      </c>
      <c r="I440" t="n">
        <v>0</v>
      </c>
      <c r="J440" t="n">
        <v>0</v>
      </c>
      <c r="K440" t="n">
        <v>0</v>
      </c>
      <c r="L440" t="n">
        <v>0</v>
      </c>
      <c r="M440" t="n">
        <v>0</v>
      </c>
      <c r="N440" t="n">
        <v>0</v>
      </c>
      <c r="O440" t="n">
        <v>0</v>
      </c>
      <c r="P440" t="n">
        <v>0</v>
      </c>
      <c r="Q440" t="n">
        <v>0</v>
      </c>
      <c r="R440" s="2" t="inlineStr"/>
    </row>
    <row r="441" ht="15" customHeight="1">
      <c r="A441" t="inlineStr">
        <is>
          <t>A 47765-2025</t>
        </is>
      </c>
      <c r="B441" s="1" t="n">
        <v>45931.69100694444</v>
      </c>
      <c r="C441" s="1" t="n">
        <v>45990</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31395-2024</t>
        </is>
      </c>
      <c r="B442" s="1" t="n">
        <v>45505.47716435185</v>
      </c>
      <c r="C442" s="1" t="n">
        <v>45990</v>
      </c>
      <c r="D442" t="inlineStr">
        <is>
          <t>DALARNAS LÄN</t>
        </is>
      </c>
      <c r="E442" t="inlineStr">
        <is>
          <t>MORA</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47769-2025</t>
        </is>
      </c>
      <c r="B443" s="1" t="n">
        <v>45931.70715277778</v>
      </c>
      <c r="C443" s="1" t="n">
        <v>45990</v>
      </c>
      <c r="D443" t="inlineStr">
        <is>
          <t>DALARNAS LÄN</t>
        </is>
      </c>
      <c r="E443" t="inlineStr">
        <is>
          <t>MORA</t>
        </is>
      </c>
      <c r="G443" t="n">
        <v>6.7</v>
      </c>
      <c r="H443" t="n">
        <v>0</v>
      </c>
      <c r="I443" t="n">
        <v>0</v>
      </c>
      <c r="J443" t="n">
        <v>0</v>
      </c>
      <c r="K443" t="n">
        <v>0</v>
      </c>
      <c r="L443" t="n">
        <v>0</v>
      </c>
      <c r="M443" t="n">
        <v>0</v>
      </c>
      <c r="N443" t="n">
        <v>0</v>
      </c>
      <c r="O443" t="n">
        <v>0</v>
      </c>
      <c r="P443" t="n">
        <v>0</v>
      </c>
      <c r="Q443" t="n">
        <v>0</v>
      </c>
      <c r="R443" s="2" t="inlineStr"/>
    </row>
    <row r="444" ht="15" customHeight="1">
      <c r="A444" t="inlineStr">
        <is>
          <t>A 60847-2021</t>
        </is>
      </c>
      <c r="B444" s="1" t="n">
        <v>44497</v>
      </c>
      <c r="C444" s="1" t="n">
        <v>45990</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48376-2025</t>
        </is>
      </c>
      <c r="B445" s="1" t="n">
        <v>45933.71648148148</v>
      </c>
      <c r="C445" s="1" t="n">
        <v>45990</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47860-2025</t>
        </is>
      </c>
      <c r="B446" s="1" t="n">
        <v>45932.42298611111</v>
      </c>
      <c r="C446" s="1" t="n">
        <v>45990</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15435-2024</t>
        </is>
      </c>
      <c r="B447" s="1" t="n">
        <v>45401.40806712963</v>
      </c>
      <c r="C447" s="1" t="n">
        <v>45990</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31085-2024</t>
        </is>
      </c>
      <c r="B448" s="1" t="n">
        <v>45502.48047453703</v>
      </c>
      <c r="C448" s="1" t="n">
        <v>45990</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43863-2023</t>
        </is>
      </c>
      <c r="B449" s="1" t="n">
        <v>45187.62532407408</v>
      </c>
      <c r="C449" s="1" t="n">
        <v>45990</v>
      </c>
      <c r="D449" t="inlineStr">
        <is>
          <t>DALARNAS LÄN</t>
        </is>
      </c>
      <c r="E449" t="inlineStr">
        <is>
          <t>MORA</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44909.52385416667</v>
      </c>
      <c r="C450" s="1" t="n">
        <v>45990</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13262-2022</t>
        </is>
      </c>
      <c r="B451" s="1" t="n">
        <v>44644.70184027778</v>
      </c>
      <c r="C451" s="1" t="n">
        <v>45990</v>
      </c>
      <c r="D451" t="inlineStr">
        <is>
          <t>DALARNAS LÄN</t>
        </is>
      </c>
      <c r="E451" t="inlineStr">
        <is>
          <t>MORA</t>
        </is>
      </c>
      <c r="G451" t="n">
        <v>0.8</v>
      </c>
      <c r="H451" t="n">
        <v>0</v>
      </c>
      <c r="I451" t="n">
        <v>0</v>
      </c>
      <c r="J451" t="n">
        <v>0</v>
      </c>
      <c r="K451" t="n">
        <v>0</v>
      </c>
      <c r="L451" t="n">
        <v>0</v>
      </c>
      <c r="M451" t="n">
        <v>0</v>
      </c>
      <c r="N451" t="n">
        <v>0</v>
      </c>
      <c r="O451" t="n">
        <v>0</v>
      </c>
      <c r="P451" t="n">
        <v>0</v>
      </c>
      <c r="Q451" t="n">
        <v>0</v>
      </c>
      <c r="R451" s="2" t="inlineStr"/>
    </row>
    <row r="452" ht="15" customHeight="1">
      <c r="A452" t="inlineStr">
        <is>
          <t>A 56767-2023</t>
        </is>
      </c>
      <c r="B452" s="1" t="n">
        <v>45244</v>
      </c>
      <c r="C452" s="1" t="n">
        <v>45990</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45990</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15499-2024</t>
        </is>
      </c>
      <c r="B454" s="1" t="n">
        <v>45401.53798611111</v>
      </c>
      <c r="C454" s="1" t="n">
        <v>45990</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68415-2021</t>
        </is>
      </c>
      <c r="B455" s="1" t="n">
        <v>44529</v>
      </c>
      <c r="C455" s="1" t="n">
        <v>45990</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48377-2025</t>
        </is>
      </c>
      <c r="B456" s="1" t="n">
        <v>45933.71896990741</v>
      </c>
      <c r="C456" s="1" t="n">
        <v>45990</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15643-2025</t>
        </is>
      </c>
      <c r="B457" s="1" t="n">
        <v>45748.39222222222</v>
      </c>
      <c r="C457" s="1" t="n">
        <v>45990</v>
      </c>
      <c r="D457" t="inlineStr">
        <is>
          <t>DALARNAS LÄN</t>
        </is>
      </c>
      <c r="E457" t="inlineStr">
        <is>
          <t>MORA</t>
        </is>
      </c>
      <c r="G457" t="n">
        <v>7.6</v>
      </c>
      <c r="H457" t="n">
        <v>0</v>
      </c>
      <c r="I457" t="n">
        <v>0</v>
      </c>
      <c r="J457" t="n">
        <v>0</v>
      </c>
      <c r="K457" t="n">
        <v>0</v>
      </c>
      <c r="L457" t="n">
        <v>0</v>
      </c>
      <c r="M457" t="n">
        <v>0</v>
      </c>
      <c r="N457" t="n">
        <v>0</v>
      </c>
      <c r="O457" t="n">
        <v>0</v>
      </c>
      <c r="P457" t="n">
        <v>0</v>
      </c>
      <c r="Q457" t="n">
        <v>0</v>
      </c>
      <c r="R457" s="2" t="inlineStr"/>
    </row>
    <row r="458" ht="15" customHeight="1">
      <c r="A458" t="inlineStr">
        <is>
          <t>A 46755-2023</t>
        </is>
      </c>
      <c r="B458" s="1" t="n">
        <v>45198.61314814815</v>
      </c>
      <c r="C458" s="1" t="n">
        <v>45990</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56702-2025</t>
        </is>
      </c>
      <c r="B459" s="1" t="n">
        <v>45977.45586805556</v>
      </c>
      <c r="C459" s="1" t="n">
        <v>45990</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57101-2025</t>
        </is>
      </c>
      <c r="B460" s="1" t="n">
        <v>45979.44006944444</v>
      </c>
      <c r="C460" s="1" t="n">
        <v>45990</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18122-2025</t>
        </is>
      </c>
      <c r="B461" s="1" t="n">
        <v>45761.59221064814</v>
      </c>
      <c r="C461" s="1" t="n">
        <v>45990</v>
      </c>
      <c r="D461" t="inlineStr">
        <is>
          <t>DALARNAS LÄN</t>
        </is>
      </c>
      <c r="E461" t="inlineStr">
        <is>
          <t>MORA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56940-2025</t>
        </is>
      </c>
      <c r="B462" s="1" t="n">
        <v>45978.62241898148</v>
      </c>
      <c r="C462" s="1" t="n">
        <v>45990</v>
      </c>
      <c r="D462" t="inlineStr">
        <is>
          <t>DALARNAS LÄN</t>
        </is>
      </c>
      <c r="E462" t="inlineStr">
        <is>
          <t>MORA</t>
        </is>
      </c>
      <c r="G462" t="n">
        <v>18.1</v>
      </c>
      <c r="H462" t="n">
        <v>0</v>
      </c>
      <c r="I462" t="n">
        <v>0</v>
      </c>
      <c r="J462" t="n">
        <v>0</v>
      </c>
      <c r="K462" t="n">
        <v>0</v>
      </c>
      <c r="L462" t="n">
        <v>0</v>
      </c>
      <c r="M462" t="n">
        <v>0</v>
      </c>
      <c r="N462" t="n">
        <v>0</v>
      </c>
      <c r="O462" t="n">
        <v>0</v>
      </c>
      <c r="P462" t="n">
        <v>0</v>
      </c>
      <c r="Q462" t="n">
        <v>0</v>
      </c>
      <c r="R462" s="2" t="inlineStr"/>
    </row>
    <row r="463" ht="15" customHeight="1">
      <c r="A463" t="inlineStr">
        <is>
          <t>A 44817-2023</t>
        </is>
      </c>
      <c r="B463" s="1" t="n">
        <v>45190.51887731482</v>
      </c>
      <c r="C463" s="1" t="n">
        <v>45990</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57097-2025</t>
        </is>
      </c>
      <c r="B464" s="1" t="n">
        <v>45979.43388888889</v>
      </c>
      <c r="C464" s="1" t="n">
        <v>45990</v>
      </c>
      <c r="D464" t="inlineStr">
        <is>
          <t>DALARNAS LÄN</t>
        </is>
      </c>
      <c r="E464" t="inlineStr">
        <is>
          <t>MORA</t>
        </is>
      </c>
      <c r="G464" t="n">
        <v>7.5</v>
      </c>
      <c r="H464" t="n">
        <v>0</v>
      </c>
      <c r="I464" t="n">
        <v>0</v>
      </c>
      <c r="J464" t="n">
        <v>0</v>
      </c>
      <c r="K464" t="n">
        <v>0</v>
      </c>
      <c r="L464" t="n">
        <v>0</v>
      </c>
      <c r="M464" t="n">
        <v>0</v>
      </c>
      <c r="N464" t="n">
        <v>0</v>
      </c>
      <c r="O464" t="n">
        <v>0</v>
      </c>
      <c r="P464" t="n">
        <v>0</v>
      </c>
      <c r="Q464" t="n">
        <v>0</v>
      </c>
      <c r="R464" s="2" t="inlineStr"/>
    </row>
    <row r="465" ht="15" customHeight="1">
      <c r="A465" t="inlineStr">
        <is>
          <t>A 47716-2025</t>
        </is>
      </c>
      <c r="B465" s="1" t="n">
        <v>45931</v>
      </c>
      <c r="C465" s="1" t="n">
        <v>45990</v>
      </c>
      <c r="D465" t="inlineStr">
        <is>
          <t>DALARNAS LÄN</t>
        </is>
      </c>
      <c r="E465" t="inlineStr">
        <is>
          <t>MORA</t>
        </is>
      </c>
      <c r="G465" t="n">
        <v>8.9</v>
      </c>
      <c r="H465" t="n">
        <v>0</v>
      </c>
      <c r="I465" t="n">
        <v>0</v>
      </c>
      <c r="J465" t="n">
        <v>0</v>
      </c>
      <c r="K465" t="n">
        <v>0</v>
      </c>
      <c r="L465" t="n">
        <v>0</v>
      </c>
      <c r="M465" t="n">
        <v>0</v>
      </c>
      <c r="N465" t="n">
        <v>0</v>
      </c>
      <c r="O465" t="n">
        <v>0</v>
      </c>
      <c r="P465" t="n">
        <v>0</v>
      </c>
      <c r="Q465" t="n">
        <v>0</v>
      </c>
      <c r="R465" s="2" t="inlineStr"/>
    </row>
    <row r="466" ht="15" customHeight="1">
      <c r="A466" t="inlineStr">
        <is>
          <t>A 39511-2024</t>
        </is>
      </c>
      <c r="B466" s="1" t="n">
        <v>45551.68347222222</v>
      </c>
      <c r="C466" s="1" t="n">
        <v>45990</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48927-2025</t>
        </is>
      </c>
      <c r="B467" s="1" t="n">
        <v>45931</v>
      </c>
      <c r="C467" s="1" t="n">
        <v>45990</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57797-2022</t>
        </is>
      </c>
      <c r="B468" s="1" t="n">
        <v>44897</v>
      </c>
      <c r="C468" s="1" t="n">
        <v>45990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48926-2025</t>
        </is>
      </c>
      <c r="B469" s="1" t="n">
        <v>45937.50666666667</v>
      </c>
      <c r="C469" s="1" t="n">
        <v>45990</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27125-2024</t>
        </is>
      </c>
      <c r="B470" s="1" t="n">
        <v>45471</v>
      </c>
      <c r="C470" s="1" t="n">
        <v>45990</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48929-2025</t>
        </is>
      </c>
      <c r="B471" s="1" t="n">
        <v>45937.51315972222</v>
      </c>
      <c r="C471" s="1" t="n">
        <v>45990</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30822-2024</t>
        </is>
      </c>
      <c r="B472" s="1" t="n">
        <v>45497</v>
      </c>
      <c r="C472" s="1" t="n">
        <v>45990</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6371-2022</t>
        </is>
      </c>
      <c r="B473" s="1" t="n">
        <v>44600</v>
      </c>
      <c r="C473" s="1" t="n">
        <v>45990</v>
      </c>
      <c r="D473" t="inlineStr">
        <is>
          <t>DALARNAS LÄN</t>
        </is>
      </c>
      <c r="E473" t="inlineStr">
        <is>
          <t>MORA</t>
        </is>
      </c>
      <c r="G473" t="n">
        <v>4.6</v>
      </c>
      <c r="H473" t="n">
        <v>0</v>
      </c>
      <c r="I473" t="n">
        <v>0</v>
      </c>
      <c r="J473" t="n">
        <v>0</v>
      </c>
      <c r="K473" t="n">
        <v>0</v>
      </c>
      <c r="L473" t="n">
        <v>0</v>
      </c>
      <c r="M473" t="n">
        <v>0</v>
      </c>
      <c r="N473" t="n">
        <v>0</v>
      </c>
      <c r="O473" t="n">
        <v>0</v>
      </c>
      <c r="P473" t="n">
        <v>0</v>
      </c>
      <c r="Q473" t="n">
        <v>0</v>
      </c>
      <c r="R473" s="2" t="inlineStr"/>
    </row>
    <row r="474" ht="15" customHeight="1">
      <c r="A474" t="inlineStr">
        <is>
          <t>A 49404-2025</t>
        </is>
      </c>
      <c r="B474" s="1" t="n">
        <v>45938.67662037037</v>
      </c>
      <c r="C474" s="1" t="n">
        <v>45990</v>
      </c>
      <c r="D474" t="inlineStr">
        <is>
          <t>DALARNAS LÄN</t>
        </is>
      </c>
      <c r="E474" t="inlineStr">
        <is>
          <t>MORA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57855-2025</t>
        </is>
      </c>
      <c r="B475" s="1" t="n">
        <v>45981.63909722222</v>
      </c>
      <c r="C475" s="1" t="n">
        <v>45990</v>
      </c>
      <c r="D475" t="inlineStr">
        <is>
          <t>DALARNAS LÄN</t>
        </is>
      </c>
      <c r="E475" t="inlineStr">
        <is>
          <t>MORA</t>
        </is>
      </c>
      <c r="G475" t="n">
        <v>9.9</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45990</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49401-2025</t>
        </is>
      </c>
      <c r="B477" s="1" t="n">
        <v>45938.66932870371</v>
      </c>
      <c r="C477" s="1" t="n">
        <v>45990</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20126-2025</t>
        </is>
      </c>
      <c r="B478" s="1" t="n">
        <v>45772.49640046297</v>
      </c>
      <c r="C478" s="1" t="n">
        <v>45990</v>
      </c>
      <c r="D478" t="inlineStr">
        <is>
          <t>DALARNAS LÄN</t>
        </is>
      </c>
      <c r="E478" t="inlineStr">
        <is>
          <t>MORA</t>
        </is>
      </c>
      <c r="G478" t="n">
        <v>12.1</v>
      </c>
      <c r="H478" t="n">
        <v>0</v>
      </c>
      <c r="I478" t="n">
        <v>0</v>
      </c>
      <c r="J478" t="n">
        <v>0</v>
      </c>
      <c r="K478" t="n">
        <v>0</v>
      </c>
      <c r="L478" t="n">
        <v>0</v>
      </c>
      <c r="M478" t="n">
        <v>0</v>
      </c>
      <c r="N478" t="n">
        <v>0</v>
      </c>
      <c r="O478" t="n">
        <v>0</v>
      </c>
      <c r="P478" t="n">
        <v>0</v>
      </c>
      <c r="Q478" t="n">
        <v>0</v>
      </c>
      <c r="R478" s="2" t="inlineStr"/>
    </row>
    <row r="479" ht="15" customHeight="1">
      <c r="A479" t="inlineStr">
        <is>
          <t>A 57843-2025</t>
        </is>
      </c>
      <c r="B479" s="1" t="n">
        <v>45981.62792824074</v>
      </c>
      <c r="C479" s="1" t="n">
        <v>45990</v>
      </c>
      <c r="D479" t="inlineStr">
        <is>
          <t>DALARNAS LÄN</t>
        </is>
      </c>
      <c r="E479" t="inlineStr">
        <is>
          <t>MORA</t>
        </is>
      </c>
      <c r="G479" t="n">
        <v>4.5</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45980.5122337963</v>
      </c>
      <c r="C480" s="1" t="n">
        <v>45990</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27420-2024</t>
        </is>
      </c>
      <c r="B481" s="1" t="n">
        <v>45474.37850694444</v>
      </c>
      <c r="C481" s="1" t="n">
        <v>45990</v>
      </c>
      <c r="D481" t="inlineStr">
        <is>
          <t>DALARNAS LÄN</t>
        </is>
      </c>
      <c r="E481" t="inlineStr">
        <is>
          <t>MORA</t>
        </is>
      </c>
      <c r="G481" t="n">
        <v>7.3</v>
      </c>
      <c r="H481" t="n">
        <v>0</v>
      </c>
      <c r="I481" t="n">
        <v>0</v>
      </c>
      <c r="J481" t="n">
        <v>0</v>
      </c>
      <c r="K481" t="n">
        <v>0</v>
      </c>
      <c r="L481" t="n">
        <v>0</v>
      </c>
      <c r="M481" t="n">
        <v>0</v>
      </c>
      <c r="N481" t="n">
        <v>0</v>
      </c>
      <c r="O481" t="n">
        <v>0</v>
      </c>
      <c r="P481" t="n">
        <v>0</v>
      </c>
      <c r="Q481" t="n">
        <v>0</v>
      </c>
      <c r="R481" s="2" t="inlineStr"/>
    </row>
    <row r="482" ht="15" customHeight="1">
      <c r="A482" t="inlineStr">
        <is>
          <t>A 39344-2024</t>
        </is>
      </c>
      <c r="B482" s="1" t="n">
        <v>45551.44503472222</v>
      </c>
      <c r="C482" s="1" t="n">
        <v>45990</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24590-2024</t>
        </is>
      </c>
      <c r="B483" s="1" t="n">
        <v>45460</v>
      </c>
      <c r="C483" s="1" t="n">
        <v>45990</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49574-2025</t>
        </is>
      </c>
      <c r="B484" s="1" t="n">
        <v>45939.49045138889</v>
      </c>
      <c r="C484" s="1" t="n">
        <v>45990</v>
      </c>
      <c r="D484" t="inlineStr">
        <is>
          <t>DALARNAS LÄN</t>
        </is>
      </c>
      <c r="E484" t="inlineStr">
        <is>
          <t>MORA</t>
        </is>
      </c>
      <c r="G484" t="n">
        <v>6.3</v>
      </c>
      <c r="H484" t="n">
        <v>0</v>
      </c>
      <c r="I484" t="n">
        <v>0</v>
      </c>
      <c r="J484" t="n">
        <v>0</v>
      </c>
      <c r="K484" t="n">
        <v>0</v>
      </c>
      <c r="L484" t="n">
        <v>0</v>
      </c>
      <c r="M484" t="n">
        <v>0</v>
      </c>
      <c r="N484" t="n">
        <v>0</v>
      </c>
      <c r="O484" t="n">
        <v>0</v>
      </c>
      <c r="P484" t="n">
        <v>0</v>
      </c>
      <c r="Q484" t="n">
        <v>0</v>
      </c>
      <c r="R484" s="2" t="inlineStr"/>
    </row>
    <row r="485" ht="15" customHeight="1">
      <c r="A485" t="inlineStr">
        <is>
          <t>A 57647-2025</t>
        </is>
      </c>
      <c r="B485" s="1" t="n">
        <v>45981.37621527778</v>
      </c>
      <c r="C485" s="1" t="n">
        <v>45990</v>
      </c>
      <c r="D485" t="inlineStr">
        <is>
          <t>DALARNAS LÄN</t>
        </is>
      </c>
      <c r="E485" t="inlineStr">
        <is>
          <t>MORA</t>
        </is>
      </c>
      <c r="G485" t="n">
        <v>3.9</v>
      </c>
      <c r="H485" t="n">
        <v>0</v>
      </c>
      <c r="I485" t="n">
        <v>0</v>
      </c>
      <c r="J485" t="n">
        <v>0</v>
      </c>
      <c r="K485" t="n">
        <v>0</v>
      </c>
      <c r="L485" t="n">
        <v>0</v>
      </c>
      <c r="M485" t="n">
        <v>0</v>
      </c>
      <c r="N485" t="n">
        <v>0</v>
      </c>
      <c r="O485" t="n">
        <v>0</v>
      </c>
      <c r="P485" t="n">
        <v>0</v>
      </c>
      <c r="Q485" t="n">
        <v>0</v>
      </c>
      <c r="R485" s="2" t="inlineStr"/>
    </row>
    <row r="486" ht="15" customHeight="1">
      <c r="A486" t="inlineStr">
        <is>
          <t>A 57659-2025</t>
        </is>
      </c>
      <c r="B486" s="1" t="n">
        <v>45981.41228009259</v>
      </c>
      <c r="C486" s="1" t="n">
        <v>45990</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58003-2025</t>
        </is>
      </c>
      <c r="B487" s="1" t="n">
        <v>45982.44465277778</v>
      </c>
      <c r="C487" s="1" t="n">
        <v>45990</v>
      </c>
      <c r="D487" t="inlineStr">
        <is>
          <t>DALARNAS LÄN</t>
        </is>
      </c>
      <c r="E487" t="inlineStr">
        <is>
          <t>MORA</t>
        </is>
      </c>
      <c r="F487" t="inlineStr">
        <is>
          <t>Allmännings- och besparingsskogar</t>
        </is>
      </c>
      <c r="G487" t="n">
        <v>12.3</v>
      </c>
      <c r="H487" t="n">
        <v>0</v>
      </c>
      <c r="I487" t="n">
        <v>0</v>
      </c>
      <c r="J487" t="n">
        <v>0</v>
      </c>
      <c r="K487" t="n">
        <v>0</v>
      </c>
      <c r="L487" t="n">
        <v>0</v>
      </c>
      <c r="M487" t="n">
        <v>0</v>
      </c>
      <c r="N487" t="n">
        <v>0</v>
      </c>
      <c r="O487" t="n">
        <v>0</v>
      </c>
      <c r="P487" t="n">
        <v>0</v>
      </c>
      <c r="Q487" t="n">
        <v>0</v>
      </c>
      <c r="R487" s="2" t="inlineStr"/>
    </row>
    <row r="488" ht="15" customHeight="1">
      <c r="A488" t="inlineStr">
        <is>
          <t>A 24169-2022</t>
        </is>
      </c>
      <c r="B488" s="1" t="n">
        <v>44725.50280092593</v>
      </c>
      <c r="C488" s="1" t="n">
        <v>45990</v>
      </c>
      <c r="D488" t="inlineStr">
        <is>
          <t>DALARNAS LÄN</t>
        </is>
      </c>
      <c r="E488" t="inlineStr">
        <is>
          <t>MORA</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43641-2022</t>
        </is>
      </c>
      <c r="B489" s="1" t="n">
        <v>44837</v>
      </c>
      <c r="C489" s="1" t="n">
        <v>45990</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53750-2024</t>
        </is>
      </c>
      <c r="B490" s="1" t="n">
        <v>45615.48465277778</v>
      </c>
      <c r="C490" s="1" t="n">
        <v>45990</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49828-2025</t>
        </is>
      </c>
      <c r="B491" s="1" t="n">
        <v>45940.44993055556</v>
      </c>
      <c r="C491" s="1" t="n">
        <v>45990</v>
      </c>
      <c r="D491" t="inlineStr">
        <is>
          <t>DALARNAS LÄN</t>
        </is>
      </c>
      <c r="E491" t="inlineStr">
        <is>
          <t>MORA</t>
        </is>
      </c>
      <c r="G491" t="n">
        <v>2.1</v>
      </c>
      <c r="H491" t="n">
        <v>0</v>
      </c>
      <c r="I491" t="n">
        <v>0</v>
      </c>
      <c r="J491" t="n">
        <v>0</v>
      </c>
      <c r="K491" t="n">
        <v>0</v>
      </c>
      <c r="L491" t="n">
        <v>0</v>
      </c>
      <c r="M491" t="n">
        <v>0</v>
      </c>
      <c r="N491" t="n">
        <v>0</v>
      </c>
      <c r="O491" t="n">
        <v>0</v>
      </c>
      <c r="P491" t="n">
        <v>0</v>
      </c>
      <c r="Q491" t="n">
        <v>0</v>
      </c>
      <c r="R491" s="2" t="inlineStr"/>
    </row>
    <row r="492" ht="15" customHeight="1">
      <c r="A492" t="inlineStr">
        <is>
          <t>A 58473-2025</t>
        </is>
      </c>
      <c r="B492" s="1" t="n">
        <v>45985.63859953704</v>
      </c>
      <c r="C492" s="1" t="n">
        <v>45990</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58169-2025</t>
        </is>
      </c>
      <c r="B493" s="1" t="n">
        <v>45982.72690972222</v>
      </c>
      <c r="C493" s="1" t="n">
        <v>45990</v>
      </c>
      <c r="D493" t="inlineStr">
        <is>
          <t>DALARNAS LÄN</t>
        </is>
      </c>
      <c r="E493" t="inlineStr">
        <is>
          <t>MORA</t>
        </is>
      </c>
      <c r="F493" t="inlineStr">
        <is>
          <t>Bergvik skog väst AB</t>
        </is>
      </c>
      <c r="G493" t="n">
        <v>7.7</v>
      </c>
      <c r="H493" t="n">
        <v>0</v>
      </c>
      <c r="I493" t="n">
        <v>0</v>
      </c>
      <c r="J493" t="n">
        <v>0</v>
      </c>
      <c r="K493" t="n">
        <v>0</v>
      </c>
      <c r="L493" t="n">
        <v>0</v>
      </c>
      <c r="M493" t="n">
        <v>0</v>
      </c>
      <c r="N493" t="n">
        <v>0</v>
      </c>
      <c r="O493" t="n">
        <v>0</v>
      </c>
      <c r="P493" t="n">
        <v>0</v>
      </c>
      <c r="Q493" t="n">
        <v>0</v>
      </c>
      <c r="R493" s="2" t="inlineStr"/>
    </row>
    <row r="494" ht="15" customHeight="1">
      <c r="A494" t="inlineStr">
        <is>
          <t>A 10777-2025</t>
        </is>
      </c>
      <c r="B494" s="1" t="n">
        <v>45722.47743055555</v>
      </c>
      <c r="C494" s="1" t="n">
        <v>45990</v>
      </c>
      <c r="D494" t="inlineStr">
        <is>
          <t>DALARNAS LÄN</t>
        </is>
      </c>
      <c r="E494" t="inlineStr">
        <is>
          <t>MORA</t>
        </is>
      </c>
      <c r="G494" t="n">
        <v>9.9</v>
      </c>
      <c r="H494" t="n">
        <v>0</v>
      </c>
      <c r="I494" t="n">
        <v>0</v>
      </c>
      <c r="J494" t="n">
        <v>0</v>
      </c>
      <c r="K494" t="n">
        <v>0</v>
      </c>
      <c r="L494" t="n">
        <v>0</v>
      </c>
      <c r="M494" t="n">
        <v>0</v>
      </c>
      <c r="N494" t="n">
        <v>0</v>
      </c>
      <c r="O494" t="n">
        <v>0</v>
      </c>
      <c r="P494" t="n">
        <v>0</v>
      </c>
      <c r="Q494" t="n">
        <v>0</v>
      </c>
      <c r="R494" s="2" t="inlineStr"/>
    </row>
    <row r="495" ht="15" customHeight="1">
      <c r="A495" t="inlineStr">
        <is>
          <t>A 19842-2025</t>
        </is>
      </c>
      <c r="B495" s="1" t="n">
        <v>45771.47938657407</v>
      </c>
      <c r="C495" s="1" t="n">
        <v>45990</v>
      </c>
      <c r="D495" t="inlineStr">
        <is>
          <t>DALARNAS LÄN</t>
        </is>
      </c>
      <c r="E495" t="inlineStr">
        <is>
          <t>MORA</t>
        </is>
      </c>
      <c r="G495" t="n">
        <v>1.9</v>
      </c>
      <c r="H495" t="n">
        <v>0</v>
      </c>
      <c r="I495" t="n">
        <v>0</v>
      </c>
      <c r="J495" t="n">
        <v>0</v>
      </c>
      <c r="K495" t="n">
        <v>0</v>
      </c>
      <c r="L495" t="n">
        <v>0</v>
      </c>
      <c r="M495" t="n">
        <v>0</v>
      </c>
      <c r="N495" t="n">
        <v>0</v>
      </c>
      <c r="O495" t="n">
        <v>0</v>
      </c>
      <c r="P495" t="n">
        <v>0</v>
      </c>
      <c r="Q495" t="n">
        <v>0</v>
      </c>
      <c r="R495" s="2" t="inlineStr"/>
    </row>
    <row r="496" ht="15" customHeight="1">
      <c r="A496" t="inlineStr">
        <is>
          <t>A 44177-2023</t>
        </is>
      </c>
      <c r="B496" s="1" t="n">
        <v>45188.51439814815</v>
      </c>
      <c r="C496" s="1" t="n">
        <v>45990</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58001-2025</t>
        </is>
      </c>
      <c r="B497" s="1" t="n">
        <v>45982.43615740741</v>
      </c>
      <c r="C497" s="1" t="n">
        <v>45990</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18134-2025</t>
        </is>
      </c>
      <c r="B498" s="1" t="n">
        <v>45761.60189814815</v>
      </c>
      <c r="C498" s="1" t="n">
        <v>45990</v>
      </c>
      <c r="D498" t="inlineStr">
        <is>
          <t>DALARNAS LÄN</t>
        </is>
      </c>
      <c r="E498" t="inlineStr">
        <is>
          <t>MORA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57976-2025</t>
        </is>
      </c>
      <c r="B499" s="1" t="n">
        <v>45982.39435185185</v>
      </c>
      <c r="C499" s="1" t="n">
        <v>45990</v>
      </c>
      <c r="D499" t="inlineStr">
        <is>
          <t>DALARNAS LÄN</t>
        </is>
      </c>
      <c r="E499" t="inlineStr">
        <is>
          <t>MORA</t>
        </is>
      </c>
      <c r="G499" t="n">
        <v>7.4</v>
      </c>
      <c r="H499" t="n">
        <v>0</v>
      </c>
      <c r="I499" t="n">
        <v>0</v>
      </c>
      <c r="J499" t="n">
        <v>0</v>
      </c>
      <c r="K499" t="n">
        <v>0</v>
      </c>
      <c r="L499" t="n">
        <v>0</v>
      </c>
      <c r="M499" t="n">
        <v>0</v>
      </c>
      <c r="N499" t="n">
        <v>0</v>
      </c>
      <c r="O499" t="n">
        <v>0</v>
      </c>
      <c r="P499" t="n">
        <v>0</v>
      </c>
      <c r="Q499" t="n">
        <v>0</v>
      </c>
      <c r="R499" s="2" t="inlineStr"/>
    </row>
    <row r="500" ht="15" customHeight="1">
      <c r="A500" t="inlineStr">
        <is>
          <t>A 58478-2025</t>
        </is>
      </c>
      <c r="B500" s="1" t="n">
        <v>45985.64645833334</v>
      </c>
      <c r="C500" s="1" t="n">
        <v>45990</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35327-2024</t>
        </is>
      </c>
      <c r="B501" s="1" t="n">
        <v>45530.71334490741</v>
      </c>
      <c r="C501" s="1" t="n">
        <v>45990</v>
      </c>
      <c r="D501" t="inlineStr">
        <is>
          <t>DALARNAS LÄN</t>
        </is>
      </c>
      <c r="E501" t="inlineStr">
        <is>
          <t>MORA</t>
        </is>
      </c>
      <c r="G501" t="n">
        <v>5</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45990</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442-2024</t>
        </is>
      </c>
      <c r="B503" s="1" t="n">
        <v>45296.60353009259</v>
      </c>
      <c r="C503" s="1" t="n">
        <v>45990</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501-2024</t>
        </is>
      </c>
      <c r="B504" s="1" t="n">
        <v>45299</v>
      </c>
      <c r="C504" s="1" t="n">
        <v>45990</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47686-2025</t>
        </is>
      </c>
      <c r="B505" s="1" t="n">
        <v>45931</v>
      </c>
      <c r="C505" s="1" t="n">
        <v>45990</v>
      </c>
      <c r="D505" t="inlineStr">
        <is>
          <t>DALARNAS LÄN</t>
        </is>
      </c>
      <c r="E505" t="inlineStr">
        <is>
          <t>MORA</t>
        </is>
      </c>
      <c r="G505" t="n">
        <v>1.3</v>
      </c>
      <c r="H505" t="n">
        <v>0</v>
      </c>
      <c r="I505" t="n">
        <v>0</v>
      </c>
      <c r="J505" t="n">
        <v>0</v>
      </c>
      <c r="K505" t="n">
        <v>0</v>
      </c>
      <c r="L505" t="n">
        <v>0</v>
      </c>
      <c r="M505" t="n">
        <v>0</v>
      </c>
      <c r="N505" t="n">
        <v>0</v>
      </c>
      <c r="O505" t="n">
        <v>0</v>
      </c>
      <c r="P505" t="n">
        <v>0</v>
      </c>
      <c r="Q505" t="n">
        <v>0</v>
      </c>
      <c r="R505" s="2" t="inlineStr"/>
    </row>
    <row r="506" ht="15" customHeight="1">
      <c r="A506" t="inlineStr">
        <is>
          <t>A 48570-2022</t>
        </is>
      </c>
      <c r="B506" s="1" t="n">
        <v>44859</v>
      </c>
      <c r="C506" s="1" t="n">
        <v>45990</v>
      </c>
      <c r="D506" t="inlineStr">
        <is>
          <t>DALARNAS LÄN</t>
        </is>
      </c>
      <c r="E506" t="inlineStr">
        <is>
          <t>MORA</t>
        </is>
      </c>
      <c r="G506" t="n">
        <v>6.2</v>
      </c>
      <c r="H506" t="n">
        <v>0</v>
      </c>
      <c r="I506" t="n">
        <v>0</v>
      </c>
      <c r="J506" t="n">
        <v>0</v>
      </c>
      <c r="K506" t="n">
        <v>0</v>
      </c>
      <c r="L506" t="n">
        <v>0</v>
      </c>
      <c r="M506" t="n">
        <v>0</v>
      </c>
      <c r="N506" t="n">
        <v>0</v>
      </c>
      <c r="O506" t="n">
        <v>0</v>
      </c>
      <c r="P506" t="n">
        <v>0</v>
      </c>
      <c r="Q506" t="n">
        <v>0</v>
      </c>
      <c r="R506" s="2" t="inlineStr"/>
    </row>
    <row r="507" ht="15" customHeight="1">
      <c r="A507" t="inlineStr">
        <is>
          <t>A 19814-2025</t>
        </is>
      </c>
      <c r="B507" s="1" t="n">
        <v>45771.45686342593</v>
      </c>
      <c r="C507" s="1" t="n">
        <v>45990</v>
      </c>
      <c r="D507" t="inlineStr">
        <is>
          <t>DALARNAS LÄN</t>
        </is>
      </c>
      <c r="E507" t="inlineStr">
        <is>
          <t>MORA</t>
        </is>
      </c>
      <c r="G507" t="n">
        <v>2.1</v>
      </c>
      <c r="H507" t="n">
        <v>0</v>
      </c>
      <c r="I507" t="n">
        <v>0</v>
      </c>
      <c r="J507" t="n">
        <v>0</v>
      </c>
      <c r="K507" t="n">
        <v>0</v>
      </c>
      <c r="L507" t="n">
        <v>0</v>
      </c>
      <c r="M507" t="n">
        <v>0</v>
      </c>
      <c r="N507" t="n">
        <v>0</v>
      </c>
      <c r="O507" t="n">
        <v>0</v>
      </c>
      <c r="P507" t="n">
        <v>0</v>
      </c>
      <c r="Q507" t="n">
        <v>0</v>
      </c>
      <c r="R507" s="2" t="inlineStr"/>
    </row>
    <row r="508" ht="15" customHeight="1">
      <c r="A508" t="inlineStr">
        <is>
          <t>A 60526-2023</t>
        </is>
      </c>
      <c r="B508" s="1" t="n">
        <v>45259</v>
      </c>
      <c r="C508" s="1" t="n">
        <v>45990</v>
      </c>
      <c r="D508" t="inlineStr">
        <is>
          <t>DALARNAS LÄN</t>
        </is>
      </c>
      <c r="E508" t="inlineStr">
        <is>
          <t>MORA</t>
        </is>
      </c>
      <c r="G508" t="n">
        <v>6.7</v>
      </c>
      <c r="H508" t="n">
        <v>0</v>
      </c>
      <c r="I508" t="n">
        <v>0</v>
      </c>
      <c r="J508" t="n">
        <v>0</v>
      </c>
      <c r="K508" t="n">
        <v>0</v>
      </c>
      <c r="L508" t="n">
        <v>0</v>
      </c>
      <c r="M508" t="n">
        <v>0</v>
      </c>
      <c r="N508" t="n">
        <v>0</v>
      </c>
      <c r="O508" t="n">
        <v>0</v>
      </c>
      <c r="P508" t="n">
        <v>0</v>
      </c>
      <c r="Q508" t="n">
        <v>0</v>
      </c>
      <c r="R508" s="2" t="inlineStr"/>
    </row>
    <row r="509" ht="15" customHeight="1">
      <c r="A509" t="inlineStr">
        <is>
          <t>A 53341-2023</t>
        </is>
      </c>
      <c r="B509" s="1" t="n">
        <v>45229</v>
      </c>
      <c r="C509" s="1" t="n">
        <v>45990</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45990</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45990</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3531-2024</t>
        </is>
      </c>
      <c r="B512" s="1" t="n">
        <v>45320</v>
      </c>
      <c r="C512" s="1" t="n">
        <v>45990</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c r="U512">
        <f>HYPERLINK("https://klasma.github.io/Logging_2062/knärot/A 3531-2024 karta knärot.png", "A 3531-2024")</f>
        <v/>
      </c>
      <c r="V512">
        <f>HYPERLINK("https://klasma.github.io/Logging_2062/klagomål/A 3531-2024 FSC-klagomål.docx", "A 3531-2024")</f>
        <v/>
      </c>
      <c r="W512">
        <f>HYPERLINK("https://klasma.github.io/Logging_2062/klagomålsmail/A 3531-2024 FSC-klagomål mail.docx", "A 3531-2024")</f>
        <v/>
      </c>
      <c r="X512">
        <f>HYPERLINK("https://klasma.github.io/Logging_2062/tillsyn/A 3531-2024 tillsynsbegäran.docx", "A 3531-2024")</f>
        <v/>
      </c>
      <c r="Y512">
        <f>HYPERLINK("https://klasma.github.io/Logging_2062/tillsynsmail/A 3531-2024 tillsynsbegäran mail.docx", "A 3531-2024")</f>
        <v/>
      </c>
    </row>
    <row r="513" ht="15" customHeight="1">
      <c r="A513" t="inlineStr">
        <is>
          <t>A 45475-2023</t>
        </is>
      </c>
      <c r="B513" s="1" t="n">
        <v>45188</v>
      </c>
      <c r="C513" s="1" t="n">
        <v>45990</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44071-2024</t>
        </is>
      </c>
      <c r="B514" s="1" t="n">
        <v>45572.60915509259</v>
      </c>
      <c r="C514" s="1" t="n">
        <v>45990</v>
      </c>
      <c r="D514" t="inlineStr">
        <is>
          <t>DALARNAS LÄN</t>
        </is>
      </c>
      <c r="E514" t="inlineStr">
        <is>
          <t>MORA</t>
        </is>
      </c>
      <c r="G514" t="n">
        <v>4.5</v>
      </c>
      <c r="H514" t="n">
        <v>0</v>
      </c>
      <c r="I514" t="n">
        <v>0</v>
      </c>
      <c r="J514" t="n">
        <v>0</v>
      </c>
      <c r="K514" t="n">
        <v>0</v>
      </c>
      <c r="L514" t="n">
        <v>0</v>
      </c>
      <c r="M514" t="n">
        <v>0</v>
      </c>
      <c r="N514" t="n">
        <v>0</v>
      </c>
      <c r="O514" t="n">
        <v>0</v>
      </c>
      <c r="P514" t="n">
        <v>0</v>
      </c>
      <c r="Q514" t="n">
        <v>0</v>
      </c>
      <c r="R514" s="2" t="inlineStr"/>
    </row>
    <row r="515" ht="15" customHeight="1">
      <c r="A515" t="inlineStr">
        <is>
          <t>A 11463-2024</t>
        </is>
      </c>
      <c r="B515" s="1" t="n">
        <v>45372.58969907407</v>
      </c>
      <c r="C515" s="1" t="n">
        <v>45990</v>
      </c>
      <c r="D515" t="inlineStr">
        <is>
          <t>DALARNAS LÄN</t>
        </is>
      </c>
      <c r="E515" t="inlineStr">
        <is>
          <t>MORA</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57903-2022</t>
        </is>
      </c>
      <c r="B516" s="1" t="n">
        <v>44900.3521412037</v>
      </c>
      <c r="C516" s="1" t="n">
        <v>45990</v>
      </c>
      <c r="D516" t="inlineStr">
        <is>
          <t>DALARNAS LÄN</t>
        </is>
      </c>
      <c r="E516" t="inlineStr">
        <is>
          <t>MORA</t>
        </is>
      </c>
      <c r="G516" t="n">
        <v>4.3</v>
      </c>
      <c r="H516" t="n">
        <v>0</v>
      </c>
      <c r="I516" t="n">
        <v>0</v>
      </c>
      <c r="J516" t="n">
        <v>0</v>
      </c>
      <c r="K516" t="n">
        <v>0</v>
      </c>
      <c r="L516" t="n">
        <v>0</v>
      </c>
      <c r="M516" t="n">
        <v>0</v>
      </c>
      <c r="N516" t="n">
        <v>0</v>
      </c>
      <c r="O516" t="n">
        <v>0</v>
      </c>
      <c r="P516" t="n">
        <v>0</v>
      </c>
      <c r="Q516" t="n">
        <v>0</v>
      </c>
      <c r="R516" s="2" t="inlineStr"/>
    </row>
    <row r="517" ht="15" customHeight="1">
      <c r="A517" t="inlineStr">
        <is>
          <t>A 46129-2024</t>
        </is>
      </c>
      <c r="B517" s="1" t="n">
        <v>45581.43337962963</v>
      </c>
      <c r="C517" s="1" t="n">
        <v>45990</v>
      </c>
      <c r="D517" t="inlineStr">
        <is>
          <t>DALARNAS LÄN</t>
        </is>
      </c>
      <c r="E517" t="inlineStr">
        <is>
          <t>MORA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19193-2025</t>
        </is>
      </c>
      <c r="B518" s="1" t="n">
        <v>45769.42203703704</v>
      </c>
      <c r="C518" s="1" t="n">
        <v>45990</v>
      </c>
      <c r="D518" t="inlineStr">
        <is>
          <t>DALARNAS LÄN</t>
        </is>
      </c>
      <c r="E518" t="inlineStr">
        <is>
          <t>MORA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6183-2024</t>
        </is>
      </c>
      <c r="B519" s="1" t="n">
        <v>45337.54135416666</v>
      </c>
      <c r="C519" s="1" t="n">
        <v>45990</v>
      </c>
      <c r="D519" t="inlineStr">
        <is>
          <t>DALARNAS LÄN</t>
        </is>
      </c>
      <c r="E519" t="inlineStr">
        <is>
          <t>MORA</t>
        </is>
      </c>
      <c r="G519" t="n">
        <v>7.9</v>
      </c>
      <c r="H519" t="n">
        <v>0</v>
      </c>
      <c r="I519" t="n">
        <v>0</v>
      </c>
      <c r="J519" t="n">
        <v>0</v>
      </c>
      <c r="K519" t="n">
        <v>0</v>
      </c>
      <c r="L519" t="n">
        <v>0</v>
      </c>
      <c r="M519" t="n">
        <v>0</v>
      </c>
      <c r="N519" t="n">
        <v>0</v>
      </c>
      <c r="O519" t="n">
        <v>0</v>
      </c>
      <c r="P519" t="n">
        <v>0</v>
      </c>
      <c r="Q519" t="n">
        <v>0</v>
      </c>
      <c r="R519" s="2" t="inlineStr"/>
    </row>
    <row r="520" ht="15" customHeight="1">
      <c r="A520" t="inlineStr">
        <is>
          <t>A 59094-2025</t>
        </is>
      </c>
      <c r="B520" s="1" t="n">
        <v>45988.45105324074</v>
      </c>
      <c r="C520" s="1" t="n">
        <v>45990</v>
      </c>
      <c r="D520" t="inlineStr">
        <is>
          <t>DALARNAS LÄN</t>
        </is>
      </c>
      <c r="E520" t="inlineStr">
        <is>
          <t>MORA</t>
        </is>
      </c>
      <c r="G520" t="n">
        <v>10</v>
      </c>
      <c r="H520" t="n">
        <v>0</v>
      </c>
      <c r="I520" t="n">
        <v>0</v>
      </c>
      <c r="J520" t="n">
        <v>0</v>
      </c>
      <c r="K520" t="n">
        <v>0</v>
      </c>
      <c r="L520" t="n">
        <v>0</v>
      </c>
      <c r="M520" t="n">
        <v>0</v>
      </c>
      <c r="N520" t="n">
        <v>0</v>
      </c>
      <c r="O520" t="n">
        <v>0</v>
      </c>
      <c r="P520" t="n">
        <v>0</v>
      </c>
      <c r="Q520" t="n">
        <v>0</v>
      </c>
      <c r="R520" s="2" t="inlineStr"/>
    </row>
    <row r="521" ht="15" customHeight="1">
      <c r="A521" t="inlineStr">
        <is>
          <t>A 46152-2023</t>
        </is>
      </c>
      <c r="B521" s="1" t="n">
        <v>45196.58278935185</v>
      </c>
      <c r="C521" s="1" t="n">
        <v>45990</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28832-2023</t>
        </is>
      </c>
      <c r="B522" s="1" t="n">
        <v>45104.40493055555</v>
      </c>
      <c r="C522" s="1" t="n">
        <v>45990</v>
      </c>
      <c r="D522" t="inlineStr">
        <is>
          <t>DALARNAS LÄN</t>
        </is>
      </c>
      <c r="E522" t="inlineStr">
        <is>
          <t>MORA</t>
        </is>
      </c>
      <c r="F522" t="inlineStr">
        <is>
          <t>Bergvik skog öst AB</t>
        </is>
      </c>
      <c r="G522" t="n">
        <v>2</v>
      </c>
      <c r="H522" t="n">
        <v>0</v>
      </c>
      <c r="I522" t="n">
        <v>0</v>
      </c>
      <c r="J522" t="n">
        <v>0</v>
      </c>
      <c r="K522" t="n">
        <v>0</v>
      </c>
      <c r="L522" t="n">
        <v>0</v>
      </c>
      <c r="M522" t="n">
        <v>0</v>
      </c>
      <c r="N522" t="n">
        <v>0</v>
      </c>
      <c r="O522" t="n">
        <v>0</v>
      </c>
      <c r="P522" t="n">
        <v>0</v>
      </c>
      <c r="Q522" t="n">
        <v>0</v>
      </c>
      <c r="R522" s="2" t="inlineStr"/>
    </row>
    <row r="523" ht="15" customHeight="1">
      <c r="A523" t="inlineStr">
        <is>
          <t>A 48824-2023</t>
        </is>
      </c>
      <c r="B523" s="1" t="n">
        <v>45203</v>
      </c>
      <c r="C523" s="1" t="n">
        <v>45990</v>
      </c>
      <c r="D523" t="inlineStr">
        <is>
          <t>DALARNAS LÄN</t>
        </is>
      </c>
      <c r="E523" t="inlineStr">
        <is>
          <t>MORA</t>
        </is>
      </c>
      <c r="G523" t="n">
        <v>3.3</v>
      </c>
      <c r="H523" t="n">
        <v>0</v>
      </c>
      <c r="I523" t="n">
        <v>0</v>
      </c>
      <c r="J523" t="n">
        <v>0</v>
      </c>
      <c r="K523" t="n">
        <v>0</v>
      </c>
      <c r="L523" t="n">
        <v>0</v>
      </c>
      <c r="M523" t="n">
        <v>0</v>
      </c>
      <c r="N523" t="n">
        <v>0</v>
      </c>
      <c r="O523" t="n">
        <v>0</v>
      </c>
      <c r="P523" t="n">
        <v>0</v>
      </c>
      <c r="Q523" t="n">
        <v>0</v>
      </c>
      <c r="R523" s="2" t="inlineStr"/>
    </row>
    <row r="524" ht="15" customHeight="1">
      <c r="A524" t="inlineStr">
        <is>
          <t>A 8343-2025</t>
        </is>
      </c>
      <c r="B524" s="1" t="n">
        <v>45708.67253472222</v>
      </c>
      <c r="C524" s="1" t="n">
        <v>45990</v>
      </c>
      <c r="D524" t="inlineStr">
        <is>
          <t>DALARNAS LÄN</t>
        </is>
      </c>
      <c r="E524" t="inlineStr">
        <is>
          <t>MORA</t>
        </is>
      </c>
      <c r="G524" t="n">
        <v>3.4</v>
      </c>
      <c r="H524" t="n">
        <v>0</v>
      </c>
      <c r="I524" t="n">
        <v>0</v>
      </c>
      <c r="J524" t="n">
        <v>0</v>
      </c>
      <c r="K524" t="n">
        <v>0</v>
      </c>
      <c r="L524" t="n">
        <v>0</v>
      </c>
      <c r="M524" t="n">
        <v>0</v>
      </c>
      <c r="N524" t="n">
        <v>0</v>
      </c>
      <c r="O524" t="n">
        <v>0</v>
      </c>
      <c r="P524" t="n">
        <v>0</v>
      </c>
      <c r="Q524" t="n">
        <v>0</v>
      </c>
      <c r="R524" s="2" t="inlineStr"/>
    </row>
    <row r="525" ht="15" customHeight="1">
      <c r="A525" t="inlineStr">
        <is>
          <t>A 17163-2025</t>
        </is>
      </c>
      <c r="B525" s="1" t="n">
        <v>45756.35998842592</v>
      </c>
      <c r="C525" s="1" t="n">
        <v>45990</v>
      </c>
      <c r="D525" t="inlineStr">
        <is>
          <t>DALARNAS LÄN</t>
        </is>
      </c>
      <c r="E525" t="inlineStr">
        <is>
          <t>MORA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34272-2024</t>
        </is>
      </c>
      <c r="B526" s="1" t="n">
        <v>45524.61752314815</v>
      </c>
      <c r="C526" s="1" t="n">
        <v>45990</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36579-2022</t>
        </is>
      </c>
      <c r="B527" s="1" t="n">
        <v>44804.61636574074</v>
      </c>
      <c r="C527" s="1" t="n">
        <v>45990</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30030-2021</t>
        </is>
      </c>
      <c r="B528" s="1" t="n">
        <v>44363</v>
      </c>
      <c r="C528" s="1" t="n">
        <v>45990</v>
      </c>
      <c r="D528" t="inlineStr">
        <is>
          <t>DALARNAS LÄN</t>
        </is>
      </c>
      <c r="E528" t="inlineStr">
        <is>
          <t>MORA</t>
        </is>
      </c>
      <c r="G528" t="n">
        <v>7.1</v>
      </c>
      <c r="H528" t="n">
        <v>0</v>
      </c>
      <c r="I528" t="n">
        <v>0</v>
      </c>
      <c r="J528" t="n">
        <v>0</v>
      </c>
      <c r="K528" t="n">
        <v>0</v>
      </c>
      <c r="L528" t="n">
        <v>0</v>
      </c>
      <c r="M528" t="n">
        <v>0</v>
      </c>
      <c r="N528" t="n">
        <v>0</v>
      </c>
      <c r="O528" t="n">
        <v>0</v>
      </c>
      <c r="P528" t="n">
        <v>0</v>
      </c>
      <c r="Q528" t="n">
        <v>0</v>
      </c>
      <c r="R528" s="2" t="inlineStr"/>
    </row>
    <row r="529" ht="15" customHeight="1">
      <c r="A529" t="inlineStr">
        <is>
          <t>A 33531-2024</t>
        </is>
      </c>
      <c r="B529" s="1" t="n">
        <v>45519.67503472222</v>
      </c>
      <c r="C529" s="1" t="n">
        <v>45990</v>
      </c>
      <c r="D529" t="inlineStr">
        <is>
          <t>DALARNAS LÄN</t>
        </is>
      </c>
      <c r="E529" t="inlineStr">
        <is>
          <t>MORA</t>
        </is>
      </c>
      <c r="G529" t="n">
        <v>14.8</v>
      </c>
      <c r="H529" t="n">
        <v>0</v>
      </c>
      <c r="I529" t="n">
        <v>0</v>
      </c>
      <c r="J529" t="n">
        <v>0</v>
      </c>
      <c r="K529" t="n">
        <v>0</v>
      </c>
      <c r="L529" t="n">
        <v>0</v>
      </c>
      <c r="M529" t="n">
        <v>0</v>
      </c>
      <c r="N529" t="n">
        <v>0</v>
      </c>
      <c r="O529" t="n">
        <v>0</v>
      </c>
      <c r="P529" t="n">
        <v>0</v>
      </c>
      <c r="Q529" t="n">
        <v>0</v>
      </c>
      <c r="R529" s="2" t="inlineStr"/>
    </row>
    <row r="530" ht="15" customHeight="1">
      <c r="A530" t="inlineStr">
        <is>
          <t>A 51780-2023</t>
        </is>
      </c>
      <c r="B530" s="1" t="n">
        <v>45222</v>
      </c>
      <c r="C530" s="1" t="n">
        <v>45990</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15818-2024</t>
        </is>
      </c>
      <c r="B531" s="1" t="n">
        <v>45404.67442129629</v>
      </c>
      <c r="C531" s="1" t="n">
        <v>45990</v>
      </c>
      <c r="D531" t="inlineStr">
        <is>
          <t>DALARNAS LÄN</t>
        </is>
      </c>
      <c r="E531" t="inlineStr">
        <is>
          <t>MORA</t>
        </is>
      </c>
      <c r="G531" t="n">
        <v>7</v>
      </c>
      <c r="H531" t="n">
        <v>0</v>
      </c>
      <c r="I531" t="n">
        <v>0</v>
      </c>
      <c r="J531" t="n">
        <v>0</v>
      </c>
      <c r="K531" t="n">
        <v>0</v>
      </c>
      <c r="L531" t="n">
        <v>0</v>
      </c>
      <c r="M531" t="n">
        <v>0</v>
      </c>
      <c r="N531" t="n">
        <v>0</v>
      </c>
      <c r="O531" t="n">
        <v>0</v>
      </c>
      <c r="P531" t="n">
        <v>0</v>
      </c>
      <c r="Q531" t="n">
        <v>0</v>
      </c>
      <c r="R531" s="2" t="inlineStr"/>
    </row>
    <row r="532" ht="15" customHeight="1">
      <c r="A532" t="inlineStr">
        <is>
          <t>A 33513-2024</t>
        </is>
      </c>
      <c r="B532" s="1" t="n">
        <v>45519.644375</v>
      </c>
      <c r="C532" s="1" t="n">
        <v>45990</v>
      </c>
      <c r="D532" t="inlineStr">
        <is>
          <t>DALARNAS LÄN</t>
        </is>
      </c>
      <c r="E532" t="inlineStr">
        <is>
          <t>MORA</t>
        </is>
      </c>
      <c r="G532" t="n">
        <v>5.9</v>
      </c>
      <c r="H532" t="n">
        <v>0</v>
      </c>
      <c r="I532" t="n">
        <v>0</v>
      </c>
      <c r="J532" t="n">
        <v>0</v>
      </c>
      <c r="K532" t="n">
        <v>0</v>
      </c>
      <c r="L532" t="n">
        <v>0</v>
      </c>
      <c r="M532" t="n">
        <v>0</v>
      </c>
      <c r="N532" t="n">
        <v>0</v>
      </c>
      <c r="O532" t="n">
        <v>0</v>
      </c>
      <c r="P532" t="n">
        <v>0</v>
      </c>
      <c r="Q532" t="n">
        <v>0</v>
      </c>
      <c r="R532" s="2" t="inlineStr"/>
    </row>
    <row r="533" ht="15" customHeight="1">
      <c r="A533" t="inlineStr">
        <is>
          <t>A 35040-2023</t>
        </is>
      </c>
      <c r="B533" s="1" t="n">
        <v>45145.36853009259</v>
      </c>
      <c r="C533" s="1" t="n">
        <v>45990</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44595-2024</t>
        </is>
      </c>
      <c r="B534" s="1" t="n">
        <v>45574.51053240741</v>
      </c>
      <c r="C534" s="1" t="n">
        <v>45990</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61293-2022</t>
        </is>
      </c>
      <c r="B535" s="1" t="n">
        <v>44915.62751157407</v>
      </c>
      <c r="C535" s="1" t="n">
        <v>45990</v>
      </c>
      <c r="D535" t="inlineStr">
        <is>
          <t>DALARNAS LÄN</t>
        </is>
      </c>
      <c r="E535" t="inlineStr">
        <is>
          <t>MORA</t>
        </is>
      </c>
      <c r="G535" t="n">
        <v>0.3</v>
      </c>
      <c r="H535" t="n">
        <v>0</v>
      </c>
      <c r="I535" t="n">
        <v>0</v>
      </c>
      <c r="J535" t="n">
        <v>0</v>
      </c>
      <c r="K535" t="n">
        <v>0</v>
      </c>
      <c r="L535" t="n">
        <v>0</v>
      </c>
      <c r="M535" t="n">
        <v>0</v>
      </c>
      <c r="N535" t="n">
        <v>0</v>
      </c>
      <c r="O535" t="n">
        <v>0</v>
      </c>
      <c r="P535" t="n">
        <v>0</v>
      </c>
      <c r="Q535" t="n">
        <v>0</v>
      </c>
      <c r="R535" s="2" t="inlineStr"/>
    </row>
    <row r="536" ht="15" customHeight="1">
      <c r="A536" t="inlineStr">
        <is>
          <t>A 46412-2024</t>
        </is>
      </c>
      <c r="B536" s="1" t="n">
        <v>45582.44894675926</v>
      </c>
      <c r="C536" s="1" t="n">
        <v>45990</v>
      </c>
      <c r="D536" t="inlineStr">
        <is>
          <t>DALARNAS LÄN</t>
        </is>
      </c>
      <c r="E536" t="inlineStr">
        <is>
          <t>MORA</t>
        </is>
      </c>
      <c r="G536" t="n">
        <v>4.1</v>
      </c>
      <c r="H536" t="n">
        <v>0</v>
      </c>
      <c r="I536" t="n">
        <v>0</v>
      </c>
      <c r="J536" t="n">
        <v>0</v>
      </c>
      <c r="K536" t="n">
        <v>0</v>
      </c>
      <c r="L536" t="n">
        <v>0</v>
      </c>
      <c r="M536" t="n">
        <v>0</v>
      </c>
      <c r="N536" t="n">
        <v>0</v>
      </c>
      <c r="O536" t="n">
        <v>0</v>
      </c>
      <c r="P536" t="n">
        <v>0</v>
      </c>
      <c r="Q536" t="n">
        <v>0</v>
      </c>
      <c r="R536" s="2" t="inlineStr"/>
    </row>
    <row r="537" ht="15" customHeight="1">
      <c r="A537" t="inlineStr">
        <is>
          <t>A 57091-2021</t>
        </is>
      </c>
      <c r="B537" s="1" t="n">
        <v>44482</v>
      </c>
      <c r="C537" s="1" t="n">
        <v>45990</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50685-2023</t>
        </is>
      </c>
      <c r="B538" s="1" t="n">
        <v>45210</v>
      </c>
      <c r="C538" s="1" t="n">
        <v>45990</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36740-2023</t>
        </is>
      </c>
      <c r="B539" s="1" t="n">
        <v>45153</v>
      </c>
      <c r="C539" s="1" t="n">
        <v>45990</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31177-2021</t>
        </is>
      </c>
      <c r="B540" s="1" t="n">
        <v>44368</v>
      </c>
      <c r="C540" s="1" t="n">
        <v>45990</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65186-2021</t>
        </is>
      </c>
      <c r="B541" s="1" t="n">
        <v>44515</v>
      </c>
      <c r="C541" s="1" t="n">
        <v>45990</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58171-2024</t>
        </is>
      </c>
      <c r="B542" s="1" t="n">
        <v>45632.46545138889</v>
      </c>
      <c r="C542" s="1" t="n">
        <v>45990</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17167-2025</t>
        </is>
      </c>
      <c r="B543" s="1" t="n">
        <v>45756.36844907407</v>
      </c>
      <c r="C543" s="1" t="n">
        <v>45990</v>
      </c>
      <c r="D543" t="inlineStr">
        <is>
          <t>DALARNAS LÄN</t>
        </is>
      </c>
      <c r="E543" t="inlineStr">
        <is>
          <t>MORA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45990</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36184-2021</t>
        </is>
      </c>
      <c r="B545" s="1" t="n">
        <v>44389</v>
      </c>
      <c r="C545" s="1" t="n">
        <v>45990</v>
      </c>
      <c r="D545" t="inlineStr">
        <is>
          <t>DALARNAS LÄN</t>
        </is>
      </c>
      <c r="E545" t="inlineStr">
        <is>
          <t>MORA</t>
        </is>
      </c>
      <c r="G545" t="n">
        <v>0.5</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45990</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45990</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45990</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36038-2024</t>
        </is>
      </c>
      <c r="B549" s="1" t="n">
        <v>45533</v>
      </c>
      <c r="C549" s="1" t="n">
        <v>45990</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2865-2022</t>
        </is>
      </c>
      <c r="B550" s="1" t="n">
        <v>44581</v>
      </c>
      <c r="C550" s="1" t="n">
        <v>45990</v>
      </c>
      <c r="D550" t="inlineStr">
        <is>
          <t>DALARNAS LÄN</t>
        </is>
      </c>
      <c r="E550" t="inlineStr">
        <is>
          <t>MORA</t>
        </is>
      </c>
      <c r="G550" t="n">
        <v>2</v>
      </c>
      <c r="H550" t="n">
        <v>0</v>
      </c>
      <c r="I550" t="n">
        <v>0</v>
      </c>
      <c r="J550" t="n">
        <v>0</v>
      </c>
      <c r="K550" t="n">
        <v>0</v>
      </c>
      <c r="L550" t="n">
        <v>0</v>
      </c>
      <c r="M550" t="n">
        <v>0</v>
      </c>
      <c r="N550" t="n">
        <v>0</v>
      </c>
      <c r="O550" t="n">
        <v>0</v>
      </c>
      <c r="P550" t="n">
        <v>0</v>
      </c>
      <c r="Q550" t="n">
        <v>0</v>
      </c>
      <c r="R550" s="2" t="inlineStr"/>
    </row>
    <row r="551" ht="15" customHeight="1">
      <c r="A551" t="inlineStr">
        <is>
          <t>A 56834-2024</t>
        </is>
      </c>
      <c r="B551" s="1" t="n">
        <v>45628.49931712963</v>
      </c>
      <c r="C551" s="1" t="n">
        <v>45990</v>
      </c>
      <c r="D551" t="inlineStr">
        <is>
          <t>DALARNAS LÄN</t>
        </is>
      </c>
      <c r="E551" t="inlineStr">
        <is>
          <t>MORA</t>
        </is>
      </c>
      <c r="G551" t="n">
        <v>0.4</v>
      </c>
      <c r="H551" t="n">
        <v>0</v>
      </c>
      <c r="I551" t="n">
        <v>0</v>
      </c>
      <c r="J551" t="n">
        <v>0</v>
      </c>
      <c r="K551" t="n">
        <v>0</v>
      </c>
      <c r="L551" t="n">
        <v>0</v>
      </c>
      <c r="M551" t="n">
        <v>0</v>
      </c>
      <c r="N551" t="n">
        <v>0</v>
      </c>
      <c r="O551" t="n">
        <v>0</v>
      </c>
      <c r="P551" t="n">
        <v>0</v>
      </c>
      <c r="Q551" t="n">
        <v>0</v>
      </c>
      <c r="R551" s="2" t="inlineStr"/>
    </row>
    <row r="552" ht="15" customHeight="1">
      <c r="A552" t="inlineStr">
        <is>
          <t>A 47036-2023</t>
        </is>
      </c>
      <c r="B552" s="1" t="n">
        <v>45196</v>
      </c>
      <c r="C552" s="1" t="n">
        <v>45990</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20544-2025</t>
        </is>
      </c>
      <c r="B553" s="1" t="n">
        <v>45775.63119212963</v>
      </c>
      <c r="C553" s="1" t="n">
        <v>45990</v>
      </c>
      <c r="D553" t="inlineStr">
        <is>
          <t>DALARNAS LÄN</t>
        </is>
      </c>
      <c r="E553" t="inlineStr">
        <is>
          <t>MORA</t>
        </is>
      </c>
      <c r="G553" t="n">
        <v>3.6</v>
      </c>
      <c r="H553" t="n">
        <v>0</v>
      </c>
      <c r="I553" t="n">
        <v>0</v>
      </c>
      <c r="J553" t="n">
        <v>0</v>
      </c>
      <c r="K553" t="n">
        <v>0</v>
      </c>
      <c r="L553" t="n">
        <v>0</v>
      </c>
      <c r="M553" t="n">
        <v>0</v>
      </c>
      <c r="N553" t="n">
        <v>0</v>
      </c>
      <c r="O553" t="n">
        <v>0</v>
      </c>
      <c r="P553" t="n">
        <v>0</v>
      </c>
      <c r="Q553" t="n">
        <v>0</v>
      </c>
      <c r="R553" s="2" t="inlineStr"/>
    </row>
    <row r="554" ht="15" customHeight="1">
      <c r="A554" t="inlineStr">
        <is>
          <t>A 51965-2024</t>
        </is>
      </c>
      <c r="B554" s="1" t="n">
        <v>45607.65123842593</v>
      </c>
      <c r="C554" s="1" t="n">
        <v>45990</v>
      </c>
      <c r="D554" t="inlineStr">
        <is>
          <t>DALARNAS LÄN</t>
        </is>
      </c>
      <c r="E554" t="inlineStr">
        <is>
          <t>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20401-2022</t>
        </is>
      </c>
      <c r="B555" s="1" t="n">
        <v>44699</v>
      </c>
      <c r="C555" s="1" t="n">
        <v>45990</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25494-2024</t>
        </is>
      </c>
      <c r="B556" s="1" t="n">
        <v>45463</v>
      </c>
      <c r="C556" s="1" t="n">
        <v>45990</v>
      </c>
      <c r="D556" t="inlineStr">
        <is>
          <t>DALARNAS LÄN</t>
        </is>
      </c>
      <c r="E556" t="inlineStr">
        <is>
          <t>MORA</t>
        </is>
      </c>
      <c r="G556" t="n">
        <v>4.9</v>
      </c>
      <c r="H556" t="n">
        <v>0</v>
      </c>
      <c r="I556" t="n">
        <v>0</v>
      </c>
      <c r="J556" t="n">
        <v>0</v>
      </c>
      <c r="K556" t="n">
        <v>0</v>
      </c>
      <c r="L556" t="n">
        <v>0</v>
      </c>
      <c r="M556" t="n">
        <v>0</v>
      </c>
      <c r="N556" t="n">
        <v>0</v>
      </c>
      <c r="O556" t="n">
        <v>0</v>
      </c>
      <c r="P556" t="n">
        <v>0</v>
      </c>
      <c r="Q556" t="n">
        <v>0</v>
      </c>
      <c r="R556" s="2" t="inlineStr"/>
    </row>
    <row r="557" ht="15" customHeight="1">
      <c r="A557" t="inlineStr">
        <is>
          <t>A 38627-2023</t>
        </is>
      </c>
      <c r="B557" s="1" t="n">
        <v>45162.68787037037</v>
      </c>
      <c r="C557" s="1" t="n">
        <v>45990</v>
      </c>
      <c r="D557" t="inlineStr">
        <is>
          <t>DALARNAS LÄN</t>
        </is>
      </c>
      <c r="E557" t="inlineStr">
        <is>
          <t>MORA</t>
        </is>
      </c>
      <c r="G557" t="n">
        <v>6.5</v>
      </c>
      <c r="H557" t="n">
        <v>0</v>
      </c>
      <c r="I557" t="n">
        <v>0</v>
      </c>
      <c r="J557" t="n">
        <v>0</v>
      </c>
      <c r="K557" t="n">
        <v>0</v>
      </c>
      <c r="L557" t="n">
        <v>0</v>
      </c>
      <c r="M557" t="n">
        <v>0</v>
      </c>
      <c r="N557" t="n">
        <v>0</v>
      </c>
      <c r="O557" t="n">
        <v>0</v>
      </c>
      <c r="P557" t="n">
        <v>0</v>
      </c>
      <c r="Q557" t="n">
        <v>0</v>
      </c>
      <c r="R557" s="2" t="inlineStr"/>
    </row>
    <row r="558" ht="15" customHeight="1">
      <c r="A558" t="inlineStr">
        <is>
          <t>A 64088-2023</t>
        </is>
      </c>
      <c r="B558" s="1" t="n">
        <v>45279.43570601852</v>
      </c>
      <c r="C558" s="1" t="n">
        <v>45990</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2830-2023</t>
        </is>
      </c>
      <c r="B559" s="1" t="n">
        <v>44945.32997685186</v>
      </c>
      <c r="C559" s="1" t="n">
        <v>45990</v>
      </c>
      <c r="D559" t="inlineStr">
        <is>
          <t>DALARNAS LÄN</t>
        </is>
      </c>
      <c r="E559" t="inlineStr">
        <is>
          <t>MORA</t>
        </is>
      </c>
      <c r="G559" t="n">
        <v>0.5</v>
      </c>
      <c r="H559" t="n">
        <v>0</v>
      </c>
      <c r="I559" t="n">
        <v>0</v>
      </c>
      <c r="J559" t="n">
        <v>0</v>
      </c>
      <c r="K559" t="n">
        <v>0</v>
      </c>
      <c r="L559" t="n">
        <v>0</v>
      </c>
      <c r="M559" t="n">
        <v>0</v>
      </c>
      <c r="N559" t="n">
        <v>0</v>
      </c>
      <c r="O559" t="n">
        <v>0</v>
      </c>
      <c r="P559" t="n">
        <v>0</v>
      </c>
      <c r="Q559" t="n">
        <v>0</v>
      </c>
      <c r="R559" s="2" t="inlineStr"/>
    </row>
    <row r="560" ht="15" customHeight="1">
      <c r="A560" t="inlineStr">
        <is>
          <t>A 39882-2024</t>
        </is>
      </c>
      <c r="B560" s="1" t="n">
        <v>45553</v>
      </c>
      <c r="C560" s="1" t="n">
        <v>45990</v>
      </c>
      <c r="D560" t="inlineStr">
        <is>
          <t>DALARNAS LÄN</t>
        </is>
      </c>
      <c r="E560" t="inlineStr">
        <is>
          <t>MORA</t>
        </is>
      </c>
      <c r="G560" t="n">
        <v>14.6</v>
      </c>
      <c r="H560" t="n">
        <v>0</v>
      </c>
      <c r="I560" t="n">
        <v>0</v>
      </c>
      <c r="J560" t="n">
        <v>0</v>
      </c>
      <c r="K560" t="n">
        <v>0</v>
      </c>
      <c r="L560" t="n">
        <v>0</v>
      </c>
      <c r="M560" t="n">
        <v>0</v>
      </c>
      <c r="N560" t="n">
        <v>0</v>
      </c>
      <c r="O560" t="n">
        <v>0</v>
      </c>
      <c r="P560" t="n">
        <v>0</v>
      </c>
      <c r="Q560" t="n">
        <v>0</v>
      </c>
      <c r="R560" s="2" t="inlineStr"/>
    </row>
    <row r="561" ht="15" customHeight="1">
      <c r="A561" t="inlineStr">
        <is>
          <t>A 43566-2023</t>
        </is>
      </c>
      <c r="B561" s="1" t="n">
        <v>45184.58199074074</v>
      </c>
      <c r="C561" s="1" t="n">
        <v>45990</v>
      </c>
      <c r="D561" t="inlineStr">
        <is>
          <t>DALARNAS LÄN</t>
        </is>
      </c>
      <c r="E561" t="inlineStr">
        <is>
          <t>MORA</t>
        </is>
      </c>
      <c r="F561" t="inlineStr">
        <is>
          <t>Bergvik skog väst AB</t>
        </is>
      </c>
      <c r="G561" t="n">
        <v>4.3</v>
      </c>
      <c r="H561" t="n">
        <v>0</v>
      </c>
      <c r="I561" t="n">
        <v>0</v>
      </c>
      <c r="J561" t="n">
        <v>0</v>
      </c>
      <c r="K561" t="n">
        <v>0</v>
      </c>
      <c r="L561" t="n">
        <v>0</v>
      </c>
      <c r="M561" t="n">
        <v>0</v>
      </c>
      <c r="N561" t="n">
        <v>0</v>
      </c>
      <c r="O561" t="n">
        <v>0</v>
      </c>
      <c r="P561" t="n">
        <v>0</v>
      </c>
      <c r="Q561" t="n">
        <v>0</v>
      </c>
      <c r="R561" s="2" t="inlineStr"/>
    </row>
    <row r="562" ht="15" customHeight="1">
      <c r="A562" t="inlineStr">
        <is>
          <t>A 46414-2024</t>
        </is>
      </c>
      <c r="B562" s="1" t="n">
        <v>45582.45226851852</v>
      </c>
      <c r="C562" s="1" t="n">
        <v>45990</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46417-2024</t>
        </is>
      </c>
      <c r="B563" s="1" t="n">
        <v>45582.45449074074</v>
      </c>
      <c r="C563" s="1" t="n">
        <v>45990</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5491-2023</t>
        </is>
      </c>
      <c r="B564" s="1" t="n">
        <v>44957</v>
      </c>
      <c r="C564" s="1" t="n">
        <v>45990</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5493-2023</t>
        </is>
      </c>
      <c r="B565" s="1" t="n">
        <v>44957</v>
      </c>
      <c r="C565" s="1" t="n">
        <v>45990</v>
      </c>
      <c r="D565" t="inlineStr">
        <is>
          <t>DALARNAS LÄN</t>
        </is>
      </c>
      <c r="E565" t="inlineStr">
        <is>
          <t>MORA</t>
        </is>
      </c>
      <c r="F565" t="inlineStr">
        <is>
          <t>Allmännings- och besparingsskogar</t>
        </is>
      </c>
      <c r="G565" t="n">
        <v>14.9</v>
      </c>
      <c r="H565" t="n">
        <v>0</v>
      </c>
      <c r="I565" t="n">
        <v>0</v>
      </c>
      <c r="J565" t="n">
        <v>0</v>
      </c>
      <c r="K565" t="n">
        <v>0</v>
      </c>
      <c r="L565" t="n">
        <v>0</v>
      </c>
      <c r="M565" t="n">
        <v>0</v>
      </c>
      <c r="N565" t="n">
        <v>0</v>
      </c>
      <c r="O565" t="n">
        <v>0</v>
      </c>
      <c r="P565" t="n">
        <v>0</v>
      </c>
      <c r="Q565" t="n">
        <v>0</v>
      </c>
      <c r="R565" s="2" t="inlineStr"/>
    </row>
    <row r="566" ht="15" customHeight="1">
      <c r="A566" t="inlineStr">
        <is>
          <t>A 48825-2023</t>
        </is>
      </c>
      <c r="B566" s="1" t="n">
        <v>45203</v>
      </c>
      <c r="C566" s="1" t="n">
        <v>45990</v>
      </c>
      <c r="D566" t="inlineStr">
        <is>
          <t>DALARNAS LÄN</t>
        </is>
      </c>
      <c r="E566" t="inlineStr">
        <is>
          <t>MORA</t>
        </is>
      </c>
      <c r="G566" t="n">
        <v>7.9</v>
      </c>
      <c r="H566" t="n">
        <v>0</v>
      </c>
      <c r="I566" t="n">
        <v>0</v>
      </c>
      <c r="J566" t="n">
        <v>0</v>
      </c>
      <c r="K566" t="n">
        <v>0</v>
      </c>
      <c r="L566" t="n">
        <v>0</v>
      </c>
      <c r="M566" t="n">
        <v>0</v>
      </c>
      <c r="N566" t="n">
        <v>0</v>
      </c>
      <c r="O566" t="n">
        <v>0</v>
      </c>
      <c r="P566" t="n">
        <v>0</v>
      </c>
      <c r="Q566" t="n">
        <v>0</v>
      </c>
      <c r="R566" s="2" t="inlineStr"/>
    </row>
    <row r="567" ht="15" customHeight="1">
      <c r="A567" t="inlineStr">
        <is>
          <t>A 29193-2023</t>
        </is>
      </c>
      <c r="B567" s="1" t="n">
        <v>45105.54791666667</v>
      </c>
      <c r="C567" s="1" t="n">
        <v>45990</v>
      </c>
      <c r="D567" t="inlineStr">
        <is>
          <t>DALARNAS LÄN</t>
        </is>
      </c>
      <c r="E567" t="inlineStr">
        <is>
          <t>MORA</t>
        </is>
      </c>
      <c r="G567" t="n">
        <v>0.4</v>
      </c>
      <c r="H567" t="n">
        <v>0</v>
      </c>
      <c r="I567" t="n">
        <v>0</v>
      </c>
      <c r="J567" t="n">
        <v>0</v>
      </c>
      <c r="K567" t="n">
        <v>0</v>
      </c>
      <c r="L567" t="n">
        <v>0</v>
      </c>
      <c r="M567" t="n">
        <v>0</v>
      </c>
      <c r="N567" t="n">
        <v>0</v>
      </c>
      <c r="O567" t="n">
        <v>0</v>
      </c>
      <c r="P567" t="n">
        <v>0</v>
      </c>
      <c r="Q567" t="n">
        <v>0</v>
      </c>
      <c r="R567" s="2" t="inlineStr"/>
    </row>
    <row r="568" ht="15" customHeight="1">
      <c r="A568" t="inlineStr">
        <is>
          <t>A 18444-2024</t>
        </is>
      </c>
      <c r="B568" s="1" t="n">
        <v>45425.45568287037</v>
      </c>
      <c r="C568" s="1" t="n">
        <v>45990</v>
      </c>
      <c r="D568" t="inlineStr">
        <is>
          <t>DALARNAS LÄN</t>
        </is>
      </c>
      <c r="E568" t="inlineStr">
        <is>
          <t>MORA</t>
        </is>
      </c>
      <c r="G568" t="n">
        <v>5</v>
      </c>
      <c r="H568" t="n">
        <v>0</v>
      </c>
      <c r="I568" t="n">
        <v>0</v>
      </c>
      <c r="J568" t="n">
        <v>0</v>
      </c>
      <c r="K568" t="n">
        <v>0</v>
      </c>
      <c r="L568" t="n">
        <v>0</v>
      </c>
      <c r="M568" t="n">
        <v>0</v>
      </c>
      <c r="N568" t="n">
        <v>0</v>
      </c>
      <c r="O568" t="n">
        <v>0</v>
      </c>
      <c r="P568" t="n">
        <v>0</v>
      </c>
      <c r="Q568" t="n">
        <v>0</v>
      </c>
      <c r="R568" s="2" t="inlineStr"/>
    </row>
    <row r="569" ht="15" customHeight="1">
      <c r="A569" t="inlineStr">
        <is>
          <t>A 47784-2024</t>
        </is>
      </c>
      <c r="B569" s="1" t="n">
        <v>45588.59290509259</v>
      </c>
      <c r="C569" s="1" t="n">
        <v>45990</v>
      </c>
      <c r="D569" t="inlineStr">
        <is>
          <t>DALARNAS LÄN</t>
        </is>
      </c>
      <c r="E569" t="inlineStr">
        <is>
          <t>MORA</t>
        </is>
      </c>
      <c r="G569" t="n">
        <v>15.3</v>
      </c>
      <c r="H569" t="n">
        <v>0</v>
      </c>
      <c r="I569" t="n">
        <v>0</v>
      </c>
      <c r="J569" t="n">
        <v>0</v>
      </c>
      <c r="K569" t="n">
        <v>0</v>
      </c>
      <c r="L569" t="n">
        <v>0</v>
      </c>
      <c r="M569" t="n">
        <v>0</v>
      </c>
      <c r="N569" t="n">
        <v>0</v>
      </c>
      <c r="O569" t="n">
        <v>0</v>
      </c>
      <c r="P569" t="n">
        <v>0</v>
      </c>
      <c r="Q569" t="n">
        <v>0</v>
      </c>
      <c r="R569" s="2" t="inlineStr"/>
    </row>
    <row r="570" ht="15" customHeight="1">
      <c r="A570" t="inlineStr">
        <is>
          <t>A 35551-2023</t>
        </is>
      </c>
      <c r="B570" s="1" t="n">
        <v>45147.3934837963</v>
      </c>
      <c r="C570" s="1" t="n">
        <v>45990</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59174-2023</t>
        </is>
      </c>
      <c r="B571" s="1" t="n">
        <v>45253.43202546296</v>
      </c>
      <c r="C571" s="1" t="n">
        <v>45990</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55331-2022</t>
        </is>
      </c>
      <c r="B572" s="1" t="n">
        <v>44887.43714120371</v>
      </c>
      <c r="C572" s="1" t="n">
        <v>45990</v>
      </c>
      <c r="D572" t="inlineStr">
        <is>
          <t>DALARNAS LÄN</t>
        </is>
      </c>
      <c r="E572" t="inlineStr">
        <is>
          <t>MORA</t>
        </is>
      </c>
      <c r="F572" t="inlineStr">
        <is>
          <t>Bergvik skog väst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42085-2024</t>
        </is>
      </c>
      <c r="B573" s="1" t="n">
        <v>45562.33179398148</v>
      </c>
      <c r="C573" s="1" t="n">
        <v>45990</v>
      </c>
      <c r="D573" t="inlineStr">
        <is>
          <t>DALARNAS LÄN</t>
        </is>
      </c>
      <c r="E573" t="inlineStr">
        <is>
          <t>MORA</t>
        </is>
      </c>
      <c r="G573" t="n">
        <v>4.9</v>
      </c>
      <c r="H573" t="n">
        <v>0</v>
      </c>
      <c r="I573" t="n">
        <v>0</v>
      </c>
      <c r="J573" t="n">
        <v>0</v>
      </c>
      <c r="K573" t="n">
        <v>0</v>
      </c>
      <c r="L573" t="n">
        <v>0</v>
      </c>
      <c r="M573" t="n">
        <v>0</v>
      </c>
      <c r="N573" t="n">
        <v>0</v>
      </c>
      <c r="O573" t="n">
        <v>0</v>
      </c>
      <c r="P573" t="n">
        <v>0</v>
      </c>
      <c r="Q573" t="n">
        <v>0</v>
      </c>
      <c r="R573" s="2" t="inlineStr"/>
    </row>
    <row r="574" ht="15" customHeight="1">
      <c r="A574" t="inlineStr">
        <is>
          <t>A 60187-2024</t>
        </is>
      </c>
      <c r="B574" s="1" t="n">
        <v>45642.64803240741</v>
      </c>
      <c r="C574" s="1" t="n">
        <v>45990</v>
      </c>
      <c r="D574" t="inlineStr">
        <is>
          <t>DALARNAS LÄN</t>
        </is>
      </c>
      <c r="E574" t="inlineStr">
        <is>
          <t>MORA</t>
        </is>
      </c>
      <c r="F574" t="inlineStr">
        <is>
          <t>Allmännings- och besparingsskogar</t>
        </is>
      </c>
      <c r="G574" t="n">
        <v>24.6</v>
      </c>
      <c r="H574" t="n">
        <v>0</v>
      </c>
      <c r="I574" t="n">
        <v>0</v>
      </c>
      <c r="J574" t="n">
        <v>0</v>
      </c>
      <c r="K574" t="n">
        <v>0</v>
      </c>
      <c r="L574" t="n">
        <v>0</v>
      </c>
      <c r="M574" t="n">
        <v>0</v>
      </c>
      <c r="N574" t="n">
        <v>0</v>
      </c>
      <c r="O574" t="n">
        <v>0</v>
      </c>
      <c r="P574" t="n">
        <v>0</v>
      </c>
      <c r="Q574" t="n">
        <v>0</v>
      </c>
      <c r="R574" s="2" t="inlineStr"/>
    </row>
    <row r="575" ht="15" customHeight="1">
      <c r="A575" t="inlineStr">
        <is>
          <t>A 61222-2023</t>
        </is>
      </c>
      <c r="B575" s="1" t="n">
        <v>45264</v>
      </c>
      <c r="C575" s="1" t="n">
        <v>45990</v>
      </c>
      <c r="D575" t="inlineStr">
        <is>
          <t>DALARNAS LÄN</t>
        </is>
      </c>
      <c r="E575" t="inlineStr">
        <is>
          <t>MORA</t>
        </is>
      </c>
      <c r="F575" t="inlineStr">
        <is>
          <t>Allmännings- och besparingsskogar</t>
        </is>
      </c>
      <c r="G575" t="n">
        <v>1.1</v>
      </c>
      <c r="H575" t="n">
        <v>0</v>
      </c>
      <c r="I575" t="n">
        <v>0</v>
      </c>
      <c r="J575" t="n">
        <v>0</v>
      </c>
      <c r="K575" t="n">
        <v>0</v>
      </c>
      <c r="L575" t="n">
        <v>0</v>
      </c>
      <c r="M575" t="n">
        <v>0</v>
      </c>
      <c r="N575" t="n">
        <v>0</v>
      </c>
      <c r="O575" t="n">
        <v>0</v>
      </c>
      <c r="P575" t="n">
        <v>0</v>
      </c>
      <c r="Q575" t="n">
        <v>0</v>
      </c>
      <c r="R575" s="2" t="inlineStr"/>
    </row>
    <row r="576" ht="15" customHeight="1">
      <c r="A576" t="inlineStr">
        <is>
          <t>A 40949-2023</t>
        </is>
      </c>
      <c r="B576" s="1" t="n">
        <v>45173</v>
      </c>
      <c r="C576" s="1" t="n">
        <v>45990</v>
      </c>
      <c r="D576" t="inlineStr">
        <is>
          <t>DALARNAS LÄN</t>
        </is>
      </c>
      <c r="E576" t="inlineStr">
        <is>
          <t>MORA</t>
        </is>
      </c>
      <c r="F576" t="inlineStr">
        <is>
          <t>Kyrkan</t>
        </is>
      </c>
      <c r="G576" t="n">
        <v>0.5</v>
      </c>
      <c r="H576" t="n">
        <v>0</v>
      </c>
      <c r="I576" t="n">
        <v>0</v>
      </c>
      <c r="J576" t="n">
        <v>0</v>
      </c>
      <c r="K576" t="n">
        <v>0</v>
      </c>
      <c r="L576" t="n">
        <v>0</v>
      </c>
      <c r="M576" t="n">
        <v>0</v>
      </c>
      <c r="N576" t="n">
        <v>0</v>
      </c>
      <c r="O576" t="n">
        <v>0</v>
      </c>
      <c r="P576" t="n">
        <v>0</v>
      </c>
      <c r="Q576" t="n">
        <v>0</v>
      </c>
      <c r="R576" s="2" t="inlineStr"/>
    </row>
    <row r="577" ht="15" customHeight="1">
      <c r="A577" t="inlineStr">
        <is>
          <t>A 5216-2025</t>
        </is>
      </c>
      <c r="B577" s="1" t="n">
        <v>45691.69671296296</v>
      </c>
      <c r="C577" s="1" t="n">
        <v>45990</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45674-2024</t>
        </is>
      </c>
      <c r="B578" s="1" t="n">
        <v>45573</v>
      </c>
      <c r="C578" s="1" t="n">
        <v>45990</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18139-2025</t>
        </is>
      </c>
      <c r="B579" s="1" t="n">
        <v>45761.60459490741</v>
      </c>
      <c r="C579" s="1" t="n">
        <v>45990</v>
      </c>
      <c r="D579" t="inlineStr">
        <is>
          <t>DALARNAS LÄN</t>
        </is>
      </c>
      <c r="E579" t="inlineStr">
        <is>
          <t>MORA</t>
        </is>
      </c>
      <c r="F579" t="inlineStr">
        <is>
          <t>Bergvik skog öst AB</t>
        </is>
      </c>
      <c r="G579" t="n">
        <v>3</v>
      </c>
      <c r="H579" t="n">
        <v>0</v>
      </c>
      <c r="I579" t="n">
        <v>0</v>
      </c>
      <c r="J579" t="n">
        <v>0</v>
      </c>
      <c r="K579" t="n">
        <v>0</v>
      </c>
      <c r="L579" t="n">
        <v>0</v>
      </c>
      <c r="M579" t="n">
        <v>0</v>
      </c>
      <c r="N579" t="n">
        <v>0</v>
      </c>
      <c r="O579" t="n">
        <v>0</v>
      </c>
      <c r="P579" t="n">
        <v>0</v>
      </c>
      <c r="Q579" t="n">
        <v>0</v>
      </c>
      <c r="R579" s="2" t="inlineStr"/>
    </row>
    <row r="580" ht="15" customHeight="1">
      <c r="A580" t="inlineStr">
        <is>
          <t>A 57999-2023</t>
        </is>
      </c>
      <c r="B580" s="1" t="n">
        <v>45247</v>
      </c>
      <c r="C580" s="1" t="n">
        <v>45990</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24335-2022</t>
        </is>
      </c>
      <c r="B581" s="1" t="n">
        <v>44725</v>
      </c>
      <c r="C581" s="1" t="n">
        <v>45990</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55120-2024</t>
        </is>
      </c>
      <c r="B582" s="1" t="n">
        <v>45621.45765046297</v>
      </c>
      <c r="C582" s="1" t="n">
        <v>45990</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34660-2021</t>
        </is>
      </c>
      <c r="B583" s="1" t="n">
        <v>44382.57981481482</v>
      </c>
      <c r="C583" s="1" t="n">
        <v>45990</v>
      </c>
      <c r="D583" t="inlineStr">
        <is>
          <t>DALARNAS LÄN</t>
        </is>
      </c>
      <c r="E583" t="inlineStr">
        <is>
          <t>MORA</t>
        </is>
      </c>
      <c r="G583" t="n">
        <v>7.5</v>
      </c>
      <c r="H583" t="n">
        <v>0</v>
      </c>
      <c r="I583" t="n">
        <v>0</v>
      </c>
      <c r="J583" t="n">
        <v>0</v>
      </c>
      <c r="K583" t="n">
        <v>0</v>
      </c>
      <c r="L583" t="n">
        <v>0</v>
      </c>
      <c r="M583" t="n">
        <v>0</v>
      </c>
      <c r="N583" t="n">
        <v>0</v>
      </c>
      <c r="O583" t="n">
        <v>0</v>
      </c>
      <c r="P583" t="n">
        <v>0</v>
      </c>
      <c r="Q583" t="n">
        <v>0</v>
      </c>
      <c r="R583" s="2" t="inlineStr"/>
    </row>
    <row r="584" ht="15" customHeight="1">
      <c r="A584" t="inlineStr">
        <is>
          <t>A 42934-2024</t>
        </is>
      </c>
      <c r="B584" s="1" t="n">
        <v>45567.33655092592</v>
      </c>
      <c r="C584" s="1" t="n">
        <v>45990</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17516-2024</t>
        </is>
      </c>
      <c r="B585" s="1" t="n">
        <v>45415.58502314815</v>
      </c>
      <c r="C585" s="1" t="n">
        <v>45990</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49159-2023</t>
        </is>
      </c>
      <c r="B586" s="1" t="n">
        <v>45210</v>
      </c>
      <c r="C586" s="1" t="n">
        <v>45990</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45105.54270833333</v>
      </c>
      <c r="C587" s="1" t="n">
        <v>45990</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12151-2021</t>
        </is>
      </c>
      <c r="B588" s="1" t="n">
        <v>44266</v>
      </c>
      <c r="C588" s="1" t="n">
        <v>45990</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26314-2021</t>
        </is>
      </c>
      <c r="B589" s="1" t="n">
        <v>44347</v>
      </c>
      <c r="C589" s="1" t="n">
        <v>45990</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30985-2024</t>
        </is>
      </c>
      <c r="B590" s="1" t="n">
        <v>45499.51721064815</v>
      </c>
      <c r="C590" s="1" t="n">
        <v>45990</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18202-2024</t>
        </is>
      </c>
      <c r="B591" s="1" t="n">
        <v>45420.68172453704</v>
      </c>
      <c r="C591" s="1" t="n">
        <v>45990</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40286-2024</t>
        </is>
      </c>
      <c r="B592" s="1" t="n">
        <v>45554.6687037037</v>
      </c>
      <c r="C592" s="1" t="n">
        <v>45990</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41169-2023</t>
        </is>
      </c>
      <c r="B593" s="1" t="n">
        <v>45174.34662037037</v>
      </c>
      <c r="C593" s="1" t="n">
        <v>45990</v>
      </c>
      <c r="D593" t="inlineStr">
        <is>
          <t>DALARNAS LÄN</t>
        </is>
      </c>
      <c r="E593" t="inlineStr">
        <is>
          <t>MORA</t>
        </is>
      </c>
      <c r="G593" t="n">
        <v>3</v>
      </c>
      <c r="H593" t="n">
        <v>0</v>
      </c>
      <c r="I593" t="n">
        <v>0</v>
      </c>
      <c r="J593" t="n">
        <v>0</v>
      </c>
      <c r="K593" t="n">
        <v>0</v>
      </c>
      <c r="L593" t="n">
        <v>0</v>
      </c>
      <c r="M593" t="n">
        <v>0</v>
      </c>
      <c r="N593" t="n">
        <v>0</v>
      </c>
      <c r="O593" t="n">
        <v>0</v>
      </c>
      <c r="P593" t="n">
        <v>0</v>
      </c>
      <c r="Q593" t="n">
        <v>0</v>
      </c>
      <c r="R593" s="2" t="inlineStr"/>
    </row>
    <row r="594" ht="15" customHeight="1">
      <c r="A594" t="inlineStr">
        <is>
          <t>A 43826-2022</t>
        </is>
      </c>
      <c r="B594" s="1" t="n">
        <v>44838</v>
      </c>
      <c r="C594" s="1" t="n">
        <v>45990</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44106-2023</t>
        </is>
      </c>
      <c r="B595" s="1" t="n">
        <v>45188</v>
      </c>
      <c r="C595" s="1" t="n">
        <v>45990</v>
      </c>
      <c r="D595" t="inlineStr">
        <is>
          <t>DALARNAS LÄN</t>
        </is>
      </c>
      <c r="E595" t="inlineStr">
        <is>
          <t>MORA</t>
        </is>
      </c>
      <c r="G595" t="n">
        <v>10.1</v>
      </c>
      <c r="H595" t="n">
        <v>0</v>
      </c>
      <c r="I595" t="n">
        <v>0</v>
      </c>
      <c r="J595" t="n">
        <v>0</v>
      </c>
      <c r="K595" t="n">
        <v>0</v>
      </c>
      <c r="L595" t="n">
        <v>0</v>
      </c>
      <c r="M595" t="n">
        <v>0</v>
      </c>
      <c r="N595" t="n">
        <v>0</v>
      </c>
      <c r="O595" t="n">
        <v>0</v>
      </c>
      <c r="P595" t="n">
        <v>0</v>
      </c>
      <c r="Q595" t="n">
        <v>0</v>
      </c>
      <c r="R595" s="2" t="inlineStr"/>
    </row>
    <row r="596" ht="15" customHeight="1">
      <c r="A596" t="inlineStr">
        <is>
          <t>A 59002-2024</t>
        </is>
      </c>
      <c r="B596" s="1" t="n">
        <v>45636</v>
      </c>
      <c r="C596" s="1" t="n">
        <v>45990</v>
      </c>
      <c r="D596" t="inlineStr">
        <is>
          <t>DALARNAS LÄN</t>
        </is>
      </c>
      <c r="E596" t="inlineStr">
        <is>
          <t>MORA</t>
        </is>
      </c>
      <c r="F596" t="inlineStr">
        <is>
          <t>Bergvik skog väst AB</t>
        </is>
      </c>
      <c r="G596" t="n">
        <v>24.8</v>
      </c>
      <c r="H596" t="n">
        <v>0</v>
      </c>
      <c r="I596" t="n">
        <v>0</v>
      </c>
      <c r="J596" t="n">
        <v>0</v>
      </c>
      <c r="K596" t="n">
        <v>0</v>
      </c>
      <c r="L596" t="n">
        <v>0</v>
      </c>
      <c r="M596" t="n">
        <v>0</v>
      </c>
      <c r="N596" t="n">
        <v>0</v>
      </c>
      <c r="O596" t="n">
        <v>0</v>
      </c>
      <c r="P596" t="n">
        <v>0</v>
      </c>
      <c r="Q596" t="n">
        <v>0</v>
      </c>
      <c r="R596" s="2" t="inlineStr"/>
    </row>
    <row r="597" ht="15" customHeight="1">
      <c r="A597" t="inlineStr">
        <is>
          <t>A 5980-2025</t>
        </is>
      </c>
      <c r="B597" s="1" t="n">
        <v>45695.54651620371</v>
      </c>
      <c r="C597" s="1" t="n">
        <v>45990</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5527-2024</t>
        </is>
      </c>
      <c r="B598" s="1" t="n">
        <v>45334.38981481481</v>
      </c>
      <c r="C598" s="1" t="n">
        <v>45990</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39856-2024</t>
        </is>
      </c>
      <c r="B599" s="1" t="n">
        <v>45553.44084490741</v>
      </c>
      <c r="C599" s="1" t="n">
        <v>45990</v>
      </c>
      <c r="D599" t="inlineStr">
        <is>
          <t>DALARNAS LÄN</t>
        </is>
      </c>
      <c r="E599" t="inlineStr">
        <is>
          <t>MORA</t>
        </is>
      </c>
      <c r="G599" t="n">
        <v>4.8</v>
      </c>
      <c r="H599" t="n">
        <v>0</v>
      </c>
      <c r="I599" t="n">
        <v>0</v>
      </c>
      <c r="J599" t="n">
        <v>0</v>
      </c>
      <c r="K599" t="n">
        <v>0</v>
      </c>
      <c r="L599" t="n">
        <v>0</v>
      </c>
      <c r="M599" t="n">
        <v>0</v>
      </c>
      <c r="N599" t="n">
        <v>0</v>
      </c>
      <c r="O599" t="n">
        <v>0</v>
      </c>
      <c r="P599" t="n">
        <v>0</v>
      </c>
      <c r="Q599" t="n">
        <v>0</v>
      </c>
      <c r="R599" s="2" t="inlineStr"/>
    </row>
    <row r="600" ht="15" customHeight="1">
      <c r="A600" t="inlineStr">
        <is>
          <t>A 52288-2024</t>
        </is>
      </c>
      <c r="B600" s="1" t="n">
        <v>45608.69395833334</v>
      </c>
      <c r="C600" s="1" t="n">
        <v>45990</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43879-2022</t>
        </is>
      </c>
      <c r="B601" s="1" t="n">
        <v>44838.46721064814</v>
      </c>
      <c r="C601" s="1" t="n">
        <v>45990</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12920-2022</t>
        </is>
      </c>
      <c r="B602" s="1" t="n">
        <v>44642.65418981481</v>
      </c>
      <c r="C602" s="1" t="n">
        <v>45990</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17280-2025</t>
        </is>
      </c>
      <c r="B603" s="1" t="n">
        <v>45756</v>
      </c>
      <c r="C603" s="1" t="n">
        <v>45990</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34282-2024</t>
        </is>
      </c>
      <c r="B604" s="1" t="n">
        <v>45524.62600694445</v>
      </c>
      <c r="C604" s="1" t="n">
        <v>45990</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38055-2024</t>
        </is>
      </c>
      <c r="B605" s="1" t="n">
        <v>45544</v>
      </c>
      <c r="C605" s="1" t="n">
        <v>45990</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7116-2024</t>
        </is>
      </c>
      <c r="B606" s="1" t="n">
        <v>45343.95445601852</v>
      </c>
      <c r="C606" s="1" t="n">
        <v>45990</v>
      </c>
      <c r="D606" t="inlineStr">
        <is>
          <t>DALARNAS LÄN</t>
        </is>
      </c>
      <c r="E606" t="inlineStr">
        <is>
          <t>MORA</t>
        </is>
      </c>
      <c r="G606" t="n">
        <v>0.3</v>
      </c>
      <c r="H606" t="n">
        <v>0</v>
      </c>
      <c r="I606" t="n">
        <v>0</v>
      </c>
      <c r="J606" t="n">
        <v>0</v>
      </c>
      <c r="K606" t="n">
        <v>0</v>
      </c>
      <c r="L606" t="n">
        <v>0</v>
      </c>
      <c r="M606" t="n">
        <v>0</v>
      </c>
      <c r="N606" t="n">
        <v>0</v>
      </c>
      <c r="O606" t="n">
        <v>0</v>
      </c>
      <c r="P606" t="n">
        <v>0</v>
      </c>
      <c r="Q606" t="n">
        <v>0</v>
      </c>
      <c r="R606" s="2" t="inlineStr"/>
    </row>
    <row r="607" ht="15" customHeight="1">
      <c r="A607" t="inlineStr">
        <is>
          <t>A 22785-2023</t>
        </is>
      </c>
      <c r="B607" s="1" t="n">
        <v>45072.34796296297</v>
      </c>
      <c r="C607" s="1" t="n">
        <v>45990</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60718-2023</t>
        </is>
      </c>
      <c r="B608" s="1" t="n">
        <v>45260.5284375</v>
      </c>
      <c r="C608" s="1" t="n">
        <v>45990</v>
      </c>
      <c r="D608" t="inlineStr">
        <is>
          <t>DALARNAS LÄN</t>
        </is>
      </c>
      <c r="E608" t="inlineStr">
        <is>
          <t>MORA</t>
        </is>
      </c>
      <c r="G608" t="n">
        <v>2.6</v>
      </c>
      <c r="H608" t="n">
        <v>0</v>
      </c>
      <c r="I608" t="n">
        <v>0</v>
      </c>
      <c r="J608" t="n">
        <v>0</v>
      </c>
      <c r="K608" t="n">
        <v>0</v>
      </c>
      <c r="L608" t="n">
        <v>0</v>
      </c>
      <c r="M608" t="n">
        <v>0</v>
      </c>
      <c r="N608" t="n">
        <v>0</v>
      </c>
      <c r="O608" t="n">
        <v>0</v>
      </c>
      <c r="P608" t="n">
        <v>0</v>
      </c>
      <c r="Q608" t="n">
        <v>0</v>
      </c>
      <c r="R608" s="2" t="inlineStr"/>
    </row>
    <row r="609" ht="15" customHeight="1">
      <c r="A609" t="inlineStr">
        <is>
          <t>A 7972-2024</t>
        </is>
      </c>
      <c r="B609" s="1" t="n">
        <v>45350</v>
      </c>
      <c r="C609" s="1" t="n">
        <v>45990</v>
      </c>
      <c r="D609" t="inlineStr">
        <is>
          <t>DALARNAS LÄN</t>
        </is>
      </c>
      <c r="E609" t="inlineStr">
        <is>
          <t>MORA</t>
        </is>
      </c>
      <c r="G609" t="n">
        <v>2.4</v>
      </c>
      <c r="H609" t="n">
        <v>0</v>
      </c>
      <c r="I609" t="n">
        <v>0</v>
      </c>
      <c r="J609" t="n">
        <v>0</v>
      </c>
      <c r="K609" t="n">
        <v>0</v>
      </c>
      <c r="L609" t="n">
        <v>0</v>
      </c>
      <c r="M609" t="n">
        <v>0</v>
      </c>
      <c r="N609" t="n">
        <v>0</v>
      </c>
      <c r="O609" t="n">
        <v>0</v>
      </c>
      <c r="P609" t="n">
        <v>0</v>
      </c>
      <c r="Q609" t="n">
        <v>0</v>
      </c>
      <c r="R609" s="2" t="inlineStr"/>
    </row>
    <row r="610" ht="15" customHeight="1">
      <c r="A610" t="inlineStr">
        <is>
          <t>A 16637-2025</t>
        </is>
      </c>
      <c r="B610" s="1" t="n">
        <v>45754.36738425926</v>
      </c>
      <c r="C610" s="1" t="n">
        <v>45990</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8146-2021</t>
        </is>
      </c>
      <c r="B611" s="1" t="n">
        <v>44244</v>
      </c>
      <c r="C611" s="1" t="n">
        <v>45990</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49991-2023</t>
        </is>
      </c>
      <c r="B612" s="1" t="n">
        <v>45215.43879629629</v>
      </c>
      <c r="C612" s="1" t="n">
        <v>45990</v>
      </c>
      <c r="D612" t="inlineStr">
        <is>
          <t>DALARNAS LÄN</t>
        </is>
      </c>
      <c r="E612" t="inlineStr">
        <is>
          <t>MORA</t>
        </is>
      </c>
      <c r="G612" t="n">
        <v>1.8</v>
      </c>
      <c r="H612" t="n">
        <v>0</v>
      </c>
      <c r="I612" t="n">
        <v>0</v>
      </c>
      <c r="J612" t="n">
        <v>0</v>
      </c>
      <c r="K612" t="n">
        <v>0</v>
      </c>
      <c r="L612" t="n">
        <v>0</v>
      </c>
      <c r="M612" t="n">
        <v>0</v>
      </c>
      <c r="N612" t="n">
        <v>0</v>
      </c>
      <c r="O612" t="n">
        <v>0</v>
      </c>
      <c r="P612" t="n">
        <v>0</v>
      </c>
      <c r="Q612" t="n">
        <v>0</v>
      </c>
      <c r="R612" s="2" t="inlineStr"/>
    </row>
    <row r="613" ht="15" customHeight="1">
      <c r="A613" t="inlineStr">
        <is>
          <t>A 28131-2024</t>
        </is>
      </c>
      <c r="B613" s="1" t="n">
        <v>45476.68435185185</v>
      </c>
      <c r="C613" s="1" t="n">
        <v>45990</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28132-2024</t>
        </is>
      </c>
      <c r="B614" s="1" t="n">
        <v>45476.68616898148</v>
      </c>
      <c r="C614" s="1" t="n">
        <v>45990</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45990</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48170-2024</t>
        </is>
      </c>
      <c r="B616" s="1" t="n">
        <v>45589.76975694444</v>
      </c>
      <c r="C616" s="1" t="n">
        <v>45990</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58892-2023</t>
        </is>
      </c>
      <c r="B617" s="1" t="n">
        <v>45252.48592592592</v>
      </c>
      <c r="C617" s="1" t="n">
        <v>45990</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27975-2023</t>
        </is>
      </c>
      <c r="B618" s="1" t="n">
        <v>45098</v>
      </c>
      <c r="C618" s="1" t="n">
        <v>45990</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55222-2023</t>
        </is>
      </c>
      <c r="B619" s="1" t="n">
        <v>45237.60775462963</v>
      </c>
      <c r="C619" s="1" t="n">
        <v>45990</v>
      </c>
      <c r="D619" t="inlineStr">
        <is>
          <t>DALARNAS LÄN</t>
        </is>
      </c>
      <c r="E619" t="inlineStr">
        <is>
          <t>MORA</t>
        </is>
      </c>
      <c r="F619" t="inlineStr">
        <is>
          <t>Allmännings- och besparingsskogar</t>
        </is>
      </c>
      <c r="G619" t="n">
        <v>19.8</v>
      </c>
      <c r="H619" t="n">
        <v>0</v>
      </c>
      <c r="I619" t="n">
        <v>0</v>
      </c>
      <c r="J619" t="n">
        <v>0</v>
      </c>
      <c r="K619" t="n">
        <v>0</v>
      </c>
      <c r="L619" t="n">
        <v>0</v>
      </c>
      <c r="M619" t="n">
        <v>0</v>
      </c>
      <c r="N619" t="n">
        <v>0</v>
      </c>
      <c r="O619" t="n">
        <v>0</v>
      </c>
      <c r="P619" t="n">
        <v>0</v>
      </c>
      <c r="Q619" t="n">
        <v>0</v>
      </c>
      <c r="R619" s="2" t="inlineStr"/>
    </row>
    <row r="620" ht="15" customHeight="1">
      <c r="A620" t="inlineStr">
        <is>
          <t>A 24772-2024</t>
        </is>
      </c>
      <c r="B620" s="1" t="n">
        <v>45460.70204861111</v>
      </c>
      <c r="C620" s="1" t="n">
        <v>45990</v>
      </c>
      <c r="D620" t="inlineStr">
        <is>
          <t>DALARNAS LÄN</t>
        </is>
      </c>
      <c r="E620" t="inlineStr">
        <is>
          <t>MORA</t>
        </is>
      </c>
      <c r="G620" t="n">
        <v>0.9</v>
      </c>
      <c r="H620" t="n">
        <v>0</v>
      </c>
      <c r="I620" t="n">
        <v>0</v>
      </c>
      <c r="J620" t="n">
        <v>0</v>
      </c>
      <c r="K620" t="n">
        <v>0</v>
      </c>
      <c r="L620" t="n">
        <v>0</v>
      </c>
      <c r="M620" t="n">
        <v>0</v>
      </c>
      <c r="N620" t="n">
        <v>0</v>
      </c>
      <c r="O620" t="n">
        <v>0</v>
      </c>
      <c r="P620" t="n">
        <v>0</v>
      </c>
      <c r="Q620" t="n">
        <v>0</v>
      </c>
      <c r="R620" s="2" t="inlineStr"/>
    </row>
    <row r="621" ht="15" customHeight="1">
      <c r="A621" t="inlineStr">
        <is>
          <t>A 5486-2023</t>
        </is>
      </c>
      <c r="B621" s="1" t="n">
        <v>44957</v>
      </c>
      <c r="C621" s="1" t="n">
        <v>45990</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42943-2024</t>
        </is>
      </c>
      <c r="B622" s="1" t="n">
        <v>45567.35359953704</v>
      </c>
      <c r="C622" s="1" t="n">
        <v>45990</v>
      </c>
      <c r="D622" t="inlineStr">
        <is>
          <t>DALARNAS LÄN</t>
        </is>
      </c>
      <c r="E622" t="inlineStr">
        <is>
          <t>MORA</t>
        </is>
      </c>
      <c r="G622" t="n">
        <v>0.5</v>
      </c>
      <c r="H622" t="n">
        <v>0</v>
      </c>
      <c r="I622" t="n">
        <v>0</v>
      </c>
      <c r="J622" t="n">
        <v>0</v>
      </c>
      <c r="K622" t="n">
        <v>0</v>
      </c>
      <c r="L622" t="n">
        <v>0</v>
      </c>
      <c r="M622" t="n">
        <v>0</v>
      </c>
      <c r="N622" t="n">
        <v>0</v>
      </c>
      <c r="O622" t="n">
        <v>0</v>
      </c>
      <c r="P622" t="n">
        <v>0</v>
      </c>
      <c r="Q622" t="n">
        <v>0</v>
      </c>
      <c r="R622" s="2" t="inlineStr"/>
    </row>
    <row r="623" ht="15" customHeight="1">
      <c r="A623" t="inlineStr">
        <is>
          <t>A 9855-2024</t>
        </is>
      </c>
      <c r="B623" s="1" t="n">
        <v>45363.40368055556</v>
      </c>
      <c r="C623" s="1" t="n">
        <v>45990</v>
      </c>
      <c r="D623" t="inlineStr">
        <is>
          <t>DALARNAS LÄN</t>
        </is>
      </c>
      <c r="E623" t="inlineStr">
        <is>
          <t>MORA</t>
        </is>
      </c>
      <c r="G623" t="n">
        <v>8.6</v>
      </c>
      <c r="H623" t="n">
        <v>0</v>
      </c>
      <c r="I623" t="n">
        <v>0</v>
      </c>
      <c r="J623" t="n">
        <v>0</v>
      </c>
      <c r="K623" t="n">
        <v>0</v>
      </c>
      <c r="L623" t="n">
        <v>0</v>
      </c>
      <c r="M623" t="n">
        <v>0</v>
      </c>
      <c r="N623" t="n">
        <v>0</v>
      </c>
      <c r="O623" t="n">
        <v>0</v>
      </c>
      <c r="P623" t="n">
        <v>0</v>
      </c>
      <c r="Q623" t="n">
        <v>0</v>
      </c>
      <c r="R623" s="2" t="inlineStr"/>
    </row>
    <row r="624" ht="15" customHeight="1">
      <c r="A624" t="inlineStr">
        <is>
          <t>A 21244-2024</t>
        </is>
      </c>
      <c r="B624" s="1" t="n">
        <v>45440.59936342593</v>
      </c>
      <c r="C624" s="1" t="n">
        <v>45990</v>
      </c>
      <c r="D624" t="inlineStr">
        <is>
          <t>DALARNAS LÄN</t>
        </is>
      </c>
      <c r="E624" t="inlineStr">
        <is>
          <t>MORA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28964-2024</t>
        </is>
      </c>
      <c r="B625" s="1" t="n">
        <v>45481.42923611111</v>
      </c>
      <c r="C625" s="1" t="n">
        <v>45990</v>
      </c>
      <c r="D625" t="inlineStr">
        <is>
          <t>DALARNAS LÄN</t>
        </is>
      </c>
      <c r="E625" t="inlineStr">
        <is>
          <t>MORA</t>
        </is>
      </c>
      <c r="G625" t="n">
        <v>1.3</v>
      </c>
      <c r="H625" t="n">
        <v>0</v>
      </c>
      <c r="I625" t="n">
        <v>0</v>
      </c>
      <c r="J625" t="n">
        <v>0</v>
      </c>
      <c r="K625" t="n">
        <v>0</v>
      </c>
      <c r="L625" t="n">
        <v>0</v>
      </c>
      <c r="M625" t="n">
        <v>0</v>
      </c>
      <c r="N625" t="n">
        <v>0</v>
      </c>
      <c r="O625" t="n">
        <v>0</v>
      </c>
      <c r="P625" t="n">
        <v>0</v>
      </c>
      <c r="Q625" t="n">
        <v>0</v>
      </c>
      <c r="R625" s="2" t="inlineStr"/>
    </row>
    <row r="626" ht="15" customHeight="1">
      <c r="A626" t="inlineStr">
        <is>
          <t>A 30194-2024</t>
        </is>
      </c>
      <c r="B626" s="1" t="n">
        <v>45490.33387731481</v>
      </c>
      <c r="C626" s="1" t="n">
        <v>45990</v>
      </c>
      <c r="D626" t="inlineStr">
        <is>
          <t>DALARNAS LÄN</t>
        </is>
      </c>
      <c r="E626" t="inlineStr">
        <is>
          <t>MORA</t>
        </is>
      </c>
      <c r="G626" t="n">
        <v>3.1</v>
      </c>
      <c r="H626" t="n">
        <v>0</v>
      </c>
      <c r="I626" t="n">
        <v>0</v>
      </c>
      <c r="J626" t="n">
        <v>0</v>
      </c>
      <c r="K626" t="n">
        <v>0</v>
      </c>
      <c r="L626" t="n">
        <v>0</v>
      </c>
      <c r="M626" t="n">
        <v>0</v>
      </c>
      <c r="N626" t="n">
        <v>0</v>
      </c>
      <c r="O626" t="n">
        <v>0</v>
      </c>
      <c r="P626" t="n">
        <v>0</v>
      </c>
      <c r="Q626" t="n">
        <v>0</v>
      </c>
      <c r="R626" s="2" t="inlineStr"/>
    </row>
    <row r="627" ht="15" customHeight="1">
      <c r="A627" t="inlineStr">
        <is>
          <t>A 58177-2024</t>
        </is>
      </c>
      <c r="B627" s="1" t="n">
        <v>45632.46821759259</v>
      </c>
      <c r="C627" s="1" t="n">
        <v>45990</v>
      </c>
      <c r="D627" t="inlineStr">
        <is>
          <t>DALARNAS LÄN</t>
        </is>
      </c>
      <c r="E627" t="inlineStr">
        <is>
          <t>MORA</t>
        </is>
      </c>
      <c r="G627" t="n">
        <v>0.8</v>
      </c>
      <c r="H627" t="n">
        <v>0</v>
      </c>
      <c r="I627" t="n">
        <v>0</v>
      </c>
      <c r="J627" t="n">
        <v>0</v>
      </c>
      <c r="K627" t="n">
        <v>0</v>
      </c>
      <c r="L627" t="n">
        <v>0</v>
      </c>
      <c r="M627" t="n">
        <v>0</v>
      </c>
      <c r="N627" t="n">
        <v>0</v>
      </c>
      <c r="O627" t="n">
        <v>0</v>
      </c>
      <c r="P627" t="n">
        <v>0</v>
      </c>
      <c r="Q627" t="n">
        <v>0</v>
      </c>
      <c r="R627" s="2" t="inlineStr"/>
    </row>
    <row r="628" ht="15" customHeight="1">
      <c r="A628" t="inlineStr">
        <is>
          <t>A 45390-2024</t>
        </is>
      </c>
      <c r="B628" s="1" t="n">
        <v>45576.54820601852</v>
      </c>
      <c r="C628" s="1" t="n">
        <v>45990</v>
      </c>
      <c r="D628" t="inlineStr">
        <is>
          <t>DALARNAS LÄN</t>
        </is>
      </c>
      <c r="E628" t="inlineStr">
        <is>
          <t>MORA</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58089-2024</t>
        </is>
      </c>
      <c r="B629" s="1" t="n">
        <v>45632.34984953704</v>
      </c>
      <c r="C629" s="1" t="n">
        <v>45990</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4208-2023</t>
        </is>
      </c>
      <c r="B630" s="1" t="n">
        <v>44953</v>
      </c>
      <c r="C630" s="1" t="n">
        <v>45990</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4210-2023</t>
        </is>
      </c>
      <c r="B631" s="1" t="n">
        <v>44953.44965277778</v>
      </c>
      <c r="C631" s="1" t="n">
        <v>45990</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44769-2021</t>
        </is>
      </c>
      <c r="B632" s="1" t="n">
        <v>44438</v>
      </c>
      <c r="C632" s="1" t="n">
        <v>45990</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58036-2024</t>
        </is>
      </c>
      <c r="B633" s="1" t="n">
        <v>45631.71893518518</v>
      </c>
      <c r="C633" s="1" t="n">
        <v>45990</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3430-2023</t>
        </is>
      </c>
      <c r="B634" s="1" t="n">
        <v>44949.57856481482</v>
      </c>
      <c r="C634" s="1" t="n">
        <v>45990</v>
      </c>
      <c r="D634" t="inlineStr">
        <is>
          <t>DALARNAS LÄN</t>
        </is>
      </c>
      <c r="E634" t="inlineStr">
        <is>
          <t>MORA</t>
        </is>
      </c>
      <c r="G634" t="n">
        <v>2.6</v>
      </c>
      <c r="H634" t="n">
        <v>0</v>
      </c>
      <c r="I634" t="n">
        <v>0</v>
      </c>
      <c r="J634" t="n">
        <v>0</v>
      </c>
      <c r="K634" t="n">
        <v>0</v>
      </c>
      <c r="L634" t="n">
        <v>0</v>
      </c>
      <c r="M634" t="n">
        <v>0</v>
      </c>
      <c r="N634" t="n">
        <v>0</v>
      </c>
      <c r="O634" t="n">
        <v>0</v>
      </c>
      <c r="P634" t="n">
        <v>0</v>
      </c>
      <c r="Q634" t="n">
        <v>0</v>
      </c>
      <c r="R634" s="2" t="inlineStr"/>
    </row>
    <row r="635" ht="15" customHeight="1">
      <c r="A635" t="inlineStr">
        <is>
          <t>A 15172-2025</t>
        </is>
      </c>
      <c r="B635" s="1" t="n">
        <v>45744.50722222222</v>
      </c>
      <c r="C635" s="1" t="n">
        <v>45990</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39897-2022</t>
        </is>
      </c>
      <c r="B636" s="1" t="n">
        <v>44819.66083333334</v>
      </c>
      <c r="C636" s="1" t="n">
        <v>45990</v>
      </c>
      <c r="D636" t="inlineStr">
        <is>
          <t>DALARNAS LÄN</t>
        </is>
      </c>
      <c r="E636" t="inlineStr">
        <is>
          <t>MORA</t>
        </is>
      </c>
      <c r="G636" t="n">
        <v>15.8</v>
      </c>
      <c r="H636" t="n">
        <v>0</v>
      </c>
      <c r="I636" t="n">
        <v>0</v>
      </c>
      <c r="J636" t="n">
        <v>0</v>
      </c>
      <c r="K636" t="n">
        <v>0</v>
      </c>
      <c r="L636" t="n">
        <v>0</v>
      </c>
      <c r="M636" t="n">
        <v>0</v>
      </c>
      <c r="N636" t="n">
        <v>0</v>
      </c>
      <c r="O636" t="n">
        <v>0</v>
      </c>
      <c r="P636" t="n">
        <v>0</v>
      </c>
      <c r="Q636" t="n">
        <v>0</v>
      </c>
      <c r="R636" s="2" t="inlineStr"/>
    </row>
    <row r="637" ht="15" customHeight="1">
      <c r="A637" t="inlineStr">
        <is>
          <t>A 62853-2023</t>
        </is>
      </c>
      <c r="B637" s="1" t="n">
        <v>45272</v>
      </c>
      <c r="C637" s="1" t="n">
        <v>45990</v>
      </c>
      <c r="D637" t="inlineStr">
        <is>
          <t>DALARNAS LÄN</t>
        </is>
      </c>
      <c r="E637" t="inlineStr">
        <is>
          <t>MORA</t>
        </is>
      </c>
      <c r="G637" t="n">
        <v>13.6</v>
      </c>
      <c r="H637" t="n">
        <v>0</v>
      </c>
      <c r="I637" t="n">
        <v>0</v>
      </c>
      <c r="J637" t="n">
        <v>0</v>
      </c>
      <c r="K637" t="n">
        <v>0</v>
      </c>
      <c r="L637" t="n">
        <v>0</v>
      </c>
      <c r="M637" t="n">
        <v>0</v>
      </c>
      <c r="N637" t="n">
        <v>0</v>
      </c>
      <c r="O637" t="n">
        <v>0</v>
      </c>
      <c r="P637" t="n">
        <v>0</v>
      </c>
      <c r="Q637" t="n">
        <v>0</v>
      </c>
      <c r="R637" s="2" t="inlineStr"/>
    </row>
    <row r="638" ht="15" customHeight="1">
      <c r="A638" t="inlineStr">
        <is>
          <t>A 11919-2024</t>
        </is>
      </c>
      <c r="B638" s="1" t="n">
        <v>45376.61019675926</v>
      </c>
      <c r="C638" s="1" t="n">
        <v>45990</v>
      </c>
      <c r="D638" t="inlineStr">
        <is>
          <t>DALARNAS LÄN</t>
        </is>
      </c>
      <c r="E638" t="inlineStr">
        <is>
          <t>MORA</t>
        </is>
      </c>
      <c r="G638" t="n">
        <v>3.5</v>
      </c>
      <c r="H638" t="n">
        <v>0</v>
      </c>
      <c r="I638" t="n">
        <v>0</v>
      </c>
      <c r="J638" t="n">
        <v>0</v>
      </c>
      <c r="K638" t="n">
        <v>0</v>
      </c>
      <c r="L638" t="n">
        <v>0</v>
      </c>
      <c r="M638" t="n">
        <v>0</v>
      </c>
      <c r="N638" t="n">
        <v>0</v>
      </c>
      <c r="O638" t="n">
        <v>0</v>
      </c>
      <c r="P638" t="n">
        <v>0</v>
      </c>
      <c r="Q638" t="n">
        <v>0</v>
      </c>
      <c r="R638" s="2" t="inlineStr"/>
    </row>
    <row r="639" ht="15" customHeight="1">
      <c r="A639" t="inlineStr">
        <is>
          <t>A 1897-2023</t>
        </is>
      </c>
      <c r="B639" s="1" t="n">
        <v>44937</v>
      </c>
      <c r="C639" s="1" t="n">
        <v>45990</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37385-2022</t>
        </is>
      </c>
      <c r="B640" s="1" t="n">
        <v>44806</v>
      </c>
      <c r="C640" s="1" t="n">
        <v>45990</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45990</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70141-2021</t>
        </is>
      </c>
      <c r="B642" s="1" t="n">
        <v>44533</v>
      </c>
      <c r="C642" s="1" t="n">
        <v>45990</v>
      </c>
      <c r="D642" t="inlineStr">
        <is>
          <t>DALARNAS LÄN</t>
        </is>
      </c>
      <c r="E642" t="inlineStr">
        <is>
          <t>MORA</t>
        </is>
      </c>
      <c r="G642" t="n">
        <v>4.1</v>
      </c>
      <c r="H642" t="n">
        <v>0</v>
      </c>
      <c r="I642" t="n">
        <v>0</v>
      </c>
      <c r="J642" t="n">
        <v>0</v>
      </c>
      <c r="K642" t="n">
        <v>0</v>
      </c>
      <c r="L642" t="n">
        <v>0</v>
      </c>
      <c r="M642" t="n">
        <v>0</v>
      </c>
      <c r="N642" t="n">
        <v>0</v>
      </c>
      <c r="O642" t="n">
        <v>0</v>
      </c>
      <c r="P642" t="n">
        <v>0</v>
      </c>
      <c r="Q642" t="n">
        <v>0</v>
      </c>
      <c r="R642" s="2" t="inlineStr"/>
    </row>
    <row r="643" ht="15" customHeight="1">
      <c r="A643" t="inlineStr">
        <is>
          <t>A 64093-2023</t>
        </is>
      </c>
      <c r="B643" s="1" t="n">
        <v>45279</v>
      </c>
      <c r="C643" s="1" t="n">
        <v>45990</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37471-2024</t>
        </is>
      </c>
      <c r="B644" s="1" t="n">
        <v>45540.85054398148</v>
      </c>
      <c r="C644" s="1" t="n">
        <v>45990</v>
      </c>
      <c r="D644" t="inlineStr">
        <is>
          <t>DALARNAS LÄN</t>
        </is>
      </c>
      <c r="E644" t="inlineStr">
        <is>
          <t>MORA</t>
        </is>
      </c>
      <c r="G644" t="n">
        <v>3.5</v>
      </c>
      <c r="H644" t="n">
        <v>0</v>
      </c>
      <c r="I644" t="n">
        <v>0</v>
      </c>
      <c r="J644" t="n">
        <v>0</v>
      </c>
      <c r="K644" t="n">
        <v>0</v>
      </c>
      <c r="L644" t="n">
        <v>0</v>
      </c>
      <c r="M644" t="n">
        <v>0</v>
      </c>
      <c r="N644" t="n">
        <v>0</v>
      </c>
      <c r="O644" t="n">
        <v>0</v>
      </c>
      <c r="P644" t="n">
        <v>0</v>
      </c>
      <c r="Q644" t="n">
        <v>0</v>
      </c>
      <c r="R644" s="2" t="inlineStr"/>
    </row>
    <row r="645" ht="15" customHeight="1">
      <c r="A645" t="inlineStr">
        <is>
          <t>A 14936-2025</t>
        </is>
      </c>
      <c r="B645" s="1" t="n">
        <v>45743.55756944444</v>
      </c>
      <c r="C645" s="1" t="n">
        <v>45990</v>
      </c>
      <c r="D645" t="inlineStr">
        <is>
          <t>DALARNAS LÄN</t>
        </is>
      </c>
      <c r="E645" t="inlineStr">
        <is>
          <t>MORA</t>
        </is>
      </c>
      <c r="G645" t="n">
        <v>2.4</v>
      </c>
      <c r="H645" t="n">
        <v>0</v>
      </c>
      <c r="I645" t="n">
        <v>0</v>
      </c>
      <c r="J645" t="n">
        <v>0</v>
      </c>
      <c r="K645" t="n">
        <v>0</v>
      </c>
      <c r="L645" t="n">
        <v>0</v>
      </c>
      <c r="M645" t="n">
        <v>0</v>
      </c>
      <c r="N645" t="n">
        <v>0</v>
      </c>
      <c r="O645" t="n">
        <v>0</v>
      </c>
      <c r="P645" t="n">
        <v>0</v>
      </c>
      <c r="Q645" t="n">
        <v>0</v>
      </c>
      <c r="R645" s="2" t="inlineStr"/>
    </row>
    <row r="646" ht="15" customHeight="1">
      <c r="A646" t="inlineStr">
        <is>
          <t>A 53344-2023</t>
        </is>
      </c>
      <c r="B646" s="1" t="n">
        <v>45229</v>
      </c>
      <c r="C646" s="1" t="n">
        <v>45990</v>
      </c>
      <c r="D646" t="inlineStr">
        <is>
          <t>DALARNAS LÄN</t>
        </is>
      </c>
      <c r="E646" t="inlineStr">
        <is>
          <t>MORA</t>
        </is>
      </c>
      <c r="G646" t="n">
        <v>2.4</v>
      </c>
      <c r="H646" t="n">
        <v>0</v>
      </c>
      <c r="I646" t="n">
        <v>0</v>
      </c>
      <c r="J646" t="n">
        <v>0</v>
      </c>
      <c r="K646" t="n">
        <v>0</v>
      </c>
      <c r="L646" t="n">
        <v>0</v>
      </c>
      <c r="M646" t="n">
        <v>0</v>
      </c>
      <c r="N646" t="n">
        <v>0</v>
      </c>
      <c r="O646" t="n">
        <v>0</v>
      </c>
      <c r="P646" t="n">
        <v>0</v>
      </c>
      <c r="Q646" t="n">
        <v>0</v>
      </c>
      <c r="R646" s="2" t="inlineStr"/>
    </row>
    <row r="647" ht="15" customHeight="1">
      <c r="A647" t="inlineStr">
        <is>
          <t>A 48522-2024</t>
        </is>
      </c>
      <c r="B647" s="1" t="n">
        <v>45593.32924768519</v>
      </c>
      <c r="C647" s="1" t="n">
        <v>45990</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53754-2024</t>
        </is>
      </c>
      <c r="B648" s="1" t="n">
        <v>45615.49371527778</v>
      </c>
      <c r="C648" s="1" t="n">
        <v>45990</v>
      </c>
      <c r="D648" t="inlineStr">
        <is>
          <t>DALARNAS LÄN</t>
        </is>
      </c>
      <c r="E648" t="inlineStr">
        <is>
          <t>MORA</t>
        </is>
      </c>
      <c r="G648" t="n">
        <v>4.8</v>
      </c>
      <c r="H648" t="n">
        <v>0</v>
      </c>
      <c r="I648" t="n">
        <v>0</v>
      </c>
      <c r="J648" t="n">
        <v>0</v>
      </c>
      <c r="K648" t="n">
        <v>0</v>
      </c>
      <c r="L648" t="n">
        <v>0</v>
      </c>
      <c r="M648" t="n">
        <v>0</v>
      </c>
      <c r="N648" t="n">
        <v>0</v>
      </c>
      <c r="O648" t="n">
        <v>0</v>
      </c>
      <c r="P648" t="n">
        <v>0</v>
      </c>
      <c r="Q648" t="n">
        <v>0</v>
      </c>
      <c r="R648" s="2" t="inlineStr"/>
    </row>
    <row r="649" ht="15" customHeight="1">
      <c r="A649" t="inlineStr">
        <is>
          <t>A 14040-2023</t>
        </is>
      </c>
      <c r="B649" s="1" t="n">
        <v>45008.64575231481</v>
      </c>
      <c r="C649" s="1" t="n">
        <v>45990</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56770-2024</t>
        </is>
      </c>
      <c r="B650" s="1" t="n">
        <v>45628.41587962963</v>
      </c>
      <c r="C650" s="1" t="n">
        <v>45990</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18120-2025</t>
        </is>
      </c>
      <c r="B651" s="1" t="n">
        <v>45761</v>
      </c>
      <c r="C651" s="1" t="n">
        <v>45990</v>
      </c>
      <c r="D651" t="inlineStr">
        <is>
          <t>DALARNAS LÄN</t>
        </is>
      </c>
      <c r="E651" t="inlineStr">
        <is>
          <t>MORA</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18127-2025</t>
        </is>
      </c>
      <c r="B652" s="1" t="n">
        <v>45761.59523148148</v>
      </c>
      <c r="C652" s="1" t="n">
        <v>45990</v>
      </c>
      <c r="D652" t="inlineStr">
        <is>
          <t>DALARNAS LÄN</t>
        </is>
      </c>
      <c r="E652" t="inlineStr">
        <is>
          <t>MORA</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4489-2022</t>
        </is>
      </c>
      <c r="B653" s="1" t="n">
        <v>44589</v>
      </c>
      <c r="C653" s="1" t="n">
        <v>45990</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45990</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45315-2024</t>
        </is>
      </c>
      <c r="B655" s="1" t="n">
        <v>45576.43782407408</v>
      </c>
      <c r="C655" s="1" t="n">
        <v>45990</v>
      </c>
      <c r="D655" t="inlineStr">
        <is>
          <t>DALARNAS LÄN</t>
        </is>
      </c>
      <c r="E655" t="inlineStr">
        <is>
          <t>MORA</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17172-2025</t>
        </is>
      </c>
      <c r="B656" s="1" t="n">
        <v>45756.37201388889</v>
      </c>
      <c r="C656" s="1" t="n">
        <v>45990</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39009-2023</t>
        </is>
      </c>
      <c r="B657" s="1" t="n">
        <v>45162</v>
      </c>
      <c r="C657" s="1" t="n">
        <v>45990</v>
      </c>
      <c r="D657" t="inlineStr">
        <is>
          <t>DALARNAS LÄN</t>
        </is>
      </c>
      <c r="E657" t="inlineStr">
        <is>
          <t>MORA</t>
        </is>
      </c>
      <c r="G657" t="n">
        <v>1.9</v>
      </c>
      <c r="H657" t="n">
        <v>0</v>
      </c>
      <c r="I657" t="n">
        <v>0</v>
      </c>
      <c r="J657" t="n">
        <v>0</v>
      </c>
      <c r="K657" t="n">
        <v>0</v>
      </c>
      <c r="L657" t="n">
        <v>0</v>
      </c>
      <c r="M657" t="n">
        <v>0</v>
      </c>
      <c r="N657" t="n">
        <v>0</v>
      </c>
      <c r="O657" t="n">
        <v>0</v>
      </c>
      <c r="P657" t="n">
        <v>0</v>
      </c>
      <c r="Q657" t="n">
        <v>0</v>
      </c>
      <c r="R657" s="2" t="inlineStr"/>
    </row>
    <row r="658" ht="15" customHeight="1">
      <c r="A658" t="inlineStr">
        <is>
          <t>A 56532-2024</t>
        </is>
      </c>
      <c r="B658" s="1" t="n">
        <v>45625.55440972222</v>
      </c>
      <c r="C658" s="1" t="n">
        <v>45990</v>
      </c>
      <c r="D658" t="inlineStr">
        <is>
          <t>DALARNAS LÄN</t>
        </is>
      </c>
      <c r="E658" t="inlineStr">
        <is>
          <t>MORA</t>
        </is>
      </c>
      <c r="G658" t="n">
        <v>6.9</v>
      </c>
      <c r="H658" t="n">
        <v>0</v>
      </c>
      <c r="I658" t="n">
        <v>0</v>
      </c>
      <c r="J658" t="n">
        <v>0</v>
      </c>
      <c r="K658" t="n">
        <v>0</v>
      </c>
      <c r="L658" t="n">
        <v>0</v>
      </c>
      <c r="M658" t="n">
        <v>0</v>
      </c>
      <c r="N658" t="n">
        <v>0</v>
      </c>
      <c r="O658" t="n">
        <v>0</v>
      </c>
      <c r="P658" t="n">
        <v>0</v>
      </c>
      <c r="Q658" t="n">
        <v>0</v>
      </c>
      <c r="R658" s="2" t="inlineStr"/>
    </row>
    <row r="659" ht="15" customHeight="1">
      <c r="A659" t="inlineStr">
        <is>
          <t>A 5001-2025</t>
        </is>
      </c>
      <c r="B659" s="1" t="n">
        <v>45691.36403935185</v>
      </c>
      <c r="C659" s="1" t="n">
        <v>45990</v>
      </c>
      <c r="D659" t="inlineStr">
        <is>
          <t>DALARNAS LÄN</t>
        </is>
      </c>
      <c r="E659" t="inlineStr">
        <is>
          <t>MORA</t>
        </is>
      </c>
      <c r="G659" t="n">
        <v>1.3</v>
      </c>
      <c r="H659" t="n">
        <v>0</v>
      </c>
      <c r="I659" t="n">
        <v>0</v>
      </c>
      <c r="J659" t="n">
        <v>0</v>
      </c>
      <c r="K659" t="n">
        <v>0</v>
      </c>
      <c r="L659" t="n">
        <v>0</v>
      </c>
      <c r="M659" t="n">
        <v>0</v>
      </c>
      <c r="N659" t="n">
        <v>0</v>
      </c>
      <c r="O659" t="n">
        <v>0</v>
      </c>
      <c r="P659" t="n">
        <v>0</v>
      </c>
      <c r="Q659" t="n">
        <v>0</v>
      </c>
      <c r="R659" s="2" t="inlineStr"/>
    </row>
    <row r="660" ht="15" customHeight="1">
      <c r="A660" t="inlineStr">
        <is>
          <t>A 60360-2023</t>
        </is>
      </c>
      <c r="B660" s="1" t="n">
        <v>45259</v>
      </c>
      <c r="C660" s="1" t="n">
        <v>45990</v>
      </c>
      <c r="D660" t="inlineStr">
        <is>
          <t>DALARNAS LÄN</t>
        </is>
      </c>
      <c r="E660" t="inlineStr">
        <is>
          <t>MORA</t>
        </is>
      </c>
      <c r="G660" t="n">
        <v>2.9</v>
      </c>
      <c r="H660" t="n">
        <v>0</v>
      </c>
      <c r="I660" t="n">
        <v>0</v>
      </c>
      <c r="J660" t="n">
        <v>0</v>
      </c>
      <c r="K660" t="n">
        <v>0</v>
      </c>
      <c r="L660" t="n">
        <v>0</v>
      </c>
      <c r="M660" t="n">
        <v>0</v>
      </c>
      <c r="N660" t="n">
        <v>0</v>
      </c>
      <c r="O660" t="n">
        <v>0</v>
      </c>
      <c r="P660" t="n">
        <v>0</v>
      </c>
      <c r="Q660" t="n">
        <v>0</v>
      </c>
      <c r="R660" s="2" t="inlineStr"/>
    </row>
    <row r="661" ht="15" customHeight="1">
      <c r="A661" t="inlineStr">
        <is>
          <t>A 17164-2025</t>
        </is>
      </c>
      <c r="B661" s="1" t="n">
        <v>45756.36403935185</v>
      </c>
      <c r="C661" s="1" t="n">
        <v>45990</v>
      </c>
      <c r="D661" t="inlineStr">
        <is>
          <t>DALARNAS LÄN</t>
        </is>
      </c>
      <c r="E661" t="inlineStr">
        <is>
          <t>MORA</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24768-2024</t>
        </is>
      </c>
      <c r="B662" s="1" t="n">
        <v>45460.69545138889</v>
      </c>
      <c r="C662" s="1" t="n">
        <v>45990</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17278-2025</t>
        </is>
      </c>
      <c r="B663" s="1" t="n">
        <v>45756.56131944444</v>
      </c>
      <c r="C663" s="1" t="n">
        <v>45990</v>
      </c>
      <c r="D663" t="inlineStr">
        <is>
          <t>DALARNAS LÄN</t>
        </is>
      </c>
      <c r="E663" t="inlineStr">
        <is>
          <t>MORA</t>
        </is>
      </c>
      <c r="G663" t="n">
        <v>3</v>
      </c>
      <c r="H663" t="n">
        <v>0</v>
      </c>
      <c r="I663" t="n">
        <v>0</v>
      </c>
      <c r="J663" t="n">
        <v>0</v>
      </c>
      <c r="K663" t="n">
        <v>0</v>
      </c>
      <c r="L663" t="n">
        <v>0</v>
      </c>
      <c r="M663" t="n">
        <v>0</v>
      </c>
      <c r="N663" t="n">
        <v>0</v>
      </c>
      <c r="O663" t="n">
        <v>0</v>
      </c>
      <c r="P663" t="n">
        <v>0</v>
      </c>
      <c r="Q663" t="n">
        <v>0</v>
      </c>
      <c r="R663" s="2" t="inlineStr"/>
    </row>
    <row r="664" ht="15" customHeight="1">
      <c r="A664" t="inlineStr">
        <is>
          <t>A 4209-2023</t>
        </is>
      </c>
      <c r="B664" s="1" t="n">
        <v>44953</v>
      </c>
      <c r="C664" s="1" t="n">
        <v>45990</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45990</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22732-2024</t>
        </is>
      </c>
      <c r="B666" s="1" t="n">
        <v>45448.38677083333</v>
      </c>
      <c r="C666" s="1" t="n">
        <v>45990</v>
      </c>
      <c r="D666" t="inlineStr">
        <is>
          <t>DALARNAS LÄN</t>
        </is>
      </c>
      <c r="E666" t="inlineStr">
        <is>
          <t>MORA</t>
        </is>
      </c>
      <c r="G666" t="n">
        <v>3.6</v>
      </c>
      <c r="H666" t="n">
        <v>0</v>
      </c>
      <c r="I666" t="n">
        <v>0</v>
      </c>
      <c r="J666" t="n">
        <v>0</v>
      </c>
      <c r="K666" t="n">
        <v>0</v>
      </c>
      <c r="L666" t="n">
        <v>0</v>
      </c>
      <c r="M666" t="n">
        <v>0</v>
      </c>
      <c r="N666" t="n">
        <v>0</v>
      </c>
      <c r="O666" t="n">
        <v>0</v>
      </c>
      <c r="P666" t="n">
        <v>0</v>
      </c>
      <c r="Q666" t="n">
        <v>0</v>
      </c>
      <c r="R666" s="2" t="inlineStr"/>
    </row>
    <row r="667" ht="15" customHeight="1">
      <c r="A667" t="inlineStr">
        <is>
          <t>A 19756-2022</t>
        </is>
      </c>
      <c r="B667" s="1" t="n">
        <v>44694.62913194444</v>
      </c>
      <c r="C667" s="1" t="n">
        <v>45990</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46801-2022</t>
        </is>
      </c>
      <c r="B668" s="1" t="n">
        <v>44851</v>
      </c>
      <c r="C668" s="1" t="n">
        <v>45990</v>
      </c>
      <c r="D668" t="inlineStr">
        <is>
          <t>DALARNAS LÄN</t>
        </is>
      </c>
      <c r="E668" t="inlineStr">
        <is>
          <t>MORA</t>
        </is>
      </c>
      <c r="G668" t="n">
        <v>1.5</v>
      </c>
      <c r="H668" t="n">
        <v>0</v>
      </c>
      <c r="I668" t="n">
        <v>0</v>
      </c>
      <c r="J668" t="n">
        <v>0</v>
      </c>
      <c r="K668" t="n">
        <v>0</v>
      </c>
      <c r="L668" t="n">
        <v>0</v>
      </c>
      <c r="M668" t="n">
        <v>0</v>
      </c>
      <c r="N668" t="n">
        <v>0</v>
      </c>
      <c r="O668" t="n">
        <v>0</v>
      </c>
      <c r="P668" t="n">
        <v>0</v>
      </c>
      <c r="Q668" t="n">
        <v>0</v>
      </c>
      <c r="R668" s="2" t="inlineStr"/>
    </row>
    <row r="669" ht="15" customHeight="1">
      <c r="A669" t="inlineStr">
        <is>
          <t>A 5644-2024</t>
        </is>
      </c>
      <c r="B669" s="1" t="n">
        <v>45334</v>
      </c>
      <c r="C669" s="1" t="n">
        <v>45990</v>
      </c>
      <c r="D669" t="inlineStr">
        <is>
          <t>DALARNAS LÄN</t>
        </is>
      </c>
      <c r="E669" t="inlineStr">
        <is>
          <t>MORA</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33627-2024</t>
        </is>
      </c>
      <c r="B670" s="1" t="n">
        <v>45520</v>
      </c>
      <c r="C670" s="1" t="n">
        <v>45990</v>
      </c>
      <c r="D670" t="inlineStr">
        <is>
          <t>DALARNAS LÄN</t>
        </is>
      </c>
      <c r="E670" t="inlineStr">
        <is>
          <t>MORA</t>
        </is>
      </c>
      <c r="G670" t="n">
        <v>1.1</v>
      </c>
      <c r="H670" t="n">
        <v>0</v>
      </c>
      <c r="I670" t="n">
        <v>0</v>
      </c>
      <c r="J670" t="n">
        <v>0</v>
      </c>
      <c r="K670" t="n">
        <v>0</v>
      </c>
      <c r="L670" t="n">
        <v>0</v>
      </c>
      <c r="M670" t="n">
        <v>0</v>
      </c>
      <c r="N670" t="n">
        <v>0</v>
      </c>
      <c r="O670" t="n">
        <v>0</v>
      </c>
      <c r="P670" t="n">
        <v>0</v>
      </c>
      <c r="Q670" t="n">
        <v>0</v>
      </c>
      <c r="R670" s="2" t="inlineStr"/>
    </row>
    <row r="671" ht="15" customHeight="1">
      <c r="A671" t="inlineStr">
        <is>
          <t>A 46923-2024</t>
        </is>
      </c>
      <c r="B671" s="1" t="n">
        <v>45584.42887731481</v>
      </c>
      <c r="C671" s="1" t="n">
        <v>45990</v>
      </c>
      <c r="D671" t="inlineStr">
        <is>
          <t>DALARNAS LÄN</t>
        </is>
      </c>
      <c r="E671" t="inlineStr">
        <is>
          <t>MORA</t>
        </is>
      </c>
      <c r="G671" t="n">
        <v>3.4</v>
      </c>
      <c r="H671" t="n">
        <v>0</v>
      </c>
      <c r="I671" t="n">
        <v>0</v>
      </c>
      <c r="J671" t="n">
        <v>0</v>
      </c>
      <c r="K671" t="n">
        <v>0</v>
      </c>
      <c r="L671" t="n">
        <v>0</v>
      </c>
      <c r="M671" t="n">
        <v>0</v>
      </c>
      <c r="N671" t="n">
        <v>0</v>
      </c>
      <c r="O671" t="n">
        <v>0</v>
      </c>
      <c r="P671" t="n">
        <v>0</v>
      </c>
      <c r="Q671" t="n">
        <v>0</v>
      </c>
      <c r="R671" s="2" t="inlineStr"/>
    </row>
    <row r="672" ht="15" customHeight="1">
      <c r="A672" t="inlineStr">
        <is>
          <t>A 39888-2024</t>
        </is>
      </c>
      <c r="B672" s="1" t="n">
        <v>45553.47538194444</v>
      </c>
      <c r="C672" s="1" t="n">
        <v>45990</v>
      </c>
      <c r="D672" t="inlineStr">
        <is>
          <t>DALARNAS LÄN</t>
        </is>
      </c>
      <c r="E672" t="inlineStr">
        <is>
          <t>MORA</t>
        </is>
      </c>
      <c r="G672" t="n">
        <v>5.4</v>
      </c>
      <c r="H672" t="n">
        <v>0</v>
      </c>
      <c r="I672" t="n">
        <v>0</v>
      </c>
      <c r="J672" t="n">
        <v>0</v>
      </c>
      <c r="K672" t="n">
        <v>0</v>
      </c>
      <c r="L672" t="n">
        <v>0</v>
      </c>
      <c r="M672" t="n">
        <v>0</v>
      </c>
      <c r="N672" t="n">
        <v>0</v>
      </c>
      <c r="O672" t="n">
        <v>0</v>
      </c>
      <c r="P672" t="n">
        <v>0</v>
      </c>
      <c r="Q672" t="n">
        <v>0</v>
      </c>
      <c r="R672" s="2" t="inlineStr"/>
    </row>
    <row r="673" ht="15" customHeight="1">
      <c r="A673" t="inlineStr">
        <is>
          <t>A 33666-2024</t>
        </is>
      </c>
      <c r="B673" s="1" t="n">
        <v>45520.48304398148</v>
      </c>
      <c r="C673" s="1" t="n">
        <v>45990</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20989-2024</t>
        </is>
      </c>
      <c r="B674" s="1" t="n">
        <v>45439</v>
      </c>
      <c r="C674" s="1" t="n">
        <v>45990</v>
      </c>
      <c r="D674" t="inlineStr">
        <is>
          <t>DALARNAS LÄN</t>
        </is>
      </c>
      <c r="E674" t="inlineStr">
        <is>
          <t>MORA</t>
        </is>
      </c>
      <c r="F674" t="inlineStr">
        <is>
          <t>Bergvik skog öst AB</t>
        </is>
      </c>
      <c r="G674" t="n">
        <v>14.7</v>
      </c>
      <c r="H674" t="n">
        <v>0</v>
      </c>
      <c r="I674" t="n">
        <v>0</v>
      </c>
      <c r="J674" t="n">
        <v>0</v>
      </c>
      <c r="K674" t="n">
        <v>0</v>
      </c>
      <c r="L674" t="n">
        <v>0</v>
      </c>
      <c r="M674" t="n">
        <v>0</v>
      </c>
      <c r="N674" t="n">
        <v>0</v>
      </c>
      <c r="O674" t="n">
        <v>0</v>
      </c>
      <c r="P674" t="n">
        <v>0</v>
      </c>
      <c r="Q674" t="n">
        <v>0</v>
      </c>
      <c r="R674" s="2" t="inlineStr"/>
    </row>
    <row r="675" ht="15" customHeight="1">
      <c r="A675" t="inlineStr">
        <is>
          <t>A 41812-2024</t>
        </is>
      </c>
      <c r="B675" s="1" t="n">
        <v>45561.3771412037</v>
      </c>
      <c r="C675" s="1" t="n">
        <v>45990</v>
      </c>
      <c r="D675" t="inlineStr">
        <is>
          <t>DALARNAS LÄN</t>
        </is>
      </c>
      <c r="E675" t="inlineStr">
        <is>
          <t>MORA</t>
        </is>
      </c>
      <c r="G675" t="n">
        <v>2.2</v>
      </c>
      <c r="H675" t="n">
        <v>0</v>
      </c>
      <c r="I675" t="n">
        <v>0</v>
      </c>
      <c r="J675" t="n">
        <v>0</v>
      </c>
      <c r="K675" t="n">
        <v>0</v>
      </c>
      <c r="L675" t="n">
        <v>0</v>
      </c>
      <c r="M675" t="n">
        <v>0</v>
      </c>
      <c r="N675" t="n">
        <v>0</v>
      </c>
      <c r="O675" t="n">
        <v>0</v>
      </c>
      <c r="P675" t="n">
        <v>0</v>
      </c>
      <c r="Q675" t="n">
        <v>0</v>
      </c>
      <c r="R675" s="2" t="inlineStr"/>
    </row>
    <row r="676" ht="15" customHeight="1">
      <c r="A676" t="inlineStr">
        <is>
          <t>A 51888-2024</t>
        </is>
      </c>
      <c r="B676" s="1" t="n">
        <v>45607.57142361111</v>
      </c>
      <c r="C676" s="1" t="n">
        <v>45990</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32721-2024</t>
        </is>
      </c>
      <c r="B677" s="1" t="n">
        <v>45516.40261574074</v>
      </c>
      <c r="C677" s="1" t="n">
        <v>45990</v>
      </c>
      <c r="D677" t="inlineStr">
        <is>
          <t>DALARNAS LÄN</t>
        </is>
      </c>
      <c r="E677" t="inlineStr">
        <is>
          <t>MORA</t>
        </is>
      </c>
      <c r="G677" t="n">
        <v>4.2</v>
      </c>
      <c r="H677" t="n">
        <v>0</v>
      </c>
      <c r="I677" t="n">
        <v>0</v>
      </c>
      <c r="J677" t="n">
        <v>0</v>
      </c>
      <c r="K677" t="n">
        <v>0</v>
      </c>
      <c r="L677" t="n">
        <v>0</v>
      </c>
      <c r="M677" t="n">
        <v>0</v>
      </c>
      <c r="N677" t="n">
        <v>0</v>
      </c>
      <c r="O677" t="n">
        <v>0</v>
      </c>
      <c r="P677" t="n">
        <v>0</v>
      </c>
      <c r="Q677" t="n">
        <v>0</v>
      </c>
      <c r="R677" s="2" t="inlineStr"/>
    </row>
    <row r="678" ht="15" customHeight="1">
      <c r="A678" t="inlineStr">
        <is>
          <t>A 8153-2021</t>
        </is>
      </c>
      <c r="B678" s="1" t="n">
        <v>44244</v>
      </c>
      <c r="C678" s="1" t="n">
        <v>45990</v>
      </c>
      <c r="D678" t="inlineStr">
        <is>
          <t>DALARNAS LÄN</t>
        </is>
      </c>
      <c r="E678" t="inlineStr">
        <is>
          <t>MORA</t>
        </is>
      </c>
      <c r="G678" t="n">
        <v>2.5</v>
      </c>
      <c r="H678" t="n">
        <v>0</v>
      </c>
      <c r="I678" t="n">
        <v>0</v>
      </c>
      <c r="J678" t="n">
        <v>0</v>
      </c>
      <c r="K678" t="n">
        <v>0</v>
      </c>
      <c r="L678" t="n">
        <v>0</v>
      </c>
      <c r="M678" t="n">
        <v>0</v>
      </c>
      <c r="N678" t="n">
        <v>0</v>
      </c>
      <c r="O678" t="n">
        <v>0</v>
      </c>
      <c r="P678" t="n">
        <v>0</v>
      </c>
      <c r="Q678" t="n">
        <v>0</v>
      </c>
      <c r="R678" s="2" t="inlineStr"/>
    </row>
    <row r="679" ht="15" customHeight="1">
      <c r="A679" t="inlineStr">
        <is>
          <t>A 25749-2023</t>
        </is>
      </c>
      <c r="B679" s="1" t="n">
        <v>45090</v>
      </c>
      <c r="C679" s="1" t="n">
        <v>45990</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40325-2024</t>
        </is>
      </c>
      <c r="B680" s="1" t="n">
        <v>45554.88538194444</v>
      </c>
      <c r="C680" s="1" t="n">
        <v>45990</v>
      </c>
      <c r="D680" t="inlineStr">
        <is>
          <t>DALARNAS LÄN</t>
        </is>
      </c>
      <c r="E680" t="inlineStr">
        <is>
          <t>MORA</t>
        </is>
      </c>
      <c r="G680" t="n">
        <v>2.8</v>
      </c>
      <c r="H680" t="n">
        <v>0</v>
      </c>
      <c r="I680" t="n">
        <v>0</v>
      </c>
      <c r="J680" t="n">
        <v>0</v>
      </c>
      <c r="K680" t="n">
        <v>0</v>
      </c>
      <c r="L680" t="n">
        <v>0</v>
      </c>
      <c r="M680" t="n">
        <v>0</v>
      </c>
      <c r="N680" t="n">
        <v>0</v>
      </c>
      <c r="O680" t="n">
        <v>0</v>
      </c>
      <c r="P680" t="n">
        <v>0</v>
      </c>
      <c r="Q680" t="n">
        <v>0</v>
      </c>
      <c r="R680" s="2" t="inlineStr"/>
    </row>
    <row r="681" ht="15" customHeight="1">
      <c r="A681" t="inlineStr">
        <is>
          <t>A 43964-2024</t>
        </is>
      </c>
      <c r="B681" s="1" t="n">
        <v>45572.48407407408</v>
      </c>
      <c r="C681" s="1" t="n">
        <v>45990</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51883-2024</t>
        </is>
      </c>
      <c r="B682" s="1" t="n">
        <v>45607</v>
      </c>
      <c r="C682" s="1" t="n">
        <v>45990</v>
      </c>
      <c r="D682" t="inlineStr">
        <is>
          <t>DALARNAS LÄN</t>
        </is>
      </c>
      <c r="E682" t="inlineStr">
        <is>
          <t>MORA</t>
        </is>
      </c>
      <c r="G682" t="n">
        <v>0.2</v>
      </c>
      <c r="H682" t="n">
        <v>0</v>
      </c>
      <c r="I682" t="n">
        <v>0</v>
      </c>
      <c r="J682" t="n">
        <v>0</v>
      </c>
      <c r="K682" t="n">
        <v>0</v>
      </c>
      <c r="L682" t="n">
        <v>0</v>
      </c>
      <c r="M682" t="n">
        <v>0</v>
      </c>
      <c r="N682" t="n">
        <v>0</v>
      </c>
      <c r="O682" t="n">
        <v>0</v>
      </c>
      <c r="P682" t="n">
        <v>0</v>
      </c>
      <c r="Q682" t="n">
        <v>0</v>
      </c>
      <c r="R682" s="2" t="inlineStr"/>
    </row>
    <row r="683" ht="15" customHeight="1">
      <c r="A683" t="inlineStr">
        <is>
          <t>A 42941-2024</t>
        </is>
      </c>
      <c r="B683" s="1" t="n">
        <v>45567.3515162037</v>
      </c>
      <c r="C683" s="1" t="n">
        <v>45990</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43873-2024</t>
        </is>
      </c>
      <c r="B684" s="1" t="n">
        <v>45572.38429398148</v>
      </c>
      <c r="C684" s="1" t="n">
        <v>45990</v>
      </c>
      <c r="D684" t="inlineStr">
        <is>
          <t>DALARNAS LÄN</t>
        </is>
      </c>
      <c r="E684" t="inlineStr">
        <is>
          <t>MORA</t>
        </is>
      </c>
      <c r="G684" t="n">
        <v>4.1</v>
      </c>
      <c r="H684" t="n">
        <v>0</v>
      </c>
      <c r="I684" t="n">
        <v>0</v>
      </c>
      <c r="J684" t="n">
        <v>0</v>
      </c>
      <c r="K684" t="n">
        <v>0</v>
      </c>
      <c r="L684" t="n">
        <v>0</v>
      </c>
      <c r="M684" t="n">
        <v>0</v>
      </c>
      <c r="N684" t="n">
        <v>0</v>
      </c>
      <c r="O684" t="n">
        <v>0</v>
      </c>
      <c r="P684" t="n">
        <v>0</v>
      </c>
      <c r="Q684" t="n">
        <v>0</v>
      </c>
      <c r="R684" s="2" t="inlineStr"/>
    </row>
    <row r="685" ht="15" customHeight="1">
      <c r="A685" t="inlineStr">
        <is>
          <t>A 14372-2025</t>
        </is>
      </c>
      <c r="B685" s="1" t="n">
        <v>45741.4050462963</v>
      </c>
      <c r="C685" s="1" t="n">
        <v>45990</v>
      </c>
      <c r="D685" t="inlineStr">
        <is>
          <t>DALARNAS LÄN</t>
        </is>
      </c>
      <c r="E685" t="inlineStr">
        <is>
          <t>MORA</t>
        </is>
      </c>
      <c r="G685" t="n">
        <v>5.1</v>
      </c>
      <c r="H685" t="n">
        <v>0</v>
      </c>
      <c r="I685" t="n">
        <v>0</v>
      </c>
      <c r="J685" t="n">
        <v>0</v>
      </c>
      <c r="K685" t="n">
        <v>0</v>
      </c>
      <c r="L685" t="n">
        <v>0</v>
      </c>
      <c r="M685" t="n">
        <v>0</v>
      </c>
      <c r="N685" t="n">
        <v>0</v>
      </c>
      <c r="O685" t="n">
        <v>0</v>
      </c>
      <c r="P685" t="n">
        <v>0</v>
      </c>
      <c r="Q685" t="n">
        <v>0</v>
      </c>
      <c r="R685" s="2" t="inlineStr"/>
    </row>
    <row r="686" ht="15" customHeight="1">
      <c r="A686" t="inlineStr">
        <is>
          <t>A 14378-2025</t>
        </is>
      </c>
      <c r="B686" s="1" t="n">
        <v>45741</v>
      </c>
      <c r="C686" s="1" t="n">
        <v>45990</v>
      </c>
      <c r="D686" t="inlineStr">
        <is>
          <t>DALARNAS LÄN</t>
        </is>
      </c>
      <c r="E686" t="inlineStr">
        <is>
          <t>MORA</t>
        </is>
      </c>
      <c r="G686" t="n">
        <v>5.2</v>
      </c>
      <c r="H686" t="n">
        <v>0</v>
      </c>
      <c r="I686" t="n">
        <v>0</v>
      </c>
      <c r="J686" t="n">
        <v>0</v>
      </c>
      <c r="K686" t="n">
        <v>0</v>
      </c>
      <c r="L686" t="n">
        <v>0</v>
      </c>
      <c r="M686" t="n">
        <v>0</v>
      </c>
      <c r="N686" t="n">
        <v>0</v>
      </c>
      <c r="O686" t="n">
        <v>0</v>
      </c>
      <c r="P686" t="n">
        <v>0</v>
      </c>
      <c r="Q686" t="n">
        <v>0</v>
      </c>
      <c r="R686" s="2" t="inlineStr"/>
    </row>
    <row r="687" ht="15" customHeight="1">
      <c r="A687" t="inlineStr">
        <is>
          <t>A 16733-2024</t>
        </is>
      </c>
      <c r="B687" s="1" t="n">
        <v>45410.78502314815</v>
      </c>
      <c r="C687" s="1" t="n">
        <v>45990</v>
      </c>
      <c r="D687" t="inlineStr">
        <is>
          <t>DALARNAS LÄN</t>
        </is>
      </c>
      <c r="E687" t="inlineStr">
        <is>
          <t>MORA</t>
        </is>
      </c>
      <c r="G687" t="n">
        <v>6.3</v>
      </c>
      <c r="H687" t="n">
        <v>0</v>
      </c>
      <c r="I687" t="n">
        <v>0</v>
      </c>
      <c r="J687" t="n">
        <v>0</v>
      </c>
      <c r="K687" t="n">
        <v>0</v>
      </c>
      <c r="L687" t="n">
        <v>0</v>
      </c>
      <c r="M687" t="n">
        <v>0</v>
      </c>
      <c r="N687" t="n">
        <v>0</v>
      </c>
      <c r="O687" t="n">
        <v>0</v>
      </c>
      <c r="P687" t="n">
        <v>0</v>
      </c>
      <c r="Q687" t="n">
        <v>0</v>
      </c>
      <c r="R687" s="2" t="inlineStr"/>
    </row>
    <row r="688" ht="15" customHeight="1">
      <c r="A688" t="inlineStr">
        <is>
          <t>A 61217-2023</t>
        </is>
      </c>
      <c r="B688" s="1" t="n">
        <v>45264.43802083333</v>
      </c>
      <c r="C688" s="1" t="n">
        <v>45990</v>
      </c>
      <c r="D688" t="inlineStr">
        <is>
          <t>DALARNAS LÄN</t>
        </is>
      </c>
      <c r="E688" t="inlineStr">
        <is>
          <t>MORA</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61218-2023</t>
        </is>
      </c>
      <c r="B689" s="1" t="n">
        <v>45264</v>
      </c>
      <c r="C689" s="1" t="n">
        <v>45990</v>
      </c>
      <c r="D689" t="inlineStr">
        <is>
          <t>DALARNAS LÄN</t>
        </is>
      </c>
      <c r="E689" t="inlineStr">
        <is>
          <t>MORA</t>
        </is>
      </c>
      <c r="F689" t="inlineStr">
        <is>
          <t>Allmännings- och besparingsskogar</t>
        </is>
      </c>
      <c r="G689" t="n">
        <v>2.6</v>
      </c>
      <c r="H689" t="n">
        <v>0</v>
      </c>
      <c r="I689" t="n">
        <v>0</v>
      </c>
      <c r="J689" t="n">
        <v>0</v>
      </c>
      <c r="K689" t="n">
        <v>0</v>
      </c>
      <c r="L689" t="n">
        <v>0</v>
      </c>
      <c r="M689" t="n">
        <v>0</v>
      </c>
      <c r="N689" t="n">
        <v>0</v>
      </c>
      <c r="O689" t="n">
        <v>0</v>
      </c>
      <c r="P689" t="n">
        <v>0</v>
      </c>
      <c r="Q689" t="n">
        <v>0</v>
      </c>
      <c r="R689" s="2" t="inlineStr"/>
    </row>
    <row r="690" ht="15" customHeight="1">
      <c r="A690" t="inlineStr">
        <is>
          <t>A 39348-2024</t>
        </is>
      </c>
      <c r="B690" s="1" t="n">
        <v>45551.45322916667</v>
      </c>
      <c r="C690" s="1" t="n">
        <v>45990</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54903-2024</t>
        </is>
      </c>
      <c r="B691" s="1" t="n">
        <v>45618</v>
      </c>
      <c r="C691" s="1" t="n">
        <v>45990</v>
      </c>
      <c r="D691" t="inlineStr">
        <is>
          <t>DALARNAS LÄN</t>
        </is>
      </c>
      <c r="E691" t="inlineStr">
        <is>
          <t>MORA</t>
        </is>
      </c>
      <c r="G691" t="n">
        <v>28.2</v>
      </c>
      <c r="H691" t="n">
        <v>0</v>
      </c>
      <c r="I691" t="n">
        <v>0</v>
      </c>
      <c r="J691" t="n">
        <v>0</v>
      </c>
      <c r="K691" t="n">
        <v>0</v>
      </c>
      <c r="L691" t="n">
        <v>0</v>
      </c>
      <c r="M691" t="n">
        <v>0</v>
      </c>
      <c r="N691" t="n">
        <v>0</v>
      </c>
      <c r="O691" t="n">
        <v>0</v>
      </c>
      <c r="P691" t="n">
        <v>0</v>
      </c>
      <c r="Q691" t="n">
        <v>0</v>
      </c>
      <c r="R691" s="2" t="inlineStr"/>
    </row>
    <row r="692" ht="15" customHeight="1">
      <c r="A692" t="inlineStr">
        <is>
          <t>A 23302-2024</t>
        </is>
      </c>
      <c r="B692" s="1" t="n">
        <v>45453.44091435185</v>
      </c>
      <c r="C692" s="1" t="n">
        <v>45990</v>
      </c>
      <c r="D692" t="inlineStr">
        <is>
          <t>DALARNAS LÄN</t>
        </is>
      </c>
      <c r="E692" t="inlineStr">
        <is>
          <t>MORA</t>
        </is>
      </c>
      <c r="G692" t="n">
        <v>1.3</v>
      </c>
      <c r="H692" t="n">
        <v>0</v>
      </c>
      <c r="I692" t="n">
        <v>0</v>
      </c>
      <c r="J692" t="n">
        <v>0</v>
      </c>
      <c r="K692" t="n">
        <v>0</v>
      </c>
      <c r="L692" t="n">
        <v>0</v>
      </c>
      <c r="M692" t="n">
        <v>0</v>
      </c>
      <c r="N692" t="n">
        <v>0</v>
      </c>
      <c r="O692" t="n">
        <v>0</v>
      </c>
      <c r="P692" t="n">
        <v>0</v>
      </c>
      <c r="Q692" t="n">
        <v>0</v>
      </c>
      <c r="R692" s="2" t="inlineStr"/>
    </row>
    <row r="693" ht="15" customHeight="1">
      <c r="A693" t="inlineStr">
        <is>
          <t>A 16573-2024</t>
        </is>
      </c>
      <c r="B693" s="1" t="n">
        <v>45408.46980324074</v>
      </c>
      <c r="C693" s="1" t="n">
        <v>45990</v>
      </c>
      <c r="D693" t="inlineStr">
        <is>
          <t>DALARNAS LÄN</t>
        </is>
      </c>
      <c r="E693" t="inlineStr">
        <is>
          <t>MORA</t>
        </is>
      </c>
      <c r="G693" t="n">
        <v>4.5</v>
      </c>
      <c r="H693" t="n">
        <v>0</v>
      </c>
      <c r="I693" t="n">
        <v>0</v>
      </c>
      <c r="J693" t="n">
        <v>0</v>
      </c>
      <c r="K693" t="n">
        <v>0</v>
      </c>
      <c r="L693" t="n">
        <v>0</v>
      </c>
      <c r="M693" t="n">
        <v>0</v>
      </c>
      <c r="N693" t="n">
        <v>0</v>
      </c>
      <c r="O693" t="n">
        <v>0</v>
      </c>
      <c r="P693" t="n">
        <v>0</v>
      </c>
      <c r="Q693" t="n">
        <v>0</v>
      </c>
      <c r="R693" s="2" t="inlineStr"/>
    </row>
    <row r="694" ht="15" customHeight="1">
      <c r="A694" t="inlineStr">
        <is>
          <t>A 21894-2025</t>
        </is>
      </c>
      <c r="B694" s="1" t="n">
        <v>45784.45060185185</v>
      </c>
      <c r="C694" s="1" t="n">
        <v>45990</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21890-2025</t>
        </is>
      </c>
      <c r="B695" s="1" t="n">
        <v>45784.44481481481</v>
      </c>
      <c r="C695" s="1" t="n">
        <v>45990</v>
      </c>
      <c r="D695" t="inlineStr">
        <is>
          <t>DALARNAS LÄN</t>
        </is>
      </c>
      <c r="E695" t="inlineStr">
        <is>
          <t>MORA</t>
        </is>
      </c>
      <c r="G695" t="n">
        <v>3.8</v>
      </c>
      <c r="H695" t="n">
        <v>0</v>
      </c>
      <c r="I695" t="n">
        <v>0</v>
      </c>
      <c r="J695" t="n">
        <v>0</v>
      </c>
      <c r="K695" t="n">
        <v>0</v>
      </c>
      <c r="L695" t="n">
        <v>0</v>
      </c>
      <c r="M695" t="n">
        <v>0</v>
      </c>
      <c r="N695" t="n">
        <v>0</v>
      </c>
      <c r="O695" t="n">
        <v>0</v>
      </c>
      <c r="P695" t="n">
        <v>0</v>
      </c>
      <c r="Q695" t="n">
        <v>0</v>
      </c>
      <c r="R695" s="2" t="inlineStr"/>
    </row>
    <row r="696" ht="15" customHeight="1">
      <c r="A696" t="inlineStr">
        <is>
          <t>A 21895-2025</t>
        </is>
      </c>
      <c r="B696" s="1" t="n">
        <v>45784.45273148148</v>
      </c>
      <c r="C696" s="1" t="n">
        <v>45990</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22354-2025</t>
        </is>
      </c>
      <c r="B697" s="1" t="n">
        <v>45786.45721064815</v>
      </c>
      <c r="C697" s="1" t="n">
        <v>45990</v>
      </c>
      <c r="D697" t="inlineStr">
        <is>
          <t>DALARNAS LÄN</t>
        </is>
      </c>
      <c r="E697" t="inlineStr">
        <is>
          <t>MORA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22409-2025</t>
        </is>
      </c>
      <c r="B698" s="1" t="n">
        <v>45786.54940972223</v>
      </c>
      <c r="C698" s="1" t="n">
        <v>45990</v>
      </c>
      <c r="D698" t="inlineStr">
        <is>
          <t>DALARNAS LÄN</t>
        </is>
      </c>
      <c r="E698" t="inlineStr">
        <is>
          <t>MORA</t>
        </is>
      </c>
      <c r="F698" t="inlineStr">
        <is>
          <t>Bergvik skog öst AB</t>
        </is>
      </c>
      <c r="G698" t="n">
        <v>5</v>
      </c>
      <c r="H698" t="n">
        <v>0</v>
      </c>
      <c r="I698" t="n">
        <v>0</v>
      </c>
      <c r="J698" t="n">
        <v>0</v>
      </c>
      <c r="K698" t="n">
        <v>0</v>
      </c>
      <c r="L698" t="n">
        <v>0</v>
      </c>
      <c r="M698" t="n">
        <v>0</v>
      </c>
      <c r="N698" t="n">
        <v>0</v>
      </c>
      <c r="O698" t="n">
        <v>0</v>
      </c>
      <c r="P698" t="n">
        <v>0</v>
      </c>
      <c r="Q698" t="n">
        <v>0</v>
      </c>
      <c r="R698" s="2" t="inlineStr"/>
    </row>
    <row r="699" ht="15" customHeight="1">
      <c r="A699" t="inlineStr">
        <is>
          <t>A 23368-2025</t>
        </is>
      </c>
      <c r="B699" s="1" t="n">
        <v>45791.70299768518</v>
      </c>
      <c r="C699" s="1" t="n">
        <v>45990</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row>
    <row r="700" ht="15" customHeight="1">
      <c r="A700" t="inlineStr">
        <is>
          <t>A 56935-2024</t>
        </is>
      </c>
      <c r="B700" s="1" t="n">
        <v>45625</v>
      </c>
      <c r="C700" s="1" t="n">
        <v>45990</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56927-2024</t>
        </is>
      </c>
      <c r="B701" s="1" t="n">
        <v>45625</v>
      </c>
      <c r="C701" s="1" t="n">
        <v>45990</v>
      </c>
      <c r="D701" t="inlineStr">
        <is>
          <t>DALARNAS LÄN</t>
        </is>
      </c>
      <c r="E701" t="inlineStr">
        <is>
          <t>MORA</t>
        </is>
      </c>
      <c r="G701" t="n">
        <v>2.8</v>
      </c>
      <c r="H701" t="n">
        <v>0</v>
      </c>
      <c r="I701" t="n">
        <v>0</v>
      </c>
      <c r="J701" t="n">
        <v>0</v>
      </c>
      <c r="K701" t="n">
        <v>0</v>
      </c>
      <c r="L701" t="n">
        <v>0</v>
      </c>
      <c r="M701" t="n">
        <v>0</v>
      </c>
      <c r="N701" t="n">
        <v>0</v>
      </c>
      <c r="O701" t="n">
        <v>0</v>
      </c>
      <c r="P701" t="n">
        <v>0</v>
      </c>
      <c r="Q701" t="n">
        <v>0</v>
      </c>
      <c r="R701" s="2" t="inlineStr"/>
    </row>
    <row r="702" ht="15" customHeight="1">
      <c r="A702" t="inlineStr">
        <is>
          <t>A 22185-2025</t>
        </is>
      </c>
      <c r="B702" s="1" t="n">
        <v>45785</v>
      </c>
      <c r="C702" s="1" t="n">
        <v>45990</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59404-2024</t>
        </is>
      </c>
      <c r="B703" s="1" t="n">
        <v>45638</v>
      </c>
      <c r="C703" s="1" t="n">
        <v>45990</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11193-2025</t>
        </is>
      </c>
      <c r="B704" s="1" t="n">
        <v>45725</v>
      </c>
      <c r="C704" s="1" t="n">
        <v>45990</v>
      </c>
      <c r="D704" t="inlineStr">
        <is>
          <t>DALARNAS LÄN</t>
        </is>
      </c>
      <c r="E704" t="inlineStr">
        <is>
          <t>MORA</t>
        </is>
      </c>
      <c r="G704" t="n">
        <v>4.1</v>
      </c>
      <c r="H704" t="n">
        <v>0</v>
      </c>
      <c r="I704" t="n">
        <v>0</v>
      </c>
      <c r="J704" t="n">
        <v>0</v>
      </c>
      <c r="K704" t="n">
        <v>0</v>
      </c>
      <c r="L704" t="n">
        <v>0</v>
      </c>
      <c r="M704" t="n">
        <v>0</v>
      </c>
      <c r="N704" t="n">
        <v>0</v>
      </c>
      <c r="O704" t="n">
        <v>0</v>
      </c>
      <c r="P704" t="n">
        <v>0</v>
      </c>
      <c r="Q704" t="n">
        <v>0</v>
      </c>
      <c r="R704" s="2" t="inlineStr"/>
    </row>
    <row r="705" ht="15" customHeight="1">
      <c r="A705" t="inlineStr">
        <is>
          <t>A 55691-2023</t>
        </is>
      </c>
      <c r="B705" s="1" t="n">
        <v>45239.36509259259</v>
      </c>
      <c r="C705" s="1" t="n">
        <v>45990</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56900-2024</t>
        </is>
      </c>
      <c r="B706" s="1" t="n">
        <v>45625</v>
      </c>
      <c r="C706" s="1" t="n">
        <v>45990</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23354-2022</t>
        </is>
      </c>
      <c r="B707" s="1" t="n">
        <v>44720</v>
      </c>
      <c r="C707" s="1" t="n">
        <v>45990</v>
      </c>
      <c r="D707" t="inlineStr">
        <is>
          <t>DALARNAS LÄN</t>
        </is>
      </c>
      <c r="E707" t="inlineStr">
        <is>
          <t>MORA</t>
        </is>
      </c>
      <c r="G707" t="n">
        <v>5.2</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45232.53052083333</v>
      </c>
      <c r="C708" s="1" t="n">
        <v>45990</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23229-2025</t>
        </is>
      </c>
      <c r="B709" s="1" t="n">
        <v>45791</v>
      </c>
      <c r="C709" s="1" t="n">
        <v>45990</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62854-2023</t>
        </is>
      </c>
      <c r="B710" s="1" t="n">
        <v>45272</v>
      </c>
      <c r="C710" s="1" t="n">
        <v>45990</v>
      </c>
      <c r="D710" t="inlineStr">
        <is>
          <t>DALARNAS LÄN</t>
        </is>
      </c>
      <c r="E710" t="inlineStr">
        <is>
          <t>MORA</t>
        </is>
      </c>
      <c r="G710" t="n">
        <v>11.3</v>
      </c>
      <c r="H710" t="n">
        <v>0</v>
      </c>
      <c r="I710" t="n">
        <v>0</v>
      </c>
      <c r="J710" t="n">
        <v>0</v>
      </c>
      <c r="K710" t="n">
        <v>0</v>
      </c>
      <c r="L710" t="n">
        <v>0</v>
      </c>
      <c r="M710" t="n">
        <v>0</v>
      </c>
      <c r="N710" t="n">
        <v>0</v>
      </c>
      <c r="O710" t="n">
        <v>0</v>
      </c>
      <c r="P710" t="n">
        <v>0</v>
      </c>
      <c r="Q710" t="n">
        <v>0</v>
      </c>
      <c r="R710" s="2" t="inlineStr"/>
    </row>
    <row r="711" ht="15" customHeight="1">
      <c r="A711" t="inlineStr">
        <is>
          <t>A 24127-2025</t>
        </is>
      </c>
      <c r="B711" s="1" t="n">
        <v>45796.63137731481</v>
      </c>
      <c r="C711" s="1" t="n">
        <v>45990</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row r="712">
      <c r="A712" t="inlineStr">
        <is>
          <t>A 24249-2025</t>
        </is>
      </c>
      <c r="B712" s="1" t="n">
        <v>45797.40260416667</v>
      </c>
      <c r="C712" s="1" t="n">
        <v>45990</v>
      </c>
      <c r="D712" t="inlineStr">
        <is>
          <t>DALARNAS LÄN</t>
        </is>
      </c>
      <c r="E712" t="inlineStr">
        <is>
          <t>MORA</t>
        </is>
      </c>
      <c r="G712" t="n">
        <v>9.300000000000001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2025-11-29T10:27:40Z</dcterms:created>
  <dcterms:modified xmlns:dcterms="http://purl.org/dc/terms/" xmlns:xsi="http://www.w3.org/2001/XMLSchema-instance" xsi:type="dcterms:W3CDTF">2025-11-29T10:27:41Z</dcterms:modified>
</cp:coreProperties>
</file>