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45475</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45475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45475</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45475</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45475</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45475</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45475</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45475</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45475</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29386-2019</t>
        </is>
      </c>
      <c r="B11" s="1" t="n">
        <v>43629</v>
      </c>
      <c r="C11" s="1" t="n">
        <v>45475</v>
      </c>
      <c r="D11" t="inlineStr">
        <is>
          <t>DALARNAS LÄN</t>
        </is>
      </c>
      <c r="E11" t="inlineStr">
        <is>
          <t>MORA</t>
        </is>
      </c>
      <c r="G11" t="n">
        <v>1.8</v>
      </c>
      <c r="H11" t="n">
        <v>1</v>
      </c>
      <c r="I11" t="n">
        <v>1</v>
      </c>
      <c r="J11" t="n">
        <v>2</v>
      </c>
      <c r="K11" t="n">
        <v>0</v>
      </c>
      <c r="L11" t="n">
        <v>0</v>
      </c>
      <c r="M11" t="n">
        <v>0</v>
      </c>
      <c r="N11" t="n">
        <v>0</v>
      </c>
      <c r="O11" t="n">
        <v>2</v>
      </c>
      <c r="P11" t="n">
        <v>0</v>
      </c>
      <c r="Q11" t="n">
        <v>4</v>
      </c>
      <c r="R11" s="2" t="inlineStr">
        <is>
          <t>Garnlav
Mörk kolflarnlav
Mindre märgborre
Kungsfågel</t>
        </is>
      </c>
      <c r="S11">
        <f>HYPERLINK("https://klasma.github.io/Logging_2062/artfynd/A 29386-2019 artfynd.xlsx", "A 29386-2019")</f>
        <v/>
      </c>
      <c r="T11">
        <f>HYPERLINK("https://klasma.github.io/Logging_2062/kartor/A 29386-2019 karta.png", "A 29386-2019")</f>
        <v/>
      </c>
      <c r="V11">
        <f>HYPERLINK("https://klasma.github.io/Logging_2062/klagomål/A 29386-2019 FSC-klagomål.docx", "A 29386-2019")</f>
        <v/>
      </c>
      <c r="W11">
        <f>HYPERLINK("https://klasma.github.io/Logging_2062/klagomålsmail/A 29386-2019 FSC-klagomål mail.docx", "A 29386-2019")</f>
        <v/>
      </c>
      <c r="X11">
        <f>HYPERLINK("https://klasma.github.io/Logging_2062/tillsyn/A 29386-2019 tillsynsbegäran.docx", "A 29386-2019")</f>
        <v/>
      </c>
      <c r="Y11">
        <f>HYPERLINK("https://klasma.github.io/Logging_2062/tillsynsmail/A 29386-2019 tillsynsbegäran mail.docx", "A 29386-2019")</f>
        <v/>
      </c>
      <c r="Z11">
        <f>HYPERLINK("https://klasma.github.io/Logging_2062/fåglar/A 29386-2019 prioriterade fågelarter.docx", "A 29386-2019")</f>
        <v/>
      </c>
    </row>
    <row r="12" ht="15" customHeight="1">
      <c r="A12" t="inlineStr">
        <is>
          <t>A 60365-2023</t>
        </is>
      </c>
      <c r="B12" s="1" t="n">
        <v>45259</v>
      </c>
      <c r="C12" s="1" t="n">
        <v>45475</v>
      </c>
      <c r="D12" t="inlineStr">
        <is>
          <t>DALARNAS LÄN</t>
        </is>
      </c>
      <c r="E12" t="inlineStr">
        <is>
          <t>MORA</t>
        </is>
      </c>
      <c r="G12" t="n">
        <v>7.5</v>
      </c>
      <c r="H12" t="n">
        <v>4</v>
      </c>
      <c r="I12" t="n">
        <v>0</v>
      </c>
      <c r="J12" t="n">
        <v>3</v>
      </c>
      <c r="K12" t="n">
        <v>0</v>
      </c>
      <c r="L12" t="n">
        <v>0</v>
      </c>
      <c r="M12" t="n">
        <v>0</v>
      </c>
      <c r="N12" t="n">
        <v>0</v>
      </c>
      <c r="O12" t="n">
        <v>3</v>
      </c>
      <c r="P12" t="n">
        <v>0</v>
      </c>
      <c r="Q12" t="n">
        <v>4</v>
      </c>
      <c r="R12" s="2" t="inlineStr">
        <is>
          <t>Grönsångare
Rödvingetrast
Slaguggla
Nattviol</t>
        </is>
      </c>
      <c r="S12">
        <f>HYPERLINK("https://klasma.github.io/Logging_2062/artfynd/A 60365-2023 artfynd.xlsx", "A 60365-2023")</f>
        <v/>
      </c>
      <c r="T12">
        <f>HYPERLINK("https://klasma.github.io/Logging_2062/kartor/A 60365-2023 karta.png", "A 60365-2023")</f>
        <v/>
      </c>
      <c r="V12">
        <f>HYPERLINK("https://klasma.github.io/Logging_2062/klagomål/A 60365-2023 FSC-klagomål.docx", "A 60365-2023")</f>
        <v/>
      </c>
      <c r="W12">
        <f>HYPERLINK("https://klasma.github.io/Logging_2062/klagomålsmail/A 60365-2023 FSC-klagomål mail.docx", "A 60365-2023")</f>
        <v/>
      </c>
      <c r="X12">
        <f>HYPERLINK("https://klasma.github.io/Logging_2062/tillsyn/A 60365-2023 tillsynsbegäran.docx", "A 60365-2023")</f>
        <v/>
      </c>
      <c r="Y12">
        <f>HYPERLINK("https://klasma.github.io/Logging_2062/tillsynsmail/A 60365-2023 tillsynsbegäran mail.docx", "A 60365-2023")</f>
        <v/>
      </c>
      <c r="Z12">
        <f>HYPERLINK("https://klasma.github.io/Logging_2062/fåglar/A 60365-2023 prioriterade fågelarter.docx", "A 60365-2023")</f>
        <v/>
      </c>
    </row>
    <row r="13" ht="15" customHeight="1">
      <c r="A13" t="inlineStr">
        <is>
          <t>A 18954-2024</t>
        </is>
      </c>
      <c r="B13" s="1" t="n">
        <v>45427</v>
      </c>
      <c r="C13" s="1" t="n">
        <v>45475</v>
      </c>
      <c r="D13" t="inlineStr">
        <is>
          <t>DALARNAS LÄN</t>
        </is>
      </c>
      <c r="E13" t="inlineStr">
        <is>
          <t>MORA</t>
        </is>
      </c>
      <c r="G13" t="n">
        <v>17.5</v>
      </c>
      <c r="H13" t="n">
        <v>0</v>
      </c>
      <c r="I13" t="n">
        <v>1</v>
      </c>
      <c r="J13" t="n">
        <v>3</v>
      </c>
      <c r="K13" t="n">
        <v>0</v>
      </c>
      <c r="L13" t="n">
        <v>0</v>
      </c>
      <c r="M13" t="n">
        <v>0</v>
      </c>
      <c r="N13" t="n">
        <v>0</v>
      </c>
      <c r="O13" t="n">
        <v>3</v>
      </c>
      <c r="P13" t="n">
        <v>0</v>
      </c>
      <c r="Q13" t="n">
        <v>4</v>
      </c>
      <c r="R13" s="2" t="inlineStr">
        <is>
          <t>Furustumpbagge
Mörksömmad barksvartbagge
Tallstumpbagge
Mindre märgborre</t>
        </is>
      </c>
      <c r="S13">
        <f>HYPERLINK("https://klasma.github.io/Logging_2062/artfynd/A 18954-2024 artfynd.xlsx", "A 18954-2024")</f>
        <v/>
      </c>
      <c r="T13">
        <f>HYPERLINK("https://klasma.github.io/Logging_2062/kartor/A 18954-2024 karta.png", "A 18954-2024")</f>
        <v/>
      </c>
      <c r="V13">
        <f>HYPERLINK("https://klasma.github.io/Logging_2062/klagomål/A 18954-2024 FSC-klagomål.docx", "A 18954-2024")</f>
        <v/>
      </c>
      <c r="W13">
        <f>HYPERLINK("https://klasma.github.io/Logging_2062/klagomålsmail/A 18954-2024 FSC-klagomål mail.docx", "A 18954-2024")</f>
        <v/>
      </c>
      <c r="X13">
        <f>HYPERLINK("https://klasma.github.io/Logging_2062/tillsyn/A 18954-2024 tillsynsbegäran.docx", "A 18954-2024")</f>
        <v/>
      </c>
      <c r="Y13">
        <f>HYPERLINK("https://klasma.github.io/Logging_2062/tillsynsmail/A 18954-2024 tillsynsbegäran mail.docx", "A 18954-2024")</f>
        <v/>
      </c>
    </row>
    <row r="14" ht="15" customHeight="1">
      <c r="A14" t="inlineStr">
        <is>
          <t>A 5484-2023</t>
        </is>
      </c>
      <c r="B14" s="1" t="n">
        <v>44957</v>
      </c>
      <c r="C14" s="1" t="n">
        <v>45475</v>
      </c>
      <c r="D14" t="inlineStr">
        <is>
          <t>DALARNAS LÄN</t>
        </is>
      </c>
      <c r="E14" t="inlineStr">
        <is>
          <t>MORA</t>
        </is>
      </c>
      <c r="F14" t="inlineStr">
        <is>
          <t>Allmännings- och besparingsskogar</t>
        </is>
      </c>
      <c r="G14" t="n">
        <v>14.9</v>
      </c>
      <c r="H14" t="n">
        <v>0</v>
      </c>
      <c r="I14" t="n">
        <v>1</v>
      </c>
      <c r="J14" t="n">
        <v>0</v>
      </c>
      <c r="K14" t="n">
        <v>2</v>
      </c>
      <c r="L14" t="n">
        <v>0</v>
      </c>
      <c r="M14" t="n">
        <v>0</v>
      </c>
      <c r="N14" t="n">
        <v>0</v>
      </c>
      <c r="O14" t="n">
        <v>2</v>
      </c>
      <c r="P14" t="n">
        <v>2</v>
      </c>
      <c r="Q14" t="n">
        <v>3</v>
      </c>
      <c r="R14" s="2" t="inlineStr">
        <is>
          <t>Raggbock
Tallbarksvartbagge
Mindre märgborre</t>
        </is>
      </c>
      <c r="S14">
        <f>HYPERLINK("https://klasma.github.io/Logging_2062/artfynd/A 5484-2023 artfynd.xlsx", "A 5484-2023")</f>
        <v/>
      </c>
      <c r="T14">
        <f>HYPERLINK("https://klasma.github.io/Logging_2062/kartor/A 5484-2023 karta.png", "A 5484-2023")</f>
        <v/>
      </c>
      <c r="V14">
        <f>HYPERLINK("https://klasma.github.io/Logging_2062/klagomål/A 5484-2023 FSC-klagomål.docx", "A 5484-2023")</f>
        <v/>
      </c>
      <c r="W14">
        <f>HYPERLINK("https://klasma.github.io/Logging_2062/klagomålsmail/A 5484-2023 FSC-klagomål mail.docx", "A 5484-2023")</f>
        <v/>
      </c>
      <c r="X14">
        <f>HYPERLINK("https://klasma.github.io/Logging_2062/tillsyn/A 5484-2023 tillsynsbegäran.docx", "A 5484-2023")</f>
        <v/>
      </c>
      <c r="Y14">
        <f>HYPERLINK("https://klasma.github.io/Logging_2062/tillsynsmail/A 5484-2023 tillsynsbegäran mail.docx", "A 5484-2023")</f>
        <v/>
      </c>
    </row>
    <row r="15" ht="15" customHeight="1">
      <c r="A15" t="inlineStr">
        <is>
          <t>A 33185-2019</t>
        </is>
      </c>
      <c r="B15" s="1" t="n">
        <v>43649</v>
      </c>
      <c r="C15" s="1" t="n">
        <v>45475</v>
      </c>
      <c r="D15" t="inlineStr">
        <is>
          <t>DALARNAS LÄN</t>
        </is>
      </c>
      <c r="E15" t="inlineStr">
        <is>
          <t>MORA</t>
        </is>
      </c>
      <c r="G15" t="n">
        <v>8</v>
      </c>
      <c r="H15" t="n">
        <v>0</v>
      </c>
      <c r="I15" t="n">
        <v>0</v>
      </c>
      <c r="J15" t="n">
        <v>2</v>
      </c>
      <c r="K15" t="n">
        <v>0</v>
      </c>
      <c r="L15" t="n">
        <v>0</v>
      </c>
      <c r="M15" t="n">
        <v>0</v>
      </c>
      <c r="N15" t="n">
        <v>0</v>
      </c>
      <c r="O15" t="n">
        <v>2</v>
      </c>
      <c r="P15" t="n">
        <v>0</v>
      </c>
      <c r="Q15" t="n">
        <v>2</v>
      </c>
      <c r="R15" s="2" t="inlineStr">
        <is>
          <t>Mörk kolflarnlav
Vedskivlav</t>
        </is>
      </c>
      <c r="S15">
        <f>HYPERLINK("https://klasma.github.io/Logging_2062/artfynd/A 33185-2019 artfynd.xlsx", "A 33185-2019")</f>
        <v/>
      </c>
      <c r="T15">
        <f>HYPERLINK("https://klasma.github.io/Logging_2062/kartor/A 33185-2019 karta.png", "A 33185-2019")</f>
        <v/>
      </c>
      <c r="V15">
        <f>HYPERLINK("https://klasma.github.io/Logging_2062/klagomål/A 33185-2019 FSC-klagomål.docx", "A 33185-2019")</f>
        <v/>
      </c>
      <c r="W15">
        <f>HYPERLINK("https://klasma.github.io/Logging_2062/klagomålsmail/A 33185-2019 FSC-klagomål mail.docx", "A 33185-2019")</f>
        <v/>
      </c>
      <c r="X15">
        <f>HYPERLINK("https://klasma.github.io/Logging_2062/tillsyn/A 33185-2019 tillsynsbegäran.docx", "A 33185-2019")</f>
        <v/>
      </c>
      <c r="Y15">
        <f>HYPERLINK("https://klasma.github.io/Logging_2062/tillsynsmail/A 33185-2019 tillsynsbegäran mail.docx", "A 33185-2019")</f>
        <v/>
      </c>
    </row>
    <row r="16" ht="15" customHeight="1">
      <c r="A16" t="inlineStr">
        <is>
          <t>A 64812-2019</t>
        </is>
      </c>
      <c r="B16" s="1" t="n">
        <v>43801</v>
      </c>
      <c r="C16" s="1" t="n">
        <v>45475</v>
      </c>
      <c r="D16" t="inlineStr">
        <is>
          <t>DALARNAS LÄN</t>
        </is>
      </c>
      <c r="E16" t="inlineStr">
        <is>
          <t>MORA</t>
        </is>
      </c>
      <c r="G16" t="n">
        <v>5.6</v>
      </c>
      <c r="H16" t="n">
        <v>0</v>
      </c>
      <c r="I16" t="n">
        <v>0</v>
      </c>
      <c r="J16" t="n">
        <v>2</v>
      </c>
      <c r="K16" t="n">
        <v>0</v>
      </c>
      <c r="L16" t="n">
        <v>0</v>
      </c>
      <c r="M16" t="n">
        <v>0</v>
      </c>
      <c r="N16" t="n">
        <v>0</v>
      </c>
      <c r="O16" t="n">
        <v>2</v>
      </c>
      <c r="P16" t="n">
        <v>0</v>
      </c>
      <c r="Q16" t="n">
        <v>2</v>
      </c>
      <c r="R16" s="2" t="inlineStr">
        <is>
          <t>Rosenticka
Ullticka</t>
        </is>
      </c>
      <c r="S16">
        <f>HYPERLINK("https://klasma.github.io/Logging_2062/artfynd/A 64812-2019 artfynd.xlsx", "A 64812-2019")</f>
        <v/>
      </c>
      <c r="T16">
        <f>HYPERLINK("https://klasma.github.io/Logging_2062/kartor/A 64812-2019 karta.png", "A 64812-2019")</f>
        <v/>
      </c>
      <c r="V16">
        <f>HYPERLINK("https://klasma.github.io/Logging_2062/klagomål/A 64812-2019 FSC-klagomål.docx", "A 64812-2019")</f>
        <v/>
      </c>
      <c r="W16">
        <f>HYPERLINK("https://klasma.github.io/Logging_2062/klagomålsmail/A 64812-2019 FSC-klagomål mail.docx", "A 64812-2019")</f>
        <v/>
      </c>
      <c r="X16">
        <f>HYPERLINK("https://klasma.github.io/Logging_2062/tillsyn/A 64812-2019 tillsynsbegäran.docx", "A 64812-2019")</f>
        <v/>
      </c>
      <c r="Y16">
        <f>HYPERLINK("https://klasma.github.io/Logging_2062/tillsynsmail/A 64812-2019 tillsynsbegäran mail.docx", "A 64812-2019")</f>
        <v/>
      </c>
    </row>
    <row r="17" ht="15" customHeight="1">
      <c r="A17" t="inlineStr">
        <is>
          <t>A 59626-2020</t>
        </is>
      </c>
      <c r="B17" s="1" t="n">
        <v>44150</v>
      </c>
      <c r="C17" s="1" t="n">
        <v>45475</v>
      </c>
      <c r="D17" t="inlineStr">
        <is>
          <t>DALARNAS LÄN</t>
        </is>
      </c>
      <c r="E17" t="inlineStr">
        <is>
          <t>MORA</t>
        </is>
      </c>
      <c r="F17" t="inlineStr">
        <is>
          <t>Bergvik skog öst AB</t>
        </is>
      </c>
      <c r="G17" t="n">
        <v>3.8</v>
      </c>
      <c r="H17" t="n">
        <v>0</v>
      </c>
      <c r="I17" t="n">
        <v>1</v>
      </c>
      <c r="J17" t="n">
        <v>1</v>
      </c>
      <c r="K17" t="n">
        <v>0</v>
      </c>
      <c r="L17" t="n">
        <v>0</v>
      </c>
      <c r="M17" t="n">
        <v>0</v>
      </c>
      <c r="N17" t="n">
        <v>0</v>
      </c>
      <c r="O17" t="n">
        <v>1</v>
      </c>
      <c r="P17" t="n">
        <v>0</v>
      </c>
      <c r="Q17" t="n">
        <v>2</v>
      </c>
      <c r="R17" s="2" t="inlineStr">
        <is>
          <t>Motaggsvamp
Dropptaggsvamp</t>
        </is>
      </c>
      <c r="S17">
        <f>HYPERLINK("https://klasma.github.io/Logging_2062/artfynd/A 59626-2020 artfynd.xlsx", "A 59626-2020")</f>
        <v/>
      </c>
      <c r="T17">
        <f>HYPERLINK("https://klasma.github.io/Logging_2062/kartor/A 59626-2020 karta.png", "A 59626-2020")</f>
        <v/>
      </c>
      <c r="V17">
        <f>HYPERLINK("https://klasma.github.io/Logging_2062/klagomål/A 59626-2020 FSC-klagomål.docx", "A 59626-2020")</f>
        <v/>
      </c>
      <c r="W17">
        <f>HYPERLINK("https://klasma.github.io/Logging_2062/klagomålsmail/A 59626-2020 FSC-klagomål mail.docx", "A 59626-2020")</f>
        <v/>
      </c>
      <c r="X17">
        <f>HYPERLINK("https://klasma.github.io/Logging_2062/tillsyn/A 59626-2020 tillsynsbegäran.docx", "A 59626-2020")</f>
        <v/>
      </c>
      <c r="Y17">
        <f>HYPERLINK("https://klasma.github.io/Logging_2062/tillsynsmail/A 59626-2020 tillsynsbegäran mail.docx", "A 59626-2020")</f>
        <v/>
      </c>
    </row>
    <row r="18" ht="15" customHeight="1">
      <c r="A18" t="inlineStr">
        <is>
          <t>A 62286-2020</t>
        </is>
      </c>
      <c r="B18" s="1" t="n">
        <v>44160</v>
      </c>
      <c r="C18" s="1" t="n">
        <v>45475</v>
      </c>
      <c r="D18" t="inlineStr">
        <is>
          <t>DALARNAS LÄN</t>
        </is>
      </c>
      <c r="E18" t="inlineStr">
        <is>
          <t>MORA</t>
        </is>
      </c>
      <c r="G18" t="n">
        <v>0.6</v>
      </c>
      <c r="H18" t="n">
        <v>1</v>
      </c>
      <c r="I18" t="n">
        <v>1</v>
      </c>
      <c r="J18" t="n">
        <v>1</v>
      </c>
      <c r="K18" t="n">
        <v>0</v>
      </c>
      <c r="L18" t="n">
        <v>0</v>
      </c>
      <c r="M18" t="n">
        <v>0</v>
      </c>
      <c r="N18" t="n">
        <v>0</v>
      </c>
      <c r="O18" t="n">
        <v>1</v>
      </c>
      <c r="P18" t="n">
        <v>0</v>
      </c>
      <c r="Q18" t="n">
        <v>2</v>
      </c>
      <c r="R18" s="2" t="inlineStr">
        <is>
          <t>Brun gräsfjäril
Traslav</t>
        </is>
      </c>
      <c r="S18">
        <f>HYPERLINK("https://klasma.github.io/Logging_2062/artfynd/A 62286-2020 artfynd.xlsx", "A 62286-2020")</f>
        <v/>
      </c>
      <c r="T18">
        <f>HYPERLINK("https://klasma.github.io/Logging_2062/kartor/A 62286-2020 karta.png", "A 62286-2020")</f>
        <v/>
      </c>
      <c r="V18">
        <f>HYPERLINK("https://klasma.github.io/Logging_2062/klagomål/A 62286-2020 FSC-klagomål.docx", "A 62286-2020")</f>
        <v/>
      </c>
      <c r="W18">
        <f>HYPERLINK("https://klasma.github.io/Logging_2062/klagomålsmail/A 62286-2020 FSC-klagomål mail.docx", "A 62286-2020")</f>
        <v/>
      </c>
      <c r="X18">
        <f>HYPERLINK("https://klasma.github.io/Logging_2062/tillsyn/A 62286-2020 tillsynsbegäran.docx", "A 62286-2020")</f>
        <v/>
      </c>
      <c r="Y18">
        <f>HYPERLINK("https://klasma.github.io/Logging_2062/tillsynsmail/A 62286-2020 tillsynsbegäran mail.docx", "A 62286-2020")</f>
        <v/>
      </c>
    </row>
    <row r="19" ht="15" customHeight="1">
      <c r="A19" t="inlineStr">
        <is>
          <t>A 26587-2023</t>
        </is>
      </c>
      <c r="B19" s="1" t="n">
        <v>45092</v>
      </c>
      <c r="C19" s="1" t="n">
        <v>45475</v>
      </c>
      <c r="D19" t="inlineStr">
        <is>
          <t>DALARNAS LÄN</t>
        </is>
      </c>
      <c r="E19" t="inlineStr">
        <is>
          <t>MORA</t>
        </is>
      </c>
      <c r="G19" t="n">
        <v>2.1</v>
      </c>
      <c r="H19" t="n">
        <v>0</v>
      </c>
      <c r="I19" t="n">
        <v>1</v>
      </c>
      <c r="J19" t="n">
        <v>1</v>
      </c>
      <c r="K19" t="n">
        <v>0</v>
      </c>
      <c r="L19" t="n">
        <v>0</v>
      </c>
      <c r="M19" t="n">
        <v>0</v>
      </c>
      <c r="N19" t="n">
        <v>0</v>
      </c>
      <c r="O19" t="n">
        <v>1</v>
      </c>
      <c r="P19" t="n">
        <v>0</v>
      </c>
      <c r="Q19" t="n">
        <v>2</v>
      </c>
      <c r="R19" s="2" t="inlineStr">
        <is>
          <t>Motaggsvamp
Mindre märgborre</t>
        </is>
      </c>
      <c r="S19">
        <f>HYPERLINK("https://klasma.github.io/Logging_2062/artfynd/A 26587-2023 artfynd.xlsx", "A 26587-2023")</f>
        <v/>
      </c>
      <c r="T19">
        <f>HYPERLINK("https://klasma.github.io/Logging_2062/kartor/A 26587-2023 karta.png", "A 26587-2023")</f>
        <v/>
      </c>
      <c r="V19">
        <f>HYPERLINK("https://klasma.github.io/Logging_2062/klagomål/A 26587-2023 FSC-klagomål.docx", "A 26587-2023")</f>
        <v/>
      </c>
      <c r="W19">
        <f>HYPERLINK("https://klasma.github.io/Logging_2062/klagomålsmail/A 26587-2023 FSC-klagomål mail.docx", "A 26587-2023")</f>
        <v/>
      </c>
      <c r="X19">
        <f>HYPERLINK("https://klasma.github.io/Logging_2062/tillsyn/A 26587-2023 tillsynsbegäran.docx", "A 26587-2023")</f>
        <v/>
      </c>
      <c r="Y19">
        <f>HYPERLINK("https://klasma.github.io/Logging_2062/tillsynsmail/A 26587-2023 tillsynsbegäran mail.docx", "A 26587-2023")</f>
        <v/>
      </c>
    </row>
    <row r="20" ht="15" customHeight="1">
      <c r="A20" t="inlineStr">
        <is>
          <t>A 30278-2023</t>
        </is>
      </c>
      <c r="B20" s="1" t="n">
        <v>45110</v>
      </c>
      <c r="C20" s="1" t="n">
        <v>45475</v>
      </c>
      <c r="D20" t="inlineStr">
        <is>
          <t>DALARNAS LÄN</t>
        </is>
      </c>
      <c r="E20" t="inlineStr">
        <is>
          <t>MORA</t>
        </is>
      </c>
      <c r="G20" t="n">
        <v>16</v>
      </c>
      <c r="H20" t="n">
        <v>0</v>
      </c>
      <c r="I20" t="n">
        <v>1</v>
      </c>
      <c r="J20" t="n">
        <v>0</v>
      </c>
      <c r="K20" t="n">
        <v>1</v>
      </c>
      <c r="L20" t="n">
        <v>0</v>
      </c>
      <c r="M20" t="n">
        <v>0</v>
      </c>
      <c r="N20" t="n">
        <v>0</v>
      </c>
      <c r="O20" t="n">
        <v>1</v>
      </c>
      <c r="P20" t="n">
        <v>1</v>
      </c>
      <c r="Q20" t="n">
        <v>2</v>
      </c>
      <c r="R20" s="2" t="inlineStr">
        <is>
          <t>Tallbarksvartbagge
Mindre märgborre</t>
        </is>
      </c>
      <c r="S20">
        <f>HYPERLINK("https://klasma.github.io/Logging_2062/artfynd/A 30278-2023 artfynd.xlsx", "A 30278-2023")</f>
        <v/>
      </c>
      <c r="T20">
        <f>HYPERLINK("https://klasma.github.io/Logging_2062/kartor/A 30278-2023 karta.png", "A 30278-2023")</f>
        <v/>
      </c>
      <c r="V20">
        <f>HYPERLINK("https://klasma.github.io/Logging_2062/klagomål/A 30278-2023 FSC-klagomål.docx", "A 30278-2023")</f>
        <v/>
      </c>
      <c r="W20">
        <f>HYPERLINK("https://klasma.github.io/Logging_2062/klagomålsmail/A 30278-2023 FSC-klagomål mail.docx", "A 30278-2023")</f>
        <v/>
      </c>
      <c r="X20">
        <f>HYPERLINK("https://klasma.github.io/Logging_2062/tillsyn/A 30278-2023 tillsynsbegäran.docx", "A 30278-2023")</f>
        <v/>
      </c>
      <c r="Y20">
        <f>HYPERLINK("https://klasma.github.io/Logging_2062/tillsynsmail/A 30278-2023 tillsynsbegäran mail.docx", "A 30278-2023")</f>
        <v/>
      </c>
    </row>
    <row r="21" ht="15" customHeight="1">
      <c r="A21" t="inlineStr">
        <is>
          <t>A 33968-2020</t>
        </is>
      </c>
      <c r="B21" s="1" t="n">
        <v>44028</v>
      </c>
      <c r="C21" s="1" t="n">
        <v>45475</v>
      </c>
      <c r="D21" t="inlineStr">
        <is>
          <t>DALARNAS LÄN</t>
        </is>
      </c>
      <c r="E21" t="inlineStr">
        <is>
          <t>MORA</t>
        </is>
      </c>
      <c r="G21" t="n">
        <v>0.5</v>
      </c>
      <c r="H21" t="n">
        <v>1</v>
      </c>
      <c r="I21" t="n">
        <v>0</v>
      </c>
      <c r="J21" t="n">
        <v>1</v>
      </c>
      <c r="K21" t="n">
        <v>0</v>
      </c>
      <c r="L21" t="n">
        <v>0</v>
      </c>
      <c r="M21" t="n">
        <v>0</v>
      </c>
      <c r="N21" t="n">
        <v>0</v>
      </c>
      <c r="O21" t="n">
        <v>1</v>
      </c>
      <c r="P21" t="n">
        <v>0</v>
      </c>
      <c r="Q21" t="n">
        <v>1</v>
      </c>
      <c r="R21" s="2" t="inlineStr">
        <is>
          <t>Spillkråka</t>
        </is>
      </c>
      <c r="S21">
        <f>HYPERLINK("https://klasma.github.io/Logging_2062/artfynd/A 33968-2020 artfynd.xlsx", "A 33968-2020")</f>
        <v/>
      </c>
      <c r="T21">
        <f>HYPERLINK("https://klasma.github.io/Logging_2062/kartor/A 33968-2020 karta.png", "A 33968-2020")</f>
        <v/>
      </c>
      <c r="V21">
        <f>HYPERLINK("https://klasma.github.io/Logging_2062/klagomål/A 33968-2020 FSC-klagomål.docx", "A 33968-2020")</f>
        <v/>
      </c>
      <c r="W21">
        <f>HYPERLINK("https://klasma.github.io/Logging_2062/klagomålsmail/A 33968-2020 FSC-klagomål mail.docx", "A 33968-2020")</f>
        <v/>
      </c>
      <c r="X21">
        <f>HYPERLINK("https://klasma.github.io/Logging_2062/tillsyn/A 33968-2020 tillsynsbegäran.docx", "A 33968-2020")</f>
        <v/>
      </c>
      <c r="Y21">
        <f>HYPERLINK("https://klasma.github.io/Logging_2062/tillsynsmail/A 33968-2020 tillsynsbegäran mail.docx", "A 33968-2020")</f>
        <v/>
      </c>
      <c r="Z21">
        <f>HYPERLINK("https://klasma.github.io/Logging_2062/fåglar/A 33968-2020 prioriterade fågelarter.docx", "A 33968-2020")</f>
        <v/>
      </c>
    </row>
    <row r="22" ht="15" customHeight="1">
      <c r="A22" t="inlineStr">
        <is>
          <t>A 30328-2021</t>
        </is>
      </c>
      <c r="B22" s="1" t="n">
        <v>44364</v>
      </c>
      <c r="C22" s="1" t="n">
        <v>45475</v>
      </c>
      <c r="D22" t="inlineStr">
        <is>
          <t>DALARNAS LÄN</t>
        </is>
      </c>
      <c r="E22" t="inlineStr">
        <is>
          <t>MORA</t>
        </is>
      </c>
      <c r="F22" t="inlineStr">
        <is>
          <t>Bergvik skog öst AB</t>
        </is>
      </c>
      <c r="G22" t="n">
        <v>1.1</v>
      </c>
      <c r="H22" t="n">
        <v>1</v>
      </c>
      <c r="I22" t="n">
        <v>0</v>
      </c>
      <c r="J22" t="n">
        <v>1</v>
      </c>
      <c r="K22" t="n">
        <v>0</v>
      </c>
      <c r="L22" t="n">
        <v>0</v>
      </c>
      <c r="M22" t="n">
        <v>0</v>
      </c>
      <c r="N22" t="n">
        <v>0</v>
      </c>
      <c r="O22" t="n">
        <v>1</v>
      </c>
      <c r="P22" t="n">
        <v>0</v>
      </c>
      <c r="Q22" t="n">
        <v>1</v>
      </c>
      <c r="R22" s="2" t="inlineStr">
        <is>
          <t>Fjällvråk</t>
        </is>
      </c>
      <c r="S22">
        <f>HYPERLINK("https://klasma.github.io/Logging_2062/artfynd/A 30328-2021 artfynd.xlsx", "A 30328-2021")</f>
        <v/>
      </c>
      <c r="T22">
        <f>HYPERLINK("https://klasma.github.io/Logging_2062/kartor/A 30328-2021 karta.png", "A 30328-2021")</f>
        <v/>
      </c>
      <c r="V22">
        <f>HYPERLINK("https://klasma.github.io/Logging_2062/klagomål/A 30328-2021 FSC-klagomål.docx", "A 30328-2021")</f>
        <v/>
      </c>
      <c r="W22">
        <f>HYPERLINK("https://klasma.github.io/Logging_2062/klagomålsmail/A 30328-2021 FSC-klagomål mail.docx", "A 30328-2021")</f>
        <v/>
      </c>
      <c r="X22">
        <f>HYPERLINK("https://klasma.github.io/Logging_2062/tillsyn/A 30328-2021 tillsynsbegäran.docx", "A 30328-2021")</f>
        <v/>
      </c>
      <c r="Y22">
        <f>HYPERLINK("https://klasma.github.io/Logging_2062/tillsynsmail/A 30328-2021 tillsynsbegäran mail.docx", "A 30328-2021")</f>
        <v/>
      </c>
      <c r="Z22">
        <f>HYPERLINK("https://klasma.github.io/Logging_2062/fåglar/A 30328-2021 prioriterade fågelarter.docx", "A 30328-2021")</f>
        <v/>
      </c>
    </row>
    <row r="23" ht="15" customHeight="1">
      <c r="A23" t="inlineStr">
        <is>
          <t>A 61324-2022</t>
        </is>
      </c>
      <c r="B23" s="1" t="n">
        <v>44915</v>
      </c>
      <c r="C23" s="1" t="n">
        <v>45475</v>
      </c>
      <c r="D23" t="inlineStr">
        <is>
          <t>DALARNAS LÄN</t>
        </is>
      </c>
      <c r="E23" t="inlineStr">
        <is>
          <t>MORA</t>
        </is>
      </c>
      <c r="G23" t="n">
        <v>54.4</v>
      </c>
      <c r="H23" t="n">
        <v>0</v>
      </c>
      <c r="I23" t="n">
        <v>0</v>
      </c>
      <c r="J23" t="n">
        <v>0</v>
      </c>
      <c r="K23" t="n">
        <v>1</v>
      </c>
      <c r="L23" t="n">
        <v>0</v>
      </c>
      <c r="M23" t="n">
        <v>0</v>
      </c>
      <c r="N23" t="n">
        <v>0</v>
      </c>
      <c r="O23" t="n">
        <v>1</v>
      </c>
      <c r="P23" t="n">
        <v>1</v>
      </c>
      <c r="Q23" t="n">
        <v>1</v>
      </c>
      <c r="R23" s="2" t="inlineStr">
        <is>
          <t>Smalfotad taggsvamp</t>
        </is>
      </c>
      <c r="S23">
        <f>HYPERLINK("https://klasma.github.io/Logging_2062/artfynd/A 61324-2022 artfynd.xlsx", "A 61324-2022")</f>
        <v/>
      </c>
      <c r="T23">
        <f>HYPERLINK("https://klasma.github.io/Logging_2062/kartor/A 61324-2022 karta.png", "A 61324-2022")</f>
        <v/>
      </c>
      <c r="V23">
        <f>HYPERLINK("https://klasma.github.io/Logging_2062/klagomål/A 61324-2022 FSC-klagomål.docx", "A 61324-2022")</f>
        <v/>
      </c>
      <c r="W23">
        <f>HYPERLINK("https://klasma.github.io/Logging_2062/klagomålsmail/A 61324-2022 FSC-klagomål mail.docx", "A 61324-2022")</f>
        <v/>
      </c>
      <c r="X23">
        <f>HYPERLINK("https://klasma.github.io/Logging_2062/tillsyn/A 61324-2022 tillsynsbegäran.docx", "A 61324-2022")</f>
        <v/>
      </c>
      <c r="Y23">
        <f>HYPERLINK("https://klasma.github.io/Logging_2062/tillsynsmail/A 61324-2022 tillsynsbegäran mail.docx", "A 61324-2022")</f>
        <v/>
      </c>
    </row>
    <row r="24" ht="15" customHeight="1">
      <c r="A24" t="inlineStr">
        <is>
          <t>A 5304-2023</t>
        </is>
      </c>
      <c r="B24" s="1" t="n">
        <v>44959</v>
      </c>
      <c r="C24" s="1" t="n">
        <v>45475</v>
      </c>
      <c r="D24" t="inlineStr">
        <is>
          <t>DALARNAS LÄN</t>
        </is>
      </c>
      <c r="E24" t="inlineStr">
        <is>
          <t>MORA</t>
        </is>
      </c>
      <c r="F24" t="inlineStr">
        <is>
          <t>Bergvik skog väst AB</t>
        </is>
      </c>
      <c r="G24" t="n">
        <v>7.3</v>
      </c>
      <c r="H24" t="n">
        <v>0</v>
      </c>
      <c r="I24" t="n">
        <v>0</v>
      </c>
      <c r="J24" t="n">
        <v>1</v>
      </c>
      <c r="K24" t="n">
        <v>0</v>
      </c>
      <c r="L24" t="n">
        <v>0</v>
      </c>
      <c r="M24" t="n">
        <v>0</v>
      </c>
      <c r="N24" t="n">
        <v>0</v>
      </c>
      <c r="O24" t="n">
        <v>1</v>
      </c>
      <c r="P24" t="n">
        <v>0</v>
      </c>
      <c r="Q24" t="n">
        <v>1</v>
      </c>
      <c r="R24" s="2" t="inlineStr">
        <is>
          <t>Backruta</t>
        </is>
      </c>
      <c r="S24">
        <f>HYPERLINK("https://klasma.github.io/Logging_2062/artfynd/A 5304-2023 artfynd.xlsx", "A 5304-2023")</f>
        <v/>
      </c>
      <c r="T24">
        <f>HYPERLINK("https://klasma.github.io/Logging_2062/kartor/A 5304-2023 karta.png", "A 5304-2023")</f>
        <v/>
      </c>
      <c r="V24">
        <f>HYPERLINK("https://klasma.github.io/Logging_2062/klagomål/A 5304-2023 FSC-klagomål.docx", "A 5304-2023")</f>
        <v/>
      </c>
      <c r="W24">
        <f>HYPERLINK("https://klasma.github.io/Logging_2062/klagomålsmail/A 5304-2023 FSC-klagomål mail.docx", "A 5304-2023")</f>
        <v/>
      </c>
      <c r="X24">
        <f>HYPERLINK("https://klasma.github.io/Logging_2062/tillsyn/A 5304-2023 tillsynsbegäran.docx", "A 5304-2023")</f>
        <v/>
      </c>
      <c r="Y24">
        <f>HYPERLINK("https://klasma.github.io/Logging_2062/tillsynsmail/A 5304-2023 tillsynsbegäran mail.docx", "A 5304-2023")</f>
        <v/>
      </c>
    </row>
    <row r="25" ht="15" customHeight="1">
      <c r="A25" t="inlineStr">
        <is>
          <t>A 23736-2023</t>
        </is>
      </c>
      <c r="B25" s="1" t="n">
        <v>45077</v>
      </c>
      <c r="C25" s="1" t="n">
        <v>45475</v>
      </c>
      <c r="D25" t="inlineStr">
        <is>
          <t>DALARNAS LÄN</t>
        </is>
      </c>
      <c r="E25" t="inlineStr">
        <is>
          <t>MORA</t>
        </is>
      </c>
      <c r="G25" t="n">
        <v>7.2</v>
      </c>
      <c r="H25" t="n">
        <v>0</v>
      </c>
      <c r="I25" t="n">
        <v>0</v>
      </c>
      <c r="J25" t="n">
        <v>1</v>
      </c>
      <c r="K25" t="n">
        <v>0</v>
      </c>
      <c r="L25" t="n">
        <v>0</v>
      </c>
      <c r="M25" t="n">
        <v>0</v>
      </c>
      <c r="N25" t="n">
        <v>0</v>
      </c>
      <c r="O25" t="n">
        <v>1</v>
      </c>
      <c r="P25" t="n">
        <v>0</v>
      </c>
      <c r="Q25" t="n">
        <v>1</v>
      </c>
      <c r="R25" s="2" t="inlineStr">
        <is>
          <t>Reliktbock</t>
        </is>
      </c>
      <c r="S25">
        <f>HYPERLINK("https://klasma.github.io/Logging_2062/artfynd/A 23736-2023 artfynd.xlsx", "A 23736-2023")</f>
        <v/>
      </c>
      <c r="T25">
        <f>HYPERLINK("https://klasma.github.io/Logging_2062/kartor/A 23736-2023 karta.png", "A 23736-2023")</f>
        <v/>
      </c>
      <c r="V25">
        <f>HYPERLINK("https://klasma.github.io/Logging_2062/klagomål/A 23736-2023 FSC-klagomål.docx", "A 23736-2023")</f>
        <v/>
      </c>
      <c r="W25">
        <f>HYPERLINK("https://klasma.github.io/Logging_2062/klagomålsmail/A 23736-2023 FSC-klagomål mail.docx", "A 23736-2023")</f>
        <v/>
      </c>
      <c r="X25">
        <f>HYPERLINK("https://klasma.github.io/Logging_2062/tillsyn/A 23736-2023 tillsynsbegäran.docx", "A 23736-2023")</f>
        <v/>
      </c>
      <c r="Y25">
        <f>HYPERLINK("https://klasma.github.io/Logging_2062/tillsynsmail/A 23736-2023 tillsynsbegäran mail.docx", "A 23736-2023")</f>
        <v/>
      </c>
    </row>
    <row r="26" ht="15" customHeight="1">
      <c r="A26" t="inlineStr">
        <is>
          <t>A 30906-2023</t>
        </is>
      </c>
      <c r="B26" s="1" t="n">
        <v>45113</v>
      </c>
      <c r="C26" s="1" t="n">
        <v>45475</v>
      </c>
      <c r="D26" t="inlineStr">
        <is>
          <t>DALARNAS LÄN</t>
        </is>
      </c>
      <c r="E26" t="inlineStr">
        <is>
          <t>MORA</t>
        </is>
      </c>
      <c r="G26" t="n">
        <v>3.1</v>
      </c>
      <c r="H26" t="n">
        <v>0</v>
      </c>
      <c r="I26" t="n">
        <v>0</v>
      </c>
      <c r="J26" t="n">
        <v>0</v>
      </c>
      <c r="K26" t="n">
        <v>1</v>
      </c>
      <c r="L26" t="n">
        <v>0</v>
      </c>
      <c r="M26" t="n">
        <v>0</v>
      </c>
      <c r="N26" t="n">
        <v>0</v>
      </c>
      <c r="O26" t="n">
        <v>1</v>
      </c>
      <c r="P26" t="n">
        <v>1</v>
      </c>
      <c r="Q26" t="n">
        <v>1</v>
      </c>
      <c r="R26" s="2" t="inlineStr">
        <is>
          <t>Jättemusseron</t>
        </is>
      </c>
      <c r="S26">
        <f>HYPERLINK("https://klasma.github.io/Logging_2062/artfynd/A 30906-2023 artfynd.xlsx", "A 30906-2023")</f>
        <v/>
      </c>
      <c r="T26">
        <f>HYPERLINK("https://klasma.github.io/Logging_2062/kartor/A 30906-2023 karta.png", "A 30906-2023")</f>
        <v/>
      </c>
      <c r="V26">
        <f>HYPERLINK("https://klasma.github.io/Logging_2062/klagomål/A 30906-2023 FSC-klagomål.docx", "A 30906-2023")</f>
        <v/>
      </c>
      <c r="W26">
        <f>HYPERLINK("https://klasma.github.io/Logging_2062/klagomålsmail/A 30906-2023 FSC-klagomål mail.docx", "A 30906-2023")</f>
        <v/>
      </c>
      <c r="X26">
        <f>HYPERLINK("https://klasma.github.io/Logging_2062/tillsyn/A 30906-2023 tillsynsbegäran.docx", "A 30906-2023")</f>
        <v/>
      </c>
      <c r="Y26">
        <f>HYPERLINK("https://klasma.github.io/Logging_2062/tillsynsmail/A 30906-2023 tillsynsbegäran mail.docx", "A 30906-2023")</f>
        <v/>
      </c>
    </row>
    <row r="27" ht="15" customHeight="1">
      <c r="A27" t="inlineStr">
        <is>
          <t>A 34194-2023</t>
        </is>
      </c>
      <c r="B27" s="1" t="n">
        <v>45138</v>
      </c>
      <c r="C27" s="1" t="n">
        <v>45475</v>
      </c>
      <c r="D27" t="inlineStr">
        <is>
          <t>DALARNAS LÄN</t>
        </is>
      </c>
      <c r="E27" t="inlineStr">
        <is>
          <t>MORA</t>
        </is>
      </c>
      <c r="G27" t="n">
        <v>8.699999999999999</v>
      </c>
      <c r="H27" t="n">
        <v>0</v>
      </c>
      <c r="I27" t="n">
        <v>0</v>
      </c>
      <c r="J27" t="n">
        <v>1</v>
      </c>
      <c r="K27" t="n">
        <v>0</v>
      </c>
      <c r="L27" t="n">
        <v>0</v>
      </c>
      <c r="M27" t="n">
        <v>0</v>
      </c>
      <c r="N27" t="n">
        <v>0</v>
      </c>
      <c r="O27" t="n">
        <v>1</v>
      </c>
      <c r="P27" t="n">
        <v>0</v>
      </c>
      <c r="Q27" t="n">
        <v>1</v>
      </c>
      <c r="R27" s="2" t="inlineStr">
        <is>
          <t>Motaggsvamp</t>
        </is>
      </c>
      <c r="S27">
        <f>HYPERLINK("https://klasma.github.io/Logging_2062/artfynd/A 34194-2023 artfynd.xlsx", "A 34194-2023")</f>
        <v/>
      </c>
      <c r="T27">
        <f>HYPERLINK("https://klasma.github.io/Logging_2062/kartor/A 34194-2023 karta.png", "A 34194-2023")</f>
        <v/>
      </c>
      <c r="V27">
        <f>HYPERLINK("https://klasma.github.io/Logging_2062/klagomål/A 34194-2023 FSC-klagomål.docx", "A 34194-2023")</f>
        <v/>
      </c>
      <c r="W27">
        <f>HYPERLINK("https://klasma.github.io/Logging_2062/klagomålsmail/A 34194-2023 FSC-klagomål mail.docx", "A 34194-2023")</f>
        <v/>
      </c>
      <c r="X27">
        <f>HYPERLINK("https://klasma.github.io/Logging_2062/tillsyn/A 34194-2023 tillsynsbegäran.docx", "A 34194-2023")</f>
        <v/>
      </c>
      <c r="Y27">
        <f>HYPERLINK("https://klasma.github.io/Logging_2062/tillsynsmail/A 34194-2023 tillsynsbegäran mail.docx", "A 34194-2023")</f>
        <v/>
      </c>
    </row>
    <row r="28" ht="15" customHeight="1">
      <c r="A28" t="inlineStr">
        <is>
          <t>A 54132-2023</t>
        </is>
      </c>
      <c r="B28" s="1" t="n">
        <v>45232</v>
      </c>
      <c r="C28" s="1" t="n">
        <v>45475</v>
      </c>
      <c r="D28" t="inlineStr">
        <is>
          <t>DALARNAS LÄN</t>
        </is>
      </c>
      <c r="E28" t="inlineStr">
        <is>
          <t>MORA</t>
        </is>
      </c>
      <c r="G28" t="n">
        <v>0.9</v>
      </c>
      <c r="H28" t="n">
        <v>0</v>
      </c>
      <c r="I28" t="n">
        <v>0</v>
      </c>
      <c r="J28" t="n">
        <v>0</v>
      </c>
      <c r="K28" t="n">
        <v>1</v>
      </c>
      <c r="L28" t="n">
        <v>0</v>
      </c>
      <c r="M28" t="n">
        <v>0</v>
      </c>
      <c r="N28" t="n">
        <v>0</v>
      </c>
      <c r="O28" t="n">
        <v>1</v>
      </c>
      <c r="P28" t="n">
        <v>1</v>
      </c>
      <c r="Q28" t="n">
        <v>1</v>
      </c>
      <c r="R28" s="2" t="inlineStr">
        <is>
          <t>Jättemusseron</t>
        </is>
      </c>
      <c r="S28">
        <f>HYPERLINK("https://klasma.github.io/Logging_2062/artfynd/A 54132-2023 artfynd.xlsx", "A 54132-2023")</f>
        <v/>
      </c>
      <c r="T28">
        <f>HYPERLINK("https://klasma.github.io/Logging_2062/kartor/A 54132-2023 karta.png", "A 54132-2023")</f>
        <v/>
      </c>
      <c r="V28">
        <f>HYPERLINK("https://klasma.github.io/Logging_2062/klagomål/A 54132-2023 FSC-klagomål.docx", "A 54132-2023")</f>
        <v/>
      </c>
      <c r="W28">
        <f>HYPERLINK("https://klasma.github.io/Logging_2062/klagomålsmail/A 54132-2023 FSC-klagomål mail.docx", "A 54132-2023")</f>
        <v/>
      </c>
      <c r="X28">
        <f>HYPERLINK("https://klasma.github.io/Logging_2062/tillsyn/A 54132-2023 tillsynsbegäran.docx", "A 54132-2023")</f>
        <v/>
      </c>
      <c r="Y28">
        <f>HYPERLINK("https://klasma.github.io/Logging_2062/tillsynsmail/A 54132-2023 tillsynsbegäran mail.docx", "A 54132-2023")</f>
        <v/>
      </c>
    </row>
    <row r="29" ht="15" customHeight="1">
      <c r="A29" t="inlineStr">
        <is>
          <t>A 5691-2024</t>
        </is>
      </c>
      <c r="B29" s="1" t="n">
        <v>45334</v>
      </c>
      <c r="C29" s="1" t="n">
        <v>45475</v>
      </c>
      <c r="D29" t="inlineStr">
        <is>
          <t>DALARNAS LÄN</t>
        </is>
      </c>
      <c r="E29" t="inlineStr">
        <is>
          <t>MORA</t>
        </is>
      </c>
      <c r="G29" t="n">
        <v>3.7</v>
      </c>
      <c r="H29" t="n">
        <v>1</v>
      </c>
      <c r="I29" t="n">
        <v>0</v>
      </c>
      <c r="J29" t="n">
        <v>0</v>
      </c>
      <c r="K29" t="n">
        <v>0</v>
      </c>
      <c r="L29" t="n">
        <v>0</v>
      </c>
      <c r="M29" t="n">
        <v>0</v>
      </c>
      <c r="N29" t="n">
        <v>0</v>
      </c>
      <c r="O29" t="n">
        <v>0</v>
      </c>
      <c r="P29" t="n">
        <v>0</v>
      </c>
      <c r="Q29" t="n">
        <v>1</v>
      </c>
      <c r="R29" s="2" t="inlineStr">
        <is>
          <t>Blåsippa</t>
        </is>
      </c>
      <c r="S29">
        <f>HYPERLINK("https://klasma.github.io/Logging_2062/artfynd/A 5691-2024 artfynd.xlsx", "A 5691-2024")</f>
        <v/>
      </c>
      <c r="T29">
        <f>HYPERLINK("https://klasma.github.io/Logging_2062/kartor/A 5691-2024 karta.png", "A 5691-2024")</f>
        <v/>
      </c>
      <c r="V29">
        <f>HYPERLINK("https://klasma.github.io/Logging_2062/klagomål/A 5691-2024 FSC-klagomål.docx", "A 5691-2024")</f>
        <v/>
      </c>
      <c r="W29">
        <f>HYPERLINK("https://klasma.github.io/Logging_2062/klagomålsmail/A 5691-2024 FSC-klagomål mail.docx", "A 5691-2024")</f>
        <v/>
      </c>
      <c r="X29">
        <f>HYPERLINK("https://klasma.github.io/Logging_2062/tillsyn/A 5691-2024 tillsynsbegäran.docx", "A 5691-2024")</f>
        <v/>
      </c>
      <c r="Y29">
        <f>HYPERLINK("https://klasma.github.io/Logging_2062/tillsynsmail/A 5691-2024 tillsynsbegäran mail.docx", "A 5691-2024")</f>
        <v/>
      </c>
    </row>
    <row r="30" ht="15" customHeight="1">
      <c r="A30" t="inlineStr">
        <is>
          <t>A 15820-2024</t>
        </is>
      </c>
      <c r="B30" s="1" t="n">
        <v>45404</v>
      </c>
      <c r="C30" s="1" t="n">
        <v>45475</v>
      </c>
      <c r="D30" t="inlineStr">
        <is>
          <t>DALARNAS LÄN</t>
        </is>
      </c>
      <c r="E30" t="inlineStr">
        <is>
          <t>MORA</t>
        </is>
      </c>
      <c r="G30" t="n">
        <v>3</v>
      </c>
      <c r="H30" t="n">
        <v>1</v>
      </c>
      <c r="I30" t="n">
        <v>0</v>
      </c>
      <c r="J30" t="n">
        <v>1</v>
      </c>
      <c r="K30" t="n">
        <v>0</v>
      </c>
      <c r="L30" t="n">
        <v>0</v>
      </c>
      <c r="M30" t="n">
        <v>0</v>
      </c>
      <c r="N30" t="n">
        <v>0</v>
      </c>
      <c r="O30" t="n">
        <v>1</v>
      </c>
      <c r="P30" t="n">
        <v>0</v>
      </c>
      <c r="Q30" t="n">
        <v>1</v>
      </c>
      <c r="R30" s="2" t="inlineStr">
        <is>
          <t>Slaguggla</t>
        </is>
      </c>
      <c r="S30">
        <f>HYPERLINK("https://klasma.github.io/Logging_2062/artfynd/A 15820-2024 artfynd.xlsx", "A 15820-2024")</f>
        <v/>
      </c>
      <c r="T30">
        <f>HYPERLINK("https://klasma.github.io/Logging_2062/kartor/A 15820-2024 karta.png", "A 15820-2024")</f>
        <v/>
      </c>
      <c r="V30">
        <f>HYPERLINK("https://klasma.github.io/Logging_2062/klagomål/A 15820-2024 FSC-klagomål.docx", "A 15820-2024")</f>
        <v/>
      </c>
      <c r="W30">
        <f>HYPERLINK("https://klasma.github.io/Logging_2062/klagomålsmail/A 15820-2024 FSC-klagomål mail.docx", "A 15820-2024")</f>
        <v/>
      </c>
      <c r="X30">
        <f>HYPERLINK("https://klasma.github.io/Logging_2062/tillsyn/A 15820-2024 tillsynsbegäran.docx", "A 15820-2024")</f>
        <v/>
      </c>
      <c r="Y30">
        <f>HYPERLINK("https://klasma.github.io/Logging_2062/tillsynsmail/A 15820-2024 tillsynsbegäran mail.docx", "A 15820-2024")</f>
        <v/>
      </c>
      <c r="Z30">
        <f>HYPERLINK("https://klasma.github.io/Logging_2062/fåglar/A 15820-2024 prioriterade fågelarter.docx", "A 15820-2024")</f>
        <v/>
      </c>
    </row>
    <row r="31" ht="15" customHeight="1">
      <c r="A31" t="inlineStr">
        <is>
          <t>A 16094-2024</t>
        </is>
      </c>
      <c r="B31" s="1" t="n">
        <v>45406</v>
      </c>
      <c r="C31" s="1" t="n">
        <v>45475</v>
      </c>
      <c r="D31" t="inlineStr">
        <is>
          <t>DALARNAS LÄN</t>
        </is>
      </c>
      <c r="E31" t="inlineStr">
        <is>
          <t>MORA</t>
        </is>
      </c>
      <c r="F31" t="inlineStr">
        <is>
          <t>Bergvik skog väst AB</t>
        </is>
      </c>
      <c r="G31" t="n">
        <v>22.6</v>
      </c>
      <c r="H31" t="n">
        <v>0</v>
      </c>
      <c r="I31" t="n">
        <v>0</v>
      </c>
      <c r="J31" t="n">
        <v>1</v>
      </c>
      <c r="K31" t="n">
        <v>0</v>
      </c>
      <c r="L31" t="n">
        <v>0</v>
      </c>
      <c r="M31" t="n">
        <v>0</v>
      </c>
      <c r="N31" t="n">
        <v>0</v>
      </c>
      <c r="O31" t="n">
        <v>1</v>
      </c>
      <c r="P31" t="n">
        <v>0</v>
      </c>
      <c r="Q31" t="n">
        <v>1</v>
      </c>
      <c r="R31" s="2" t="inlineStr">
        <is>
          <t>Reliktbock</t>
        </is>
      </c>
      <c r="S31">
        <f>HYPERLINK("https://klasma.github.io/Logging_2062/artfynd/A 16094-2024 artfynd.xlsx", "A 16094-2024")</f>
        <v/>
      </c>
      <c r="T31">
        <f>HYPERLINK("https://klasma.github.io/Logging_2062/kartor/A 16094-2024 karta.png", "A 16094-2024")</f>
        <v/>
      </c>
      <c r="V31">
        <f>HYPERLINK("https://klasma.github.io/Logging_2062/klagomål/A 16094-2024 FSC-klagomål.docx", "A 16094-2024")</f>
        <v/>
      </c>
      <c r="W31">
        <f>HYPERLINK("https://klasma.github.io/Logging_2062/klagomålsmail/A 16094-2024 FSC-klagomål mail.docx", "A 16094-2024")</f>
        <v/>
      </c>
      <c r="X31">
        <f>HYPERLINK("https://klasma.github.io/Logging_2062/tillsyn/A 16094-2024 tillsynsbegäran.docx", "A 16094-2024")</f>
        <v/>
      </c>
      <c r="Y31">
        <f>HYPERLINK("https://klasma.github.io/Logging_2062/tillsynsmail/A 16094-2024 tillsynsbegäran mail.docx", "A 16094-2024")</f>
        <v/>
      </c>
    </row>
    <row r="32" ht="15" customHeight="1">
      <c r="A32" t="inlineStr">
        <is>
          <t>A 27113-2024</t>
        </is>
      </c>
      <c r="B32" s="1" t="n">
        <v>45471</v>
      </c>
      <c r="C32" s="1" t="n">
        <v>45475</v>
      </c>
      <c r="D32" t="inlineStr">
        <is>
          <t>DALARNAS LÄN</t>
        </is>
      </c>
      <c r="E32" t="inlineStr">
        <is>
          <t>MORA</t>
        </is>
      </c>
      <c r="G32" t="n">
        <v>10.3</v>
      </c>
      <c r="H32" t="n">
        <v>0</v>
      </c>
      <c r="I32" t="n">
        <v>1</v>
      </c>
      <c r="J32" t="n">
        <v>0</v>
      </c>
      <c r="K32" t="n">
        <v>0</v>
      </c>
      <c r="L32" t="n">
        <v>0</v>
      </c>
      <c r="M32" t="n">
        <v>0</v>
      </c>
      <c r="N32" t="n">
        <v>0</v>
      </c>
      <c r="O32" t="n">
        <v>0</v>
      </c>
      <c r="P32" t="n">
        <v>0</v>
      </c>
      <c r="Q32" t="n">
        <v>1</v>
      </c>
      <c r="R32" s="2" t="inlineStr">
        <is>
          <t>Stor aspticka</t>
        </is>
      </c>
      <c r="S32">
        <f>HYPERLINK("https://klasma.github.io/Logging_2062/artfynd/A 27113-2024 artfynd.xlsx", "A 27113-2024")</f>
        <v/>
      </c>
      <c r="T32">
        <f>HYPERLINK("https://klasma.github.io/Logging_2062/kartor/A 27113-2024 karta.png", "A 27113-2024")</f>
        <v/>
      </c>
      <c r="V32">
        <f>HYPERLINK("https://klasma.github.io/Logging_2062/klagomål/A 27113-2024 FSC-klagomål.docx", "A 27113-2024")</f>
        <v/>
      </c>
      <c r="W32">
        <f>HYPERLINK("https://klasma.github.io/Logging_2062/klagomålsmail/A 27113-2024 FSC-klagomål mail.docx", "A 27113-2024")</f>
        <v/>
      </c>
      <c r="X32">
        <f>HYPERLINK("https://klasma.github.io/Logging_2062/tillsyn/A 27113-2024 tillsynsbegäran.docx", "A 27113-2024")</f>
        <v/>
      </c>
      <c r="Y32">
        <f>HYPERLINK("https://klasma.github.io/Logging_2062/tillsynsmail/A 27113-2024 tillsynsbegäran mail.docx", "A 27113-2024")</f>
        <v/>
      </c>
    </row>
    <row r="33" ht="15" customHeight="1">
      <c r="A33" t="inlineStr">
        <is>
          <t>A 20226-2019</t>
        </is>
      </c>
      <c r="B33" s="1" t="n">
        <v>43570</v>
      </c>
      <c r="C33" s="1" t="n">
        <v>45475</v>
      </c>
      <c r="D33" t="inlineStr">
        <is>
          <t>DALARNAS LÄN</t>
        </is>
      </c>
      <c r="E33" t="inlineStr">
        <is>
          <t>MORA</t>
        </is>
      </c>
      <c r="G33" t="n">
        <v>4.2</v>
      </c>
      <c r="H33" t="n">
        <v>0</v>
      </c>
      <c r="I33" t="n">
        <v>0</v>
      </c>
      <c r="J33" t="n">
        <v>0</v>
      </c>
      <c r="K33" t="n">
        <v>0</v>
      </c>
      <c r="L33" t="n">
        <v>0</v>
      </c>
      <c r="M33" t="n">
        <v>0</v>
      </c>
      <c r="N33" t="n">
        <v>0</v>
      </c>
      <c r="O33" t="n">
        <v>0</v>
      </c>
      <c r="P33" t="n">
        <v>0</v>
      </c>
      <c r="Q33" t="n">
        <v>0</v>
      </c>
      <c r="R33" s="2" t="inlineStr"/>
    </row>
    <row r="34" ht="15" customHeight="1">
      <c r="A34" t="inlineStr">
        <is>
          <t>A 20464-2019</t>
        </is>
      </c>
      <c r="B34" s="1" t="n">
        <v>43572</v>
      </c>
      <c r="C34" s="1" t="n">
        <v>45475</v>
      </c>
      <c r="D34" t="inlineStr">
        <is>
          <t>DALARNAS LÄN</t>
        </is>
      </c>
      <c r="E34" t="inlineStr">
        <is>
          <t>MORA</t>
        </is>
      </c>
      <c r="G34" t="n">
        <v>12.1</v>
      </c>
      <c r="H34" t="n">
        <v>0</v>
      </c>
      <c r="I34" t="n">
        <v>0</v>
      </c>
      <c r="J34" t="n">
        <v>0</v>
      </c>
      <c r="K34" t="n">
        <v>0</v>
      </c>
      <c r="L34" t="n">
        <v>0</v>
      </c>
      <c r="M34" t="n">
        <v>0</v>
      </c>
      <c r="N34" t="n">
        <v>0</v>
      </c>
      <c r="O34" t="n">
        <v>0</v>
      </c>
      <c r="P34" t="n">
        <v>0</v>
      </c>
      <c r="Q34" t="n">
        <v>0</v>
      </c>
      <c r="R34" s="2" t="inlineStr"/>
    </row>
    <row r="35" ht="15" customHeight="1">
      <c r="A35" t="inlineStr">
        <is>
          <t>A 22970-2019</t>
        </is>
      </c>
      <c r="B35" s="1" t="n">
        <v>43591</v>
      </c>
      <c r="C35" s="1" t="n">
        <v>45475</v>
      </c>
      <c r="D35" t="inlineStr">
        <is>
          <t>DALARNAS LÄN</t>
        </is>
      </c>
      <c r="E35" t="inlineStr">
        <is>
          <t>MORA</t>
        </is>
      </c>
      <c r="G35" t="n">
        <v>1.5</v>
      </c>
      <c r="H35" t="n">
        <v>0</v>
      </c>
      <c r="I35" t="n">
        <v>0</v>
      </c>
      <c r="J35" t="n">
        <v>0</v>
      </c>
      <c r="K35" t="n">
        <v>0</v>
      </c>
      <c r="L35" t="n">
        <v>0</v>
      </c>
      <c r="M35" t="n">
        <v>0</v>
      </c>
      <c r="N35" t="n">
        <v>0</v>
      </c>
      <c r="O35" t="n">
        <v>0</v>
      </c>
      <c r="P35" t="n">
        <v>0</v>
      </c>
      <c r="Q35" t="n">
        <v>0</v>
      </c>
      <c r="R35" s="2" t="inlineStr"/>
    </row>
    <row r="36" ht="15" customHeight="1">
      <c r="A36" t="inlineStr">
        <is>
          <t>A 23665-2019</t>
        </is>
      </c>
      <c r="B36" s="1" t="n">
        <v>43594</v>
      </c>
      <c r="C36" s="1" t="n">
        <v>45475</v>
      </c>
      <c r="D36" t="inlineStr">
        <is>
          <t>DALARNAS LÄN</t>
        </is>
      </c>
      <c r="E36" t="inlineStr">
        <is>
          <t>MORA</t>
        </is>
      </c>
      <c r="G36" t="n">
        <v>1.1</v>
      </c>
      <c r="H36" t="n">
        <v>0</v>
      </c>
      <c r="I36" t="n">
        <v>0</v>
      </c>
      <c r="J36" t="n">
        <v>0</v>
      </c>
      <c r="K36" t="n">
        <v>0</v>
      </c>
      <c r="L36" t="n">
        <v>0</v>
      </c>
      <c r="M36" t="n">
        <v>0</v>
      </c>
      <c r="N36" t="n">
        <v>0</v>
      </c>
      <c r="O36" t="n">
        <v>0</v>
      </c>
      <c r="P36" t="n">
        <v>0</v>
      </c>
      <c r="Q36" t="n">
        <v>0</v>
      </c>
      <c r="R36" s="2" t="inlineStr"/>
    </row>
    <row r="37" ht="15" customHeight="1">
      <c r="A37" t="inlineStr">
        <is>
          <t>A 23636-2019</t>
        </is>
      </c>
      <c r="B37" s="1" t="n">
        <v>43594</v>
      </c>
      <c r="C37" s="1" t="n">
        <v>45475</v>
      </c>
      <c r="D37" t="inlineStr">
        <is>
          <t>DALARNAS LÄN</t>
        </is>
      </c>
      <c r="E37" t="inlineStr">
        <is>
          <t>MORA</t>
        </is>
      </c>
      <c r="G37" t="n">
        <v>1.5</v>
      </c>
      <c r="H37" t="n">
        <v>0</v>
      </c>
      <c r="I37" t="n">
        <v>0</v>
      </c>
      <c r="J37" t="n">
        <v>0</v>
      </c>
      <c r="K37" t="n">
        <v>0</v>
      </c>
      <c r="L37" t="n">
        <v>0</v>
      </c>
      <c r="M37" t="n">
        <v>0</v>
      </c>
      <c r="N37" t="n">
        <v>0</v>
      </c>
      <c r="O37" t="n">
        <v>0</v>
      </c>
      <c r="P37" t="n">
        <v>0</v>
      </c>
      <c r="Q37" t="n">
        <v>0</v>
      </c>
      <c r="R37" s="2" t="inlineStr"/>
    </row>
    <row r="38" ht="15" customHeight="1">
      <c r="A38" t="inlineStr">
        <is>
          <t>A 24630-2019</t>
        </is>
      </c>
      <c r="B38" s="1" t="n">
        <v>43601</v>
      </c>
      <c r="C38" s="1" t="n">
        <v>45475</v>
      </c>
      <c r="D38" t="inlineStr">
        <is>
          <t>DALARNAS LÄN</t>
        </is>
      </c>
      <c r="E38" t="inlineStr">
        <is>
          <t>MORA</t>
        </is>
      </c>
      <c r="G38" t="n">
        <v>5.8</v>
      </c>
      <c r="H38" t="n">
        <v>0</v>
      </c>
      <c r="I38" t="n">
        <v>0</v>
      </c>
      <c r="J38" t="n">
        <v>0</v>
      </c>
      <c r="K38" t="n">
        <v>0</v>
      </c>
      <c r="L38" t="n">
        <v>0</v>
      </c>
      <c r="M38" t="n">
        <v>0</v>
      </c>
      <c r="N38" t="n">
        <v>0</v>
      </c>
      <c r="O38" t="n">
        <v>0</v>
      </c>
      <c r="P38" t="n">
        <v>0</v>
      </c>
      <c r="Q38" t="n">
        <v>0</v>
      </c>
      <c r="R38" s="2" t="inlineStr"/>
    </row>
    <row r="39" ht="15" customHeight="1">
      <c r="A39" t="inlineStr">
        <is>
          <t>A 25235-2019</t>
        </is>
      </c>
      <c r="B39" s="1" t="n">
        <v>43601</v>
      </c>
      <c r="C39" s="1" t="n">
        <v>45475</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24960-2019</t>
        </is>
      </c>
      <c r="B40" s="1" t="n">
        <v>43602</v>
      </c>
      <c r="C40" s="1" t="n">
        <v>45475</v>
      </c>
      <c r="D40" t="inlineStr">
        <is>
          <t>DALARNAS LÄN</t>
        </is>
      </c>
      <c r="E40" t="inlineStr">
        <is>
          <t>MORA</t>
        </is>
      </c>
      <c r="G40" t="n">
        <v>2.7</v>
      </c>
      <c r="H40" t="n">
        <v>0</v>
      </c>
      <c r="I40" t="n">
        <v>0</v>
      </c>
      <c r="J40" t="n">
        <v>0</v>
      </c>
      <c r="K40" t="n">
        <v>0</v>
      </c>
      <c r="L40" t="n">
        <v>0</v>
      </c>
      <c r="M40" t="n">
        <v>0</v>
      </c>
      <c r="N40" t="n">
        <v>0</v>
      </c>
      <c r="O40" t="n">
        <v>0</v>
      </c>
      <c r="P40" t="n">
        <v>0</v>
      </c>
      <c r="Q40" t="n">
        <v>0</v>
      </c>
      <c r="R40" s="2" t="inlineStr"/>
    </row>
    <row r="41" ht="15" customHeight="1">
      <c r="A41" t="inlineStr">
        <is>
          <t>A 28917-2019</t>
        </is>
      </c>
      <c r="B41" s="1" t="n">
        <v>43612</v>
      </c>
      <c r="C41" s="1" t="n">
        <v>45475</v>
      </c>
      <c r="D41" t="inlineStr">
        <is>
          <t>DALARNAS LÄN</t>
        </is>
      </c>
      <c r="E41" t="inlineStr">
        <is>
          <t>MORA</t>
        </is>
      </c>
      <c r="G41" t="n">
        <v>0.6</v>
      </c>
      <c r="H41" t="n">
        <v>0</v>
      </c>
      <c r="I41" t="n">
        <v>0</v>
      </c>
      <c r="J41" t="n">
        <v>0</v>
      </c>
      <c r="K41" t="n">
        <v>0</v>
      </c>
      <c r="L41" t="n">
        <v>0</v>
      </c>
      <c r="M41" t="n">
        <v>0</v>
      </c>
      <c r="N41" t="n">
        <v>0</v>
      </c>
      <c r="O41" t="n">
        <v>0</v>
      </c>
      <c r="P41" t="n">
        <v>0</v>
      </c>
      <c r="Q41" t="n">
        <v>0</v>
      </c>
      <c r="R41" s="2" t="inlineStr"/>
    </row>
    <row r="42" ht="15" customHeight="1">
      <c r="A42" t="inlineStr">
        <is>
          <t>A 26405-2019</t>
        </is>
      </c>
      <c r="B42" s="1" t="n">
        <v>43612</v>
      </c>
      <c r="C42" s="1" t="n">
        <v>45475</v>
      </c>
      <c r="D42" t="inlineStr">
        <is>
          <t>DALARNAS LÄN</t>
        </is>
      </c>
      <c r="E42" t="inlineStr">
        <is>
          <t>MORA</t>
        </is>
      </c>
      <c r="G42" t="n">
        <v>3.2</v>
      </c>
      <c r="H42" t="n">
        <v>0</v>
      </c>
      <c r="I42" t="n">
        <v>0</v>
      </c>
      <c r="J42" t="n">
        <v>0</v>
      </c>
      <c r="K42" t="n">
        <v>0</v>
      </c>
      <c r="L42" t="n">
        <v>0</v>
      </c>
      <c r="M42" t="n">
        <v>0</v>
      </c>
      <c r="N42" t="n">
        <v>0</v>
      </c>
      <c r="O42" t="n">
        <v>0</v>
      </c>
      <c r="P42" t="n">
        <v>0</v>
      </c>
      <c r="Q42" t="n">
        <v>0</v>
      </c>
      <c r="R42" s="2" t="inlineStr"/>
    </row>
    <row r="43" ht="15" customHeight="1">
      <c r="A43" t="inlineStr">
        <is>
          <t>A 29231-2019</t>
        </is>
      </c>
      <c r="B43" s="1" t="n">
        <v>43623</v>
      </c>
      <c r="C43" s="1" t="n">
        <v>45475</v>
      </c>
      <c r="D43" t="inlineStr">
        <is>
          <t>DALARNAS LÄN</t>
        </is>
      </c>
      <c r="E43" t="inlineStr">
        <is>
          <t>MORA</t>
        </is>
      </c>
      <c r="G43" t="n">
        <v>24.2</v>
      </c>
      <c r="H43" t="n">
        <v>0</v>
      </c>
      <c r="I43" t="n">
        <v>0</v>
      </c>
      <c r="J43" t="n">
        <v>0</v>
      </c>
      <c r="K43" t="n">
        <v>0</v>
      </c>
      <c r="L43" t="n">
        <v>0</v>
      </c>
      <c r="M43" t="n">
        <v>0</v>
      </c>
      <c r="N43" t="n">
        <v>0</v>
      </c>
      <c r="O43" t="n">
        <v>0</v>
      </c>
      <c r="P43" t="n">
        <v>0</v>
      </c>
      <c r="Q43" t="n">
        <v>0</v>
      </c>
      <c r="R43" s="2" t="inlineStr"/>
    </row>
    <row r="44" ht="15" customHeight="1">
      <c r="A44" t="inlineStr">
        <is>
          <t>A 29370-2019</t>
        </is>
      </c>
      <c r="B44" s="1" t="n">
        <v>43629</v>
      </c>
      <c r="C44" s="1" t="n">
        <v>45475</v>
      </c>
      <c r="D44" t="inlineStr">
        <is>
          <t>DALARNAS LÄN</t>
        </is>
      </c>
      <c r="E44" t="inlineStr">
        <is>
          <t>MORA</t>
        </is>
      </c>
      <c r="G44" t="n">
        <v>2.4</v>
      </c>
      <c r="H44" t="n">
        <v>0</v>
      </c>
      <c r="I44" t="n">
        <v>0</v>
      </c>
      <c r="J44" t="n">
        <v>0</v>
      </c>
      <c r="K44" t="n">
        <v>0</v>
      </c>
      <c r="L44" t="n">
        <v>0</v>
      </c>
      <c r="M44" t="n">
        <v>0</v>
      </c>
      <c r="N44" t="n">
        <v>0</v>
      </c>
      <c r="O44" t="n">
        <v>0</v>
      </c>
      <c r="P44" t="n">
        <v>0</v>
      </c>
      <c r="Q44" t="n">
        <v>0</v>
      </c>
      <c r="R44" s="2" t="inlineStr"/>
    </row>
    <row r="45" ht="15" customHeight="1">
      <c r="A45" t="inlineStr">
        <is>
          <t>A 29395-2019</t>
        </is>
      </c>
      <c r="B45" s="1" t="n">
        <v>43629</v>
      </c>
      <c r="C45" s="1" t="n">
        <v>45475</v>
      </c>
      <c r="D45" t="inlineStr">
        <is>
          <t>DALARNAS LÄN</t>
        </is>
      </c>
      <c r="E45" t="inlineStr">
        <is>
          <t>MORA</t>
        </is>
      </c>
      <c r="G45" t="n">
        <v>1.2</v>
      </c>
      <c r="H45" t="n">
        <v>0</v>
      </c>
      <c r="I45" t="n">
        <v>0</v>
      </c>
      <c r="J45" t="n">
        <v>0</v>
      </c>
      <c r="K45" t="n">
        <v>0</v>
      </c>
      <c r="L45" t="n">
        <v>0</v>
      </c>
      <c r="M45" t="n">
        <v>0</v>
      </c>
      <c r="N45" t="n">
        <v>0</v>
      </c>
      <c r="O45" t="n">
        <v>0</v>
      </c>
      <c r="P45" t="n">
        <v>0</v>
      </c>
      <c r="Q45" t="n">
        <v>0</v>
      </c>
      <c r="R45" s="2" t="inlineStr"/>
    </row>
    <row r="46" ht="15" customHeight="1">
      <c r="A46" t="inlineStr">
        <is>
          <t>A 30487-2019</t>
        </is>
      </c>
      <c r="B46" s="1" t="n">
        <v>43635</v>
      </c>
      <c r="C46" s="1" t="n">
        <v>45475</v>
      </c>
      <c r="D46" t="inlineStr">
        <is>
          <t>DALARNAS LÄN</t>
        </is>
      </c>
      <c r="E46" t="inlineStr">
        <is>
          <t>MORA</t>
        </is>
      </c>
      <c r="G46" t="n">
        <v>11.5</v>
      </c>
      <c r="H46" t="n">
        <v>0</v>
      </c>
      <c r="I46" t="n">
        <v>0</v>
      </c>
      <c r="J46" t="n">
        <v>0</v>
      </c>
      <c r="K46" t="n">
        <v>0</v>
      </c>
      <c r="L46" t="n">
        <v>0</v>
      </c>
      <c r="M46" t="n">
        <v>0</v>
      </c>
      <c r="N46" t="n">
        <v>0</v>
      </c>
      <c r="O46" t="n">
        <v>0</v>
      </c>
      <c r="P46" t="n">
        <v>0</v>
      </c>
      <c r="Q46" t="n">
        <v>0</v>
      </c>
      <c r="R46" s="2" t="inlineStr"/>
    </row>
    <row r="47" ht="15" customHeight="1">
      <c r="A47" t="inlineStr">
        <is>
          <t>A 30558-2019</t>
        </is>
      </c>
      <c r="B47" s="1" t="n">
        <v>43635</v>
      </c>
      <c r="C47" s="1" t="n">
        <v>45475</v>
      </c>
      <c r="D47" t="inlineStr">
        <is>
          <t>DALARNAS LÄN</t>
        </is>
      </c>
      <c r="E47" t="inlineStr">
        <is>
          <t>MORA</t>
        </is>
      </c>
      <c r="G47" t="n">
        <v>0.8</v>
      </c>
      <c r="H47" t="n">
        <v>0</v>
      </c>
      <c r="I47" t="n">
        <v>0</v>
      </c>
      <c r="J47" t="n">
        <v>0</v>
      </c>
      <c r="K47" t="n">
        <v>0</v>
      </c>
      <c r="L47" t="n">
        <v>0</v>
      </c>
      <c r="M47" t="n">
        <v>0</v>
      </c>
      <c r="N47" t="n">
        <v>0</v>
      </c>
      <c r="O47" t="n">
        <v>0</v>
      </c>
      <c r="P47" t="n">
        <v>0</v>
      </c>
      <c r="Q47" t="n">
        <v>0</v>
      </c>
      <c r="R47" s="2" t="inlineStr"/>
    </row>
    <row r="48" ht="15" customHeight="1">
      <c r="A48" t="inlineStr">
        <is>
          <t>A 30585-2019</t>
        </is>
      </c>
      <c r="B48" s="1" t="n">
        <v>43635</v>
      </c>
      <c r="C48" s="1" t="n">
        <v>45475</v>
      </c>
      <c r="D48" t="inlineStr">
        <is>
          <t>DALARNAS LÄN</t>
        </is>
      </c>
      <c r="E48" t="inlineStr">
        <is>
          <t>MORA</t>
        </is>
      </c>
      <c r="G48" t="n">
        <v>1.2</v>
      </c>
      <c r="H48" t="n">
        <v>0</v>
      </c>
      <c r="I48" t="n">
        <v>0</v>
      </c>
      <c r="J48" t="n">
        <v>0</v>
      </c>
      <c r="K48" t="n">
        <v>0</v>
      </c>
      <c r="L48" t="n">
        <v>0</v>
      </c>
      <c r="M48" t="n">
        <v>0</v>
      </c>
      <c r="N48" t="n">
        <v>0</v>
      </c>
      <c r="O48" t="n">
        <v>0</v>
      </c>
      <c r="P48" t="n">
        <v>0</v>
      </c>
      <c r="Q48" t="n">
        <v>0</v>
      </c>
      <c r="R48" s="2" t="inlineStr"/>
    </row>
    <row r="49" ht="15" customHeight="1">
      <c r="A49" t="inlineStr">
        <is>
          <t>A 30665-2019</t>
        </is>
      </c>
      <c r="B49" s="1" t="n">
        <v>43636</v>
      </c>
      <c r="C49" s="1" t="n">
        <v>45475</v>
      </c>
      <c r="D49" t="inlineStr">
        <is>
          <t>DALARNAS LÄN</t>
        </is>
      </c>
      <c r="E49" t="inlineStr">
        <is>
          <t>MORA</t>
        </is>
      </c>
      <c r="F49" t="inlineStr">
        <is>
          <t>Kyrkan</t>
        </is>
      </c>
      <c r="G49" t="n">
        <v>1.3</v>
      </c>
      <c r="H49" t="n">
        <v>0</v>
      </c>
      <c r="I49" t="n">
        <v>0</v>
      </c>
      <c r="J49" t="n">
        <v>0</v>
      </c>
      <c r="K49" t="n">
        <v>0</v>
      </c>
      <c r="L49" t="n">
        <v>0</v>
      </c>
      <c r="M49" t="n">
        <v>0</v>
      </c>
      <c r="N49" t="n">
        <v>0</v>
      </c>
      <c r="O49" t="n">
        <v>0</v>
      </c>
      <c r="P49" t="n">
        <v>0</v>
      </c>
      <c r="Q49" t="n">
        <v>0</v>
      </c>
      <c r="R49" s="2" t="inlineStr"/>
    </row>
    <row r="50" ht="15" customHeight="1">
      <c r="A50" t="inlineStr">
        <is>
          <t>A 30674-2019</t>
        </is>
      </c>
      <c r="B50" s="1" t="n">
        <v>43636</v>
      </c>
      <c r="C50" s="1" t="n">
        <v>45475</v>
      </c>
      <c r="D50" t="inlineStr">
        <is>
          <t>DALARNAS LÄN</t>
        </is>
      </c>
      <c r="E50" t="inlineStr">
        <is>
          <t>MORA</t>
        </is>
      </c>
      <c r="F50" t="inlineStr">
        <is>
          <t>Kyrkan</t>
        </is>
      </c>
      <c r="G50" t="n">
        <v>1.4</v>
      </c>
      <c r="H50" t="n">
        <v>0</v>
      </c>
      <c r="I50" t="n">
        <v>0</v>
      </c>
      <c r="J50" t="n">
        <v>0</v>
      </c>
      <c r="K50" t="n">
        <v>0</v>
      </c>
      <c r="L50" t="n">
        <v>0</v>
      </c>
      <c r="M50" t="n">
        <v>0</v>
      </c>
      <c r="N50" t="n">
        <v>0</v>
      </c>
      <c r="O50" t="n">
        <v>0</v>
      </c>
      <c r="P50" t="n">
        <v>0</v>
      </c>
      <c r="Q50" t="n">
        <v>0</v>
      </c>
      <c r="R50" s="2" t="inlineStr"/>
    </row>
    <row r="51" ht="15" customHeight="1">
      <c r="A51" t="inlineStr">
        <is>
          <t>A 31007-2019</t>
        </is>
      </c>
      <c r="B51" s="1" t="n">
        <v>43640</v>
      </c>
      <c r="C51" s="1" t="n">
        <v>45475</v>
      </c>
      <c r="D51" t="inlineStr">
        <is>
          <t>DALARNAS LÄN</t>
        </is>
      </c>
      <c r="E51" t="inlineStr">
        <is>
          <t>MORA</t>
        </is>
      </c>
      <c r="G51" t="n">
        <v>15.2</v>
      </c>
      <c r="H51" t="n">
        <v>0</v>
      </c>
      <c r="I51" t="n">
        <v>0</v>
      </c>
      <c r="J51" t="n">
        <v>0</v>
      </c>
      <c r="K51" t="n">
        <v>0</v>
      </c>
      <c r="L51" t="n">
        <v>0</v>
      </c>
      <c r="M51" t="n">
        <v>0</v>
      </c>
      <c r="N51" t="n">
        <v>0</v>
      </c>
      <c r="O51" t="n">
        <v>0</v>
      </c>
      <c r="P51" t="n">
        <v>0</v>
      </c>
      <c r="Q51" t="n">
        <v>0</v>
      </c>
      <c r="R51" s="2" t="inlineStr"/>
    </row>
    <row r="52" ht="15" customHeight="1">
      <c r="A52" t="inlineStr">
        <is>
          <t>A 31786-2019</t>
        </is>
      </c>
      <c r="B52" s="1" t="n">
        <v>43642</v>
      </c>
      <c r="C52" s="1" t="n">
        <v>45475</v>
      </c>
      <c r="D52" t="inlineStr">
        <is>
          <t>DALARNAS LÄN</t>
        </is>
      </c>
      <c r="E52" t="inlineStr">
        <is>
          <t>MORA</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32085-2019</t>
        </is>
      </c>
      <c r="B53" s="1" t="n">
        <v>43643</v>
      </c>
      <c r="C53" s="1" t="n">
        <v>45475</v>
      </c>
      <c r="D53" t="inlineStr">
        <is>
          <t>DALARNAS LÄN</t>
        </is>
      </c>
      <c r="E53" t="inlineStr">
        <is>
          <t>MORA</t>
        </is>
      </c>
      <c r="G53" t="n">
        <v>4.6</v>
      </c>
      <c r="H53" t="n">
        <v>0</v>
      </c>
      <c r="I53" t="n">
        <v>0</v>
      </c>
      <c r="J53" t="n">
        <v>0</v>
      </c>
      <c r="K53" t="n">
        <v>0</v>
      </c>
      <c r="L53" t="n">
        <v>0</v>
      </c>
      <c r="M53" t="n">
        <v>0</v>
      </c>
      <c r="N53" t="n">
        <v>0</v>
      </c>
      <c r="O53" t="n">
        <v>0</v>
      </c>
      <c r="P53" t="n">
        <v>0</v>
      </c>
      <c r="Q53" t="n">
        <v>0</v>
      </c>
      <c r="R53" s="2" t="inlineStr"/>
    </row>
    <row r="54" ht="15" customHeight="1">
      <c r="A54" t="inlineStr">
        <is>
          <t>A 33184-2019</t>
        </is>
      </c>
      <c r="B54" s="1" t="n">
        <v>43649</v>
      </c>
      <c r="C54" s="1" t="n">
        <v>45475</v>
      </c>
      <c r="D54" t="inlineStr">
        <is>
          <t>DALARNAS LÄN</t>
        </is>
      </c>
      <c r="E54" t="inlineStr">
        <is>
          <t>MORA</t>
        </is>
      </c>
      <c r="G54" t="n">
        <v>8.1</v>
      </c>
      <c r="H54" t="n">
        <v>0</v>
      </c>
      <c r="I54" t="n">
        <v>0</v>
      </c>
      <c r="J54" t="n">
        <v>0</v>
      </c>
      <c r="K54" t="n">
        <v>0</v>
      </c>
      <c r="L54" t="n">
        <v>0</v>
      </c>
      <c r="M54" t="n">
        <v>0</v>
      </c>
      <c r="N54" t="n">
        <v>0</v>
      </c>
      <c r="O54" t="n">
        <v>0</v>
      </c>
      <c r="P54" t="n">
        <v>0</v>
      </c>
      <c r="Q54" t="n">
        <v>0</v>
      </c>
      <c r="R54" s="2" t="inlineStr"/>
    </row>
    <row r="55" ht="15" customHeight="1">
      <c r="A55" t="inlineStr">
        <is>
          <t>A 33187-2019</t>
        </is>
      </c>
      <c r="B55" s="1" t="n">
        <v>43649</v>
      </c>
      <c r="C55" s="1" t="n">
        <v>45475</v>
      </c>
      <c r="D55" t="inlineStr">
        <is>
          <t>DALARNAS LÄN</t>
        </is>
      </c>
      <c r="E55" t="inlineStr">
        <is>
          <t>MORA</t>
        </is>
      </c>
      <c r="G55" t="n">
        <v>7.1</v>
      </c>
      <c r="H55" t="n">
        <v>0</v>
      </c>
      <c r="I55" t="n">
        <v>0</v>
      </c>
      <c r="J55" t="n">
        <v>0</v>
      </c>
      <c r="K55" t="n">
        <v>0</v>
      </c>
      <c r="L55" t="n">
        <v>0</v>
      </c>
      <c r="M55" t="n">
        <v>0</v>
      </c>
      <c r="N55" t="n">
        <v>0</v>
      </c>
      <c r="O55" t="n">
        <v>0</v>
      </c>
      <c r="P55" t="n">
        <v>0</v>
      </c>
      <c r="Q55" t="n">
        <v>0</v>
      </c>
      <c r="R55" s="2" t="inlineStr"/>
    </row>
    <row r="56" ht="15" customHeight="1">
      <c r="A56" t="inlineStr">
        <is>
          <t>A 33188-2019</t>
        </is>
      </c>
      <c r="B56" s="1" t="n">
        <v>43649</v>
      </c>
      <c r="C56" s="1" t="n">
        <v>45475</v>
      </c>
      <c r="D56" t="inlineStr">
        <is>
          <t>DALARNAS LÄN</t>
        </is>
      </c>
      <c r="E56" t="inlineStr">
        <is>
          <t>MORA</t>
        </is>
      </c>
      <c r="G56" t="n">
        <v>3.9</v>
      </c>
      <c r="H56" t="n">
        <v>0</v>
      </c>
      <c r="I56" t="n">
        <v>0</v>
      </c>
      <c r="J56" t="n">
        <v>0</v>
      </c>
      <c r="K56" t="n">
        <v>0</v>
      </c>
      <c r="L56" t="n">
        <v>0</v>
      </c>
      <c r="M56" t="n">
        <v>0</v>
      </c>
      <c r="N56" t="n">
        <v>0</v>
      </c>
      <c r="O56" t="n">
        <v>0</v>
      </c>
      <c r="P56" t="n">
        <v>0</v>
      </c>
      <c r="Q56" t="n">
        <v>0</v>
      </c>
      <c r="R56" s="2" t="inlineStr"/>
    </row>
    <row r="57" ht="15" customHeight="1">
      <c r="A57" t="inlineStr">
        <is>
          <t>A 33183-2019</t>
        </is>
      </c>
      <c r="B57" s="1" t="n">
        <v>43649</v>
      </c>
      <c r="C57" s="1" t="n">
        <v>45475</v>
      </c>
      <c r="D57" t="inlineStr">
        <is>
          <t>DALARNAS LÄN</t>
        </is>
      </c>
      <c r="E57" t="inlineStr">
        <is>
          <t>MORA</t>
        </is>
      </c>
      <c r="G57" t="n">
        <v>20.1</v>
      </c>
      <c r="H57" t="n">
        <v>0</v>
      </c>
      <c r="I57" t="n">
        <v>0</v>
      </c>
      <c r="J57" t="n">
        <v>0</v>
      </c>
      <c r="K57" t="n">
        <v>0</v>
      </c>
      <c r="L57" t="n">
        <v>0</v>
      </c>
      <c r="M57" t="n">
        <v>0</v>
      </c>
      <c r="N57" t="n">
        <v>0</v>
      </c>
      <c r="O57" t="n">
        <v>0</v>
      </c>
      <c r="P57" t="n">
        <v>0</v>
      </c>
      <c r="Q57" t="n">
        <v>0</v>
      </c>
      <c r="R57" s="2" t="inlineStr"/>
    </row>
    <row r="58" ht="15" customHeight="1">
      <c r="A58" t="inlineStr">
        <is>
          <t>A 33318-2019</t>
        </is>
      </c>
      <c r="B58" s="1" t="n">
        <v>43650</v>
      </c>
      <c r="C58" s="1" t="n">
        <v>45475</v>
      </c>
      <c r="D58" t="inlineStr">
        <is>
          <t>DALARNAS LÄN</t>
        </is>
      </c>
      <c r="E58" t="inlineStr">
        <is>
          <t>MORA</t>
        </is>
      </c>
      <c r="G58" t="n">
        <v>11.8</v>
      </c>
      <c r="H58" t="n">
        <v>0</v>
      </c>
      <c r="I58" t="n">
        <v>0</v>
      </c>
      <c r="J58" t="n">
        <v>0</v>
      </c>
      <c r="K58" t="n">
        <v>0</v>
      </c>
      <c r="L58" t="n">
        <v>0</v>
      </c>
      <c r="M58" t="n">
        <v>0</v>
      </c>
      <c r="N58" t="n">
        <v>0</v>
      </c>
      <c r="O58" t="n">
        <v>0</v>
      </c>
      <c r="P58" t="n">
        <v>0</v>
      </c>
      <c r="Q58" t="n">
        <v>0</v>
      </c>
      <c r="R58" s="2" t="inlineStr"/>
    </row>
    <row r="59" ht="15" customHeight="1">
      <c r="A59" t="inlineStr">
        <is>
          <t>A 35360-2019</t>
        </is>
      </c>
      <c r="B59" s="1" t="n">
        <v>43651</v>
      </c>
      <c r="C59" s="1" t="n">
        <v>45475</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34330-2019</t>
        </is>
      </c>
      <c r="B60" s="1" t="n">
        <v>43656</v>
      </c>
      <c r="C60" s="1" t="n">
        <v>45475</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36275-2019</t>
        </is>
      </c>
      <c r="B61" s="1" t="n">
        <v>43661</v>
      </c>
      <c r="C61" s="1" t="n">
        <v>45475</v>
      </c>
      <c r="D61" t="inlineStr">
        <is>
          <t>DALARNAS LÄN</t>
        </is>
      </c>
      <c r="E61" t="inlineStr">
        <is>
          <t>MORA</t>
        </is>
      </c>
      <c r="G61" t="n">
        <v>7.3</v>
      </c>
      <c r="H61" t="n">
        <v>0</v>
      </c>
      <c r="I61" t="n">
        <v>0</v>
      </c>
      <c r="J61" t="n">
        <v>0</v>
      </c>
      <c r="K61" t="n">
        <v>0</v>
      </c>
      <c r="L61" t="n">
        <v>0</v>
      </c>
      <c r="M61" t="n">
        <v>0</v>
      </c>
      <c r="N61" t="n">
        <v>0</v>
      </c>
      <c r="O61" t="n">
        <v>0</v>
      </c>
      <c r="P61" t="n">
        <v>0</v>
      </c>
      <c r="Q61" t="n">
        <v>0</v>
      </c>
      <c r="R61" s="2" t="inlineStr"/>
    </row>
    <row r="62" ht="15" customHeight="1">
      <c r="A62" t="inlineStr">
        <is>
          <t>A 36440-2019</t>
        </is>
      </c>
      <c r="B62" s="1" t="n">
        <v>43664</v>
      </c>
      <c r="C62" s="1" t="n">
        <v>45475</v>
      </c>
      <c r="D62" t="inlineStr">
        <is>
          <t>DALARNAS LÄN</t>
        </is>
      </c>
      <c r="E62" t="inlineStr">
        <is>
          <t>MORA</t>
        </is>
      </c>
      <c r="G62" t="n">
        <v>0.7</v>
      </c>
      <c r="H62" t="n">
        <v>0</v>
      </c>
      <c r="I62" t="n">
        <v>0</v>
      </c>
      <c r="J62" t="n">
        <v>0</v>
      </c>
      <c r="K62" t="n">
        <v>0</v>
      </c>
      <c r="L62" t="n">
        <v>0</v>
      </c>
      <c r="M62" t="n">
        <v>0</v>
      </c>
      <c r="N62" t="n">
        <v>0</v>
      </c>
      <c r="O62" t="n">
        <v>0</v>
      </c>
      <c r="P62" t="n">
        <v>0</v>
      </c>
      <c r="Q62" t="n">
        <v>0</v>
      </c>
      <c r="R62" s="2" t="inlineStr"/>
    </row>
    <row r="63" ht="15" customHeight="1">
      <c r="A63" t="inlineStr">
        <is>
          <t>A 37801-2019</t>
        </is>
      </c>
      <c r="B63" s="1" t="n">
        <v>43675</v>
      </c>
      <c r="C63" s="1" t="n">
        <v>45475</v>
      </c>
      <c r="D63" t="inlineStr">
        <is>
          <t>DALARNAS LÄN</t>
        </is>
      </c>
      <c r="E63" t="inlineStr">
        <is>
          <t>MORA</t>
        </is>
      </c>
      <c r="F63" t="inlineStr">
        <is>
          <t>Allmännings- och besparingsskogar</t>
        </is>
      </c>
      <c r="G63" t="n">
        <v>6.2</v>
      </c>
      <c r="H63" t="n">
        <v>0</v>
      </c>
      <c r="I63" t="n">
        <v>0</v>
      </c>
      <c r="J63" t="n">
        <v>0</v>
      </c>
      <c r="K63" t="n">
        <v>0</v>
      </c>
      <c r="L63" t="n">
        <v>0</v>
      </c>
      <c r="M63" t="n">
        <v>0</v>
      </c>
      <c r="N63" t="n">
        <v>0</v>
      </c>
      <c r="O63" t="n">
        <v>0</v>
      </c>
      <c r="P63" t="n">
        <v>0</v>
      </c>
      <c r="Q63" t="n">
        <v>0</v>
      </c>
      <c r="R63" s="2" t="inlineStr"/>
    </row>
    <row r="64" ht="15" customHeight="1">
      <c r="A64" t="inlineStr">
        <is>
          <t>A 37816-2019</t>
        </is>
      </c>
      <c r="B64" s="1" t="n">
        <v>43675</v>
      </c>
      <c r="C64" s="1" t="n">
        <v>45475</v>
      </c>
      <c r="D64" t="inlineStr">
        <is>
          <t>DALARNAS LÄN</t>
        </is>
      </c>
      <c r="E64" t="inlineStr">
        <is>
          <t>MORA</t>
        </is>
      </c>
      <c r="F64" t="inlineStr">
        <is>
          <t>Allmännings- och besparingsskogar</t>
        </is>
      </c>
      <c r="G64" t="n">
        <v>29.9</v>
      </c>
      <c r="H64" t="n">
        <v>0</v>
      </c>
      <c r="I64" t="n">
        <v>0</v>
      </c>
      <c r="J64" t="n">
        <v>0</v>
      </c>
      <c r="K64" t="n">
        <v>0</v>
      </c>
      <c r="L64" t="n">
        <v>0</v>
      </c>
      <c r="M64" t="n">
        <v>0</v>
      </c>
      <c r="N64" t="n">
        <v>0</v>
      </c>
      <c r="O64" t="n">
        <v>0</v>
      </c>
      <c r="P64" t="n">
        <v>0</v>
      </c>
      <c r="Q64" t="n">
        <v>0</v>
      </c>
      <c r="R64" s="2" t="inlineStr"/>
    </row>
    <row r="65" ht="15" customHeight="1">
      <c r="A65" t="inlineStr">
        <is>
          <t>A 36991-2019</t>
        </is>
      </c>
      <c r="B65" s="1" t="n">
        <v>43676</v>
      </c>
      <c r="C65" s="1" t="n">
        <v>45475</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38821-2019</t>
        </is>
      </c>
      <c r="B66" s="1" t="n">
        <v>43682</v>
      </c>
      <c r="C66" s="1" t="n">
        <v>45475</v>
      </c>
      <c r="D66" t="inlineStr">
        <is>
          <t>DALARNAS LÄN</t>
        </is>
      </c>
      <c r="E66" t="inlineStr">
        <is>
          <t>MORA</t>
        </is>
      </c>
      <c r="F66" t="inlineStr">
        <is>
          <t>Allmännings- och besparingsskogar</t>
        </is>
      </c>
      <c r="G66" t="n">
        <v>7.1</v>
      </c>
      <c r="H66" t="n">
        <v>0</v>
      </c>
      <c r="I66" t="n">
        <v>0</v>
      </c>
      <c r="J66" t="n">
        <v>0</v>
      </c>
      <c r="K66" t="n">
        <v>0</v>
      </c>
      <c r="L66" t="n">
        <v>0</v>
      </c>
      <c r="M66" t="n">
        <v>0</v>
      </c>
      <c r="N66" t="n">
        <v>0</v>
      </c>
      <c r="O66" t="n">
        <v>0</v>
      </c>
      <c r="P66" t="n">
        <v>0</v>
      </c>
      <c r="Q66" t="n">
        <v>0</v>
      </c>
      <c r="R66" s="2" t="inlineStr"/>
    </row>
    <row r="67" ht="15" customHeight="1">
      <c r="A67" t="inlineStr">
        <is>
          <t>A 38514-2019</t>
        </is>
      </c>
      <c r="B67" s="1" t="n">
        <v>43685</v>
      </c>
      <c r="C67" s="1" t="n">
        <v>45475</v>
      </c>
      <c r="D67" t="inlineStr">
        <is>
          <t>DALARNAS LÄN</t>
        </is>
      </c>
      <c r="E67" t="inlineStr">
        <is>
          <t>MORA</t>
        </is>
      </c>
      <c r="F67" t="inlineStr">
        <is>
          <t>Bergvik skog öst AB</t>
        </is>
      </c>
      <c r="G67" t="n">
        <v>7.4</v>
      </c>
      <c r="H67" t="n">
        <v>0</v>
      </c>
      <c r="I67" t="n">
        <v>0</v>
      </c>
      <c r="J67" t="n">
        <v>0</v>
      </c>
      <c r="K67" t="n">
        <v>0</v>
      </c>
      <c r="L67" t="n">
        <v>0</v>
      </c>
      <c r="M67" t="n">
        <v>0</v>
      </c>
      <c r="N67" t="n">
        <v>0</v>
      </c>
      <c r="O67" t="n">
        <v>0</v>
      </c>
      <c r="P67" t="n">
        <v>0</v>
      </c>
      <c r="Q67" t="n">
        <v>0</v>
      </c>
      <c r="R67" s="2" t="inlineStr"/>
    </row>
    <row r="68" ht="15" customHeight="1">
      <c r="A68" t="inlineStr">
        <is>
          <t>A 39809-2019</t>
        </is>
      </c>
      <c r="B68" s="1" t="n">
        <v>43692</v>
      </c>
      <c r="C68" s="1" t="n">
        <v>45475</v>
      </c>
      <c r="D68" t="inlineStr">
        <is>
          <t>DALARNAS LÄN</t>
        </is>
      </c>
      <c r="E68" t="inlineStr">
        <is>
          <t>MORA</t>
        </is>
      </c>
      <c r="F68" t="inlineStr">
        <is>
          <t>Bergvik skog öst AB</t>
        </is>
      </c>
      <c r="G68" t="n">
        <v>1.4</v>
      </c>
      <c r="H68" t="n">
        <v>0</v>
      </c>
      <c r="I68" t="n">
        <v>0</v>
      </c>
      <c r="J68" t="n">
        <v>0</v>
      </c>
      <c r="K68" t="n">
        <v>0</v>
      </c>
      <c r="L68" t="n">
        <v>0</v>
      </c>
      <c r="M68" t="n">
        <v>0</v>
      </c>
      <c r="N68" t="n">
        <v>0</v>
      </c>
      <c r="O68" t="n">
        <v>0</v>
      </c>
      <c r="P68" t="n">
        <v>0</v>
      </c>
      <c r="Q68" t="n">
        <v>0</v>
      </c>
      <c r="R68" s="2" t="inlineStr"/>
    </row>
    <row r="69" ht="15" customHeight="1">
      <c r="A69" t="inlineStr">
        <is>
          <t>A 39811-2019</t>
        </is>
      </c>
      <c r="B69" s="1" t="n">
        <v>43692</v>
      </c>
      <c r="C69" s="1" t="n">
        <v>45475</v>
      </c>
      <c r="D69" t="inlineStr">
        <is>
          <t>DALARNAS LÄN</t>
        </is>
      </c>
      <c r="E69" t="inlineStr">
        <is>
          <t>MORA</t>
        </is>
      </c>
      <c r="F69" t="inlineStr">
        <is>
          <t>Bergvik skog öst AB</t>
        </is>
      </c>
      <c r="G69" t="n">
        <v>0.4</v>
      </c>
      <c r="H69" t="n">
        <v>0</v>
      </c>
      <c r="I69" t="n">
        <v>0</v>
      </c>
      <c r="J69" t="n">
        <v>0</v>
      </c>
      <c r="K69" t="n">
        <v>0</v>
      </c>
      <c r="L69" t="n">
        <v>0</v>
      </c>
      <c r="M69" t="n">
        <v>0</v>
      </c>
      <c r="N69" t="n">
        <v>0</v>
      </c>
      <c r="O69" t="n">
        <v>0</v>
      </c>
      <c r="P69" t="n">
        <v>0</v>
      </c>
      <c r="Q69" t="n">
        <v>0</v>
      </c>
      <c r="R69" s="2" t="inlineStr"/>
    </row>
    <row r="70" ht="15" customHeight="1">
      <c r="A70" t="inlineStr">
        <is>
          <t>A 40910-2019</t>
        </is>
      </c>
      <c r="B70" s="1" t="n">
        <v>43693</v>
      </c>
      <c r="C70" s="1" t="n">
        <v>45475</v>
      </c>
      <c r="D70" t="inlineStr">
        <is>
          <t>DALARNAS LÄN</t>
        </is>
      </c>
      <c r="E70" t="inlineStr">
        <is>
          <t>MORA</t>
        </is>
      </c>
      <c r="G70" t="n">
        <v>4.2</v>
      </c>
      <c r="H70" t="n">
        <v>0</v>
      </c>
      <c r="I70" t="n">
        <v>0</v>
      </c>
      <c r="J70" t="n">
        <v>0</v>
      </c>
      <c r="K70" t="n">
        <v>0</v>
      </c>
      <c r="L70" t="n">
        <v>0</v>
      </c>
      <c r="M70" t="n">
        <v>0</v>
      </c>
      <c r="N70" t="n">
        <v>0</v>
      </c>
      <c r="O70" t="n">
        <v>0</v>
      </c>
      <c r="P70" t="n">
        <v>0</v>
      </c>
      <c r="Q70" t="n">
        <v>0</v>
      </c>
      <c r="R70" s="2" t="inlineStr"/>
    </row>
    <row r="71" ht="15" customHeight="1">
      <c r="A71" t="inlineStr">
        <is>
          <t>A 42530-2019</t>
        </is>
      </c>
      <c r="B71" s="1" t="n">
        <v>43698</v>
      </c>
      <c r="C71" s="1" t="n">
        <v>45475</v>
      </c>
      <c r="D71" t="inlineStr">
        <is>
          <t>DALARNAS LÄN</t>
        </is>
      </c>
      <c r="E71" t="inlineStr">
        <is>
          <t>MORA</t>
        </is>
      </c>
      <c r="G71" t="n">
        <v>4.7</v>
      </c>
      <c r="H71" t="n">
        <v>0</v>
      </c>
      <c r="I71" t="n">
        <v>0</v>
      </c>
      <c r="J71" t="n">
        <v>0</v>
      </c>
      <c r="K71" t="n">
        <v>0</v>
      </c>
      <c r="L71" t="n">
        <v>0</v>
      </c>
      <c r="M71" t="n">
        <v>0</v>
      </c>
      <c r="N71" t="n">
        <v>0</v>
      </c>
      <c r="O71" t="n">
        <v>0</v>
      </c>
      <c r="P71" t="n">
        <v>0</v>
      </c>
      <c r="Q71" t="n">
        <v>0</v>
      </c>
      <c r="R71" s="2" t="inlineStr"/>
    </row>
    <row r="72" ht="15" customHeight="1">
      <c r="A72" t="inlineStr">
        <is>
          <t>A 43396-2019</t>
        </is>
      </c>
      <c r="B72" s="1" t="n">
        <v>43703</v>
      </c>
      <c r="C72" s="1" t="n">
        <v>45475</v>
      </c>
      <c r="D72" t="inlineStr">
        <is>
          <t>DALARNAS LÄN</t>
        </is>
      </c>
      <c r="E72" t="inlineStr">
        <is>
          <t>MORA</t>
        </is>
      </c>
      <c r="G72" t="n">
        <v>1.1</v>
      </c>
      <c r="H72" t="n">
        <v>0</v>
      </c>
      <c r="I72" t="n">
        <v>0</v>
      </c>
      <c r="J72" t="n">
        <v>0</v>
      </c>
      <c r="K72" t="n">
        <v>0</v>
      </c>
      <c r="L72" t="n">
        <v>0</v>
      </c>
      <c r="M72" t="n">
        <v>0</v>
      </c>
      <c r="N72" t="n">
        <v>0</v>
      </c>
      <c r="O72" t="n">
        <v>0</v>
      </c>
      <c r="P72" t="n">
        <v>0</v>
      </c>
      <c r="Q72" t="n">
        <v>0</v>
      </c>
      <c r="R72" s="2" t="inlineStr"/>
    </row>
    <row r="73" ht="15" customHeight="1">
      <c r="A73" t="inlineStr">
        <is>
          <t>A 43744-2019</t>
        </is>
      </c>
      <c r="B73" s="1" t="n">
        <v>43707</v>
      </c>
      <c r="C73" s="1" t="n">
        <v>45475</v>
      </c>
      <c r="D73" t="inlineStr">
        <is>
          <t>DALARNAS LÄN</t>
        </is>
      </c>
      <c r="E73" t="inlineStr">
        <is>
          <t>MORA</t>
        </is>
      </c>
      <c r="G73" t="n">
        <v>1.3</v>
      </c>
      <c r="H73" t="n">
        <v>0</v>
      </c>
      <c r="I73" t="n">
        <v>0</v>
      </c>
      <c r="J73" t="n">
        <v>0</v>
      </c>
      <c r="K73" t="n">
        <v>0</v>
      </c>
      <c r="L73" t="n">
        <v>0</v>
      </c>
      <c r="M73" t="n">
        <v>0</v>
      </c>
      <c r="N73" t="n">
        <v>0</v>
      </c>
      <c r="O73" t="n">
        <v>0</v>
      </c>
      <c r="P73" t="n">
        <v>0</v>
      </c>
      <c r="Q73" t="n">
        <v>0</v>
      </c>
      <c r="R73" s="2" t="inlineStr"/>
    </row>
    <row r="74" ht="15" customHeight="1">
      <c r="A74" t="inlineStr">
        <is>
          <t>A 43718-2019</t>
        </is>
      </c>
      <c r="B74" s="1" t="n">
        <v>43707</v>
      </c>
      <c r="C74" s="1" t="n">
        <v>45475</v>
      </c>
      <c r="D74" t="inlineStr">
        <is>
          <t>DALARNAS LÄN</t>
        </is>
      </c>
      <c r="E74" t="inlineStr">
        <is>
          <t>MORA</t>
        </is>
      </c>
      <c r="G74" t="n">
        <v>10.7</v>
      </c>
      <c r="H74" t="n">
        <v>0</v>
      </c>
      <c r="I74" t="n">
        <v>0</v>
      </c>
      <c r="J74" t="n">
        <v>0</v>
      </c>
      <c r="K74" t="n">
        <v>0</v>
      </c>
      <c r="L74" t="n">
        <v>0</v>
      </c>
      <c r="M74" t="n">
        <v>0</v>
      </c>
      <c r="N74" t="n">
        <v>0</v>
      </c>
      <c r="O74" t="n">
        <v>0</v>
      </c>
      <c r="P74" t="n">
        <v>0</v>
      </c>
      <c r="Q74" t="n">
        <v>0</v>
      </c>
      <c r="R74" s="2" t="inlineStr"/>
    </row>
    <row r="75" ht="15" customHeight="1">
      <c r="A75" t="inlineStr">
        <is>
          <t>A 44759-2019</t>
        </is>
      </c>
      <c r="B75" s="1" t="n">
        <v>43707</v>
      </c>
      <c r="C75" s="1" t="n">
        <v>45475</v>
      </c>
      <c r="D75" t="inlineStr">
        <is>
          <t>DALARNAS LÄN</t>
        </is>
      </c>
      <c r="E75" t="inlineStr">
        <is>
          <t>MORA</t>
        </is>
      </c>
      <c r="F75" t="inlineStr">
        <is>
          <t>Allmännings- och besparingsskogar</t>
        </is>
      </c>
      <c r="G75" t="n">
        <v>6.8</v>
      </c>
      <c r="H75" t="n">
        <v>0</v>
      </c>
      <c r="I75" t="n">
        <v>0</v>
      </c>
      <c r="J75" t="n">
        <v>0</v>
      </c>
      <c r="K75" t="n">
        <v>0</v>
      </c>
      <c r="L75" t="n">
        <v>0</v>
      </c>
      <c r="M75" t="n">
        <v>0</v>
      </c>
      <c r="N75" t="n">
        <v>0</v>
      </c>
      <c r="O75" t="n">
        <v>0</v>
      </c>
      <c r="P75" t="n">
        <v>0</v>
      </c>
      <c r="Q75" t="n">
        <v>0</v>
      </c>
      <c r="R75" s="2" t="inlineStr"/>
    </row>
    <row r="76" ht="15" customHeight="1">
      <c r="A76" t="inlineStr">
        <is>
          <t>A 44766-2019</t>
        </is>
      </c>
      <c r="B76" s="1" t="n">
        <v>43707</v>
      </c>
      <c r="C76" s="1" t="n">
        <v>45475</v>
      </c>
      <c r="D76" t="inlineStr">
        <is>
          <t>DALARNAS LÄN</t>
        </is>
      </c>
      <c r="E76" t="inlineStr">
        <is>
          <t>MORA</t>
        </is>
      </c>
      <c r="F76" t="inlineStr">
        <is>
          <t>Allmännings- och besparingsskogar</t>
        </is>
      </c>
      <c r="G76" t="n">
        <v>32.2</v>
      </c>
      <c r="H76" t="n">
        <v>0</v>
      </c>
      <c r="I76" t="n">
        <v>0</v>
      </c>
      <c r="J76" t="n">
        <v>0</v>
      </c>
      <c r="K76" t="n">
        <v>0</v>
      </c>
      <c r="L76" t="n">
        <v>0</v>
      </c>
      <c r="M76" t="n">
        <v>0</v>
      </c>
      <c r="N76" t="n">
        <v>0</v>
      </c>
      <c r="O76" t="n">
        <v>0</v>
      </c>
      <c r="P76" t="n">
        <v>0</v>
      </c>
      <c r="Q76" t="n">
        <v>0</v>
      </c>
      <c r="R76" s="2" t="inlineStr"/>
    </row>
    <row r="77" ht="15" customHeight="1">
      <c r="A77" t="inlineStr">
        <is>
          <t>A 45989-2019</t>
        </is>
      </c>
      <c r="B77" s="1" t="n">
        <v>43718</v>
      </c>
      <c r="C77" s="1" t="n">
        <v>45475</v>
      </c>
      <c r="D77" t="inlineStr">
        <is>
          <t>DALARNAS LÄN</t>
        </is>
      </c>
      <c r="E77" t="inlineStr">
        <is>
          <t>MORA</t>
        </is>
      </c>
      <c r="G77" t="n">
        <v>12.9</v>
      </c>
      <c r="H77" t="n">
        <v>0</v>
      </c>
      <c r="I77" t="n">
        <v>0</v>
      </c>
      <c r="J77" t="n">
        <v>0</v>
      </c>
      <c r="K77" t="n">
        <v>0</v>
      </c>
      <c r="L77" t="n">
        <v>0</v>
      </c>
      <c r="M77" t="n">
        <v>0</v>
      </c>
      <c r="N77" t="n">
        <v>0</v>
      </c>
      <c r="O77" t="n">
        <v>0</v>
      </c>
      <c r="P77" t="n">
        <v>0</v>
      </c>
      <c r="Q77" t="n">
        <v>0</v>
      </c>
      <c r="R77" s="2" t="inlineStr"/>
    </row>
    <row r="78" ht="15" customHeight="1">
      <c r="A78" t="inlineStr">
        <is>
          <t>A 46119-2019</t>
        </is>
      </c>
      <c r="B78" s="1" t="n">
        <v>43718</v>
      </c>
      <c r="C78" s="1" t="n">
        <v>45475</v>
      </c>
      <c r="D78" t="inlineStr">
        <is>
          <t>DALARNAS LÄN</t>
        </is>
      </c>
      <c r="E78" t="inlineStr">
        <is>
          <t>MORA</t>
        </is>
      </c>
      <c r="G78" t="n">
        <v>3.2</v>
      </c>
      <c r="H78" t="n">
        <v>0</v>
      </c>
      <c r="I78" t="n">
        <v>0</v>
      </c>
      <c r="J78" t="n">
        <v>0</v>
      </c>
      <c r="K78" t="n">
        <v>0</v>
      </c>
      <c r="L78" t="n">
        <v>0</v>
      </c>
      <c r="M78" t="n">
        <v>0</v>
      </c>
      <c r="N78" t="n">
        <v>0</v>
      </c>
      <c r="O78" t="n">
        <v>0</v>
      </c>
      <c r="P78" t="n">
        <v>0</v>
      </c>
      <c r="Q78" t="n">
        <v>0</v>
      </c>
      <c r="R78" s="2" t="inlineStr"/>
    </row>
    <row r="79" ht="15" customHeight="1">
      <c r="A79" t="inlineStr">
        <is>
          <t>A 46171-2019</t>
        </is>
      </c>
      <c r="B79" s="1" t="n">
        <v>43718</v>
      </c>
      <c r="C79" s="1" t="n">
        <v>45475</v>
      </c>
      <c r="D79" t="inlineStr">
        <is>
          <t>DALARNAS LÄN</t>
        </is>
      </c>
      <c r="E79" t="inlineStr">
        <is>
          <t>MORA</t>
        </is>
      </c>
      <c r="G79" t="n">
        <v>6.1</v>
      </c>
      <c r="H79" t="n">
        <v>0</v>
      </c>
      <c r="I79" t="n">
        <v>0</v>
      </c>
      <c r="J79" t="n">
        <v>0</v>
      </c>
      <c r="K79" t="n">
        <v>0</v>
      </c>
      <c r="L79" t="n">
        <v>0</v>
      </c>
      <c r="M79" t="n">
        <v>0</v>
      </c>
      <c r="N79" t="n">
        <v>0</v>
      </c>
      <c r="O79" t="n">
        <v>0</v>
      </c>
      <c r="P79" t="n">
        <v>0</v>
      </c>
      <c r="Q79" t="n">
        <v>0</v>
      </c>
      <c r="R79" s="2" t="inlineStr"/>
    </row>
    <row r="80" ht="15" customHeight="1">
      <c r="A80" t="inlineStr">
        <is>
          <t>A 47713-2019</t>
        </is>
      </c>
      <c r="B80" s="1" t="n">
        <v>43724</v>
      </c>
      <c r="C80" s="1" t="n">
        <v>45475</v>
      </c>
      <c r="D80" t="inlineStr">
        <is>
          <t>DALARNAS LÄN</t>
        </is>
      </c>
      <c r="E80" t="inlineStr">
        <is>
          <t>MORA</t>
        </is>
      </c>
      <c r="G80" t="n">
        <v>11.4</v>
      </c>
      <c r="H80" t="n">
        <v>0</v>
      </c>
      <c r="I80" t="n">
        <v>0</v>
      </c>
      <c r="J80" t="n">
        <v>0</v>
      </c>
      <c r="K80" t="n">
        <v>0</v>
      </c>
      <c r="L80" t="n">
        <v>0</v>
      </c>
      <c r="M80" t="n">
        <v>0</v>
      </c>
      <c r="N80" t="n">
        <v>0</v>
      </c>
      <c r="O80" t="n">
        <v>0</v>
      </c>
      <c r="P80" t="n">
        <v>0</v>
      </c>
      <c r="Q80" t="n">
        <v>0</v>
      </c>
      <c r="R80" s="2" t="inlineStr"/>
    </row>
    <row r="81" ht="15" customHeight="1">
      <c r="A81" t="inlineStr">
        <is>
          <t>A 49193-2019</t>
        </is>
      </c>
      <c r="B81" s="1" t="n">
        <v>43724</v>
      </c>
      <c r="C81" s="1" t="n">
        <v>45475</v>
      </c>
      <c r="D81" t="inlineStr">
        <is>
          <t>DALARNAS LÄN</t>
        </is>
      </c>
      <c r="E81" t="inlineStr">
        <is>
          <t>MORA</t>
        </is>
      </c>
      <c r="G81" t="n">
        <v>4.3</v>
      </c>
      <c r="H81" t="n">
        <v>0</v>
      </c>
      <c r="I81" t="n">
        <v>0</v>
      </c>
      <c r="J81" t="n">
        <v>0</v>
      </c>
      <c r="K81" t="n">
        <v>0</v>
      </c>
      <c r="L81" t="n">
        <v>0</v>
      </c>
      <c r="M81" t="n">
        <v>0</v>
      </c>
      <c r="N81" t="n">
        <v>0</v>
      </c>
      <c r="O81" t="n">
        <v>0</v>
      </c>
      <c r="P81" t="n">
        <v>0</v>
      </c>
      <c r="Q81" t="n">
        <v>0</v>
      </c>
      <c r="R81" s="2" t="inlineStr"/>
    </row>
    <row r="82" ht="15" customHeight="1">
      <c r="A82" t="inlineStr">
        <is>
          <t>A 48445-2019</t>
        </is>
      </c>
      <c r="B82" s="1" t="n">
        <v>43727</v>
      </c>
      <c r="C82" s="1" t="n">
        <v>45475</v>
      </c>
      <c r="D82" t="inlineStr">
        <is>
          <t>DALARNAS LÄN</t>
        </is>
      </c>
      <c r="E82" t="inlineStr">
        <is>
          <t>MORA</t>
        </is>
      </c>
      <c r="G82" t="n">
        <v>2.8</v>
      </c>
      <c r="H82" t="n">
        <v>0</v>
      </c>
      <c r="I82" t="n">
        <v>0</v>
      </c>
      <c r="J82" t="n">
        <v>0</v>
      </c>
      <c r="K82" t="n">
        <v>0</v>
      </c>
      <c r="L82" t="n">
        <v>0</v>
      </c>
      <c r="M82" t="n">
        <v>0</v>
      </c>
      <c r="N82" t="n">
        <v>0</v>
      </c>
      <c r="O82" t="n">
        <v>0</v>
      </c>
      <c r="P82" t="n">
        <v>0</v>
      </c>
      <c r="Q82" t="n">
        <v>0</v>
      </c>
      <c r="R82" s="2" t="inlineStr"/>
    </row>
    <row r="83" ht="15" customHeight="1">
      <c r="A83" t="inlineStr">
        <is>
          <t>A 48460-2019</t>
        </is>
      </c>
      <c r="B83" s="1" t="n">
        <v>43727</v>
      </c>
      <c r="C83" s="1" t="n">
        <v>45475</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49051-2019</t>
        </is>
      </c>
      <c r="B84" s="1" t="n">
        <v>43731</v>
      </c>
      <c r="C84" s="1" t="n">
        <v>45475</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49290-2019</t>
        </is>
      </c>
      <c r="B85" s="1" t="n">
        <v>43731</v>
      </c>
      <c r="C85" s="1" t="n">
        <v>45475</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49765-2019</t>
        </is>
      </c>
      <c r="B86" s="1" t="n">
        <v>43733</v>
      </c>
      <c r="C86" s="1" t="n">
        <v>45475</v>
      </c>
      <c r="D86" t="inlineStr">
        <is>
          <t>DALARNAS LÄN</t>
        </is>
      </c>
      <c r="E86" t="inlineStr">
        <is>
          <t>MORA</t>
        </is>
      </c>
      <c r="F86" t="inlineStr">
        <is>
          <t>Bergvik skog väst AB</t>
        </is>
      </c>
      <c r="G86" t="n">
        <v>9.6</v>
      </c>
      <c r="H86" t="n">
        <v>0</v>
      </c>
      <c r="I86" t="n">
        <v>0</v>
      </c>
      <c r="J86" t="n">
        <v>0</v>
      </c>
      <c r="K86" t="n">
        <v>0</v>
      </c>
      <c r="L86" t="n">
        <v>0</v>
      </c>
      <c r="M86" t="n">
        <v>0</v>
      </c>
      <c r="N86" t="n">
        <v>0</v>
      </c>
      <c r="O86" t="n">
        <v>0</v>
      </c>
      <c r="P86" t="n">
        <v>0</v>
      </c>
      <c r="Q86" t="n">
        <v>0</v>
      </c>
      <c r="R86" s="2" t="inlineStr"/>
    </row>
    <row r="87" ht="15" customHeight="1">
      <c r="A87" t="inlineStr">
        <is>
          <t>A 52958-2019</t>
        </is>
      </c>
      <c r="B87" s="1" t="n">
        <v>43747</v>
      </c>
      <c r="C87" s="1" t="n">
        <v>45475</v>
      </c>
      <c r="D87" t="inlineStr">
        <is>
          <t>DALARNAS LÄN</t>
        </is>
      </c>
      <c r="E87" t="inlineStr">
        <is>
          <t>MORA</t>
        </is>
      </c>
      <c r="G87" t="n">
        <v>6.8</v>
      </c>
      <c r="H87" t="n">
        <v>0</v>
      </c>
      <c r="I87" t="n">
        <v>0</v>
      </c>
      <c r="J87" t="n">
        <v>0</v>
      </c>
      <c r="K87" t="n">
        <v>0</v>
      </c>
      <c r="L87" t="n">
        <v>0</v>
      </c>
      <c r="M87" t="n">
        <v>0</v>
      </c>
      <c r="N87" t="n">
        <v>0</v>
      </c>
      <c r="O87" t="n">
        <v>0</v>
      </c>
      <c r="P87" t="n">
        <v>0</v>
      </c>
      <c r="Q87" t="n">
        <v>0</v>
      </c>
      <c r="R87" s="2" t="inlineStr"/>
    </row>
    <row r="88" ht="15" customHeight="1">
      <c r="A88" t="inlineStr">
        <is>
          <t>A 53336-2019</t>
        </is>
      </c>
      <c r="B88" s="1" t="n">
        <v>43748</v>
      </c>
      <c r="C88" s="1" t="n">
        <v>45475</v>
      </c>
      <c r="D88" t="inlineStr">
        <is>
          <t>DALARNAS LÄN</t>
        </is>
      </c>
      <c r="E88" t="inlineStr">
        <is>
          <t>MORA</t>
        </is>
      </c>
      <c r="G88" t="n">
        <v>4.4</v>
      </c>
      <c r="H88" t="n">
        <v>0</v>
      </c>
      <c r="I88" t="n">
        <v>0</v>
      </c>
      <c r="J88" t="n">
        <v>0</v>
      </c>
      <c r="K88" t="n">
        <v>0</v>
      </c>
      <c r="L88" t="n">
        <v>0</v>
      </c>
      <c r="M88" t="n">
        <v>0</v>
      </c>
      <c r="N88" t="n">
        <v>0</v>
      </c>
      <c r="O88" t="n">
        <v>0</v>
      </c>
      <c r="P88" t="n">
        <v>0</v>
      </c>
      <c r="Q88" t="n">
        <v>0</v>
      </c>
      <c r="R88" s="2" t="inlineStr"/>
    </row>
    <row r="89" ht="15" customHeight="1">
      <c r="A89" t="inlineStr">
        <is>
          <t>A 54605-2019</t>
        </is>
      </c>
      <c r="B89" s="1" t="n">
        <v>43754</v>
      </c>
      <c r="C89" s="1" t="n">
        <v>45475</v>
      </c>
      <c r="D89" t="inlineStr">
        <is>
          <t>DALARNAS LÄN</t>
        </is>
      </c>
      <c r="E89" t="inlineStr">
        <is>
          <t>MORA</t>
        </is>
      </c>
      <c r="F89" t="inlineStr">
        <is>
          <t>Övriga Aktiebolag</t>
        </is>
      </c>
      <c r="G89" t="n">
        <v>12.7</v>
      </c>
      <c r="H89" t="n">
        <v>0</v>
      </c>
      <c r="I89" t="n">
        <v>0</v>
      </c>
      <c r="J89" t="n">
        <v>0</v>
      </c>
      <c r="K89" t="n">
        <v>0</v>
      </c>
      <c r="L89" t="n">
        <v>0</v>
      </c>
      <c r="M89" t="n">
        <v>0</v>
      </c>
      <c r="N89" t="n">
        <v>0</v>
      </c>
      <c r="O89" t="n">
        <v>0</v>
      </c>
      <c r="P89" t="n">
        <v>0</v>
      </c>
      <c r="Q89" t="n">
        <v>0</v>
      </c>
      <c r="R89" s="2" t="inlineStr"/>
    </row>
    <row r="90" ht="15" customHeight="1">
      <c r="A90" t="inlineStr">
        <is>
          <t>A 56145-2019</t>
        </is>
      </c>
      <c r="B90" s="1" t="n">
        <v>43761</v>
      </c>
      <c r="C90" s="1" t="n">
        <v>45475</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57254-2019</t>
        </is>
      </c>
      <c r="B91" s="1" t="n">
        <v>43767</v>
      </c>
      <c r="C91" s="1" t="n">
        <v>45475</v>
      </c>
      <c r="D91" t="inlineStr">
        <is>
          <t>DALARNAS LÄN</t>
        </is>
      </c>
      <c r="E91" t="inlineStr">
        <is>
          <t>MORA</t>
        </is>
      </c>
      <c r="G91" t="n">
        <v>1.4</v>
      </c>
      <c r="H91" t="n">
        <v>0</v>
      </c>
      <c r="I91" t="n">
        <v>0</v>
      </c>
      <c r="J91" t="n">
        <v>0</v>
      </c>
      <c r="K91" t="n">
        <v>0</v>
      </c>
      <c r="L91" t="n">
        <v>0</v>
      </c>
      <c r="M91" t="n">
        <v>0</v>
      </c>
      <c r="N91" t="n">
        <v>0</v>
      </c>
      <c r="O91" t="n">
        <v>0</v>
      </c>
      <c r="P91" t="n">
        <v>0</v>
      </c>
      <c r="Q91" t="n">
        <v>0</v>
      </c>
      <c r="R91" s="2" t="inlineStr"/>
    </row>
    <row r="92" ht="15" customHeight="1">
      <c r="A92" t="inlineStr">
        <is>
          <t>A 57640-2019</t>
        </is>
      </c>
      <c r="B92" s="1" t="n">
        <v>43768</v>
      </c>
      <c r="C92" s="1" t="n">
        <v>45475</v>
      </c>
      <c r="D92" t="inlineStr">
        <is>
          <t>DALARNAS LÄN</t>
        </is>
      </c>
      <c r="E92" t="inlineStr">
        <is>
          <t>MORA</t>
        </is>
      </c>
      <c r="G92" t="n">
        <v>2.8</v>
      </c>
      <c r="H92" t="n">
        <v>0</v>
      </c>
      <c r="I92" t="n">
        <v>0</v>
      </c>
      <c r="J92" t="n">
        <v>0</v>
      </c>
      <c r="K92" t="n">
        <v>0</v>
      </c>
      <c r="L92" t="n">
        <v>0</v>
      </c>
      <c r="M92" t="n">
        <v>0</v>
      </c>
      <c r="N92" t="n">
        <v>0</v>
      </c>
      <c r="O92" t="n">
        <v>0</v>
      </c>
      <c r="P92" t="n">
        <v>0</v>
      </c>
      <c r="Q92" t="n">
        <v>0</v>
      </c>
      <c r="R92" s="2" t="inlineStr"/>
    </row>
    <row r="93" ht="15" customHeight="1">
      <c r="A93" t="inlineStr">
        <is>
          <t>A 57989-2019</t>
        </is>
      </c>
      <c r="B93" s="1" t="n">
        <v>43769</v>
      </c>
      <c r="C93" s="1" t="n">
        <v>45475</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57984-2019</t>
        </is>
      </c>
      <c r="B94" s="1" t="n">
        <v>43769</v>
      </c>
      <c r="C94" s="1" t="n">
        <v>45475</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58335-2019</t>
        </is>
      </c>
      <c r="B95" s="1" t="n">
        <v>43770</v>
      </c>
      <c r="C95" s="1" t="n">
        <v>45475</v>
      </c>
      <c r="D95" t="inlineStr">
        <is>
          <t>DALARNAS LÄN</t>
        </is>
      </c>
      <c r="E95" t="inlineStr">
        <is>
          <t>MORA</t>
        </is>
      </c>
      <c r="G95" t="n">
        <v>9.199999999999999</v>
      </c>
      <c r="H95" t="n">
        <v>0</v>
      </c>
      <c r="I95" t="n">
        <v>0</v>
      </c>
      <c r="J95" t="n">
        <v>0</v>
      </c>
      <c r="K95" t="n">
        <v>0</v>
      </c>
      <c r="L95" t="n">
        <v>0</v>
      </c>
      <c r="M95" t="n">
        <v>0</v>
      </c>
      <c r="N95" t="n">
        <v>0</v>
      </c>
      <c r="O95" t="n">
        <v>0</v>
      </c>
      <c r="P95" t="n">
        <v>0</v>
      </c>
      <c r="Q95" t="n">
        <v>0</v>
      </c>
      <c r="R95" s="2" t="inlineStr"/>
    </row>
    <row r="96" ht="15" customHeight="1">
      <c r="A96" t="inlineStr">
        <is>
          <t>A 61077-2019</t>
        </is>
      </c>
      <c r="B96" s="1" t="n">
        <v>43782</v>
      </c>
      <c r="C96" s="1" t="n">
        <v>45475</v>
      </c>
      <c r="D96" t="inlineStr">
        <is>
          <t>DALARNAS LÄN</t>
        </is>
      </c>
      <c r="E96" t="inlineStr">
        <is>
          <t>MORA</t>
        </is>
      </c>
      <c r="F96" t="inlineStr">
        <is>
          <t>Bergvik skog öst AB</t>
        </is>
      </c>
      <c r="G96" t="n">
        <v>2.9</v>
      </c>
      <c r="H96" t="n">
        <v>0</v>
      </c>
      <c r="I96" t="n">
        <v>0</v>
      </c>
      <c r="J96" t="n">
        <v>0</v>
      </c>
      <c r="K96" t="n">
        <v>0</v>
      </c>
      <c r="L96" t="n">
        <v>0</v>
      </c>
      <c r="M96" t="n">
        <v>0</v>
      </c>
      <c r="N96" t="n">
        <v>0</v>
      </c>
      <c r="O96" t="n">
        <v>0</v>
      </c>
      <c r="P96" t="n">
        <v>0</v>
      </c>
      <c r="Q96" t="n">
        <v>0</v>
      </c>
      <c r="R96" s="2" t="inlineStr"/>
    </row>
    <row r="97" ht="15" customHeight="1">
      <c r="A97" t="inlineStr">
        <is>
          <t>A 61063-2019</t>
        </is>
      </c>
      <c r="B97" s="1" t="n">
        <v>43782</v>
      </c>
      <c r="C97" s="1" t="n">
        <v>45475</v>
      </c>
      <c r="D97" t="inlineStr">
        <is>
          <t>DALARNAS LÄN</t>
        </is>
      </c>
      <c r="E97" t="inlineStr">
        <is>
          <t>MORA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61324-2019</t>
        </is>
      </c>
      <c r="B98" s="1" t="n">
        <v>43783</v>
      </c>
      <c r="C98" s="1" t="n">
        <v>45475</v>
      </c>
      <c r="D98" t="inlineStr">
        <is>
          <t>DALARNAS LÄN</t>
        </is>
      </c>
      <c r="E98" t="inlineStr">
        <is>
          <t>MORA</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61646-2019</t>
        </is>
      </c>
      <c r="B99" s="1" t="n">
        <v>43784</v>
      </c>
      <c r="C99" s="1" t="n">
        <v>45475</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62001-2019</t>
        </is>
      </c>
      <c r="B100" s="1" t="n">
        <v>43787</v>
      </c>
      <c r="C100" s="1" t="n">
        <v>45475</v>
      </c>
      <c r="D100" t="inlineStr">
        <is>
          <t>DALARNAS LÄN</t>
        </is>
      </c>
      <c r="E100" t="inlineStr">
        <is>
          <t>MORA</t>
        </is>
      </c>
      <c r="G100" t="n">
        <v>0.8</v>
      </c>
      <c r="H100" t="n">
        <v>0</v>
      </c>
      <c r="I100" t="n">
        <v>0</v>
      </c>
      <c r="J100" t="n">
        <v>0</v>
      </c>
      <c r="K100" t="n">
        <v>0</v>
      </c>
      <c r="L100" t="n">
        <v>0</v>
      </c>
      <c r="M100" t="n">
        <v>0</v>
      </c>
      <c r="N100" t="n">
        <v>0</v>
      </c>
      <c r="O100" t="n">
        <v>0</v>
      </c>
      <c r="P100" t="n">
        <v>0</v>
      </c>
      <c r="Q100" t="n">
        <v>0</v>
      </c>
      <c r="R100" s="2" t="inlineStr"/>
    </row>
    <row r="101" ht="15" customHeight="1">
      <c r="A101" t="inlineStr">
        <is>
          <t>A 63093-2019</t>
        </is>
      </c>
      <c r="B101" s="1" t="n">
        <v>43791</v>
      </c>
      <c r="C101" s="1" t="n">
        <v>45475</v>
      </c>
      <c r="D101" t="inlineStr">
        <is>
          <t>DALARNAS LÄN</t>
        </is>
      </c>
      <c r="E101" t="inlineStr">
        <is>
          <t>MORA</t>
        </is>
      </c>
      <c r="G101" t="n">
        <v>1.4</v>
      </c>
      <c r="H101" t="n">
        <v>0</v>
      </c>
      <c r="I101" t="n">
        <v>0</v>
      </c>
      <c r="J101" t="n">
        <v>0</v>
      </c>
      <c r="K101" t="n">
        <v>0</v>
      </c>
      <c r="L101" t="n">
        <v>0</v>
      </c>
      <c r="M101" t="n">
        <v>0</v>
      </c>
      <c r="N101" t="n">
        <v>0</v>
      </c>
      <c r="O101" t="n">
        <v>0</v>
      </c>
      <c r="P101" t="n">
        <v>0</v>
      </c>
      <c r="Q101" t="n">
        <v>0</v>
      </c>
      <c r="R101" s="2" t="inlineStr"/>
    </row>
    <row r="102" ht="15" customHeight="1">
      <c r="A102" t="inlineStr">
        <is>
          <t>A 63072-2019</t>
        </is>
      </c>
      <c r="B102" s="1" t="n">
        <v>43791</v>
      </c>
      <c r="C102" s="1" t="n">
        <v>45475</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63655-2019</t>
        </is>
      </c>
      <c r="B103" s="1" t="n">
        <v>43795</v>
      </c>
      <c r="C103" s="1" t="n">
        <v>45475</v>
      </c>
      <c r="D103" t="inlineStr">
        <is>
          <t>DALARNAS LÄN</t>
        </is>
      </c>
      <c r="E103" t="inlineStr">
        <is>
          <t>MORA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65090-2019</t>
        </is>
      </c>
      <c r="B104" s="1" t="n">
        <v>43802</v>
      </c>
      <c r="C104" s="1" t="n">
        <v>45475</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65460-2019</t>
        </is>
      </c>
      <c r="B105" s="1" t="n">
        <v>43803</v>
      </c>
      <c r="C105" s="1" t="n">
        <v>45475</v>
      </c>
      <c r="D105" t="inlineStr">
        <is>
          <t>DALARNAS LÄN</t>
        </is>
      </c>
      <c r="E105" t="inlineStr">
        <is>
          <t>MORA</t>
        </is>
      </c>
      <c r="G105" t="n">
        <v>1.1</v>
      </c>
      <c r="H105" t="n">
        <v>0</v>
      </c>
      <c r="I105" t="n">
        <v>0</v>
      </c>
      <c r="J105" t="n">
        <v>0</v>
      </c>
      <c r="K105" t="n">
        <v>0</v>
      </c>
      <c r="L105" t="n">
        <v>0</v>
      </c>
      <c r="M105" t="n">
        <v>0</v>
      </c>
      <c r="N105" t="n">
        <v>0</v>
      </c>
      <c r="O105" t="n">
        <v>0</v>
      </c>
      <c r="P105" t="n">
        <v>0</v>
      </c>
      <c r="Q105" t="n">
        <v>0</v>
      </c>
      <c r="R105" s="2" t="inlineStr"/>
    </row>
    <row r="106" ht="15" customHeight="1">
      <c r="A106" t="inlineStr">
        <is>
          <t>A 65633-2019</t>
        </is>
      </c>
      <c r="B106" s="1" t="n">
        <v>43804</v>
      </c>
      <c r="C106" s="1" t="n">
        <v>45475</v>
      </c>
      <c r="D106" t="inlineStr">
        <is>
          <t>DALARNAS LÄN</t>
        </is>
      </c>
      <c r="E106" t="inlineStr">
        <is>
          <t>MORA</t>
        </is>
      </c>
      <c r="G106" t="n">
        <v>2.7</v>
      </c>
      <c r="H106" t="n">
        <v>0</v>
      </c>
      <c r="I106" t="n">
        <v>0</v>
      </c>
      <c r="J106" t="n">
        <v>0</v>
      </c>
      <c r="K106" t="n">
        <v>0</v>
      </c>
      <c r="L106" t="n">
        <v>0</v>
      </c>
      <c r="M106" t="n">
        <v>0</v>
      </c>
      <c r="N106" t="n">
        <v>0</v>
      </c>
      <c r="O106" t="n">
        <v>0</v>
      </c>
      <c r="P106" t="n">
        <v>0</v>
      </c>
      <c r="Q106" t="n">
        <v>0</v>
      </c>
      <c r="R106" s="2" t="inlineStr"/>
    </row>
    <row r="107" ht="15" customHeight="1">
      <c r="A107" t="inlineStr">
        <is>
          <t>A 66214-2019</t>
        </is>
      </c>
      <c r="B107" s="1" t="n">
        <v>43808</v>
      </c>
      <c r="C107" s="1" t="n">
        <v>45475</v>
      </c>
      <c r="D107" t="inlineStr">
        <is>
          <t>DALARNAS LÄN</t>
        </is>
      </c>
      <c r="E107" t="inlineStr">
        <is>
          <t>MORA</t>
        </is>
      </c>
      <c r="G107" t="n">
        <v>5.8</v>
      </c>
      <c r="H107" t="n">
        <v>0</v>
      </c>
      <c r="I107" t="n">
        <v>0</v>
      </c>
      <c r="J107" t="n">
        <v>0</v>
      </c>
      <c r="K107" t="n">
        <v>0</v>
      </c>
      <c r="L107" t="n">
        <v>0</v>
      </c>
      <c r="M107" t="n">
        <v>0</v>
      </c>
      <c r="N107" t="n">
        <v>0</v>
      </c>
      <c r="O107" t="n">
        <v>0</v>
      </c>
      <c r="P107" t="n">
        <v>0</v>
      </c>
      <c r="Q107" t="n">
        <v>0</v>
      </c>
      <c r="R107" s="2" t="inlineStr"/>
    </row>
    <row r="108" ht="15" customHeight="1">
      <c r="A108" t="inlineStr">
        <is>
          <t>A 66873-2019</t>
        </is>
      </c>
      <c r="B108" s="1" t="n">
        <v>43810</v>
      </c>
      <c r="C108" s="1" t="n">
        <v>45475</v>
      </c>
      <c r="D108" t="inlineStr">
        <is>
          <t>DALARNAS LÄN</t>
        </is>
      </c>
      <c r="E108" t="inlineStr">
        <is>
          <t>MORA</t>
        </is>
      </c>
      <c r="F108" t="inlineStr">
        <is>
          <t>Bergvik skog väst AB</t>
        </is>
      </c>
      <c r="G108" t="n">
        <v>4.4</v>
      </c>
      <c r="H108" t="n">
        <v>0</v>
      </c>
      <c r="I108" t="n">
        <v>0</v>
      </c>
      <c r="J108" t="n">
        <v>0</v>
      </c>
      <c r="K108" t="n">
        <v>0</v>
      </c>
      <c r="L108" t="n">
        <v>0</v>
      </c>
      <c r="M108" t="n">
        <v>0</v>
      </c>
      <c r="N108" t="n">
        <v>0</v>
      </c>
      <c r="O108" t="n">
        <v>0</v>
      </c>
      <c r="P108" t="n">
        <v>0</v>
      </c>
      <c r="Q108" t="n">
        <v>0</v>
      </c>
      <c r="R108" s="2" t="inlineStr"/>
    </row>
    <row r="109" ht="15" customHeight="1">
      <c r="A109" t="inlineStr">
        <is>
          <t>A 66868-2019</t>
        </is>
      </c>
      <c r="B109" s="1" t="n">
        <v>43810</v>
      </c>
      <c r="C109" s="1" t="n">
        <v>45475</v>
      </c>
      <c r="D109" t="inlineStr">
        <is>
          <t>DALARNAS LÄN</t>
        </is>
      </c>
      <c r="E109" t="inlineStr">
        <is>
          <t>MORA</t>
        </is>
      </c>
      <c r="G109" t="n">
        <v>3.3</v>
      </c>
      <c r="H109" t="n">
        <v>0</v>
      </c>
      <c r="I109" t="n">
        <v>0</v>
      </c>
      <c r="J109" t="n">
        <v>0</v>
      </c>
      <c r="K109" t="n">
        <v>0</v>
      </c>
      <c r="L109" t="n">
        <v>0</v>
      </c>
      <c r="M109" t="n">
        <v>0</v>
      </c>
      <c r="N109" t="n">
        <v>0</v>
      </c>
      <c r="O109" t="n">
        <v>0</v>
      </c>
      <c r="P109" t="n">
        <v>0</v>
      </c>
      <c r="Q109" t="n">
        <v>0</v>
      </c>
      <c r="R109" s="2" t="inlineStr"/>
    </row>
    <row r="110" ht="15" customHeight="1">
      <c r="A110" t="inlineStr">
        <is>
          <t>A 66878-2019</t>
        </is>
      </c>
      <c r="B110" s="1" t="n">
        <v>43810</v>
      </c>
      <c r="C110" s="1" t="n">
        <v>45475</v>
      </c>
      <c r="D110" t="inlineStr">
        <is>
          <t>DALARNAS LÄN</t>
        </is>
      </c>
      <c r="E110" t="inlineStr">
        <is>
          <t>MORA</t>
        </is>
      </c>
      <c r="F110" t="inlineStr">
        <is>
          <t>Bergvik skog väst AB</t>
        </is>
      </c>
      <c r="G110" t="n">
        <v>2.1</v>
      </c>
      <c r="H110" t="n">
        <v>0</v>
      </c>
      <c r="I110" t="n">
        <v>0</v>
      </c>
      <c r="J110" t="n">
        <v>0</v>
      </c>
      <c r="K110" t="n">
        <v>0</v>
      </c>
      <c r="L110" t="n">
        <v>0</v>
      </c>
      <c r="M110" t="n">
        <v>0</v>
      </c>
      <c r="N110" t="n">
        <v>0</v>
      </c>
      <c r="O110" t="n">
        <v>0</v>
      </c>
      <c r="P110" t="n">
        <v>0</v>
      </c>
      <c r="Q110" t="n">
        <v>0</v>
      </c>
      <c r="R110" s="2" t="inlineStr"/>
    </row>
    <row r="111" ht="15" customHeight="1">
      <c r="A111" t="inlineStr">
        <is>
          <t>A 67986-2019</t>
        </is>
      </c>
      <c r="B111" s="1" t="n">
        <v>43811</v>
      </c>
      <c r="C111" s="1" t="n">
        <v>45475</v>
      </c>
      <c r="D111" t="inlineStr">
        <is>
          <t>DALARNAS LÄN</t>
        </is>
      </c>
      <c r="E111" t="inlineStr">
        <is>
          <t>MORA</t>
        </is>
      </c>
      <c r="G111" t="n">
        <v>3.8</v>
      </c>
      <c r="H111" t="n">
        <v>0</v>
      </c>
      <c r="I111" t="n">
        <v>0</v>
      </c>
      <c r="J111" t="n">
        <v>0</v>
      </c>
      <c r="K111" t="n">
        <v>0</v>
      </c>
      <c r="L111" t="n">
        <v>0</v>
      </c>
      <c r="M111" t="n">
        <v>0</v>
      </c>
      <c r="N111" t="n">
        <v>0</v>
      </c>
      <c r="O111" t="n">
        <v>0</v>
      </c>
      <c r="P111" t="n">
        <v>0</v>
      </c>
      <c r="Q111" t="n">
        <v>0</v>
      </c>
      <c r="R111" s="2" t="inlineStr"/>
    </row>
    <row r="112" ht="15" customHeight="1">
      <c r="A112" t="inlineStr">
        <is>
          <t>A 67633-2019</t>
        </is>
      </c>
      <c r="B112" s="1" t="n">
        <v>43815</v>
      </c>
      <c r="C112" s="1" t="n">
        <v>45475</v>
      </c>
      <c r="D112" t="inlineStr">
        <is>
          <t>DALARNAS LÄN</t>
        </is>
      </c>
      <c r="E112" t="inlineStr">
        <is>
          <t>MORA</t>
        </is>
      </c>
      <c r="G112" t="n">
        <v>4.7</v>
      </c>
      <c r="H112" t="n">
        <v>0</v>
      </c>
      <c r="I112" t="n">
        <v>0</v>
      </c>
      <c r="J112" t="n">
        <v>0</v>
      </c>
      <c r="K112" t="n">
        <v>0</v>
      </c>
      <c r="L112" t="n">
        <v>0</v>
      </c>
      <c r="M112" t="n">
        <v>0</v>
      </c>
      <c r="N112" t="n">
        <v>0</v>
      </c>
      <c r="O112" t="n">
        <v>0</v>
      </c>
      <c r="P112" t="n">
        <v>0</v>
      </c>
      <c r="Q112" t="n">
        <v>0</v>
      </c>
      <c r="R112" s="2" t="inlineStr"/>
    </row>
    <row r="113" ht="15" customHeight="1">
      <c r="A113" t="inlineStr">
        <is>
          <t>A 564-2020</t>
        </is>
      </c>
      <c r="B113" s="1" t="n">
        <v>43817</v>
      </c>
      <c r="C113" s="1" t="n">
        <v>45475</v>
      </c>
      <c r="D113" t="inlineStr">
        <is>
          <t>DALARNAS LÄN</t>
        </is>
      </c>
      <c r="E113" t="inlineStr">
        <is>
          <t>MORA</t>
        </is>
      </c>
      <c r="F113" t="inlineStr">
        <is>
          <t>Kommuner</t>
        </is>
      </c>
      <c r="G113" t="n">
        <v>56.1</v>
      </c>
      <c r="H113" t="n">
        <v>0</v>
      </c>
      <c r="I113" t="n">
        <v>0</v>
      </c>
      <c r="J113" t="n">
        <v>0</v>
      </c>
      <c r="K113" t="n">
        <v>0</v>
      </c>
      <c r="L113" t="n">
        <v>0</v>
      </c>
      <c r="M113" t="n">
        <v>0</v>
      </c>
      <c r="N113" t="n">
        <v>0</v>
      </c>
      <c r="O113" t="n">
        <v>0</v>
      </c>
      <c r="P113" t="n">
        <v>0</v>
      </c>
      <c r="Q113" t="n">
        <v>0</v>
      </c>
      <c r="R113" s="2" t="inlineStr"/>
    </row>
    <row r="114" ht="15" customHeight="1">
      <c r="A114" t="inlineStr">
        <is>
          <t>A 68092-2019</t>
        </is>
      </c>
      <c r="B114" s="1" t="n">
        <v>43817</v>
      </c>
      <c r="C114" s="1" t="n">
        <v>45475</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1506-2020</t>
        </is>
      </c>
      <c r="B115" s="1" t="n">
        <v>43826</v>
      </c>
      <c r="C115" s="1" t="n">
        <v>45475</v>
      </c>
      <c r="D115" t="inlineStr">
        <is>
          <t>DALARNAS LÄN</t>
        </is>
      </c>
      <c r="E115" t="inlineStr">
        <is>
          <t>MORA</t>
        </is>
      </c>
      <c r="G115" t="n">
        <v>1.2</v>
      </c>
      <c r="H115" t="n">
        <v>0</v>
      </c>
      <c r="I115" t="n">
        <v>0</v>
      </c>
      <c r="J115" t="n">
        <v>0</v>
      </c>
      <c r="K115" t="n">
        <v>0</v>
      </c>
      <c r="L115" t="n">
        <v>0</v>
      </c>
      <c r="M115" t="n">
        <v>0</v>
      </c>
      <c r="N115" t="n">
        <v>0</v>
      </c>
      <c r="O115" t="n">
        <v>0</v>
      </c>
      <c r="P115" t="n">
        <v>0</v>
      </c>
      <c r="Q115" t="n">
        <v>0</v>
      </c>
      <c r="R115" s="2" t="inlineStr"/>
    </row>
    <row r="116" ht="15" customHeight="1">
      <c r="A116" t="inlineStr">
        <is>
          <t>A 472-2020</t>
        </is>
      </c>
      <c r="B116" s="1" t="n">
        <v>43837</v>
      </c>
      <c r="C116" s="1" t="n">
        <v>45475</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1841-2020</t>
        </is>
      </c>
      <c r="B117" s="1" t="n">
        <v>43844</v>
      </c>
      <c r="C117" s="1" t="n">
        <v>45475</v>
      </c>
      <c r="D117" t="inlineStr">
        <is>
          <t>DALARNAS LÄN</t>
        </is>
      </c>
      <c r="E117" t="inlineStr">
        <is>
          <t>MORA</t>
        </is>
      </c>
      <c r="G117" t="n">
        <v>1</v>
      </c>
      <c r="H117" t="n">
        <v>0</v>
      </c>
      <c r="I117" t="n">
        <v>0</v>
      </c>
      <c r="J117" t="n">
        <v>0</v>
      </c>
      <c r="K117" t="n">
        <v>0</v>
      </c>
      <c r="L117" t="n">
        <v>0</v>
      </c>
      <c r="M117" t="n">
        <v>0</v>
      </c>
      <c r="N117" t="n">
        <v>0</v>
      </c>
      <c r="O117" t="n">
        <v>0</v>
      </c>
      <c r="P117" t="n">
        <v>0</v>
      </c>
      <c r="Q117" t="n">
        <v>0</v>
      </c>
      <c r="R117" s="2" t="inlineStr"/>
    </row>
    <row r="118" ht="15" customHeight="1">
      <c r="A118" t="inlineStr">
        <is>
          <t>A 3588-2020</t>
        </is>
      </c>
      <c r="B118" s="1" t="n">
        <v>43845</v>
      </c>
      <c r="C118" s="1" t="n">
        <v>45475</v>
      </c>
      <c r="D118" t="inlineStr">
        <is>
          <t>DALARNAS LÄN</t>
        </is>
      </c>
      <c r="E118" t="inlineStr">
        <is>
          <t>MORA</t>
        </is>
      </c>
      <c r="G118" t="n">
        <v>3</v>
      </c>
      <c r="H118" t="n">
        <v>0</v>
      </c>
      <c r="I118" t="n">
        <v>0</v>
      </c>
      <c r="J118" t="n">
        <v>0</v>
      </c>
      <c r="K118" t="n">
        <v>0</v>
      </c>
      <c r="L118" t="n">
        <v>0</v>
      </c>
      <c r="M118" t="n">
        <v>0</v>
      </c>
      <c r="N118" t="n">
        <v>0</v>
      </c>
      <c r="O118" t="n">
        <v>0</v>
      </c>
      <c r="P118" t="n">
        <v>0</v>
      </c>
      <c r="Q118" t="n">
        <v>0</v>
      </c>
      <c r="R118" s="2" t="inlineStr"/>
    </row>
    <row r="119" ht="15" customHeight="1">
      <c r="A119" t="inlineStr">
        <is>
          <t>A 4106-2020</t>
        </is>
      </c>
      <c r="B119" s="1" t="n">
        <v>43857</v>
      </c>
      <c r="C119" s="1" t="n">
        <v>45475</v>
      </c>
      <c r="D119" t="inlineStr">
        <is>
          <t>DALARNAS LÄN</t>
        </is>
      </c>
      <c r="E119" t="inlineStr">
        <is>
          <t>MORA</t>
        </is>
      </c>
      <c r="G119" t="n">
        <v>1.1</v>
      </c>
      <c r="H119" t="n">
        <v>0</v>
      </c>
      <c r="I119" t="n">
        <v>0</v>
      </c>
      <c r="J119" t="n">
        <v>0</v>
      </c>
      <c r="K119" t="n">
        <v>0</v>
      </c>
      <c r="L119" t="n">
        <v>0</v>
      </c>
      <c r="M119" t="n">
        <v>0</v>
      </c>
      <c r="N119" t="n">
        <v>0</v>
      </c>
      <c r="O119" t="n">
        <v>0</v>
      </c>
      <c r="P119" t="n">
        <v>0</v>
      </c>
      <c r="Q119" t="n">
        <v>0</v>
      </c>
      <c r="R119" s="2" t="inlineStr"/>
    </row>
    <row r="120" ht="15" customHeight="1">
      <c r="A120" t="inlineStr">
        <is>
          <t>A 4818-2020</t>
        </is>
      </c>
      <c r="B120" s="1" t="n">
        <v>43859</v>
      </c>
      <c r="C120" s="1" t="n">
        <v>45475</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6012-2020</t>
        </is>
      </c>
      <c r="B121" s="1" t="n">
        <v>43865</v>
      </c>
      <c r="C121" s="1" t="n">
        <v>45475</v>
      </c>
      <c r="D121" t="inlineStr">
        <is>
          <t>DALARNAS LÄN</t>
        </is>
      </c>
      <c r="E121" t="inlineStr">
        <is>
          <t>MORA</t>
        </is>
      </c>
      <c r="G121" t="n">
        <v>2.7</v>
      </c>
      <c r="H121" t="n">
        <v>0</v>
      </c>
      <c r="I121" t="n">
        <v>0</v>
      </c>
      <c r="J121" t="n">
        <v>0</v>
      </c>
      <c r="K121" t="n">
        <v>0</v>
      </c>
      <c r="L121" t="n">
        <v>0</v>
      </c>
      <c r="M121" t="n">
        <v>0</v>
      </c>
      <c r="N121" t="n">
        <v>0</v>
      </c>
      <c r="O121" t="n">
        <v>0</v>
      </c>
      <c r="P121" t="n">
        <v>0</v>
      </c>
      <c r="Q121" t="n">
        <v>0</v>
      </c>
      <c r="R121" s="2" t="inlineStr"/>
    </row>
    <row r="122" ht="15" customHeight="1">
      <c r="A122" t="inlineStr">
        <is>
          <t>A 7093-2020</t>
        </is>
      </c>
      <c r="B122" s="1" t="n">
        <v>43868</v>
      </c>
      <c r="C122" s="1" t="n">
        <v>45475</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7382-2020</t>
        </is>
      </c>
      <c r="B123" s="1" t="n">
        <v>43871</v>
      </c>
      <c r="C123" s="1" t="n">
        <v>45475</v>
      </c>
      <c r="D123" t="inlineStr">
        <is>
          <t>DALARNAS LÄN</t>
        </is>
      </c>
      <c r="E123" t="inlineStr">
        <is>
          <t>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10704-2020</t>
        </is>
      </c>
      <c r="B124" s="1" t="n">
        <v>43888</v>
      </c>
      <c r="C124" s="1" t="n">
        <v>45475</v>
      </c>
      <c r="D124" t="inlineStr">
        <is>
          <t>DALARNAS LÄN</t>
        </is>
      </c>
      <c r="E124" t="inlineStr">
        <is>
          <t>MORA</t>
        </is>
      </c>
      <c r="G124" t="n">
        <v>2.6</v>
      </c>
      <c r="H124" t="n">
        <v>0</v>
      </c>
      <c r="I124" t="n">
        <v>0</v>
      </c>
      <c r="J124" t="n">
        <v>0</v>
      </c>
      <c r="K124" t="n">
        <v>0</v>
      </c>
      <c r="L124" t="n">
        <v>0</v>
      </c>
      <c r="M124" t="n">
        <v>0</v>
      </c>
      <c r="N124" t="n">
        <v>0</v>
      </c>
      <c r="O124" t="n">
        <v>0</v>
      </c>
      <c r="P124" t="n">
        <v>0</v>
      </c>
      <c r="Q124" t="n">
        <v>0</v>
      </c>
      <c r="R124" s="2" t="inlineStr"/>
    </row>
    <row r="125" ht="15" customHeight="1">
      <c r="A125" t="inlineStr">
        <is>
          <t>A 12360-2020</t>
        </is>
      </c>
      <c r="B125" s="1" t="n">
        <v>43896</v>
      </c>
      <c r="C125" s="1" t="n">
        <v>45475</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12723-2020</t>
        </is>
      </c>
      <c r="B126" s="1" t="n">
        <v>43899</v>
      </c>
      <c r="C126" s="1" t="n">
        <v>45475</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13943-2020</t>
        </is>
      </c>
      <c r="B127" s="1" t="n">
        <v>43906</v>
      </c>
      <c r="C127" s="1" t="n">
        <v>45475</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16636-2020</t>
        </is>
      </c>
      <c r="B128" s="1" t="n">
        <v>43910</v>
      </c>
      <c r="C128" s="1" t="n">
        <v>45475</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16194-2020</t>
        </is>
      </c>
      <c r="B129" s="1" t="n">
        <v>43917</v>
      </c>
      <c r="C129" s="1" t="n">
        <v>45475</v>
      </c>
      <c r="D129" t="inlineStr">
        <is>
          <t>DALARNAS LÄN</t>
        </is>
      </c>
      <c r="E129" t="inlineStr">
        <is>
          <t>MORA</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16195-2020</t>
        </is>
      </c>
      <c r="B130" s="1" t="n">
        <v>43917</v>
      </c>
      <c r="C130" s="1" t="n">
        <v>45475</v>
      </c>
      <c r="D130" t="inlineStr">
        <is>
          <t>DALARNAS LÄN</t>
        </is>
      </c>
      <c r="E130" t="inlineStr">
        <is>
          <t>MORA</t>
        </is>
      </c>
      <c r="F130" t="inlineStr">
        <is>
          <t>Bergvik skog väst AB</t>
        </is>
      </c>
      <c r="G130" t="n">
        <v>4.3</v>
      </c>
      <c r="H130" t="n">
        <v>0</v>
      </c>
      <c r="I130" t="n">
        <v>0</v>
      </c>
      <c r="J130" t="n">
        <v>0</v>
      </c>
      <c r="K130" t="n">
        <v>0</v>
      </c>
      <c r="L130" t="n">
        <v>0</v>
      </c>
      <c r="M130" t="n">
        <v>0</v>
      </c>
      <c r="N130" t="n">
        <v>0</v>
      </c>
      <c r="O130" t="n">
        <v>0</v>
      </c>
      <c r="P130" t="n">
        <v>0</v>
      </c>
      <c r="Q130" t="n">
        <v>0</v>
      </c>
      <c r="R130" s="2" t="inlineStr"/>
    </row>
    <row r="131" ht="15" customHeight="1">
      <c r="A131" t="inlineStr">
        <is>
          <t>A 18989-2020</t>
        </is>
      </c>
      <c r="B131" s="1" t="n">
        <v>43935</v>
      </c>
      <c r="C131" s="1" t="n">
        <v>45475</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18978-2020</t>
        </is>
      </c>
      <c r="B132" s="1" t="n">
        <v>43935</v>
      </c>
      <c r="C132" s="1" t="n">
        <v>45475</v>
      </c>
      <c r="D132" t="inlineStr">
        <is>
          <t>DALARNAS LÄN</t>
        </is>
      </c>
      <c r="E132" t="inlineStr">
        <is>
          <t>MORA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19507-2020</t>
        </is>
      </c>
      <c r="B133" s="1" t="n">
        <v>43938</v>
      </c>
      <c r="C133" s="1" t="n">
        <v>45475</v>
      </c>
      <c r="D133" t="inlineStr">
        <is>
          <t>DALARNAS LÄN</t>
        </is>
      </c>
      <c r="E133" t="inlineStr">
        <is>
          <t>MORA</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21122-2020</t>
        </is>
      </c>
      <c r="B134" s="1" t="n">
        <v>43951</v>
      </c>
      <c r="C134" s="1" t="n">
        <v>45475</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21951-2020</t>
        </is>
      </c>
      <c r="B135" s="1" t="n">
        <v>43958</v>
      </c>
      <c r="C135" s="1" t="n">
        <v>45475</v>
      </c>
      <c r="D135" t="inlineStr">
        <is>
          <t>DALARNAS LÄN</t>
        </is>
      </c>
      <c r="E135" t="inlineStr">
        <is>
          <t>MORA</t>
        </is>
      </c>
      <c r="G135" t="n">
        <v>1.2</v>
      </c>
      <c r="H135" t="n">
        <v>0</v>
      </c>
      <c r="I135" t="n">
        <v>0</v>
      </c>
      <c r="J135" t="n">
        <v>0</v>
      </c>
      <c r="K135" t="n">
        <v>0</v>
      </c>
      <c r="L135" t="n">
        <v>0</v>
      </c>
      <c r="M135" t="n">
        <v>0</v>
      </c>
      <c r="N135" t="n">
        <v>0</v>
      </c>
      <c r="O135" t="n">
        <v>0</v>
      </c>
      <c r="P135" t="n">
        <v>0</v>
      </c>
      <c r="Q135" t="n">
        <v>0</v>
      </c>
      <c r="R135" s="2" t="inlineStr"/>
    </row>
    <row r="136" ht="15" customHeight="1">
      <c r="A136" t="inlineStr">
        <is>
          <t>A 24719-2020</t>
        </is>
      </c>
      <c r="B136" s="1" t="n">
        <v>43978</v>
      </c>
      <c r="C136" s="1" t="n">
        <v>45475</v>
      </c>
      <c r="D136" t="inlineStr">
        <is>
          <t>DALARNAS LÄN</t>
        </is>
      </c>
      <c r="E136" t="inlineStr">
        <is>
          <t>MORA</t>
        </is>
      </c>
      <c r="F136" t="inlineStr">
        <is>
          <t>Allmännings- och besparingsskogar</t>
        </is>
      </c>
      <c r="G136" t="n">
        <v>0.8</v>
      </c>
      <c r="H136" t="n">
        <v>0</v>
      </c>
      <c r="I136" t="n">
        <v>0</v>
      </c>
      <c r="J136" t="n">
        <v>0</v>
      </c>
      <c r="K136" t="n">
        <v>0</v>
      </c>
      <c r="L136" t="n">
        <v>0</v>
      </c>
      <c r="M136" t="n">
        <v>0</v>
      </c>
      <c r="N136" t="n">
        <v>0</v>
      </c>
      <c r="O136" t="n">
        <v>0</v>
      </c>
      <c r="P136" t="n">
        <v>0</v>
      </c>
      <c r="Q136" t="n">
        <v>0</v>
      </c>
      <c r="R136" s="2" t="inlineStr"/>
    </row>
    <row r="137" ht="15" customHeight="1">
      <c r="A137" t="inlineStr">
        <is>
          <t>A 25852-2020</t>
        </is>
      </c>
      <c r="B137" s="1" t="n">
        <v>43984</v>
      </c>
      <c r="C137" s="1" t="n">
        <v>45475</v>
      </c>
      <c r="D137" t="inlineStr">
        <is>
          <t>DALARNAS LÄN</t>
        </is>
      </c>
      <c r="E137" t="inlineStr">
        <is>
          <t>MORA</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26454-2020</t>
        </is>
      </c>
      <c r="B138" s="1" t="n">
        <v>43987</v>
      </c>
      <c r="C138" s="1" t="n">
        <v>45475</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26460-2020</t>
        </is>
      </c>
      <c r="B139" s="1" t="n">
        <v>43987</v>
      </c>
      <c r="C139" s="1" t="n">
        <v>45475</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29751-2020</t>
        </is>
      </c>
      <c r="B140" s="1" t="n">
        <v>44005</v>
      </c>
      <c r="C140" s="1" t="n">
        <v>45475</v>
      </c>
      <c r="D140" t="inlineStr">
        <is>
          <t>DALARNAS LÄN</t>
        </is>
      </c>
      <c r="E140" t="inlineStr">
        <is>
          <t>MORA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29881-2020</t>
        </is>
      </c>
      <c r="B141" s="1" t="n">
        <v>44006</v>
      </c>
      <c r="C141" s="1" t="n">
        <v>45475</v>
      </c>
      <c r="D141" t="inlineStr">
        <is>
          <t>DALARNAS LÄN</t>
        </is>
      </c>
      <c r="E141" t="inlineStr">
        <is>
          <t>MORA</t>
        </is>
      </c>
      <c r="G141" t="n">
        <v>3.7</v>
      </c>
      <c r="H141" t="n">
        <v>0</v>
      </c>
      <c r="I141" t="n">
        <v>0</v>
      </c>
      <c r="J141" t="n">
        <v>0</v>
      </c>
      <c r="K141" t="n">
        <v>0</v>
      </c>
      <c r="L141" t="n">
        <v>0</v>
      </c>
      <c r="M141" t="n">
        <v>0</v>
      </c>
      <c r="N141" t="n">
        <v>0</v>
      </c>
      <c r="O141" t="n">
        <v>0</v>
      </c>
      <c r="P141" t="n">
        <v>0</v>
      </c>
      <c r="Q141" t="n">
        <v>0</v>
      </c>
      <c r="R141" s="2" t="inlineStr"/>
    </row>
    <row r="142" ht="15" customHeight="1">
      <c r="A142" t="inlineStr">
        <is>
          <t>A 29960-2020</t>
        </is>
      </c>
      <c r="B142" s="1" t="n">
        <v>44006</v>
      </c>
      <c r="C142" s="1" t="n">
        <v>45475</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33581-2020</t>
        </is>
      </c>
      <c r="B143" s="1" t="n">
        <v>44022</v>
      </c>
      <c r="C143" s="1" t="n">
        <v>45475</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34455-2020</t>
        </is>
      </c>
      <c r="B144" s="1" t="n">
        <v>44032</v>
      </c>
      <c r="C144" s="1" t="n">
        <v>45475</v>
      </c>
      <c r="D144" t="inlineStr">
        <is>
          <t>DALARNAS LÄN</t>
        </is>
      </c>
      <c r="E144" t="inlineStr">
        <is>
          <t>MORA</t>
        </is>
      </c>
      <c r="G144" t="n">
        <v>1.7</v>
      </c>
      <c r="H144" t="n">
        <v>0</v>
      </c>
      <c r="I144" t="n">
        <v>0</v>
      </c>
      <c r="J144" t="n">
        <v>0</v>
      </c>
      <c r="K144" t="n">
        <v>0</v>
      </c>
      <c r="L144" t="n">
        <v>0</v>
      </c>
      <c r="M144" t="n">
        <v>0</v>
      </c>
      <c r="N144" t="n">
        <v>0</v>
      </c>
      <c r="O144" t="n">
        <v>0</v>
      </c>
      <c r="P144" t="n">
        <v>0</v>
      </c>
      <c r="Q144" t="n">
        <v>0</v>
      </c>
      <c r="R144" s="2" t="inlineStr"/>
    </row>
    <row r="145" ht="15" customHeight="1">
      <c r="A145" t="inlineStr">
        <is>
          <t>A 34454-2020</t>
        </is>
      </c>
      <c r="B145" s="1" t="n">
        <v>44032</v>
      </c>
      <c r="C145" s="1" t="n">
        <v>45475</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34446-2020</t>
        </is>
      </c>
      <c r="B146" s="1" t="n">
        <v>44032</v>
      </c>
      <c r="C146" s="1" t="n">
        <v>45475</v>
      </c>
      <c r="D146" t="inlineStr">
        <is>
          <t>DALARNAS LÄN</t>
        </is>
      </c>
      <c r="E146" t="inlineStr">
        <is>
          <t>MORA</t>
        </is>
      </c>
      <c r="G146" t="n">
        <v>1.6</v>
      </c>
      <c r="H146" t="n">
        <v>0</v>
      </c>
      <c r="I146" t="n">
        <v>0</v>
      </c>
      <c r="J146" t="n">
        <v>0</v>
      </c>
      <c r="K146" t="n">
        <v>0</v>
      </c>
      <c r="L146" t="n">
        <v>0</v>
      </c>
      <c r="M146" t="n">
        <v>0</v>
      </c>
      <c r="N146" t="n">
        <v>0</v>
      </c>
      <c r="O146" t="n">
        <v>0</v>
      </c>
      <c r="P146" t="n">
        <v>0</v>
      </c>
      <c r="Q146" t="n">
        <v>0</v>
      </c>
      <c r="R146" s="2" t="inlineStr"/>
    </row>
    <row r="147" ht="15" customHeight="1">
      <c r="A147" t="inlineStr">
        <is>
          <t>A 35976-2020</t>
        </is>
      </c>
      <c r="B147" s="1" t="n">
        <v>44047</v>
      </c>
      <c r="C147" s="1" t="n">
        <v>45475</v>
      </c>
      <c r="D147" t="inlineStr">
        <is>
          <t>DALARNAS LÄN</t>
        </is>
      </c>
      <c r="E147" t="inlineStr">
        <is>
          <t>MORA</t>
        </is>
      </c>
      <c r="G147" t="n">
        <v>6.7</v>
      </c>
      <c r="H147" t="n">
        <v>0</v>
      </c>
      <c r="I147" t="n">
        <v>0</v>
      </c>
      <c r="J147" t="n">
        <v>0</v>
      </c>
      <c r="K147" t="n">
        <v>0</v>
      </c>
      <c r="L147" t="n">
        <v>0</v>
      </c>
      <c r="M147" t="n">
        <v>0</v>
      </c>
      <c r="N147" t="n">
        <v>0</v>
      </c>
      <c r="O147" t="n">
        <v>0</v>
      </c>
      <c r="P147" t="n">
        <v>0</v>
      </c>
      <c r="Q147" t="n">
        <v>0</v>
      </c>
      <c r="R147" s="2" t="inlineStr"/>
    </row>
    <row r="148" ht="15" customHeight="1">
      <c r="A148" t="inlineStr">
        <is>
          <t>A 37403-2020</t>
        </is>
      </c>
      <c r="B148" s="1" t="n">
        <v>44055</v>
      </c>
      <c r="C148" s="1" t="n">
        <v>45475</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37840-2020</t>
        </is>
      </c>
      <c r="B149" s="1" t="n">
        <v>44057</v>
      </c>
      <c r="C149" s="1" t="n">
        <v>45475</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38910-2020</t>
        </is>
      </c>
      <c r="B150" s="1" t="n">
        <v>44062</v>
      </c>
      <c r="C150" s="1" t="n">
        <v>45475</v>
      </c>
      <c r="D150" t="inlineStr">
        <is>
          <t>DALARNAS LÄN</t>
        </is>
      </c>
      <c r="E150" t="inlineStr">
        <is>
          <t>MORA</t>
        </is>
      </c>
      <c r="G150" t="n">
        <v>7.8</v>
      </c>
      <c r="H150" t="n">
        <v>0</v>
      </c>
      <c r="I150" t="n">
        <v>0</v>
      </c>
      <c r="J150" t="n">
        <v>0</v>
      </c>
      <c r="K150" t="n">
        <v>0</v>
      </c>
      <c r="L150" t="n">
        <v>0</v>
      </c>
      <c r="M150" t="n">
        <v>0</v>
      </c>
      <c r="N150" t="n">
        <v>0</v>
      </c>
      <c r="O150" t="n">
        <v>0</v>
      </c>
      <c r="P150" t="n">
        <v>0</v>
      </c>
      <c r="Q150" t="n">
        <v>0</v>
      </c>
      <c r="R150" s="2" t="inlineStr"/>
    </row>
    <row r="151" ht="15" customHeight="1">
      <c r="A151" t="inlineStr">
        <is>
          <t>A 39585-2020</t>
        </is>
      </c>
      <c r="B151" s="1" t="n">
        <v>44064</v>
      </c>
      <c r="C151" s="1" t="n">
        <v>45475</v>
      </c>
      <c r="D151" t="inlineStr">
        <is>
          <t>DALARNAS LÄN</t>
        </is>
      </c>
      <c r="E151" t="inlineStr">
        <is>
          <t>MORA</t>
        </is>
      </c>
      <c r="G151" t="n">
        <v>6.5</v>
      </c>
      <c r="H151" t="n">
        <v>0</v>
      </c>
      <c r="I151" t="n">
        <v>0</v>
      </c>
      <c r="J151" t="n">
        <v>0</v>
      </c>
      <c r="K151" t="n">
        <v>0</v>
      </c>
      <c r="L151" t="n">
        <v>0</v>
      </c>
      <c r="M151" t="n">
        <v>0</v>
      </c>
      <c r="N151" t="n">
        <v>0</v>
      </c>
      <c r="O151" t="n">
        <v>0</v>
      </c>
      <c r="P151" t="n">
        <v>0</v>
      </c>
      <c r="Q151" t="n">
        <v>0</v>
      </c>
      <c r="R151" s="2" t="inlineStr"/>
    </row>
    <row r="152" ht="15" customHeight="1">
      <c r="A152" t="inlineStr">
        <is>
          <t>A 39959-2020</t>
        </is>
      </c>
      <c r="B152" s="1" t="n">
        <v>44067</v>
      </c>
      <c r="C152" s="1" t="n">
        <v>45475</v>
      </c>
      <c r="D152" t="inlineStr">
        <is>
          <t>DALARNAS LÄN</t>
        </is>
      </c>
      <c r="E152" t="inlineStr">
        <is>
          <t>MORA</t>
        </is>
      </c>
      <c r="G152" t="n">
        <v>25.7</v>
      </c>
      <c r="H152" t="n">
        <v>0</v>
      </c>
      <c r="I152" t="n">
        <v>0</v>
      </c>
      <c r="J152" t="n">
        <v>0</v>
      </c>
      <c r="K152" t="n">
        <v>0</v>
      </c>
      <c r="L152" t="n">
        <v>0</v>
      </c>
      <c r="M152" t="n">
        <v>0</v>
      </c>
      <c r="N152" t="n">
        <v>0</v>
      </c>
      <c r="O152" t="n">
        <v>0</v>
      </c>
      <c r="P152" t="n">
        <v>0</v>
      </c>
      <c r="Q152" t="n">
        <v>0</v>
      </c>
      <c r="R152" s="2" t="inlineStr"/>
    </row>
    <row r="153" ht="15" customHeight="1">
      <c r="A153" t="inlineStr">
        <is>
          <t>A 41768-2020</t>
        </is>
      </c>
      <c r="B153" s="1" t="n">
        <v>44074</v>
      </c>
      <c r="C153" s="1" t="n">
        <v>45475</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42362-2020</t>
        </is>
      </c>
      <c r="B154" s="1" t="n">
        <v>44074</v>
      </c>
      <c r="C154" s="1" t="n">
        <v>45475</v>
      </c>
      <c r="D154" t="inlineStr">
        <is>
          <t>DALARNAS LÄN</t>
        </is>
      </c>
      <c r="E154" t="inlineStr">
        <is>
          <t>MORA</t>
        </is>
      </c>
      <c r="G154" t="n">
        <v>4.5</v>
      </c>
      <c r="H154" t="n">
        <v>0</v>
      </c>
      <c r="I154" t="n">
        <v>0</v>
      </c>
      <c r="J154" t="n">
        <v>0</v>
      </c>
      <c r="K154" t="n">
        <v>0</v>
      </c>
      <c r="L154" t="n">
        <v>0</v>
      </c>
      <c r="M154" t="n">
        <v>0</v>
      </c>
      <c r="N154" t="n">
        <v>0</v>
      </c>
      <c r="O154" t="n">
        <v>0</v>
      </c>
      <c r="P154" t="n">
        <v>0</v>
      </c>
      <c r="Q154" t="n">
        <v>0</v>
      </c>
      <c r="R154" s="2" t="inlineStr"/>
    </row>
    <row r="155" ht="15" customHeight="1">
      <c r="A155" t="inlineStr">
        <is>
          <t>A 42377-2020</t>
        </is>
      </c>
      <c r="B155" s="1" t="n">
        <v>44076</v>
      </c>
      <c r="C155" s="1" t="n">
        <v>45475</v>
      </c>
      <c r="D155" t="inlineStr">
        <is>
          <t>DALARNAS LÄN</t>
        </is>
      </c>
      <c r="E155" t="inlineStr">
        <is>
          <t>MORA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43284-2020</t>
        </is>
      </c>
      <c r="B156" s="1" t="n">
        <v>44081</v>
      </c>
      <c r="C156" s="1" t="n">
        <v>45475</v>
      </c>
      <c r="D156" t="inlineStr">
        <is>
          <t>DALARNAS LÄN</t>
        </is>
      </c>
      <c r="E156" t="inlineStr">
        <is>
          <t>MORA</t>
        </is>
      </c>
      <c r="G156" t="n">
        <v>2</v>
      </c>
      <c r="H156" t="n">
        <v>0</v>
      </c>
      <c r="I156" t="n">
        <v>0</v>
      </c>
      <c r="J156" t="n">
        <v>0</v>
      </c>
      <c r="K156" t="n">
        <v>0</v>
      </c>
      <c r="L156" t="n">
        <v>0</v>
      </c>
      <c r="M156" t="n">
        <v>0</v>
      </c>
      <c r="N156" t="n">
        <v>0</v>
      </c>
      <c r="O156" t="n">
        <v>0</v>
      </c>
      <c r="P156" t="n">
        <v>0</v>
      </c>
      <c r="Q156" t="n">
        <v>0</v>
      </c>
      <c r="R156" s="2" t="inlineStr"/>
    </row>
    <row r="157" ht="15" customHeight="1">
      <c r="A157" t="inlineStr">
        <is>
          <t>A 48065-2020</t>
        </is>
      </c>
      <c r="B157" s="1" t="n">
        <v>44100</v>
      </c>
      <c r="C157" s="1" t="n">
        <v>45475</v>
      </c>
      <c r="D157" t="inlineStr">
        <is>
          <t>DALARNAS LÄN</t>
        </is>
      </c>
      <c r="E157" t="inlineStr">
        <is>
          <t>MORA</t>
        </is>
      </c>
      <c r="G157" t="n">
        <v>8.6</v>
      </c>
      <c r="H157" t="n">
        <v>0</v>
      </c>
      <c r="I157" t="n">
        <v>0</v>
      </c>
      <c r="J157" t="n">
        <v>0</v>
      </c>
      <c r="K157" t="n">
        <v>0</v>
      </c>
      <c r="L157" t="n">
        <v>0</v>
      </c>
      <c r="M157" t="n">
        <v>0</v>
      </c>
      <c r="N157" t="n">
        <v>0</v>
      </c>
      <c r="O157" t="n">
        <v>0</v>
      </c>
      <c r="P157" t="n">
        <v>0</v>
      </c>
      <c r="Q157" t="n">
        <v>0</v>
      </c>
      <c r="R157" s="2" t="inlineStr"/>
    </row>
    <row r="158" ht="15" customHeight="1">
      <c r="A158" t="inlineStr">
        <is>
          <t>A 51621-2020</t>
        </is>
      </c>
      <c r="B158" s="1" t="n">
        <v>44109</v>
      </c>
      <c r="C158" s="1" t="n">
        <v>45475</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51608-2020</t>
        </is>
      </c>
      <c r="B159" s="1" t="n">
        <v>44109</v>
      </c>
      <c r="C159" s="1" t="n">
        <v>45475</v>
      </c>
      <c r="D159" t="inlineStr">
        <is>
          <t>DALARNAS LÄN</t>
        </is>
      </c>
      <c r="E159" t="inlineStr">
        <is>
          <t>MORA</t>
        </is>
      </c>
      <c r="G159" t="n">
        <v>4.6</v>
      </c>
      <c r="H159" t="n">
        <v>0</v>
      </c>
      <c r="I159" t="n">
        <v>0</v>
      </c>
      <c r="J159" t="n">
        <v>0</v>
      </c>
      <c r="K159" t="n">
        <v>0</v>
      </c>
      <c r="L159" t="n">
        <v>0</v>
      </c>
      <c r="M159" t="n">
        <v>0</v>
      </c>
      <c r="N159" t="n">
        <v>0</v>
      </c>
      <c r="O159" t="n">
        <v>0</v>
      </c>
      <c r="P159" t="n">
        <v>0</v>
      </c>
      <c r="Q159" t="n">
        <v>0</v>
      </c>
      <c r="R159" s="2" t="inlineStr"/>
    </row>
    <row r="160" ht="15" customHeight="1">
      <c r="A160" t="inlineStr">
        <is>
          <t>A 52732-2020</t>
        </is>
      </c>
      <c r="B160" s="1" t="n">
        <v>44118</v>
      </c>
      <c r="C160" s="1" t="n">
        <v>45475</v>
      </c>
      <c r="D160" t="inlineStr">
        <is>
          <t>DALARNAS LÄN</t>
        </is>
      </c>
      <c r="E160" t="inlineStr">
        <is>
          <t>MORA</t>
        </is>
      </c>
      <c r="G160" t="n">
        <v>3.9</v>
      </c>
      <c r="H160" t="n">
        <v>0</v>
      </c>
      <c r="I160" t="n">
        <v>0</v>
      </c>
      <c r="J160" t="n">
        <v>0</v>
      </c>
      <c r="K160" t="n">
        <v>0</v>
      </c>
      <c r="L160" t="n">
        <v>0</v>
      </c>
      <c r="M160" t="n">
        <v>0</v>
      </c>
      <c r="N160" t="n">
        <v>0</v>
      </c>
      <c r="O160" t="n">
        <v>0</v>
      </c>
      <c r="P160" t="n">
        <v>0</v>
      </c>
      <c r="Q160" t="n">
        <v>0</v>
      </c>
      <c r="R160" s="2" t="inlineStr"/>
    </row>
    <row r="161" ht="15" customHeight="1">
      <c r="A161" t="inlineStr">
        <is>
          <t>A 55249-2020</t>
        </is>
      </c>
      <c r="B161" s="1" t="n">
        <v>44130</v>
      </c>
      <c r="C161" s="1" t="n">
        <v>45475</v>
      </c>
      <c r="D161" t="inlineStr">
        <is>
          <t>DALARNAS LÄN</t>
        </is>
      </c>
      <c r="E161" t="inlineStr">
        <is>
          <t>MORA</t>
        </is>
      </c>
      <c r="G161" t="n">
        <v>2.7</v>
      </c>
      <c r="H161" t="n">
        <v>0</v>
      </c>
      <c r="I161" t="n">
        <v>0</v>
      </c>
      <c r="J161" t="n">
        <v>0</v>
      </c>
      <c r="K161" t="n">
        <v>0</v>
      </c>
      <c r="L161" t="n">
        <v>0</v>
      </c>
      <c r="M161" t="n">
        <v>0</v>
      </c>
      <c r="N161" t="n">
        <v>0</v>
      </c>
      <c r="O161" t="n">
        <v>0</v>
      </c>
      <c r="P161" t="n">
        <v>0</v>
      </c>
      <c r="Q161" t="n">
        <v>0</v>
      </c>
      <c r="R161" s="2" t="inlineStr"/>
    </row>
    <row r="162" ht="15" customHeight="1">
      <c r="A162" t="inlineStr">
        <is>
          <t>A 56071-2020</t>
        </is>
      </c>
      <c r="B162" s="1" t="n">
        <v>44133</v>
      </c>
      <c r="C162" s="1" t="n">
        <v>45475</v>
      </c>
      <c r="D162" t="inlineStr">
        <is>
          <t>DALARNAS LÄN</t>
        </is>
      </c>
      <c r="E162" t="inlineStr">
        <is>
          <t>MORA</t>
        </is>
      </c>
      <c r="G162" t="n">
        <v>6.6</v>
      </c>
      <c r="H162" t="n">
        <v>0</v>
      </c>
      <c r="I162" t="n">
        <v>0</v>
      </c>
      <c r="J162" t="n">
        <v>0</v>
      </c>
      <c r="K162" t="n">
        <v>0</v>
      </c>
      <c r="L162" t="n">
        <v>0</v>
      </c>
      <c r="M162" t="n">
        <v>0</v>
      </c>
      <c r="N162" t="n">
        <v>0</v>
      </c>
      <c r="O162" t="n">
        <v>0</v>
      </c>
      <c r="P162" t="n">
        <v>0</v>
      </c>
      <c r="Q162" t="n">
        <v>0</v>
      </c>
      <c r="R162" s="2" t="inlineStr"/>
    </row>
    <row r="163" ht="15" customHeight="1">
      <c r="A163" t="inlineStr">
        <is>
          <t>A 56501-2020</t>
        </is>
      </c>
      <c r="B163" s="1" t="n">
        <v>44137</v>
      </c>
      <c r="C163" s="1" t="n">
        <v>45475</v>
      </c>
      <c r="D163" t="inlineStr">
        <is>
          <t>DALARNAS LÄN</t>
        </is>
      </c>
      <c r="E163" t="inlineStr">
        <is>
          <t>MORA</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56976-2020</t>
        </is>
      </c>
      <c r="B164" s="1" t="n">
        <v>44138</v>
      </c>
      <c r="C164" s="1" t="n">
        <v>45475</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56974-2020</t>
        </is>
      </c>
      <c r="B165" s="1" t="n">
        <v>44138</v>
      </c>
      <c r="C165" s="1" t="n">
        <v>45475</v>
      </c>
      <c r="D165" t="inlineStr">
        <is>
          <t>DALARNAS LÄN</t>
        </is>
      </c>
      <c r="E165" t="inlineStr">
        <is>
          <t>MORA</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57268-2020</t>
        </is>
      </c>
      <c r="B166" s="1" t="n">
        <v>44139</v>
      </c>
      <c r="C166" s="1" t="n">
        <v>45475</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57848-2020</t>
        </is>
      </c>
      <c r="B167" s="1" t="n">
        <v>44141</v>
      </c>
      <c r="C167" s="1" t="n">
        <v>45475</v>
      </c>
      <c r="D167" t="inlineStr">
        <is>
          <t>DALARNAS LÄN</t>
        </is>
      </c>
      <c r="E167" t="inlineStr">
        <is>
          <t>MORA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57926-2020</t>
        </is>
      </c>
      <c r="B168" s="1" t="n">
        <v>44141</v>
      </c>
      <c r="C168" s="1" t="n">
        <v>45475</v>
      </c>
      <c r="D168" t="inlineStr">
        <is>
          <t>DALARNAS LÄN</t>
        </is>
      </c>
      <c r="E168" t="inlineStr">
        <is>
          <t>MORA</t>
        </is>
      </c>
      <c r="F168" t="inlineStr">
        <is>
          <t>Bergvik skog väst AB</t>
        </is>
      </c>
      <c r="G168" t="n">
        <v>13.1</v>
      </c>
      <c r="H168" t="n">
        <v>0</v>
      </c>
      <c r="I168" t="n">
        <v>0</v>
      </c>
      <c r="J168" t="n">
        <v>0</v>
      </c>
      <c r="K168" t="n">
        <v>0</v>
      </c>
      <c r="L168" t="n">
        <v>0</v>
      </c>
      <c r="M168" t="n">
        <v>0</v>
      </c>
      <c r="N168" t="n">
        <v>0</v>
      </c>
      <c r="O168" t="n">
        <v>0</v>
      </c>
      <c r="P168" t="n">
        <v>0</v>
      </c>
      <c r="Q168" t="n">
        <v>0</v>
      </c>
      <c r="R168" s="2" t="inlineStr"/>
    </row>
    <row r="169" ht="15" customHeight="1">
      <c r="A169" t="inlineStr">
        <is>
          <t>A 60250-2020</t>
        </is>
      </c>
      <c r="B169" s="1" t="n">
        <v>44152</v>
      </c>
      <c r="C169" s="1" t="n">
        <v>45475</v>
      </c>
      <c r="D169" t="inlineStr">
        <is>
          <t>DALARNAS LÄN</t>
        </is>
      </c>
      <c r="E169" t="inlineStr">
        <is>
          <t>MORA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61338-2020</t>
        </is>
      </c>
      <c r="B170" s="1" t="n">
        <v>44155</v>
      </c>
      <c r="C170" s="1" t="n">
        <v>45475</v>
      </c>
      <c r="D170" t="inlineStr">
        <is>
          <t>DALARNAS LÄN</t>
        </is>
      </c>
      <c r="E170" t="inlineStr">
        <is>
          <t>MORA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62301-2020</t>
        </is>
      </c>
      <c r="B171" s="1" t="n">
        <v>44160</v>
      </c>
      <c r="C171" s="1" t="n">
        <v>45475</v>
      </c>
      <c r="D171" t="inlineStr">
        <is>
          <t>DALARNAS LÄN</t>
        </is>
      </c>
      <c r="E171" t="inlineStr">
        <is>
          <t>MORA</t>
        </is>
      </c>
      <c r="G171" t="n">
        <v>2.1</v>
      </c>
      <c r="H171" t="n">
        <v>0</v>
      </c>
      <c r="I171" t="n">
        <v>0</v>
      </c>
      <c r="J171" t="n">
        <v>0</v>
      </c>
      <c r="K171" t="n">
        <v>0</v>
      </c>
      <c r="L171" t="n">
        <v>0</v>
      </c>
      <c r="M171" t="n">
        <v>0</v>
      </c>
      <c r="N171" t="n">
        <v>0</v>
      </c>
      <c r="O171" t="n">
        <v>0</v>
      </c>
      <c r="P171" t="n">
        <v>0</v>
      </c>
      <c r="Q171" t="n">
        <v>0</v>
      </c>
      <c r="R171" s="2" t="inlineStr"/>
    </row>
    <row r="172" ht="15" customHeight="1">
      <c r="A172" t="inlineStr">
        <is>
          <t>A 62266-2020</t>
        </is>
      </c>
      <c r="B172" s="1" t="n">
        <v>44160</v>
      </c>
      <c r="C172" s="1" t="n">
        <v>45475</v>
      </c>
      <c r="D172" t="inlineStr">
        <is>
          <t>DALARNAS LÄN</t>
        </is>
      </c>
      <c r="E172" t="inlineStr">
        <is>
          <t>MORA</t>
        </is>
      </c>
      <c r="F172" t="inlineStr">
        <is>
          <t>Bergvik skog väst AB</t>
        </is>
      </c>
      <c r="G172" t="n">
        <v>5.9</v>
      </c>
      <c r="H172" t="n">
        <v>0</v>
      </c>
      <c r="I172" t="n">
        <v>0</v>
      </c>
      <c r="J172" t="n">
        <v>0</v>
      </c>
      <c r="K172" t="n">
        <v>0</v>
      </c>
      <c r="L172" t="n">
        <v>0</v>
      </c>
      <c r="M172" t="n">
        <v>0</v>
      </c>
      <c r="N172" t="n">
        <v>0</v>
      </c>
      <c r="O172" t="n">
        <v>0</v>
      </c>
      <c r="P172" t="n">
        <v>0</v>
      </c>
      <c r="Q172" t="n">
        <v>0</v>
      </c>
      <c r="R172" s="2" t="inlineStr"/>
    </row>
    <row r="173" ht="15" customHeight="1">
      <c r="A173" t="inlineStr">
        <is>
          <t>A 62268-2020</t>
        </is>
      </c>
      <c r="B173" s="1" t="n">
        <v>44160</v>
      </c>
      <c r="C173" s="1" t="n">
        <v>45475</v>
      </c>
      <c r="D173" t="inlineStr">
        <is>
          <t>DALARNAS LÄN</t>
        </is>
      </c>
      <c r="E173" t="inlineStr">
        <is>
          <t>MORA</t>
        </is>
      </c>
      <c r="F173" t="inlineStr">
        <is>
          <t>Bergvik skog väst AB</t>
        </is>
      </c>
      <c r="G173" t="n">
        <v>3.5</v>
      </c>
      <c r="H173" t="n">
        <v>0</v>
      </c>
      <c r="I173" t="n">
        <v>0</v>
      </c>
      <c r="J173" t="n">
        <v>0</v>
      </c>
      <c r="K173" t="n">
        <v>0</v>
      </c>
      <c r="L173" t="n">
        <v>0</v>
      </c>
      <c r="M173" t="n">
        <v>0</v>
      </c>
      <c r="N173" t="n">
        <v>0</v>
      </c>
      <c r="O173" t="n">
        <v>0</v>
      </c>
      <c r="P173" t="n">
        <v>0</v>
      </c>
      <c r="Q173" t="n">
        <v>0</v>
      </c>
      <c r="R173" s="2" t="inlineStr"/>
    </row>
    <row r="174" ht="15" customHeight="1">
      <c r="A174" t="inlineStr">
        <is>
          <t>A 65301-2020</t>
        </is>
      </c>
      <c r="B174" s="1" t="n">
        <v>44169</v>
      </c>
      <c r="C174" s="1" t="n">
        <v>45475</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67028-2020</t>
        </is>
      </c>
      <c r="B175" s="1" t="n">
        <v>44180</v>
      </c>
      <c r="C175" s="1" t="n">
        <v>45475</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66990-2020</t>
        </is>
      </c>
      <c r="B176" s="1" t="n">
        <v>44180</v>
      </c>
      <c r="C176" s="1" t="n">
        <v>45475</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68468-2020</t>
        </is>
      </c>
      <c r="B177" s="1" t="n">
        <v>44186</v>
      </c>
      <c r="C177" s="1" t="n">
        <v>45475</v>
      </c>
      <c r="D177" t="inlineStr">
        <is>
          <t>DALARNAS LÄN</t>
        </is>
      </c>
      <c r="E177" t="inlineStr">
        <is>
          <t>MORA</t>
        </is>
      </c>
      <c r="F177" t="inlineStr">
        <is>
          <t>Bergvik skog öst AB</t>
        </is>
      </c>
      <c r="G177" t="n">
        <v>6.5</v>
      </c>
      <c r="H177" t="n">
        <v>0</v>
      </c>
      <c r="I177" t="n">
        <v>0</v>
      </c>
      <c r="J177" t="n">
        <v>0</v>
      </c>
      <c r="K177" t="n">
        <v>0</v>
      </c>
      <c r="L177" t="n">
        <v>0</v>
      </c>
      <c r="M177" t="n">
        <v>0</v>
      </c>
      <c r="N177" t="n">
        <v>0</v>
      </c>
      <c r="O177" t="n">
        <v>0</v>
      </c>
      <c r="P177" t="n">
        <v>0</v>
      </c>
      <c r="Q177" t="n">
        <v>0</v>
      </c>
      <c r="R177" s="2" t="inlineStr"/>
    </row>
    <row r="178" ht="15" customHeight="1">
      <c r="A178" t="inlineStr">
        <is>
          <t>A 68832-2020</t>
        </is>
      </c>
      <c r="B178" s="1" t="n">
        <v>44187</v>
      </c>
      <c r="C178" s="1" t="n">
        <v>45475</v>
      </c>
      <c r="D178" t="inlineStr">
        <is>
          <t>DALARNAS LÄN</t>
        </is>
      </c>
      <c r="E178" t="inlineStr">
        <is>
          <t>MORA</t>
        </is>
      </c>
      <c r="G178" t="n">
        <v>7.7</v>
      </c>
      <c r="H178" t="n">
        <v>0</v>
      </c>
      <c r="I178" t="n">
        <v>0</v>
      </c>
      <c r="J178" t="n">
        <v>0</v>
      </c>
      <c r="K178" t="n">
        <v>0</v>
      </c>
      <c r="L178" t="n">
        <v>0</v>
      </c>
      <c r="M178" t="n">
        <v>0</v>
      </c>
      <c r="N178" t="n">
        <v>0</v>
      </c>
      <c r="O178" t="n">
        <v>0</v>
      </c>
      <c r="P178" t="n">
        <v>0</v>
      </c>
      <c r="Q178" t="n">
        <v>0</v>
      </c>
      <c r="R178" s="2" t="inlineStr"/>
    </row>
    <row r="179" ht="15" customHeight="1">
      <c r="A179" t="inlineStr">
        <is>
          <t>A 69517-2020</t>
        </is>
      </c>
      <c r="B179" s="1" t="n">
        <v>44194</v>
      </c>
      <c r="C179" s="1" t="n">
        <v>45475</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69519-2020</t>
        </is>
      </c>
      <c r="B180" s="1" t="n">
        <v>44194</v>
      </c>
      <c r="C180" s="1" t="n">
        <v>45475</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655-2021</t>
        </is>
      </c>
      <c r="B181" s="1" t="n">
        <v>44203</v>
      </c>
      <c r="C181" s="1" t="n">
        <v>45475</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768-2021</t>
        </is>
      </c>
      <c r="B182" s="1" t="n">
        <v>44203</v>
      </c>
      <c r="C182" s="1" t="n">
        <v>45475</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770-2021</t>
        </is>
      </c>
      <c r="B183" s="1" t="n">
        <v>44203</v>
      </c>
      <c r="C183" s="1" t="n">
        <v>45475</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782-2021</t>
        </is>
      </c>
      <c r="B184" s="1" t="n">
        <v>44203</v>
      </c>
      <c r="C184" s="1" t="n">
        <v>45475</v>
      </c>
      <c r="D184" t="inlineStr">
        <is>
          <t>DALARNAS LÄN</t>
        </is>
      </c>
      <c r="E184" t="inlineStr">
        <is>
          <t>MORA</t>
        </is>
      </c>
      <c r="G184" t="n">
        <v>1.7</v>
      </c>
      <c r="H184" t="n">
        <v>0</v>
      </c>
      <c r="I184" t="n">
        <v>0</v>
      </c>
      <c r="J184" t="n">
        <v>0</v>
      </c>
      <c r="K184" t="n">
        <v>0</v>
      </c>
      <c r="L184" t="n">
        <v>0</v>
      </c>
      <c r="M184" t="n">
        <v>0</v>
      </c>
      <c r="N184" t="n">
        <v>0</v>
      </c>
      <c r="O184" t="n">
        <v>0</v>
      </c>
      <c r="P184" t="n">
        <v>0</v>
      </c>
      <c r="Q184" t="n">
        <v>0</v>
      </c>
      <c r="R184" s="2" t="inlineStr"/>
    </row>
    <row r="185" ht="15" customHeight="1">
      <c r="A185" t="inlineStr">
        <is>
          <t>A 787-2021</t>
        </is>
      </c>
      <c r="B185" s="1" t="n">
        <v>44203</v>
      </c>
      <c r="C185" s="1" t="n">
        <v>45475</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657-2021</t>
        </is>
      </c>
      <c r="B186" s="1" t="n">
        <v>44203</v>
      </c>
      <c r="C186" s="1" t="n">
        <v>45475</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769-2021</t>
        </is>
      </c>
      <c r="B187" s="1" t="n">
        <v>44203</v>
      </c>
      <c r="C187" s="1" t="n">
        <v>45475</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790-2021</t>
        </is>
      </c>
      <c r="B188" s="1" t="n">
        <v>44203</v>
      </c>
      <c r="C188" s="1" t="n">
        <v>45475</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837-2021</t>
        </is>
      </c>
      <c r="B189" s="1" t="n">
        <v>44204</v>
      </c>
      <c r="C189" s="1" t="n">
        <v>45475</v>
      </c>
      <c r="D189" t="inlineStr">
        <is>
          <t>DALARNAS LÄN</t>
        </is>
      </c>
      <c r="E189" t="inlineStr">
        <is>
          <t>MORA</t>
        </is>
      </c>
      <c r="G189" t="n">
        <v>10.4</v>
      </c>
      <c r="H189" t="n">
        <v>0</v>
      </c>
      <c r="I189" t="n">
        <v>0</v>
      </c>
      <c r="J189" t="n">
        <v>0</v>
      </c>
      <c r="K189" t="n">
        <v>0</v>
      </c>
      <c r="L189" t="n">
        <v>0</v>
      </c>
      <c r="M189" t="n">
        <v>0</v>
      </c>
      <c r="N189" t="n">
        <v>0</v>
      </c>
      <c r="O189" t="n">
        <v>0</v>
      </c>
      <c r="P189" t="n">
        <v>0</v>
      </c>
      <c r="Q189" t="n">
        <v>0</v>
      </c>
      <c r="R189" s="2" t="inlineStr"/>
    </row>
    <row r="190" ht="15" customHeight="1">
      <c r="A190" t="inlineStr">
        <is>
          <t>A 1951-2021</t>
        </is>
      </c>
      <c r="B190" s="1" t="n">
        <v>44210</v>
      </c>
      <c r="C190" s="1" t="n">
        <v>45475</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8064-2021</t>
        </is>
      </c>
      <c r="B191" s="1" t="n">
        <v>44243</v>
      </c>
      <c r="C191" s="1" t="n">
        <v>45475</v>
      </c>
      <c r="D191" t="inlineStr">
        <is>
          <t>DALARNAS LÄN</t>
        </is>
      </c>
      <c r="E191" t="inlineStr">
        <is>
          <t>MORA</t>
        </is>
      </c>
      <c r="G191" t="n">
        <v>4</v>
      </c>
      <c r="H191" t="n">
        <v>0</v>
      </c>
      <c r="I191" t="n">
        <v>0</v>
      </c>
      <c r="J191" t="n">
        <v>0</v>
      </c>
      <c r="K191" t="n">
        <v>0</v>
      </c>
      <c r="L191" t="n">
        <v>0</v>
      </c>
      <c r="M191" t="n">
        <v>0</v>
      </c>
      <c r="N191" t="n">
        <v>0</v>
      </c>
      <c r="O191" t="n">
        <v>0</v>
      </c>
      <c r="P191" t="n">
        <v>0</v>
      </c>
      <c r="Q191" t="n">
        <v>0</v>
      </c>
      <c r="R191" s="2" t="inlineStr"/>
    </row>
    <row r="192" ht="15" customHeight="1">
      <c r="A192" t="inlineStr">
        <is>
          <t>A 8146-2021</t>
        </is>
      </c>
      <c r="B192" s="1" t="n">
        <v>44244</v>
      </c>
      <c r="C192" s="1" t="n">
        <v>45475</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8153-2021</t>
        </is>
      </c>
      <c r="B193" s="1" t="n">
        <v>44244</v>
      </c>
      <c r="C193" s="1" t="n">
        <v>45475</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12151-2021</t>
        </is>
      </c>
      <c r="B194" s="1" t="n">
        <v>44266</v>
      </c>
      <c r="C194" s="1" t="n">
        <v>45475</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16840-2021</t>
        </is>
      </c>
      <c r="B195" s="1" t="n">
        <v>44295</v>
      </c>
      <c r="C195" s="1" t="n">
        <v>45475</v>
      </c>
      <c r="D195" t="inlineStr">
        <is>
          <t>DALARNAS LÄN</t>
        </is>
      </c>
      <c r="E195" t="inlineStr">
        <is>
          <t>MORA</t>
        </is>
      </c>
      <c r="G195" t="n">
        <v>11.5</v>
      </c>
      <c r="H195" t="n">
        <v>0</v>
      </c>
      <c r="I195" t="n">
        <v>0</v>
      </c>
      <c r="J195" t="n">
        <v>0</v>
      </c>
      <c r="K195" t="n">
        <v>0</v>
      </c>
      <c r="L195" t="n">
        <v>0</v>
      </c>
      <c r="M195" t="n">
        <v>0</v>
      </c>
      <c r="N195" t="n">
        <v>0</v>
      </c>
      <c r="O195" t="n">
        <v>0</v>
      </c>
      <c r="P195" t="n">
        <v>0</v>
      </c>
      <c r="Q195" t="n">
        <v>0</v>
      </c>
      <c r="R195" s="2" t="inlineStr"/>
    </row>
    <row r="196" ht="15" customHeight="1">
      <c r="A196" t="inlineStr">
        <is>
          <t>A 17915-2021</t>
        </is>
      </c>
      <c r="B196" s="1" t="n">
        <v>44301</v>
      </c>
      <c r="C196" s="1" t="n">
        <v>45475</v>
      </c>
      <c r="D196" t="inlineStr">
        <is>
          <t>DALARNAS LÄN</t>
        </is>
      </c>
      <c r="E196" t="inlineStr">
        <is>
          <t>MORA</t>
        </is>
      </c>
      <c r="G196" t="n">
        <v>4.4</v>
      </c>
      <c r="H196" t="n">
        <v>0</v>
      </c>
      <c r="I196" t="n">
        <v>0</v>
      </c>
      <c r="J196" t="n">
        <v>0</v>
      </c>
      <c r="K196" t="n">
        <v>0</v>
      </c>
      <c r="L196" t="n">
        <v>0</v>
      </c>
      <c r="M196" t="n">
        <v>0</v>
      </c>
      <c r="N196" t="n">
        <v>0</v>
      </c>
      <c r="O196" t="n">
        <v>0</v>
      </c>
      <c r="P196" t="n">
        <v>0</v>
      </c>
      <c r="Q196" t="n">
        <v>0</v>
      </c>
      <c r="R196" s="2" t="inlineStr"/>
    </row>
    <row r="197" ht="15" customHeight="1">
      <c r="A197" t="inlineStr">
        <is>
          <t>A 17904-2021</t>
        </is>
      </c>
      <c r="B197" s="1" t="n">
        <v>44301</v>
      </c>
      <c r="C197" s="1" t="n">
        <v>45475</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19383-2021</t>
        </is>
      </c>
      <c r="B198" s="1" t="n">
        <v>44309</v>
      </c>
      <c r="C198" s="1" t="n">
        <v>45475</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19896-2021</t>
        </is>
      </c>
      <c r="B199" s="1" t="n">
        <v>44313</v>
      </c>
      <c r="C199" s="1" t="n">
        <v>45475</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20125-2021</t>
        </is>
      </c>
      <c r="B200" s="1" t="n">
        <v>44314</v>
      </c>
      <c r="C200" s="1" t="n">
        <v>45475</v>
      </c>
      <c r="D200" t="inlineStr">
        <is>
          <t>DALARNAS LÄN</t>
        </is>
      </c>
      <c r="E200" t="inlineStr">
        <is>
          <t>MORA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22931-2021</t>
        </is>
      </c>
      <c r="B201" s="1" t="n">
        <v>44326</v>
      </c>
      <c r="C201" s="1" t="n">
        <v>45475</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24465-2021</t>
        </is>
      </c>
      <c r="B202" s="1" t="n">
        <v>44337</v>
      </c>
      <c r="C202" s="1" t="n">
        <v>45475</v>
      </c>
      <c r="D202" t="inlineStr">
        <is>
          <t>DALARNAS LÄN</t>
        </is>
      </c>
      <c r="E202" t="inlineStr">
        <is>
          <t>MORA</t>
        </is>
      </c>
      <c r="G202" t="n">
        <v>2.6</v>
      </c>
      <c r="H202" t="n">
        <v>0</v>
      </c>
      <c r="I202" t="n">
        <v>0</v>
      </c>
      <c r="J202" t="n">
        <v>0</v>
      </c>
      <c r="K202" t="n">
        <v>0</v>
      </c>
      <c r="L202" t="n">
        <v>0</v>
      </c>
      <c r="M202" t="n">
        <v>0</v>
      </c>
      <c r="N202" t="n">
        <v>0</v>
      </c>
      <c r="O202" t="n">
        <v>0</v>
      </c>
      <c r="P202" t="n">
        <v>0</v>
      </c>
      <c r="Q202" t="n">
        <v>0</v>
      </c>
      <c r="R202" s="2" t="inlineStr"/>
    </row>
    <row r="203" ht="15" customHeight="1">
      <c r="A203" t="inlineStr">
        <is>
          <t>A 25750-2021</t>
        </is>
      </c>
      <c r="B203" s="1" t="n">
        <v>44343</v>
      </c>
      <c r="C203" s="1" t="n">
        <v>45475</v>
      </c>
      <c r="D203" t="inlineStr">
        <is>
          <t>DALARNAS LÄN</t>
        </is>
      </c>
      <c r="E203" t="inlineStr">
        <is>
          <t>MORA</t>
        </is>
      </c>
      <c r="G203" t="n">
        <v>3.4</v>
      </c>
      <c r="H203" t="n">
        <v>0</v>
      </c>
      <c r="I203" t="n">
        <v>0</v>
      </c>
      <c r="J203" t="n">
        <v>0</v>
      </c>
      <c r="K203" t="n">
        <v>0</v>
      </c>
      <c r="L203" t="n">
        <v>0</v>
      </c>
      <c r="M203" t="n">
        <v>0</v>
      </c>
      <c r="N203" t="n">
        <v>0</v>
      </c>
      <c r="O203" t="n">
        <v>0</v>
      </c>
      <c r="P203" t="n">
        <v>0</v>
      </c>
      <c r="Q203" t="n">
        <v>0</v>
      </c>
      <c r="R203" s="2" t="inlineStr"/>
    </row>
    <row r="204" ht="15" customHeight="1">
      <c r="A204" t="inlineStr">
        <is>
          <t>A 26314-2021</t>
        </is>
      </c>
      <c r="B204" s="1" t="n">
        <v>44347</v>
      </c>
      <c r="C204" s="1" t="n">
        <v>45475</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29697-2021</t>
        </is>
      </c>
      <c r="B205" s="1" t="n">
        <v>44362</v>
      </c>
      <c r="C205" s="1" t="n">
        <v>45475</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30030-2021</t>
        </is>
      </c>
      <c r="B206" s="1" t="n">
        <v>44363</v>
      </c>
      <c r="C206" s="1" t="n">
        <v>45475</v>
      </c>
      <c r="D206" t="inlineStr">
        <is>
          <t>DALARNAS LÄN</t>
        </is>
      </c>
      <c r="E206" t="inlineStr">
        <is>
          <t>MORA</t>
        </is>
      </c>
      <c r="G206" t="n">
        <v>7.1</v>
      </c>
      <c r="H206" t="n">
        <v>0</v>
      </c>
      <c r="I206" t="n">
        <v>0</v>
      </c>
      <c r="J206" t="n">
        <v>0</v>
      </c>
      <c r="K206" t="n">
        <v>0</v>
      </c>
      <c r="L206" t="n">
        <v>0</v>
      </c>
      <c r="M206" t="n">
        <v>0</v>
      </c>
      <c r="N206" t="n">
        <v>0</v>
      </c>
      <c r="O206" t="n">
        <v>0</v>
      </c>
      <c r="P206" t="n">
        <v>0</v>
      </c>
      <c r="Q206" t="n">
        <v>0</v>
      </c>
      <c r="R206" s="2" t="inlineStr"/>
    </row>
    <row r="207" ht="15" customHeight="1">
      <c r="A207" t="inlineStr">
        <is>
          <t>A 30895-2021</t>
        </is>
      </c>
      <c r="B207" s="1" t="n">
        <v>44365</v>
      </c>
      <c r="C207" s="1" t="n">
        <v>45475</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30888-2021</t>
        </is>
      </c>
      <c r="B208" s="1" t="n">
        <v>44365</v>
      </c>
      <c r="C208" s="1" t="n">
        <v>45475</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30905-2021</t>
        </is>
      </c>
      <c r="B209" s="1" t="n">
        <v>44365</v>
      </c>
      <c r="C209" s="1" t="n">
        <v>45475</v>
      </c>
      <c r="D209" t="inlineStr">
        <is>
          <t>DALARNAS LÄN</t>
        </is>
      </c>
      <c r="E209" t="inlineStr">
        <is>
          <t>MORA</t>
        </is>
      </c>
      <c r="G209" t="n">
        <v>2.6</v>
      </c>
      <c r="H209" t="n">
        <v>0</v>
      </c>
      <c r="I209" t="n">
        <v>0</v>
      </c>
      <c r="J209" t="n">
        <v>0</v>
      </c>
      <c r="K209" t="n">
        <v>0</v>
      </c>
      <c r="L209" t="n">
        <v>0</v>
      </c>
      <c r="M209" t="n">
        <v>0</v>
      </c>
      <c r="N209" t="n">
        <v>0</v>
      </c>
      <c r="O209" t="n">
        <v>0</v>
      </c>
      <c r="P209" t="n">
        <v>0</v>
      </c>
      <c r="Q209" t="n">
        <v>0</v>
      </c>
      <c r="R209" s="2" t="inlineStr"/>
    </row>
    <row r="210" ht="15" customHeight="1">
      <c r="A210" t="inlineStr">
        <is>
          <t>A 31169-2021</t>
        </is>
      </c>
      <c r="B210" s="1" t="n">
        <v>44368</v>
      </c>
      <c r="C210" s="1" t="n">
        <v>45475</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31177-2021</t>
        </is>
      </c>
      <c r="B211" s="1" t="n">
        <v>44368</v>
      </c>
      <c r="C211" s="1" t="n">
        <v>45475</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31689-2021</t>
        </is>
      </c>
      <c r="B212" s="1" t="n">
        <v>44369</v>
      </c>
      <c r="C212" s="1" t="n">
        <v>45475</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31705-2021</t>
        </is>
      </c>
      <c r="B213" s="1" t="n">
        <v>44369</v>
      </c>
      <c r="C213" s="1" t="n">
        <v>45475</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34018-2021</t>
        </is>
      </c>
      <c r="B214" s="1" t="n">
        <v>44379</v>
      </c>
      <c r="C214" s="1" t="n">
        <v>45475</v>
      </c>
      <c r="D214" t="inlineStr">
        <is>
          <t>DALARNAS LÄN</t>
        </is>
      </c>
      <c r="E214" t="inlineStr">
        <is>
          <t>MORA</t>
        </is>
      </c>
      <c r="G214" t="n">
        <v>5.7</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v>
      </c>
      <c r="C215" s="1" t="n">
        <v>45475</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34715-2021</t>
        </is>
      </c>
      <c r="B216" s="1" t="n">
        <v>44382</v>
      </c>
      <c r="C216" s="1" t="n">
        <v>45475</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34875-2021</t>
        </is>
      </c>
      <c r="B217" s="1" t="n">
        <v>44383</v>
      </c>
      <c r="C217" s="1" t="n">
        <v>45475</v>
      </c>
      <c r="D217" t="inlineStr">
        <is>
          <t>DALARNAS LÄN</t>
        </is>
      </c>
      <c r="E217" t="inlineStr">
        <is>
          <t>MORA</t>
        </is>
      </c>
      <c r="G217" t="n">
        <v>5.2</v>
      </c>
      <c r="H217" t="n">
        <v>0</v>
      </c>
      <c r="I217" t="n">
        <v>0</v>
      </c>
      <c r="J217" t="n">
        <v>0</v>
      </c>
      <c r="K217" t="n">
        <v>0</v>
      </c>
      <c r="L217" t="n">
        <v>0</v>
      </c>
      <c r="M217" t="n">
        <v>0</v>
      </c>
      <c r="N217" t="n">
        <v>0</v>
      </c>
      <c r="O217" t="n">
        <v>0</v>
      </c>
      <c r="P217" t="n">
        <v>0</v>
      </c>
      <c r="Q217" t="n">
        <v>0</v>
      </c>
      <c r="R217" s="2" t="inlineStr"/>
    </row>
    <row r="218" ht="15" customHeight="1">
      <c r="A218" t="inlineStr">
        <is>
          <t>A 35005-2021</t>
        </is>
      </c>
      <c r="B218" s="1" t="n">
        <v>44383</v>
      </c>
      <c r="C218" s="1" t="n">
        <v>45475</v>
      </c>
      <c r="D218" t="inlineStr">
        <is>
          <t>DALARNAS LÄN</t>
        </is>
      </c>
      <c r="E218" t="inlineStr">
        <is>
          <t>MORA</t>
        </is>
      </c>
      <c r="G218" t="n">
        <v>1.3</v>
      </c>
      <c r="H218" t="n">
        <v>0</v>
      </c>
      <c r="I218" t="n">
        <v>0</v>
      </c>
      <c r="J218" t="n">
        <v>0</v>
      </c>
      <c r="K218" t="n">
        <v>0</v>
      </c>
      <c r="L218" t="n">
        <v>0</v>
      </c>
      <c r="M218" t="n">
        <v>0</v>
      </c>
      <c r="N218" t="n">
        <v>0</v>
      </c>
      <c r="O218" t="n">
        <v>0</v>
      </c>
      <c r="P218" t="n">
        <v>0</v>
      </c>
      <c r="Q218" t="n">
        <v>0</v>
      </c>
      <c r="R218" s="2" t="inlineStr"/>
    </row>
    <row r="219" ht="15" customHeight="1">
      <c r="A219" t="inlineStr">
        <is>
          <t>A 36168-2021</t>
        </is>
      </c>
      <c r="B219" s="1" t="n">
        <v>44389</v>
      </c>
      <c r="C219" s="1" t="n">
        <v>45475</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36184-2021</t>
        </is>
      </c>
      <c r="B220" s="1" t="n">
        <v>44389</v>
      </c>
      <c r="C220" s="1" t="n">
        <v>45475</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36173-2021</t>
        </is>
      </c>
      <c r="B221" s="1" t="n">
        <v>44389</v>
      </c>
      <c r="C221" s="1" t="n">
        <v>45475</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38769-2021</t>
        </is>
      </c>
      <c r="B222" s="1" t="n">
        <v>44410</v>
      </c>
      <c r="C222" s="1" t="n">
        <v>45475</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39227-2021</t>
        </is>
      </c>
      <c r="B223" s="1" t="n">
        <v>44413</v>
      </c>
      <c r="C223" s="1" t="n">
        <v>45475</v>
      </c>
      <c r="D223" t="inlineStr">
        <is>
          <t>DALARNAS LÄN</t>
        </is>
      </c>
      <c r="E223" t="inlineStr">
        <is>
          <t>MORA</t>
        </is>
      </c>
      <c r="G223" t="n">
        <v>3.3</v>
      </c>
      <c r="H223" t="n">
        <v>0</v>
      </c>
      <c r="I223" t="n">
        <v>0</v>
      </c>
      <c r="J223" t="n">
        <v>0</v>
      </c>
      <c r="K223" t="n">
        <v>0</v>
      </c>
      <c r="L223" t="n">
        <v>0</v>
      </c>
      <c r="M223" t="n">
        <v>0</v>
      </c>
      <c r="N223" t="n">
        <v>0</v>
      </c>
      <c r="O223" t="n">
        <v>0</v>
      </c>
      <c r="P223" t="n">
        <v>0</v>
      </c>
      <c r="Q223" t="n">
        <v>0</v>
      </c>
      <c r="R223" s="2" t="inlineStr"/>
    </row>
    <row r="224" ht="15" customHeight="1">
      <c r="A224" t="inlineStr">
        <is>
          <t>A 39198-2021</t>
        </is>
      </c>
      <c r="B224" s="1" t="n">
        <v>44413</v>
      </c>
      <c r="C224" s="1" t="n">
        <v>45475</v>
      </c>
      <c r="D224" t="inlineStr">
        <is>
          <t>DALARNAS LÄN</t>
        </is>
      </c>
      <c r="E224" t="inlineStr">
        <is>
          <t>MORA</t>
        </is>
      </c>
      <c r="G224" t="n">
        <v>4.6</v>
      </c>
      <c r="H224" t="n">
        <v>0</v>
      </c>
      <c r="I224" t="n">
        <v>0</v>
      </c>
      <c r="J224" t="n">
        <v>0</v>
      </c>
      <c r="K224" t="n">
        <v>0</v>
      </c>
      <c r="L224" t="n">
        <v>0</v>
      </c>
      <c r="M224" t="n">
        <v>0</v>
      </c>
      <c r="N224" t="n">
        <v>0</v>
      </c>
      <c r="O224" t="n">
        <v>0</v>
      </c>
      <c r="P224" t="n">
        <v>0</v>
      </c>
      <c r="Q224" t="n">
        <v>0</v>
      </c>
      <c r="R224" s="2" t="inlineStr"/>
    </row>
    <row r="225" ht="15" customHeight="1">
      <c r="A225" t="inlineStr">
        <is>
          <t>A 39672-2021</t>
        </is>
      </c>
      <c r="B225" s="1" t="n">
        <v>44417</v>
      </c>
      <c r="C225" s="1" t="n">
        <v>45475</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41022-2021</t>
        </is>
      </c>
      <c r="B226" s="1" t="n">
        <v>44421</v>
      </c>
      <c r="C226" s="1" t="n">
        <v>45475</v>
      </c>
      <c r="D226" t="inlineStr">
        <is>
          <t>DALARNAS LÄN</t>
        </is>
      </c>
      <c r="E226" t="inlineStr">
        <is>
          <t>MORA</t>
        </is>
      </c>
      <c r="G226" t="n">
        <v>11.9</v>
      </c>
      <c r="H226" t="n">
        <v>0</v>
      </c>
      <c r="I226" t="n">
        <v>0</v>
      </c>
      <c r="J226" t="n">
        <v>0</v>
      </c>
      <c r="K226" t="n">
        <v>0</v>
      </c>
      <c r="L226" t="n">
        <v>0</v>
      </c>
      <c r="M226" t="n">
        <v>0</v>
      </c>
      <c r="N226" t="n">
        <v>0</v>
      </c>
      <c r="O226" t="n">
        <v>0</v>
      </c>
      <c r="P226" t="n">
        <v>0</v>
      </c>
      <c r="Q226" t="n">
        <v>0</v>
      </c>
      <c r="R226" s="2" t="inlineStr"/>
    </row>
    <row r="227" ht="15" customHeight="1">
      <c r="A227" t="inlineStr">
        <is>
          <t>A 41028-2021</t>
        </is>
      </c>
      <c r="B227" s="1" t="n">
        <v>44421</v>
      </c>
      <c r="C227" s="1" t="n">
        <v>45475</v>
      </c>
      <c r="D227" t="inlineStr">
        <is>
          <t>DALARNAS LÄN</t>
        </is>
      </c>
      <c r="E227" t="inlineStr">
        <is>
          <t>MORA</t>
        </is>
      </c>
      <c r="G227" t="n">
        <v>7.2</v>
      </c>
      <c r="H227" t="n">
        <v>0</v>
      </c>
      <c r="I227" t="n">
        <v>0</v>
      </c>
      <c r="J227" t="n">
        <v>0</v>
      </c>
      <c r="K227" t="n">
        <v>0</v>
      </c>
      <c r="L227" t="n">
        <v>0</v>
      </c>
      <c r="M227" t="n">
        <v>0</v>
      </c>
      <c r="N227" t="n">
        <v>0</v>
      </c>
      <c r="O227" t="n">
        <v>0</v>
      </c>
      <c r="P227" t="n">
        <v>0</v>
      </c>
      <c r="Q227" t="n">
        <v>0</v>
      </c>
      <c r="R227" s="2" t="inlineStr"/>
    </row>
    <row r="228" ht="15" customHeight="1">
      <c r="A228" t="inlineStr">
        <is>
          <t>A 41032-2021</t>
        </is>
      </c>
      <c r="B228" s="1" t="n">
        <v>44421</v>
      </c>
      <c r="C228" s="1" t="n">
        <v>45475</v>
      </c>
      <c r="D228" t="inlineStr">
        <is>
          <t>DALARNAS LÄN</t>
        </is>
      </c>
      <c r="E228" t="inlineStr">
        <is>
          <t>MORA</t>
        </is>
      </c>
      <c r="G228" t="n">
        <v>4.1</v>
      </c>
      <c r="H228" t="n">
        <v>0</v>
      </c>
      <c r="I228" t="n">
        <v>0</v>
      </c>
      <c r="J228" t="n">
        <v>0</v>
      </c>
      <c r="K228" t="n">
        <v>0</v>
      </c>
      <c r="L228" t="n">
        <v>0</v>
      </c>
      <c r="M228" t="n">
        <v>0</v>
      </c>
      <c r="N228" t="n">
        <v>0</v>
      </c>
      <c r="O228" t="n">
        <v>0</v>
      </c>
      <c r="P228" t="n">
        <v>0</v>
      </c>
      <c r="Q228" t="n">
        <v>0</v>
      </c>
      <c r="R228" s="2" t="inlineStr"/>
    </row>
    <row r="229" ht="15" customHeight="1">
      <c r="A229" t="inlineStr">
        <is>
          <t>A 41121-2021</t>
        </is>
      </c>
      <c r="B229" s="1" t="n">
        <v>44423</v>
      </c>
      <c r="C229" s="1" t="n">
        <v>45475</v>
      </c>
      <c r="D229" t="inlineStr">
        <is>
          <t>DALARNAS LÄN</t>
        </is>
      </c>
      <c r="E229" t="inlineStr">
        <is>
          <t>MORA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42508-2021</t>
        </is>
      </c>
      <c r="B230" s="1" t="n">
        <v>44427</v>
      </c>
      <c r="C230" s="1" t="n">
        <v>45475</v>
      </c>
      <c r="D230" t="inlineStr">
        <is>
          <t>DALARNAS LÄN</t>
        </is>
      </c>
      <c r="E230" t="inlineStr">
        <is>
          <t>MORA</t>
        </is>
      </c>
      <c r="G230" t="n">
        <v>1.3</v>
      </c>
      <c r="H230" t="n">
        <v>0</v>
      </c>
      <c r="I230" t="n">
        <v>0</v>
      </c>
      <c r="J230" t="n">
        <v>0</v>
      </c>
      <c r="K230" t="n">
        <v>0</v>
      </c>
      <c r="L230" t="n">
        <v>0</v>
      </c>
      <c r="M230" t="n">
        <v>0</v>
      </c>
      <c r="N230" t="n">
        <v>0</v>
      </c>
      <c r="O230" t="n">
        <v>0</v>
      </c>
      <c r="P230" t="n">
        <v>0</v>
      </c>
      <c r="Q230" t="n">
        <v>0</v>
      </c>
      <c r="R230" s="2" t="inlineStr"/>
    </row>
    <row r="231" ht="15" customHeight="1">
      <c r="A231" t="inlineStr">
        <is>
          <t>A 42505-2021</t>
        </is>
      </c>
      <c r="B231" s="1" t="n">
        <v>44427</v>
      </c>
      <c r="C231" s="1" t="n">
        <v>45475</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43458-2021</t>
        </is>
      </c>
      <c r="B232" s="1" t="n">
        <v>44432</v>
      </c>
      <c r="C232" s="1" t="n">
        <v>45475</v>
      </c>
      <c r="D232" t="inlineStr">
        <is>
          <t>DALARNAS LÄN</t>
        </is>
      </c>
      <c r="E232" t="inlineStr">
        <is>
          <t>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44307-2021</t>
        </is>
      </c>
      <c r="B233" s="1" t="n">
        <v>44435</v>
      </c>
      <c r="C233" s="1" t="n">
        <v>45475</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44426-2021</t>
        </is>
      </c>
      <c r="B234" s="1" t="n">
        <v>44435</v>
      </c>
      <c r="C234" s="1" t="n">
        <v>45475</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44756-2021</t>
        </is>
      </c>
      <c r="B235" s="1" t="n">
        <v>44438</v>
      </c>
      <c r="C235" s="1" t="n">
        <v>45475</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44769-2021</t>
        </is>
      </c>
      <c r="B236" s="1" t="n">
        <v>44438</v>
      </c>
      <c r="C236" s="1" t="n">
        <v>45475</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44765-2021</t>
        </is>
      </c>
      <c r="B237" s="1" t="n">
        <v>44438</v>
      </c>
      <c r="C237" s="1" t="n">
        <v>45475</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45453-2021</t>
        </is>
      </c>
      <c r="B238" s="1" t="n">
        <v>44440</v>
      </c>
      <c r="C238" s="1" t="n">
        <v>45475</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45765-2021</t>
        </is>
      </c>
      <c r="B239" s="1" t="n">
        <v>44441</v>
      </c>
      <c r="C239" s="1" t="n">
        <v>45475</v>
      </c>
      <c r="D239" t="inlineStr">
        <is>
          <t>DALARNAS LÄN</t>
        </is>
      </c>
      <c r="E239" t="inlineStr">
        <is>
          <t>MORA</t>
        </is>
      </c>
      <c r="G239" t="n">
        <v>1.8</v>
      </c>
      <c r="H239" t="n">
        <v>0</v>
      </c>
      <c r="I239" t="n">
        <v>0</v>
      </c>
      <c r="J239" t="n">
        <v>0</v>
      </c>
      <c r="K239" t="n">
        <v>0</v>
      </c>
      <c r="L239" t="n">
        <v>0</v>
      </c>
      <c r="M239" t="n">
        <v>0</v>
      </c>
      <c r="N239" t="n">
        <v>0</v>
      </c>
      <c r="O239" t="n">
        <v>0</v>
      </c>
      <c r="P239" t="n">
        <v>0</v>
      </c>
      <c r="Q239" t="n">
        <v>0</v>
      </c>
      <c r="R239" s="2" t="inlineStr"/>
    </row>
    <row r="240" ht="15" customHeight="1">
      <c r="A240" t="inlineStr">
        <is>
          <t>A 45770-2021</t>
        </is>
      </c>
      <c r="B240" s="1" t="n">
        <v>44441</v>
      </c>
      <c r="C240" s="1" t="n">
        <v>45475</v>
      </c>
      <c r="D240" t="inlineStr">
        <is>
          <t>DALARNAS LÄN</t>
        </is>
      </c>
      <c r="E240" t="inlineStr">
        <is>
          <t>MORA</t>
        </is>
      </c>
      <c r="G240" t="n">
        <v>23.1</v>
      </c>
      <c r="H240" t="n">
        <v>0</v>
      </c>
      <c r="I240" t="n">
        <v>0</v>
      </c>
      <c r="J240" t="n">
        <v>0</v>
      </c>
      <c r="K240" t="n">
        <v>0</v>
      </c>
      <c r="L240" t="n">
        <v>0</v>
      </c>
      <c r="M240" t="n">
        <v>0</v>
      </c>
      <c r="N240" t="n">
        <v>0</v>
      </c>
      <c r="O240" t="n">
        <v>0</v>
      </c>
      <c r="P240" t="n">
        <v>0</v>
      </c>
      <c r="Q240" t="n">
        <v>0</v>
      </c>
      <c r="R240" s="2" t="inlineStr"/>
    </row>
    <row r="241" ht="15" customHeight="1">
      <c r="A241" t="inlineStr">
        <is>
          <t>A 47477-2021</t>
        </is>
      </c>
      <c r="B241" s="1" t="n">
        <v>44447</v>
      </c>
      <c r="C241" s="1" t="n">
        <v>45475</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48000-2021</t>
        </is>
      </c>
      <c r="B242" s="1" t="n">
        <v>44449</v>
      </c>
      <c r="C242" s="1" t="n">
        <v>45475</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48354-2021</t>
        </is>
      </c>
      <c r="B243" s="1" t="n">
        <v>44451</v>
      </c>
      <c r="C243" s="1" t="n">
        <v>45475</v>
      </c>
      <c r="D243" t="inlineStr">
        <is>
          <t>DALARNAS LÄN</t>
        </is>
      </c>
      <c r="E243" t="inlineStr">
        <is>
          <t>MORA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49572-2021</t>
        </is>
      </c>
      <c r="B244" s="1" t="n">
        <v>44455</v>
      </c>
      <c r="C244" s="1" t="n">
        <v>45475</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49583-2021</t>
        </is>
      </c>
      <c r="B245" s="1" t="n">
        <v>44455</v>
      </c>
      <c r="C245" s="1" t="n">
        <v>45475</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49578-2021</t>
        </is>
      </c>
      <c r="B246" s="1" t="n">
        <v>44455</v>
      </c>
      <c r="C246" s="1" t="n">
        <v>45475</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50255-2021</t>
        </is>
      </c>
      <c r="B247" s="1" t="n">
        <v>44458</v>
      </c>
      <c r="C247" s="1" t="n">
        <v>45475</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50620-2021</t>
        </is>
      </c>
      <c r="B248" s="1" t="n">
        <v>44459</v>
      </c>
      <c r="C248" s="1" t="n">
        <v>45475</v>
      </c>
      <c r="D248" t="inlineStr">
        <is>
          <t>DALARNAS LÄN</t>
        </is>
      </c>
      <c r="E248" t="inlineStr">
        <is>
          <t>MORA</t>
        </is>
      </c>
      <c r="G248" t="n">
        <v>4.4</v>
      </c>
      <c r="H248" t="n">
        <v>0</v>
      </c>
      <c r="I248" t="n">
        <v>0</v>
      </c>
      <c r="J248" t="n">
        <v>0</v>
      </c>
      <c r="K248" t="n">
        <v>0</v>
      </c>
      <c r="L248" t="n">
        <v>0</v>
      </c>
      <c r="M248" t="n">
        <v>0</v>
      </c>
      <c r="N248" t="n">
        <v>0</v>
      </c>
      <c r="O248" t="n">
        <v>0</v>
      </c>
      <c r="P248" t="n">
        <v>0</v>
      </c>
      <c r="Q248" t="n">
        <v>0</v>
      </c>
      <c r="R248" s="2" t="inlineStr"/>
    </row>
    <row r="249" ht="15" customHeight="1">
      <c r="A249" t="inlineStr">
        <is>
          <t>A 51850-2021</t>
        </is>
      </c>
      <c r="B249" s="1" t="n">
        <v>44462</v>
      </c>
      <c r="C249" s="1" t="n">
        <v>45475</v>
      </c>
      <c r="D249" t="inlineStr">
        <is>
          <t>DALARNAS LÄN</t>
        </is>
      </c>
      <c r="E249" t="inlineStr">
        <is>
          <t>MORA</t>
        </is>
      </c>
      <c r="F249" t="inlineStr">
        <is>
          <t>Bergvik skog väst AB</t>
        </is>
      </c>
      <c r="G249" t="n">
        <v>6.1</v>
      </c>
      <c r="H249" t="n">
        <v>0</v>
      </c>
      <c r="I249" t="n">
        <v>0</v>
      </c>
      <c r="J249" t="n">
        <v>0</v>
      </c>
      <c r="K249" t="n">
        <v>0</v>
      </c>
      <c r="L249" t="n">
        <v>0</v>
      </c>
      <c r="M249" t="n">
        <v>0</v>
      </c>
      <c r="N249" t="n">
        <v>0</v>
      </c>
      <c r="O249" t="n">
        <v>0</v>
      </c>
      <c r="P249" t="n">
        <v>0</v>
      </c>
      <c r="Q249" t="n">
        <v>0</v>
      </c>
      <c r="R249" s="2" t="inlineStr"/>
    </row>
    <row r="250" ht="15" customHeight="1">
      <c r="A250" t="inlineStr">
        <is>
          <t>A 52573-2021</t>
        </is>
      </c>
      <c r="B250" s="1" t="n">
        <v>44466</v>
      </c>
      <c r="C250" s="1" t="n">
        <v>45475</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54239-2021</t>
        </is>
      </c>
      <c r="B251" s="1" t="n">
        <v>44470</v>
      </c>
      <c r="C251" s="1" t="n">
        <v>45475</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54398-2021</t>
        </is>
      </c>
      <c r="B252" s="1" t="n">
        <v>44473</v>
      </c>
      <c r="C252" s="1" t="n">
        <v>45475</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54409-2021</t>
        </is>
      </c>
      <c r="B253" s="1" t="n">
        <v>44473</v>
      </c>
      <c r="C253" s="1" t="n">
        <v>45475</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56501-2021</t>
        </is>
      </c>
      <c r="B254" s="1" t="n">
        <v>44480</v>
      </c>
      <c r="C254" s="1" t="n">
        <v>45475</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57091-2021</t>
        </is>
      </c>
      <c r="B255" s="1" t="n">
        <v>44482</v>
      </c>
      <c r="C255" s="1" t="n">
        <v>45475</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57088-2021</t>
        </is>
      </c>
      <c r="B256" s="1" t="n">
        <v>44482</v>
      </c>
      <c r="C256" s="1" t="n">
        <v>45475</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45475</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57608-2021</t>
        </is>
      </c>
      <c r="B258" s="1" t="n">
        <v>44484</v>
      </c>
      <c r="C258" s="1" t="n">
        <v>45475</v>
      </c>
      <c r="D258" t="inlineStr">
        <is>
          <t>DALARNAS LÄN</t>
        </is>
      </c>
      <c r="E258" t="inlineStr">
        <is>
          <t>MORA</t>
        </is>
      </c>
      <c r="G258" t="n">
        <v>6.3</v>
      </c>
      <c r="H258" t="n">
        <v>0</v>
      </c>
      <c r="I258" t="n">
        <v>0</v>
      </c>
      <c r="J258" t="n">
        <v>0</v>
      </c>
      <c r="K258" t="n">
        <v>0</v>
      </c>
      <c r="L258" t="n">
        <v>0</v>
      </c>
      <c r="M258" t="n">
        <v>0</v>
      </c>
      <c r="N258" t="n">
        <v>0</v>
      </c>
      <c r="O258" t="n">
        <v>0</v>
      </c>
      <c r="P258" t="n">
        <v>0</v>
      </c>
      <c r="Q258" t="n">
        <v>0</v>
      </c>
      <c r="R258" s="2" t="inlineStr"/>
    </row>
    <row r="259" ht="15" customHeight="1">
      <c r="A259" t="inlineStr">
        <is>
          <t>A 58057-2021</t>
        </is>
      </c>
      <c r="B259" s="1" t="n">
        <v>44487</v>
      </c>
      <c r="C259" s="1" t="n">
        <v>45475</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58413-2021</t>
        </is>
      </c>
      <c r="B260" s="1" t="n">
        <v>44488</v>
      </c>
      <c r="C260" s="1" t="n">
        <v>45475</v>
      </c>
      <c r="D260" t="inlineStr">
        <is>
          <t>DALARNAS LÄN</t>
        </is>
      </c>
      <c r="E260" t="inlineStr">
        <is>
          <t>MORA</t>
        </is>
      </c>
      <c r="F260" t="inlineStr">
        <is>
          <t>Bergvik skog öst AB</t>
        </is>
      </c>
      <c r="G260" t="n">
        <v>5.3</v>
      </c>
      <c r="H260" t="n">
        <v>0</v>
      </c>
      <c r="I260" t="n">
        <v>0</v>
      </c>
      <c r="J260" t="n">
        <v>0</v>
      </c>
      <c r="K260" t="n">
        <v>0</v>
      </c>
      <c r="L260" t="n">
        <v>0</v>
      </c>
      <c r="M260" t="n">
        <v>0</v>
      </c>
      <c r="N260" t="n">
        <v>0</v>
      </c>
      <c r="O260" t="n">
        <v>0</v>
      </c>
      <c r="P260" t="n">
        <v>0</v>
      </c>
      <c r="Q260" t="n">
        <v>0</v>
      </c>
      <c r="R260" s="2" t="inlineStr"/>
    </row>
    <row r="261" ht="15" customHeight="1">
      <c r="A261" t="inlineStr">
        <is>
          <t>A 60150-2021</t>
        </is>
      </c>
      <c r="B261" s="1" t="n">
        <v>44488</v>
      </c>
      <c r="C261" s="1" t="n">
        <v>45475</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58690-2021</t>
        </is>
      </c>
      <c r="B262" s="1" t="n">
        <v>44489</v>
      </c>
      <c r="C262" s="1" t="n">
        <v>45475</v>
      </c>
      <c r="D262" t="inlineStr">
        <is>
          <t>DALARNAS LÄN</t>
        </is>
      </c>
      <c r="E262" t="inlineStr">
        <is>
          <t>MORA</t>
        </is>
      </c>
      <c r="F262" t="inlineStr">
        <is>
          <t>Bergvik skog öst AB</t>
        </is>
      </c>
      <c r="G262" t="n">
        <v>2.6</v>
      </c>
      <c r="H262" t="n">
        <v>0</v>
      </c>
      <c r="I262" t="n">
        <v>0</v>
      </c>
      <c r="J262" t="n">
        <v>0</v>
      </c>
      <c r="K262" t="n">
        <v>0</v>
      </c>
      <c r="L262" t="n">
        <v>0</v>
      </c>
      <c r="M262" t="n">
        <v>0</v>
      </c>
      <c r="N262" t="n">
        <v>0</v>
      </c>
      <c r="O262" t="n">
        <v>0</v>
      </c>
      <c r="P262" t="n">
        <v>0</v>
      </c>
      <c r="Q262" t="n">
        <v>0</v>
      </c>
      <c r="R262" s="2" t="inlineStr"/>
    </row>
    <row r="263" ht="15" customHeight="1">
      <c r="A263" t="inlineStr">
        <is>
          <t>A 58961-2021</t>
        </is>
      </c>
      <c r="B263" s="1" t="n">
        <v>44490</v>
      </c>
      <c r="C263" s="1" t="n">
        <v>45475</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59899-2021</t>
        </is>
      </c>
      <c r="B264" s="1" t="n">
        <v>44494</v>
      </c>
      <c r="C264" s="1" t="n">
        <v>45475</v>
      </c>
      <c r="D264" t="inlineStr">
        <is>
          <t>DALARNAS LÄN</t>
        </is>
      </c>
      <c r="E264" t="inlineStr">
        <is>
          <t>MORA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60847-2021</t>
        </is>
      </c>
      <c r="B265" s="1" t="n">
        <v>44497</v>
      </c>
      <c r="C265" s="1" t="n">
        <v>45475</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63089-2021</t>
        </is>
      </c>
      <c r="B266" s="1" t="n">
        <v>44505</v>
      </c>
      <c r="C266" s="1" t="n">
        <v>45475</v>
      </c>
      <c r="D266" t="inlineStr">
        <is>
          <t>DALARNAS LÄN</t>
        </is>
      </c>
      <c r="E266" t="inlineStr">
        <is>
          <t>MORA</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63088-2021</t>
        </is>
      </c>
      <c r="B267" s="1" t="n">
        <v>44505</v>
      </c>
      <c r="C267" s="1" t="n">
        <v>45475</v>
      </c>
      <c r="D267" t="inlineStr">
        <is>
          <t>DALARNAS LÄN</t>
        </is>
      </c>
      <c r="E267" t="inlineStr">
        <is>
          <t>MORA</t>
        </is>
      </c>
      <c r="F267" t="inlineStr">
        <is>
          <t>Bergvik skog väst AB</t>
        </is>
      </c>
      <c r="G267" t="n">
        <v>6.8</v>
      </c>
      <c r="H267" t="n">
        <v>0</v>
      </c>
      <c r="I267" t="n">
        <v>0</v>
      </c>
      <c r="J267" t="n">
        <v>0</v>
      </c>
      <c r="K267" t="n">
        <v>0</v>
      </c>
      <c r="L267" t="n">
        <v>0</v>
      </c>
      <c r="M267" t="n">
        <v>0</v>
      </c>
      <c r="N267" t="n">
        <v>0</v>
      </c>
      <c r="O267" t="n">
        <v>0</v>
      </c>
      <c r="P267" t="n">
        <v>0</v>
      </c>
      <c r="Q267" t="n">
        <v>0</v>
      </c>
      <c r="R267" s="2" t="inlineStr"/>
    </row>
    <row r="268" ht="15" customHeight="1">
      <c r="A268" t="inlineStr">
        <is>
          <t>A 63000-2021</t>
        </is>
      </c>
      <c r="B268" s="1" t="n">
        <v>44505</v>
      </c>
      <c r="C268" s="1" t="n">
        <v>45475</v>
      </c>
      <c r="D268" t="inlineStr">
        <is>
          <t>DALARNAS LÄN</t>
        </is>
      </c>
      <c r="E268" t="inlineStr">
        <is>
          <t>MORA</t>
        </is>
      </c>
      <c r="F268" t="inlineStr">
        <is>
          <t>Bergvik skog väst AB</t>
        </is>
      </c>
      <c r="G268" t="n">
        <v>7.3</v>
      </c>
      <c r="H268" t="n">
        <v>0</v>
      </c>
      <c r="I268" t="n">
        <v>0</v>
      </c>
      <c r="J268" t="n">
        <v>0</v>
      </c>
      <c r="K268" t="n">
        <v>0</v>
      </c>
      <c r="L268" t="n">
        <v>0</v>
      </c>
      <c r="M268" t="n">
        <v>0</v>
      </c>
      <c r="N268" t="n">
        <v>0</v>
      </c>
      <c r="O268" t="n">
        <v>0</v>
      </c>
      <c r="P268" t="n">
        <v>0</v>
      </c>
      <c r="Q268" t="n">
        <v>0</v>
      </c>
      <c r="R268" s="2" t="inlineStr"/>
    </row>
    <row r="269" ht="15" customHeight="1">
      <c r="A269" t="inlineStr">
        <is>
          <t>A 63552-2021</t>
        </is>
      </c>
      <c r="B269" s="1" t="n">
        <v>44508</v>
      </c>
      <c r="C269" s="1" t="n">
        <v>45475</v>
      </c>
      <c r="D269" t="inlineStr">
        <is>
          <t>DALARNAS LÄN</t>
        </is>
      </c>
      <c r="E269" t="inlineStr">
        <is>
          <t>MORA</t>
        </is>
      </c>
      <c r="F269" t="inlineStr">
        <is>
          <t>Bergvik skog väst AB</t>
        </is>
      </c>
      <c r="G269" t="n">
        <v>17.1</v>
      </c>
      <c r="H269" t="n">
        <v>0</v>
      </c>
      <c r="I269" t="n">
        <v>0</v>
      </c>
      <c r="J269" t="n">
        <v>0</v>
      </c>
      <c r="K269" t="n">
        <v>0</v>
      </c>
      <c r="L269" t="n">
        <v>0</v>
      </c>
      <c r="M269" t="n">
        <v>0</v>
      </c>
      <c r="N269" t="n">
        <v>0</v>
      </c>
      <c r="O269" t="n">
        <v>0</v>
      </c>
      <c r="P269" t="n">
        <v>0</v>
      </c>
      <c r="Q269" t="n">
        <v>0</v>
      </c>
      <c r="R269" s="2" t="inlineStr"/>
    </row>
    <row r="270" ht="15" customHeight="1">
      <c r="A270" t="inlineStr">
        <is>
          <t>A 63690-2021</t>
        </is>
      </c>
      <c r="B270" s="1" t="n">
        <v>44509</v>
      </c>
      <c r="C270" s="1" t="n">
        <v>45475</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65262-2021</t>
        </is>
      </c>
      <c r="B271" s="1" t="n">
        <v>44515</v>
      </c>
      <c r="C271" s="1" t="n">
        <v>45475</v>
      </c>
      <c r="D271" t="inlineStr">
        <is>
          <t>DALARNAS LÄN</t>
        </is>
      </c>
      <c r="E271" t="inlineStr">
        <is>
          <t>MORA</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65186-2021</t>
        </is>
      </c>
      <c r="B272" s="1" t="n">
        <v>44515</v>
      </c>
      <c r="C272" s="1" t="n">
        <v>45475</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65258-2021</t>
        </is>
      </c>
      <c r="B273" s="1" t="n">
        <v>44515</v>
      </c>
      <c r="C273" s="1" t="n">
        <v>45475</v>
      </c>
      <c r="D273" t="inlineStr">
        <is>
          <t>DALARNAS LÄN</t>
        </is>
      </c>
      <c r="E273" t="inlineStr">
        <is>
          <t>MORA</t>
        </is>
      </c>
      <c r="F273" t="inlineStr">
        <is>
          <t>Bergvik skog väst AB</t>
        </is>
      </c>
      <c r="G273" t="n">
        <v>8.4</v>
      </c>
      <c r="H273" t="n">
        <v>0</v>
      </c>
      <c r="I273" t="n">
        <v>0</v>
      </c>
      <c r="J273" t="n">
        <v>0</v>
      </c>
      <c r="K273" t="n">
        <v>0</v>
      </c>
      <c r="L273" t="n">
        <v>0</v>
      </c>
      <c r="M273" t="n">
        <v>0</v>
      </c>
      <c r="N273" t="n">
        <v>0</v>
      </c>
      <c r="O273" t="n">
        <v>0</v>
      </c>
      <c r="P273" t="n">
        <v>0</v>
      </c>
      <c r="Q273" t="n">
        <v>0</v>
      </c>
      <c r="R273" s="2" t="inlineStr"/>
    </row>
    <row r="274" ht="15" customHeight="1">
      <c r="A274" t="inlineStr">
        <is>
          <t>A 65253-2021</t>
        </is>
      </c>
      <c r="B274" s="1" t="n">
        <v>44515</v>
      </c>
      <c r="C274" s="1" t="n">
        <v>45475</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65527-2021</t>
        </is>
      </c>
      <c r="B275" s="1" t="n">
        <v>44516</v>
      </c>
      <c r="C275" s="1" t="n">
        <v>45475</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65727-2021</t>
        </is>
      </c>
      <c r="B276" s="1" t="n">
        <v>44516</v>
      </c>
      <c r="C276" s="1" t="n">
        <v>45475</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66157-2021</t>
        </is>
      </c>
      <c r="B277" s="1" t="n">
        <v>44517</v>
      </c>
      <c r="C277" s="1" t="n">
        <v>45475</v>
      </c>
      <c r="D277" t="inlineStr">
        <is>
          <t>DALARNAS LÄN</t>
        </is>
      </c>
      <c r="E277" t="inlineStr">
        <is>
          <t>MORA</t>
        </is>
      </c>
      <c r="G277" t="n">
        <v>2.9</v>
      </c>
      <c r="H277" t="n">
        <v>0</v>
      </c>
      <c r="I277" t="n">
        <v>0</v>
      </c>
      <c r="J277" t="n">
        <v>0</v>
      </c>
      <c r="K277" t="n">
        <v>0</v>
      </c>
      <c r="L277" t="n">
        <v>0</v>
      </c>
      <c r="M277" t="n">
        <v>0</v>
      </c>
      <c r="N277" t="n">
        <v>0</v>
      </c>
      <c r="O277" t="n">
        <v>0</v>
      </c>
      <c r="P277" t="n">
        <v>0</v>
      </c>
      <c r="Q277" t="n">
        <v>0</v>
      </c>
      <c r="R277" s="2" t="inlineStr"/>
    </row>
    <row r="278" ht="15" customHeight="1">
      <c r="A278" t="inlineStr">
        <is>
          <t>A 66158-2021</t>
        </is>
      </c>
      <c r="B278" s="1" t="n">
        <v>44517</v>
      </c>
      <c r="C278" s="1" t="n">
        <v>45475</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66232-2021</t>
        </is>
      </c>
      <c r="B279" s="1" t="n">
        <v>44518</v>
      </c>
      <c r="C279" s="1" t="n">
        <v>45475</v>
      </c>
      <c r="D279" t="inlineStr">
        <is>
          <t>DALARNAS LÄN</t>
        </is>
      </c>
      <c r="E279" t="inlineStr">
        <is>
          <t>MORA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66639-2021</t>
        </is>
      </c>
      <c r="B280" s="1" t="n">
        <v>44519</v>
      </c>
      <c r="C280" s="1" t="n">
        <v>45475</v>
      </c>
      <c r="D280" t="inlineStr">
        <is>
          <t>DALARNAS LÄN</t>
        </is>
      </c>
      <c r="E280" t="inlineStr">
        <is>
          <t>MORA</t>
        </is>
      </c>
      <c r="G280" t="n">
        <v>10</v>
      </c>
      <c r="H280" t="n">
        <v>0</v>
      </c>
      <c r="I280" t="n">
        <v>0</v>
      </c>
      <c r="J280" t="n">
        <v>0</v>
      </c>
      <c r="K280" t="n">
        <v>0</v>
      </c>
      <c r="L280" t="n">
        <v>0</v>
      </c>
      <c r="M280" t="n">
        <v>0</v>
      </c>
      <c r="N280" t="n">
        <v>0</v>
      </c>
      <c r="O280" t="n">
        <v>0</v>
      </c>
      <c r="P280" t="n">
        <v>0</v>
      </c>
      <c r="Q280" t="n">
        <v>0</v>
      </c>
      <c r="R280" s="2" t="inlineStr"/>
    </row>
    <row r="281" ht="15" customHeight="1">
      <c r="A281" t="inlineStr">
        <is>
          <t>A 67045-2021</t>
        </is>
      </c>
      <c r="B281" s="1" t="n">
        <v>44522</v>
      </c>
      <c r="C281" s="1" t="n">
        <v>45475</v>
      </c>
      <c r="D281" t="inlineStr">
        <is>
          <t>DALARNAS LÄN</t>
        </is>
      </c>
      <c r="E281" t="inlineStr">
        <is>
          <t>MORA</t>
        </is>
      </c>
      <c r="G281" t="n">
        <v>0.2</v>
      </c>
      <c r="H281" t="n">
        <v>0</v>
      </c>
      <c r="I281" t="n">
        <v>0</v>
      </c>
      <c r="J281" t="n">
        <v>0</v>
      </c>
      <c r="K281" t="n">
        <v>0</v>
      </c>
      <c r="L281" t="n">
        <v>0</v>
      </c>
      <c r="M281" t="n">
        <v>0</v>
      </c>
      <c r="N281" t="n">
        <v>0</v>
      </c>
      <c r="O281" t="n">
        <v>0</v>
      </c>
      <c r="P281" t="n">
        <v>0</v>
      </c>
      <c r="Q281" t="n">
        <v>0</v>
      </c>
      <c r="R281" s="2" t="inlineStr"/>
    </row>
    <row r="282" ht="15" customHeight="1">
      <c r="A282" t="inlineStr">
        <is>
          <t>A 67125-2021</t>
        </is>
      </c>
      <c r="B282" s="1" t="n">
        <v>44523</v>
      </c>
      <c r="C282" s="1" t="n">
        <v>45475</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67316-2021</t>
        </is>
      </c>
      <c r="B283" s="1" t="n">
        <v>44523</v>
      </c>
      <c r="C283" s="1" t="n">
        <v>45475</v>
      </c>
      <c r="D283" t="inlineStr">
        <is>
          <t>DALARNAS LÄN</t>
        </is>
      </c>
      <c r="E283" t="inlineStr">
        <is>
          <t>MORA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67318-2021</t>
        </is>
      </c>
      <c r="B284" s="1" t="n">
        <v>44523</v>
      </c>
      <c r="C284" s="1" t="n">
        <v>45475</v>
      </c>
      <c r="D284" t="inlineStr">
        <is>
          <t>DALARNAS LÄN</t>
        </is>
      </c>
      <c r="E284" t="inlineStr">
        <is>
          <t>MORA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67932-2021</t>
        </is>
      </c>
      <c r="B285" s="1" t="n">
        <v>44525</v>
      </c>
      <c r="C285" s="1" t="n">
        <v>45475</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68415-2021</t>
        </is>
      </c>
      <c r="B286" s="1" t="n">
        <v>44529</v>
      </c>
      <c r="C286" s="1" t="n">
        <v>45475</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68966-2021</t>
        </is>
      </c>
      <c r="B287" s="1" t="n">
        <v>44530</v>
      </c>
      <c r="C287" s="1" t="n">
        <v>45475</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69483-2021</t>
        </is>
      </c>
      <c r="B288" s="1" t="n">
        <v>44531</v>
      </c>
      <c r="C288" s="1" t="n">
        <v>45475</v>
      </c>
      <c r="D288" t="inlineStr">
        <is>
          <t>DALARNAS LÄN</t>
        </is>
      </c>
      <c r="E288" t="inlineStr">
        <is>
          <t>MORA</t>
        </is>
      </c>
      <c r="G288" t="n">
        <v>1.5</v>
      </c>
      <c r="H288" t="n">
        <v>0</v>
      </c>
      <c r="I288" t="n">
        <v>0</v>
      </c>
      <c r="J288" t="n">
        <v>0</v>
      </c>
      <c r="K288" t="n">
        <v>0</v>
      </c>
      <c r="L288" t="n">
        <v>0</v>
      </c>
      <c r="M288" t="n">
        <v>0</v>
      </c>
      <c r="N288" t="n">
        <v>0</v>
      </c>
      <c r="O288" t="n">
        <v>0</v>
      </c>
      <c r="P288" t="n">
        <v>0</v>
      </c>
      <c r="Q288" t="n">
        <v>0</v>
      </c>
      <c r="R288" s="2" t="inlineStr"/>
    </row>
    <row r="289" ht="15" customHeight="1">
      <c r="A289" t="inlineStr">
        <is>
          <t>A 70065-2021</t>
        </is>
      </c>
      <c r="B289" s="1" t="n">
        <v>44533</v>
      </c>
      <c r="C289" s="1" t="n">
        <v>45475</v>
      </c>
      <c r="D289" t="inlineStr">
        <is>
          <t>DALARNAS LÄN</t>
        </is>
      </c>
      <c r="E289" t="inlineStr">
        <is>
          <t>MORA</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70141-2021</t>
        </is>
      </c>
      <c r="B290" s="1" t="n">
        <v>44533</v>
      </c>
      <c r="C290" s="1" t="n">
        <v>45475</v>
      </c>
      <c r="D290" t="inlineStr">
        <is>
          <t>DALARNAS LÄN</t>
        </is>
      </c>
      <c r="E290" t="inlineStr">
        <is>
          <t>MORA</t>
        </is>
      </c>
      <c r="G290" t="n">
        <v>4.1</v>
      </c>
      <c r="H290" t="n">
        <v>0</v>
      </c>
      <c r="I290" t="n">
        <v>0</v>
      </c>
      <c r="J290" t="n">
        <v>0</v>
      </c>
      <c r="K290" t="n">
        <v>0</v>
      </c>
      <c r="L290" t="n">
        <v>0</v>
      </c>
      <c r="M290" t="n">
        <v>0</v>
      </c>
      <c r="N290" t="n">
        <v>0</v>
      </c>
      <c r="O290" t="n">
        <v>0</v>
      </c>
      <c r="P290" t="n">
        <v>0</v>
      </c>
      <c r="Q290" t="n">
        <v>0</v>
      </c>
      <c r="R290" s="2" t="inlineStr"/>
    </row>
    <row r="291" ht="15" customHeight="1">
      <c r="A291" t="inlineStr">
        <is>
          <t>A 71702-2021</t>
        </is>
      </c>
      <c r="B291" s="1" t="n">
        <v>44543</v>
      </c>
      <c r="C291" s="1" t="n">
        <v>45475</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72333-2021</t>
        </is>
      </c>
      <c r="B292" s="1" t="n">
        <v>44545</v>
      </c>
      <c r="C292" s="1" t="n">
        <v>45475</v>
      </c>
      <c r="D292" t="inlineStr">
        <is>
          <t>DALARNAS LÄN</t>
        </is>
      </c>
      <c r="E292" t="inlineStr">
        <is>
          <t>MORA</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72439-2021</t>
        </is>
      </c>
      <c r="B293" s="1" t="n">
        <v>44545</v>
      </c>
      <c r="C293" s="1" t="n">
        <v>45475</v>
      </c>
      <c r="D293" t="inlineStr">
        <is>
          <t>DALARNAS LÄN</t>
        </is>
      </c>
      <c r="E293" t="inlineStr">
        <is>
          <t>MORA</t>
        </is>
      </c>
      <c r="F293" t="inlineStr">
        <is>
          <t>Allmännings- och besparingsskogar</t>
        </is>
      </c>
      <c r="G293" t="n">
        <v>8.5</v>
      </c>
      <c r="H293" t="n">
        <v>0</v>
      </c>
      <c r="I293" t="n">
        <v>0</v>
      </c>
      <c r="J293" t="n">
        <v>0</v>
      </c>
      <c r="K293" t="n">
        <v>0</v>
      </c>
      <c r="L293" t="n">
        <v>0</v>
      </c>
      <c r="M293" t="n">
        <v>0</v>
      </c>
      <c r="N293" t="n">
        <v>0</v>
      </c>
      <c r="O293" t="n">
        <v>0</v>
      </c>
      <c r="P293" t="n">
        <v>0</v>
      </c>
      <c r="Q293" t="n">
        <v>0</v>
      </c>
      <c r="R293" s="2" t="inlineStr"/>
    </row>
    <row r="294" ht="15" customHeight="1">
      <c r="A294" t="inlineStr">
        <is>
          <t>A 72780-2021</t>
        </is>
      </c>
      <c r="B294" s="1" t="n">
        <v>44545</v>
      </c>
      <c r="C294" s="1" t="n">
        <v>45475</v>
      </c>
      <c r="D294" t="inlineStr">
        <is>
          <t>DALARNAS LÄN</t>
        </is>
      </c>
      <c r="E294" t="inlineStr">
        <is>
          <t>MORA</t>
        </is>
      </c>
      <c r="F294" t="inlineStr">
        <is>
          <t>Allmännings- och besparingsskogar</t>
        </is>
      </c>
      <c r="G294" t="n">
        <v>1</v>
      </c>
      <c r="H294" t="n">
        <v>0</v>
      </c>
      <c r="I294" t="n">
        <v>0</v>
      </c>
      <c r="J294" t="n">
        <v>0</v>
      </c>
      <c r="K294" t="n">
        <v>0</v>
      </c>
      <c r="L294" t="n">
        <v>0</v>
      </c>
      <c r="M294" t="n">
        <v>0</v>
      </c>
      <c r="N294" t="n">
        <v>0</v>
      </c>
      <c r="O294" t="n">
        <v>0</v>
      </c>
      <c r="P294" t="n">
        <v>0</v>
      </c>
      <c r="Q294" t="n">
        <v>0</v>
      </c>
      <c r="R294" s="2" t="inlineStr"/>
    </row>
    <row r="295" ht="15" customHeight="1">
      <c r="A295" t="inlineStr">
        <is>
          <t>A 72659-2021</t>
        </is>
      </c>
      <c r="B295" s="1" t="n">
        <v>44546</v>
      </c>
      <c r="C295" s="1" t="n">
        <v>45475</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72648-2021</t>
        </is>
      </c>
      <c r="B296" s="1" t="n">
        <v>44546</v>
      </c>
      <c r="C296" s="1" t="n">
        <v>45475</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72915-2021</t>
        </is>
      </c>
      <c r="B297" s="1" t="n">
        <v>44547</v>
      </c>
      <c r="C297" s="1" t="n">
        <v>45475</v>
      </c>
      <c r="D297" t="inlineStr">
        <is>
          <t>DALARNAS LÄN</t>
        </is>
      </c>
      <c r="E297" t="inlineStr">
        <is>
          <t>MORA</t>
        </is>
      </c>
      <c r="F297" t="inlineStr">
        <is>
          <t>Allmännings- och besparingsskogar</t>
        </is>
      </c>
      <c r="G297" t="n">
        <v>38.5</v>
      </c>
      <c r="H297" t="n">
        <v>0</v>
      </c>
      <c r="I297" t="n">
        <v>0</v>
      </c>
      <c r="J297" t="n">
        <v>0</v>
      </c>
      <c r="K297" t="n">
        <v>0</v>
      </c>
      <c r="L297" t="n">
        <v>0</v>
      </c>
      <c r="M297" t="n">
        <v>0</v>
      </c>
      <c r="N297" t="n">
        <v>0</v>
      </c>
      <c r="O297" t="n">
        <v>0</v>
      </c>
      <c r="P297" t="n">
        <v>0</v>
      </c>
      <c r="Q297" t="n">
        <v>0</v>
      </c>
      <c r="R297" s="2" t="inlineStr"/>
    </row>
    <row r="298" ht="15" customHeight="1">
      <c r="A298" t="inlineStr">
        <is>
          <t>A 73930-2021</t>
        </is>
      </c>
      <c r="B298" s="1" t="n">
        <v>44553</v>
      </c>
      <c r="C298" s="1" t="n">
        <v>45475</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111-2022</t>
        </is>
      </c>
      <c r="B299" s="1" t="n">
        <v>44564</v>
      </c>
      <c r="C299" s="1" t="n">
        <v>45475</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2277-2022</t>
        </is>
      </c>
      <c r="B300" s="1" t="n">
        <v>44578</v>
      </c>
      <c r="C300" s="1" t="n">
        <v>45475</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2247-2022</t>
        </is>
      </c>
      <c r="B301" s="1" t="n">
        <v>44578</v>
      </c>
      <c r="C301" s="1" t="n">
        <v>45475</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2865-2022</t>
        </is>
      </c>
      <c r="B302" s="1" t="n">
        <v>44581</v>
      </c>
      <c r="C302" s="1" t="n">
        <v>45475</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2879-2022</t>
        </is>
      </c>
      <c r="B303" s="1" t="n">
        <v>44581</v>
      </c>
      <c r="C303" s="1" t="n">
        <v>45475</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4489-2022</t>
        </is>
      </c>
      <c r="B304" s="1" t="n">
        <v>44589</v>
      </c>
      <c r="C304" s="1" t="n">
        <v>45475</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4488-2022</t>
        </is>
      </c>
      <c r="B305" s="1" t="n">
        <v>44589</v>
      </c>
      <c r="C305" s="1" t="n">
        <v>45475</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6371-2022</t>
        </is>
      </c>
      <c r="B306" s="1" t="n">
        <v>44600</v>
      </c>
      <c r="C306" s="1" t="n">
        <v>45475</v>
      </c>
      <c r="D306" t="inlineStr">
        <is>
          <t>DALARNAS LÄN</t>
        </is>
      </c>
      <c r="E306" t="inlineStr">
        <is>
          <t>MORA</t>
        </is>
      </c>
      <c r="G306" t="n">
        <v>4.6</v>
      </c>
      <c r="H306" t="n">
        <v>0</v>
      </c>
      <c r="I306" t="n">
        <v>0</v>
      </c>
      <c r="J306" t="n">
        <v>0</v>
      </c>
      <c r="K306" t="n">
        <v>0</v>
      </c>
      <c r="L306" t="n">
        <v>0</v>
      </c>
      <c r="M306" t="n">
        <v>0</v>
      </c>
      <c r="N306" t="n">
        <v>0</v>
      </c>
      <c r="O306" t="n">
        <v>0</v>
      </c>
      <c r="P306" t="n">
        <v>0</v>
      </c>
      <c r="Q306" t="n">
        <v>0</v>
      </c>
      <c r="R306" s="2" t="inlineStr"/>
    </row>
    <row r="307" ht="15" customHeight="1">
      <c r="A307" t="inlineStr">
        <is>
          <t>A 6574-2022</t>
        </is>
      </c>
      <c r="B307" s="1" t="n">
        <v>44601</v>
      </c>
      <c r="C307" s="1" t="n">
        <v>45475</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6572-2022</t>
        </is>
      </c>
      <c r="B308" s="1" t="n">
        <v>44601</v>
      </c>
      <c r="C308" s="1" t="n">
        <v>45475</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8051-2022</t>
        </is>
      </c>
      <c r="B309" s="1" t="n">
        <v>44608</v>
      </c>
      <c r="C309" s="1" t="n">
        <v>45475</v>
      </c>
      <c r="D309" t="inlineStr">
        <is>
          <t>DALARNAS LÄN</t>
        </is>
      </c>
      <c r="E309" t="inlineStr">
        <is>
          <t>MORA</t>
        </is>
      </c>
      <c r="G309" t="n">
        <v>2.7</v>
      </c>
      <c r="H309" t="n">
        <v>0</v>
      </c>
      <c r="I309" t="n">
        <v>0</v>
      </c>
      <c r="J309" t="n">
        <v>0</v>
      </c>
      <c r="K309" t="n">
        <v>0</v>
      </c>
      <c r="L309" t="n">
        <v>0</v>
      </c>
      <c r="M309" t="n">
        <v>0</v>
      </c>
      <c r="N309" t="n">
        <v>0</v>
      </c>
      <c r="O309" t="n">
        <v>0</v>
      </c>
      <c r="P309" t="n">
        <v>0</v>
      </c>
      <c r="Q309" t="n">
        <v>0</v>
      </c>
      <c r="R309" s="2" t="inlineStr"/>
    </row>
    <row r="310" ht="15" customHeight="1">
      <c r="A310" t="inlineStr">
        <is>
          <t>A 8138-2022</t>
        </is>
      </c>
      <c r="B310" s="1" t="n">
        <v>44609</v>
      </c>
      <c r="C310" s="1" t="n">
        <v>45475</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8145-2022</t>
        </is>
      </c>
      <c r="B311" s="1" t="n">
        <v>44609</v>
      </c>
      <c r="C311" s="1" t="n">
        <v>45475</v>
      </c>
      <c r="D311" t="inlineStr">
        <is>
          <t>DALARNAS LÄN</t>
        </is>
      </c>
      <c r="E311" t="inlineStr">
        <is>
          <t>MORA</t>
        </is>
      </c>
      <c r="G311" t="n">
        <v>7.3</v>
      </c>
      <c r="H311" t="n">
        <v>0</v>
      </c>
      <c r="I311" t="n">
        <v>0</v>
      </c>
      <c r="J311" t="n">
        <v>0</v>
      </c>
      <c r="K311" t="n">
        <v>0</v>
      </c>
      <c r="L311" t="n">
        <v>0</v>
      </c>
      <c r="M311" t="n">
        <v>0</v>
      </c>
      <c r="N311" t="n">
        <v>0</v>
      </c>
      <c r="O311" t="n">
        <v>0</v>
      </c>
      <c r="P311" t="n">
        <v>0</v>
      </c>
      <c r="Q311" t="n">
        <v>0</v>
      </c>
      <c r="R311" s="2" t="inlineStr"/>
    </row>
    <row r="312" ht="15" customHeight="1">
      <c r="A312" t="inlineStr">
        <is>
          <t>A 8546-2022</t>
        </is>
      </c>
      <c r="B312" s="1" t="n">
        <v>44613</v>
      </c>
      <c r="C312" s="1" t="n">
        <v>45475</v>
      </c>
      <c r="D312" t="inlineStr">
        <is>
          <t>DALARNAS LÄN</t>
        </is>
      </c>
      <c r="E312" t="inlineStr">
        <is>
          <t>MORA</t>
        </is>
      </c>
      <c r="G312" t="n">
        <v>2.6</v>
      </c>
      <c r="H312" t="n">
        <v>0</v>
      </c>
      <c r="I312" t="n">
        <v>0</v>
      </c>
      <c r="J312" t="n">
        <v>0</v>
      </c>
      <c r="K312" t="n">
        <v>0</v>
      </c>
      <c r="L312" t="n">
        <v>0</v>
      </c>
      <c r="M312" t="n">
        <v>0</v>
      </c>
      <c r="N312" t="n">
        <v>0</v>
      </c>
      <c r="O312" t="n">
        <v>0</v>
      </c>
      <c r="P312" t="n">
        <v>0</v>
      </c>
      <c r="Q312" t="n">
        <v>0</v>
      </c>
      <c r="R312" s="2" t="inlineStr"/>
    </row>
    <row r="313" ht="15" customHeight="1">
      <c r="A313" t="inlineStr">
        <is>
          <t>A 9034-2022</t>
        </is>
      </c>
      <c r="B313" s="1" t="n">
        <v>44615</v>
      </c>
      <c r="C313" s="1" t="n">
        <v>45475</v>
      </c>
      <c r="D313" t="inlineStr">
        <is>
          <t>DALARNAS LÄN</t>
        </is>
      </c>
      <c r="E313" t="inlineStr">
        <is>
          <t>MORA</t>
        </is>
      </c>
      <c r="G313" t="n">
        <v>3.5</v>
      </c>
      <c r="H313" t="n">
        <v>0</v>
      </c>
      <c r="I313" t="n">
        <v>0</v>
      </c>
      <c r="J313" t="n">
        <v>0</v>
      </c>
      <c r="K313" t="n">
        <v>0</v>
      </c>
      <c r="L313" t="n">
        <v>0</v>
      </c>
      <c r="M313" t="n">
        <v>0</v>
      </c>
      <c r="N313" t="n">
        <v>0</v>
      </c>
      <c r="O313" t="n">
        <v>0</v>
      </c>
      <c r="P313" t="n">
        <v>0</v>
      </c>
      <c r="Q313" t="n">
        <v>0</v>
      </c>
      <c r="R313" s="2" t="inlineStr"/>
    </row>
    <row r="314" ht="15" customHeight="1">
      <c r="A314" t="inlineStr">
        <is>
          <t>A 9599-2022</t>
        </is>
      </c>
      <c r="B314" s="1" t="n">
        <v>44617</v>
      </c>
      <c r="C314" s="1" t="n">
        <v>45475</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9843-2022</t>
        </is>
      </c>
      <c r="B315" s="1" t="n">
        <v>44620</v>
      </c>
      <c r="C315" s="1" t="n">
        <v>45475</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11337-2022</t>
        </is>
      </c>
      <c r="B316" s="1" t="n">
        <v>44630</v>
      </c>
      <c r="C316" s="1" t="n">
        <v>45475</v>
      </c>
      <c r="D316" t="inlineStr">
        <is>
          <t>DALARNAS LÄN</t>
        </is>
      </c>
      <c r="E316" t="inlineStr">
        <is>
          <t>MORA</t>
        </is>
      </c>
      <c r="G316" t="n">
        <v>6.6</v>
      </c>
      <c r="H316" t="n">
        <v>0</v>
      </c>
      <c r="I316" t="n">
        <v>0</v>
      </c>
      <c r="J316" t="n">
        <v>0</v>
      </c>
      <c r="K316" t="n">
        <v>0</v>
      </c>
      <c r="L316" t="n">
        <v>0</v>
      </c>
      <c r="M316" t="n">
        <v>0</v>
      </c>
      <c r="N316" t="n">
        <v>0</v>
      </c>
      <c r="O316" t="n">
        <v>0</v>
      </c>
      <c r="P316" t="n">
        <v>0</v>
      </c>
      <c r="Q316" t="n">
        <v>0</v>
      </c>
      <c r="R316" s="2" t="inlineStr"/>
    </row>
    <row r="317" ht="15" customHeight="1">
      <c r="A317" t="inlineStr">
        <is>
          <t>A 11442-2022</t>
        </is>
      </c>
      <c r="B317" s="1" t="n">
        <v>44630</v>
      </c>
      <c r="C317" s="1" t="n">
        <v>45475</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12096-2022</t>
        </is>
      </c>
      <c r="B318" s="1" t="n">
        <v>44636</v>
      </c>
      <c r="C318" s="1" t="n">
        <v>45475</v>
      </c>
      <c r="D318" t="inlineStr">
        <is>
          <t>DALARNAS LÄN</t>
        </is>
      </c>
      <c r="E318" t="inlineStr">
        <is>
          <t>MORA</t>
        </is>
      </c>
      <c r="G318" t="n">
        <v>9</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v>
      </c>
      <c r="C319" s="1" t="n">
        <v>45475</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13262-2022</t>
        </is>
      </c>
      <c r="B320" s="1" t="n">
        <v>44644</v>
      </c>
      <c r="C320" s="1" t="n">
        <v>45475</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13350-2022</t>
        </is>
      </c>
      <c r="B321" s="1" t="n">
        <v>44645</v>
      </c>
      <c r="C321" s="1" t="n">
        <v>45475</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14738-2022</t>
        </is>
      </c>
      <c r="B322" s="1" t="n">
        <v>44656</v>
      </c>
      <c r="C322" s="1" t="n">
        <v>45475</v>
      </c>
      <c r="D322" t="inlineStr">
        <is>
          <t>DALARNAS LÄN</t>
        </is>
      </c>
      <c r="E322" t="inlineStr">
        <is>
          <t>MORA</t>
        </is>
      </c>
      <c r="G322" t="n">
        <v>5.6</v>
      </c>
      <c r="H322" t="n">
        <v>0</v>
      </c>
      <c r="I322" t="n">
        <v>0</v>
      </c>
      <c r="J322" t="n">
        <v>0</v>
      </c>
      <c r="K322" t="n">
        <v>0</v>
      </c>
      <c r="L322" t="n">
        <v>0</v>
      </c>
      <c r="M322" t="n">
        <v>0</v>
      </c>
      <c r="N322" t="n">
        <v>0</v>
      </c>
      <c r="O322" t="n">
        <v>0</v>
      </c>
      <c r="P322" t="n">
        <v>0</v>
      </c>
      <c r="Q322" t="n">
        <v>0</v>
      </c>
      <c r="R322" s="2" t="inlineStr"/>
    </row>
    <row r="323" ht="15" customHeight="1">
      <c r="A323" t="inlineStr">
        <is>
          <t>A 14744-2022</t>
        </is>
      </c>
      <c r="B323" s="1" t="n">
        <v>44656</v>
      </c>
      <c r="C323" s="1" t="n">
        <v>45475</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15128-2022</t>
        </is>
      </c>
      <c r="B324" s="1" t="n">
        <v>44658</v>
      </c>
      <c r="C324" s="1" t="n">
        <v>45475</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15127-2022</t>
        </is>
      </c>
      <c r="B325" s="1" t="n">
        <v>44658</v>
      </c>
      <c r="C325" s="1" t="n">
        <v>45475</v>
      </c>
      <c r="D325" t="inlineStr">
        <is>
          <t>DALARNAS LÄN</t>
        </is>
      </c>
      <c r="E325" t="inlineStr">
        <is>
          <t>MORA</t>
        </is>
      </c>
      <c r="G325" t="n">
        <v>4.9</v>
      </c>
      <c r="H325" t="n">
        <v>0</v>
      </c>
      <c r="I325" t="n">
        <v>0</v>
      </c>
      <c r="J325" t="n">
        <v>0</v>
      </c>
      <c r="K325" t="n">
        <v>0</v>
      </c>
      <c r="L325" t="n">
        <v>0</v>
      </c>
      <c r="M325" t="n">
        <v>0</v>
      </c>
      <c r="N325" t="n">
        <v>0</v>
      </c>
      <c r="O325" t="n">
        <v>0</v>
      </c>
      <c r="P325" t="n">
        <v>0</v>
      </c>
      <c r="Q325" t="n">
        <v>0</v>
      </c>
      <c r="R325" s="2" t="inlineStr"/>
    </row>
    <row r="326" ht="15" customHeight="1">
      <c r="A326" t="inlineStr">
        <is>
          <t>A 15393-2022</t>
        </is>
      </c>
      <c r="B326" s="1" t="n">
        <v>44659</v>
      </c>
      <c r="C326" s="1" t="n">
        <v>45475</v>
      </c>
      <c r="D326" t="inlineStr">
        <is>
          <t>DALARNAS LÄN</t>
        </is>
      </c>
      <c r="E326" t="inlineStr">
        <is>
          <t>MORA</t>
        </is>
      </c>
      <c r="G326" t="n">
        <v>2.5</v>
      </c>
      <c r="H326" t="n">
        <v>0</v>
      </c>
      <c r="I326" t="n">
        <v>0</v>
      </c>
      <c r="J326" t="n">
        <v>0</v>
      </c>
      <c r="K326" t="n">
        <v>0</v>
      </c>
      <c r="L326" t="n">
        <v>0</v>
      </c>
      <c r="M326" t="n">
        <v>0</v>
      </c>
      <c r="N326" t="n">
        <v>0</v>
      </c>
      <c r="O326" t="n">
        <v>0</v>
      </c>
      <c r="P326" t="n">
        <v>0</v>
      </c>
      <c r="Q326" t="n">
        <v>0</v>
      </c>
      <c r="R326" s="2" t="inlineStr"/>
    </row>
    <row r="327" ht="15" customHeight="1">
      <c r="A327" t="inlineStr">
        <is>
          <t>A 15594-2022</t>
        </is>
      </c>
      <c r="B327" s="1" t="n">
        <v>44662</v>
      </c>
      <c r="C327" s="1" t="n">
        <v>45475</v>
      </c>
      <c r="D327" t="inlineStr">
        <is>
          <t>DALARNAS LÄN</t>
        </is>
      </c>
      <c r="E327" t="inlineStr">
        <is>
          <t>MORA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16706-2022</t>
        </is>
      </c>
      <c r="B328" s="1" t="n">
        <v>44673</v>
      </c>
      <c r="C328" s="1" t="n">
        <v>45475</v>
      </c>
      <c r="D328" t="inlineStr">
        <is>
          <t>DALARNAS LÄN</t>
        </is>
      </c>
      <c r="E328" t="inlineStr">
        <is>
          <t>MORA</t>
        </is>
      </c>
      <c r="G328" t="n">
        <v>9.1</v>
      </c>
      <c r="H328" t="n">
        <v>0</v>
      </c>
      <c r="I328" t="n">
        <v>0</v>
      </c>
      <c r="J328" t="n">
        <v>0</v>
      </c>
      <c r="K328" t="n">
        <v>0</v>
      </c>
      <c r="L328" t="n">
        <v>0</v>
      </c>
      <c r="M328" t="n">
        <v>0</v>
      </c>
      <c r="N328" t="n">
        <v>0</v>
      </c>
      <c r="O328" t="n">
        <v>0</v>
      </c>
      <c r="P328" t="n">
        <v>0</v>
      </c>
      <c r="Q328" t="n">
        <v>0</v>
      </c>
      <c r="R328" s="2" t="inlineStr"/>
    </row>
    <row r="329" ht="15" customHeight="1">
      <c r="A329" t="inlineStr">
        <is>
          <t>A 16700-2022</t>
        </is>
      </c>
      <c r="B329" s="1" t="n">
        <v>44673</v>
      </c>
      <c r="C329" s="1" t="n">
        <v>45475</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17272-2022</t>
        </is>
      </c>
      <c r="B330" s="1" t="n">
        <v>44678</v>
      </c>
      <c r="C330" s="1" t="n">
        <v>45475</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17622-2022</t>
        </is>
      </c>
      <c r="B331" s="1" t="n">
        <v>44680</v>
      </c>
      <c r="C331" s="1" t="n">
        <v>45475</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19372-2022</t>
        </is>
      </c>
      <c r="B332" s="1" t="n">
        <v>44692</v>
      </c>
      <c r="C332" s="1" t="n">
        <v>45475</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19756-2022</t>
        </is>
      </c>
      <c r="B333" s="1" t="n">
        <v>44694</v>
      </c>
      <c r="C333" s="1" t="n">
        <v>45475</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20401-2022</t>
        </is>
      </c>
      <c r="B334" s="1" t="n">
        <v>44699</v>
      </c>
      <c r="C334" s="1" t="n">
        <v>45475</v>
      </c>
      <c r="D334" t="inlineStr">
        <is>
          <t>DALARNAS LÄN</t>
        </is>
      </c>
      <c r="E334" t="inlineStr">
        <is>
          <t>MORA</t>
        </is>
      </c>
      <c r="G334" t="n">
        <v>3.2</v>
      </c>
      <c r="H334" t="n">
        <v>0</v>
      </c>
      <c r="I334" t="n">
        <v>0</v>
      </c>
      <c r="J334" t="n">
        <v>0</v>
      </c>
      <c r="K334" t="n">
        <v>0</v>
      </c>
      <c r="L334" t="n">
        <v>0</v>
      </c>
      <c r="M334" t="n">
        <v>0</v>
      </c>
      <c r="N334" t="n">
        <v>0</v>
      </c>
      <c r="O334" t="n">
        <v>0</v>
      </c>
      <c r="P334" t="n">
        <v>0</v>
      </c>
      <c r="Q334" t="n">
        <v>0</v>
      </c>
      <c r="R334" s="2" t="inlineStr"/>
    </row>
    <row r="335" ht="15" customHeight="1">
      <c r="A335" t="inlineStr">
        <is>
          <t>A 21273-2022</t>
        </is>
      </c>
      <c r="B335" s="1" t="n">
        <v>44705</v>
      </c>
      <c r="C335" s="1" t="n">
        <v>45475</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23354-2022</t>
        </is>
      </c>
      <c r="B336" s="1" t="n">
        <v>44720</v>
      </c>
      <c r="C336" s="1" t="n">
        <v>45475</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23655-2022</t>
        </is>
      </c>
      <c r="B337" s="1" t="n">
        <v>44721</v>
      </c>
      <c r="C337" s="1" t="n">
        <v>45475</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23795-2022</t>
        </is>
      </c>
      <c r="B338" s="1" t="n">
        <v>44722</v>
      </c>
      <c r="C338" s="1" t="n">
        <v>45475</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23798-2022</t>
        </is>
      </c>
      <c r="B339" s="1" t="n">
        <v>44722</v>
      </c>
      <c r="C339" s="1" t="n">
        <v>45475</v>
      </c>
      <c r="D339" t="inlineStr">
        <is>
          <t>DALARNAS LÄN</t>
        </is>
      </c>
      <c r="E339" t="inlineStr">
        <is>
          <t>MORA</t>
        </is>
      </c>
      <c r="G339" t="n">
        <v>2.6</v>
      </c>
      <c r="H339" t="n">
        <v>0</v>
      </c>
      <c r="I339" t="n">
        <v>0</v>
      </c>
      <c r="J339" t="n">
        <v>0</v>
      </c>
      <c r="K339" t="n">
        <v>0</v>
      </c>
      <c r="L339" t="n">
        <v>0</v>
      </c>
      <c r="M339" t="n">
        <v>0</v>
      </c>
      <c r="N339" t="n">
        <v>0</v>
      </c>
      <c r="O339" t="n">
        <v>0</v>
      </c>
      <c r="P339" t="n">
        <v>0</v>
      </c>
      <c r="Q339" t="n">
        <v>0</v>
      </c>
      <c r="R339" s="2" t="inlineStr"/>
    </row>
    <row r="340" ht="15" customHeight="1">
      <c r="A340" t="inlineStr">
        <is>
          <t>A 24171-2022</t>
        </is>
      </c>
      <c r="B340" s="1" t="n">
        <v>44725</v>
      </c>
      <c r="C340" s="1" t="n">
        <v>45475</v>
      </c>
      <c r="D340" t="inlineStr">
        <is>
          <t>DALARNAS LÄN</t>
        </is>
      </c>
      <c r="E340" t="inlineStr">
        <is>
          <t>MORA</t>
        </is>
      </c>
      <c r="F340" t="inlineStr">
        <is>
          <t>Bergvik skog väst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24170-2022</t>
        </is>
      </c>
      <c r="B341" s="1" t="n">
        <v>44725</v>
      </c>
      <c r="C341" s="1" t="n">
        <v>45475</v>
      </c>
      <c r="D341" t="inlineStr">
        <is>
          <t>DALARNAS LÄN</t>
        </is>
      </c>
      <c r="E341" t="inlineStr">
        <is>
          <t>MORA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24169-2022</t>
        </is>
      </c>
      <c r="B342" s="1" t="n">
        <v>44725</v>
      </c>
      <c r="C342" s="1" t="n">
        <v>45475</v>
      </c>
      <c r="D342" t="inlineStr">
        <is>
          <t>DALARNAS LÄN</t>
        </is>
      </c>
      <c r="E342" t="inlineStr">
        <is>
          <t>MORA</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24335-2022</t>
        </is>
      </c>
      <c r="B343" s="1" t="n">
        <v>44725</v>
      </c>
      <c r="C343" s="1" t="n">
        <v>45475</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24366-2022</t>
        </is>
      </c>
      <c r="B344" s="1" t="n">
        <v>44726</v>
      </c>
      <c r="C344" s="1" t="n">
        <v>45475</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24393-2022</t>
        </is>
      </c>
      <c r="B345" s="1" t="n">
        <v>44726</v>
      </c>
      <c r="C345" s="1" t="n">
        <v>45475</v>
      </c>
      <c r="D345" t="inlineStr">
        <is>
          <t>DALARNAS LÄN</t>
        </is>
      </c>
      <c r="E345" t="inlineStr">
        <is>
          <t>MORA</t>
        </is>
      </c>
      <c r="G345" t="n">
        <v>2.1</v>
      </c>
      <c r="H345" t="n">
        <v>0</v>
      </c>
      <c r="I345" t="n">
        <v>0</v>
      </c>
      <c r="J345" t="n">
        <v>0</v>
      </c>
      <c r="K345" t="n">
        <v>0</v>
      </c>
      <c r="L345" t="n">
        <v>0</v>
      </c>
      <c r="M345" t="n">
        <v>0</v>
      </c>
      <c r="N345" t="n">
        <v>0</v>
      </c>
      <c r="O345" t="n">
        <v>0</v>
      </c>
      <c r="P345" t="n">
        <v>0</v>
      </c>
      <c r="Q345" t="n">
        <v>0</v>
      </c>
      <c r="R345" s="2" t="inlineStr"/>
    </row>
    <row r="346" ht="15" customHeight="1">
      <c r="A346" t="inlineStr">
        <is>
          <t>A 25451-2022</t>
        </is>
      </c>
      <c r="B346" s="1" t="n">
        <v>44732</v>
      </c>
      <c r="C346" s="1" t="n">
        <v>45475</v>
      </c>
      <c r="D346" t="inlineStr">
        <is>
          <t>DALARNAS LÄN</t>
        </is>
      </c>
      <c r="E346" t="inlineStr">
        <is>
          <t>MORA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27438-2022</t>
        </is>
      </c>
      <c r="B347" s="1" t="n">
        <v>44742</v>
      </c>
      <c r="C347" s="1" t="n">
        <v>45475</v>
      </c>
      <c r="D347" t="inlineStr">
        <is>
          <t>DALARNAS LÄN</t>
        </is>
      </c>
      <c r="E347" t="inlineStr">
        <is>
          <t>MORA</t>
        </is>
      </c>
      <c r="G347" t="n">
        <v>7</v>
      </c>
      <c r="H347" t="n">
        <v>0</v>
      </c>
      <c r="I347" t="n">
        <v>0</v>
      </c>
      <c r="J347" t="n">
        <v>0</v>
      </c>
      <c r="K347" t="n">
        <v>0</v>
      </c>
      <c r="L347" t="n">
        <v>0</v>
      </c>
      <c r="M347" t="n">
        <v>0</v>
      </c>
      <c r="N347" t="n">
        <v>0</v>
      </c>
      <c r="O347" t="n">
        <v>0</v>
      </c>
      <c r="P347" t="n">
        <v>0</v>
      </c>
      <c r="Q347" t="n">
        <v>0</v>
      </c>
      <c r="R347" s="2" t="inlineStr"/>
    </row>
    <row r="348" ht="15" customHeight="1">
      <c r="A348" t="inlineStr">
        <is>
          <t>A 27461-2022</t>
        </is>
      </c>
      <c r="B348" s="1" t="n">
        <v>44742</v>
      </c>
      <c r="C348" s="1" t="n">
        <v>45475</v>
      </c>
      <c r="D348" t="inlineStr">
        <is>
          <t>DALARNAS LÄN</t>
        </is>
      </c>
      <c r="E348" t="inlineStr">
        <is>
          <t>MORA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28344-2022</t>
        </is>
      </c>
      <c r="B349" s="1" t="n">
        <v>44747</v>
      </c>
      <c r="C349" s="1" t="n">
        <v>45475</v>
      </c>
      <c r="D349" t="inlineStr">
        <is>
          <t>DALARNAS LÄN</t>
        </is>
      </c>
      <c r="E349" t="inlineStr">
        <is>
          <t>MORA</t>
        </is>
      </c>
      <c r="F349" t="inlineStr">
        <is>
          <t>Kyrkan</t>
        </is>
      </c>
      <c r="G349" t="n">
        <v>6.4</v>
      </c>
      <c r="H349" t="n">
        <v>0</v>
      </c>
      <c r="I349" t="n">
        <v>0</v>
      </c>
      <c r="J349" t="n">
        <v>0</v>
      </c>
      <c r="K349" t="n">
        <v>0</v>
      </c>
      <c r="L349" t="n">
        <v>0</v>
      </c>
      <c r="M349" t="n">
        <v>0</v>
      </c>
      <c r="N349" t="n">
        <v>0</v>
      </c>
      <c r="O349" t="n">
        <v>0</v>
      </c>
      <c r="P349" t="n">
        <v>0</v>
      </c>
      <c r="Q349" t="n">
        <v>0</v>
      </c>
      <c r="R349" s="2" t="inlineStr"/>
    </row>
    <row r="350" ht="15" customHeight="1">
      <c r="A350" t="inlineStr">
        <is>
          <t>A 28914-2022</t>
        </is>
      </c>
      <c r="B350" s="1" t="n">
        <v>44749</v>
      </c>
      <c r="C350" s="1" t="n">
        <v>45475</v>
      </c>
      <c r="D350" t="inlineStr">
        <is>
          <t>DALARNAS LÄN</t>
        </is>
      </c>
      <c r="E350" t="inlineStr">
        <is>
          <t>MORA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29754-2022</t>
        </is>
      </c>
      <c r="B351" s="1" t="n">
        <v>44755</v>
      </c>
      <c r="C351" s="1" t="n">
        <v>45475</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30998-2022</t>
        </is>
      </c>
      <c r="B352" s="1" t="n">
        <v>44768</v>
      </c>
      <c r="C352" s="1" t="n">
        <v>45475</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31304-2022</t>
        </is>
      </c>
      <c r="B353" s="1" t="n">
        <v>44773</v>
      </c>
      <c r="C353" s="1" t="n">
        <v>45475</v>
      </c>
      <c r="D353" t="inlineStr">
        <is>
          <t>DALARNAS LÄN</t>
        </is>
      </c>
      <c r="E353" t="inlineStr">
        <is>
          <t>MORA</t>
        </is>
      </c>
      <c r="G353" t="n">
        <v>20.6</v>
      </c>
      <c r="H353" t="n">
        <v>0</v>
      </c>
      <c r="I353" t="n">
        <v>0</v>
      </c>
      <c r="J353" t="n">
        <v>0</v>
      </c>
      <c r="K353" t="n">
        <v>0</v>
      </c>
      <c r="L353" t="n">
        <v>0</v>
      </c>
      <c r="M353" t="n">
        <v>0</v>
      </c>
      <c r="N353" t="n">
        <v>0</v>
      </c>
      <c r="O353" t="n">
        <v>0</v>
      </c>
      <c r="P353" t="n">
        <v>0</v>
      </c>
      <c r="Q353" t="n">
        <v>0</v>
      </c>
      <c r="R353" s="2" t="inlineStr"/>
    </row>
    <row r="354" ht="15" customHeight="1">
      <c r="A354" t="inlineStr">
        <is>
          <t>A 31582-2022</t>
        </is>
      </c>
      <c r="B354" s="1" t="n">
        <v>44775</v>
      </c>
      <c r="C354" s="1" t="n">
        <v>45475</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32265-2022</t>
        </is>
      </c>
      <c r="B355" s="1" t="n">
        <v>44781</v>
      </c>
      <c r="C355" s="1" t="n">
        <v>45475</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32261-2022</t>
        </is>
      </c>
      <c r="B356" s="1" t="n">
        <v>44781</v>
      </c>
      <c r="C356" s="1" t="n">
        <v>45475</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32474-2022</t>
        </is>
      </c>
      <c r="B357" s="1" t="n">
        <v>44782</v>
      </c>
      <c r="C357" s="1" t="n">
        <v>45475</v>
      </c>
      <c r="D357" t="inlineStr">
        <is>
          <t>DALARNAS LÄN</t>
        </is>
      </c>
      <c r="E357" t="inlineStr">
        <is>
          <t>MORA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32643-2022</t>
        </is>
      </c>
      <c r="B358" s="1" t="n">
        <v>44783</v>
      </c>
      <c r="C358" s="1" t="n">
        <v>45475</v>
      </c>
      <c r="D358" t="inlineStr">
        <is>
          <t>DALARNAS LÄN</t>
        </is>
      </c>
      <c r="E358" t="inlineStr">
        <is>
          <t>MORA</t>
        </is>
      </c>
      <c r="G358" t="n">
        <v>3.4</v>
      </c>
      <c r="H358" t="n">
        <v>0</v>
      </c>
      <c r="I358" t="n">
        <v>0</v>
      </c>
      <c r="J358" t="n">
        <v>0</v>
      </c>
      <c r="K358" t="n">
        <v>0</v>
      </c>
      <c r="L358" t="n">
        <v>0</v>
      </c>
      <c r="M358" t="n">
        <v>0</v>
      </c>
      <c r="N358" t="n">
        <v>0</v>
      </c>
      <c r="O358" t="n">
        <v>0</v>
      </c>
      <c r="P358" t="n">
        <v>0</v>
      </c>
      <c r="Q358" t="n">
        <v>0</v>
      </c>
      <c r="R358" s="2" t="inlineStr"/>
    </row>
    <row r="359" ht="15" customHeight="1">
      <c r="A359" t="inlineStr">
        <is>
          <t>A 33272-2022</t>
        </is>
      </c>
      <c r="B359" s="1" t="n">
        <v>44788</v>
      </c>
      <c r="C359" s="1" t="n">
        <v>45475</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33262-2022</t>
        </is>
      </c>
      <c r="B360" s="1" t="n">
        <v>44788</v>
      </c>
      <c r="C360" s="1" t="n">
        <v>45475</v>
      </c>
      <c r="D360" t="inlineStr">
        <is>
          <t>DALARNAS LÄN</t>
        </is>
      </c>
      <c r="E360" t="inlineStr">
        <is>
          <t>MORA</t>
        </is>
      </c>
      <c r="G360" t="n">
        <v>6.5</v>
      </c>
      <c r="H360" t="n">
        <v>0</v>
      </c>
      <c r="I360" t="n">
        <v>0</v>
      </c>
      <c r="J360" t="n">
        <v>0</v>
      </c>
      <c r="K360" t="n">
        <v>0</v>
      </c>
      <c r="L360" t="n">
        <v>0</v>
      </c>
      <c r="M360" t="n">
        <v>0</v>
      </c>
      <c r="N360" t="n">
        <v>0</v>
      </c>
      <c r="O360" t="n">
        <v>0</v>
      </c>
      <c r="P360" t="n">
        <v>0</v>
      </c>
      <c r="Q360" t="n">
        <v>0</v>
      </c>
      <c r="R360" s="2" t="inlineStr"/>
    </row>
    <row r="361" ht="15" customHeight="1">
      <c r="A361" t="inlineStr">
        <is>
          <t>A 33269-2022</t>
        </is>
      </c>
      <c r="B361" s="1" t="n">
        <v>44788</v>
      </c>
      <c r="C361" s="1" t="n">
        <v>45475</v>
      </c>
      <c r="D361" t="inlineStr">
        <is>
          <t>DALARNAS LÄN</t>
        </is>
      </c>
      <c r="E361" t="inlineStr">
        <is>
          <t>MORA</t>
        </is>
      </c>
      <c r="G361" t="n">
        <v>3.1</v>
      </c>
      <c r="H361" t="n">
        <v>0</v>
      </c>
      <c r="I361" t="n">
        <v>0</v>
      </c>
      <c r="J361" t="n">
        <v>0</v>
      </c>
      <c r="K361" t="n">
        <v>0</v>
      </c>
      <c r="L361" t="n">
        <v>0</v>
      </c>
      <c r="M361" t="n">
        <v>0</v>
      </c>
      <c r="N361" t="n">
        <v>0</v>
      </c>
      <c r="O361" t="n">
        <v>0</v>
      </c>
      <c r="P361" t="n">
        <v>0</v>
      </c>
      <c r="Q361" t="n">
        <v>0</v>
      </c>
      <c r="R361" s="2" t="inlineStr"/>
    </row>
    <row r="362" ht="15" customHeight="1">
      <c r="A362" t="inlineStr">
        <is>
          <t>A 33265-2022</t>
        </is>
      </c>
      <c r="B362" s="1" t="n">
        <v>44788</v>
      </c>
      <c r="C362" s="1" t="n">
        <v>45475</v>
      </c>
      <c r="D362" t="inlineStr">
        <is>
          <t>DALARNAS LÄN</t>
        </is>
      </c>
      <c r="E362" t="inlineStr">
        <is>
          <t>MORA</t>
        </is>
      </c>
      <c r="G362" t="n">
        <v>0.7</v>
      </c>
      <c r="H362" t="n">
        <v>0</v>
      </c>
      <c r="I362" t="n">
        <v>0</v>
      </c>
      <c r="J362" t="n">
        <v>0</v>
      </c>
      <c r="K362" t="n">
        <v>0</v>
      </c>
      <c r="L362" t="n">
        <v>0</v>
      </c>
      <c r="M362" t="n">
        <v>0</v>
      </c>
      <c r="N362" t="n">
        <v>0</v>
      </c>
      <c r="O362" t="n">
        <v>0</v>
      </c>
      <c r="P362" t="n">
        <v>0</v>
      </c>
      <c r="Q362" t="n">
        <v>0</v>
      </c>
      <c r="R362" s="2" t="inlineStr"/>
    </row>
    <row r="363" ht="15" customHeight="1">
      <c r="A363" t="inlineStr">
        <is>
          <t>A 33550-2022</t>
        </is>
      </c>
      <c r="B363" s="1" t="n">
        <v>44789</v>
      </c>
      <c r="C363" s="1" t="n">
        <v>45475</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33678-2022</t>
        </is>
      </c>
      <c r="B364" s="1" t="n">
        <v>44789</v>
      </c>
      <c r="C364" s="1" t="n">
        <v>45475</v>
      </c>
      <c r="D364" t="inlineStr">
        <is>
          <t>DALARNAS LÄN</t>
        </is>
      </c>
      <c r="E364" t="inlineStr">
        <is>
          <t>MORA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34927-2022</t>
        </is>
      </c>
      <c r="B365" s="1" t="n">
        <v>44796</v>
      </c>
      <c r="C365" s="1" t="n">
        <v>45475</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34897-2022</t>
        </is>
      </c>
      <c r="B366" s="1" t="n">
        <v>44796</v>
      </c>
      <c r="C366" s="1" t="n">
        <v>45475</v>
      </c>
      <c r="D366" t="inlineStr">
        <is>
          <t>DALARNAS LÄN</t>
        </is>
      </c>
      <c r="E366" t="inlineStr">
        <is>
          <t>MORA</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34824-2022</t>
        </is>
      </c>
      <c r="B367" s="1" t="n">
        <v>44796</v>
      </c>
      <c r="C367" s="1" t="n">
        <v>45475</v>
      </c>
      <c r="D367" t="inlineStr">
        <is>
          <t>DALARNAS LÄN</t>
        </is>
      </c>
      <c r="E367" t="inlineStr">
        <is>
          <t>MORA</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34923-2022</t>
        </is>
      </c>
      <c r="B368" s="1" t="n">
        <v>44796</v>
      </c>
      <c r="C368" s="1" t="n">
        <v>45475</v>
      </c>
      <c r="D368" t="inlineStr">
        <is>
          <t>DALARNAS LÄN</t>
        </is>
      </c>
      <c r="E368" t="inlineStr">
        <is>
          <t>MORA</t>
        </is>
      </c>
      <c r="G368" t="n">
        <v>5</v>
      </c>
      <c r="H368" t="n">
        <v>0</v>
      </c>
      <c r="I368" t="n">
        <v>0</v>
      </c>
      <c r="J368" t="n">
        <v>0</v>
      </c>
      <c r="K368" t="n">
        <v>0</v>
      </c>
      <c r="L368" t="n">
        <v>0</v>
      </c>
      <c r="M368" t="n">
        <v>0</v>
      </c>
      <c r="N368" t="n">
        <v>0</v>
      </c>
      <c r="O368" t="n">
        <v>0</v>
      </c>
      <c r="P368" t="n">
        <v>0</v>
      </c>
      <c r="Q368" t="n">
        <v>0</v>
      </c>
      <c r="R368" s="2" t="inlineStr"/>
    </row>
    <row r="369" ht="15" customHeight="1">
      <c r="A369" t="inlineStr">
        <is>
          <t>A 34928-2022</t>
        </is>
      </c>
      <c r="B369" s="1" t="n">
        <v>44796</v>
      </c>
      <c r="C369" s="1" t="n">
        <v>45475</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45475</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37483-2022</t>
        </is>
      </c>
      <c r="B371" s="1" t="n">
        <v>44809</v>
      </c>
      <c r="C371" s="1" t="n">
        <v>45475</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37774-2022</t>
        </is>
      </c>
      <c r="B372" s="1" t="n">
        <v>44810</v>
      </c>
      <c r="C372" s="1" t="n">
        <v>45475</v>
      </c>
      <c r="D372" t="inlineStr">
        <is>
          <t>DALARNAS LÄN</t>
        </is>
      </c>
      <c r="E372" t="inlineStr">
        <is>
          <t>MORA</t>
        </is>
      </c>
      <c r="F372" t="inlineStr">
        <is>
          <t>Bergvik skog väst AB</t>
        </is>
      </c>
      <c r="G372" t="n">
        <v>8.5</v>
      </c>
      <c r="H372" t="n">
        <v>0</v>
      </c>
      <c r="I372" t="n">
        <v>0</v>
      </c>
      <c r="J372" t="n">
        <v>0</v>
      </c>
      <c r="K372" t="n">
        <v>0</v>
      </c>
      <c r="L372" t="n">
        <v>0</v>
      </c>
      <c r="M372" t="n">
        <v>0</v>
      </c>
      <c r="N372" t="n">
        <v>0</v>
      </c>
      <c r="O372" t="n">
        <v>0</v>
      </c>
      <c r="P372" t="n">
        <v>0</v>
      </c>
      <c r="Q372" t="n">
        <v>0</v>
      </c>
      <c r="R372" s="2" t="inlineStr"/>
    </row>
    <row r="373" ht="15" customHeight="1">
      <c r="A373" t="inlineStr">
        <is>
          <t>A 37771-2022</t>
        </is>
      </c>
      <c r="B373" s="1" t="n">
        <v>44810</v>
      </c>
      <c r="C373" s="1" t="n">
        <v>45475</v>
      </c>
      <c r="D373" t="inlineStr">
        <is>
          <t>DALARNAS LÄN</t>
        </is>
      </c>
      <c r="E373" t="inlineStr">
        <is>
          <t>MORA</t>
        </is>
      </c>
      <c r="G373" t="n">
        <v>0.9</v>
      </c>
      <c r="H373" t="n">
        <v>0</v>
      </c>
      <c r="I373" t="n">
        <v>0</v>
      </c>
      <c r="J373" t="n">
        <v>0</v>
      </c>
      <c r="K373" t="n">
        <v>0</v>
      </c>
      <c r="L373" t="n">
        <v>0</v>
      </c>
      <c r="M373" t="n">
        <v>0</v>
      </c>
      <c r="N373" t="n">
        <v>0</v>
      </c>
      <c r="O373" t="n">
        <v>0</v>
      </c>
      <c r="P373" t="n">
        <v>0</v>
      </c>
      <c r="Q373" t="n">
        <v>0</v>
      </c>
      <c r="R373" s="2" t="inlineStr"/>
    </row>
    <row r="374" ht="15" customHeight="1">
      <c r="A374" t="inlineStr">
        <is>
          <t>A 37983-2022</t>
        </is>
      </c>
      <c r="B374" s="1" t="n">
        <v>44811</v>
      </c>
      <c r="C374" s="1" t="n">
        <v>45475</v>
      </c>
      <c r="D374" t="inlineStr">
        <is>
          <t>DALARNAS LÄN</t>
        </is>
      </c>
      <c r="E374" t="inlineStr">
        <is>
          <t>MORA</t>
        </is>
      </c>
      <c r="F374" t="inlineStr">
        <is>
          <t>Bergvik skog väst AB</t>
        </is>
      </c>
      <c r="G374" t="n">
        <v>13.1</v>
      </c>
      <c r="H374" t="n">
        <v>0</v>
      </c>
      <c r="I374" t="n">
        <v>0</v>
      </c>
      <c r="J374" t="n">
        <v>0</v>
      </c>
      <c r="K374" t="n">
        <v>0</v>
      </c>
      <c r="L374" t="n">
        <v>0</v>
      </c>
      <c r="M374" t="n">
        <v>0</v>
      </c>
      <c r="N374" t="n">
        <v>0</v>
      </c>
      <c r="O374" t="n">
        <v>0</v>
      </c>
      <c r="P374" t="n">
        <v>0</v>
      </c>
      <c r="Q374" t="n">
        <v>0</v>
      </c>
      <c r="R374" s="2" t="inlineStr"/>
    </row>
    <row r="375" ht="15" customHeight="1">
      <c r="A375" t="inlineStr">
        <is>
          <t>A 38305-2022</t>
        </is>
      </c>
      <c r="B375" s="1" t="n">
        <v>44812</v>
      </c>
      <c r="C375" s="1" t="n">
        <v>45475</v>
      </c>
      <c r="D375" t="inlineStr">
        <is>
          <t>DALARNAS LÄN</t>
        </is>
      </c>
      <c r="E375" t="inlineStr">
        <is>
          <t>MORA</t>
        </is>
      </c>
      <c r="G375" t="n">
        <v>15.8</v>
      </c>
      <c r="H375" t="n">
        <v>0</v>
      </c>
      <c r="I375" t="n">
        <v>0</v>
      </c>
      <c r="J375" t="n">
        <v>0</v>
      </c>
      <c r="K375" t="n">
        <v>0</v>
      </c>
      <c r="L375" t="n">
        <v>0</v>
      </c>
      <c r="M375" t="n">
        <v>0</v>
      </c>
      <c r="N375" t="n">
        <v>0</v>
      </c>
      <c r="O375" t="n">
        <v>0</v>
      </c>
      <c r="P375" t="n">
        <v>0</v>
      </c>
      <c r="Q375" t="n">
        <v>0</v>
      </c>
      <c r="R375" s="2" t="inlineStr"/>
    </row>
    <row r="376" ht="15" customHeight="1">
      <c r="A376" t="inlineStr">
        <is>
          <t>A 38651-2022</t>
        </is>
      </c>
      <c r="B376" s="1" t="n">
        <v>44813</v>
      </c>
      <c r="C376" s="1" t="n">
        <v>45475</v>
      </c>
      <c r="D376" t="inlineStr">
        <is>
          <t>DALARNAS LÄN</t>
        </is>
      </c>
      <c r="E376" t="inlineStr">
        <is>
          <t>MORA</t>
        </is>
      </c>
      <c r="G376" t="n">
        <v>4.4</v>
      </c>
      <c r="H376" t="n">
        <v>0</v>
      </c>
      <c r="I376" t="n">
        <v>0</v>
      </c>
      <c r="J376" t="n">
        <v>0</v>
      </c>
      <c r="K376" t="n">
        <v>0</v>
      </c>
      <c r="L376" t="n">
        <v>0</v>
      </c>
      <c r="M376" t="n">
        <v>0</v>
      </c>
      <c r="N376" t="n">
        <v>0</v>
      </c>
      <c r="O376" t="n">
        <v>0</v>
      </c>
      <c r="P376" t="n">
        <v>0</v>
      </c>
      <c r="Q376" t="n">
        <v>0</v>
      </c>
      <c r="R376" s="2" t="inlineStr"/>
    </row>
    <row r="377" ht="15" customHeight="1">
      <c r="A377" t="inlineStr">
        <is>
          <t>A 39162-2022</t>
        </is>
      </c>
      <c r="B377" s="1" t="n">
        <v>44817</v>
      </c>
      <c r="C377" s="1" t="n">
        <v>45475</v>
      </c>
      <c r="D377" t="inlineStr">
        <is>
          <t>DALARNAS LÄN</t>
        </is>
      </c>
      <c r="E377" t="inlineStr">
        <is>
          <t>MORA</t>
        </is>
      </c>
      <c r="F377" t="inlineStr">
        <is>
          <t>Allmännings- och besparingsskogar</t>
        </is>
      </c>
      <c r="G377" t="n">
        <v>27.2</v>
      </c>
      <c r="H377" t="n">
        <v>0</v>
      </c>
      <c r="I377" t="n">
        <v>0</v>
      </c>
      <c r="J377" t="n">
        <v>0</v>
      </c>
      <c r="K377" t="n">
        <v>0</v>
      </c>
      <c r="L377" t="n">
        <v>0</v>
      </c>
      <c r="M377" t="n">
        <v>0</v>
      </c>
      <c r="N377" t="n">
        <v>0</v>
      </c>
      <c r="O377" t="n">
        <v>0</v>
      </c>
      <c r="P377" t="n">
        <v>0</v>
      </c>
      <c r="Q377" t="n">
        <v>0</v>
      </c>
      <c r="R377" s="2" t="inlineStr"/>
    </row>
    <row r="378" ht="15" customHeight="1">
      <c r="A378" t="inlineStr">
        <is>
          <t>A 39897-2022</t>
        </is>
      </c>
      <c r="B378" s="1" t="n">
        <v>44819</v>
      </c>
      <c r="C378" s="1" t="n">
        <v>45475</v>
      </c>
      <c r="D378" t="inlineStr">
        <is>
          <t>DALARNAS LÄN</t>
        </is>
      </c>
      <c r="E378" t="inlineStr">
        <is>
          <t>MORA</t>
        </is>
      </c>
      <c r="G378" t="n">
        <v>15.8</v>
      </c>
      <c r="H378" t="n">
        <v>0</v>
      </c>
      <c r="I378" t="n">
        <v>0</v>
      </c>
      <c r="J378" t="n">
        <v>0</v>
      </c>
      <c r="K378" t="n">
        <v>0</v>
      </c>
      <c r="L378" t="n">
        <v>0</v>
      </c>
      <c r="M378" t="n">
        <v>0</v>
      </c>
      <c r="N378" t="n">
        <v>0</v>
      </c>
      <c r="O378" t="n">
        <v>0</v>
      </c>
      <c r="P378" t="n">
        <v>0</v>
      </c>
      <c r="Q378" t="n">
        <v>0</v>
      </c>
      <c r="R378" s="2" t="inlineStr"/>
    </row>
    <row r="379" ht="15" customHeight="1">
      <c r="A379" t="inlineStr">
        <is>
          <t>A 39901-2022</t>
        </is>
      </c>
      <c r="B379" s="1" t="n">
        <v>44819</v>
      </c>
      <c r="C379" s="1" t="n">
        <v>45475</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42035-2022</t>
        </is>
      </c>
      <c r="B380" s="1" t="n">
        <v>44830</v>
      </c>
      <c r="C380" s="1" t="n">
        <v>45475</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42121-2022</t>
        </is>
      </c>
      <c r="B381" s="1" t="n">
        <v>44830</v>
      </c>
      <c r="C381" s="1" t="n">
        <v>45475</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42611-2022</t>
        </is>
      </c>
      <c r="B382" s="1" t="n">
        <v>44831</v>
      </c>
      <c r="C382" s="1" t="n">
        <v>45475</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42668-2022</t>
        </is>
      </c>
      <c r="B383" s="1" t="n">
        <v>44832</v>
      </c>
      <c r="C383" s="1" t="n">
        <v>45475</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42814-2022</t>
        </is>
      </c>
      <c r="B384" s="1" t="n">
        <v>44832</v>
      </c>
      <c r="C384" s="1" t="n">
        <v>45475</v>
      </c>
      <c r="D384" t="inlineStr">
        <is>
          <t>DALARNAS LÄN</t>
        </is>
      </c>
      <c r="E384" t="inlineStr">
        <is>
          <t>MORA</t>
        </is>
      </c>
      <c r="F384" t="inlineStr">
        <is>
          <t>Bergvik skog väst AB</t>
        </is>
      </c>
      <c r="G384" t="n">
        <v>5.3</v>
      </c>
      <c r="H384" t="n">
        <v>0</v>
      </c>
      <c r="I384" t="n">
        <v>0</v>
      </c>
      <c r="J384" t="n">
        <v>0</v>
      </c>
      <c r="K384" t="n">
        <v>0</v>
      </c>
      <c r="L384" t="n">
        <v>0</v>
      </c>
      <c r="M384" t="n">
        <v>0</v>
      </c>
      <c r="N384" t="n">
        <v>0</v>
      </c>
      <c r="O384" t="n">
        <v>0</v>
      </c>
      <c r="P384" t="n">
        <v>0</v>
      </c>
      <c r="Q384" t="n">
        <v>0</v>
      </c>
      <c r="R384" s="2" t="inlineStr"/>
    </row>
    <row r="385" ht="15" customHeight="1">
      <c r="A385" t="inlineStr">
        <is>
          <t>A 43540-2022</t>
        </is>
      </c>
      <c r="B385" s="1" t="n">
        <v>44837</v>
      </c>
      <c r="C385" s="1" t="n">
        <v>45475</v>
      </c>
      <c r="D385" t="inlineStr">
        <is>
          <t>DALARNAS LÄN</t>
        </is>
      </c>
      <c r="E385" t="inlineStr">
        <is>
          <t>MORA</t>
        </is>
      </c>
      <c r="G385" t="n">
        <v>10.5</v>
      </c>
      <c r="H385" t="n">
        <v>0</v>
      </c>
      <c r="I385" t="n">
        <v>0</v>
      </c>
      <c r="J385" t="n">
        <v>0</v>
      </c>
      <c r="K385" t="n">
        <v>0</v>
      </c>
      <c r="L385" t="n">
        <v>0</v>
      </c>
      <c r="M385" t="n">
        <v>0</v>
      </c>
      <c r="N385" t="n">
        <v>0</v>
      </c>
      <c r="O385" t="n">
        <v>0</v>
      </c>
      <c r="P385" t="n">
        <v>0</v>
      </c>
      <c r="Q385" t="n">
        <v>0</v>
      </c>
      <c r="R385" s="2" t="inlineStr"/>
    </row>
    <row r="386" ht="15" customHeight="1">
      <c r="A386" t="inlineStr">
        <is>
          <t>A 43641-2022</t>
        </is>
      </c>
      <c r="B386" s="1" t="n">
        <v>44837</v>
      </c>
      <c r="C386" s="1" t="n">
        <v>45475</v>
      </c>
      <c r="D386" t="inlineStr">
        <is>
          <t>DALARNAS LÄN</t>
        </is>
      </c>
      <c r="E386" t="inlineStr">
        <is>
          <t>MORA</t>
        </is>
      </c>
      <c r="G386" t="n">
        <v>1.8</v>
      </c>
      <c r="H386" t="n">
        <v>0</v>
      </c>
      <c r="I386" t="n">
        <v>0</v>
      </c>
      <c r="J386" t="n">
        <v>0</v>
      </c>
      <c r="K386" t="n">
        <v>0</v>
      </c>
      <c r="L386" t="n">
        <v>0</v>
      </c>
      <c r="M386" t="n">
        <v>0</v>
      </c>
      <c r="N386" t="n">
        <v>0</v>
      </c>
      <c r="O386" t="n">
        <v>0</v>
      </c>
      <c r="P386" t="n">
        <v>0</v>
      </c>
      <c r="Q386" t="n">
        <v>0</v>
      </c>
      <c r="R386" s="2" t="inlineStr"/>
    </row>
    <row r="387" ht="15" customHeight="1">
      <c r="A387" t="inlineStr">
        <is>
          <t>A 43826-2022</t>
        </is>
      </c>
      <c r="B387" s="1" t="n">
        <v>44838</v>
      </c>
      <c r="C387" s="1" t="n">
        <v>45475</v>
      </c>
      <c r="D387" t="inlineStr">
        <is>
          <t>DALARNAS LÄN</t>
        </is>
      </c>
      <c r="E387" t="inlineStr">
        <is>
          <t>MORA</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43879-2022</t>
        </is>
      </c>
      <c r="B388" s="1" t="n">
        <v>44838</v>
      </c>
      <c r="C388" s="1" t="n">
        <v>45475</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43944-2022</t>
        </is>
      </c>
      <c r="B389" s="1" t="n">
        <v>44838</v>
      </c>
      <c r="C389" s="1" t="n">
        <v>45475</v>
      </c>
      <c r="D389" t="inlineStr">
        <is>
          <t>DALARNAS LÄN</t>
        </is>
      </c>
      <c r="E389" t="inlineStr">
        <is>
          <t>MORA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45238-2022</t>
        </is>
      </c>
      <c r="B390" s="1" t="n">
        <v>44844</v>
      </c>
      <c r="C390" s="1" t="n">
        <v>45475</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45463-2022</t>
        </is>
      </c>
      <c r="B391" s="1" t="n">
        <v>44845</v>
      </c>
      <c r="C391" s="1" t="n">
        <v>45475</v>
      </c>
      <c r="D391" t="inlineStr">
        <is>
          <t>DALARNAS LÄN</t>
        </is>
      </c>
      <c r="E391" t="inlineStr">
        <is>
          <t>MORA</t>
        </is>
      </c>
      <c r="G391" t="n">
        <v>8.4</v>
      </c>
      <c r="H391" t="n">
        <v>0</v>
      </c>
      <c r="I391" t="n">
        <v>0</v>
      </c>
      <c r="J391" t="n">
        <v>0</v>
      </c>
      <c r="K391" t="n">
        <v>0</v>
      </c>
      <c r="L391" t="n">
        <v>0</v>
      </c>
      <c r="M391" t="n">
        <v>0</v>
      </c>
      <c r="N391" t="n">
        <v>0</v>
      </c>
      <c r="O391" t="n">
        <v>0</v>
      </c>
      <c r="P391" t="n">
        <v>0</v>
      </c>
      <c r="Q391" t="n">
        <v>0</v>
      </c>
      <c r="R391" s="2" t="inlineStr"/>
    </row>
    <row r="392" ht="15" customHeight="1">
      <c r="A392" t="inlineStr">
        <is>
          <t>A 45462-2022</t>
        </is>
      </c>
      <c r="B392" s="1" t="n">
        <v>44845</v>
      </c>
      <c r="C392" s="1" t="n">
        <v>45475</v>
      </c>
      <c r="D392" t="inlineStr">
        <is>
          <t>DALARNAS LÄN</t>
        </is>
      </c>
      <c r="E392" t="inlineStr">
        <is>
          <t>MORA</t>
        </is>
      </c>
      <c r="G392" t="n">
        <v>6.9</v>
      </c>
      <c r="H392" t="n">
        <v>0</v>
      </c>
      <c r="I392" t="n">
        <v>0</v>
      </c>
      <c r="J392" t="n">
        <v>0</v>
      </c>
      <c r="K392" t="n">
        <v>0</v>
      </c>
      <c r="L392" t="n">
        <v>0</v>
      </c>
      <c r="M392" t="n">
        <v>0</v>
      </c>
      <c r="N392" t="n">
        <v>0</v>
      </c>
      <c r="O392" t="n">
        <v>0</v>
      </c>
      <c r="P392" t="n">
        <v>0</v>
      </c>
      <c r="Q392" t="n">
        <v>0</v>
      </c>
      <c r="R392" s="2" t="inlineStr"/>
    </row>
    <row r="393" ht="15" customHeight="1">
      <c r="A393" t="inlineStr">
        <is>
          <t>A 45465-2022</t>
        </is>
      </c>
      <c r="B393" s="1" t="n">
        <v>44845</v>
      </c>
      <c r="C393" s="1" t="n">
        <v>45475</v>
      </c>
      <c r="D393" t="inlineStr">
        <is>
          <t>DALARNAS LÄN</t>
        </is>
      </c>
      <c r="E393" t="inlineStr">
        <is>
          <t>MORA</t>
        </is>
      </c>
      <c r="G393" t="n">
        <v>10.6</v>
      </c>
      <c r="H393" t="n">
        <v>0</v>
      </c>
      <c r="I393" t="n">
        <v>0</v>
      </c>
      <c r="J393" t="n">
        <v>0</v>
      </c>
      <c r="K393" t="n">
        <v>0</v>
      </c>
      <c r="L393" t="n">
        <v>0</v>
      </c>
      <c r="M393" t="n">
        <v>0</v>
      </c>
      <c r="N393" t="n">
        <v>0</v>
      </c>
      <c r="O393" t="n">
        <v>0</v>
      </c>
      <c r="P393" t="n">
        <v>0</v>
      </c>
      <c r="Q393" t="n">
        <v>0</v>
      </c>
      <c r="R393" s="2" t="inlineStr"/>
    </row>
    <row r="394" ht="15" customHeight="1">
      <c r="A394" t="inlineStr">
        <is>
          <t>A 46188-2022</t>
        </is>
      </c>
      <c r="B394" s="1" t="n">
        <v>44847</v>
      </c>
      <c r="C394" s="1" t="n">
        <v>45475</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46402-2022</t>
        </is>
      </c>
      <c r="B395" s="1" t="n">
        <v>44848</v>
      </c>
      <c r="C395" s="1" t="n">
        <v>45475</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46801-2022</t>
        </is>
      </c>
      <c r="B396" s="1" t="n">
        <v>44851</v>
      </c>
      <c r="C396" s="1" t="n">
        <v>45475</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47143-2022</t>
        </is>
      </c>
      <c r="B397" s="1" t="n">
        <v>44852</v>
      </c>
      <c r="C397" s="1" t="n">
        <v>45475</v>
      </c>
      <c r="D397" t="inlineStr">
        <is>
          <t>DALARNAS LÄN</t>
        </is>
      </c>
      <c r="E397" t="inlineStr">
        <is>
          <t>MORA</t>
        </is>
      </c>
      <c r="G397" t="n">
        <v>3.9</v>
      </c>
      <c r="H397" t="n">
        <v>0</v>
      </c>
      <c r="I397" t="n">
        <v>0</v>
      </c>
      <c r="J397" t="n">
        <v>0</v>
      </c>
      <c r="K397" t="n">
        <v>0</v>
      </c>
      <c r="L397" t="n">
        <v>0</v>
      </c>
      <c r="M397" t="n">
        <v>0</v>
      </c>
      <c r="N397" t="n">
        <v>0</v>
      </c>
      <c r="O397" t="n">
        <v>0</v>
      </c>
      <c r="P397" t="n">
        <v>0</v>
      </c>
      <c r="Q397" t="n">
        <v>0</v>
      </c>
      <c r="R397" s="2" t="inlineStr"/>
    </row>
    <row r="398" ht="15" customHeight="1">
      <c r="A398" t="inlineStr">
        <is>
          <t>A 47429-2022</t>
        </is>
      </c>
      <c r="B398" s="1" t="n">
        <v>44853</v>
      </c>
      <c r="C398" s="1" t="n">
        <v>45475</v>
      </c>
      <c r="D398" t="inlineStr">
        <is>
          <t>DALARNAS LÄN</t>
        </is>
      </c>
      <c r="E398" t="inlineStr">
        <is>
          <t>MORA</t>
        </is>
      </c>
      <c r="G398" t="n">
        <v>3</v>
      </c>
      <c r="H398" t="n">
        <v>0</v>
      </c>
      <c r="I398" t="n">
        <v>0</v>
      </c>
      <c r="J398" t="n">
        <v>0</v>
      </c>
      <c r="K398" t="n">
        <v>0</v>
      </c>
      <c r="L398" t="n">
        <v>0</v>
      </c>
      <c r="M398" t="n">
        <v>0</v>
      </c>
      <c r="N398" t="n">
        <v>0</v>
      </c>
      <c r="O398" t="n">
        <v>0</v>
      </c>
      <c r="P398" t="n">
        <v>0</v>
      </c>
      <c r="Q398" t="n">
        <v>0</v>
      </c>
      <c r="R398" s="2" t="inlineStr"/>
    </row>
    <row r="399" ht="15" customHeight="1">
      <c r="A399" t="inlineStr">
        <is>
          <t>A 48383-2022</t>
        </is>
      </c>
      <c r="B399" s="1" t="n">
        <v>44858</v>
      </c>
      <c r="C399" s="1" t="n">
        <v>45475</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48376-2022</t>
        </is>
      </c>
      <c r="B400" s="1" t="n">
        <v>44858</v>
      </c>
      <c r="C400" s="1" t="n">
        <v>45475</v>
      </c>
      <c r="D400" t="inlineStr">
        <is>
          <t>DALARNAS LÄN</t>
        </is>
      </c>
      <c r="E400" t="inlineStr">
        <is>
          <t>MORA</t>
        </is>
      </c>
      <c r="G400" t="n">
        <v>2.8</v>
      </c>
      <c r="H400" t="n">
        <v>0</v>
      </c>
      <c r="I400" t="n">
        <v>0</v>
      </c>
      <c r="J400" t="n">
        <v>0</v>
      </c>
      <c r="K400" t="n">
        <v>0</v>
      </c>
      <c r="L400" t="n">
        <v>0</v>
      </c>
      <c r="M400" t="n">
        <v>0</v>
      </c>
      <c r="N400" t="n">
        <v>0</v>
      </c>
      <c r="O400" t="n">
        <v>0</v>
      </c>
      <c r="P400" t="n">
        <v>0</v>
      </c>
      <c r="Q400" t="n">
        <v>0</v>
      </c>
      <c r="R400" s="2" t="inlineStr"/>
    </row>
    <row r="401" ht="15" customHeight="1">
      <c r="A401" t="inlineStr">
        <is>
          <t>A 48456-2022</t>
        </is>
      </c>
      <c r="B401" s="1" t="n">
        <v>44858</v>
      </c>
      <c r="C401" s="1" t="n">
        <v>45475</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48570-2022</t>
        </is>
      </c>
      <c r="B402" s="1" t="n">
        <v>44859</v>
      </c>
      <c r="C402" s="1" t="n">
        <v>45475</v>
      </c>
      <c r="D402" t="inlineStr">
        <is>
          <t>DALARNAS LÄN</t>
        </is>
      </c>
      <c r="E402" t="inlineStr">
        <is>
          <t>MORA</t>
        </is>
      </c>
      <c r="G402" t="n">
        <v>6.2</v>
      </c>
      <c r="H402" t="n">
        <v>0</v>
      </c>
      <c r="I402" t="n">
        <v>0</v>
      </c>
      <c r="J402" t="n">
        <v>0</v>
      </c>
      <c r="K402" t="n">
        <v>0</v>
      </c>
      <c r="L402" t="n">
        <v>0</v>
      </c>
      <c r="M402" t="n">
        <v>0</v>
      </c>
      <c r="N402" t="n">
        <v>0</v>
      </c>
      <c r="O402" t="n">
        <v>0</v>
      </c>
      <c r="P402" t="n">
        <v>0</v>
      </c>
      <c r="Q402" t="n">
        <v>0</v>
      </c>
      <c r="R402" s="2" t="inlineStr"/>
    </row>
    <row r="403" ht="15" customHeight="1">
      <c r="A403" t="inlineStr">
        <is>
          <t>A 48728-2022</t>
        </is>
      </c>
      <c r="B403" s="1" t="n">
        <v>44859</v>
      </c>
      <c r="C403" s="1" t="n">
        <v>45475</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49257-2022</t>
        </is>
      </c>
      <c r="B404" s="1" t="n">
        <v>44861</v>
      </c>
      <c r="C404" s="1" t="n">
        <v>45475</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50056-2022</t>
        </is>
      </c>
      <c r="B405" s="1" t="n">
        <v>44865</v>
      </c>
      <c r="C405" s="1" t="n">
        <v>45475</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50719-2022</t>
        </is>
      </c>
      <c r="B406" s="1" t="n">
        <v>44867</v>
      </c>
      <c r="C406" s="1" t="n">
        <v>45475</v>
      </c>
      <c r="D406" t="inlineStr">
        <is>
          <t>DALARNAS LÄN</t>
        </is>
      </c>
      <c r="E406" t="inlineStr">
        <is>
          <t>MORA</t>
        </is>
      </c>
      <c r="G406" t="n">
        <v>2.4</v>
      </c>
      <c r="H406" t="n">
        <v>0</v>
      </c>
      <c r="I406" t="n">
        <v>0</v>
      </c>
      <c r="J406" t="n">
        <v>0</v>
      </c>
      <c r="K406" t="n">
        <v>0</v>
      </c>
      <c r="L406" t="n">
        <v>0</v>
      </c>
      <c r="M406" t="n">
        <v>0</v>
      </c>
      <c r="N406" t="n">
        <v>0</v>
      </c>
      <c r="O406" t="n">
        <v>0</v>
      </c>
      <c r="P406" t="n">
        <v>0</v>
      </c>
      <c r="Q406" t="n">
        <v>0</v>
      </c>
      <c r="R406" s="2" t="inlineStr"/>
    </row>
    <row r="407" ht="15" customHeight="1">
      <c r="A407" t="inlineStr">
        <is>
          <t>A 51444-2022</t>
        </is>
      </c>
      <c r="B407" s="1" t="n">
        <v>44869</v>
      </c>
      <c r="C407" s="1" t="n">
        <v>45475</v>
      </c>
      <c r="D407" t="inlineStr">
        <is>
          <t>DALARNAS LÄN</t>
        </is>
      </c>
      <c r="E407" t="inlineStr">
        <is>
          <t>MORA</t>
        </is>
      </c>
      <c r="G407" t="n">
        <v>24.3</v>
      </c>
      <c r="H407" t="n">
        <v>0</v>
      </c>
      <c r="I407" t="n">
        <v>0</v>
      </c>
      <c r="J407" t="n">
        <v>0</v>
      </c>
      <c r="K407" t="n">
        <v>0</v>
      </c>
      <c r="L407" t="n">
        <v>0</v>
      </c>
      <c r="M407" t="n">
        <v>0</v>
      </c>
      <c r="N407" t="n">
        <v>0</v>
      </c>
      <c r="O407" t="n">
        <v>0</v>
      </c>
      <c r="P407" t="n">
        <v>0</v>
      </c>
      <c r="Q407" t="n">
        <v>0</v>
      </c>
      <c r="R407" s="2" t="inlineStr"/>
    </row>
    <row r="408" ht="15" customHeight="1">
      <c r="A408" t="inlineStr">
        <is>
          <t>A 52525-2022</t>
        </is>
      </c>
      <c r="B408" s="1" t="n">
        <v>44874</v>
      </c>
      <c r="C408" s="1" t="n">
        <v>45475</v>
      </c>
      <c r="D408" t="inlineStr">
        <is>
          <t>DALARNAS LÄN</t>
        </is>
      </c>
      <c r="E408" t="inlineStr">
        <is>
          <t>MORA</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52557-2022</t>
        </is>
      </c>
      <c r="B409" s="1" t="n">
        <v>44874</v>
      </c>
      <c r="C409" s="1" t="n">
        <v>45475</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52845-2022</t>
        </is>
      </c>
      <c r="B410" s="1" t="n">
        <v>44875</v>
      </c>
      <c r="C410" s="1" t="n">
        <v>45475</v>
      </c>
      <c r="D410" t="inlineStr">
        <is>
          <t>DALARNAS LÄN</t>
        </is>
      </c>
      <c r="E410" t="inlineStr">
        <is>
          <t>MORA</t>
        </is>
      </c>
      <c r="G410" t="n">
        <v>2.8</v>
      </c>
      <c r="H410" t="n">
        <v>0</v>
      </c>
      <c r="I410" t="n">
        <v>0</v>
      </c>
      <c r="J410" t="n">
        <v>0</v>
      </c>
      <c r="K410" t="n">
        <v>0</v>
      </c>
      <c r="L410" t="n">
        <v>0</v>
      </c>
      <c r="M410" t="n">
        <v>0</v>
      </c>
      <c r="N410" t="n">
        <v>0</v>
      </c>
      <c r="O410" t="n">
        <v>0</v>
      </c>
      <c r="P410" t="n">
        <v>0</v>
      </c>
      <c r="Q410" t="n">
        <v>0</v>
      </c>
      <c r="R410" s="2" t="inlineStr"/>
    </row>
    <row r="411" ht="15" customHeight="1">
      <c r="A411" t="inlineStr">
        <is>
          <t>A 53214-2022</t>
        </is>
      </c>
      <c r="B411" s="1" t="n">
        <v>44876</v>
      </c>
      <c r="C411" s="1" t="n">
        <v>45475</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54409-2022</t>
        </is>
      </c>
      <c r="B412" s="1" t="n">
        <v>44882</v>
      </c>
      <c r="C412" s="1" t="n">
        <v>45475</v>
      </c>
      <c r="D412" t="inlineStr">
        <is>
          <t>DALARNAS LÄN</t>
        </is>
      </c>
      <c r="E412" t="inlineStr">
        <is>
          <t>MORA</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54739-2022</t>
        </is>
      </c>
      <c r="B413" s="1" t="n">
        <v>44883</v>
      </c>
      <c r="C413" s="1" t="n">
        <v>45475</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55010-2022</t>
        </is>
      </c>
      <c r="B414" s="1" t="n">
        <v>44886</v>
      </c>
      <c r="C414" s="1" t="n">
        <v>45475</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55051-2022</t>
        </is>
      </c>
      <c r="B415" s="1" t="n">
        <v>44886</v>
      </c>
      <c r="C415" s="1" t="n">
        <v>45475</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55106-2022</t>
        </is>
      </c>
      <c r="B416" s="1" t="n">
        <v>44886</v>
      </c>
      <c r="C416" s="1" t="n">
        <v>45475</v>
      </c>
      <c r="D416" t="inlineStr">
        <is>
          <t>DALARNAS LÄN</t>
        </is>
      </c>
      <c r="E416" t="inlineStr">
        <is>
          <t>MORA</t>
        </is>
      </c>
      <c r="G416" t="n">
        <v>7.7</v>
      </c>
      <c r="H416" t="n">
        <v>0</v>
      </c>
      <c r="I416" t="n">
        <v>0</v>
      </c>
      <c r="J416" t="n">
        <v>0</v>
      </c>
      <c r="K416" t="n">
        <v>0</v>
      </c>
      <c r="L416" t="n">
        <v>0</v>
      </c>
      <c r="M416" t="n">
        <v>0</v>
      </c>
      <c r="N416" t="n">
        <v>0</v>
      </c>
      <c r="O416" t="n">
        <v>0</v>
      </c>
      <c r="P416" t="n">
        <v>0</v>
      </c>
      <c r="Q416" t="n">
        <v>0</v>
      </c>
      <c r="R416" s="2" t="inlineStr"/>
    </row>
    <row r="417" ht="15" customHeight="1">
      <c r="A417" t="inlineStr">
        <is>
          <t>A 55077-2022</t>
        </is>
      </c>
      <c r="B417" s="1" t="n">
        <v>44886</v>
      </c>
      <c r="C417" s="1" t="n">
        <v>45475</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55331-2022</t>
        </is>
      </c>
      <c r="B418" s="1" t="n">
        <v>44887</v>
      </c>
      <c r="C418" s="1" t="n">
        <v>45475</v>
      </c>
      <c r="D418" t="inlineStr">
        <is>
          <t>DALARNAS LÄN</t>
        </is>
      </c>
      <c r="E418" t="inlineStr">
        <is>
          <t>MORA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55356-2022</t>
        </is>
      </c>
      <c r="B419" s="1" t="n">
        <v>44887</v>
      </c>
      <c r="C419" s="1" t="n">
        <v>45475</v>
      </c>
      <c r="D419" t="inlineStr">
        <is>
          <t>DALARNAS LÄN</t>
        </is>
      </c>
      <c r="E419" t="inlineStr">
        <is>
          <t>MORA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56939-2022</t>
        </is>
      </c>
      <c r="B420" s="1" t="n">
        <v>44888</v>
      </c>
      <c r="C420" s="1" t="n">
        <v>45475</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55993-2022</t>
        </is>
      </c>
      <c r="B421" s="1" t="n">
        <v>44889</v>
      </c>
      <c r="C421" s="1" t="n">
        <v>45475</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55925-2022</t>
        </is>
      </c>
      <c r="B422" s="1" t="n">
        <v>44889</v>
      </c>
      <c r="C422" s="1" t="n">
        <v>45475</v>
      </c>
      <c r="D422" t="inlineStr">
        <is>
          <t>DALARNAS LÄN</t>
        </is>
      </c>
      <c r="E422" t="inlineStr">
        <is>
          <t>MORA</t>
        </is>
      </c>
      <c r="F422" t="inlineStr">
        <is>
          <t>Allmännings- och besparingsskogar</t>
        </is>
      </c>
      <c r="G422" t="n">
        <v>15.6</v>
      </c>
      <c r="H422" t="n">
        <v>0</v>
      </c>
      <c r="I422" t="n">
        <v>0</v>
      </c>
      <c r="J422" t="n">
        <v>0</v>
      </c>
      <c r="K422" t="n">
        <v>0</v>
      </c>
      <c r="L422" t="n">
        <v>0</v>
      </c>
      <c r="M422" t="n">
        <v>0</v>
      </c>
      <c r="N422" t="n">
        <v>0</v>
      </c>
      <c r="O422" t="n">
        <v>0</v>
      </c>
      <c r="P422" t="n">
        <v>0</v>
      </c>
      <c r="Q422" t="n">
        <v>0</v>
      </c>
      <c r="R422" s="2" t="inlineStr"/>
    </row>
    <row r="423" ht="15" customHeight="1">
      <c r="A423" t="inlineStr">
        <is>
          <t>A 56321-2022</t>
        </is>
      </c>
      <c r="B423" s="1" t="n">
        <v>44890</v>
      </c>
      <c r="C423" s="1" t="n">
        <v>45475</v>
      </c>
      <c r="D423" t="inlineStr">
        <is>
          <t>DALARNAS LÄN</t>
        </is>
      </c>
      <c r="E423" t="inlineStr">
        <is>
          <t>MORA</t>
        </is>
      </c>
      <c r="G423" t="n">
        <v>2.8</v>
      </c>
      <c r="H423" t="n">
        <v>0</v>
      </c>
      <c r="I423" t="n">
        <v>0</v>
      </c>
      <c r="J423" t="n">
        <v>0</v>
      </c>
      <c r="K423" t="n">
        <v>0</v>
      </c>
      <c r="L423" t="n">
        <v>0</v>
      </c>
      <c r="M423" t="n">
        <v>0</v>
      </c>
      <c r="N423" t="n">
        <v>0</v>
      </c>
      <c r="O423" t="n">
        <v>0</v>
      </c>
      <c r="P423" t="n">
        <v>0</v>
      </c>
      <c r="Q423" t="n">
        <v>0</v>
      </c>
      <c r="R423" s="2" t="inlineStr"/>
    </row>
    <row r="424" ht="15" customHeight="1">
      <c r="A424" t="inlineStr">
        <is>
          <t>A 56460-2022</t>
        </is>
      </c>
      <c r="B424" s="1" t="n">
        <v>44893</v>
      </c>
      <c r="C424" s="1" t="n">
        <v>45475</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56678-2022</t>
        </is>
      </c>
      <c r="B425" s="1" t="n">
        <v>44893</v>
      </c>
      <c r="C425" s="1" t="n">
        <v>45475</v>
      </c>
      <c r="D425" t="inlineStr">
        <is>
          <t>DALARNAS LÄN</t>
        </is>
      </c>
      <c r="E425" t="inlineStr">
        <is>
          <t>MORA</t>
        </is>
      </c>
      <c r="G425" t="n">
        <v>4.7</v>
      </c>
      <c r="H425" t="n">
        <v>0</v>
      </c>
      <c r="I425" t="n">
        <v>0</v>
      </c>
      <c r="J425" t="n">
        <v>0</v>
      </c>
      <c r="K425" t="n">
        <v>0</v>
      </c>
      <c r="L425" t="n">
        <v>0</v>
      </c>
      <c r="M425" t="n">
        <v>0</v>
      </c>
      <c r="N425" t="n">
        <v>0</v>
      </c>
      <c r="O425" t="n">
        <v>0</v>
      </c>
      <c r="P425" t="n">
        <v>0</v>
      </c>
      <c r="Q425" t="n">
        <v>0</v>
      </c>
      <c r="R425" s="2" t="inlineStr"/>
    </row>
    <row r="426" ht="15" customHeight="1">
      <c r="A426" t="inlineStr">
        <is>
          <t>A 56770-2022</t>
        </is>
      </c>
      <c r="B426" s="1" t="n">
        <v>44894</v>
      </c>
      <c r="C426" s="1" t="n">
        <v>45475</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56865-2022</t>
        </is>
      </c>
      <c r="B427" s="1" t="n">
        <v>44894</v>
      </c>
      <c r="C427" s="1" t="n">
        <v>45475</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57475-2022</t>
        </is>
      </c>
      <c r="B428" s="1" t="n">
        <v>44896</v>
      </c>
      <c r="C428" s="1" t="n">
        <v>45475</v>
      </c>
      <c r="D428" t="inlineStr">
        <is>
          <t>DALARNAS LÄN</t>
        </is>
      </c>
      <c r="E428" t="inlineStr">
        <is>
          <t>MORA</t>
        </is>
      </c>
      <c r="G428" t="n">
        <v>5.7</v>
      </c>
      <c r="H428" t="n">
        <v>0</v>
      </c>
      <c r="I428" t="n">
        <v>0</v>
      </c>
      <c r="J428" t="n">
        <v>0</v>
      </c>
      <c r="K428" t="n">
        <v>0</v>
      </c>
      <c r="L428" t="n">
        <v>0</v>
      </c>
      <c r="M428" t="n">
        <v>0</v>
      </c>
      <c r="N428" t="n">
        <v>0</v>
      </c>
      <c r="O428" t="n">
        <v>0</v>
      </c>
      <c r="P428" t="n">
        <v>0</v>
      </c>
      <c r="Q428" t="n">
        <v>0</v>
      </c>
      <c r="R428" s="2" t="inlineStr"/>
    </row>
    <row r="429" ht="15" customHeight="1">
      <c r="A429" t="inlineStr">
        <is>
          <t>A 57669-2022</t>
        </is>
      </c>
      <c r="B429" s="1" t="n">
        <v>44897</v>
      </c>
      <c r="C429" s="1" t="n">
        <v>45475</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57797-2022</t>
        </is>
      </c>
      <c r="B430" s="1" t="n">
        <v>44897</v>
      </c>
      <c r="C430" s="1" t="n">
        <v>45475</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57859-2022</t>
        </is>
      </c>
      <c r="B431" s="1" t="n">
        <v>44898</v>
      </c>
      <c r="C431" s="1" t="n">
        <v>45475</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57903-2022</t>
        </is>
      </c>
      <c r="B432" s="1" t="n">
        <v>44900</v>
      </c>
      <c r="C432" s="1" t="n">
        <v>45475</v>
      </c>
      <c r="D432" t="inlineStr">
        <is>
          <t>DALARNAS LÄN</t>
        </is>
      </c>
      <c r="E432" t="inlineStr">
        <is>
          <t>MORA</t>
        </is>
      </c>
      <c r="G432" t="n">
        <v>4.3</v>
      </c>
      <c r="H432" t="n">
        <v>0</v>
      </c>
      <c r="I432" t="n">
        <v>0</v>
      </c>
      <c r="J432" t="n">
        <v>0</v>
      </c>
      <c r="K432" t="n">
        <v>0</v>
      </c>
      <c r="L432" t="n">
        <v>0</v>
      </c>
      <c r="M432" t="n">
        <v>0</v>
      </c>
      <c r="N432" t="n">
        <v>0</v>
      </c>
      <c r="O432" t="n">
        <v>0</v>
      </c>
      <c r="P432" t="n">
        <v>0</v>
      </c>
      <c r="Q432" t="n">
        <v>0</v>
      </c>
      <c r="R432" s="2" t="inlineStr"/>
    </row>
    <row r="433" ht="15" customHeight="1">
      <c r="A433" t="inlineStr">
        <is>
          <t>A 58116-2022</t>
        </is>
      </c>
      <c r="B433" s="1" t="n">
        <v>44900</v>
      </c>
      <c r="C433" s="1" t="n">
        <v>45475</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58357-2022</t>
        </is>
      </c>
      <c r="B434" s="1" t="n">
        <v>44901</v>
      </c>
      <c r="C434" s="1" t="n">
        <v>45475</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58525-2022</t>
        </is>
      </c>
      <c r="B435" s="1" t="n">
        <v>44902</v>
      </c>
      <c r="C435" s="1" t="n">
        <v>45475</v>
      </c>
      <c r="D435" t="inlineStr">
        <is>
          <t>DALARNAS LÄN</t>
        </is>
      </c>
      <c r="E435" t="inlineStr">
        <is>
          <t>MORA</t>
        </is>
      </c>
      <c r="G435" t="n">
        <v>4.8</v>
      </c>
      <c r="H435" t="n">
        <v>0</v>
      </c>
      <c r="I435" t="n">
        <v>0</v>
      </c>
      <c r="J435" t="n">
        <v>0</v>
      </c>
      <c r="K435" t="n">
        <v>0</v>
      </c>
      <c r="L435" t="n">
        <v>0</v>
      </c>
      <c r="M435" t="n">
        <v>0</v>
      </c>
      <c r="N435" t="n">
        <v>0</v>
      </c>
      <c r="O435" t="n">
        <v>0</v>
      </c>
      <c r="P435" t="n">
        <v>0</v>
      </c>
      <c r="Q435" t="n">
        <v>0</v>
      </c>
      <c r="R435" s="2" t="inlineStr"/>
    </row>
    <row r="436" ht="15" customHeight="1">
      <c r="A436" t="inlineStr">
        <is>
          <t>A 58958-2022</t>
        </is>
      </c>
      <c r="B436" s="1" t="n">
        <v>44903</v>
      </c>
      <c r="C436" s="1" t="n">
        <v>45475</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59406-2022</t>
        </is>
      </c>
      <c r="B437" s="1" t="n">
        <v>44906</v>
      </c>
      <c r="C437" s="1" t="n">
        <v>45475</v>
      </c>
      <c r="D437" t="inlineStr">
        <is>
          <t>DALARNAS LÄN</t>
        </is>
      </c>
      <c r="E437" t="inlineStr">
        <is>
          <t>MORA</t>
        </is>
      </c>
      <c r="G437" t="n">
        <v>16.3</v>
      </c>
      <c r="H437" t="n">
        <v>0</v>
      </c>
      <c r="I437" t="n">
        <v>0</v>
      </c>
      <c r="J437" t="n">
        <v>0</v>
      </c>
      <c r="K437" t="n">
        <v>0</v>
      </c>
      <c r="L437" t="n">
        <v>0</v>
      </c>
      <c r="M437" t="n">
        <v>0</v>
      </c>
      <c r="N437" t="n">
        <v>0</v>
      </c>
      <c r="O437" t="n">
        <v>0</v>
      </c>
      <c r="P437" t="n">
        <v>0</v>
      </c>
      <c r="Q437" t="n">
        <v>0</v>
      </c>
      <c r="R437" s="2" t="inlineStr"/>
    </row>
    <row r="438" ht="15" customHeight="1">
      <c r="A438" t="inlineStr">
        <is>
          <t>A 59419-2022</t>
        </is>
      </c>
      <c r="B438" s="1" t="n">
        <v>44907</v>
      </c>
      <c r="C438" s="1" t="n">
        <v>45475</v>
      </c>
      <c r="D438" t="inlineStr">
        <is>
          <t>DALARNAS LÄN</t>
        </is>
      </c>
      <c r="E438" t="inlineStr">
        <is>
          <t>MORA</t>
        </is>
      </c>
      <c r="G438" t="n">
        <v>9.1</v>
      </c>
      <c r="H438" t="n">
        <v>0</v>
      </c>
      <c r="I438" t="n">
        <v>0</v>
      </c>
      <c r="J438" t="n">
        <v>0</v>
      </c>
      <c r="K438" t="n">
        <v>0</v>
      </c>
      <c r="L438" t="n">
        <v>0</v>
      </c>
      <c r="M438" t="n">
        <v>0</v>
      </c>
      <c r="N438" t="n">
        <v>0</v>
      </c>
      <c r="O438" t="n">
        <v>0</v>
      </c>
      <c r="P438" t="n">
        <v>0</v>
      </c>
      <c r="Q438" t="n">
        <v>0</v>
      </c>
      <c r="R438" s="2" t="inlineStr"/>
    </row>
    <row r="439" ht="15" customHeight="1">
      <c r="A439" t="inlineStr">
        <is>
          <t>A 59448-2022</t>
        </is>
      </c>
      <c r="B439" s="1" t="n">
        <v>44907</v>
      </c>
      <c r="C439" s="1" t="n">
        <v>45475</v>
      </c>
      <c r="D439" t="inlineStr">
        <is>
          <t>DALARNAS LÄN</t>
        </is>
      </c>
      <c r="E439" t="inlineStr">
        <is>
          <t>MORA</t>
        </is>
      </c>
      <c r="G439" t="n">
        <v>35.7</v>
      </c>
      <c r="H439" t="n">
        <v>0</v>
      </c>
      <c r="I439" t="n">
        <v>0</v>
      </c>
      <c r="J439" t="n">
        <v>0</v>
      </c>
      <c r="K439" t="n">
        <v>0</v>
      </c>
      <c r="L439" t="n">
        <v>0</v>
      </c>
      <c r="M439" t="n">
        <v>0</v>
      </c>
      <c r="N439" t="n">
        <v>0</v>
      </c>
      <c r="O439" t="n">
        <v>0</v>
      </c>
      <c r="P439" t="n">
        <v>0</v>
      </c>
      <c r="Q439" t="n">
        <v>0</v>
      </c>
      <c r="R439" s="2" t="inlineStr"/>
    </row>
    <row r="440" ht="15" customHeight="1">
      <c r="A440" t="inlineStr">
        <is>
          <t>A 60051-2022</t>
        </is>
      </c>
      <c r="B440" s="1" t="n">
        <v>44909</v>
      </c>
      <c r="C440" s="1" t="n">
        <v>45475</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60647-2022</t>
        </is>
      </c>
      <c r="B441" s="1" t="n">
        <v>44911</v>
      </c>
      <c r="C441" s="1" t="n">
        <v>45475</v>
      </c>
      <c r="D441" t="inlineStr">
        <is>
          <t>DALARNAS LÄN</t>
        </is>
      </c>
      <c r="E441" t="inlineStr">
        <is>
          <t>MORA</t>
        </is>
      </c>
      <c r="G441" t="n">
        <v>4.8</v>
      </c>
      <c r="H441" t="n">
        <v>0</v>
      </c>
      <c r="I441" t="n">
        <v>0</v>
      </c>
      <c r="J441" t="n">
        <v>0</v>
      </c>
      <c r="K441" t="n">
        <v>0</v>
      </c>
      <c r="L441" t="n">
        <v>0</v>
      </c>
      <c r="M441" t="n">
        <v>0</v>
      </c>
      <c r="N441" t="n">
        <v>0</v>
      </c>
      <c r="O441" t="n">
        <v>0</v>
      </c>
      <c r="P441" t="n">
        <v>0</v>
      </c>
      <c r="Q441" t="n">
        <v>0</v>
      </c>
      <c r="R441" s="2" t="inlineStr"/>
    </row>
    <row r="442" ht="15" customHeight="1">
      <c r="A442" t="inlineStr">
        <is>
          <t>A 61263-2022</t>
        </is>
      </c>
      <c r="B442" s="1" t="n">
        <v>44915</v>
      </c>
      <c r="C442" s="1" t="n">
        <v>45475</v>
      </c>
      <c r="D442" t="inlineStr">
        <is>
          <t>DALARNAS LÄN</t>
        </is>
      </c>
      <c r="E442" t="inlineStr">
        <is>
          <t>MORA</t>
        </is>
      </c>
      <c r="G442" t="n">
        <v>3.2</v>
      </c>
      <c r="H442" t="n">
        <v>0</v>
      </c>
      <c r="I442" t="n">
        <v>0</v>
      </c>
      <c r="J442" t="n">
        <v>0</v>
      </c>
      <c r="K442" t="n">
        <v>0</v>
      </c>
      <c r="L442" t="n">
        <v>0</v>
      </c>
      <c r="M442" t="n">
        <v>0</v>
      </c>
      <c r="N442" t="n">
        <v>0</v>
      </c>
      <c r="O442" t="n">
        <v>0</v>
      </c>
      <c r="P442" t="n">
        <v>0</v>
      </c>
      <c r="Q442" t="n">
        <v>0</v>
      </c>
      <c r="R442" s="2" t="inlineStr"/>
    </row>
    <row r="443" ht="15" customHeight="1">
      <c r="A443" t="inlineStr">
        <is>
          <t>A 61273-2022</t>
        </is>
      </c>
      <c r="B443" s="1" t="n">
        <v>44915</v>
      </c>
      <c r="C443" s="1" t="n">
        <v>45475</v>
      </c>
      <c r="D443" t="inlineStr">
        <is>
          <t>DALARNAS LÄN</t>
        </is>
      </c>
      <c r="E443" t="inlineStr">
        <is>
          <t>MORA</t>
        </is>
      </c>
      <c r="G443" t="n">
        <v>8.4</v>
      </c>
      <c r="H443" t="n">
        <v>0</v>
      </c>
      <c r="I443" t="n">
        <v>0</v>
      </c>
      <c r="J443" t="n">
        <v>0</v>
      </c>
      <c r="K443" t="n">
        <v>0</v>
      </c>
      <c r="L443" t="n">
        <v>0</v>
      </c>
      <c r="M443" t="n">
        <v>0</v>
      </c>
      <c r="N443" t="n">
        <v>0</v>
      </c>
      <c r="O443" t="n">
        <v>0</v>
      </c>
      <c r="P443" t="n">
        <v>0</v>
      </c>
      <c r="Q443" t="n">
        <v>0</v>
      </c>
      <c r="R443" s="2" t="inlineStr"/>
    </row>
    <row r="444" ht="15" customHeight="1">
      <c r="A444" t="inlineStr">
        <is>
          <t>A 61327-2022</t>
        </is>
      </c>
      <c r="B444" s="1" t="n">
        <v>44915</v>
      </c>
      <c r="C444" s="1" t="n">
        <v>45475</v>
      </c>
      <c r="D444" t="inlineStr">
        <is>
          <t>DALARNAS LÄN</t>
        </is>
      </c>
      <c r="E444" t="inlineStr">
        <is>
          <t>MORA</t>
        </is>
      </c>
      <c r="G444" t="n">
        <v>10.1</v>
      </c>
      <c r="H444" t="n">
        <v>0</v>
      </c>
      <c r="I444" t="n">
        <v>0</v>
      </c>
      <c r="J444" t="n">
        <v>0</v>
      </c>
      <c r="K444" t="n">
        <v>0</v>
      </c>
      <c r="L444" t="n">
        <v>0</v>
      </c>
      <c r="M444" t="n">
        <v>0</v>
      </c>
      <c r="N444" t="n">
        <v>0</v>
      </c>
      <c r="O444" t="n">
        <v>0</v>
      </c>
      <c r="P444" t="n">
        <v>0</v>
      </c>
      <c r="Q444" t="n">
        <v>0</v>
      </c>
      <c r="R444" s="2" t="inlineStr"/>
    </row>
    <row r="445" ht="15" customHeight="1">
      <c r="A445" t="inlineStr">
        <is>
          <t>A 61293-2022</t>
        </is>
      </c>
      <c r="B445" s="1" t="n">
        <v>44915</v>
      </c>
      <c r="C445" s="1" t="n">
        <v>45475</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61301-2022</t>
        </is>
      </c>
      <c r="B446" s="1" t="n">
        <v>44915</v>
      </c>
      <c r="C446" s="1" t="n">
        <v>45475</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61482-2022</t>
        </is>
      </c>
      <c r="B447" s="1" t="n">
        <v>44916</v>
      </c>
      <c r="C447" s="1" t="n">
        <v>45475</v>
      </c>
      <c r="D447" t="inlineStr">
        <is>
          <t>DALARNAS LÄN</t>
        </is>
      </c>
      <c r="E447" t="inlineStr">
        <is>
          <t>MORA</t>
        </is>
      </c>
      <c r="G447" t="n">
        <v>7.4</v>
      </c>
      <c r="H447" t="n">
        <v>0</v>
      </c>
      <c r="I447" t="n">
        <v>0</v>
      </c>
      <c r="J447" t="n">
        <v>0</v>
      </c>
      <c r="K447" t="n">
        <v>0</v>
      </c>
      <c r="L447" t="n">
        <v>0</v>
      </c>
      <c r="M447" t="n">
        <v>0</v>
      </c>
      <c r="N447" t="n">
        <v>0</v>
      </c>
      <c r="O447" t="n">
        <v>0</v>
      </c>
      <c r="P447" t="n">
        <v>0</v>
      </c>
      <c r="Q447" t="n">
        <v>0</v>
      </c>
      <c r="R447" s="2" t="inlineStr"/>
    </row>
    <row r="448" ht="15" customHeight="1">
      <c r="A448" t="inlineStr">
        <is>
          <t>A 61794-2022</t>
        </is>
      </c>
      <c r="B448" s="1" t="n">
        <v>44917</v>
      </c>
      <c r="C448" s="1" t="n">
        <v>45475</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62188-2022</t>
        </is>
      </c>
      <c r="B449" s="1" t="n">
        <v>44922</v>
      </c>
      <c r="C449" s="1" t="n">
        <v>45475</v>
      </c>
      <c r="D449" t="inlineStr">
        <is>
          <t>DALARNAS LÄN</t>
        </is>
      </c>
      <c r="E449" t="inlineStr">
        <is>
          <t>MORA</t>
        </is>
      </c>
      <c r="G449" t="n">
        <v>2.3</v>
      </c>
      <c r="H449" t="n">
        <v>0</v>
      </c>
      <c r="I449" t="n">
        <v>0</v>
      </c>
      <c r="J449" t="n">
        <v>0</v>
      </c>
      <c r="K449" t="n">
        <v>0</v>
      </c>
      <c r="L449" t="n">
        <v>0</v>
      </c>
      <c r="M449" t="n">
        <v>0</v>
      </c>
      <c r="N449" t="n">
        <v>0</v>
      </c>
      <c r="O449" t="n">
        <v>0</v>
      </c>
      <c r="P449" t="n">
        <v>0</v>
      </c>
      <c r="Q449" t="n">
        <v>0</v>
      </c>
      <c r="R449" s="2" t="inlineStr"/>
    </row>
    <row r="450" ht="15" customHeight="1">
      <c r="A450" t="inlineStr">
        <is>
          <t>A 518-2023</t>
        </is>
      </c>
      <c r="B450" s="1" t="n">
        <v>44930</v>
      </c>
      <c r="C450" s="1" t="n">
        <v>45475</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1888-2023</t>
        </is>
      </c>
      <c r="B451" s="1" t="n">
        <v>44937</v>
      </c>
      <c r="C451" s="1" t="n">
        <v>45475</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1906-2023</t>
        </is>
      </c>
      <c r="B452" s="1" t="n">
        <v>44937</v>
      </c>
      <c r="C452" s="1" t="n">
        <v>45475</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1894-2023</t>
        </is>
      </c>
      <c r="B453" s="1" t="n">
        <v>44937</v>
      </c>
      <c r="C453" s="1" t="n">
        <v>45475</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1897-2023</t>
        </is>
      </c>
      <c r="B454" s="1" t="n">
        <v>44937</v>
      </c>
      <c r="C454" s="1" t="n">
        <v>45475</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2308-2023</t>
        </is>
      </c>
      <c r="B455" s="1" t="n">
        <v>44942</v>
      </c>
      <c r="C455" s="1" t="n">
        <v>45475</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2304-2023</t>
        </is>
      </c>
      <c r="B456" s="1" t="n">
        <v>44942</v>
      </c>
      <c r="C456" s="1" t="n">
        <v>45475</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2372-2023</t>
        </is>
      </c>
      <c r="B457" s="1" t="n">
        <v>44942</v>
      </c>
      <c r="C457" s="1" t="n">
        <v>45475</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2830-2023</t>
        </is>
      </c>
      <c r="B458" s="1" t="n">
        <v>44945</v>
      </c>
      <c r="C458" s="1" t="n">
        <v>45475</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3049-2023</t>
        </is>
      </c>
      <c r="B459" s="1" t="n">
        <v>44946</v>
      </c>
      <c r="C459" s="1" t="n">
        <v>45475</v>
      </c>
      <c r="D459" t="inlineStr">
        <is>
          <t>DALARNAS LÄN</t>
        </is>
      </c>
      <c r="E459" t="inlineStr">
        <is>
          <t>MORA</t>
        </is>
      </c>
      <c r="G459" t="n">
        <v>1</v>
      </c>
      <c r="H459" t="n">
        <v>0</v>
      </c>
      <c r="I459" t="n">
        <v>0</v>
      </c>
      <c r="J459" t="n">
        <v>0</v>
      </c>
      <c r="K459" t="n">
        <v>0</v>
      </c>
      <c r="L459" t="n">
        <v>0</v>
      </c>
      <c r="M459" t="n">
        <v>0</v>
      </c>
      <c r="N459" t="n">
        <v>0</v>
      </c>
      <c r="O459" t="n">
        <v>0</v>
      </c>
      <c r="P459" t="n">
        <v>0</v>
      </c>
      <c r="Q459" t="n">
        <v>0</v>
      </c>
      <c r="R459" s="2" t="inlineStr"/>
    </row>
    <row r="460" ht="15" customHeight="1">
      <c r="A460" t="inlineStr">
        <is>
          <t>A 3430-2023</t>
        </is>
      </c>
      <c r="B460" s="1" t="n">
        <v>44949</v>
      </c>
      <c r="C460" s="1" t="n">
        <v>45475</v>
      </c>
      <c r="D460" t="inlineStr">
        <is>
          <t>DALARNAS LÄN</t>
        </is>
      </c>
      <c r="E460" t="inlineStr">
        <is>
          <t>MORA</t>
        </is>
      </c>
      <c r="G460" t="n">
        <v>2.6</v>
      </c>
      <c r="H460" t="n">
        <v>0</v>
      </c>
      <c r="I460" t="n">
        <v>0</v>
      </c>
      <c r="J460" t="n">
        <v>0</v>
      </c>
      <c r="K460" t="n">
        <v>0</v>
      </c>
      <c r="L460" t="n">
        <v>0</v>
      </c>
      <c r="M460" t="n">
        <v>0</v>
      </c>
      <c r="N460" t="n">
        <v>0</v>
      </c>
      <c r="O460" t="n">
        <v>0</v>
      </c>
      <c r="P460" t="n">
        <v>0</v>
      </c>
      <c r="Q460" t="n">
        <v>0</v>
      </c>
      <c r="R460" s="2" t="inlineStr"/>
    </row>
    <row r="461" ht="15" customHeight="1">
      <c r="A461" t="inlineStr">
        <is>
          <t>A 4205-2023</t>
        </is>
      </c>
      <c r="B461" s="1" t="n">
        <v>44953</v>
      </c>
      <c r="C461" s="1" t="n">
        <v>45475</v>
      </c>
      <c r="D461" t="inlineStr">
        <is>
          <t>DALARNAS LÄN</t>
        </is>
      </c>
      <c r="E461" t="inlineStr">
        <is>
          <t>MORA</t>
        </is>
      </c>
      <c r="G461" t="n">
        <v>26.2</v>
      </c>
      <c r="H461" t="n">
        <v>0</v>
      </c>
      <c r="I461" t="n">
        <v>0</v>
      </c>
      <c r="J461" t="n">
        <v>0</v>
      </c>
      <c r="K461" t="n">
        <v>0</v>
      </c>
      <c r="L461" t="n">
        <v>0</v>
      </c>
      <c r="M461" t="n">
        <v>0</v>
      </c>
      <c r="N461" t="n">
        <v>0</v>
      </c>
      <c r="O461" t="n">
        <v>0</v>
      </c>
      <c r="P461" t="n">
        <v>0</v>
      </c>
      <c r="Q461" t="n">
        <v>0</v>
      </c>
      <c r="R461" s="2" t="inlineStr"/>
    </row>
    <row r="462" ht="15" customHeight="1">
      <c r="A462" t="inlineStr">
        <is>
          <t>A 4210-2023</t>
        </is>
      </c>
      <c r="B462" s="1" t="n">
        <v>44953</v>
      </c>
      <c r="C462" s="1" t="n">
        <v>45475</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4209-2023</t>
        </is>
      </c>
      <c r="B463" s="1" t="n">
        <v>44953</v>
      </c>
      <c r="C463" s="1" t="n">
        <v>45475</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4206-2023</t>
        </is>
      </c>
      <c r="B464" s="1" t="n">
        <v>44953</v>
      </c>
      <c r="C464" s="1" t="n">
        <v>45475</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4208-2023</t>
        </is>
      </c>
      <c r="B465" s="1" t="n">
        <v>44953</v>
      </c>
      <c r="C465" s="1" t="n">
        <v>45475</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4497-2023</t>
        </is>
      </c>
      <c r="B466" s="1" t="n">
        <v>44956</v>
      </c>
      <c r="C466" s="1" t="n">
        <v>45475</v>
      </c>
      <c r="D466" t="inlineStr">
        <is>
          <t>DALARNAS LÄN</t>
        </is>
      </c>
      <c r="E466" t="inlineStr">
        <is>
          <t>MORA</t>
        </is>
      </c>
      <c r="G466" t="n">
        <v>6.4</v>
      </c>
      <c r="H466" t="n">
        <v>0</v>
      </c>
      <c r="I466" t="n">
        <v>0</v>
      </c>
      <c r="J466" t="n">
        <v>0</v>
      </c>
      <c r="K466" t="n">
        <v>0</v>
      </c>
      <c r="L466" t="n">
        <v>0</v>
      </c>
      <c r="M466" t="n">
        <v>0</v>
      </c>
      <c r="N466" t="n">
        <v>0</v>
      </c>
      <c r="O466" t="n">
        <v>0</v>
      </c>
      <c r="P466" t="n">
        <v>0</v>
      </c>
      <c r="Q466" t="n">
        <v>0</v>
      </c>
      <c r="R466" s="2" t="inlineStr"/>
    </row>
    <row r="467" ht="15" customHeight="1">
      <c r="A467" t="inlineStr">
        <is>
          <t>A 4506-2023</t>
        </is>
      </c>
      <c r="B467" s="1" t="n">
        <v>44956</v>
      </c>
      <c r="C467" s="1" t="n">
        <v>45475</v>
      </c>
      <c r="D467" t="inlineStr">
        <is>
          <t>DALARNAS LÄN</t>
        </is>
      </c>
      <c r="E467" t="inlineStr">
        <is>
          <t>MORA</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5309-2023</t>
        </is>
      </c>
      <c r="B468" s="1" t="n">
        <v>44956</v>
      </c>
      <c r="C468" s="1" t="n">
        <v>45475</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5486-2023</t>
        </is>
      </c>
      <c r="B469" s="1" t="n">
        <v>44957</v>
      </c>
      <c r="C469" s="1" t="n">
        <v>45475</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5493-2023</t>
        </is>
      </c>
      <c r="B470" s="1" t="n">
        <v>44957</v>
      </c>
      <c r="C470" s="1" t="n">
        <v>45475</v>
      </c>
      <c r="D470" t="inlineStr">
        <is>
          <t>DALARNAS LÄN</t>
        </is>
      </c>
      <c r="E470" t="inlineStr">
        <is>
          <t>MORA</t>
        </is>
      </c>
      <c r="F470" t="inlineStr">
        <is>
          <t>Allmännings- och besparingsskogar</t>
        </is>
      </c>
      <c r="G470" t="n">
        <v>14.9</v>
      </c>
      <c r="H470" t="n">
        <v>0</v>
      </c>
      <c r="I470" t="n">
        <v>0</v>
      </c>
      <c r="J470" t="n">
        <v>0</v>
      </c>
      <c r="K470" t="n">
        <v>0</v>
      </c>
      <c r="L470" t="n">
        <v>0</v>
      </c>
      <c r="M470" t="n">
        <v>0</v>
      </c>
      <c r="N470" t="n">
        <v>0</v>
      </c>
      <c r="O470" t="n">
        <v>0</v>
      </c>
      <c r="P470" t="n">
        <v>0</v>
      </c>
      <c r="Q470" t="n">
        <v>0</v>
      </c>
      <c r="R470" s="2" t="inlineStr"/>
    </row>
    <row r="471" ht="15" customHeight="1">
      <c r="A471" t="inlineStr">
        <is>
          <t>A 5491-2023</t>
        </is>
      </c>
      <c r="B471" s="1" t="n">
        <v>44957</v>
      </c>
      <c r="C471" s="1" t="n">
        <v>45475</v>
      </c>
      <c r="D471" t="inlineStr">
        <is>
          <t>DALARNAS LÄN</t>
        </is>
      </c>
      <c r="E471" t="inlineStr">
        <is>
          <t>MORA</t>
        </is>
      </c>
      <c r="G471" t="n">
        <v>3.5</v>
      </c>
      <c r="H471" t="n">
        <v>0</v>
      </c>
      <c r="I471" t="n">
        <v>0</v>
      </c>
      <c r="J471" t="n">
        <v>0</v>
      </c>
      <c r="K471" t="n">
        <v>0</v>
      </c>
      <c r="L471" t="n">
        <v>0</v>
      </c>
      <c r="M471" t="n">
        <v>0</v>
      </c>
      <c r="N471" t="n">
        <v>0</v>
      </c>
      <c r="O471" t="n">
        <v>0</v>
      </c>
      <c r="P471" t="n">
        <v>0</v>
      </c>
      <c r="Q471" t="n">
        <v>0</v>
      </c>
      <c r="R471" s="2" t="inlineStr"/>
    </row>
    <row r="472" ht="15" customHeight="1">
      <c r="A472" t="inlineStr">
        <is>
          <t>A 5028-2023</t>
        </is>
      </c>
      <c r="B472" s="1" t="n">
        <v>44958</v>
      </c>
      <c r="C472" s="1" t="n">
        <v>45475</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5031-2023</t>
        </is>
      </c>
      <c r="B473" s="1" t="n">
        <v>44958</v>
      </c>
      <c r="C473" s="1" t="n">
        <v>45475</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5064-2023</t>
        </is>
      </c>
      <c r="B474" s="1" t="n">
        <v>44958</v>
      </c>
      <c r="C474" s="1" t="n">
        <v>45475</v>
      </c>
      <c r="D474" t="inlineStr">
        <is>
          <t>DALARNAS LÄN</t>
        </is>
      </c>
      <c r="E474" t="inlineStr">
        <is>
          <t>MORA</t>
        </is>
      </c>
      <c r="G474" t="n">
        <v>3.9</v>
      </c>
      <c r="H474" t="n">
        <v>0</v>
      </c>
      <c r="I474" t="n">
        <v>0</v>
      </c>
      <c r="J474" t="n">
        <v>0</v>
      </c>
      <c r="K474" t="n">
        <v>0</v>
      </c>
      <c r="L474" t="n">
        <v>0</v>
      </c>
      <c r="M474" t="n">
        <v>0</v>
      </c>
      <c r="N474" t="n">
        <v>0</v>
      </c>
      <c r="O474" t="n">
        <v>0</v>
      </c>
      <c r="P474" t="n">
        <v>0</v>
      </c>
      <c r="Q474" t="n">
        <v>0</v>
      </c>
      <c r="R474" s="2" t="inlineStr"/>
    </row>
    <row r="475" ht="15" customHeight="1">
      <c r="A475" t="inlineStr">
        <is>
          <t>A 5298-2023</t>
        </is>
      </c>
      <c r="B475" s="1" t="n">
        <v>44959</v>
      </c>
      <c r="C475" s="1" t="n">
        <v>45475</v>
      </c>
      <c r="D475" t="inlineStr">
        <is>
          <t>DALARNAS LÄN</t>
        </is>
      </c>
      <c r="E475" t="inlineStr">
        <is>
          <t>MORA</t>
        </is>
      </c>
      <c r="F475" t="inlineStr">
        <is>
          <t>Bergvik skog väst AB</t>
        </is>
      </c>
      <c r="G475" t="n">
        <v>6.2</v>
      </c>
      <c r="H475" t="n">
        <v>0</v>
      </c>
      <c r="I475" t="n">
        <v>0</v>
      </c>
      <c r="J475" t="n">
        <v>0</v>
      </c>
      <c r="K475" t="n">
        <v>0</v>
      </c>
      <c r="L475" t="n">
        <v>0</v>
      </c>
      <c r="M475" t="n">
        <v>0</v>
      </c>
      <c r="N475" t="n">
        <v>0</v>
      </c>
      <c r="O475" t="n">
        <v>0</v>
      </c>
      <c r="P475" t="n">
        <v>0</v>
      </c>
      <c r="Q475" t="n">
        <v>0</v>
      </c>
      <c r="R475" s="2" t="inlineStr"/>
    </row>
    <row r="476" ht="15" customHeight="1">
      <c r="A476" t="inlineStr">
        <is>
          <t>A 6168-2023</t>
        </is>
      </c>
      <c r="B476" s="1" t="n">
        <v>44964</v>
      </c>
      <c r="C476" s="1" t="n">
        <v>45475</v>
      </c>
      <c r="D476" t="inlineStr">
        <is>
          <t>DALARNAS LÄN</t>
        </is>
      </c>
      <c r="E476" t="inlineStr">
        <is>
          <t>MORA</t>
        </is>
      </c>
      <c r="G476" t="n">
        <v>12.7</v>
      </c>
      <c r="H476" t="n">
        <v>0</v>
      </c>
      <c r="I476" t="n">
        <v>0</v>
      </c>
      <c r="J476" t="n">
        <v>0</v>
      </c>
      <c r="K476" t="n">
        <v>0</v>
      </c>
      <c r="L476" t="n">
        <v>0</v>
      </c>
      <c r="M476" t="n">
        <v>0</v>
      </c>
      <c r="N476" t="n">
        <v>0</v>
      </c>
      <c r="O476" t="n">
        <v>0</v>
      </c>
      <c r="P476" t="n">
        <v>0</v>
      </c>
      <c r="Q476" t="n">
        <v>0</v>
      </c>
      <c r="R476" s="2" t="inlineStr"/>
    </row>
    <row r="477" ht="15" customHeight="1">
      <c r="A477" t="inlineStr">
        <is>
          <t>A 7613-2023</t>
        </is>
      </c>
      <c r="B477" s="1" t="n">
        <v>44967</v>
      </c>
      <c r="C477" s="1" t="n">
        <v>45475</v>
      </c>
      <c r="D477" t="inlineStr">
        <is>
          <t>DALARNAS LÄN</t>
        </is>
      </c>
      <c r="E477" t="inlineStr">
        <is>
          <t>MORA</t>
        </is>
      </c>
      <c r="G477" t="n">
        <v>3.8</v>
      </c>
      <c r="H477" t="n">
        <v>0</v>
      </c>
      <c r="I477" t="n">
        <v>0</v>
      </c>
      <c r="J477" t="n">
        <v>0</v>
      </c>
      <c r="K477" t="n">
        <v>0</v>
      </c>
      <c r="L477" t="n">
        <v>0</v>
      </c>
      <c r="M477" t="n">
        <v>0</v>
      </c>
      <c r="N477" t="n">
        <v>0</v>
      </c>
      <c r="O477" t="n">
        <v>0</v>
      </c>
      <c r="P477" t="n">
        <v>0</v>
      </c>
      <c r="Q477" t="n">
        <v>0</v>
      </c>
      <c r="R477" s="2" t="inlineStr"/>
    </row>
    <row r="478" ht="15" customHeight="1">
      <c r="A478" t="inlineStr">
        <is>
          <t>A 7464-2023</t>
        </is>
      </c>
      <c r="B478" s="1" t="n">
        <v>44971</v>
      </c>
      <c r="C478" s="1" t="n">
        <v>45475</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8785-2023</t>
        </is>
      </c>
      <c r="B479" s="1" t="n">
        <v>44978</v>
      </c>
      <c r="C479" s="1" t="n">
        <v>45475</v>
      </c>
      <c r="D479" t="inlineStr">
        <is>
          <t>DALARNAS LÄN</t>
        </is>
      </c>
      <c r="E479" t="inlineStr">
        <is>
          <t>MORA</t>
        </is>
      </c>
      <c r="G479" t="n">
        <v>1.5</v>
      </c>
      <c r="H479" t="n">
        <v>0</v>
      </c>
      <c r="I479" t="n">
        <v>0</v>
      </c>
      <c r="J479" t="n">
        <v>0</v>
      </c>
      <c r="K479" t="n">
        <v>0</v>
      </c>
      <c r="L479" t="n">
        <v>0</v>
      </c>
      <c r="M479" t="n">
        <v>0</v>
      </c>
      <c r="N479" t="n">
        <v>0</v>
      </c>
      <c r="O479" t="n">
        <v>0</v>
      </c>
      <c r="P479" t="n">
        <v>0</v>
      </c>
      <c r="Q479" t="n">
        <v>0</v>
      </c>
      <c r="R479" s="2" t="inlineStr"/>
    </row>
    <row r="480" ht="15" customHeight="1">
      <c r="A480" t="inlineStr">
        <is>
          <t>A 9023-2023</t>
        </is>
      </c>
      <c r="B480" s="1" t="n">
        <v>44979</v>
      </c>
      <c r="C480" s="1" t="n">
        <v>45475</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9828-2023</t>
        </is>
      </c>
      <c r="B481" s="1" t="n">
        <v>44984</v>
      </c>
      <c r="C481" s="1" t="n">
        <v>45475</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10210-2023</t>
        </is>
      </c>
      <c r="B482" s="1" t="n">
        <v>44986</v>
      </c>
      <c r="C482" s="1" t="n">
        <v>45475</v>
      </c>
      <c r="D482" t="inlineStr">
        <is>
          <t>DALARNAS LÄN</t>
        </is>
      </c>
      <c r="E482" t="inlineStr">
        <is>
          <t>MORA</t>
        </is>
      </c>
      <c r="G482" t="n">
        <v>19.7</v>
      </c>
      <c r="H482" t="n">
        <v>0</v>
      </c>
      <c r="I482" t="n">
        <v>0</v>
      </c>
      <c r="J482" t="n">
        <v>0</v>
      </c>
      <c r="K482" t="n">
        <v>0</v>
      </c>
      <c r="L482" t="n">
        <v>0</v>
      </c>
      <c r="M482" t="n">
        <v>0</v>
      </c>
      <c r="N482" t="n">
        <v>0</v>
      </c>
      <c r="O482" t="n">
        <v>0</v>
      </c>
      <c r="P482" t="n">
        <v>0</v>
      </c>
      <c r="Q482" t="n">
        <v>0</v>
      </c>
      <c r="R482" s="2" t="inlineStr"/>
    </row>
    <row r="483" ht="15" customHeight="1">
      <c r="A483" t="inlineStr">
        <is>
          <t>A 11857-2023</t>
        </is>
      </c>
      <c r="B483" s="1" t="n">
        <v>44995</v>
      </c>
      <c r="C483" s="1" t="n">
        <v>45475</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12675-2023</t>
        </is>
      </c>
      <c r="B484" s="1" t="n">
        <v>45000</v>
      </c>
      <c r="C484" s="1" t="n">
        <v>45475</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12790-2023</t>
        </is>
      </c>
      <c r="B485" s="1" t="n">
        <v>45001</v>
      </c>
      <c r="C485" s="1" t="n">
        <v>45475</v>
      </c>
      <c r="D485" t="inlineStr">
        <is>
          <t>DALARNAS LÄN</t>
        </is>
      </c>
      <c r="E485" t="inlineStr">
        <is>
          <t>MORA</t>
        </is>
      </c>
      <c r="G485" t="n">
        <v>12.3</v>
      </c>
      <c r="H485" t="n">
        <v>0</v>
      </c>
      <c r="I485" t="n">
        <v>0</v>
      </c>
      <c r="J485" t="n">
        <v>0</v>
      </c>
      <c r="K485" t="n">
        <v>0</v>
      </c>
      <c r="L485" t="n">
        <v>0</v>
      </c>
      <c r="M485" t="n">
        <v>0</v>
      </c>
      <c r="N485" t="n">
        <v>0</v>
      </c>
      <c r="O485" t="n">
        <v>0</v>
      </c>
      <c r="P485" t="n">
        <v>0</v>
      </c>
      <c r="Q485" t="n">
        <v>0</v>
      </c>
      <c r="R485" s="2" t="inlineStr"/>
    </row>
    <row r="486" ht="15" customHeight="1">
      <c r="A486" t="inlineStr">
        <is>
          <t>A 12828-2023</t>
        </is>
      </c>
      <c r="B486" s="1" t="n">
        <v>45001</v>
      </c>
      <c r="C486" s="1" t="n">
        <v>45475</v>
      </c>
      <c r="D486" t="inlineStr">
        <is>
          <t>DALARNAS LÄN</t>
        </is>
      </c>
      <c r="E486" t="inlineStr">
        <is>
          <t>MORA</t>
        </is>
      </c>
      <c r="F486" t="inlineStr">
        <is>
          <t>Bergvik skog väst AB</t>
        </is>
      </c>
      <c r="G486" t="n">
        <v>5.4</v>
      </c>
      <c r="H486" t="n">
        <v>0</v>
      </c>
      <c r="I486" t="n">
        <v>0</v>
      </c>
      <c r="J486" t="n">
        <v>0</v>
      </c>
      <c r="K486" t="n">
        <v>0</v>
      </c>
      <c r="L486" t="n">
        <v>0</v>
      </c>
      <c r="M486" t="n">
        <v>0</v>
      </c>
      <c r="N486" t="n">
        <v>0</v>
      </c>
      <c r="O486" t="n">
        <v>0</v>
      </c>
      <c r="P486" t="n">
        <v>0</v>
      </c>
      <c r="Q486" t="n">
        <v>0</v>
      </c>
      <c r="R486" s="2" t="inlineStr"/>
    </row>
    <row r="487" ht="15" customHeight="1">
      <c r="A487" t="inlineStr">
        <is>
          <t>A 13177-2023</t>
        </is>
      </c>
      <c r="B487" s="1" t="n">
        <v>45002</v>
      </c>
      <c r="C487" s="1" t="n">
        <v>45475</v>
      </c>
      <c r="D487" t="inlineStr">
        <is>
          <t>DALARNAS LÄN</t>
        </is>
      </c>
      <c r="E487" t="inlineStr">
        <is>
          <t>MORA</t>
        </is>
      </c>
      <c r="G487" t="n">
        <v>17.5</v>
      </c>
      <c r="H487" t="n">
        <v>0</v>
      </c>
      <c r="I487" t="n">
        <v>0</v>
      </c>
      <c r="J487" t="n">
        <v>0</v>
      </c>
      <c r="K487" t="n">
        <v>0</v>
      </c>
      <c r="L487" t="n">
        <v>0</v>
      </c>
      <c r="M487" t="n">
        <v>0</v>
      </c>
      <c r="N487" t="n">
        <v>0</v>
      </c>
      <c r="O487" t="n">
        <v>0</v>
      </c>
      <c r="P487" t="n">
        <v>0</v>
      </c>
      <c r="Q487" t="n">
        <v>0</v>
      </c>
      <c r="R487" s="2" t="inlineStr"/>
    </row>
    <row r="488" ht="15" customHeight="1">
      <c r="A488" t="inlineStr">
        <is>
          <t>A 13717-2023</t>
        </is>
      </c>
      <c r="B488" s="1" t="n">
        <v>45007</v>
      </c>
      <c r="C488" s="1" t="n">
        <v>45475</v>
      </c>
      <c r="D488" t="inlineStr">
        <is>
          <t>DALARNAS LÄN</t>
        </is>
      </c>
      <c r="E488" t="inlineStr">
        <is>
          <t>MORA</t>
        </is>
      </c>
      <c r="G488" t="n">
        <v>5.6</v>
      </c>
      <c r="H488" t="n">
        <v>0</v>
      </c>
      <c r="I488" t="n">
        <v>0</v>
      </c>
      <c r="J488" t="n">
        <v>0</v>
      </c>
      <c r="K488" t="n">
        <v>0</v>
      </c>
      <c r="L488" t="n">
        <v>0</v>
      </c>
      <c r="M488" t="n">
        <v>0</v>
      </c>
      <c r="N488" t="n">
        <v>0</v>
      </c>
      <c r="O488" t="n">
        <v>0</v>
      </c>
      <c r="P488" t="n">
        <v>0</v>
      </c>
      <c r="Q488" t="n">
        <v>0</v>
      </c>
      <c r="R488" s="2" t="inlineStr"/>
      <c r="U488">
        <f>HYPERLINK("https://klasma.github.io/Logging_2062/knärot/A 13717-2023 karta knärot.png", "A 13717-2023")</f>
        <v/>
      </c>
      <c r="V488">
        <f>HYPERLINK("https://klasma.github.io/Logging_2062/klagomål/A 13717-2023 FSC-klagomål.docx", "A 13717-2023")</f>
        <v/>
      </c>
      <c r="W488">
        <f>HYPERLINK("https://klasma.github.io/Logging_2062/klagomålsmail/A 13717-2023 FSC-klagomål mail.docx", "A 13717-2023")</f>
        <v/>
      </c>
      <c r="X488">
        <f>HYPERLINK("https://klasma.github.io/Logging_2062/tillsyn/A 13717-2023 tillsynsbegäran.docx", "A 13717-2023")</f>
        <v/>
      </c>
      <c r="Y488">
        <f>HYPERLINK("https://klasma.github.io/Logging_2062/tillsynsmail/A 13717-2023 tillsynsbegäran mail.docx", "A 13717-2023")</f>
        <v/>
      </c>
    </row>
    <row r="489" ht="15" customHeight="1">
      <c r="A489" t="inlineStr">
        <is>
          <t>A 14040-2023</t>
        </is>
      </c>
      <c r="B489" s="1" t="n">
        <v>45008</v>
      </c>
      <c r="C489" s="1" t="n">
        <v>45475</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14641-2023</t>
        </is>
      </c>
      <c r="B490" s="1" t="n">
        <v>45013</v>
      </c>
      <c r="C490" s="1" t="n">
        <v>45475</v>
      </c>
      <c r="D490" t="inlineStr">
        <is>
          <t>DALARNAS LÄN</t>
        </is>
      </c>
      <c r="E490" t="inlineStr">
        <is>
          <t>MORA</t>
        </is>
      </c>
      <c r="G490" t="n">
        <v>1.5</v>
      </c>
      <c r="H490" t="n">
        <v>0</v>
      </c>
      <c r="I490" t="n">
        <v>0</v>
      </c>
      <c r="J490" t="n">
        <v>0</v>
      </c>
      <c r="K490" t="n">
        <v>0</v>
      </c>
      <c r="L490" t="n">
        <v>0</v>
      </c>
      <c r="M490" t="n">
        <v>0</v>
      </c>
      <c r="N490" t="n">
        <v>0</v>
      </c>
      <c r="O490" t="n">
        <v>0</v>
      </c>
      <c r="P490" t="n">
        <v>0</v>
      </c>
      <c r="Q490" t="n">
        <v>0</v>
      </c>
      <c r="R490" s="2" t="inlineStr"/>
    </row>
    <row r="491" ht="15" customHeight="1">
      <c r="A491" t="inlineStr">
        <is>
          <t>A 14981-2023</t>
        </is>
      </c>
      <c r="B491" s="1" t="n">
        <v>45015</v>
      </c>
      <c r="C491" s="1" t="n">
        <v>45475</v>
      </c>
      <c r="D491" t="inlineStr">
        <is>
          <t>DALARNAS LÄN</t>
        </is>
      </c>
      <c r="E491" t="inlineStr">
        <is>
          <t>MORA</t>
        </is>
      </c>
      <c r="G491" t="n">
        <v>11.7</v>
      </c>
      <c r="H491" t="n">
        <v>0</v>
      </c>
      <c r="I491" t="n">
        <v>0</v>
      </c>
      <c r="J491" t="n">
        <v>0</v>
      </c>
      <c r="K491" t="n">
        <v>0</v>
      </c>
      <c r="L491" t="n">
        <v>0</v>
      </c>
      <c r="M491" t="n">
        <v>0</v>
      </c>
      <c r="N491" t="n">
        <v>0</v>
      </c>
      <c r="O491" t="n">
        <v>0</v>
      </c>
      <c r="P491" t="n">
        <v>0</v>
      </c>
      <c r="Q491" t="n">
        <v>0</v>
      </c>
      <c r="R491" s="2" t="inlineStr"/>
    </row>
    <row r="492" ht="15" customHeight="1">
      <c r="A492" t="inlineStr">
        <is>
          <t>A 15416-2023</t>
        </is>
      </c>
      <c r="B492" s="1" t="n">
        <v>45019</v>
      </c>
      <c r="C492" s="1" t="n">
        <v>45475</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15415-2023</t>
        </is>
      </c>
      <c r="B493" s="1" t="n">
        <v>45019</v>
      </c>
      <c r="C493" s="1" t="n">
        <v>45475</v>
      </c>
      <c r="D493" t="inlineStr">
        <is>
          <t>DALARNAS LÄN</t>
        </is>
      </c>
      <c r="E493" t="inlineStr">
        <is>
          <t>MORA</t>
        </is>
      </c>
      <c r="G493" t="n">
        <v>7.2</v>
      </c>
      <c r="H493" t="n">
        <v>0</v>
      </c>
      <c r="I493" t="n">
        <v>0</v>
      </c>
      <c r="J493" t="n">
        <v>0</v>
      </c>
      <c r="K493" t="n">
        <v>0</v>
      </c>
      <c r="L493" t="n">
        <v>0</v>
      </c>
      <c r="M493" t="n">
        <v>0</v>
      </c>
      <c r="N493" t="n">
        <v>0</v>
      </c>
      <c r="O493" t="n">
        <v>0</v>
      </c>
      <c r="P493" t="n">
        <v>0</v>
      </c>
      <c r="Q493" t="n">
        <v>0</v>
      </c>
      <c r="R493" s="2" t="inlineStr"/>
    </row>
    <row r="494" ht="15" customHeight="1">
      <c r="A494" t="inlineStr">
        <is>
          <t>A 15671-2023</t>
        </is>
      </c>
      <c r="B494" s="1" t="n">
        <v>45021</v>
      </c>
      <c r="C494" s="1" t="n">
        <v>45475</v>
      </c>
      <c r="D494" t="inlineStr">
        <is>
          <t>DALARNAS LÄN</t>
        </is>
      </c>
      <c r="E494" t="inlineStr">
        <is>
          <t>MORA</t>
        </is>
      </c>
      <c r="G494" t="n">
        <v>14.3</v>
      </c>
      <c r="H494" t="n">
        <v>0</v>
      </c>
      <c r="I494" t="n">
        <v>0</v>
      </c>
      <c r="J494" t="n">
        <v>0</v>
      </c>
      <c r="K494" t="n">
        <v>0</v>
      </c>
      <c r="L494" t="n">
        <v>0</v>
      </c>
      <c r="M494" t="n">
        <v>0</v>
      </c>
      <c r="N494" t="n">
        <v>0</v>
      </c>
      <c r="O494" t="n">
        <v>0</v>
      </c>
      <c r="P494" t="n">
        <v>0</v>
      </c>
      <c r="Q494" t="n">
        <v>0</v>
      </c>
      <c r="R494" s="2" t="inlineStr"/>
    </row>
    <row r="495" ht="15" customHeight="1">
      <c r="A495" t="inlineStr">
        <is>
          <t>A 16407-2023</t>
        </is>
      </c>
      <c r="B495" s="1" t="n">
        <v>45029</v>
      </c>
      <c r="C495" s="1" t="n">
        <v>45475</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16852-2023</t>
        </is>
      </c>
      <c r="B496" s="1" t="n">
        <v>45033</v>
      </c>
      <c r="C496" s="1" t="n">
        <v>45475</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17529-2023</t>
        </is>
      </c>
      <c r="B497" s="1" t="n">
        <v>45036</v>
      </c>
      <c r="C497" s="1" t="n">
        <v>45475</v>
      </c>
      <c r="D497" t="inlineStr">
        <is>
          <t>DALARNAS LÄN</t>
        </is>
      </c>
      <c r="E497" t="inlineStr">
        <is>
          <t>MORA</t>
        </is>
      </c>
      <c r="G497" t="n">
        <v>6</v>
      </c>
      <c r="H497" t="n">
        <v>0</v>
      </c>
      <c r="I497" t="n">
        <v>0</v>
      </c>
      <c r="J497" t="n">
        <v>0</v>
      </c>
      <c r="K497" t="n">
        <v>0</v>
      </c>
      <c r="L497" t="n">
        <v>0</v>
      </c>
      <c r="M497" t="n">
        <v>0</v>
      </c>
      <c r="N497" t="n">
        <v>0</v>
      </c>
      <c r="O497" t="n">
        <v>0</v>
      </c>
      <c r="P497" t="n">
        <v>0</v>
      </c>
      <c r="Q497" t="n">
        <v>0</v>
      </c>
      <c r="R497" s="2" t="inlineStr"/>
    </row>
    <row r="498" ht="15" customHeight="1">
      <c r="A498" t="inlineStr">
        <is>
          <t>A 18433-2023</t>
        </is>
      </c>
      <c r="B498" s="1" t="n">
        <v>45042</v>
      </c>
      <c r="C498" s="1" t="n">
        <v>45475</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18725-2023</t>
        </is>
      </c>
      <c r="B499" s="1" t="n">
        <v>45043</v>
      </c>
      <c r="C499" s="1" t="n">
        <v>45475</v>
      </c>
      <c r="D499" t="inlineStr">
        <is>
          <t>DALARNAS LÄN</t>
        </is>
      </c>
      <c r="E499" t="inlineStr">
        <is>
          <t>MORA</t>
        </is>
      </c>
      <c r="G499" t="n">
        <v>14.3</v>
      </c>
      <c r="H499" t="n">
        <v>0</v>
      </c>
      <c r="I499" t="n">
        <v>0</v>
      </c>
      <c r="J499" t="n">
        <v>0</v>
      </c>
      <c r="K499" t="n">
        <v>0</v>
      </c>
      <c r="L499" t="n">
        <v>0</v>
      </c>
      <c r="M499" t="n">
        <v>0</v>
      </c>
      <c r="N499" t="n">
        <v>0</v>
      </c>
      <c r="O499" t="n">
        <v>0</v>
      </c>
      <c r="P499" t="n">
        <v>0</v>
      </c>
      <c r="Q499" t="n">
        <v>0</v>
      </c>
      <c r="R499" s="2" t="inlineStr"/>
    </row>
    <row r="500" ht="15" customHeight="1">
      <c r="A500" t="inlineStr">
        <is>
          <t>A 19191-2023</t>
        </is>
      </c>
      <c r="B500" s="1" t="n">
        <v>45044</v>
      </c>
      <c r="C500" s="1" t="n">
        <v>45475</v>
      </c>
      <c r="D500" t="inlineStr">
        <is>
          <t>DALARNAS LÄN</t>
        </is>
      </c>
      <c r="E500" t="inlineStr">
        <is>
          <t>MORA</t>
        </is>
      </c>
      <c r="G500" t="n">
        <v>12.5</v>
      </c>
      <c r="H500" t="n">
        <v>0</v>
      </c>
      <c r="I500" t="n">
        <v>0</v>
      </c>
      <c r="J500" t="n">
        <v>0</v>
      </c>
      <c r="K500" t="n">
        <v>0</v>
      </c>
      <c r="L500" t="n">
        <v>0</v>
      </c>
      <c r="M500" t="n">
        <v>0</v>
      </c>
      <c r="N500" t="n">
        <v>0</v>
      </c>
      <c r="O500" t="n">
        <v>0</v>
      </c>
      <c r="P500" t="n">
        <v>0</v>
      </c>
      <c r="Q500" t="n">
        <v>0</v>
      </c>
      <c r="R500" s="2" t="inlineStr"/>
    </row>
    <row r="501" ht="15" customHeight="1">
      <c r="A501" t="inlineStr">
        <is>
          <t>A 19202-2023</t>
        </is>
      </c>
      <c r="B501" s="1" t="n">
        <v>45044</v>
      </c>
      <c r="C501" s="1" t="n">
        <v>45475</v>
      </c>
      <c r="D501" t="inlineStr">
        <is>
          <t>DALARNAS LÄN</t>
        </is>
      </c>
      <c r="E501" t="inlineStr">
        <is>
          <t>MORA</t>
        </is>
      </c>
      <c r="G501" t="n">
        <v>28.5</v>
      </c>
      <c r="H501" t="n">
        <v>0</v>
      </c>
      <c r="I501" t="n">
        <v>0</v>
      </c>
      <c r="J501" t="n">
        <v>0</v>
      </c>
      <c r="K501" t="n">
        <v>0</v>
      </c>
      <c r="L501" t="n">
        <v>0</v>
      </c>
      <c r="M501" t="n">
        <v>0</v>
      </c>
      <c r="N501" t="n">
        <v>0</v>
      </c>
      <c r="O501" t="n">
        <v>0</v>
      </c>
      <c r="P501" t="n">
        <v>0</v>
      </c>
      <c r="Q501" t="n">
        <v>0</v>
      </c>
      <c r="R501" s="2" t="inlineStr"/>
    </row>
    <row r="502" ht="15" customHeight="1">
      <c r="A502" t="inlineStr">
        <is>
          <t>A 19286-2023</t>
        </is>
      </c>
      <c r="B502" s="1" t="n">
        <v>45049</v>
      </c>
      <c r="C502" s="1" t="n">
        <v>45475</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20297-2023</t>
        </is>
      </c>
      <c r="B503" s="1" t="n">
        <v>45056</v>
      </c>
      <c r="C503" s="1" t="n">
        <v>45475</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20299-2023</t>
        </is>
      </c>
      <c r="B504" s="1" t="n">
        <v>45056</v>
      </c>
      <c r="C504" s="1" t="n">
        <v>45475</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20300-2023</t>
        </is>
      </c>
      <c r="B505" s="1" t="n">
        <v>45056</v>
      </c>
      <c r="C505" s="1" t="n">
        <v>45475</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20504-2023</t>
        </is>
      </c>
      <c r="B506" s="1" t="n">
        <v>45057</v>
      </c>
      <c r="C506" s="1" t="n">
        <v>45475</v>
      </c>
      <c r="D506" t="inlineStr">
        <is>
          <t>DALARNAS LÄN</t>
        </is>
      </c>
      <c r="E506" t="inlineStr">
        <is>
          <t>MORA</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20563-2023</t>
        </is>
      </c>
      <c r="B507" s="1" t="n">
        <v>45057</v>
      </c>
      <c r="C507" s="1" t="n">
        <v>45475</v>
      </c>
      <c r="D507" t="inlineStr">
        <is>
          <t>DALARNAS LÄN</t>
        </is>
      </c>
      <c r="E507" t="inlineStr">
        <is>
          <t>MORA</t>
        </is>
      </c>
      <c r="F507" t="inlineStr">
        <is>
          <t>Bergvik skog öst AB</t>
        </is>
      </c>
      <c r="G507" t="n">
        <v>23.2</v>
      </c>
      <c r="H507" t="n">
        <v>0</v>
      </c>
      <c r="I507" t="n">
        <v>0</v>
      </c>
      <c r="J507" t="n">
        <v>0</v>
      </c>
      <c r="K507" t="n">
        <v>0</v>
      </c>
      <c r="L507" t="n">
        <v>0</v>
      </c>
      <c r="M507" t="n">
        <v>0</v>
      </c>
      <c r="N507" t="n">
        <v>0</v>
      </c>
      <c r="O507" t="n">
        <v>0</v>
      </c>
      <c r="P507" t="n">
        <v>0</v>
      </c>
      <c r="Q507" t="n">
        <v>0</v>
      </c>
      <c r="R507" s="2" t="inlineStr"/>
    </row>
    <row r="508" ht="15" customHeight="1">
      <c r="A508" t="inlineStr">
        <is>
          <t>A 21034-2023</t>
        </is>
      </c>
      <c r="B508" s="1" t="n">
        <v>45061</v>
      </c>
      <c r="C508" s="1" t="n">
        <v>45475</v>
      </c>
      <c r="D508" t="inlineStr">
        <is>
          <t>DALARNAS LÄN</t>
        </is>
      </c>
      <c r="E508" t="inlineStr">
        <is>
          <t>MORA</t>
        </is>
      </c>
      <c r="F508" t="inlineStr">
        <is>
          <t>Bergvik skog öst AB</t>
        </is>
      </c>
      <c r="G508" t="n">
        <v>2.1</v>
      </c>
      <c r="H508" t="n">
        <v>0</v>
      </c>
      <c r="I508" t="n">
        <v>0</v>
      </c>
      <c r="J508" t="n">
        <v>0</v>
      </c>
      <c r="K508" t="n">
        <v>0</v>
      </c>
      <c r="L508" t="n">
        <v>0</v>
      </c>
      <c r="M508" t="n">
        <v>0</v>
      </c>
      <c r="N508" t="n">
        <v>0</v>
      </c>
      <c r="O508" t="n">
        <v>0</v>
      </c>
      <c r="P508" t="n">
        <v>0</v>
      </c>
      <c r="Q508" t="n">
        <v>0</v>
      </c>
      <c r="R508" s="2" t="inlineStr"/>
    </row>
    <row r="509" ht="15" customHeight="1">
      <c r="A509" t="inlineStr">
        <is>
          <t>A 21055-2023</t>
        </is>
      </c>
      <c r="B509" s="1" t="n">
        <v>45061</v>
      </c>
      <c r="C509" s="1" t="n">
        <v>45475</v>
      </c>
      <c r="D509" t="inlineStr">
        <is>
          <t>DALARNAS LÄN</t>
        </is>
      </c>
      <c r="E509" t="inlineStr">
        <is>
          <t>MORA</t>
        </is>
      </c>
      <c r="F509" t="inlineStr">
        <is>
          <t>Bergvik skog öst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21027-2023</t>
        </is>
      </c>
      <c r="B510" s="1" t="n">
        <v>45061</v>
      </c>
      <c r="C510" s="1" t="n">
        <v>45475</v>
      </c>
      <c r="D510" t="inlineStr">
        <is>
          <t>DALARNAS LÄN</t>
        </is>
      </c>
      <c r="E510" t="inlineStr">
        <is>
          <t>MORA</t>
        </is>
      </c>
      <c r="F510" t="inlineStr">
        <is>
          <t>Bergvik skog öst AB</t>
        </is>
      </c>
      <c r="G510" t="n">
        <v>5.1</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45475</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21898-2023</t>
        </is>
      </c>
      <c r="B512" s="1" t="n">
        <v>45068</v>
      </c>
      <c r="C512" s="1" t="n">
        <v>45475</v>
      </c>
      <c r="D512" t="inlineStr">
        <is>
          <t>DALARNAS LÄN</t>
        </is>
      </c>
      <c r="E512" t="inlineStr">
        <is>
          <t>MORA</t>
        </is>
      </c>
      <c r="G512" t="n">
        <v>2.7</v>
      </c>
      <c r="H512" t="n">
        <v>0</v>
      </c>
      <c r="I512" t="n">
        <v>0</v>
      </c>
      <c r="J512" t="n">
        <v>0</v>
      </c>
      <c r="K512" t="n">
        <v>0</v>
      </c>
      <c r="L512" t="n">
        <v>0</v>
      </c>
      <c r="M512" t="n">
        <v>0</v>
      </c>
      <c r="N512" t="n">
        <v>0</v>
      </c>
      <c r="O512" t="n">
        <v>0</v>
      </c>
      <c r="P512" t="n">
        <v>0</v>
      </c>
      <c r="Q512" t="n">
        <v>0</v>
      </c>
      <c r="R512" s="2" t="inlineStr"/>
    </row>
    <row r="513" ht="15" customHeight="1">
      <c r="A513" t="inlineStr">
        <is>
          <t>A 21834-2023</t>
        </is>
      </c>
      <c r="B513" s="1" t="n">
        <v>45068</v>
      </c>
      <c r="C513" s="1" t="n">
        <v>45475</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21896-2023</t>
        </is>
      </c>
      <c r="B514" s="1" t="n">
        <v>45068</v>
      </c>
      <c r="C514" s="1" t="n">
        <v>45475</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22449-2023</t>
        </is>
      </c>
      <c r="B515" s="1" t="n">
        <v>45070</v>
      </c>
      <c r="C515" s="1" t="n">
        <v>45475</v>
      </c>
      <c r="D515" t="inlineStr">
        <is>
          <t>DALARNAS LÄN</t>
        </is>
      </c>
      <c r="E515" t="inlineStr">
        <is>
          <t>MORA</t>
        </is>
      </c>
      <c r="F515" t="inlineStr">
        <is>
          <t>Kommuner</t>
        </is>
      </c>
      <c r="G515" t="n">
        <v>0.7</v>
      </c>
      <c r="H515" t="n">
        <v>0</v>
      </c>
      <c r="I515" t="n">
        <v>0</v>
      </c>
      <c r="J515" t="n">
        <v>0</v>
      </c>
      <c r="K515" t="n">
        <v>0</v>
      </c>
      <c r="L515" t="n">
        <v>0</v>
      </c>
      <c r="M515" t="n">
        <v>0</v>
      </c>
      <c r="N515" t="n">
        <v>0</v>
      </c>
      <c r="O515" t="n">
        <v>0</v>
      </c>
      <c r="P515" t="n">
        <v>0</v>
      </c>
      <c r="Q515" t="n">
        <v>0</v>
      </c>
      <c r="R515" s="2" t="inlineStr"/>
    </row>
    <row r="516" ht="15" customHeight="1">
      <c r="A516" t="inlineStr">
        <is>
          <t>A 22492-2023</t>
        </is>
      </c>
      <c r="B516" s="1" t="n">
        <v>45071</v>
      </c>
      <c r="C516" s="1" t="n">
        <v>45475</v>
      </c>
      <c r="D516" t="inlineStr">
        <is>
          <t>DALARNAS LÄN</t>
        </is>
      </c>
      <c r="E516" t="inlineStr">
        <is>
          <t>MORA</t>
        </is>
      </c>
      <c r="G516" t="n">
        <v>5.8</v>
      </c>
      <c r="H516" t="n">
        <v>0</v>
      </c>
      <c r="I516" t="n">
        <v>0</v>
      </c>
      <c r="J516" t="n">
        <v>0</v>
      </c>
      <c r="K516" t="n">
        <v>0</v>
      </c>
      <c r="L516" t="n">
        <v>0</v>
      </c>
      <c r="M516" t="n">
        <v>0</v>
      </c>
      <c r="N516" t="n">
        <v>0</v>
      </c>
      <c r="O516" t="n">
        <v>0</v>
      </c>
      <c r="P516" t="n">
        <v>0</v>
      </c>
      <c r="Q516" t="n">
        <v>0</v>
      </c>
      <c r="R516" s="2" t="inlineStr"/>
    </row>
    <row r="517" ht="15" customHeight="1">
      <c r="A517" t="inlineStr">
        <is>
          <t>A 22785-2023</t>
        </is>
      </c>
      <c r="B517" s="1" t="n">
        <v>45072</v>
      </c>
      <c r="C517" s="1" t="n">
        <v>45475</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22841-2023</t>
        </is>
      </c>
      <c r="B518" s="1" t="n">
        <v>45072</v>
      </c>
      <c r="C518" s="1" t="n">
        <v>45475</v>
      </c>
      <c r="D518" t="inlineStr">
        <is>
          <t>DALARNAS LÄN</t>
        </is>
      </c>
      <c r="E518" t="inlineStr">
        <is>
          <t>MORA</t>
        </is>
      </c>
      <c r="G518" t="n">
        <v>4</v>
      </c>
      <c r="H518" t="n">
        <v>0</v>
      </c>
      <c r="I518" t="n">
        <v>0</v>
      </c>
      <c r="J518" t="n">
        <v>0</v>
      </c>
      <c r="K518" t="n">
        <v>0</v>
      </c>
      <c r="L518" t="n">
        <v>0</v>
      </c>
      <c r="M518" t="n">
        <v>0</v>
      </c>
      <c r="N518" t="n">
        <v>0</v>
      </c>
      <c r="O518" t="n">
        <v>0</v>
      </c>
      <c r="P518" t="n">
        <v>0</v>
      </c>
      <c r="Q518" t="n">
        <v>0</v>
      </c>
      <c r="R518" s="2" t="inlineStr"/>
    </row>
    <row r="519" ht="15" customHeight="1">
      <c r="A519" t="inlineStr">
        <is>
          <t>A 22881-2023</t>
        </is>
      </c>
      <c r="B519" s="1" t="n">
        <v>45072</v>
      </c>
      <c r="C519" s="1" t="n">
        <v>45475</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22888-2023</t>
        </is>
      </c>
      <c r="B520" s="1" t="n">
        <v>45072</v>
      </c>
      <c r="C520" s="1" t="n">
        <v>45475</v>
      </c>
      <c r="D520" t="inlineStr">
        <is>
          <t>DALARNAS LÄN</t>
        </is>
      </c>
      <c r="E520" t="inlineStr">
        <is>
          <t>MORA</t>
        </is>
      </c>
      <c r="G520" t="n">
        <v>3.5</v>
      </c>
      <c r="H520" t="n">
        <v>0</v>
      </c>
      <c r="I520" t="n">
        <v>0</v>
      </c>
      <c r="J520" t="n">
        <v>0</v>
      </c>
      <c r="K520" t="n">
        <v>0</v>
      </c>
      <c r="L520" t="n">
        <v>0</v>
      </c>
      <c r="M520" t="n">
        <v>0</v>
      </c>
      <c r="N520" t="n">
        <v>0</v>
      </c>
      <c r="O520" t="n">
        <v>0</v>
      </c>
      <c r="P520" t="n">
        <v>0</v>
      </c>
      <c r="Q520" t="n">
        <v>0</v>
      </c>
      <c r="R520" s="2" t="inlineStr"/>
    </row>
    <row r="521" ht="15" customHeight="1">
      <c r="A521" t="inlineStr">
        <is>
          <t>A 22854-2023</t>
        </is>
      </c>
      <c r="B521" s="1" t="n">
        <v>45072</v>
      </c>
      <c r="C521" s="1" t="n">
        <v>45475</v>
      </c>
      <c r="D521" t="inlineStr">
        <is>
          <t>DALARNAS LÄN</t>
        </is>
      </c>
      <c r="E521" t="inlineStr">
        <is>
          <t>MORA</t>
        </is>
      </c>
      <c r="G521" t="n">
        <v>3.3</v>
      </c>
      <c r="H521" t="n">
        <v>0</v>
      </c>
      <c r="I521" t="n">
        <v>0</v>
      </c>
      <c r="J521" t="n">
        <v>0</v>
      </c>
      <c r="K521" t="n">
        <v>0</v>
      </c>
      <c r="L521" t="n">
        <v>0</v>
      </c>
      <c r="M521" t="n">
        <v>0</v>
      </c>
      <c r="N521" t="n">
        <v>0</v>
      </c>
      <c r="O521" t="n">
        <v>0</v>
      </c>
      <c r="P521" t="n">
        <v>0</v>
      </c>
      <c r="Q521" t="n">
        <v>0</v>
      </c>
      <c r="R521" s="2" t="inlineStr"/>
    </row>
    <row r="522" ht="15" customHeight="1">
      <c r="A522" t="inlineStr">
        <is>
          <t>A 22887-2023</t>
        </is>
      </c>
      <c r="B522" s="1" t="n">
        <v>45072</v>
      </c>
      <c r="C522" s="1" t="n">
        <v>45475</v>
      </c>
      <c r="D522" t="inlineStr">
        <is>
          <t>DALARNAS LÄN</t>
        </is>
      </c>
      <c r="E522" t="inlineStr">
        <is>
          <t>MORA</t>
        </is>
      </c>
      <c r="G522" t="n">
        <v>3.6</v>
      </c>
      <c r="H522" t="n">
        <v>0</v>
      </c>
      <c r="I522" t="n">
        <v>0</v>
      </c>
      <c r="J522" t="n">
        <v>0</v>
      </c>
      <c r="K522" t="n">
        <v>0</v>
      </c>
      <c r="L522" t="n">
        <v>0</v>
      </c>
      <c r="M522" t="n">
        <v>0</v>
      </c>
      <c r="N522" t="n">
        <v>0</v>
      </c>
      <c r="O522" t="n">
        <v>0</v>
      </c>
      <c r="P522" t="n">
        <v>0</v>
      </c>
      <c r="Q522" t="n">
        <v>0</v>
      </c>
      <c r="R522" s="2" t="inlineStr"/>
    </row>
    <row r="523" ht="15" customHeight="1">
      <c r="A523" t="inlineStr">
        <is>
          <t>A 23113-2023</t>
        </is>
      </c>
      <c r="B523" s="1" t="n">
        <v>45075</v>
      </c>
      <c r="C523" s="1" t="n">
        <v>45475</v>
      </c>
      <c r="D523" t="inlineStr">
        <is>
          <t>DALARNAS LÄN</t>
        </is>
      </c>
      <c r="E523" t="inlineStr">
        <is>
          <t>MORA</t>
        </is>
      </c>
      <c r="G523" t="n">
        <v>18.3</v>
      </c>
      <c r="H523" t="n">
        <v>0</v>
      </c>
      <c r="I523" t="n">
        <v>0</v>
      </c>
      <c r="J523" t="n">
        <v>0</v>
      </c>
      <c r="K523" t="n">
        <v>0</v>
      </c>
      <c r="L523" t="n">
        <v>0</v>
      </c>
      <c r="M523" t="n">
        <v>0</v>
      </c>
      <c r="N523" t="n">
        <v>0</v>
      </c>
      <c r="O523" t="n">
        <v>0</v>
      </c>
      <c r="P523" t="n">
        <v>0</v>
      </c>
      <c r="Q523" t="n">
        <v>0</v>
      </c>
      <c r="R523" s="2" t="inlineStr"/>
    </row>
    <row r="524" ht="15" customHeight="1">
      <c r="A524" t="inlineStr">
        <is>
          <t>A 23192-2023</t>
        </is>
      </c>
      <c r="B524" s="1" t="n">
        <v>45075</v>
      </c>
      <c r="C524" s="1" t="n">
        <v>45475</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23194-2023</t>
        </is>
      </c>
      <c r="B525" s="1" t="n">
        <v>45075</v>
      </c>
      <c r="C525" s="1" t="n">
        <v>45475</v>
      </c>
      <c r="D525" t="inlineStr">
        <is>
          <t>DALARNAS LÄN</t>
        </is>
      </c>
      <c r="E525" t="inlineStr">
        <is>
          <t>MORA</t>
        </is>
      </c>
      <c r="G525" t="n">
        <v>2.3</v>
      </c>
      <c r="H525" t="n">
        <v>0</v>
      </c>
      <c r="I525" t="n">
        <v>0</v>
      </c>
      <c r="J525" t="n">
        <v>0</v>
      </c>
      <c r="K525" t="n">
        <v>0</v>
      </c>
      <c r="L525" t="n">
        <v>0</v>
      </c>
      <c r="M525" t="n">
        <v>0</v>
      </c>
      <c r="N525" t="n">
        <v>0</v>
      </c>
      <c r="O525" t="n">
        <v>0</v>
      </c>
      <c r="P525" t="n">
        <v>0</v>
      </c>
      <c r="Q525" t="n">
        <v>0</v>
      </c>
      <c r="R525" s="2" t="inlineStr"/>
    </row>
    <row r="526" ht="15" customHeight="1">
      <c r="A526" t="inlineStr">
        <is>
          <t>A 23586-2023</t>
        </is>
      </c>
      <c r="B526" s="1" t="n">
        <v>45077</v>
      </c>
      <c r="C526" s="1" t="n">
        <v>45475</v>
      </c>
      <c r="D526" t="inlineStr">
        <is>
          <t>DALARNAS LÄN</t>
        </is>
      </c>
      <c r="E526" t="inlineStr">
        <is>
          <t>MORA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23737-2023</t>
        </is>
      </c>
      <c r="B527" s="1" t="n">
        <v>45077</v>
      </c>
      <c r="C527" s="1" t="n">
        <v>45475</v>
      </c>
      <c r="D527" t="inlineStr">
        <is>
          <t>DALARNAS LÄN</t>
        </is>
      </c>
      <c r="E527" t="inlineStr">
        <is>
          <t>MORA</t>
        </is>
      </c>
      <c r="G527" t="n">
        <v>5.4</v>
      </c>
      <c r="H527" t="n">
        <v>0</v>
      </c>
      <c r="I527" t="n">
        <v>0</v>
      </c>
      <c r="J527" t="n">
        <v>0</v>
      </c>
      <c r="K527" t="n">
        <v>0</v>
      </c>
      <c r="L527" t="n">
        <v>0</v>
      </c>
      <c r="M527" t="n">
        <v>0</v>
      </c>
      <c r="N527" t="n">
        <v>0</v>
      </c>
      <c r="O527" t="n">
        <v>0</v>
      </c>
      <c r="P527" t="n">
        <v>0</v>
      </c>
      <c r="Q527" t="n">
        <v>0</v>
      </c>
      <c r="R527" s="2" t="inlineStr"/>
    </row>
    <row r="528" ht="15" customHeight="1">
      <c r="A528" t="inlineStr">
        <is>
          <t>A 23948-2023</t>
        </is>
      </c>
      <c r="B528" s="1" t="n">
        <v>45078</v>
      </c>
      <c r="C528" s="1" t="n">
        <v>45475</v>
      </c>
      <c r="D528" t="inlineStr">
        <is>
          <t>DALARNAS LÄN</t>
        </is>
      </c>
      <c r="E528" t="inlineStr">
        <is>
          <t>MORA</t>
        </is>
      </c>
      <c r="G528" t="n">
        <v>6.4</v>
      </c>
      <c r="H528" t="n">
        <v>0</v>
      </c>
      <c r="I528" t="n">
        <v>0</v>
      </c>
      <c r="J528" t="n">
        <v>0</v>
      </c>
      <c r="K528" t="n">
        <v>0</v>
      </c>
      <c r="L528" t="n">
        <v>0</v>
      </c>
      <c r="M528" t="n">
        <v>0</v>
      </c>
      <c r="N528" t="n">
        <v>0</v>
      </c>
      <c r="O528" t="n">
        <v>0</v>
      </c>
      <c r="P528" t="n">
        <v>0</v>
      </c>
      <c r="Q528" t="n">
        <v>0</v>
      </c>
      <c r="R528" s="2" t="inlineStr"/>
    </row>
    <row r="529" ht="15" customHeight="1">
      <c r="A529" t="inlineStr">
        <is>
          <t>A 24085-2023</t>
        </is>
      </c>
      <c r="B529" s="1" t="n">
        <v>45079</v>
      </c>
      <c r="C529" s="1" t="n">
        <v>45475</v>
      </c>
      <c r="D529" t="inlineStr">
        <is>
          <t>DALARNAS LÄN</t>
        </is>
      </c>
      <c r="E529" t="inlineStr">
        <is>
          <t>MORA</t>
        </is>
      </c>
      <c r="G529" t="n">
        <v>2.8</v>
      </c>
      <c r="H529" t="n">
        <v>0</v>
      </c>
      <c r="I529" t="n">
        <v>0</v>
      </c>
      <c r="J529" t="n">
        <v>0</v>
      </c>
      <c r="K529" t="n">
        <v>0</v>
      </c>
      <c r="L529" t="n">
        <v>0</v>
      </c>
      <c r="M529" t="n">
        <v>0</v>
      </c>
      <c r="N529" t="n">
        <v>0</v>
      </c>
      <c r="O529" t="n">
        <v>0</v>
      </c>
      <c r="P529" t="n">
        <v>0</v>
      </c>
      <c r="Q529" t="n">
        <v>0</v>
      </c>
      <c r="R529" s="2" t="inlineStr"/>
    </row>
    <row r="530" ht="15" customHeight="1">
      <c r="A530" t="inlineStr">
        <is>
          <t>A 25200-2023</t>
        </is>
      </c>
      <c r="B530" s="1" t="n">
        <v>45079</v>
      </c>
      <c r="C530" s="1" t="n">
        <v>45475</v>
      </c>
      <c r="D530" t="inlineStr">
        <is>
          <t>DALARNAS LÄN</t>
        </is>
      </c>
      <c r="E530" t="inlineStr">
        <is>
          <t>MORA</t>
        </is>
      </c>
      <c r="G530" t="n">
        <v>11.2</v>
      </c>
      <c r="H530" t="n">
        <v>0</v>
      </c>
      <c r="I530" t="n">
        <v>0</v>
      </c>
      <c r="J530" t="n">
        <v>0</v>
      </c>
      <c r="K530" t="n">
        <v>0</v>
      </c>
      <c r="L530" t="n">
        <v>0</v>
      </c>
      <c r="M530" t="n">
        <v>0</v>
      </c>
      <c r="N530" t="n">
        <v>0</v>
      </c>
      <c r="O530" t="n">
        <v>0</v>
      </c>
      <c r="P530" t="n">
        <v>0</v>
      </c>
      <c r="Q530" t="n">
        <v>0</v>
      </c>
      <c r="R530" s="2" t="inlineStr"/>
    </row>
    <row r="531" ht="15" customHeight="1">
      <c r="A531" t="inlineStr">
        <is>
          <t>A 24634-2023</t>
        </is>
      </c>
      <c r="B531" s="1" t="n">
        <v>45084</v>
      </c>
      <c r="C531" s="1" t="n">
        <v>45475</v>
      </c>
      <c r="D531" t="inlineStr">
        <is>
          <t>DALARNAS LÄN</t>
        </is>
      </c>
      <c r="E531" t="inlineStr">
        <is>
          <t>MORA</t>
        </is>
      </c>
      <c r="G531" t="n">
        <v>13.3</v>
      </c>
      <c r="H531" t="n">
        <v>0</v>
      </c>
      <c r="I531" t="n">
        <v>0</v>
      </c>
      <c r="J531" t="n">
        <v>0</v>
      </c>
      <c r="K531" t="n">
        <v>0</v>
      </c>
      <c r="L531" t="n">
        <v>0</v>
      </c>
      <c r="M531" t="n">
        <v>0</v>
      </c>
      <c r="N531" t="n">
        <v>0</v>
      </c>
      <c r="O531" t="n">
        <v>0</v>
      </c>
      <c r="P531" t="n">
        <v>0</v>
      </c>
      <c r="Q531" t="n">
        <v>0</v>
      </c>
      <c r="R531" s="2" t="inlineStr"/>
    </row>
    <row r="532" ht="15" customHeight="1">
      <c r="A532" t="inlineStr">
        <is>
          <t>A 24664-2023</t>
        </is>
      </c>
      <c r="B532" s="1" t="n">
        <v>45084</v>
      </c>
      <c r="C532" s="1" t="n">
        <v>45475</v>
      </c>
      <c r="D532" t="inlineStr">
        <is>
          <t>DALARNAS LÄN</t>
        </is>
      </c>
      <c r="E532" t="inlineStr">
        <is>
          <t>MORA</t>
        </is>
      </c>
      <c r="G532" t="n">
        <v>1.8</v>
      </c>
      <c r="H532" t="n">
        <v>0</v>
      </c>
      <c r="I532" t="n">
        <v>0</v>
      </c>
      <c r="J532" t="n">
        <v>0</v>
      </c>
      <c r="K532" t="n">
        <v>0</v>
      </c>
      <c r="L532" t="n">
        <v>0</v>
      </c>
      <c r="M532" t="n">
        <v>0</v>
      </c>
      <c r="N532" t="n">
        <v>0</v>
      </c>
      <c r="O532" t="n">
        <v>0</v>
      </c>
      <c r="P532" t="n">
        <v>0</v>
      </c>
      <c r="Q532" t="n">
        <v>0</v>
      </c>
      <c r="R532" s="2" t="inlineStr"/>
    </row>
    <row r="533" ht="15" customHeight="1">
      <c r="A533" t="inlineStr">
        <is>
          <t>A 24657-2023</t>
        </is>
      </c>
      <c r="B533" s="1" t="n">
        <v>45084</v>
      </c>
      <c r="C533" s="1" t="n">
        <v>45475</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24681-2023</t>
        </is>
      </c>
      <c r="B534" s="1" t="n">
        <v>45084</v>
      </c>
      <c r="C534" s="1" t="n">
        <v>45475</v>
      </c>
      <c r="D534" t="inlineStr">
        <is>
          <t>DALARNAS LÄN</t>
        </is>
      </c>
      <c r="E534" t="inlineStr">
        <is>
          <t>MORA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26273-2023</t>
        </is>
      </c>
      <c r="B535" s="1" t="n">
        <v>45086</v>
      </c>
      <c r="C535" s="1" t="n">
        <v>45475</v>
      </c>
      <c r="D535" t="inlineStr">
        <is>
          <t>DALARNAS LÄN</t>
        </is>
      </c>
      <c r="E535" t="inlineStr">
        <is>
          <t>MORA</t>
        </is>
      </c>
      <c r="G535" t="n">
        <v>3.9</v>
      </c>
      <c r="H535" t="n">
        <v>0</v>
      </c>
      <c r="I535" t="n">
        <v>0</v>
      </c>
      <c r="J535" t="n">
        <v>0</v>
      </c>
      <c r="K535" t="n">
        <v>0</v>
      </c>
      <c r="L535" t="n">
        <v>0</v>
      </c>
      <c r="M535" t="n">
        <v>0</v>
      </c>
      <c r="N535" t="n">
        <v>0</v>
      </c>
      <c r="O535" t="n">
        <v>0</v>
      </c>
      <c r="P535" t="n">
        <v>0</v>
      </c>
      <c r="Q535" t="n">
        <v>0</v>
      </c>
      <c r="R535" s="2" t="inlineStr"/>
    </row>
    <row r="536" ht="15" customHeight="1">
      <c r="A536" t="inlineStr">
        <is>
          <t>A 25629-2023</t>
        </is>
      </c>
      <c r="B536" s="1" t="n">
        <v>45089</v>
      </c>
      <c r="C536" s="1" t="n">
        <v>45475</v>
      </c>
      <c r="D536" t="inlineStr">
        <is>
          <t>DALARNAS LÄN</t>
        </is>
      </c>
      <c r="E536" t="inlineStr">
        <is>
          <t>MORA</t>
        </is>
      </c>
      <c r="F536" t="inlineStr">
        <is>
          <t>Bergvik skog väst AB</t>
        </is>
      </c>
      <c r="G536" t="n">
        <v>4.1</v>
      </c>
      <c r="H536" t="n">
        <v>0</v>
      </c>
      <c r="I536" t="n">
        <v>0</v>
      </c>
      <c r="J536" t="n">
        <v>0</v>
      </c>
      <c r="K536" t="n">
        <v>0</v>
      </c>
      <c r="L536" t="n">
        <v>0</v>
      </c>
      <c r="M536" t="n">
        <v>0</v>
      </c>
      <c r="N536" t="n">
        <v>0</v>
      </c>
      <c r="O536" t="n">
        <v>0</v>
      </c>
      <c r="P536" t="n">
        <v>0</v>
      </c>
      <c r="Q536" t="n">
        <v>0</v>
      </c>
      <c r="R536" s="2" t="inlineStr"/>
    </row>
    <row r="537" ht="15" customHeight="1">
      <c r="A537" t="inlineStr">
        <is>
          <t>A 25749-2023</t>
        </is>
      </c>
      <c r="B537" s="1" t="n">
        <v>45090</v>
      </c>
      <c r="C537" s="1" t="n">
        <v>45475</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25865-2023</t>
        </is>
      </c>
      <c r="B538" s="1" t="n">
        <v>45090</v>
      </c>
      <c r="C538" s="1" t="n">
        <v>45475</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25906-2023</t>
        </is>
      </c>
      <c r="B539" s="1" t="n">
        <v>45090</v>
      </c>
      <c r="C539" s="1" t="n">
        <v>45475</v>
      </c>
      <c r="D539" t="inlineStr">
        <is>
          <t>DALARNAS LÄN</t>
        </is>
      </c>
      <c r="E539" t="inlineStr">
        <is>
          <t>MORA</t>
        </is>
      </c>
      <c r="G539" t="n">
        <v>13.3</v>
      </c>
      <c r="H539" t="n">
        <v>0</v>
      </c>
      <c r="I539" t="n">
        <v>0</v>
      </c>
      <c r="J539" t="n">
        <v>0</v>
      </c>
      <c r="K539" t="n">
        <v>0</v>
      </c>
      <c r="L539" t="n">
        <v>0</v>
      </c>
      <c r="M539" t="n">
        <v>0</v>
      </c>
      <c r="N539" t="n">
        <v>0</v>
      </c>
      <c r="O539" t="n">
        <v>0</v>
      </c>
      <c r="P539" t="n">
        <v>0</v>
      </c>
      <c r="Q539" t="n">
        <v>0</v>
      </c>
      <c r="R539" s="2" t="inlineStr"/>
    </row>
    <row r="540" ht="15" customHeight="1">
      <c r="A540" t="inlineStr">
        <is>
          <t>A 25935-2023</t>
        </is>
      </c>
      <c r="B540" s="1" t="n">
        <v>45090</v>
      </c>
      <c r="C540" s="1" t="n">
        <v>45475</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25869-2023</t>
        </is>
      </c>
      <c r="B541" s="1" t="n">
        <v>45090</v>
      </c>
      <c r="C541" s="1" t="n">
        <v>45475</v>
      </c>
      <c r="D541" t="inlineStr">
        <is>
          <t>DALARNAS LÄN</t>
        </is>
      </c>
      <c r="E541" t="inlineStr">
        <is>
          <t>MORA</t>
        </is>
      </c>
      <c r="G541" t="n">
        <v>2.1</v>
      </c>
      <c r="H541" t="n">
        <v>0</v>
      </c>
      <c r="I541" t="n">
        <v>0</v>
      </c>
      <c r="J541" t="n">
        <v>0</v>
      </c>
      <c r="K541" t="n">
        <v>0</v>
      </c>
      <c r="L541" t="n">
        <v>0</v>
      </c>
      <c r="M541" t="n">
        <v>0</v>
      </c>
      <c r="N541" t="n">
        <v>0</v>
      </c>
      <c r="O541" t="n">
        <v>0</v>
      </c>
      <c r="P541" t="n">
        <v>0</v>
      </c>
      <c r="Q541" t="n">
        <v>0</v>
      </c>
      <c r="R541" s="2" t="inlineStr"/>
    </row>
    <row r="542" ht="15" customHeight="1">
      <c r="A542" t="inlineStr">
        <is>
          <t>A 25874-2023</t>
        </is>
      </c>
      <c r="B542" s="1" t="n">
        <v>45090</v>
      </c>
      <c r="C542" s="1" t="n">
        <v>45475</v>
      </c>
      <c r="D542" t="inlineStr">
        <is>
          <t>DALARNAS LÄN</t>
        </is>
      </c>
      <c r="E542" t="inlineStr">
        <is>
          <t>MORA</t>
        </is>
      </c>
      <c r="G542" t="n">
        <v>4.6</v>
      </c>
      <c r="H542" t="n">
        <v>0</v>
      </c>
      <c r="I542" t="n">
        <v>0</v>
      </c>
      <c r="J542" t="n">
        <v>0</v>
      </c>
      <c r="K542" t="n">
        <v>0</v>
      </c>
      <c r="L542" t="n">
        <v>0</v>
      </c>
      <c r="M542" t="n">
        <v>0</v>
      </c>
      <c r="N542" t="n">
        <v>0</v>
      </c>
      <c r="O542" t="n">
        <v>0</v>
      </c>
      <c r="P542" t="n">
        <v>0</v>
      </c>
      <c r="Q542" t="n">
        <v>0</v>
      </c>
      <c r="R542" s="2" t="inlineStr"/>
    </row>
    <row r="543" ht="15" customHeight="1">
      <c r="A543" t="inlineStr">
        <is>
          <t>A 25881-2023</t>
        </is>
      </c>
      <c r="B543" s="1" t="n">
        <v>45090</v>
      </c>
      <c r="C543" s="1" t="n">
        <v>45475</v>
      </c>
      <c r="D543" t="inlineStr">
        <is>
          <t>DALARNAS LÄN</t>
        </is>
      </c>
      <c r="E543" t="inlineStr">
        <is>
          <t>MORA</t>
        </is>
      </c>
      <c r="G543" t="n">
        <v>8.5</v>
      </c>
      <c r="H543" t="n">
        <v>0</v>
      </c>
      <c r="I543" t="n">
        <v>0</v>
      </c>
      <c r="J543" t="n">
        <v>0</v>
      </c>
      <c r="K543" t="n">
        <v>0</v>
      </c>
      <c r="L543" t="n">
        <v>0</v>
      </c>
      <c r="M543" t="n">
        <v>0</v>
      </c>
      <c r="N543" t="n">
        <v>0</v>
      </c>
      <c r="O543" t="n">
        <v>0</v>
      </c>
      <c r="P543" t="n">
        <v>0</v>
      </c>
      <c r="Q543" t="n">
        <v>0</v>
      </c>
      <c r="R543" s="2" t="inlineStr"/>
    </row>
    <row r="544" ht="15" customHeight="1">
      <c r="A544" t="inlineStr">
        <is>
          <t>A 25887-2023</t>
        </is>
      </c>
      <c r="B544" s="1" t="n">
        <v>45090</v>
      </c>
      <c r="C544" s="1" t="n">
        <v>45475</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26786-2023</t>
        </is>
      </c>
      <c r="B545" s="1" t="n">
        <v>45093</v>
      </c>
      <c r="C545" s="1" t="n">
        <v>45475</v>
      </c>
      <c r="D545" t="inlineStr">
        <is>
          <t>DALARNAS LÄN</t>
        </is>
      </c>
      <c r="E545" t="inlineStr">
        <is>
          <t>MORA</t>
        </is>
      </c>
      <c r="G545" t="n">
        <v>1.5</v>
      </c>
      <c r="H545" t="n">
        <v>0</v>
      </c>
      <c r="I545" t="n">
        <v>0</v>
      </c>
      <c r="J545" t="n">
        <v>0</v>
      </c>
      <c r="K545" t="n">
        <v>0</v>
      </c>
      <c r="L545" t="n">
        <v>0</v>
      </c>
      <c r="M545" t="n">
        <v>0</v>
      </c>
      <c r="N545" t="n">
        <v>0</v>
      </c>
      <c r="O545" t="n">
        <v>0</v>
      </c>
      <c r="P545" t="n">
        <v>0</v>
      </c>
      <c r="Q545" t="n">
        <v>0</v>
      </c>
      <c r="R545" s="2" t="inlineStr"/>
    </row>
    <row r="546" ht="15" customHeight="1">
      <c r="A546" t="inlineStr">
        <is>
          <t>A 27188-2023</t>
        </is>
      </c>
      <c r="B546" s="1" t="n">
        <v>45096</v>
      </c>
      <c r="C546" s="1" t="n">
        <v>45475</v>
      </c>
      <c r="D546" t="inlineStr">
        <is>
          <t>DALARNAS LÄN</t>
        </is>
      </c>
      <c r="E546" t="inlineStr">
        <is>
          <t>MORA</t>
        </is>
      </c>
      <c r="G546" t="n">
        <v>4.8</v>
      </c>
      <c r="H546" t="n">
        <v>0</v>
      </c>
      <c r="I546" t="n">
        <v>0</v>
      </c>
      <c r="J546" t="n">
        <v>0</v>
      </c>
      <c r="K546" t="n">
        <v>0</v>
      </c>
      <c r="L546" t="n">
        <v>0</v>
      </c>
      <c r="M546" t="n">
        <v>0</v>
      </c>
      <c r="N546" t="n">
        <v>0</v>
      </c>
      <c r="O546" t="n">
        <v>0</v>
      </c>
      <c r="P546" t="n">
        <v>0</v>
      </c>
      <c r="Q546" t="n">
        <v>0</v>
      </c>
      <c r="R546" s="2" t="inlineStr"/>
    </row>
    <row r="547" ht="15" customHeight="1">
      <c r="A547" t="inlineStr">
        <is>
          <t>A 27880-2023</t>
        </is>
      </c>
      <c r="B547" s="1" t="n">
        <v>45098</v>
      </c>
      <c r="C547" s="1" t="n">
        <v>45475</v>
      </c>
      <c r="D547" t="inlineStr">
        <is>
          <t>DALARNAS LÄN</t>
        </is>
      </c>
      <c r="E547" t="inlineStr">
        <is>
          <t>MORA</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27975-2023</t>
        </is>
      </c>
      <c r="B548" s="1" t="n">
        <v>45098</v>
      </c>
      <c r="C548" s="1" t="n">
        <v>45475</v>
      </c>
      <c r="D548" t="inlineStr">
        <is>
          <t>DALARNAS LÄN</t>
        </is>
      </c>
      <c r="E548" t="inlineStr">
        <is>
          <t>MORA</t>
        </is>
      </c>
      <c r="G548" t="n">
        <v>1.1</v>
      </c>
      <c r="H548" t="n">
        <v>0</v>
      </c>
      <c r="I548" t="n">
        <v>0</v>
      </c>
      <c r="J548" t="n">
        <v>0</v>
      </c>
      <c r="K548" t="n">
        <v>0</v>
      </c>
      <c r="L548" t="n">
        <v>0</v>
      </c>
      <c r="M548" t="n">
        <v>0</v>
      </c>
      <c r="N548" t="n">
        <v>0</v>
      </c>
      <c r="O548" t="n">
        <v>0</v>
      </c>
      <c r="P548" t="n">
        <v>0</v>
      </c>
      <c r="Q548" t="n">
        <v>0</v>
      </c>
      <c r="R548" s="2" t="inlineStr"/>
    </row>
    <row r="549" ht="15" customHeight="1">
      <c r="A549" t="inlineStr">
        <is>
          <t>A 28095-2023</t>
        </is>
      </c>
      <c r="B549" s="1" t="n">
        <v>45099</v>
      </c>
      <c r="C549" s="1" t="n">
        <v>45475</v>
      </c>
      <c r="D549" t="inlineStr">
        <is>
          <t>DALARNAS LÄN</t>
        </is>
      </c>
      <c r="E549" t="inlineStr">
        <is>
          <t>MORA</t>
        </is>
      </c>
      <c r="G549" t="n">
        <v>6.7</v>
      </c>
      <c r="H549" t="n">
        <v>0</v>
      </c>
      <c r="I549" t="n">
        <v>0</v>
      </c>
      <c r="J549" t="n">
        <v>0</v>
      </c>
      <c r="K549" t="n">
        <v>0</v>
      </c>
      <c r="L549" t="n">
        <v>0</v>
      </c>
      <c r="M549" t="n">
        <v>0</v>
      </c>
      <c r="N549" t="n">
        <v>0</v>
      </c>
      <c r="O549" t="n">
        <v>0</v>
      </c>
      <c r="P549" t="n">
        <v>0</v>
      </c>
      <c r="Q549" t="n">
        <v>0</v>
      </c>
      <c r="R549" s="2" t="inlineStr"/>
    </row>
    <row r="550" ht="15" customHeight="1">
      <c r="A550" t="inlineStr">
        <is>
          <t>A 28315-2023</t>
        </is>
      </c>
      <c r="B550" s="1" t="n">
        <v>45099</v>
      </c>
      <c r="C550" s="1" t="n">
        <v>45475</v>
      </c>
      <c r="D550" t="inlineStr">
        <is>
          <t>DALARNAS LÄN</t>
        </is>
      </c>
      <c r="E550" t="inlineStr">
        <is>
          <t>MORA</t>
        </is>
      </c>
      <c r="G550" t="n">
        <v>5.4</v>
      </c>
      <c r="H550" t="n">
        <v>0</v>
      </c>
      <c r="I550" t="n">
        <v>0</v>
      </c>
      <c r="J550" t="n">
        <v>0</v>
      </c>
      <c r="K550" t="n">
        <v>0</v>
      </c>
      <c r="L550" t="n">
        <v>0</v>
      </c>
      <c r="M550" t="n">
        <v>0</v>
      </c>
      <c r="N550" t="n">
        <v>0</v>
      </c>
      <c r="O550" t="n">
        <v>0</v>
      </c>
      <c r="P550" t="n">
        <v>0</v>
      </c>
      <c r="Q550" t="n">
        <v>0</v>
      </c>
      <c r="R550" s="2" t="inlineStr"/>
    </row>
    <row r="551" ht="15" customHeight="1">
      <c r="A551" t="inlineStr">
        <is>
          <t>A 28318-2023</t>
        </is>
      </c>
      <c r="B551" s="1" t="n">
        <v>45099</v>
      </c>
      <c r="C551" s="1" t="n">
        <v>45475</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28596-2023</t>
        </is>
      </c>
      <c r="B552" s="1" t="n">
        <v>45103</v>
      </c>
      <c r="C552" s="1" t="n">
        <v>45475</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28832-2023</t>
        </is>
      </c>
      <c r="B553" s="1" t="n">
        <v>45104</v>
      </c>
      <c r="C553" s="1" t="n">
        <v>45475</v>
      </c>
      <c r="D553" t="inlineStr">
        <is>
          <t>DALARNAS LÄN</t>
        </is>
      </c>
      <c r="E553" t="inlineStr">
        <is>
          <t>MORA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28934-2023</t>
        </is>
      </c>
      <c r="B554" s="1" t="n">
        <v>45104</v>
      </c>
      <c r="C554" s="1" t="n">
        <v>45475</v>
      </c>
      <c r="D554" t="inlineStr">
        <is>
          <t>DALARNAS LÄN</t>
        </is>
      </c>
      <c r="E554" t="inlineStr">
        <is>
          <t>MORA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29022-2023</t>
        </is>
      </c>
      <c r="B555" s="1" t="n">
        <v>45104</v>
      </c>
      <c r="C555" s="1" t="n">
        <v>45475</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29118-2023</t>
        </is>
      </c>
      <c r="B556" s="1" t="n">
        <v>45105</v>
      </c>
      <c r="C556" s="1" t="n">
        <v>45475</v>
      </c>
      <c r="D556" t="inlineStr">
        <is>
          <t>DALARNAS LÄN</t>
        </is>
      </c>
      <c r="E556" t="inlineStr">
        <is>
          <t>MORA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29191-2023</t>
        </is>
      </c>
      <c r="B557" s="1" t="n">
        <v>45105</v>
      </c>
      <c r="C557" s="1" t="n">
        <v>45475</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29193-2023</t>
        </is>
      </c>
      <c r="B558" s="1" t="n">
        <v>45105</v>
      </c>
      <c r="C558" s="1" t="n">
        <v>45475</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29116-2023</t>
        </is>
      </c>
      <c r="B559" s="1" t="n">
        <v>45105</v>
      </c>
      <c r="C559" s="1" t="n">
        <v>45475</v>
      </c>
      <c r="D559" t="inlineStr">
        <is>
          <t>DALARNAS LÄN</t>
        </is>
      </c>
      <c r="E559" t="inlineStr">
        <is>
          <t>MORA</t>
        </is>
      </c>
      <c r="G559" t="n">
        <v>1.9</v>
      </c>
      <c r="H559" t="n">
        <v>0</v>
      </c>
      <c r="I559" t="n">
        <v>0</v>
      </c>
      <c r="J559" t="n">
        <v>0</v>
      </c>
      <c r="K559" t="n">
        <v>0</v>
      </c>
      <c r="L559" t="n">
        <v>0</v>
      </c>
      <c r="M559" t="n">
        <v>0</v>
      </c>
      <c r="N559" t="n">
        <v>0</v>
      </c>
      <c r="O559" t="n">
        <v>0</v>
      </c>
      <c r="P559" t="n">
        <v>0</v>
      </c>
      <c r="Q559" t="n">
        <v>0</v>
      </c>
      <c r="R559" s="2" t="inlineStr"/>
    </row>
    <row r="560" ht="15" customHeight="1">
      <c r="A560" t="inlineStr">
        <is>
          <t>A 29188-2023</t>
        </is>
      </c>
      <c r="B560" s="1" t="n">
        <v>45105</v>
      </c>
      <c r="C560" s="1" t="n">
        <v>45475</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29192-2023</t>
        </is>
      </c>
      <c r="B561" s="1" t="n">
        <v>45105</v>
      </c>
      <c r="C561" s="1" t="n">
        <v>45475</v>
      </c>
      <c r="D561" t="inlineStr">
        <is>
          <t>DALARNAS LÄN</t>
        </is>
      </c>
      <c r="E561" t="inlineStr">
        <is>
          <t>MORA</t>
        </is>
      </c>
      <c r="G561" t="n">
        <v>10.5</v>
      </c>
      <c r="H561" t="n">
        <v>0</v>
      </c>
      <c r="I561" t="n">
        <v>0</v>
      </c>
      <c r="J561" t="n">
        <v>0</v>
      </c>
      <c r="K561" t="n">
        <v>0</v>
      </c>
      <c r="L561" t="n">
        <v>0</v>
      </c>
      <c r="M561" t="n">
        <v>0</v>
      </c>
      <c r="N561" t="n">
        <v>0</v>
      </c>
      <c r="O561" t="n">
        <v>0</v>
      </c>
      <c r="P561" t="n">
        <v>0</v>
      </c>
      <c r="Q561" t="n">
        <v>0</v>
      </c>
      <c r="R561" s="2" t="inlineStr"/>
    </row>
    <row r="562" ht="15" customHeight="1">
      <c r="A562" t="inlineStr">
        <is>
          <t>A 31040-2023</t>
        </is>
      </c>
      <c r="B562" s="1" t="n">
        <v>45113</v>
      </c>
      <c r="C562" s="1" t="n">
        <v>45475</v>
      </c>
      <c r="D562" t="inlineStr">
        <is>
          <t>DALARNAS LÄN</t>
        </is>
      </c>
      <c r="E562" t="inlineStr">
        <is>
          <t>MORA</t>
        </is>
      </c>
      <c r="F562" t="inlineStr">
        <is>
          <t>Bergvik skog väst AB</t>
        </is>
      </c>
      <c r="G562" t="n">
        <v>11.6</v>
      </c>
      <c r="H562" t="n">
        <v>0</v>
      </c>
      <c r="I562" t="n">
        <v>0</v>
      </c>
      <c r="J562" t="n">
        <v>0</v>
      </c>
      <c r="K562" t="n">
        <v>0</v>
      </c>
      <c r="L562" t="n">
        <v>0</v>
      </c>
      <c r="M562" t="n">
        <v>0</v>
      </c>
      <c r="N562" t="n">
        <v>0</v>
      </c>
      <c r="O562" t="n">
        <v>0</v>
      </c>
      <c r="P562" t="n">
        <v>0</v>
      </c>
      <c r="Q562" t="n">
        <v>0</v>
      </c>
      <c r="R562" s="2" t="inlineStr"/>
    </row>
    <row r="563" ht="15" customHeight="1">
      <c r="A563" t="inlineStr">
        <is>
          <t>A 31241-2023</t>
        </is>
      </c>
      <c r="B563" s="1" t="n">
        <v>45114</v>
      </c>
      <c r="C563" s="1" t="n">
        <v>45475</v>
      </c>
      <c r="D563" t="inlineStr">
        <is>
          <t>DALARNAS LÄN</t>
        </is>
      </c>
      <c r="E563" t="inlineStr">
        <is>
          <t>MORA</t>
        </is>
      </c>
      <c r="G563" t="n">
        <v>17.5</v>
      </c>
      <c r="H563" t="n">
        <v>0</v>
      </c>
      <c r="I563" t="n">
        <v>0</v>
      </c>
      <c r="J563" t="n">
        <v>0</v>
      </c>
      <c r="K563" t="n">
        <v>0</v>
      </c>
      <c r="L563" t="n">
        <v>0</v>
      </c>
      <c r="M563" t="n">
        <v>0</v>
      </c>
      <c r="N563" t="n">
        <v>0</v>
      </c>
      <c r="O563" t="n">
        <v>0</v>
      </c>
      <c r="P563" t="n">
        <v>0</v>
      </c>
      <c r="Q563" t="n">
        <v>0</v>
      </c>
      <c r="R563" s="2" t="inlineStr"/>
    </row>
    <row r="564" ht="15" customHeight="1">
      <c r="A564" t="inlineStr">
        <is>
          <t>A 31366-2023</t>
        </is>
      </c>
      <c r="B564" s="1" t="n">
        <v>45114</v>
      </c>
      <c r="C564" s="1" t="n">
        <v>45475</v>
      </c>
      <c r="D564" t="inlineStr">
        <is>
          <t>DALARNAS LÄN</t>
        </is>
      </c>
      <c r="E564" t="inlineStr">
        <is>
          <t>MORA</t>
        </is>
      </c>
      <c r="G564" t="n">
        <v>4</v>
      </c>
      <c r="H564" t="n">
        <v>0</v>
      </c>
      <c r="I564" t="n">
        <v>0</v>
      </c>
      <c r="J564" t="n">
        <v>0</v>
      </c>
      <c r="K564" t="n">
        <v>0</v>
      </c>
      <c r="L564" t="n">
        <v>0</v>
      </c>
      <c r="M564" t="n">
        <v>0</v>
      </c>
      <c r="N564" t="n">
        <v>0</v>
      </c>
      <c r="O564" t="n">
        <v>0</v>
      </c>
      <c r="P564" t="n">
        <v>0</v>
      </c>
      <c r="Q564" t="n">
        <v>0</v>
      </c>
      <c r="R564" s="2" t="inlineStr"/>
    </row>
    <row r="565" ht="15" customHeight="1">
      <c r="A565" t="inlineStr">
        <is>
          <t>A 33676-2023</t>
        </is>
      </c>
      <c r="B565" s="1" t="n">
        <v>45132</v>
      </c>
      <c r="C565" s="1" t="n">
        <v>45475</v>
      </c>
      <c r="D565" t="inlineStr">
        <is>
          <t>DALARNAS LÄN</t>
        </is>
      </c>
      <c r="E565" t="inlineStr">
        <is>
          <t>MORA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34193-2023</t>
        </is>
      </c>
      <c r="B566" s="1" t="n">
        <v>45138</v>
      </c>
      <c r="C566" s="1" t="n">
        <v>45475</v>
      </c>
      <c r="D566" t="inlineStr">
        <is>
          <t>DALARNAS LÄN</t>
        </is>
      </c>
      <c r="E566" t="inlineStr">
        <is>
          <t>MORA</t>
        </is>
      </c>
      <c r="G566" t="n">
        <v>10.4</v>
      </c>
      <c r="H566" t="n">
        <v>0</v>
      </c>
      <c r="I566" t="n">
        <v>0</v>
      </c>
      <c r="J566" t="n">
        <v>0</v>
      </c>
      <c r="K566" t="n">
        <v>0</v>
      </c>
      <c r="L566" t="n">
        <v>0</v>
      </c>
      <c r="M566" t="n">
        <v>0</v>
      </c>
      <c r="N566" t="n">
        <v>0</v>
      </c>
      <c r="O566" t="n">
        <v>0</v>
      </c>
      <c r="P566" t="n">
        <v>0</v>
      </c>
      <c r="Q566" t="n">
        <v>0</v>
      </c>
      <c r="R566" s="2" t="inlineStr"/>
    </row>
    <row r="567" ht="15" customHeight="1">
      <c r="A567" t="inlineStr">
        <is>
          <t>A 34278-2023</t>
        </is>
      </c>
      <c r="B567" s="1" t="n">
        <v>45138</v>
      </c>
      <c r="C567" s="1" t="n">
        <v>45475</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35040-2023</t>
        </is>
      </c>
      <c r="B568" s="1" t="n">
        <v>45145</v>
      </c>
      <c r="C568" s="1" t="n">
        <v>45475</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35041-2023</t>
        </is>
      </c>
      <c r="B569" s="1" t="n">
        <v>45145</v>
      </c>
      <c r="C569" s="1" t="n">
        <v>45475</v>
      </c>
      <c r="D569" t="inlineStr">
        <is>
          <t>DALARNAS LÄN</t>
        </is>
      </c>
      <c r="E569" t="inlineStr">
        <is>
          <t>MORA</t>
        </is>
      </c>
      <c r="G569" t="n">
        <v>15.4</v>
      </c>
      <c r="H569" t="n">
        <v>0</v>
      </c>
      <c r="I569" t="n">
        <v>0</v>
      </c>
      <c r="J569" t="n">
        <v>0</v>
      </c>
      <c r="K569" t="n">
        <v>0</v>
      </c>
      <c r="L569" t="n">
        <v>0</v>
      </c>
      <c r="M569" t="n">
        <v>0</v>
      </c>
      <c r="N569" t="n">
        <v>0</v>
      </c>
      <c r="O569" t="n">
        <v>0</v>
      </c>
      <c r="P569" t="n">
        <v>0</v>
      </c>
      <c r="Q569" t="n">
        <v>0</v>
      </c>
      <c r="R569" s="2" t="inlineStr"/>
    </row>
    <row r="570" ht="15" customHeight="1">
      <c r="A570" t="inlineStr">
        <is>
          <t>A 35236-2023</t>
        </is>
      </c>
      <c r="B570" s="1" t="n">
        <v>45145</v>
      </c>
      <c r="C570" s="1" t="n">
        <v>45475</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35033-2023</t>
        </is>
      </c>
      <c r="B571" s="1" t="n">
        <v>45145</v>
      </c>
      <c r="C571" s="1" t="n">
        <v>45475</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35551-2023</t>
        </is>
      </c>
      <c r="B572" s="1" t="n">
        <v>45147</v>
      </c>
      <c r="C572" s="1" t="n">
        <v>45475</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35521-2023</t>
        </is>
      </c>
      <c r="B573" s="1" t="n">
        <v>45147</v>
      </c>
      <c r="C573" s="1" t="n">
        <v>45475</v>
      </c>
      <c r="D573" t="inlineStr">
        <is>
          <t>DALARNAS LÄN</t>
        </is>
      </c>
      <c r="E573" t="inlineStr">
        <is>
          <t>MORA</t>
        </is>
      </c>
      <c r="G573" t="n">
        <v>3.7</v>
      </c>
      <c r="H573" t="n">
        <v>0</v>
      </c>
      <c r="I573" t="n">
        <v>0</v>
      </c>
      <c r="J573" t="n">
        <v>0</v>
      </c>
      <c r="K573" t="n">
        <v>0</v>
      </c>
      <c r="L573" t="n">
        <v>0</v>
      </c>
      <c r="M573" t="n">
        <v>0</v>
      </c>
      <c r="N573" t="n">
        <v>0</v>
      </c>
      <c r="O573" t="n">
        <v>0</v>
      </c>
      <c r="P573" t="n">
        <v>0</v>
      </c>
      <c r="Q573" t="n">
        <v>0</v>
      </c>
      <c r="R573" s="2" t="inlineStr"/>
    </row>
    <row r="574" ht="15" customHeight="1">
      <c r="A574" t="inlineStr">
        <is>
          <t>A 35923-2023</t>
        </is>
      </c>
      <c r="B574" s="1" t="n">
        <v>45148</v>
      </c>
      <c r="C574" s="1" t="n">
        <v>45475</v>
      </c>
      <c r="D574" t="inlineStr">
        <is>
          <t>DALARNAS LÄN</t>
        </is>
      </c>
      <c r="E574" t="inlineStr">
        <is>
          <t>MORA</t>
        </is>
      </c>
      <c r="G574" t="n">
        <v>10.7</v>
      </c>
      <c r="H574" t="n">
        <v>0</v>
      </c>
      <c r="I574" t="n">
        <v>0</v>
      </c>
      <c r="J574" t="n">
        <v>0</v>
      </c>
      <c r="K574" t="n">
        <v>0</v>
      </c>
      <c r="L574" t="n">
        <v>0</v>
      </c>
      <c r="M574" t="n">
        <v>0</v>
      </c>
      <c r="N574" t="n">
        <v>0</v>
      </c>
      <c r="O574" t="n">
        <v>0</v>
      </c>
      <c r="P574" t="n">
        <v>0</v>
      </c>
      <c r="Q574" t="n">
        <v>0</v>
      </c>
      <c r="R574" s="2" t="inlineStr"/>
    </row>
    <row r="575" ht="15" customHeight="1">
      <c r="A575" t="inlineStr">
        <is>
          <t>A 36740-2023</t>
        </is>
      </c>
      <c r="B575" s="1" t="n">
        <v>45153</v>
      </c>
      <c r="C575" s="1" t="n">
        <v>45475</v>
      </c>
      <c r="D575" t="inlineStr">
        <is>
          <t>DALARNAS LÄN</t>
        </is>
      </c>
      <c r="E575" t="inlineStr">
        <is>
          <t>MORA</t>
        </is>
      </c>
      <c r="G575" t="n">
        <v>0.2</v>
      </c>
      <c r="H575" t="n">
        <v>0</v>
      </c>
      <c r="I575" t="n">
        <v>0</v>
      </c>
      <c r="J575" t="n">
        <v>0</v>
      </c>
      <c r="K575" t="n">
        <v>0</v>
      </c>
      <c r="L575" t="n">
        <v>0</v>
      </c>
      <c r="M575" t="n">
        <v>0</v>
      </c>
      <c r="N575" t="n">
        <v>0</v>
      </c>
      <c r="O575" t="n">
        <v>0</v>
      </c>
      <c r="P575" t="n">
        <v>0</v>
      </c>
      <c r="Q575" t="n">
        <v>0</v>
      </c>
      <c r="R575" s="2" t="inlineStr"/>
    </row>
    <row r="576" ht="15" customHeight="1">
      <c r="A576" t="inlineStr">
        <is>
          <t>A 36600-2023</t>
        </is>
      </c>
      <c r="B576" s="1" t="n">
        <v>45153</v>
      </c>
      <c r="C576" s="1" t="n">
        <v>45475</v>
      </c>
      <c r="D576" t="inlineStr">
        <is>
          <t>DALARNAS LÄN</t>
        </is>
      </c>
      <c r="E576" t="inlineStr">
        <is>
          <t>MORA</t>
        </is>
      </c>
      <c r="G576" t="n">
        <v>7.3</v>
      </c>
      <c r="H576" t="n">
        <v>0</v>
      </c>
      <c r="I576" t="n">
        <v>0</v>
      </c>
      <c r="J576" t="n">
        <v>0</v>
      </c>
      <c r="K576" t="n">
        <v>0</v>
      </c>
      <c r="L576" t="n">
        <v>0</v>
      </c>
      <c r="M576" t="n">
        <v>0</v>
      </c>
      <c r="N576" t="n">
        <v>0</v>
      </c>
      <c r="O576" t="n">
        <v>0</v>
      </c>
      <c r="P576" t="n">
        <v>0</v>
      </c>
      <c r="Q576" t="n">
        <v>0</v>
      </c>
      <c r="R576" s="2" t="inlineStr"/>
    </row>
    <row r="577" ht="15" customHeight="1">
      <c r="A577" t="inlineStr">
        <is>
          <t>A 37552-2023</t>
        </is>
      </c>
      <c r="B577" s="1" t="n">
        <v>45159</v>
      </c>
      <c r="C577" s="1" t="n">
        <v>45475</v>
      </c>
      <c r="D577" t="inlineStr">
        <is>
          <t>DALARNAS LÄN</t>
        </is>
      </c>
      <c r="E577" t="inlineStr">
        <is>
          <t>MORA</t>
        </is>
      </c>
      <c r="G577" t="n">
        <v>4</v>
      </c>
      <c r="H577" t="n">
        <v>0</v>
      </c>
      <c r="I577" t="n">
        <v>0</v>
      </c>
      <c r="J577" t="n">
        <v>0</v>
      </c>
      <c r="K577" t="n">
        <v>0</v>
      </c>
      <c r="L577" t="n">
        <v>0</v>
      </c>
      <c r="M577" t="n">
        <v>0</v>
      </c>
      <c r="N577" t="n">
        <v>0</v>
      </c>
      <c r="O577" t="n">
        <v>0</v>
      </c>
      <c r="P577" t="n">
        <v>0</v>
      </c>
      <c r="Q577" t="n">
        <v>0</v>
      </c>
      <c r="R577" s="2" t="inlineStr"/>
    </row>
    <row r="578" ht="15" customHeight="1">
      <c r="A578" t="inlineStr">
        <is>
          <t>A 37553-2023</t>
        </is>
      </c>
      <c r="B578" s="1" t="n">
        <v>45159</v>
      </c>
      <c r="C578" s="1" t="n">
        <v>45475</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37710-2023</t>
        </is>
      </c>
      <c r="B579" s="1" t="n">
        <v>45159</v>
      </c>
      <c r="C579" s="1" t="n">
        <v>45475</v>
      </c>
      <c r="D579" t="inlineStr">
        <is>
          <t>DALARNAS LÄN</t>
        </is>
      </c>
      <c r="E579" t="inlineStr">
        <is>
          <t>MORA</t>
        </is>
      </c>
      <c r="G579" t="n">
        <v>1.9</v>
      </c>
      <c r="H579" t="n">
        <v>0</v>
      </c>
      <c r="I579" t="n">
        <v>0</v>
      </c>
      <c r="J579" t="n">
        <v>0</v>
      </c>
      <c r="K579" t="n">
        <v>0</v>
      </c>
      <c r="L579" t="n">
        <v>0</v>
      </c>
      <c r="M579" t="n">
        <v>0</v>
      </c>
      <c r="N579" t="n">
        <v>0</v>
      </c>
      <c r="O579" t="n">
        <v>0</v>
      </c>
      <c r="P579" t="n">
        <v>0</v>
      </c>
      <c r="Q579" t="n">
        <v>0</v>
      </c>
      <c r="R579" s="2" t="inlineStr"/>
    </row>
    <row r="580" ht="15" customHeight="1">
      <c r="A580" t="inlineStr">
        <is>
          <t>A 37554-2023</t>
        </is>
      </c>
      <c r="B580" s="1" t="n">
        <v>45159</v>
      </c>
      <c r="C580" s="1" t="n">
        <v>45475</v>
      </c>
      <c r="D580" t="inlineStr">
        <is>
          <t>DALARNAS LÄN</t>
        </is>
      </c>
      <c r="E580" t="inlineStr">
        <is>
          <t>MORA</t>
        </is>
      </c>
      <c r="G580" t="n">
        <v>4.3</v>
      </c>
      <c r="H580" t="n">
        <v>0</v>
      </c>
      <c r="I580" t="n">
        <v>0</v>
      </c>
      <c r="J580" t="n">
        <v>0</v>
      </c>
      <c r="K580" t="n">
        <v>0</v>
      </c>
      <c r="L580" t="n">
        <v>0</v>
      </c>
      <c r="M580" t="n">
        <v>0</v>
      </c>
      <c r="N580" t="n">
        <v>0</v>
      </c>
      <c r="O580" t="n">
        <v>0</v>
      </c>
      <c r="P580" t="n">
        <v>0</v>
      </c>
      <c r="Q580" t="n">
        <v>0</v>
      </c>
      <c r="R580" s="2" t="inlineStr"/>
    </row>
    <row r="581" ht="15" customHeight="1">
      <c r="A581" t="inlineStr">
        <is>
          <t>A 37932-2023</t>
        </is>
      </c>
      <c r="B581" s="1" t="n">
        <v>45160</v>
      </c>
      <c r="C581" s="1" t="n">
        <v>45475</v>
      </c>
      <c r="D581" t="inlineStr">
        <is>
          <t>DALARNAS LÄN</t>
        </is>
      </c>
      <c r="E581" t="inlineStr">
        <is>
          <t>MORA</t>
        </is>
      </c>
      <c r="G581" t="n">
        <v>4.9</v>
      </c>
      <c r="H581" t="n">
        <v>0</v>
      </c>
      <c r="I581" t="n">
        <v>0</v>
      </c>
      <c r="J581" t="n">
        <v>0</v>
      </c>
      <c r="K581" t="n">
        <v>0</v>
      </c>
      <c r="L581" t="n">
        <v>0</v>
      </c>
      <c r="M581" t="n">
        <v>0</v>
      </c>
      <c r="N581" t="n">
        <v>0</v>
      </c>
      <c r="O581" t="n">
        <v>0</v>
      </c>
      <c r="P581" t="n">
        <v>0</v>
      </c>
      <c r="Q581" t="n">
        <v>0</v>
      </c>
      <c r="R581" s="2" t="inlineStr"/>
    </row>
    <row r="582" ht="15" customHeight="1">
      <c r="A582" t="inlineStr">
        <is>
          <t>A 38159-2023</t>
        </is>
      </c>
      <c r="B582" s="1" t="n">
        <v>45161</v>
      </c>
      <c r="C582" s="1" t="n">
        <v>45475</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38468-2023</t>
        </is>
      </c>
      <c r="B583" s="1" t="n">
        <v>45162</v>
      </c>
      <c r="C583" s="1" t="n">
        <v>45475</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38479-2023</t>
        </is>
      </c>
      <c r="B584" s="1" t="n">
        <v>45162</v>
      </c>
      <c r="C584" s="1" t="n">
        <v>45475</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39009-2023</t>
        </is>
      </c>
      <c r="B585" s="1" t="n">
        <v>45162</v>
      </c>
      <c r="C585" s="1" t="n">
        <v>45475</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38627-2023</t>
        </is>
      </c>
      <c r="B586" s="1" t="n">
        <v>45162</v>
      </c>
      <c r="C586" s="1" t="n">
        <v>45475</v>
      </c>
      <c r="D586" t="inlineStr">
        <is>
          <t>DALARNAS LÄN</t>
        </is>
      </c>
      <c r="E586" t="inlineStr">
        <is>
          <t>MORA</t>
        </is>
      </c>
      <c r="G586" t="n">
        <v>6.5</v>
      </c>
      <c r="H586" t="n">
        <v>0</v>
      </c>
      <c r="I586" t="n">
        <v>0</v>
      </c>
      <c r="J586" t="n">
        <v>0</v>
      </c>
      <c r="K586" t="n">
        <v>0</v>
      </c>
      <c r="L586" t="n">
        <v>0</v>
      </c>
      <c r="M586" t="n">
        <v>0</v>
      </c>
      <c r="N586" t="n">
        <v>0</v>
      </c>
      <c r="O586" t="n">
        <v>0</v>
      </c>
      <c r="P586" t="n">
        <v>0</v>
      </c>
      <c r="Q586" t="n">
        <v>0</v>
      </c>
      <c r="R586" s="2" t="inlineStr"/>
    </row>
    <row r="587" ht="15" customHeight="1">
      <c r="A587" t="inlineStr">
        <is>
          <t>A 39233-2023</t>
        </is>
      </c>
      <c r="B587" s="1" t="n">
        <v>45166</v>
      </c>
      <c r="C587" s="1" t="n">
        <v>45475</v>
      </c>
      <c r="D587" t="inlineStr">
        <is>
          <t>DALARNAS LÄN</t>
        </is>
      </c>
      <c r="E587" t="inlineStr">
        <is>
          <t>MORA</t>
        </is>
      </c>
      <c r="G587" t="n">
        <v>4.5</v>
      </c>
      <c r="H587" t="n">
        <v>0</v>
      </c>
      <c r="I587" t="n">
        <v>0</v>
      </c>
      <c r="J587" t="n">
        <v>0</v>
      </c>
      <c r="K587" t="n">
        <v>0</v>
      </c>
      <c r="L587" t="n">
        <v>0</v>
      </c>
      <c r="M587" t="n">
        <v>0</v>
      </c>
      <c r="N587" t="n">
        <v>0</v>
      </c>
      <c r="O587" t="n">
        <v>0</v>
      </c>
      <c r="P587" t="n">
        <v>0</v>
      </c>
      <c r="Q587" t="n">
        <v>0</v>
      </c>
      <c r="R587" s="2" t="inlineStr"/>
    </row>
    <row r="588" ht="15" customHeight="1">
      <c r="A588" t="inlineStr">
        <is>
          <t>A 39312-2023</t>
        </is>
      </c>
      <c r="B588" s="1" t="n">
        <v>45166</v>
      </c>
      <c r="C588" s="1" t="n">
        <v>45475</v>
      </c>
      <c r="D588" t="inlineStr">
        <is>
          <t>DALARNAS LÄN</t>
        </is>
      </c>
      <c r="E588" t="inlineStr">
        <is>
          <t>MORA</t>
        </is>
      </c>
      <c r="G588" t="n">
        <v>2.8</v>
      </c>
      <c r="H588" t="n">
        <v>0</v>
      </c>
      <c r="I588" t="n">
        <v>0</v>
      </c>
      <c r="J588" t="n">
        <v>0</v>
      </c>
      <c r="K588" t="n">
        <v>0</v>
      </c>
      <c r="L588" t="n">
        <v>0</v>
      </c>
      <c r="M588" t="n">
        <v>0</v>
      </c>
      <c r="N588" t="n">
        <v>0</v>
      </c>
      <c r="O588" t="n">
        <v>0</v>
      </c>
      <c r="P588" t="n">
        <v>0</v>
      </c>
      <c r="Q588" t="n">
        <v>0</v>
      </c>
      <c r="R588" s="2" t="inlineStr"/>
    </row>
    <row r="589" ht="15" customHeight="1">
      <c r="A589" t="inlineStr">
        <is>
          <t>A 39694-2023</t>
        </is>
      </c>
      <c r="B589" s="1" t="n">
        <v>45167</v>
      </c>
      <c r="C589" s="1" t="n">
        <v>45475</v>
      </c>
      <c r="D589" t="inlineStr">
        <is>
          <t>DALARNAS LÄN</t>
        </is>
      </c>
      <c r="E589" t="inlineStr">
        <is>
          <t>MORA</t>
        </is>
      </c>
      <c r="G589" t="n">
        <v>3.6</v>
      </c>
      <c r="H589" t="n">
        <v>0</v>
      </c>
      <c r="I589" t="n">
        <v>0</v>
      </c>
      <c r="J589" t="n">
        <v>0</v>
      </c>
      <c r="K589" t="n">
        <v>0</v>
      </c>
      <c r="L589" t="n">
        <v>0</v>
      </c>
      <c r="M589" t="n">
        <v>0</v>
      </c>
      <c r="N589" t="n">
        <v>0</v>
      </c>
      <c r="O589" t="n">
        <v>0</v>
      </c>
      <c r="P589" t="n">
        <v>0</v>
      </c>
      <c r="Q589" t="n">
        <v>0</v>
      </c>
      <c r="R589" s="2" t="inlineStr"/>
    </row>
    <row r="590" ht="15" customHeight="1">
      <c r="A590" t="inlineStr">
        <is>
          <t>A 39674-2023</t>
        </is>
      </c>
      <c r="B590" s="1" t="n">
        <v>45167</v>
      </c>
      <c r="C590" s="1" t="n">
        <v>45475</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39847-2023</t>
        </is>
      </c>
      <c r="B591" s="1" t="n">
        <v>45168</v>
      </c>
      <c r="C591" s="1" t="n">
        <v>45475</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40034-2023</t>
        </is>
      </c>
      <c r="B592" s="1" t="n">
        <v>45168</v>
      </c>
      <c r="C592" s="1" t="n">
        <v>45475</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40247-2023</t>
        </is>
      </c>
      <c r="B593" s="1" t="n">
        <v>45169</v>
      </c>
      <c r="C593" s="1" t="n">
        <v>45475</v>
      </c>
      <c r="D593" t="inlineStr">
        <is>
          <t>DALARNAS LÄN</t>
        </is>
      </c>
      <c r="E593" t="inlineStr">
        <is>
          <t>MORA</t>
        </is>
      </c>
      <c r="G593" t="n">
        <v>5.7</v>
      </c>
      <c r="H593" t="n">
        <v>0</v>
      </c>
      <c r="I593" t="n">
        <v>0</v>
      </c>
      <c r="J593" t="n">
        <v>0</v>
      </c>
      <c r="K593" t="n">
        <v>0</v>
      </c>
      <c r="L593" t="n">
        <v>0</v>
      </c>
      <c r="M593" t="n">
        <v>0</v>
      </c>
      <c r="N593" t="n">
        <v>0</v>
      </c>
      <c r="O593" t="n">
        <v>0</v>
      </c>
      <c r="P593" t="n">
        <v>0</v>
      </c>
      <c r="Q593" t="n">
        <v>0</v>
      </c>
      <c r="R593" s="2" t="inlineStr"/>
    </row>
    <row r="594" ht="15" customHeight="1">
      <c r="A594" t="inlineStr">
        <is>
          <t>A 40651-2023</t>
        </is>
      </c>
      <c r="B594" s="1" t="n">
        <v>45170</v>
      </c>
      <c r="C594" s="1" t="n">
        <v>45475</v>
      </c>
      <c r="D594" t="inlineStr">
        <is>
          <t>DALARNAS LÄN</t>
        </is>
      </c>
      <c r="E594" t="inlineStr">
        <is>
          <t>MORA</t>
        </is>
      </c>
      <c r="F594" t="inlineStr">
        <is>
          <t>Bergvik skog öst AB</t>
        </is>
      </c>
      <c r="G594" t="n">
        <v>2.6</v>
      </c>
      <c r="H594" t="n">
        <v>0</v>
      </c>
      <c r="I594" t="n">
        <v>0</v>
      </c>
      <c r="J594" t="n">
        <v>0</v>
      </c>
      <c r="K594" t="n">
        <v>0</v>
      </c>
      <c r="L594" t="n">
        <v>0</v>
      </c>
      <c r="M594" t="n">
        <v>0</v>
      </c>
      <c r="N594" t="n">
        <v>0</v>
      </c>
      <c r="O594" t="n">
        <v>0</v>
      </c>
      <c r="P594" t="n">
        <v>0</v>
      </c>
      <c r="Q594" t="n">
        <v>0</v>
      </c>
      <c r="R594" s="2" t="inlineStr"/>
    </row>
    <row r="595" ht="15" customHeight="1">
      <c r="A595" t="inlineStr">
        <is>
          <t>A 40949-2023</t>
        </is>
      </c>
      <c r="B595" s="1" t="n">
        <v>45173</v>
      </c>
      <c r="C595" s="1" t="n">
        <v>45475</v>
      </c>
      <c r="D595" t="inlineStr">
        <is>
          <t>DALARNAS LÄN</t>
        </is>
      </c>
      <c r="E595" t="inlineStr">
        <is>
          <t>MORA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41169-2023</t>
        </is>
      </c>
      <c r="B596" s="1" t="n">
        <v>45174</v>
      </c>
      <c r="C596" s="1" t="n">
        <v>45475</v>
      </c>
      <c r="D596" t="inlineStr">
        <is>
          <t>DALARNAS LÄN</t>
        </is>
      </c>
      <c r="E596" t="inlineStr">
        <is>
          <t>MORA</t>
        </is>
      </c>
      <c r="G596" t="n">
        <v>3</v>
      </c>
      <c r="H596" t="n">
        <v>0</v>
      </c>
      <c r="I596" t="n">
        <v>0</v>
      </c>
      <c r="J596" t="n">
        <v>0</v>
      </c>
      <c r="K596" t="n">
        <v>0</v>
      </c>
      <c r="L596" t="n">
        <v>0</v>
      </c>
      <c r="M596" t="n">
        <v>0</v>
      </c>
      <c r="N596" t="n">
        <v>0</v>
      </c>
      <c r="O596" t="n">
        <v>0</v>
      </c>
      <c r="P596" t="n">
        <v>0</v>
      </c>
      <c r="Q596" t="n">
        <v>0</v>
      </c>
      <c r="R596" s="2" t="inlineStr"/>
    </row>
    <row r="597" ht="15" customHeight="1">
      <c r="A597" t="inlineStr">
        <is>
          <t>A 41170-2023</t>
        </is>
      </c>
      <c r="B597" s="1" t="n">
        <v>45174</v>
      </c>
      <c r="C597" s="1" t="n">
        <v>45475</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41638-2023</t>
        </is>
      </c>
      <c r="B598" s="1" t="n">
        <v>45175</v>
      </c>
      <c r="C598" s="1" t="n">
        <v>45475</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41637-2023</t>
        </is>
      </c>
      <c r="B599" s="1" t="n">
        <v>45175</v>
      </c>
      <c r="C599" s="1" t="n">
        <v>45475</v>
      </c>
      <c r="D599" t="inlineStr">
        <is>
          <t>DALARNAS LÄN</t>
        </is>
      </c>
      <c r="E599" t="inlineStr">
        <is>
          <t>MORA</t>
        </is>
      </c>
      <c r="G599" t="n">
        <v>10.4</v>
      </c>
      <c r="H599" t="n">
        <v>0</v>
      </c>
      <c r="I599" t="n">
        <v>0</v>
      </c>
      <c r="J599" t="n">
        <v>0</v>
      </c>
      <c r="K599" t="n">
        <v>0</v>
      </c>
      <c r="L599" t="n">
        <v>0</v>
      </c>
      <c r="M599" t="n">
        <v>0</v>
      </c>
      <c r="N599" t="n">
        <v>0</v>
      </c>
      <c r="O599" t="n">
        <v>0</v>
      </c>
      <c r="P599" t="n">
        <v>0</v>
      </c>
      <c r="Q599" t="n">
        <v>0</v>
      </c>
      <c r="R599" s="2" t="inlineStr"/>
    </row>
    <row r="600" ht="15" customHeight="1">
      <c r="A600" t="inlineStr">
        <is>
          <t>A 42028-2023</t>
        </is>
      </c>
      <c r="B600" s="1" t="n">
        <v>45177</v>
      </c>
      <c r="C600" s="1" t="n">
        <v>45475</v>
      </c>
      <c r="D600" t="inlineStr">
        <is>
          <t>DALARNAS LÄN</t>
        </is>
      </c>
      <c r="E600" t="inlineStr">
        <is>
          <t>MORA</t>
        </is>
      </c>
      <c r="F600" t="inlineStr">
        <is>
          <t>Allmännings- och besparingsskogar</t>
        </is>
      </c>
      <c r="G600" t="n">
        <v>6.5</v>
      </c>
      <c r="H600" t="n">
        <v>0</v>
      </c>
      <c r="I600" t="n">
        <v>0</v>
      </c>
      <c r="J600" t="n">
        <v>0</v>
      </c>
      <c r="K600" t="n">
        <v>0</v>
      </c>
      <c r="L600" t="n">
        <v>0</v>
      </c>
      <c r="M600" t="n">
        <v>0</v>
      </c>
      <c r="N600" t="n">
        <v>0</v>
      </c>
      <c r="O600" t="n">
        <v>0</v>
      </c>
      <c r="P600" t="n">
        <v>0</v>
      </c>
      <c r="Q600" t="n">
        <v>0</v>
      </c>
      <c r="R600" s="2" t="inlineStr"/>
    </row>
    <row r="601" ht="15" customHeight="1">
      <c r="A601" t="inlineStr">
        <is>
          <t>A 42391-2023</t>
        </is>
      </c>
      <c r="B601" s="1" t="n">
        <v>45180</v>
      </c>
      <c r="C601" s="1" t="n">
        <v>45475</v>
      </c>
      <c r="D601" t="inlineStr">
        <is>
          <t>DALARNAS LÄN</t>
        </is>
      </c>
      <c r="E601" t="inlineStr">
        <is>
          <t>MORA</t>
        </is>
      </c>
      <c r="F601" t="inlineStr">
        <is>
          <t>Kommuner</t>
        </is>
      </c>
      <c r="G601" t="n">
        <v>0.3</v>
      </c>
      <c r="H601" t="n">
        <v>0</v>
      </c>
      <c r="I601" t="n">
        <v>0</v>
      </c>
      <c r="J601" t="n">
        <v>0</v>
      </c>
      <c r="K601" t="n">
        <v>0</v>
      </c>
      <c r="L601" t="n">
        <v>0</v>
      </c>
      <c r="M601" t="n">
        <v>0</v>
      </c>
      <c r="N601" t="n">
        <v>0</v>
      </c>
      <c r="O601" t="n">
        <v>0</v>
      </c>
      <c r="P601" t="n">
        <v>0</v>
      </c>
      <c r="Q601" t="n">
        <v>0</v>
      </c>
      <c r="R601" s="2" t="inlineStr"/>
    </row>
    <row r="602" ht="15" customHeight="1">
      <c r="A602" t="inlineStr">
        <is>
          <t>A 42267-2023</t>
        </is>
      </c>
      <c r="B602" s="1" t="n">
        <v>45180</v>
      </c>
      <c r="C602" s="1" t="n">
        <v>45475</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43498-2023</t>
        </is>
      </c>
      <c r="B603" s="1" t="n">
        <v>45184</v>
      </c>
      <c r="C603" s="1" t="n">
        <v>45475</v>
      </c>
      <c r="D603" t="inlineStr">
        <is>
          <t>DALARNAS LÄN</t>
        </is>
      </c>
      <c r="E603" t="inlineStr">
        <is>
          <t>MORA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43566-2023</t>
        </is>
      </c>
      <c r="B604" s="1" t="n">
        <v>45184</v>
      </c>
      <c r="C604" s="1" t="n">
        <v>45475</v>
      </c>
      <c r="D604" t="inlineStr">
        <is>
          <t>DALARNAS LÄN</t>
        </is>
      </c>
      <c r="E604" t="inlineStr">
        <is>
          <t>MORA</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v>
      </c>
      <c r="C605" s="1" t="n">
        <v>45475</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43863-2023</t>
        </is>
      </c>
      <c r="B606" s="1" t="n">
        <v>45187</v>
      </c>
      <c r="C606" s="1" t="n">
        <v>45475</v>
      </c>
      <c r="D606" t="inlineStr">
        <is>
          <t>DALARNAS LÄN</t>
        </is>
      </c>
      <c r="E606" t="inlineStr">
        <is>
          <t>MORA</t>
        </is>
      </c>
      <c r="F606" t="inlineStr">
        <is>
          <t>Bergvik skog väst AB</t>
        </is>
      </c>
      <c r="G606" t="n">
        <v>3.9</v>
      </c>
      <c r="H606" t="n">
        <v>0</v>
      </c>
      <c r="I606" t="n">
        <v>0</v>
      </c>
      <c r="J606" t="n">
        <v>0</v>
      </c>
      <c r="K606" t="n">
        <v>0</v>
      </c>
      <c r="L606" t="n">
        <v>0</v>
      </c>
      <c r="M606" t="n">
        <v>0</v>
      </c>
      <c r="N606" t="n">
        <v>0</v>
      </c>
      <c r="O606" t="n">
        <v>0</v>
      </c>
      <c r="P606" t="n">
        <v>0</v>
      </c>
      <c r="Q606" t="n">
        <v>0</v>
      </c>
      <c r="R606" s="2" t="inlineStr"/>
    </row>
    <row r="607" ht="15" customHeight="1">
      <c r="A607" t="inlineStr">
        <is>
          <t>A 44201-2023</t>
        </is>
      </c>
      <c r="B607" s="1" t="n">
        <v>45188</v>
      </c>
      <c r="C607" s="1" t="n">
        <v>45475</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44205-2023</t>
        </is>
      </c>
      <c r="B608" s="1" t="n">
        <v>45188</v>
      </c>
      <c r="C608" s="1" t="n">
        <v>45475</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44106-2023</t>
        </is>
      </c>
      <c r="B609" s="1" t="n">
        <v>45188</v>
      </c>
      <c r="C609" s="1" t="n">
        <v>45475</v>
      </c>
      <c r="D609" t="inlineStr">
        <is>
          <t>DALARNAS LÄN</t>
        </is>
      </c>
      <c r="E609" t="inlineStr">
        <is>
          <t>MORA</t>
        </is>
      </c>
      <c r="G609" t="n">
        <v>10.1</v>
      </c>
      <c r="H609" t="n">
        <v>0</v>
      </c>
      <c r="I609" t="n">
        <v>0</v>
      </c>
      <c r="J609" t="n">
        <v>0</v>
      </c>
      <c r="K609" t="n">
        <v>0</v>
      </c>
      <c r="L609" t="n">
        <v>0</v>
      </c>
      <c r="M609" t="n">
        <v>0</v>
      </c>
      <c r="N609" t="n">
        <v>0</v>
      </c>
      <c r="O609" t="n">
        <v>0</v>
      </c>
      <c r="P609" t="n">
        <v>0</v>
      </c>
      <c r="Q609" t="n">
        <v>0</v>
      </c>
      <c r="R609" s="2" t="inlineStr"/>
    </row>
    <row r="610" ht="15" customHeight="1">
      <c r="A610" t="inlineStr">
        <is>
          <t>A 44117-2023</t>
        </is>
      </c>
      <c r="B610" s="1" t="n">
        <v>45188</v>
      </c>
      <c r="C610" s="1" t="n">
        <v>45475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44177-2023</t>
        </is>
      </c>
      <c r="B611" s="1" t="n">
        <v>45188</v>
      </c>
      <c r="C611" s="1" t="n">
        <v>45475</v>
      </c>
      <c r="D611" t="inlineStr">
        <is>
          <t>DALARNAS LÄN</t>
        </is>
      </c>
      <c r="E611" t="inlineStr">
        <is>
          <t>MORA</t>
        </is>
      </c>
      <c r="G611" t="n">
        <v>2</v>
      </c>
      <c r="H611" t="n">
        <v>0</v>
      </c>
      <c r="I611" t="n">
        <v>0</v>
      </c>
      <c r="J611" t="n">
        <v>0</v>
      </c>
      <c r="K611" t="n">
        <v>0</v>
      </c>
      <c r="L611" t="n">
        <v>0</v>
      </c>
      <c r="M611" t="n">
        <v>0</v>
      </c>
      <c r="N611" t="n">
        <v>0</v>
      </c>
      <c r="O611" t="n">
        <v>0</v>
      </c>
      <c r="P611" t="n">
        <v>0</v>
      </c>
      <c r="Q611" t="n">
        <v>0</v>
      </c>
      <c r="R611" s="2" t="inlineStr"/>
    </row>
    <row r="612" ht="15" customHeight="1">
      <c r="A612" t="inlineStr">
        <is>
          <t>A 45475-2023</t>
        </is>
      </c>
      <c r="B612" s="1" t="n">
        <v>45188</v>
      </c>
      <c r="C612" s="1" t="n">
        <v>45475</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44718-2023</t>
        </is>
      </c>
      <c r="B613" s="1" t="n">
        <v>45190</v>
      </c>
      <c r="C613" s="1" t="n">
        <v>45475</v>
      </c>
      <c r="D613" t="inlineStr">
        <is>
          <t>DALARNAS LÄN</t>
        </is>
      </c>
      <c r="E613" t="inlineStr">
        <is>
          <t>MORA</t>
        </is>
      </c>
      <c r="G613" t="n">
        <v>7.4</v>
      </c>
      <c r="H613" t="n">
        <v>0</v>
      </c>
      <c r="I613" t="n">
        <v>0</v>
      </c>
      <c r="J613" t="n">
        <v>0</v>
      </c>
      <c r="K613" t="n">
        <v>0</v>
      </c>
      <c r="L613" t="n">
        <v>0</v>
      </c>
      <c r="M613" t="n">
        <v>0</v>
      </c>
      <c r="N613" t="n">
        <v>0</v>
      </c>
      <c r="O613" t="n">
        <v>0</v>
      </c>
      <c r="P613" t="n">
        <v>0</v>
      </c>
      <c r="Q613" t="n">
        <v>0</v>
      </c>
      <c r="R613" s="2" t="inlineStr"/>
    </row>
    <row r="614" ht="15" customHeight="1">
      <c r="A614" t="inlineStr">
        <is>
          <t>A 44820-2023</t>
        </is>
      </c>
      <c r="B614" s="1" t="n">
        <v>45190</v>
      </c>
      <c r="C614" s="1" t="n">
        <v>45475</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44817-2023</t>
        </is>
      </c>
      <c r="B615" s="1" t="n">
        <v>45190</v>
      </c>
      <c r="C615" s="1" t="n">
        <v>45475</v>
      </c>
      <c r="D615" t="inlineStr">
        <is>
          <t>DALARNAS LÄN</t>
        </is>
      </c>
      <c r="E615" t="inlineStr">
        <is>
          <t>MORA</t>
        </is>
      </c>
      <c r="G615" t="n">
        <v>1.6</v>
      </c>
      <c r="H615" t="n">
        <v>0</v>
      </c>
      <c r="I615" t="n">
        <v>0</v>
      </c>
      <c r="J615" t="n">
        <v>0</v>
      </c>
      <c r="K615" t="n">
        <v>0</v>
      </c>
      <c r="L615" t="n">
        <v>0</v>
      </c>
      <c r="M615" t="n">
        <v>0</v>
      </c>
      <c r="N615" t="n">
        <v>0</v>
      </c>
      <c r="O615" t="n">
        <v>0</v>
      </c>
      <c r="P615" t="n">
        <v>0</v>
      </c>
      <c r="Q615" t="n">
        <v>0</v>
      </c>
      <c r="R615" s="2" t="inlineStr"/>
    </row>
    <row r="616" ht="15" customHeight="1">
      <c r="A616" t="inlineStr">
        <is>
          <t>A 45295-2023</t>
        </is>
      </c>
      <c r="B616" s="1" t="n">
        <v>45191</v>
      </c>
      <c r="C616" s="1" t="n">
        <v>45475</v>
      </c>
      <c r="D616" t="inlineStr">
        <is>
          <t>DALARNAS LÄN</t>
        </is>
      </c>
      <c r="E616" t="inlineStr">
        <is>
          <t>MORA</t>
        </is>
      </c>
      <c r="G616" t="n">
        <v>10.9</v>
      </c>
      <c r="H616" t="n">
        <v>0</v>
      </c>
      <c r="I616" t="n">
        <v>0</v>
      </c>
      <c r="J616" t="n">
        <v>0</v>
      </c>
      <c r="K616" t="n">
        <v>0</v>
      </c>
      <c r="L616" t="n">
        <v>0</v>
      </c>
      <c r="M616" t="n">
        <v>0</v>
      </c>
      <c r="N616" t="n">
        <v>0</v>
      </c>
      <c r="O616" t="n">
        <v>0</v>
      </c>
      <c r="P616" t="n">
        <v>0</v>
      </c>
      <c r="Q616" t="n">
        <v>0</v>
      </c>
      <c r="R616" s="2" t="inlineStr"/>
    </row>
    <row r="617" ht="15" customHeight="1">
      <c r="A617" t="inlineStr">
        <is>
          <t>A 45562-2023</t>
        </is>
      </c>
      <c r="B617" s="1" t="n">
        <v>45194</v>
      </c>
      <c r="C617" s="1" t="n">
        <v>45475</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45574-2023</t>
        </is>
      </c>
      <c r="B618" s="1" t="n">
        <v>45194</v>
      </c>
      <c r="C618" s="1" t="n">
        <v>45475</v>
      </c>
      <c r="D618" t="inlineStr">
        <is>
          <t>DALARNAS LÄN</t>
        </is>
      </c>
      <c r="E618" t="inlineStr">
        <is>
          <t>MORA</t>
        </is>
      </c>
      <c r="G618" t="n">
        <v>6.3</v>
      </c>
      <c r="H618" t="n">
        <v>0</v>
      </c>
      <c r="I618" t="n">
        <v>0</v>
      </c>
      <c r="J618" t="n">
        <v>0</v>
      </c>
      <c r="K618" t="n">
        <v>0</v>
      </c>
      <c r="L618" t="n">
        <v>0</v>
      </c>
      <c r="M618" t="n">
        <v>0</v>
      </c>
      <c r="N618" t="n">
        <v>0</v>
      </c>
      <c r="O618" t="n">
        <v>0</v>
      </c>
      <c r="P618" t="n">
        <v>0</v>
      </c>
      <c r="Q618" t="n">
        <v>0</v>
      </c>
      <c r="R618" s="2" t="inlineStr"/>
    </row>
    <row r="619" ht="15" customHeight="1">
      <c r="A619" t="inlineStr">
        <is>
          <t>A 46087-2023</t>
        </is>
      </c>
      <c r="B619" s="1" t="n">
        <v>45196</v>
      </c>
      <c r="C619" s="1" t="n">
        <v>45475</v>
      </c>
      <c r="D619" t="inlineStr">
        <is>
          <t>DALARNAS LÄN</t>
        </is>
      </c>
      <c r="E619" t="inlineStr">
        <is>
          <t>MORA</t>
        </is>
      </c>
      <c r="F619" t="inlineStr">
        <is>
          <t>Bergvik skog öst AB</t>
        </is>
      </c>
      <c r="G619" t="n">
        <v>24.2</v>
      </c>
      <c r="H619" t="n">
        <v>0</v>
      </c>
      <c r="I619" t="n">
        <v>0</v>
      </c>
      <c r="J619" t="n">
        <v>0</v>
      </c>
      <c r="K619" t="n">
        <v>0</v>
      </c>
      <c r="L619" t="n">
        <v>0</v>
      </c>
      <c r="M619" t="n">
        <v>0</v>
      </c>
      <c r="N619" t="n">
        <v>0</v>
      </c>
      <c r="O619" t="n">
        <v>0</v>
      </c>
      <c r="P619" t="n">
        <v>0</v>
      </c>
      <c r="Q619" t="n">
        <v>0</v>
      </c>
      <c r="R619" s="2" t="inlineStr"/>
    </row>
    <row r="620" ht="15" customHeight="1">
      <c r="A620" t="inlineStr">
        <is>
          <t>A 46152-2023</t>
        </is>
      </c>
      <c r="B620" s="1" t="n">
        <v>45196</v>
      </c>
      <c r="C620" s="1" t="n">
        <v>45475</v>
      </c>
      <c r="D620" t="inlineStr">
        <is>
          <t>DALARNAS LÄN</t>
        </is>
      </c>
      <c r="E620" t="inlineStr">
        <is>
          <t>MORA</t>
        </is>
      </c>
      <c r="G620" t="n">
        <v>2</v>
      </c>
      <c r="H620" t="n">
        <v>0</v>
      </c>
      <c r="I620" t="n">
        <v>0</v>
      </c>
      <c r="J620" t="n">
        <v>0</v>
      </c>
      <c r="K620" t="n">
        <v>0</v>
      </c>
      <c r="L620" t="n">
        <v>0</v>
      </c>
      <c r="M620" t="n">
        <v>0</v>
      </c>
      <c r="N620" t="n">
        <v>0</v>
      </c>
      <c r="O620" t="n">
        <v>0</v>
      </c>
      <c r="P620" t="n">
        <v>0</v>
      </c>
      <c r="Q620" t="n">
        <v>0</v>
      </c>
      <c r="R620" s="2" t="inlineStr"/>
    </row>
    <row r="621" ht="15" customHeight="1">
      <c r="A621" t="inlineStr">
        <is>
          <t>A 47036-2023</t>
        </is>
      </c>
      <c r="B621" s="1" t="n">
        <v>45196</v>
      </c>
      <c r="C621" s="1" t="n">
        <v>45475</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46486-2023</t>
        </is>
      </c>
      <c r="B622" s="1" t="n">
        <v>45197</v>
      </c>
      <c r="C622" s="1" t="n">
        <v>45475</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46612-2023</t>
        </is>
      </c>
      <c r="B623" s="1" t="n">
        <v>45198</v>
      </c>
      <c r="C623" s="1" t="n">
        <v>45475</v>
      </c>
      <c r="D623" t="inlineStr">
        <is>
          <t>DALARNAS LÄN</t>
        </is>
      </c>
      <c r="E623" t="inlineStr">
        <is>
          <t>MORA</t>
        </is>
      </c>
      <c r="G623" t="n">
        <v>3.2</v>
      </c>
      <c r="H623" t="n">
        <v>0</v>
      </c>
      <c r="I623" t="n">
        <v>0</v>
      </c>
      <c r="J623" t="n">
        <v>0</v>
      </c>
      <c r="K623" t="n">
        <v>0</v>
      </c>
      <c r="L623" t="n">
        <v>0</v>
      </c>
      <c r="M623" t="n">
        <v>0</v>
      </c>
      <c r="N623" t="n">
        <v>0</v>
      </c>
      <c r="O623" t="n">
        <v>0</v>
      </c>
      <c r="P623" t="n">
        <v>0</v>
      </c>
      <c r="Q623" t="n">
        <v>0</v>
      </c>
      <c r="R623" s="2" t="inlineStr"/>
    </row>
    <row r="624" ht="15" customHeight="1">
      <c r="A624" t="inlineStr">
        <is>
          <t>A 46791-2023</t>
        </is>
      </c>
      <c r="B624" s="1" t="n">
        <v>45198</v>
      </c>
      <c r="C624" s="1" t="n">
        <v>45475</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46755-2023</t>
        </is>
      </c>
      <c r="B625" s="1" t="n">
        <v>45198</v>
      </c>
      <c r="C625" s="1" t="n">
        <v>45475</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47347-2023</t>
        </is>
      </c>
      <c r="B626" s="1" t="n">
        <v>45202</v>
      </c>
      <c r="C626" s="1" t="n">
        <v>45475</v>
      </c>
      <c r="D626" t="inlineStr">
        <is>
          <t>DALARNAS LÄN</t>
        </is>
      </c>
      <c r="E626" t="inlineStr">
        <is>
          <t>MORA</t>
        </is>
      </c>
      <c r="F626" t="inlineStr">
        <is>
          <t>Bergvik skog öst AB</t>
        </is>
      </c>
      <c r="G626" t="n">
        <v>5.1</v>
      </c>
      <c r="H626" t="n">
        <v>0</v>
      </c>
      <c r="I626" t="n">
        <v>0</v>
      </c>
      <c r="J626" t="n">
        <v>0</v>
      </c>
      <c r="K626" t="n">
        <v>0</v>
      </c>
      <c r="L626" t="n">
        <v>0</v>
      </c>
      <c r="M626" t="n">
        <v>0</v>
      </c>
      <c r="N626" t="n">
        <v>0</v>
      </c>
      <c r="O626" t="n">
        <v>0</v>
      </c>
      <c r="P626" t="n">
        <v>0</v>
      </c>
      <c r="Q626" t="n">
        <v>0</v>
      </c>
      <c r="R626" s="2" t="inlineStr"/>
    </row>
    <row r="627" ht="15" customHeight="1">
      <c r="A627" t="inlineStr">
        <is>
          <t>A 47410-2023</t>
        </is>
      </c>
      <c r="B627" s="1" t="n">
        <v>45202</v>
      </c>
      <c r="C627" s="1" t="n">
        <v>45475</v>
      </c>
      <c r="D627" t="inlineStr">
        <is>
          <t>DALARNAS LÄN</t>
        </is>
      </c>
      <c r="E627" t="inlineStr">
        <is>
          <t>MORA</t>
        </is>
      </c>
      <c r="G627" t="n">
        <v>7.3</v>
      </c>
      <c r="H627" t="n">
        <v>0</v>
      </c>
      <c r="I627" t="n">
        <v>0</v>
      </c>
      <c r="J627" t="n">
        <v>0</v>
      </c>
      <c r="K627" t="n">
        <v>0</v>
      </c>
      <c r="L627" t="n">
        <v>0</v>
      </c>
      <c r="M627" t="n">
        <v>0</v>
      </c>
      <c r="N627" t="n">
        <v>0</v>
      </c>
      <c r="O627" t="n">
        <v>0</v>
      </c>
      <c r="P627" t="n">
        <v>0</v>
      </c>
      <c r="Q627" t="n">
        <v>0</v>
      </c>
      <c r="R627" s="2" t="inlineStr"/>
    </row>
    <row r="628" ht="15" customHeight="1">
      <c r="A628" t="inlineStr">
        <is>
          <t>A 47440-2023</t>
        </is>
      </c>
      <c r="B628" s="1" t="n">
        <v>45202</v>
      </c>
      <c r="C628" s="1" t="n">
        <v>45475</v>
      </c>
      <c r="D628" t="inlineStr">
        <is>
          <t>DALARNAS LÄN</t>
        </is>
      </c>
      <c r="E628" t="inlineStr">
        <is>
          <t>MORA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47574-2023</t>
        </is>
      </c>
      <c r="B629" s="1" t="n">
        <v>45203</v>
      </c>
      <c r="C629" s="1" t="n">
        <v>45475</v>
      </c>
      <c r="D629" t="inlineStr">
        <is>
          <t>DALARNAS LÄN</t>
        </is>
      </c>
      <c r="E629" t="inlineStr">
        <is>
          <t>MORA</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47683-2023</t>
        </is>
      </c>
      <c r="B630" s="1" t="n">
        <v>45203</v>
      </c>
      <c r="C630" s="1" t="n">
        <v>45475</v>
      </c>
      <c r="D630" t="inlineStr">
        <is>
          <t>DALARNAS LÄN</t>
        </is>
      </c>
      <c r="E630" t="inlineStr">
        <is>
          <t>MORA</t>
        </is>
      </c>
      <c r="F630" t="inlineStr">
        <is>
          <t>Kyrkan</t>
        </is>
      </c>
      <c r="G630" t="n">
        <v>33.8</v>
      </c>
      <c r="H630" t="n">
        <v>0</v>
      </c>
      <c r="I630" t="n">
        <v>0</v>
      </c>
      <c r="J630" t="n">
        <v>0</v>
      </c>
      <c r="K630" t="n">
        <v>0</v>
      </c>
      <c r="L630" t="n">
        <v>0</v>
      </c>
      <c r="M630" t="n">
        <v>0</v>
      </c>
      <c r="N630" t="n">
        <v>0</v>
      </c>
      <c r="O630" t="n">
        <v>0</v>
      </c>
      <c r="P630" t="n">
        <v>0</v>
      </c>
      <c r="Q630" t="n">
        <v>0</v>
      </c>
      <c r="R630" s="2" t="inlineStr"/>
    </row>
    <row r="631" ht="15" customHeight="1">
      <c r="A631" t="inlineStr">
        <is>
          <t>A 48825-2023</t>
        </is>
      </c>
      <c r="B631" s="1" t="n">
        <v>45203</v>
      </c>
      <c r="C631" s="1" t="n">
        <v>45475</v>
      </c>
      <c r="D631" t="inlineStr">
        <is>
          <t>DALARNAS LÄN</t>
        </is>
      </c>
      <c r="E631" t="inlineStr">
        <is>
          <t>MORA</t>
        </is>
      </c>
      <c r="G631" t="n">
        <v>7.9</v>
      </c>
      <c r="H631" t="n">
        <v>0</v>
      </c>
      <c r="I631" t="n">
        <v>0</v>
      </c>
      <c r="J631" t="n">
        <v>0</v>
      </c>
      <c r="K631" t="n">
        <v>0</v>
      </c>
      <c r="L631" t="n">
        <v>0</v>
      </c>
      <c r="M631" t="n">
        <v>0</v>
      </c>
      <c r="N631" t="n">
        <v>0</v>
      </c>
      <c r="O631" t="n">
        <v>0</v>
      </c>
      <c r="P631" t="n">
        <v>0</v>
      </c>
      <c r="Q631" t="n">
        <v>0</v>
      </c>
      <c r="R631" s="2" t="inlineStr"/>
    </row>
    <row r="632" ht="15" customHeight="1">
      <c r="A632" t="inlineStr">
        <is>
          <t>A 48824-2023</t>
        </is>
      </c>
      <c r="B632" s="1" t="n">
        <v>45203</v>
      </c>
      <c r="C632" s="1" t="n">
        <v>45475</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47855-2023</t>
        </is>
      </c>
      <c r="B633" s="1" t="n">
        <v>45204</v>
      </c>
      <c r="C633" s="1" t="n">
        <v>45475</v>
      </c>
      <c r="D633" t="inlineStr">
        <is>
          <t>DALARNAS LÄN</t>
        </is>
      </c>
      <c r="E633" t="inlineStr">
        <is>
          <t>MORA</t>
        </is>
      </c>
      <c r="F633" t="inlineStr">
        <is>
          <t>Bergvik skog väst AB</t>
        </is>
      </c>
      <c r="G633" t="n">
        <v>2.5</v>
      </c>
      <c r="H633" t="n">
        <v>0</v>
      </c>
      <c r="I633" t="n">
        <v>0</v>
      </c>
      <c r="J633" t="n">
        <v>0</v>
      </c>
      <c r="K633" t="n">
        <v>0</v>
      </c>
      <c r="L633" t="n">
        <v>0</v>
      </c>
      <c r="M633" t="n">
        <v>0</v>
      </c>
      <c r="N633" t="n">
        <v>0</v>
      </c>
      <c r="O633" t="n">
        <v>0</v>
      </c>
      <c r="P633" t="n">
        <v>0</v>
      </c>
      <c r="Q633" t="n">
        <v>0</v>
      </c>
      <c r="R633" s="2" t="inlineStr"/>
    </row>
    <row r="634" ht="15" customHeight="1">
      <c r="A634" t="inlineStr">
        <is>
          <t>A 48027-2023</t>
        </is>
      </c>
      <c r="B634" s="1" t="n">
        <v>45204</v>
      </c>
      <c r="C634" s="1" t="n">
        <v>45475</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48113-2023</t>
        </is>
      </c>
      <c r="B635" s="1" t="n">
        <v>45205</v>
      </c>
      <c r="C635" s="1" t="n">
        <v>45475</v>
      </c>
      <c r="D635" t="inlineStr">
        <is>
          <t>DALARNAS LÄN</t>
        </is>
      </c>
      <c r="E635" t="inlineStr">
        <is>
          <t>MORA</t>
        </is>
      </c>
      <c r="F635" t="inlineStr">
        <is>
          <t>Bergvik skog öst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48313-2023</t>
        </is>
      </c>
      <c r="B636" s="1" t="n">
        <v>45205</v>
      </c>
      <c r="C636" s="1" t="n">
        <v>45475</v>
      </c>
      <c r="D636" t="inlineStr">
        <is>
          <t>DALARNAS LÄN</t>
        </is>
      </c>
      <c r="E636" t="inlineStr">
        <is>
          <t>MORA</t>
        </is>
      </c>
      <c r="G636" t="n">
        <v>3.7</v>
      </c>
      <c r="H636" t="n">
        <v>0</v>
      </c>
      <c r="I636" t="n">
        <v>0</v>
      </c>
      <c r="J636" t="n">
        <v>0</v>
      </c>
      <c r="K636" t="n">
        <v>0</v>
      </c>
      <c r="L636" t="n">
        <v>0</v>
      </c>
      <c r="M636" t="n">
        <v>0</v>
      </c>
      <c r="N636" t="n">
        <v>0</v>
      </c>
      <c r="O636" t="n">
        <v>0</v>
      </c>
      <c r="P636" t="n">
        <v>0</v>
      </c>
      <c r="Q636" t="n">
        <v>0</v>
      </c>
      <c r="R636" s="2" t="inlineStr"/>
    </row>
    <row r="637" ht="15" customHeight="1">
      <c r="A637" t="inlineStr">
        <is>
          <t>A 48339-2023</t>
        </is>
      </c>
      <c r="B637" s="1" t="n">
        <v>45205</v>
      </c>
      <c r="C637" s="1" t="n">
        <v>45475</v>
      </c>
      <c r="D637" t="inlineStr">
        <is>
          <t>DALARNAS LÄN</t>
        </is>
      </c>
      <c r="E637" t="inlineStr">
        <is>
          <t>MORA</t>
        </is>
      </c>
      <c r="G637" t="n">
        <v>2.3</v>
      </c>
      <c r="H637" t="n">
        <v>0</v>
      </c>
      <c r="I637" t="n">
        <v>0</v>
      </c>
      <c r="J637" t="n">
        <v>0</v>
      </c>
      <c r="K637" t="n">
        <v>0</v>
      </c>
      <c r="L637" t="n">
        <v>0</v>
      </c>
      <c r="M637" t="n">
        <v>0</v>
      </c>
      <c r="N637" t="n">
        <v>0</v>
      </c>
      <c r="O637" t="n">
        <v>0</v>
      </c>
      <c r="P637" t="n">
        <v>0</v>
      </c>
      <c r="Q637" t="n">
        <v>0</v>
      </c>
      <c r="R637" s="2" t="inlineStr"/>
    </row>
    <row r="638" ht="15" customHeight="1">
      <c r="A638" t="inlineStr">
        <is>
          <t>A 48342-2023</t>
        </is>
      </c>
      <c r="B638" s="1" t="n">
        <v>45205</v>
      </c>
      <c r="C638" s="1" t="n">
        <v>45475</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48924-2023</t>
        </is>
      </c>
      <c r="B639" s="1" t="n">
        <v>45209</v>
      </c>
      <c r="C639" s="1" t="n">
        <v>45475</v>
      </c>
      <c r="D639" t="inlineStr">
        <is>
          <t>DALARNAS LÄN</t>
        </is>
      </c>
      <c r="E639" t="inlineStr">
        <is>
          <t>MORA</t>
        </is>
      </c>
      <c r="G639" t="n">
        <v>10.8</v>
      </c>
      <c r="H639" t="n">
        <v>0</v>
      </c>
      <c r="I639" t="n">
        <v>0</v>
      </c>
      <c r="J639" t="n">
        <v>0</v>
      </c>
      <c r="K639" t="n">
        <v>0</v>
      </c>
      <c r="L639" t="n">
        <v>0</v>
      </c>
      <c r="M639" t="n">
        <v>0</v>
      </c>
      <c r="N639" t="n">
        <v>0</v>
      </c>
      <c r="O639" t="n">
        <v>0</v>
      </c>
      <c r="P639" t="n">
        <v>0</v>
      </c>
      <c r="Q639" t="n">
        <v>0</v>
      </c>
      <c r="R639" s="2" t="inlineStr"/>
    </row>
    <row r="640" ht="15" customHeight="1">
      <c r="A640" t="inlineStr">
        <is>
          <t>A 49158-2023</t>
        </is>
      </c>
      <c r="B640" s="1" t="n">
        <v>45210</v>
      </c>
      <c r="C640" s="1" t="n">
        <v>45475</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49159-2023</t>
        </is>
      </c>
      <c r="B641" s="1" t="n">
        <v>45210</v>
      </c>
      <c r="C641" s="1" t="n">
        <v>45475</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50685-2023</t>
        </is>
      </c>
      <c r="B642" s="1" t="n">
        <v>45210</v>
      </c>
      <c r="C642" s="1" t="n">
        <v>45475</v>
      </c>
      <c r="D642" t="inlineStr">
        <is>
          <t>DALARNAS LÄN</t>
        </is>
      </c>
      <c r="E642" t="inlineStr">
        <is>
          <t>MORA</t>
        </is>
      </c>
      <c r="G642" t="n">
        <v>1.7</v>
      </c>
      <c r="H642" t="n">
        <v>0</v>
      </c>
      <c r="I642" t="n">
        <v>0</v>
      </c>
      <c r="J642" t="n">
        <v>0</v>
      </c>
      <c r="K642" t="n">
        <v>0</v>
      </c>
      <c r="L642" t="n">
        <v>0</v>
      </c>
      <c r="M642" t="n">
        <v>0</v>
      </c>
      <c r="N642" t="n">
        <v>0</v>
      </c>
      <c r="O642" t="n">
        <v>0</v>
      </c>
      <c r="P642" t="n">
        <v>0</v>
      </c>
      <c r="Q642" t="n">
        <v>0</v>
      </c>
      <c r="R642" s="2" t="inlineStr"/>
    </row>
    <row r="643" ht="15" customHeight="1">
      <c r="A643" t="inlineStr">
        <is>
          <t>A 49778-2023</t>
        </is>
      </c>
      <c r="B643" s="1" t="n">
        <v>45212</v>
      </c>
      <c r="C643" s="1" t="n">
        <v>45475</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49991-2023</t>
        </is>
      </c>
      <c r="B644" s="1" t="n">
        <v>45215</v>
      </c>
      <c r="C644" s="1" t="n">
        <v>45475</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49995-2023</t>
        </is>
      </c>
      <c r="B645" s="1" t="n">
        <v>45215</v>
      </c>
      <c r="C645" s="1" t="n">
        <v>45475</v>
      </c>
      <c r="D645" t="inlineStr">
        <is>
          <t>DALARNAS LÄN</t>
        </is>
      </c>
      <c r="E645" t="inlineStr">
        <is>
          <t>MORA</t>
        </is>
      </c>
      <c r="G645" t="n">
        <v>4</v>
      </c>
      <c r="H645" t="n">
        <v>0</v>
      </c>
      <c r="I645" t="n">
        <v>0</v>
      </c>
      <c r="J645" t="n">
        <v>0</v>
      </c>
      <c r="K645" t="n">
        <v>0</v>
      </c>
      <c r="L645" t="n">
        <v>0</v>
      </c>
      <c r="M645" t="n">
        <v>0</v>
      </c>
      <c r="N645" t="n">
        <v>0</v>
      </c>
      <c r="O645" t="n">
        <v>0</v>
      </c>
      <c r="P645" t="n">
        <v>0</v>
      </c>
      <c r="Q645" t="n">
        <v>0</v>
      </c>
      <c r="R645" s="2" t="inlineStr"/>
    </row>
    <row r="646" ht="15" customHeight="1">
      <c r="A646" t="inlineStr">
        <is>
          <t>A 51729-2023</t>
        </is>
      </c>
      <c r="B646" s="1" t="n">
        <v>45215</v>
      </c>
      <c r="C646" s="1" t="n">
        <v>45475</v>
      </c>
      <c r="D646" t="inlineStr">
        <is>
          <t>DALARNAS LÄN</t>
        </is>
      </c>
      <c r="E646" t="inlineStr">
        <is>
          <t>MORA</t>
        </is>
      </c>
      <c r="G646" t="n">
        <v>3.2</v>
      </c>
      <c r="H646" t="n">
        <v>0</v>
      </c>
      <c r="I646" t="n">
        <v>0</v>
      </c>
      <c r="J646" t="n">
        <v>0</v>
      </c>
      <c r="K646" t="n">
        <v>0</v>
      </c>
      <c r="L646" t="n">
        <v>0</v>
      </c>
      <c r="M646" t="n">
        <v>0</v>
      </c>
      <c r="N646" t="n">
        <v>0</v>
      </c>
      <c r="O646" t="n">
        <v>0</v>
      </c>
      <c r="P646" t="n">
        <v>0</v>
      </c>
      <c r="Q646" t="n">
        <v>0</v>
      </c>
      <c r="R646" s="2" t="inlineStr"/>
    </row>
    <row r="647" ht="15" customHeight="1">
      <c r="A647" t="inlineStr">
        <is>
          <t>A 50721-2023</t>
        </is>
      </c>
      <c r="B647" s="1" t="n">
        <v>45217</v>
      </c>
      <c r="C647" s="1" t="n">
        <v>45475</v>
      </c>
      <c r="D647" t="inlineStr">
        <is>
          <t>DALARNAS LÄN</t>
        </is>
      </c>
      <c r="E647" t="inlineStr">
        <is>
          <t>MORA</t>
        </is>
      </c>
      <c r="G647" t="n">
        <v>3.9</v>
      </c>
      <c r="H647" t="n">
        <v>0</v>
      </c>
      <c r="I647" t="n">
        <v>0</v>
      </c>
      <c r="J647" t="n">
        <v>0</v>
      </c>
      <c r="K647" t="n">
        <v>0</v>
      </c>
      <c r="L647" t="n">
        <v>0</v>
      </c>
      <c r="M647" t="n">
        <v>0</v>
      </c>
      <c r="N647" t="n">
        <v>0</v>
      </c>
      <c r="O647" t="n">
        <v>0</v>
      </c>
      <c r="P647" t="n">
        <v>0</v>
      </c>
      <c r="Q647" t="n">
        <v>0</v>
      </c>
      <c r="R647" s="2" t="inlineStr"/>
    </row>
    <row r="648" ht="15" customHeight="1">
      <c r="A648" t="inlineStr">
        <is>
          <t>A 50759-2023</t>
        </is>
      </c>
      <c r="B648" s="1" t="n">
        <v>45217</v>
      </c>
      <c r="C648" s="1" t="n">
        <v>45475</v>
      </c>
      <c r="D648" t="inlineStr">
        <is>
          <t>DALARNAS LÄN</t>
        </is>
      </c>
      <c r="E648" t="inlineStr">
        <is>
          <t>MORA</t>
        </is>
      </c>
      <c r="G648" t="n">
        <v>5.3</v>
      </c>
      <c r="H648" t="n">
        <v>0</v>
      </c>
      <c r="I648" t="n">
        <v>0</v>
      </c>
      <c r="J648" t="n">
        <v>0</v>
      </c>
      <c r="K648" t="n">
        <v>0</v>
      </c>
      <c r="L648" t="n">
        <v>0</v>
      </c>
      <c r="M648" t="n">
        <v>0</v>
      </c>
      <c r="N648" t="n">
        <v>0</v>
      </c>
      <c r="O648" t="n">
        <v>0</v>
      </c>
      <c r="P648" t="n">
        <v>0</v>
      </c>
      <c r="Q648" t="n">
        <v>0</v>
      </c>
      <c r="R648" s="2" t="inlineStr"/>
    </row>
    <row r="649" ht="15" customHeight="1">
      <c r="A649" t="inlineStr">
        <is>
          <t>A 51150-2023</t>
        </is>
      </c>
      <c r="B649" s="1" t="n">
        <v>45219</v>
      </c>
      <c r="C649" s="1" t="n">
        <v>45475</v>
      </c>
      <c r="D649" t="inlineStr">
        <is>
          <t>DALARNAS LÄN</t>
        </is>
      </c>
      <c r="E649" t="inlineStr">
        <is>
          <t>MORA</t>
        </is>
      </c>
      <c r="G649" t="n">
        <v>2.3</v>
      </c>
      <c r="H649" t="n">
        <v>0</v>
      </c>
      <c r="I649" t="n">
        <v>0</v>
      </c>
      <c r="J649" t="n">
        <v>0</v>
      </c>
      <c r="K649" t="n">
        <v>0</v>
      </c>
      <c r="L649" t="n">
        <v>0</v>
      </c>
      <c r="M649" t="n">
        <v>0</v>
      </c>
      <c r="N649" t="n">
        <v>0</v>
      </c>
      <c r="O649" t="n">
        <v>0</v>
      </c>
      <c r="P649" t="n">
        <v>0</v>
      </c>
      <c r="Q649" t="n">
        <v>0</v>
      </c>
      <c r="R649" s="2" t="inlineStr"/>
    </row>
    <row r="650" ht="15" customHeight="1">
      <c r="A650" t="inlineStr">
        <is>
          <t>A 51348-2023</t>
        </is>
      </c>
      <c r="B650" s="1" t="n">
        <v>45219</v>
      </c>
      <c r="C650" s="1" t="n">
        <v>45475</v>
      </c>
      <c r="D650" t="inlineStr">
        <is>
          <t>DALARNAS LÄN</t>
        </is>
      </c>
      <c r="E650" t="inlineStr">
        <is>
          <t>MORA</t>
        </is>
      </c>
      <c r="F650" t="inlineStr">
        <is>
          <t>Bergvik skog öst AB</t>
        </is>
      </c>
      <c r="G650" t="n">
        <v>3.2</v>
      </c>
      <c r="H650" t="n">
        <v>0</v>
      </c>
      <c r="I650" t="n">
        <v>0</v>
      </c>
      <c r="J650" t="n">
        <v>0</v>
      </c>
      <c r="K650" t="n">
        <v>0</v>
      </c>
      <c r="L650" t="n">
        <v>0</v>
      </c>
      <c r="M650" t="n">
        <v>0</v>
      </c>
      <c r="N650" t="n">
        <v>0</v>
      </c>
      <c r="O650" t="n">
        <v>0</v>
      </c>
      <c r="P650" t="n">
        <v>0</v>
      </c>
      <c r="Q650" t="n">
        <v>0</v>
      </c>
      <c r="R650" s="2" t="inlineStr"/>
    </row>
    <row r="651" ht="15" customHeight="1">
      <c r="A651" t="inlineStr">
        <is>
          <t>A 51253-2023</t>
        </is>
      </c>
      <c r="B651" s="1" t="n">
        <v>45219</v>
      </c>
      <c r="C651" s="1" t="n">
        <v>45475</v>
      </c>
      <c r="D651" t="inlineStr">
        <is>
          <t>DALARNAS LÄN</t>
        </is>
      </c>
      <c r="E651" t="inlineStr">
        <is>
          <t>MORA</t>
        </is>
      </c>
      <c r="G651" t="n">
        <v>5</v>
      </c>
      <c r="H651" t="n">
        <v>0</v>
      </c>
      <c r="I651" t="n">
        <v>0</v>
      </c>
      <c r="J651" t="n">
        <v>0</v>
      </c>
      <c r="K651" t="n">
        <v>0</v>
      </c>
      <c r="L651" t="n">
        <v>0</v>
      </c>
      <c r="M651" t="n">
        <v>0</v>
      </c>
      <c r="N651" t="n">
        <v>0</v>
      </c>
      <c r="O651" t="n">
        <v>0</v>
      </c>
      <c r="P651" t="n">
        <v>0</v>
      </c>
      <c r="Q651" t="n">
        <v>0</v>
      </c>
      <c r="R651" s="2" t="inlineStr"/>
    </row>
    <row r="652" ht="15" customHeight="1">
      <c r="A652" t="inlineStr">
        <is>
          <t>A 51146-2023</t>
        </is>
      </c>
      <c r="B652" s="1" t="n">
        <v>45219</v>
      </c>
      <c r="C652" s="1" t="n">
        <v>45475</v>
      </c>
      <c r="D652" t="inlineStr">
        <is>
          <t>DALARNAS LÄN</t>
        </is>
      </c>
      <c r="E652" t="inlineStr">
        <is>
          <t>MORA</t>
        </is>
      </c>
      <c r="G652" t="n">
        <v>6.9</v>
      </c>
      <c r="H652" t="n">
        <v>0</v>
      </c>
      <c r="I652" t="n">
        <v>0</v>
      </c>
      <c r="J652" t="n">
        <v>0</v>
      </c>
      <c r="K652" t="n">
        <v>0</v>
      </c>
      <c r="L652" t="n">
        <v>0</v>
      </c>
      <c r="M652" t="n">
        <v>0</v>
      </c>
      <c r="N652" t="n">
        <v>0</v>
      </c>
      <c r="O652" t="n">
        <v>0</v>
      </c>
      <c r="P652" t="n">
        <v>0</v>
      </c>
      <c r="Q652" t="n">
        <v>0</v>
      </c>
      <c r="R652" s="2" t="inlineStr"/>
    </row>
    <row r="653" ht="15" customHeight="1">
      <c r="A653" t="inlineStr">
        <is>
          <t>A 51650-2023</t>
        </is>
      </c>
      <c r="B653" s="1" t="n">
        <v>45222</v>
      </c>
      <c r="C653" s="1" t="n">
        <v>45475</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51739-2023</t>
        </is>
      </c>
      <c r="B654" s="1" t="n">
        <v>45222</v>
      </c>
      <c r="C654" s="1" t="n">
        <v>45475</v>
      </c>
      <c r="D654" t="inlineStr">
        <is>
          <t>DALARNAS LÄN</t>
        </is>
      </c>
      <c r="E654" t="inlineStr">
        <is>
          <t>MORA</t>
        </is>
      </c>
      <c r="F654" t="inlineStr">
        <is>
          <t>Allmännings- och besparingsskogar</t>
        </is>
      </c>
      <c r="G654" t="n">
        <v>0.6</v>
      </c>
      <c r="H654" t="n">
        <v>0</v>
      </c>
      <c r="I654" t="n">
        <v>0</v>
      </c>
      <c r="J654" t="n">
        <v>0</v>
      </c>
      <c r="K654" t="n">
        <v>0</v>
      </c>
      <c r="L654" t="n">
        <v>0</v>
      </c>
      <c r="M654" t="n">
        <v>0</v>
      </c>
      <c r="N654" t="n">
        <v>0</v>
      </c>
      <c r="O654" t="n">
        <v>0</v>
      </c>
      <c r="P654" t="n">
        <v>0</v>
      </c>
      <c r="Q654" t="n">
        <v>0</v>
      </c>
      <c r="R654" s="2" t="inlineStr"/>
    </row>
    <row r="655" ht="15" customHeight="1">
      <c r="A655" t="inlineStr">
        <is>
          <t>A 51570-2023</t>
        </is>
      </c>
      <c r="B655" s="1" t="n">
        <v>45222</v>
      </c>
      <c r="C655" s="1" t="n">
        <v>45475</v>
      </c>
      <c r="D655" t="inlineStr">
        <is>
          <t>DALARNAS LÄN</t>
        </is>
      </c>
      <c r="E655" t="inlineStr">
        <is>
          <t>MORA</t>
        </is>
      </c>
      <c r="G655" t="n">
        <v>10.1</v>
      </c>
      <c r="H655" t="n">
        <v>0</v>
      </c>
      <c r="I655" t="n">
        <v>0</v>
      </c>
      <c r="J655" t="n">
        <v>0</v>
      </c>
      <c r="K655" t="n">
        <v>0</v>
      </c>
      <c r="L655" t="n">
        <v>0</v>
      </c>
      <c r="M655" t="n">
        <v>0</v>
      </c>
      <c r="N655" t="n">
        <v>0</v>
      </c>
      <c r="O655" t="n">
        <v>0</v>
      </c>
      <c r="P655" t="n">
        <v>0</v>
      </c>
      <c r="Q655" t="n">
        <v>0</v>
      </c>
      <c r="R655" s="2" t="inlineStr"/>
    </row>
    <row r="656" ht="15" customHeight="1">
      <c r="A656" t="inlineStr">
        <is>
          <t>A 51628-2023</t>
        </is>
      </c>
      <c r="B656" s="1" t="n">
        <v>45222</v>
      </c>
      <c r="C656" s="1" t="n">
        <v>45475</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51780-2023</t>
        </is>
      </c>
      <c r="B657" s="1" t="n">
        <v>45222</v>
      </c>
      <c r="C657" s="1" t="n">
        <v>45475</v>
      </c>
      <c r="D657" t="inlineStr">
        <is>
          <t>DALARNAS LÄN</t>
        </is>
      </c>
      <c r="E657" t="inlineStr">
        <is>
          <t>MORA</t>
        </is>
      </c>
      <c r="G657" t="n">
        <v>9.9</v>
      </c>
      <c r="H657" t="n">
        <v>0</v>
      </c>
      <c r="I657" t="n">
        <v>0</v>
      </c>
      <c r="J657" t="n">
        <v>0</v>
      </c>
      <c r="K657" t="n">
        <v>0</v>
      </c>
      <c r="L657" t="n">
        <v>0</v>
      </c>
      <c r="M657" t="n">
        <v>0</v>
      </c>
      <c r="N657" t="n">
        <v>0</v>
      </c>
      <c r="O657" t="n">
        <v>0</v>
      </c>
      <c r="P657" t="n">
        <v>0</v>
      </c>
      <c r="Q657" t="n">
        <v>0</v>
      </c>
      <c r="R657" s="2" t="inlineStr"/>
    </row>
    <row r="658" ht="15" customHeight="1">
      <c r="A658" t="inlineStr">
        <is>
          <t>A 52006-2023</t>
        </is>
      </c>
      <c r="B658" s="1" t="n">
        <v>45223</v>
      </c>
      <c r="C658" s="1" t="n">
        <v>45475</v>
      </c>
      <c r="D658" t="inlineStr">
        <is>
          <t>DALARNAS LÄN</t>
        </is>
      </c>
      <c r="E658" t="inlineStr">
        <is>
          <t>MORA</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52584-2023</t>
        </is>
      </c>
      <c r="B659" s="1" t="n">
        <v>45225</v>
      </c>
      <c r="C659" s="1" t="n">
        <v>45475</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52766-2023</t>
        </is>
      </c>
      <c r="B660" s="1" t="n">
        <v>45226</v>
      </c>
      <c r="C660" s="1" t="n">
        <v>45475</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52919-2023</t>
        </is>
      </c>
      <c r="B661" s="1" t="n">
        <v>45226</v>
      </c>
      <c r="C661" s="1" t="n">
        <v>45475</v>
      </c>
      <c r="D661" t="inlineStr">
        <is>
          <t>DALARNAS LÄN</t>
        </is>
      </c>
      <c r="E661" t="inlineStr">
        <is>
          <t>MORA</t>
        </is>
      </c>
      <c r="G661" t="n">
        <v>1.7</v>
      </c>
      <c r="H661" t="n">
        <v>0</v>
      </c>
      <c r="I661" t="n">
        <v>0</v>
      </c>
      <c r="J661" t="n">
        <v>0</v>
      </c>
      <c r="K661" t="n">
        <v>0</v>
      </c>
      <c r="L661" t="n">
        <v>0</v>
      </c>
      <c r="M661" t="n">
        <v>0</v>
      </c>
      <c r="N661" t="n">
        <v>0</v>
      </c>
      <c r="O661" t="n">
        <v>0</v>
      </c>
      <c r="P661" t="n">
        <v>0</v>
      </c>
      <c r="Q661" t="n">
        <v>0</v>
      </c>
      <c r="R661" s="2" t="inlineStr"/>
    </row>
    <row r="662" ht="15" customHeight="1">
      <c r="A662" t="inlineStr">
        <is>
          <t>A 52908-2023</t>
        </is>
      </c>
      <c r="B662" s="1" t="n">
        <v>45226</v>
      </c>
      <c r="C662" s="1" t="n">
        <v>45475</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53026-2023</t>
        </is>
      </c>
      <c r="B663" s="1" t="n">
        <v>45226</v>
      </c>
      <c r="C663" s="1" t="n">
        <v>45475</v>
      </c>
      <c r="D663" t="inlineStr">
        <is>
          <t>DALARNAS LÄN</t>
        </is>
      </c>
      <c r="E663" t="inlineStr">
        <is>
          <t>MORA</t>
        </is>
      </c>
      <c r="F663" t="inlineStr">
        <is>
          <t>Bergvik skog väst AB</t>
        </is>
      </c>
      <c r="G663" t="n">
        <v>5.3</v>
      </c>
      <c r="H663" t="n">
        <v>0</v>
      </c>
      <c r="I663" t="n">
        <v>0</v>
      </c>
      <c r="J663" t="n">
        <v>0</v>
      </c>
      <c r="K663" t="n">
        <v>0</v>
      </c>
      <c r="L663" t="n">
        <v>0</v>
      </c>
      <c r="M663" t="n">
        <v>0</v>
      </c>
      <c r="N663" t="n">
        <v>0</v>
      </c>
      <c r="O663" t="n">
        <v>0</v>
      </c>
      <c r="P663" t="n">
        <v>0</v>
      </c>
      <c r="Q663" t="n">
        <v>0</v>
      </c>
      <c r="R663" s="2" t="inlineStr"/>
    </row>
    <row r="664" ht="15" customHeight="1">
      <c r="A664" t="inlineStr">
        <is>
          <t>A 52804-2023</t>
        </is>
      </c>
      <c r="B664" s="1" t="n">
        <v>45226</v>
      </c>
      <c r="C664" s="1" t="n">
        <v>45475</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54626-2023</t>
        </is>
      </c>
      <c r="B665" s="1" t="n">
        <v>45228</v>
      </c>
      <c r="C665" s="1" t="n">
        <v>45475</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54593-2023</t>
        </is>
      </c>
      <c r="B666" s="1" t="n">
        <v>45228</v>
      </c>
      <c r="C666" s="1" t="n">
        <v>45475</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54627-2023</t>
        </is>
      </c>
      <c r="B667" s="1" t="n">
        <v>45228</v>
      </c>
      <c r="C667" s="1" t="n">
        <v>45475</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54594-2023</t>
        </is>
      </c>
      <c r="B668" s="1" t="n">
        <v>45228</v>
      </c>
      <c r="C668" s="1" t="n">
        <v>45475</v>
      </c>
      <c r="D668" t="inlineStr">
        <is>
          <t>DALARNAS LÄN</t>
        </is>
      </c>
      <c r="E668" t="inlineStr">
        <is>
          <t>MORA</t>
        </is>
      </c>
      <c r="G668" t="n">
        <v>2.3</v>
      </c>
      <c r="H668" t="n">
        <v>0</v>
      </c>
      <c r="I668" t="n">
        <v>0</v>
      </c>
      <c r="J668" t="n">
        <v>0</v>
      </c>
      <c r="K668" t="n">
        <v>0</v>
      </c>
      <c r="L668" t="n">
        <v>0</v>
      </c>
      <c r="M668" t="n">
        <v>0</v>
      </c>
      <c r="N668" t="n">
        <v>0</v>
      </c>
      <c r="O668" t="n">
        <v>0</v>
      </c>
      <c r="P668" t="n">
        <v>0</v>
      </c>
      <c r="Q668" t="n">
        <v>0</v>
      </c>
      <c r="R668" s="2" t="inlineStr"/>
    </row>
    <row r="669" ht="15" customHeight="1">
      <c r="A669" t="inlineStr">
        <is>
          <t>A 53344-2023</t>
        </is>
      </c>
      <c r="B669" s="1" t="n">
        <v>45229</v>
      </c>
      <c r="C669" s="1" t="n">
        <v>45475</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53349-2023</t>
        </is>
      </c>
      <c r="B670" s="1" t="n">
        <v>45229</v>
      </c>
      <c r="C670" s="1" t="n">
        <v>45475</v>
      </c>
      <c r="D670" t="inlineStr">
        <is>
          <t>DALARNAS LÄN</t>
        </is>
      </c>
      <c r="E670" t="inlineStr">
        <is>
          <t>MORA</t>
        </is>
      </c>
      <c r="G670" t="n">
        <v>3</v>
      </c>
      <c r="H670" t="n">
        <v>0</v>
      </c>
      <c r="I670" t="n">
        <v>0</v>
      </c>
      <c r="J670" t="n">
        <v>0</v>
      </c>
      <c r="K670" t="n">
        <v>0</v>
      </c>
      <c r="L670" t="n">
        <v>0</v>
      </c>
      <c r="M670" t="n">
        <v>0</v>
      </c>
      <c r="N670" t="n">
        <v>0</v>
      </c>
      <c r="O670" t="n">
        <v>0</v>
      </c>
      <c r="P670" t="n">
        <v>0</v>
      </c>
      <c r="Q670" t="n">
        <v>0</v>
      </c>
      <c r="R670" s="2" t="inlineStr"/>
    </row>
    <row r="671" ht="15" customHeight="1">
      <c r="A671" t="inlineStr">
        <is>
          <t>A 53297-2023</t>
        </is>
      </c>
      <c r="B671" s="1" t="n">
        <v>45229</v>
      </c>
      <c r="C671" s="1" t="n">
        <v>45475</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53341-2023</t>
        </is>
      </c>
      <c r="B672" s="1" t="n">
        <v>45229</v>
      </c>
      <c r="C672" s="1" t="n">
        <v>45475</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54003-2023</t>
        </is>
      </c>
      <c r="B673" s="1" t="n">
        <v>45231</v>
      </c>
      <c r="C673" s="1" t="n">
        <v>45475</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55225-2023</t>
        </is>
      </c>
      <c r="B674" s="1" t="n">
        <v>45231</v>
      </c>
      <c r="C674" s="1" t="n">
        <v>45475</v>
      </c>
      <c r="D674" t="inlineStr">
        <is>
          <t>DALARNAS LÄN</t>
        </is>
      </c>
      <c r="E674" t="inlineStr">
        <is>
          <t>MORA</t>
        </is>
      </c>
      <c r="G674" t="n">
        <v>2.1</v>
      </c>
      <c r="H674" t="n">
        <v>0</v>
      </c>
      <c r="I674" t="n">
        <v>0</v>
      </c>
      <c r="J674" t="n">
        <v>0</v>
      </c>
      <c r="K674" t="n">
        <v>0</v>
      </c>
      <c r="L674" t="n">
        <v>0</v>
      </c>
      <c r="M674" t="n">
        <v>0</v>
      </c>
      <c r="N674" t="n">
        <v>0</v>
      </c>
      <c r="O674" t="n">
        <v>0</v>
      </c>
      <c r="P674" t="n">
        <v>0</v>
      </c>
      <c r="Q674" t="n">
        <v>0</v>
      </c>
      <c r="R674" s="2" t="inlineStr"/>
    </row>
    <row r="675" ht="15" customHeight="1">
      <c r="A675" t="inlineStr">
        <is>
          <t>A 53994-2023</t>
        </is>
      </c>
      <c r="B675" s="1" t="n">
        <v>45231</v>
      </c>
      <c r="C675" s="1" t="n">
        <v>45475</v>
      </c>
      <c r="D675" t="inlineStr">
        <is>
          <t>DALARNAS LÄN</t>
        </is>
      </c>
      <c r="E675" t="inlineStr">
        <is>
          <t>MORA</t>
        </is>
      </c>
      <c r="F675" t="inlineStr">
        <is>
          <t>Bergvik skog öst AB</t>
        </is>
      </c>
      <c r="G675" t="n">
        <v>3.5</v>
      </c>
      <c r="H675" t="n">
        <v>0</v>
      </c>
      <c r="I675" t="n">
        <v>0</v>
      </c>
      <c r="J675" t="n">
        <v>0</v>
      </c>
      <c r="K675" t="n">
        <v>0</v>
      </c>
      <c r="L675" t="n">
        <v>0</v>
      </c>
      <c r="M675" t="n">
        <v>0</v>
      </c>
      <c r="N675" t="n">
        <v>0</v>
      </c>
      <c r="O675" t="n">
        <v>0</v>
      </c>
      <c r="P675" t="n">
        <v>0</v>
      </c>
      <c r="Q675" t="n">
        <v>0</v>
      </c>
      <c r="R675" s="2" t="inlineStr"/>
    </row>
    <row r="676" ht="15" customHeight="1">
      <c r="A676" t="inlineStr">
        <is>
          <t>A 54097-2023</t>
        </is>
      </c>
      <c r="B676" s="1" t="n">
        <v>45232</v>
      </c>
      <c r="C676" s="1" t="n">
        <v>45475</v>
      </c>
      <c r="D676" t="inlineStr">
        <is>
          <t>DALARNAS LÄN</t>
        </is>
      </c>
      <c r="E676" t="inlineStr">
        <is>
          <t>MORA</t>
        </is>
      </c>
      <c r="G676" t="n">
        <v>5.6</v>
      </c>
      <c r="H676" t="n">
        <v>0</v>
      </c>
      <c r="I676" t="n">
        <v>0</v>
      </c>
      <c r="J676" t="n">
        <v>0</v>
      </c>
      <c r="K676" t="n">
        <v>0</v>
      </c>
      <c r="L676" t="n">
        <v>0</v>
      </c>
      <c r="M676" t="n">
        <v>0</v>
      </c>
      <c r="N676" t="n">
        <v>0</v>
      </c>
      <c r="O676" t="n">
        <v>0</v>
      </c>
      <c r="P676" t="n">
        <v>0</v>
      </c>
      <c r="Q676" t="n">
        <v>0</v>
      </c>
      <c r="R676" s="2" t="inlineStr"/>
    </row>
    <row r="677" ht="15" customHeight="1">
      <c r="A677" t="inlineStr">
        <is>
          <t>A 54121-2023</t>
        </is>
      </c>
      <c r="B677" s="1" t="n">
        <v>45232</v>
      </c>
      <c r="C677" s="1" t="n">
        <v>45475</v>
      </c>
      <c r="D677" t="inlineStr">
        <is>
          <t>DALARNAS LÄN</t>
        </is>
      </c>
      <c r="E677" t="inlineStr">
        <is>
          <t>MORA</t>
        </is>
      </c>
      <c r="G677" t="n">
        <v>7</v>
      </c>
      <c r="H677" t="n">
        <v>0</v>
      </c>
      <c r="I677" t="n">
        <v>0</v>
      </c>
      <c r="J677" t="n">
        <v>0</v>
      </c>
      <c r="K677" t="n">
        <v>0</v>
      </c>
      <c r="L677" t="n">
        <v>0</v>
      </c>
      <c r="M677" t="n">
        <v>0</v>
      </c>
      <c r="N677" t="n">
        <v>0</v>
      </c>
      <c r="O677" t="n">
        <v>0</v>
      </c>
      <c r="P677" t="n">
        <v>0</v>
      </c>
      <c r="Q677" t="n">
        <v>0</v>
      </c>
      <c r="R677" s="2" t="inlineStr"/>
    </row>
    <row r="678" ht="15" customHeight="1">
      <c r="A678" t="inlineStr">
        <is>
          <t>A 54129-2023</t>
        </is>
      </c>
      <c r="B678" s="1" t="n">
        <v>45232</v>
      </c>
      <c r="C678" s="1" t="n">
        <v>45475</v>
      </c>
      <c r="D678" t="inlineStr">
        <is>
          <t>DALARNAS LÄN</t>
        </is>
      </c>
      <c r="E678" t="inlineStr">
        <is>
          <t>MORA</t>
        </is>
      </c>
      <c r="G678" t="n">
        <v>3.4</v>
      </c>
      <c r="H678" t="n">
        <v>0</v>
      </c>
      <c r="I678" t="n">
        <v>0</v>
      </c>
      <c r="J678" t="n">
        <v>0</v>
      </c>
      <c r="K678" t="n">
        <v>0</v>
      </c>
      <c r="L678" t="n">
        <v>0</v>
      </c>
      <c r="M678" t="n">
        <v>0</v>
      </c>
      <c r="N678" t="n">
        <v>0</v>
      </c>
      <c r="O678" t="n">
        <v>0</v>
      </c>
      <c r="P678" t="n">
        <v>0</v>
      </c>
      <c r="Q678" t="n">
        <v>0</v>
      </c>
      <c r="R678" s="2" t="inlineStr"/>
    </row>
    <row r="679" ht="15" customHeight="1">
      <c r="A679" t="inlineStr">
        <is>
          <t>A 54193-2023</t>
        </is>
      </c>
      <c r="B679" s="1" t="n">
        <v>45232</v>
      </c>
      <c r="C679" s="1" t="n">
        <v>45475</v>
      </c>
      <c r="D679" t="inlineStr">
        <is>
          <t>DALARNAS LÄN</t>
        </is>
      </c>
      <c r="E679" t="inlineStr">
        <is>
          <t>MORA</t>
        </is>
      </c>
      <c r="G679" t="n">
        <v>5.7</v>
      </c>
      <c r="H679" t="n">
        <v>0</v>
      </c>
      <c r="I679" t="n">
        <v>0</v>
      </c>
      <c r="J679" t="n">
        <v>0</v>
      </c>
      <c r="K679" t="n">
        <v>0</v>
      </c>
      <c r="L679" t="n">
        <v>0</v>
      </c>
      <c r="M679" t="n">
        <v>0</v>
      </c>
      <c r="N679" t="n">
        <v>0</v>
      </c>
      <c r="O679" t="n">
        <v>0</v>
      </c>
      <c r="P679" t="n">
        <v>0</v>
      </c>
      <c r="Q679" t="n">
        <v>0</v>
      </c>
      <c r="R679" s="2" t="inlineStr"/>
    </row>
    <row r="680" ht="15" customHeight="1">
      <c r="A680" t="inlineStr">
        <is>
          <t>A 54194-2023</t>
        </is>
      </c>
      <c r="B680" s="1" t="n">
        <v>45232</v>
      </c>
      <c r="C680" s="1" t="n">
        <v>45475</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54192-2023</t>
        </is>
      </c>
      <c r="B681" s="1" t="n">
        <v>45232</v>
      </c>
      <c r="C681" s="1" t="n">
        <v>45475</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54253-2023</t>
        </is>
      </c>
      <c r="B682" s="1" t="n">
        <v>45232</v>
      </c>
      <c r="C682" s="1" t="n">
        <v>45475</v>
      </c>
      <c r="D682" t="inlineStr">
        <is>
          <t>DALARNAS LÄN</t>
        </is>
      </c>
      <c r="E682" t="inlineStr">
        <is>
          <t>MORA</t>
        </is>
      </c>
      <c r="G682" t="n">
        <v>4.5</v>
      </c>
      <c r="H682" t="n">
        <v>0</v>
      </c>
      <c r="I682" t="n">
        <v>0</v>
      </c>
      <c r="J682" t="n">
        <v>0</v>
      </c>
      <c r="K682" t="n">
        <v>0</v>
      </c>
      <c r="L682" t="n">
        <v>0</v>
      </c>
      <c r="M682" t="n">
        <v>0</v>
      </c>
      <c r="N682" t="n">
        <v>0</v>
      </c>
      <c r="O682" t="n">
        <v>0</v>
      </c>
      <c r="P682" t="n">
        <v>0</v>
      </c>
      <c r="Q682" t="n">
        <v>0</v>
      </c>
      <c r="R682" s="2" t="inlineStr"/>
    </row>
    <row r="683" ht="15" customHeight="1">
      <c r="A683" t="inlineStr">
        <is>
          <t>A 54257-2023</t>
        </is>
      </c>
      <c r="B683" s="1" t="n">
        <v>45232</v>
      </c>
      <c r="C683" s="1" t="n">
        <v>45475</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54827-2023</t>
        </is>
      </c>
      <c r="B684" s="1" t="n">
        <v>45236</v>
      </c>
      <c r="C684" s="1" t="n">
        <v>45475</v>
      </c>
      <c r="D684" t="inlineStr">
        <is>
          <t>DALARNAS LÄN</t>
        </is>
      </c>
      <c r="E684" t="inlineStr">
        <is>
          <t>MORA</t>
        </is>
      </c>
      <c r="G684" t="n">
        <v>18.7</v>
      </c>
      <c r="H684" t="n">
        <v>0</v>
      </c>
      <c r="I684" t="n">
        <v>0</v>
      </c>
      <c r="J684" t="n">
        <v>0</v>
      </c>
      <c r="K684" t="n">
        <v>0</v>
      </c>
      <c r="L684" t="n">
        <v>0</v>
      </c>
      <c r="M684" t="n">
        <v>0</v>
      </c>
      <c r="N684" t="n">
        <v>0</v>
      </c>
      <c r="O684" t="n">
        <v>0</v>
      </c>
      <c r="P684" t="n">
        <v>0</v>
      </c>
      <c r="Q684" t="n">
        <v>0</v>
      </c>
      <c r="R684" s="2" t="inlineStr"/>
    </row>
    <row r="685" ht="15" customHeight="1">
      <c r="A685" t="inlineStr">
        <is>
          <t>A 54923-2023</t>
        </is>
      </c>
      <c r="B685" s="1" t="n">
        <v>45236</v>
      </c>
      <c r="C685" s="1" t="n">
        <v>45475</v>
      </c>
      <c r="D685" t="inlineStr">
        <is>
          <t>DALARNAS LÄN</t>
        </is>
      </c>
      <c r="E685" t="inlineStr">
        <is>
          <t>MORA</t>
        </is>
      </c>
      <c r="G685" t="n">
        <v>7.3</v>
      </c>
      <c r="H685" t="n">
        <v>0</v>
      </c>
      <c r="I685" t="n">
        <v>0</v>
      </c>
      <c r="J685" t="n">
        <v>0</v>
      </c>
      <c r="K685" t="n">
        <v>0</v>
      </c>
      <c r="L685" t="n">
        <v>0</v>
      </c>
      <c r="M685" t="n">
        <v>0</v>
      </c>
      <c r="N685" t="n">
        <v>0</v>
      </c>
      <c r="O685" t="n">
        <v>0</v>
      </c>
      <c r="P685" t="n">
        <v>0</v>
      </c>
      <c r="Q685" t="n">
        <v>0</v>
      </c>
      <c r="R685" s="2" t="inlineStr"/>
    </row>
    <row r="686" ht="15" customHeight="1">
      <c r="A686" t="inlineStr">
        <is>
          <t>A 55222-2023</t>
        </is>
      </c>
      <c r="B686" s="1" t="n">
        <v>45237</v>
      </c>
      <c r="C686" s="1" t="n">
        <v>45475</v>
      </c>
      <c r="D686" t="inlineStr">
        <is>
          <t>DALARNAS LÄN</t>
        </is>
      </c>
      <c r="E686" t="inlineStr">
        <is>
          <t>MORA</t>
        </is>
      </c>
      <c r="F686" t="inlineStr">
        <is>
          <t>Allmännings- och besparingsskogar</t>
        </is>
      </c>
      <c r="G686" t="n">
        <v>19.8</v>
      </c>
      <c r="H686" t="n">
        <v>0</v>
      </c>
      <c r="I686" t="n">
        <v>0</v>
      </c>
      <c r="J686" t="n">
        <v>0</v>
      </c>
      <c r="K686" t="n">
        <v>0</v>
      </c>
      <c r="L686" t="n">
        <v>0</v>
      </c>
      <c r="M686" t="n">
        <v>0</v>
      </c>
      <c r="N686" t="n">
        <v>0</v>
      </c>
      <c r="O686" t="n">
        <v>0</v>
      </c>
      <c r="P686" t="n">
        <v>0</v>
      </c>
      <c r="Q686" t="n">
        <v>0</v>
      </c>
      <c r="R686" s="2" t="inlineStr"/>
    </row>
    <row r="687" ht="15" customHeight="1">
      <c r="A687" t="inlineStr">
        <is>
          <t>A 55398-2023</t>
        </is>
      </c>
      <c r="B687" s="1" t="n">
        <v>45238</v>
      </c>
      <c r="C687" s="1" t="n">
        <v>45475</v>
      </c>
      <c r="D687" t="inlineStr">
        <is>
          <t>DALARNAS LÄN</t>
        </is>
      </c>
      <c r="E687" t="inlineStr">
        <is>
          <t>MORA</t>
        </is>
      </c>
      <c r="G687" t="n">
        <v>7.2</v>
      </c>
      <c r="H687" t="n">
        <v>0</v>
      </c>
      <c r="I687" t="n">
        <v>0</v>
      </c>
      <c r="J687" t="n">
        <v>0</v>
      </c>
      <c r="K687" t="n">
        <v>0</v>
      </c>
      <c r="L687" t="n">
        <v>0</v>
      </c>
      <c r="M687" t="n">
        <v>0</v>
      </c>
      <c r="N687" t="n">
        <v>0</v>
      </c>
      <c r="O687" t="n">
        <v>0</v>
      </c>
      <c r="P687" t="n">
        <v>0</v>
      </c>
      <c r="Q687" t="n">
        <v>0</v>
      </c>
      <c r="R687" s="2" t="inlineStr"/>
    </row>
    <row r="688" ht="15" customHeight="1">
      <c r="A688" t="inlineStr">
        <is>
          <t>A 55691-2023</t>
        </is>
      </c>
      <c r="B688" s="1" t="n">
        <v>45239</v>
      </c>
      <c r="C688" s="1" t="n">
        <v>45475</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55848-2023</t>
        </is>
      </c>
      <c r="B689" s="1" t="n">
        <v>45239</v>
      </c>
      <c r="C689" s="1" t="n">
        <v>45475</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56010-2023</t>
        </is>
      </c>
      <c r="B690" s="1" t="n">
        <v>45240</v>
      </c>
      <c r="C690" s="1" t="n">
        <v>45475</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56037-2023</t>
        </is>
      </c>
      <c r="B691" s="1" t="n">
        <v>45240</v>
      </c>
      <c r="C691" s="1" t="n">
        <v>45475</v>
      </c>
      <c r="D691" t="inlineStr">
        <is>
          <t>DALARNAS LÄN</t>
        </is>
      </c>
      <c r="E691" t="inlineStr">
        <is>
          <t>MORA</t>
        </is>
      </c>
      <c r="G691" t="n">
        <v>1.4</v>
      </c>
      <c r="H691" t="n">
        <v>0</v>
      </c>
      <c r="I691" t="n">
        <v>0</v>
      </c>
      <c r="J691" t="n">
        <v>0</v>
      </c>
      <c r="K691" t="n">
        <v>0</v>
      </c>
      <c r="L691" t="n">
        <v>0</v>
      </c>
      <c r="M691" t="n">
        <v>0</v>
      </c>
      <c r="N691" t="n">
        <v>0</v>
      </c>
      <c r="O691" t="n">
        <v>0</v>
      </c>
      <c r="P691" t="n">
        <v>0</v>
      </c>
      <c r="Q691" t="n">
        <v>0</v>
      </c>
      <c r="R691" s="2" t="inlineStr"/>
    </row>
    <row r="692" ht="15" customHeight="1">
      <c r="A692" t="inlineStr">
        <is>
          <t>A 56020-2023</t>
        </is>
      </c>
      <c r="B692" s="1" t="n">
        <v>45240</v>
      </c>
      <c r="C692" s="1" t="n">
        <v>45475</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56012-2023</t>
        </is>
      </c>
      <c r="B693" s="1" t="n">
        <v>45240</v>
      </c>
      <c r="C693" s="1" t="n">
        <v>45475</v>
      </c>
      <c r="D693" t="inlineStr">
        <is>
          <t>DALARNAS LÄN</t>
        </is>
      </c>
      <c r="E693" t="inlineStr">
        <is>
          <t>MORA</t>
        </is>
      </c>
      <c r="G693" t="n">
        <v>0.3</v>
      </c>
      <c r="H693" t="n">
        <v>0</v>
      </c>
      <c r="I693" t="n">
        <v>0</v>
      </c>
      <c r="J693" t="n">
        <v>0</v>
      </c>
      <c r="K693" t="n">
        <v>0</v>
      </c>
      <c r="L693" t="n">
        <v>0</v>
      </c>
      <c r="M693" t="n">
        <v>0</v>
      </c>
      <c r="N693" t="n">
        <v>0</v>
      </c>
      <c r="O693" t="n">
        <v>0</v>
      </c>
      <c r="P693" t="n">
        <v>0</v>
      </c>
      <c r="Q693" t="n">
        <v>0</v>
      </c>
      <c r="R693" s="2" t="inlineStr"/>
    </row>
    <row r="694" ht="15" customHeight="1">
      <c r="A694" t="inlineStr">
        <is>
          <t>A 56239-2023</t>
        </is>
      </c>
      <c r="B694" s="1" t="n">
        <v>45240</v>
      </c>
      <c r="C694" s="1" t="n">
        <v>45475</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56032-2023</t>
        </is>
      </c>
      <c r="B695" s="1" t="n">
        <v>45240</v>
      </c>
      <c r="C695" s="1" t="n">
        <v>45475</v>
      </c>
      <c r="D695" t="inlineStr">
        <is>
          <t>DALARNAS LÄN</t>
        </is>
      </c>
      <c r="E695" t="inlineStr">
        <is>
          <t>MORA</t>
        </is>
      </c>
      <c r="G695" t="n">
        <v>2</v>
      </c>
      <c r="H695" t="n">
        <v>0</v>
      </c>
      <c r="I695" t="n">
        <v>0</v>
      </c>
      <c r="J695" t="n">
        <v>0</v>
      </c>
      <c r="K695" t="n">
        <v>0</v>
      </c>
      <c r="L695" t="n">
        <v>0</v>
      </c>
      <c r="M695" t="n">
        <v>0</v>
      </c>
      <c r="N695" t="n">
        <v>0</v>
      </c>
      <c r="O695" t="n">
        <v>0</v>
      </c>
      <c r="P695" t="n">
        <v>0</v>
      </c>
      <c r="Q695" t="n">
        <v>0</v>
      </c>
      <c r="R695" s="2" t="inlineStr"/>
    </row>
    <row r="696" ht="15" customHeight="1">
      <c r="A696" t="inlineStr">
        <is>
          <t>A 55977-2023</t>
        </is>
      </c>
      <c r="B696" s="1" t="n">
        <v>45240</v>
      </c>
      <c r="C696" s="1" t="n">
        <v>45475</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56009-2023</t>
        </is>
      </c>
      <c r="B697" s="1" t="n">
        <v>45240</v>
      </c>
      <c r="C697" s="1" t="n">
        <v>45475</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55984-2023</t>
        </is>
      </c>
      <c r="B698" s="1" t="n">
        <v>45240</v>
      </c>
      <c r="C698" s="1" t="n">
        <v>45475</v>
      </c>
      <c r="D698" t="inlineStr">
        <is>
          <t>DALARNAS LÄN</t>
        </is>
      </c>
      <c r="E698" t="inlineStr">
        <is>
          <t>MORA</t>
        </is>
      </c>
      <c r="G698" t="n">
        <v>5.3</v>
      </c>
      <c r="H698" t="n">
        <v>0</v>
      </c>
      <c r="I698" t="n">
        <v>0</v>
      </c>
      <c r="J698" t="n">
        <v>0</v>
      </c>
      <c r="K698" t="n">
        <v>0</v>
      </c>
      <c r="L698" t="n">
        <v>0</v>
      </c>
      <c r="M698" t="n">
        <v>0</v>
      </c>
      <c r="N698" t="n">
        <v>0</v>
      </c>
      <c r="O698" t="n">
        <v>0</v>
      </c>
      <c r="P698" t="n">
        <v>0</v>
      </c>
      <c r="Q698" t="n">
        <v>0</v>
      </c>
      <c r="R698" s="2" t="inlineStr"/>
    </row>
    <row r="699" ht="15" customHeight="1">
      <c r="A699" t="inlineStr">
        <is>
          <t>A 56711-2023</t>
        </is>
      </c>
      <c r="B699" s="1" t="n">
        <v>45244</v>
      </c>
      <c r="C699" s="1" t="n">
        <v>45475</v>
      </c>
      <c r="D699" t="inlineStr">
        <is>
          <t>DALARNAS LÄN</t>
        </is>
      </c>
      <c r="E699" t="inlineStr">
        <is>
          <t>MORA</t>
        </is>
      </c>
      <c r="G699" t="n">
        <v>4.4</v>
      </c>
      <c r="H699" t="n">
        <v>0</v>
      </c>
      <c r="I699" t="n">
        <v>0</v>
      </c>
      <c r="J699" t="n">
        <v>0</v>
      </c>
      <c r="K699" t="n">
        <v>0</v>
      </c>
      <c r="L699" t="n">
        <v>0</v>
      </c>
      <c r="M699" t="n">
        <v>0</v>
      </c>
      <c r="N699" t="n">
        <v>0</v>
      </c>
      <c r="O699" t="n">
        <v>0</v>
      </c>
      <c r="P699" t="n">
        <v>0</v>
      </c>
      <c r="Q699" t="n">
        <v>0</v>
      </c>
      <c r="R699" s="2" t="inlineStr"/>
    </row>
    <row r="700" ht="15" customHeight="1">
      <c r="A700" t="inlineStr">
        <is>
          <t>A 56767-2023</t>
        </is>
      </c>
      <c r="B700" s="1" t="n">
        <v>45244</v>
      </c>
      <c r="C700" s="1" t="n">
        <v>45475</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56934-2023</t>
        </is>
      </c>
      <c r="B701" s="1" t="n">
        <v>45244</v>
      </c>
      <c r="C701" s="1" t="n">
        <v>45475</v>
      </c>
      <c r="D701" t="inlineStr">
        <is>
          <t>DALARNAS LÄN</t>
        </is>
      </c>
      <c r="E701" t="inlineStr">
        <is>
          <t>MORA</t>
        </is>
      </c>
      <c r="G701" t="n">
        <v>3.5</v>
      </c>
      <c r="H701" t="n">
        <v>0</v>
      </c>
      <c r="I701" t="n">
        <v>0</v>
      </c>
      <c r="J701" t="n">
        <v>0</v>
      </c>
      <c r="K701" t="n">
        <v>0</v>
      </c>
      <c r="L701" t="n">
        <v>0</v>
      </c>
      <c r="M701" t="n">
        <v>0</v>
      </c>
      <c r="N701" t="n">
        <v>0</v>
      </c>
      <c r="O701" t="n">
        <v>0</v>
      </c>
      <c r="P701" t="n">
        <v>0</v>
      </c>
      <c r="Q701" t="n">
        <v>0</v>
      </c>
      <c r="R701" s="2" t="inlineStr"/>
    </row>
    <row r="702" ht="15" customHeight="1">
      <c r="A702" t="inlineStr">
        <is>
          <t>A 57319-2023</t>
        </is>
      </c>
      <c r="B702" s="1" t="n">
        <v>45245</v>
      </c>
      <c r="C702" s="1" t="n">
        <v>45475</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57314-2023</t>
        </is>
      </c>
      <c r="B703" s="1" t="n">
        <v>45245</v>
      </c>
      <c r="C703" s="1" t="n">
        <v>45475</v>
      </c>
      <c r="D703" t="inlineStr">
        <is>
          <t>DALARNAS LÄN</t>
        </is>
      </c>
      <c r="E703" t="inlineStr">
        <is>
          <t>MORA</t>
        </is>
      </c>
      <c r="G703" t="n">
        <v>2.7</v>
      </c>
      <c r="H703" t="n">
        <v>0</v>
      </c>
      <c r="I703" t="n">
        <v>0</v>
      </c>
      <c r="J703" t="n">
        <v>0</v>
      </c>
      <c r="K703" t="n">
        <v>0</v>
      </c>
      <c r="L703" t="n">
        <v>0</v>
      </c>
      <c r="M703" t="n">
        <v>0</v>
      </c>
      <c r="N703" t="n">
        <v>0</v>
      </c>
      <c r="O703" t="n">
        <v>0</v>
      </c>
      <c r="P703" t="n">
        <v>0</v>
      </c>
      <c r="Q703" t="n">
        <v>0</v>
      </c>
      <c r="R703" s="2" t="inlineStr"/>
    </row>
    <row r="704" ht="15" customHeight="1">
      <c r="A704" t="inlineStr">
        <is>
          <t>A 57625-2023</t>
        </is>
      </c>
      <c r="B704" s="1" t="n">
        <v>45246</v>
      </c>
      <c r="C704" s="1" t="n">
        <v>45475</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57989-2023</t>
        </is>
      </c>
      <c r="B705" s="1" t="n">
        <v>45247</v>
      </c>
      <c r="C705" s="1" t="n">
        <v>45475</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57999-2023</t>
        </is>
      </c>
      <c r="B706" s="1" t="n">
        <v>45247</v>
      </c>
      <c r="C706" s="1" t="n">
        <v>45475</v>
      </c>
      <c r="D706" t="inlineStr">
        <is>
          <t>DALARNAS LÄN</t>
        </is>
      </c>
      <c r="E706" t="inlineStr">
        <is>
          <t>MORA</t>
        </is>
      </c>
      <c r="G706" t="n">
        <v>0.4</v>
      </c>
      <c r="H706" t="n">
        <v>0</v>
      </c>
      <c r="I706" t="n">
        <v>0</v>
      </c>
      <c r="J706" t="n">
        <v>0</v>
      </c>
      <c r="K706" t="n">
        <v>0</v>
      </c>
      <c r="L706" t="n">
        <v>0</v>
      </c>
      <c r="M706" t="n">
        <v>0</v>
      </c>
      <c r="N706" t="n">
        <v>0</v>
      </c>
      <c r="O706" t="n">
        <v>0</v>
      </c>
      <c r="P706" t="n">
        <v>0</v>
      </c>
      <c r="Q706" t="n">
        <v>0</v>
      </c>
      <c r="R706" s="2" t="inlineStr"/>
    </row>
    <row r="707" ht="15" customHeight="1">
      <c r="A707" t="inlineStr">
        <is>
          <t>A 58075-2023</t>
        </is>
      </c>
      <c r="B707" s="1" t="n">
        <v>45247</v>
      </c>
      <c r="C707" s="1" t="n">
        <v>45475</v>
      </c>
      <c r="D707" t="inlineStr">
        <is>
          <t>DALARNAS LÄN</t>
        </is>
      </c>
      <c r="E707" t="inlineStr">
        <is>
          <t>MORA</t>
        </is>
      </c>
      <c r="G707" t="n">
        <v>2.6</v>
      </c>
      <c r="H707" t="n">
        <v>0</v>
      </c>
      <c r="I707" t="n">
        <v>0</v>
      </c>
      <c r="J707" t="n">
        <v>0</v>
      </c>
      <c r="K707" t="n">
        <v>0</v>
      </c>
      <c r="L707" t="n">
        <v>0</v>
      </c>
      <c r="M707" t="n">
        <v>0</v>
      </c>
      <c r="N707" t="n">
        <v>0</v>
      </c>
      <c r="O707" t="n">
        <v>0</v>
      </c>
      <c r="P707" t="n">
        <v>0</v>
      </c>
      <c r="Q707" t="n">
        <v>0</v>
      </c>
      <c r="R707" s="2" t="inlineStr"/>
    </row>
    <row r="708" ht="15" customHeight="1">
      <c r="A708" t="inlineStr">
        <is>
          <t>A 57889-2023</t>
        </is>
      </c>
      <c r="B708" s="1" t="n">
        <v>45247</v>
      </c>
      <c r="C708" s="1" t="n">
        <v>45475</v>
      </c>
      <c r="D708" t="inlineStr">
        <is>
          <t>DALARNAS LÄN</t>
        </is>
      </c>
      <c r="E708" t="inlineStr">
        <is>
          <t>MORA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58972-2023</t>
        </is>
      </c>
      <c r="B709" s="1" t="n">
        <v>45252</v>
      </c>
      <c r="C709" s="1" t="n">
        <v>45475</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58977-2023</t>
        </is>
      </c>
      <c r="B710" s="1" t="n">
        <v>45252</v>
      </c>
      <c r="C710" s="1" t="n">
        <v>45475</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58892-2023</t>
        </is>
      </c>
      <c r="B711" s="1" t="n">
        <v>45252</v>
      </c>
      <c r="C711" s="1" t="n">
        <v>45475</v>
      </c>
      <c r="D711" t="inlineStr">
        <is>
          <t>DALARNAS LÄN</t>
        </is>
      </c>
      <c r="E711" t="inlineStr">
        <is>
          <t>MORA</t>
        </is>
      </c>
      <c r="G711" t="n">
        <v>2.2</v>
      </c>
      <c r="H711" t="n">
        <v>0</v>
      </c>
      <c r="I711" t="n">
        <v>0</v>
      </c>
      <c r="J711" t="n">
        <v>0</v>
      </c>
      <c r="K711" t="n">
        <v>0</v>
      </c>
      <c r="L711" t="n">
        <v>0</v>
      </c>
      <c r="M711" t="n">
        <v>0</v>
      </c>
      <c r="N711" t="n">
        <v>0</v>
      </c>
      <c r="O711" t="n">
        <v>0</v>
      </c>
      <c r="P711" t="n">
        <v>0</v>
      </c>
      <c r="Q711" t="n">
        <v>0</v>
      </c>
      <c r="R711" s="2" t="inlineStr"/>
    </row>
    <row r="712" ht="15" customHeight="1">
      <c r="A712" t="inlineStr">
        <is>
          <t>A 59168-2023</t>
        </is>
      </c>
      <c r="B712" s="1" t="n">
        <v>45253</v>
      </c>
      <c r="C712" s="1" t="n">
        <v>45475</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59174-2023</t>
        </is>
      </c>
      <c r="B713" s="1" t="n">
        <v>45253</v>
      </c>
      <c r="C713" s="1" t="n">
        <v>45475</v>
      </c>
      <c r="D713" t="inlineStr">
        <is>
          <t>DALARNAS LÄN</t>
        </is>
      </c>
      <c r="E713" t="inlineStr">
        <is>
          <t>MORA</t>
        </is>
      </c>
      <c r="G713" t="n">
        <v>2.5</v>
      </c>
      <c r="H713" t="n">
        <v>0</v>
      </c>
      <c r="I713" t="n">
        <v>0</v>
      </c>
      <c r="J713" t="n">
        <v>0</v>
      </c>
      <c r="K713" t="n">
        <v>0</v>
      </c>
      <c r="L713" t="n">
        <v>0</v>
      </c>
      <c r="M713" t="n">
        <v>0</v>
      </c>
      <c r="N713" t="n">
        <v>0</v>
      </c>
      <c r="O713" t="n">
        <v>0</v>
      </c>
      <c r="P713" t="n">
        <v>0</v>
      </c>
      <c r="Q713" t="n">
        <v>0</v>
      </c>
      <c r="R713" s="2" t="inlineStr"/>
    </row>
    <row r="714" ht="15" customHeight="1">
      <c r="A714" t="inlineStr">
        <is>
          <t>A 59170-2023</t>
        </is>
      </c>
      <c r="B714" s="1" t="n">
        <v>45253</v>
      </c>
      <c r="C714" s="1" t="n">
        <v>45475</v>
      </c>
      <c r="D714" t="inlineStr">
        <is>
          <t>DALARNAS LÄN</t>
        </is>
      </c>
      <c r="E714" t="inlineStr">
        <is>
          <t>MORA</t>
        </is>
      </c>
      <c r="G714" t="n">
        <v>1.4</v>
      </c>
      <c r="H714" t="n">
        <v>0</v>
      </c>
      <c r="I714" t="n">
        <v>0</v>
      </c>
      <c r="J714" t="n">
        <v>0</v>
      </c>
      <c r="K714" t="n">
        <v>0</v>
      </c>
      <c r="L714" t="n">
        <v>0</v>
      </c>
      <c r="M714" t="n">
        <v>0</v>
      </c>
      <c r="N714" t="n">
        <v>0</v>
      </c>
      <c r="O714" t="n">
        <v>0</v>
      </c>
      <c r="P714" t="n">
        <v>0</v>
      </c>
      <c r="Q714" t="n">
        <v>0</v>
      </c>
      <c r="R714" s="2" t="inlineStr"/>
    </row>
    <row r="715" ht="15" customHeight="1">
      <c r="A715" t="inlineStr">
        <is>
          <t>A 59180-2023</t>
        </is>
      </c>
      <c r="B715" s="1" t="n">
        <v>45253</v>
      </c>
      <c r="C715" s="1" t="n">
        <v>45475</v>
      </c>
      <c r="D715" t="inlineStr">
        <is>
          <t>DALARNAS LÄN</t>
        </is>
      </c>
      <c r="E715" t="inlineStr">
        <is>
          <t>MORA</t>
        </is>
      </c>
      <c r="G715" t="n">
        <v>6</v>
      </c>
      <c r="H715" t="n">
        <v>0</v>
      </c>
      <c r="I715" t="n">
        <v>0</v>
      </c>
      <c r="J715" t="n">
        <v>0</v>
      </c>
      <c r="K715" t="n">
        <v>0</v>
      </c>
      <c r="L715" t="n">
        <v>0</v>
      </c>
      <c r="M715" t="n">
        <v>0</v>
      </c>
      <c r="N715" t="n">
        <v>0</v>
      </c>
      <c r="O715" t="n">
        <v>0</v>
      </c>
      <c r="P715" t="n">
        <v>0</v>
      </c>
      <c r="Q715" t="n">
        <v>0</v>
      </c>
      <c r="R715" s="2" t="inlineStr"/>
    </row>
    <row r="716" ht="15" customHeight="1">
      <c r="A716" t="inlineStr">
        <is>
          <t>A 59182-2023</t>
        </is>
      </c>
      <c r="B716" s="1" t="n">
        <v>45253</v>
      </c>
      <c r="C716" s="1" t="n">
        <v>45475</v>
      </c>
      <c r="D716" t="inlineStr">
        <is>
          <t>DALARNAS LÄN</t>
        </is>
      </c>
      <c r="E716" t="inlineStr">
        <is>
          <t>MORA</t>
        </is>
      </c>
      <c r="G716" t="n">
        <v>3.3</v>
      </c>
      <c r="H716" t="n">
        <v>0</v>
      </c>
      <c r="I716" t="n">
        <v>0</v>
      </c>
      <c r="J716" t="n">
        <v>0</v>
      </c>
      <c r="K716" t="n">
        <v>0</v>
      </c>
      <c r="L716" t="n">
        <v>0</v>
      </c>
      <c r="M716" t="n">
        <v>0</v>
      </c>
      <c r="N716" t="n">
        <v>0</v>
      </c>
      <c r="O716" t="n">
        <v>0</v>
      </c>
      <c r="P716" t="n">
        <v>0</v>
      </c>
      <c r="Q716" t="n">
        <v>0</v>
      </c>
      <c r="R716" s="2" t="inlineStr"/>
    </row>
    <row r="717" ht="15" customHeight="1">
      <c r="A717" t="inlineStr">
        <is>
          <t>A 59995-2023</t>
        </is>
      </c>
      <c r="B717" s="1" t="n">
        <v>45254</v>
      </c>
      <c r="C717" s="1" t="n">
        <v>45475</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59891-2023</t>
        </is>
      </c>
      <c r="B718" s="1" t="n">
        <v>45254</v>
      </c>
      <c r="C718" s="1" t="n">
        <v>45475</v>
      </c>
      <c r="D718" t="inlineStr">
        <is>
          <t>DALARNAS LÄN</t>
        </is>
      </c>
      <c r="E718" t="inlineStr">
        <is>
          <t>MORA</t>
        </is>
      </c>
      <c r="G718" t="n">
        <v>9</v>
      </c>
      <c r="H718" t="n">
        <v>0</v>
      </c>
      <c r="I718" t="n">
        <v>0</v>
      </c>
      <c r="J718" t="n">
        <v>0</v>
      </c>
      <c r="K718" t="n">
        <v>0</v>
      </c>
      <c r="L718" t="n">
        <v>0</v>
      </c>
      <c r="M718" t="n">
        <v>0</v>
      </c>
      <c r="N718" t="n">
        <v>0</v>
      </c>
      <c r="O718" t="n">
        <v>0</v>
      </c>
      <c r="P718" t="n">
        <v>0</v>
      </c>
      <c r="Q718" t="n">
        <v>0</v>
      </c>
      <c r="R718" s="2" t="inlineStr"/>
    </row>
    <row r="719" ht="15" customHeight="1">
      <c r="A719" t="inlineStr">
        <is>
          <t>A 59850-2023</t>
        </is>
      </c>
      <c r="B719" s="1" t="n">
        <v>45257</v>
      </c>
      <c r="C719" s="1" t="n">
        <v>45475</v>
      </c>
      <c r="D719" t="inlineStr">
        <is>
          <t>DALARNAS LÄN</t>
        </is>
      </c>
      <c r="E719" t="inlineStr">
        <is>
          <t>MORA</t>
        </is>
      </c>
      <c r="G719" t="n">
        <v>2.5</v>
      </c>
      <c r="H719" t="n">
        <v>0</v>
      </c>
      <c r="I719" t="n">
        <v>0</v>
      </c>
      <c r="J719" t="n">
        <v>0</v>
      </c>
      <c r="K719" t="n">
        <v>0</v>
      </c>
      <c r="L719" t="n">
        <v>0</v>
      </c>
      <c r="M719" t="n">
        <v>0</v>
      </c>
      <c r="N719" t="n">
        <v>0</v>
      </c>
      <c r="O719" t="n">
        <v>0</v>
      </c>
      <c r="P719" t="n">
        <v>0</v>
      </c>
      <c r="Q719" t="n">
        <v>0</v>
      </c>
      <c r="R719" s="2" t="inlineStr"/>
    </row>
    <row r="720" ht="15" customHeight="1">
      <c r="A720" t="inlineStr">
        <is>
          <t>A 59868-2023</t>
        </is>
      </c>
      <c r="B720" s="1" t="n">
        <v>45257</v>
      </c>
      <c r="C720" s="1" t="n">
        <v>45475</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60258-2023</t>
        </is>
      </c>
      <c r="B721" s="1" t="n">
        <v>45258</v>
      </c>
      <c r="C721" s="1" t="n">
        <v>45475</v>
      </c>
      <c r="D721" t="inlineStr">
        <is>
          <t>DALARNAS LÄN</t>
        </is>
      </c>
      <c r="E721" t="inlineStr">
        <is>
          <t>MORA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60360-2023</t>
        </is>
      </c>
      <c r="B722" s="1" t="n">
        <v>45259</v>
      </c>
      <c r="C722" s="1" t="n">
        <v>45475</v>
      </c>
      <c r="D722" t="inlineStr">
        <is>
          <t>DALARNAS LÄN</t>
        </is>
      </c>
      <c r="E722" t="inlineStr">
        <is>
          <t>MORA</t>
        </is>
      </c>
      <c r="G722" t="n">
        <v>2.9</v>
      </c>
      <c r="H722" t="n">
        <v>0</v>
      </c>
      <c r="I722" t="n">
        <v>0</v>
      </c>
      <c r="J722" t="n">
        <v>0</v>
      </c>
      <c r="K722" t="n">
        <v>0</v>
      </c>
      <c r="L722" t="n">
        <v>0</v>
      </c>
      <c r="M722" t="n">
        <v>0</v>
      </c>
      <c r="N722" t="n">
        <v>0</v>
      </c>
      <c r="O722" t="n">
        <v>0</v>
      </c>
      <c r="P722" t="n">
        <v>0</v>
      </c>
      <c r="Q722" t="n">
        <v>0</v>
      </c>
      <c r="R722" s="2" t="inlineStr"/>
    </row>
    <row r="723" ht="15" customHeight="1">
      <c r="A723" t="inlineStr">
        <is>
          <t>A 60526-2023</t>
        </is>
      </c>
      <c r="B723" s="1" t="n">
        <v>45259</v>
      </c>
      <c r="C723" s="1" t="n">
        <v>45475</v>
      </c>
      <c r="D723" t="inlineStr">
        <is>
          <t>DALARNAS LÄN</t>
        </is>
      </c>
      <c r="E723" t="inlineStr">
        <is>
          <t>MORA</t>
        </is>
      </c>
      <c r="G723" t="n">
        <v>6.7</v>
      </c>
      <c r="H723" t="n">
        <v>0</v>
      </c>
      <c r="I723" t="n">
        <v>0</v>
      </c>
      <c r="J723" t="n">
        <v>0</v>
      </c>
      <c r="K723" t="n">
        <v>0</v>
      </c>
      <c r="L723" t="n">
        <v>0</v>
      </c>
      <c r="M723" t="n">
        <v>0</v>
      </c>
      <c r="N723" t="n">
        <v>0</v>
      </c>
      <c r="O723" t="n">
        <v>0</v>
      </c>
      <c r="P723" t="n">
        <v>0</v>
      </c>
      <c r="Q723" t="n">
        <v>0</v>
      </c>
      <c r="R723" s="2" t="inlineStr"/>
    </row>
    <row r="724" ht="15" customHeight="1">
      <c r="A724" t="inlineStr">
        <is>
          <t>A 60428-2023</t>
        </is>
      </c>
      <c r="B724" s="1" t="n">
        <v>45259</v>
      </c>
      <c r="C724" s="1" t="n">
        <v>45475</v>
      </c>
      <c r="D724" t="inlineStr">
        <is>
          <t>DALARNAS LÄN</t>
        </is>
      </c>
      <c r="E724" t="inlineStr">
        <is>
          <t>MORA</t>
        </is>
      </c>
      <c r="G724" t="n">
        <v>4.9</v>
      </c>
      <c r="H724" t="n">
        <v>0</v>
      </c>
      <c r="I724" t="n">
        <v>0</v>
      </c>
      <c r="J724" t="n">
        <v>0</v>
      </c>
      <c r="K724" t="n">
        <v>0</v>
      </c>
      <c r="L724" t="n">
        <v>0</v>
      </c>
      <c r="M724" t="n">
        <v>0</v>
      </c>
      <c r="N724" t="n">
        <v>0</v>
      </c>
      <c r="O724" t="n">
        <v>0</v>
      </c>
      <c r="P724" t="n">
        <v>0</v>
      </c>
      <c r="Q724" t="n">
        <v>0</v>
      </c>
      <c r="R724" s="2" t="inlineStr"/>
    </row>
    <row r="725" ht="15" customHeight="1">
      <c r="A725" t="inlineStr">
        <is>
          <t>A 60465-2023</t>
        </is>
      </c>
      <c r="B725" s="1" t="n">
        <v>45259</v>
      </c>
      <c r="C725" s="1" t="n">
        <v>45475</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60666-2023</t>
        </is>
      </c>
      <c r="B726" s="1" t="n">
        <v>45260</v>
      </c>
      <c r="C726" s="1" t="n">
        <v>45475</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60674-2023</t>
        </is>
      </c>
      <c r="B727" s="1" t="n">
        <v>45260</v>
      </c>
      <c r="C727" s="1" t="n">
        <v>45475</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60673-2023</t>
        </is>
      </c>
      <c r="B728" s="1" t="n">
        <v>45260</v>
      </c>
      <c r="C728" s="1" t="n">
        <v>45475</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60715-2023</t>
        </is>
      </c>
      <c r="B729" s="1" t="n">
        <v>45260</v>
      </c>
      <c r="C729" s="1" t="n">
        <v>45475</v>
      </c>
      <c r="D729" t="inlineStr">
        <is>
          <t>DALARNAS LÄN</t>
        </is>
      </c>
      <c r="E729" t="inlineStr">
        <is>
          <t>MORA</t>
        </is>
      </c>
      <c r="G729" t="n">
        <v>1.7</v>
      </c>
      <c r="H729" t="n">
        <v>0</v>
      </c>
      <c r="I729" t="n">
        <v>0</v>
      </c>
      <c r="J729" t="n">
        <v>0</v>
      </c>
      <c r="K729" t="n">
        <v>0</v>
      </c>
      <c r="L729" t="n">
        <v>0</v>
      </c>
      <c r="M729" t="n">
        <v>0</v>
      </c>
      <c r="N729" t="n">
        <v>0</v>
      </c>
      <c r="O729" t="n">
        <v>0</v>
      </c>
      <c r="P729" t="n">
        <v>0</v>
      </c>
      <c r="Q729" t="n">
        <v>0</v>
      </c>
      <c r="R729" s="2" t="inlineStr"/>
    </row>
    <row r="730" ht="15" customHeight="1">
      <c r="A730" t="inlineStr">
        <is>
          <t>A 60718-2023</t>
        </is>
      </c>
      <c r="B730" s="1" t="n">
        <v>45260</v>
      </c>
      <c r="C730" s="1" t="n">
        <v>45475</v>
      </c>
      <c r="D730" t="inlineStr">
        <is>
          <t>DALARNAS LÄN</t>
        </is>
      </c>
      <c r="E730" t="inlineStr">
        <is>
          <t>MORA</t>
        </is>
      </c>
      <c r="G730" t="n">
        <v>2.6</v>
      </c>
      <c r="H730" t="n">
        <v>0</v>
      </c>
      <c r="I730" t="n">
        <v>0</v>
      </c>
      <c r="J730" t="n">
        <v>0</v>
      </c>
      <c r="K730" t="n">
        <v>0</v>
      </c>
      <c r="L730" t="n">
        <v>0</v>
      </c>
      <c r="M730" t="n">
        <v>0</v>
      </c>
      <c r="N730" t="n">
        <v>0</v>
      </c>
      <c r="O730" t="n">
        <v>0</v>
      </c>
      <c r="P730" t="n">
        <v>0</v>
      </c>
      <c r="Q730" t="n">
        <v>0</v>
      </c>
      <c r="R730" s="2" t="inlineStr"/>
    </row>
    <row r="731" ht="15" customHeight="1">
      <c r="A731" t="inlineStr">
        <is>
          <t>A 61249-2023</t>
        </is>
      </c>
      <c r="B731" s="1" t="n">
        <v>45264</v>
      </c>
      <c r="C731" s="1" t="n">
        <v>45475</v>
      </c>
      <c r="D731" t="inlineStr">
        <is>
          <t>DALARNAS LÄN</t>
        </is>
      </c>
      <c r="E731" t="inlineStr">
        <is>
          <t>MORA</t>
        </is>
      </c>
      <c r="F731" t="inlineStr">
        <is>
          <t>Allmännings- och besparingsskogar</t>
        </is>
      </c>
      <c r="G731" t="n">
        <v>1.7</v>
      </c>
      <c r="H731" t="n">
        <v>0</v>
      </c>
      <c r="I731" t="n">
        <v>0</v>
      </c>
      <c r="J731" t="n">
        <v>0</v>
      </c>
      <c r="K731" t="n">
        <v>0</v>
      </c>
      <c r="L731" t="n">
        <v>0</v>
      </c>
      <c r="M731" t="n">
        <v>0</v>
      </c>
      <c r="N731" t="n">
        <v>0</v>
      </c>
      <c r="O731" t="n">
        <v>0</v>
      </c>
      <c r="P731" t="n">
        <v>0</v>
      </c>
      <c r="Q731" t="n">
        <v>0</v>
      </c>
      <c r="R731" s="2" t="inlineStr"/>
    </row>
    <row r="732" ht="15" customHeight="1">
      <c r="A732" t="inlineStr">
        <is>
          <t>A 61259-2023</t>
        </is>
      </c>
      <c r="B732" s="1" t="n">
        <v>45264</v>
      </c>
      <c r="C732" s="1" t="n">
        <v>45475</v>
      </c>
      <c r="D732" t="inlineStr">
        <is>
          <t>DALARNAS LÄN</t>
        </is>
      </c>
      <c r="E732" t="inlineStr">
        <is>
          <t>MORA</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61405-2023</t>
        </is>
      </c>
      <c r="B733" s="1" t="n">
        <v>45264</v>
      </c>
      <c r="C733" s="1" t="n">
        <v>45475</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61273-2023</t>
        </is>
      </c>
      <c r="B734" s="1" t="n">
        <v>45264</v>
      </c>
      <c r="C734" s="1" t="n">
        <v>45475</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61217-2023</t>
        </is>
      </c>
      <c r="B735" s="1" t="n">
        <v>45264</v>
      </c>
      <c r="C735" s="1" t="n">
        <v>45475</v>
      </c>
      <c r="D735" t="inlineStr">
        <is>
          <t>DALARNAS LÄN</t>
        </is>
      </c>
      <c r="E735" t="inlineStr">
        <is>
          <t>MORA</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61261-2023</t>
        </is>
      </c>
      <c r="B736" s="1" t="n">
        <v>45264</v>
      </c>
      <c r="C736" s="1" t="n">
        <v>45475</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61270-2023</t>
        </is>
      </c>
      <c r="B737" s="1" t="n">
        <v>45264</v>
      </c>
      <c r="C737" s="1" t="n">
        <v>45475</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61392-2023</t>
        </is>
      </c>
      <c r="B738" s="1" t="n">
        <v>45264</v>
      </c>
      <c r="C738" s="1" t="n">
        <v>45475</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61209-2023</t>
        </is>
      </c>
      <c r="B739" s="1" t="n">
        <v>45264</v>
      </c>
      <c r="C739" s="1" t="n">
        <v>45475</v>
      </c>
      <c r="D739" t="inlineStr">
        <is>
          <t>DALARNAS LÄN</t>
        </is>
      </c>
      <c r="E739" t="inlineStr">
        <is>
          <t>MORA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61218-2023</t>
        </is>
      </c>
      <c r="B740" s="1" t="n">
        <v>45264</v>
      </c>
      <c r="C740" s="1" t="n">
        <v>45475</v>
      </c>
      <c r="D740" t="inlineStr">
        <is>
          <t>DALARNAS LÄN</t>
        </is>
      </c>
      <c r="E740" t="inlineStr">
        <is>
          <t>MORA</t>
        </is>
      </c>
      <c r="F740" t="inlineStr">
        <is>
          <t>Allmännings- och besparingsskogar</t>
        </is>
      </c>
      <c r="G740" t="n">
        <v>2.6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45475</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61425-2023</t>
        </is>
      </c>
      <c r="B742" s="1" t="n">
        <v>45264</v>
      </c>
      <c r="C742" s="1" t="n">
        <v>45475</v>
      </c>
      <c r="D742" t="inlineStr">
        <is>
          <t>DALARNAS LÄN</t>
        </is>
      </c>
      <c r="E742" t="inlineStr">
        <is>
          <t>MORA</t>
        </is>
      </c>
      <c r="G742" t="n">
        <v>1.6</v>
      </c>
      <c r="H742" t="n">
        <v>0</v>
      </c>
      <c r="I742" t="n">
        <v>0</v>
      </c>
      <c r="J742" t="n">
        <v>0</v>
      </c>
      <c r="K742" t="n">
        <v>0</v>
      </c>
      <c r="L742" t="n">
        <v>0</v>
      </c>
      <c r="M742" t="n">
        <v>0</v>
      </c>
      <c r="N742" t="n">
        <v>0</v>
      </c>
      <c r="O742" t="n">
        <v>0</v>
      </c>
      <c r="P742" t="n">
        <v>0</v>
      </c>
      <c r="Q742" t="n">
        <v>0</v>
      </c>
      <c r="R742" s="2" t="inlineStr"/>
    </row>
    <row r="743" ht="15" customHeight="1">
      <c r="A743" t="inlineStr">
        <is>
          <t>A 61529-2023</t>
        </is>
      </c>
      <c r="B743" s="1" t="n">
        <v>45265</v>
      </c>
      <c r="C743" s="1" t="n">
        <v>45475</v>
      </c>
      <c r="D743" t="inlineStr">
        <is>
          <t>DALARNAS LÄN</t>
        </is>
      </c>
      <c r="E743" t="inlineStr">
        <is>
          <t>MORA</t>
        </is>
      </c>
      <c r="G743" t="n">
        <v>29.6</v>
      </c>
      <c r="H743" t="n">
        <v>0</v>
      </c>
      <c r="I743" t="n">
        <v>0</v>
      </c>
      <c r="J743" t="n">
        <v>0</v>
      </c>
      <c r="K743" t="n">
        <v>0</v>
      </c>
      <c r="L743" t="n">
        <v>0</v>
      </c>
      <c r="M743" t="n">
        <v>0</v>
      </c>
      <c r="N743" t="n">
        <v>0</v>
      </c>
      <c r="O743" t="n">
        <v>0</v>
      </c>
      <c r="P743" t="n">
        <v>0</v>
      </c>
      <c r="Q743" t="n">
        <v>0</v>
      </c>
      <c r="R743" s="2" t="inlineStr"/>
    </row>
    <row r="744" ht="15" customHeight="1">
      <c r="A744" t="inlineStr">
        <is>
          <t>A 61990-2023</t>
        </is>
      </c>
      <c r="B744" s="1" t="n">
        <v>45265</v>
      </c>
      <c r="C744" s="1" t="n">
        <v>45475</v>
      </c>
      <c r="D744" t="inlineStr">
        <is>
          <t>DALARNAS LÄN</t>
        </is>
      </c>
      <c r="E744" t="inlineStr">
        <is>
          <t>MORA</t>
        </is>
      </c>
      <c r="G744" t="n">
        <v>3.3</v>
      </c>
      <c r="H744" t="n">
        <v>0</v>
      </c>
      <c r="I744" t="n">
        <v>0</v>
      </c>
      <c r="J744" t="n">
        <v>0</v>
      </c>
      <c r="K744" t="n">
        <v>0</v>
      </c>
      <c r="L744" t="n">
        <v>0</v>
      </c>
      <c r="M744" t="n">
        <v>0</v>
      </c>
      <c r="N744" t="n">
        <v>0</v>
      </c>
      <c r="O744" t="n">
        <v>0</v>
      </c>
      <c r="P744" t="n">
        <v>0</v>
      </c>
      <c r="Q744" t="n">
        <v>0</v>
      </c>
      <c r="R744" s="2" t="inlineStr"/>
    </row>
    <row r="745" ht="15" customHeight="1">
      <c r="A745" t="inlineStr">
        <is>
          <t>A 61998-2023</t>
        </is>
      </c>
      <c r="B745" s="1" t="n">
        <v>45265</v>
      </c>
      <c r="C745" s="1" t="n">
        <v>45475</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61922-2023</t>
        </is>
      </c>
      <c r="B746" s="1" t="n">
        <v>45266</v>
      </c>
      <c r="C746" s="1" t="n">
        <v>45475</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62246-2023</t>
        </is>
      </c>
      <c r="B747" s="1" t="n">
        <v>45266</v>
      </c>
      <c r="C747" s="1" t="n">
        <v>45475</v>
      </c>
      <c r="D747" t="inlineStr">
        <is>
          <t>DALARNAS LÄN</t>
        </is>
      </c>
      <c r="E747" t="inlineStr">
        <is>
          <t>MORA</t>
        </is>
      </c>
      <c r="G747" t="n">
        <v>10.7</v>
      </c>
      <c r="H747" t="n">
        <v>0</v>
      </c>
      <c r="I747" t="n">
        <v>0</v>
      </c>
      <c r="J747" t="n">
        <v>0</v>
      </c>
      <c r="K747" t="n">
        <v>0</v>
      </c>
      <c r="L747" t="n">
        <v>0</v>
      </c>
      <c r="M747" t="n">
        <v>0</v>
      </c>
      <c r="N747" t="n">
        <v>0</v>
      </c>
      <c r="O747" t="n">
        <v>0</v>
      </c>
      <c r="P747" t="n">
        <v>0</v>
      </c>
      <c r="Q747" t="n">
        <v>0</v>
      </c>
      <c r="R747" s="2" t="inlineStr"/>
    </row>
    <row r="748" ht="15" customHeight="1">
      <c r="A748" t="inlineStr">
        <is>
          <t>A 62660-2023</t>
        </is>
      </c>
      <c r="B748" s="1" t="n">
        <v>45271</v>
      </c>
      <c r="C748" s="1" t="n">
        <v>45475</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62853-2023</t>
        </is>
      </c>
      <c r="B749" s="1" t="n">
        <v>45272</v>
      </c>
      <c r="C749" s="1" t="n">
        <v>45475</v>
      </c>
      <c r="D749" t="inlineStr">
        <is>
          <t>DALARNAS LÄN</t>
        </is>
      </c>
      <c r="E749" t="inlineStr">
        <is>
          <t>MORA</t>
        </is>
      </c>
      <c r="G749" t="n">
        <v>13.6</v>
      </c>
      <c r="H749" t="n">
        <v>0</v>
      </c>
      <c r="I749" t="n">
        <v>0</v>
      </c>
      <c r="J749" t="n">
        <v>0</v>
      </c>
      <c r="K749" t="n">
        <v>0</v>
      </c>
      <c r="L749" t="n">
        <v>0</v>
      </c>
      <c r="M749" t="n">
        <v>0</v>
      </c>
      <c r="N749" t="n">
        <v>0</v>
      </c>
      <c r="O749" t="n">
        <v>0</v>
      </c>
      <c r="P749" t="n">
        <v>0</v>
      </c>
      <c r="Q749" t="n">
        <v>0</v>
      </c>
      <c r="R749" s="2" t="inlineStr"/>
    </row>
    <row r="750" ht="15" customHeight="1">
      <c r="A750" t="inlineStr">
        <is>
          <t>A 62854-2023</t>
        </is>
      </c>
      <c r="B750" s="1" t="n">
        <v>45272</v>
      </c>
      <c r="C750" s="1" t="n">
        <v>45475</v>
      </c>
      <c r="D750" t="inlineStr">
        <is>
          <t>DALARNAS LÄN</t>
        </is>
      </c>
      <c r="E750" t="inlineStr">
        <is>
          <t>MORA</t>
        </is>
      </c>
      <c r="G750" t="n">
        <v>11.3</v>
      </c>
      <c r="H750" t="n">
        <v>0</v>
      </c>
      <c r="I750" t="n">
        <v>0</v>
      </c>
      <c r="J750" t="n">
        <v>0</v>
      </c>
      <c r="K750" t="n">
        <v>0</v>
      </c>
      <c r="L750" t="n">
        <v>0</v>
      </c>
      <c r="M750" t="n">
        <v>0</v>
      </c>
      <c r="N750" t="n">
        <v>0</v>
      </c>
      <c r="O750" t="n">
        <v>0</v>
      </c>
      <c r="P750" t="n">
        <v>0</v>
      </c>
      <c r="Q750" t="n">
        <v>0</v>
      </c>
      <c r="R750" s="2" t="inlineStr"/>
    </row>
    <row r="751" ht="15" customHeight="1">
      <c r="A751" t="inlineStr">
        <is>
          <t>A 63168-2023</t>
        </is>
      </c>
      <c r="B751" s="1" t="n">
        <v>45273</v>
      </c>
      <c r="C751" s="1" t="n">
        <v>45475</v>
      </c>
      <c r="D751" t="inlineStr">
        <is>
          <t>DALARNAS LÄN</t>
        </is>
      </c>
      <c r="E751" t="inlineStr">
        <is>
          <t>MORA</t>
        </is>
      </c>
      <c r="G751" t="n">
        <v>4</v>
      </c>
      <c r="H751" t="n">
        <v>0</v>
      </c>
      <c r="I751" t="n">
        <v>0</v>
      </c>
      <c r="J751" t="n">
        <v>0</v>
      </c>
      <c r="K751" t="n">
        <v>0</v>
      </c>
      <c r="L751" t="n">
        <v>0</v>
      </c>
      <c r="M751" t="n">
        <v>0</v>
      </c>
      <c r="N751" t="n">
        <v>0</v>
      </c>
      <c r="O751" t="n">
        <v>0</v>
      </c>
      <c r="P751" t="n">
        <v>0</v>
      </c>
      <c r="Q751" t="n">
        <v>0</v>
      </c>
      <c r="R751" s="2" t="inlineStr"/>
    </row>
    <row r="752" ht="15" customHeight="1">
      <c r="A752" t="inlineStr">
        <is>
          <t>A 63958-2023</t>
        </is>
      </c>
      <c r="B752" s="1" t="n">
        <v>45278</v>
      </c>
      <c r="C752" s="1" t="n">
        <v>45475</v>
      </c>
      <c r="D752" t="inlineStr">
        <is>
          <t>DALARNAS LÄN</t>
        </is>
      </c>
      <c r="E752" t="inlineStr">
        <is>
          <t>MORA</t>
        </is>
      </c>
      <c r="G752" t="n">
        <v>1.9</v>
      </c>
      <c r="H752" t="n">
        <v>0</v>
      </c>
      <c r="I752" t="n">
        <v>0</v>
      </c>
      <c r="J752" t="n">
        <v>0</v>
      </c>
      <c r="K752" t="n">
        <v>0</v>
      </c>
      <c r="L752" t="n">
        <v>0</v>
      </c>
      <c r="M752" t="n">
        <v>0</v>
      </c>
      <c r="N752" t="n">
        <v>0</v>
      </c>
      <c r="O752" t="n">
        <v>0</v>
      </c>
      <c r="P752" t="n">
        <v>0</v>
      </c>
      <c r="Q752" t="n">
        <v>0</v>
      </c>
      <c r="R752" s="2" t="inlineStr"/>
    </row>
    <row r="753" ht="15" customHeight="1">
      <c r="A753" t="inlineStr">
        <is>
          <t>A 64099-2023</t>
        </is>
      </c>
      <c r="B753" s="1" t="n">
        <v>45279</v>
      </c>
      <c r="C753" s="1" t="n">
        <v>45475</v>
      </c>
      <c r="D753" t="inlineStr">
        <is>
          <t>DALARNAS LÄN</t>
        </is>
      </c>
      <c r="E753" t="inlineStr">
        <is>
          <t>MORA</t>
        </is>
      </c>
      <c r="G753" t="n">
        <v>0.6</v>
      </c>
      <c r="H753" t="n">
        <v>0</v>
      </c>
      <c r="I753" t="n">
        <v>0</v>
      </c>
      <c r="J753" t="n">
        <v>0</v>
      </c>
      <c r="K753" t="n">
        <v>0</v>
      </c>
      <c r="L753" t="n">
        <v>0</v>
      </c>
      <c r="M753" t="n">
        <v>0</v>
      </c>
      <c r="N753" t="n">
        <v>0</v>
      </c>
      <c r="O753" t="n">
        <v>0</v>
      </c>
      <c r="P753" t="n">
        <v>0</v>
      </c>
      <c r="Q753" t="n">
        <v>0</v>
      </c>
      <c r="R753" s="2" t="inlineStr"/>
    </row>
    <row r="754" ht="15" customHeight="1">
      <c r="A754" t="inlineStr">
        <is>
          <t>A 64088-2023</t>
        </is>
      </c>
      <c r="B754" s="1" t="n">
        <v>45279</v>
      </c>
      <c r="C754" s="1" t="n">
        <v>45475</v>
      </c>
      <c r="D754" t="inlineStr">
        <is>
          <t>DALARNAS LÄN</t>
        </is>
      </c>
      <c r="E754" t="inlineStr">
        <is>
          <t>MORA</t>
        </is>
      </c>
      <c r="G754" t="n">
        <v>1</v>
      </c>
      <c r="H754" t="n">
        <v>0</v>
      </c>
      <c r="I754" t="n">
        <v>0</v>
      </c>
      <c r="J754" t="n">
        <v>0</v>
      </c>
      <c r="K754" t="n">
        <v>0</v>
      </c>
      <c r="L754" t="n">
        <v>0</v>
      </c>
      <c r="M754" t="n">
        <v>0</v>
      </c>
      <c r="N754" t="n">
        <v>0</v>
      </c>
      <c r="O754" t="n">
        <v>0</v>
      </c>
      <c r="P754" t="n">
        <v>0</v>
      </c>
      <c r="Q754" t="n">
        <v>0</v>
      </c>
      <c r="R754" s="2" t="inlineStr"/>
    </row>
    <row r="755" ht="15" customHeight="1">
      <c r="A755" t="inlineStr">
        <is>
          <t>A 64093-2023</t>
        </is>
      </c>
      <c r="B755" s="1" t="n">
        <v>45279</v>
      </c>
      <c r="C755" s="1" t="n">
        <v>45475</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64327-2023</t>
        </is>
      </c>
      <c r="B756" s="1" t="n">
        <v>45280</v>
      </c>
      <c r="C756" s="1" t="n">
        <v>45475</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64406-2023</t>
        </is>
      </c>
      <c r="B757" s="1" t="n">
        <v>45280</v>
      </c>
      <c r="C757" s="1" t="n">
        <v>45475</v>
      </c>
      <c r="D757" t="inlineStr">
        <is>
          <t>DALARNAS LÄN</t>
        </is>
      </c>
      <c r="E757" t="inlineStr">
        <is>
          <t>MORA</t>
        </is>
      </c>
      <c r="G757" t="n">
        <v>2.2</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45475</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45475</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45475</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45475</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45475</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45475</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45475</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45475</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45475</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45475</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45475</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45475</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45475</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45475</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45475</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45475</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45475</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45475</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45475</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45475</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45475</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45475</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45475</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45475</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45475</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45475</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45475</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45475</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45475</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45475</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45475</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45475</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45475</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45475</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45475</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45475</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45475</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45475</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45475</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45475</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45475</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45475</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45475</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45475</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45475</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45475</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45475</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45475</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45475</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45475</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45475</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45475</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45475</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45475</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45475</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45475</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45475</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45475</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45475</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45475</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45475</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45475</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45475</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45475</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45475</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45475</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45475</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45475</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45475</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45475</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45475</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45475</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45475</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45475</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45475</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45475</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45475</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45475</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45475</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45475</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45475</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45475</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45475</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45475</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45475</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45475</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45475</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45475</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45475</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45475</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45475</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45475</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45475</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45475</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45475</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45475</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45475</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45475</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45475</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45475</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45475</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45475</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45475</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45475</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45475</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45475</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45475</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45475</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45475</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45475</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45475</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45475</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22732-2024</t>
        </is>
      </c>
      <c r="B870" s="1" t="n">
        <v>45448</v>
      </c>
      <c r="C870" s="1" t="n">
        <v>45475</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22737-2024</t>
        </is>
      </c>
      <c r="B871" s="1" t="n">
        <v>45448</v>
      </c>
      <c r="C871" s="1" t="n">
        <v>45475</v>
      </c>
      <c r="D871" t="inlineStr">
        <is>
          <t>DALARNAS LÄN</t>
        </is>
      </c>
      <c r="E871" t="inlineStr">
        <is>
          <t>MORA</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45475</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45475</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23300-2024</t>
        </is>
      </c>
      <c r="B874" s="1" t="n">
        <v>45453</v>
      </c>
      <c r="C874" s="1" t="n">
        <v>45475</v>
      </c>
      <c r="D874" t="inlineStr">
        <is>
          <t>DALARNAS LÄN</t>
        </is>
      </c>
      <c r="E874" t="inlineStr">
        <is>
          <t>MORA</t>
        </is>
      </c>
      <c r="G874" t="n">
        <v>0.5</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45475</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45475</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23298-2024</t>
        </is>
      </c>
      <c r="B877" s="1" t="n">
        <v>45453</v>
      </c>
      <c r="C877" s="1" t="n">
        <v>45475</v>
      </c>
      <c r="D877" t="inlineStr">
        <is>
          <t>DALARNAS LÄN</t>
        </is>
      </c>
      <c r="E877" t="inlineStr">
        <is>
          <t>MORA</t>
        </is>
      </c>
      <c r="G877" t="n">
        <v>6.7</v>
      </c>
      <c r="H877" t="n">
        <v>0</v>
      </c>
      <c r="I877" t="n">
        <v>0</v>
      </c>
      <c r="J877" t="n">
        <v>0</v>
      </c>
      <c r="K877" t="n">
        <v>0</v>
      </c>
      <c r="L877" t="n">
        <v>0</v>
      </c>
      <c r="M877" t="n">
        <v>0</v>
      </c>
      <c r="N877" t="n">
        <v>0</v>
      </c>
      <c r="O877" t="n">
        <v>0</v>
      </c>
      <c r="P877" t="n">
        <v>0</v>
      </c>
      <c r="Q877" t="n">
        <v>0</v>
      </c>
      <c r="R877" s="2" t="inlineStr"/>
    </row>
    <row r="878" ht="15" customHeight="1">
      <c r="A878" t="inlineStr">
        <is>
          <t>A 23302-2024</t>
        </is>
      </c>
      <c r="B878" s="1" t="n">
        <v>45453</v>
      </c>
      <c r="C878" s="1" t="n">
        <v>45475</v>
      </c>
      <c r="D878" t="inlineStr">
        <is>
          <t>DALARNAS LÄN</t>
        </is>
      </c>
      <c r="E878" t="inlineStr">
        <is>
          <t>MORA</t>
        </is>
      </c>
      <c r="G878" t="n">
        <v>1.3</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45475</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23318-2024</t>
        </is>
      </c>
      <c r="B880" s="1" t="n">
        <v>45453</v>
      </c>
      <c r="C880" s="1" t="n">
        <v>45475</v>
      </c>
      <c r="D880" t="inlineStr">
        <is>
          <t>DALARNAS LÄN</t>
        </is>
      </c>
      <c r="E880" t="inlineStr">
        <is>
          <t>MORA</t>
        </is>
      </c>
      <c r="G880" t="n">
        <v>5.9</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45475</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23866-2024</t>
        </is>
      </c>
      <c r="B882" s="1" t="n">
        <v>45455</v>
      </c>
      <c r="C882" s="1" t="n">
        <v>45475</v>
      </c>
      <c r="D882" t="inlineStr">
        <is>
          <t>DALARNAS LÄN</t>
        </is>
      </c>
      <c r="E882" t="inlineStr">
        <is>
          <t>MORA</t>
        </is>
      </c>
      <c r="G882" t="n">
        <v>3.4</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45475</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45475</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45475</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24590-2024</t>
        </is>
      </c>
      <c r="B886" s="1" t="n">
        <v>45460</v>
      </c>
      <c r="C886" s="1" t="n">
        <v>45475</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24593-2024</t>
        </is>
      </c>
      <c r="B887" s="1" t="n">
        <v>45460</v>
      </c>
      <c r="C887" s="1" t="n">
        <v>45475</v>
      </c>
      <c r="D887" t="inlineStr">
        <is>
          <t>DALARNAS LÄN</t>
        </is>
      </c>
      <c r="E887" t="inlineStr">
        <is>
          <t>MORA</t>
        </is>
      </c>
      <c r="G887" t="n">
        <v>6.6</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45475</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45475</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45475</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25426-2024</t>
        </is>
      </c>
      <c r="B891" s="1" t="n">
        <v>45463</v>
      </c>
      <c r="C891" s="1" t="n">
        <v>45475</v>
      </c>
      <c r="D891" t="inlineStr">
        <is>
          <t>DALARNAS LÄN</t>
        </is>
      </c>
      <c r="E891" t="inlineStr">
        <is>
          <t>MORA</t>
        </is>
      </c>
      <c r="G891" t="n">
        <v>14.1</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45475</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45475</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45475</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26758-2024</t>
        </is>
      </c>
      <c r="B895" s="1" t="n">
        <v>45470</v>
      </c>
      <c r="C895" s="1" t="n">
        <v>45475</v>
      </c>
      <c r="D895" t="inlineStr">
        <is>
          <t>DALARNAS LÄN</t>
        </is>
      </c>
      <c r="E895" t="inlineStr">
        <is>
          <t>MORA</t>
        </is>
      </c>
      <c r="G895" t="n">
        <v>1.4</v>
      </c>
      <c r="H895" t="n">
        <v>0</v>
      </c>
      <c r="I895" t="n">
        <v>0</v>
      </c>
      <c r="J895" t="n">
        <v>0</v>
      </c>
      <c r="K895" t="n">
        <v>0</v>
      </c>
      <c r="L895" t="n">
        <v>0</v>
      </c>
      <c r="M895" t="n">
        <v>0</v>
      </c>
      <c r="N895" t="n">
        <v>0</v>
      </c>
      <c r="O895" t="n">
        <v>0</v>
      </c>
      <c r="P895" t="n">
        <v>0</v>
      </c>
      <c r="Q895" t="n">
        <v>0</v>
      </c>
      <c r="R895" s="2" t="inlineStr"/>
    </row>
    <row r="896" ht="15" customHeight="1">
      <c r="A896" t="inlineStr">
        <is>
          <t>A 26808-2024</t>
        </is>
      </c>
      <c r="B896" s="1" t="n">
        <v>45470</v>
      </c>
      <c r="C896" s="1" t="n">
        <v>45475</v>
      </c>
      <c r="D896" t="inlineStr">
        <is>
          <t>DALARNAS LÄN</t>
        </is>
      </c>
      <c r="E896" t="inlineStr">
        <is>
          <t>MORA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45475</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26810-2024</t>
        </is>
      </c>
      <c r="B898" s="1" t="n">
        <v>45470</v>
      </c>
      <c r="C898" s="1" t="n">
        <v>45475</v>
      </c>
      <c r="D898" t="inlineStr">
        <is>
          <t>DALARNAS LÄN</t>
        </is>
      </c>
      <c r="E898" t="inlineStr">
        <is>
          <t>MORA</t>
        </is>
      </c>
      <c r="G898" t="n">
        <v>2.7</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45475</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27254-2024</t>
        </is>
      </c>
      <c r="B900" s="1" t="n">
        <v>45471</v>
      </c>
      <c r="C900" s="1" t="n">
        <v>45475</v>
      </c>
      <c r="D900" t="inlineStr">
        <is>
          <t>DALARNAS LÄN</t>
        </is>
      </c>
      <c r="E900" t="inlineStr">
        <is>
          <t>MORA</t>
        </is>
      </c>
      <c r="G900" t="n">
        <v>0.8</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45475</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45475</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45475</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c r="A904" t="inlineStr">
        <is>
          <t>A 27483-2024</t>
        </is>
      </c>
      <c r="B904" s="1" t="n">
        <v>45474</v>
      </c>
      <c r="C904" s="1" t="n">
        <v>45475</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2024-07-02T10:43:37Z</dcterms:created>
  <dcterms:modified xmlns:dcterms="http://purl.org/dc/terms/" xmlns:xsi="http://www.w3.org/2001/XMLSchema-instance" xsi:type="dcterms:W3CDTF">2024-07-02T10:43:38Z</dcterms:modified>
</cp:coreProperties>
</file>