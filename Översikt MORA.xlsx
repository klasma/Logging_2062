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46084</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46084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46084</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46084</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46084</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46084</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46084</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46084</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46084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34714-2025</t>
        </is>
      </c>
      <c r="B25" s="1" t="n">
        <v>45848</v>
      </c>
      <c r="C25" s="1" t="n">
        <v>46084</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56940-2025</t>
        </is>
      </c>
      <c r="B26" s="1" t="n">
        <v>45978.62241898148</v>
      </c>
      <c r="C26" s="1" t="n">
        <v>46084</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29934-2025</t>
        </is>
      </c>
      <c r="B27" s="1" t="n">
        <v>45826</v>
      </c>
      <c r="C27" s="1" t="n">
        <v>46084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5064-2023</t>
        </is>
      </c>
      <c r="B28" s="1" t="n">
        <v>44958.60337962963</v>
      </c>
      <c r="C28" s="1" t="n">
        <v>46084</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35944-2024</t>
        </is>
      </c>
      <c r="B29" s="1" t="n">
        <v>45533.45853009259</v>
      </c>
      <c r="C29" s="1" t="n">
        <v>46084</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61943-2024</t>
        </is>
      </c>
      <c r="B30" s="1" t="n">
        <v>45653.49774305556</v>
      </c>
      <c r="C30" s="1" t="n">
        <v>46084</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46084</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46084</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46084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46084</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46084</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46084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46084</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46084</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46084</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46084</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46084</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46084</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46084</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46084</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46084</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46084</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46084</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53426-2025</t>
        </is>
      </c>
      <c r="B50" s="1" t="n">
        <v>45959.6131712963</v>
      </c>
      <c r="C50" s="1" t="n">
        <v>46084</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46084</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46084</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46084</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46084</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46084</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14829-2025</t>
        </is>
      </c>
      <c r="B56" s="1" t="n">
        <v>45743.36951388889</v>
      </c>
      <c r="C56" s="1" t="n">
        <v>46084</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39478-2025</t>
        </is>
      </c>
      <c r="B57" s="1" t="n">
        <v>45890.3469212963</v>
      </c>
      <c r="C57" s="1" t="n">
        <v>46084</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46084</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32222-2025</t>
        </is>
      </c>
      <c r="B59" s="1" t="n">
        <v>45835.59140046296</v>
      </c>
      <c r="C59" s="1" t="n">
        <v>46084</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61770-2025</t>
        </is>
      </c>
      <c r="B60" s="1" t="n">
        <v>46002.64605324074</v>
      </c>
      <c r="C60" s="1" t="n">
        <v>46084</v>
      </c>
      <c r="D60" t="inlineStr">
        <is>
          <t>DALARNAS LÄN</t>
        </is>
      </c>
      <c r="E60" t="inlineStr">
        <is>
          <t>MORA</t>
        </is>
      </c>
      <c r="G60" t="n">
        <v>10.2</v>
      </c>
      <c r="H60" t="n">
        <v>2</v>
      </c>
      <c r="I60" t="n">
        <v>1</v>
      </c>
      <c r="J60" t="n">
        <v>3</v>
      </c>
      <c r="K60" t="n">
        <v>0</v>
      </c>
      <c r="L60" t="n">
        <v>0</v>
      </c>
      <c r="M60" t="n">
        <v>0</v>
      </c>
      <c r="N60" t="n">
        <v>0</v>
      </c>
      <c r="O60" t="n">
        <v>3</v>
      </c>
      <c r="P60" t="n">
        <v>0</v>
      </c>
      <c r="Q60" t="n">
        <v>4</v>
      </c>
      <c r="R60" s="2" t="inlineStr">
        <is>
          <t>Garnlav
Spillkråka
Tretåig hackspett
Mindre märgborre</t>
        </is>
      </c>
      <c r="S60">
        <f>HYPERLINK("https://klasma.github.io/Logging_2062/artfynd/A 61770-2025 artfynd.xlsx", "A 61770-2025")</f>
        <v/>
      </c>
      <c r="T60">
        <f>HYPERLINK("https://klasma.github.io/Logging_2062/kartor/A 61770-2025 karta.png", "A 61770-2025")</f>
        <v/>
      </c>
      <c r="V60">
        <f>HYPERLINK("https://klasma.github.io/Logging_2062/klagomål/A 61770-2025 FSC-klagomål.docx", "A 61770-2025")</f>
        <v/>
      </c>
      <c r="W60">
        <f>HYPERLINK("https://klasma.github.io/Logging_2062/klagomålsmail/A 61770-2025 FSC-klagomål mail.docx", "A 61770-2025")</f>
        <v/>
      </c>
      <c r="X60">
        <f>HYPERLINK("https://klasma.github.io/Logging_2062/tillsyn/A 61770-2025 tillsynsbegäran.docx", "A 61770-2025")</f>
        <v/>
      </c>
      <c r="Y60">
        <f>HYPERLINK("https://klasma.github.io/Logging_2062/tillsynsmail/A 61770-2025 tillsynsbegäran mail.docx", "A 61770-2025")</f>
        <v/>
      </c>
      <c r="Z60">
        <f>HYPERLINK("https://klasma.github.io/Logging_2062/fåglar/A 61770-2025 prioriterade fågelarter.docx", "A 61770-2025")</f>
        <v/>
      </c>
    </row>
    <row r="61" ht="15" customHeight="1">
      <c r="A61" t="inlineStr">
        <is>
          <t>A 34715-2025</t>
        </is>
      </c>
      <c r="B61" s="1" t="n">
        <v>45848</v>
      </c>
      <c r="C61" s="1" t="n">
        <v>46084</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14293-2024</t>
        </is>
      </c>
      <c r="B62" s="1" t="n">
        <v>45393.63902777778</v>
      </c>
      <c r="C62" s="1" t="n">
        <v>46084</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46084</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23163-2025</t>
        </is>
      </c>
      <c r="B64" s="1" t="n">
        <v>45791.41832175926</v>
      </c>
      <c r="C64" s="1" t="n">
        <v>46084</v>
      </c>
      <c r="D64" t="inlineStr">
        <is>
          <t>DALARNAS LÄN</t>
        </is>
      </c>
      <c r="E64" t="inlineStr">
        <is>
          <t>MORA</t>
        </is>
      </c>
      <c r="G64" t="n">
        <v>4.2</v>
      </c>
      <c r="H64" t="n">
        <v>2</v>
      </c>
      <c r="I64" t="n">
        <v>0</v>
      </c>
      <c r="J64" t="n">
        <v>3</v>
      </c>
      <c r="K64" t="n">
        <v>0</v>
      </c>
      <c r="L64" t="n">
        <v>0</v>
      </c>
      <c r="M64" t="n">
        <v>0</v>
      </c>
      <c r="N64" t="n">
        <v>0</v>
      </c>
      <c r="O64" t="n">
        <v>3</v>
      </c>
      <c r="P64" t="n">
        <v>0</v>
      </c>
      <c r="Q64" t="n">
        <v>3</v>
      </c>
      <c r="R64" s="2" t="inlineStr">
        <is>
          <t>Garnlav
Spillkråka
Talltita</t>
        </is>
      </c>
      <c r="S64">
        <f>HYPERLINK("https://klasma.github.io/Logging_2062/artfynd/A 23163-2025 artfynd.xlsx", "A 23163-2025")</f>
        <v/>
      </c>
      <c r="T64">
        <f>HYPERLINK("https://klasma.github.io/Logging_2062/kartor/A 23163-2025 karta.png", "A 23163-2025")</f>
        <v/>
      </c>
      <c r="U64">
        <f>HYPERLINK("https://klasma.github.io/Logging_2062/knärot/A 23163-2025 karta knärot.png",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39481-2025</t>
        </is>
      </c>
      <c r="B65" s="1" t="n">
        <v>45890.35545138889</v>
      </c>
      <c r="C65" s="1" t="n">
        <v>46084</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29392-2025</t>
        </is>
      </c>
      <c r="B66" s="1" t="n">
        <v>45824.60537037037</v>
      </c>
      <c r="C66" s="1" t="n">
        <v>46084</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49695-2025</t>
        </is>
      </c>
      <c r="B67" s="1" t="n">
        <v>45939.67418981482</v>
      </c>
      <c r="C67" s="1" t="n">
        <v>46084</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49695-2025 artfynd.xlsx", "A 49695-2025")</f>
        <v/>
      </c>
      <c r="T67">
        <f>HYPERLINK("https://klasma.github.io/Logging_2062/kartor/A 49695-2025 karta.png", "A 49695-2025")</f>
        <v/>
      </c>
      <c r="V67">
        <f>HYPERLINK("https://klasma.github.io/Logging_2062/klagomål/A 49695-2025 FSC-klagomål.docx", "A 49695-2025")</f>
        <v/>
      </c>
      <c r="W67">
        <f>HYPERLINK("https://klasma.github.io/Logging_2062/klagomålsmail/A 49695-2025 FSC-klagomål mail.docx", "A 49695-2025")</f>
        <v/>
      </c>
      <c r="X67">
        <f>HYPERLINK("https://klasma.github.io/Logging_2062/tillsyn/A 49695-2025 tillsynsbegäran.docx", "A 49695-2025")</f>
        <v/>
      </c>
      <c r="Y67">
        <f>HYPERLINK("https://klasma.github.io/Logging_2062/tillsynsmail/A 49695-2025 tillsynsbegäran mail.docx", "A 49695-2025")</f>
        <v/>
      </c>
      <c r="Z67">
        <f>HYPERLINK("https://klasma.github.io/Logging_2062/fåglar/A 49695-2025 prioriterade fågelarter.docx", "A 49695-2025")</f>
        <v/>
      </c>
    </row>
    <row r="68" ht="15" customHeight="1">
      <c r="A68" t="inlineStr">
        <is>
          <t>A 8878-2026</t>
        </is>
      </c>
      <c r="B68" s="1" t="n">
        <v>46067.50817129629</v>
      </c>
      <c r="C68" s="1" t="n">
        <v>46084</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62620-2025</t>
        </is>
      </c>
      <c r="B69" s="1" t="n">
        <v>46008.34148148148</v>
      </c>
      <c r="C69" s="1" t="n">
        <v>46084</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35068-2025</t>
        </is>
      </c>
      <c r="B70" s="1" t="n">
        <v>45852.45686342593</v>
      </c>
      <c r="C70" s="1" t="n">
        <v>46084</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2729-2026</t>
        </is>
      </c>
      <c r="B71" s="1" t="n">
        <v>46037.84224537037</v>
      </c>
      <c r="C71" s="1" t="n">
        <v>46084</v>
      </c>
      <c r="D71" t="inlineStr">
        <is>
          <t>DALARNAS LÄN</t>
        </is>
      </c>
      <c r="E71" t="inlineStr">
        <is>
          <t>MORA</t>
        </is>
      </c>
      <c r="G71" t="n">
        <v>18.5</v>
      </c>
      <c r="H71" t="n">
        <v>2</v>
      </c>
      <c r="I71" t="n">
        <v>0</v>
      </c>
      <c r="J71" t="n">
        <v>2</v>
      </c>
      <c r="K71" t="n">
        <v>0</v>
      </c>
      <c r="L71" t="n">
        <v>0</v>
      </c>
      <c r="M71" t="n">
        <v>0</v>
      </c>
      <c r="N71" t="n">
        <v>0</v>
      </c>
      <c r="O71" t="n">
        <v>2</v>
      </c>
      <c r="P71" t="n">
        <v>0</v>
      </c>
      <c r="Q71" t="n">
        <v>2</v>
      </c>
      <c r="R71" s="2" t="inlineStr">
        <is>
          <t>Spillkråka
Tretåig hackspett</t>
        </is>
      </c>
      <c r="S71">
        <f>HYPERLINK("https://klasma.github.io/Logging_2062/artfynd/A 2729-2026 artfynd.xlsx", "A 2729-2026")</f>
        <v/>
      </c>
      <c r="T71">
        <f>HYPERLINK("https://klasma.github.io/Logging_2062/kartor/A 2729-2026 karta.png", "A 2729-2026")</f>
        <v/>
      </c>
      <c r="V71">
        <f>HYPERLINK("https://klasma.github.io/Logging_2062/klagomål/A 2729-2026 FSC-klagomål.docx", "A 2729-2026")</f>
        <v/>
      </c>
      <c r="W71">
        <f>HYPERLINK("https://klasma.github.io/Logging_2062/klagomålsmail/A 2729-2026 FSC-klagomål mail.docx", "A 2729-2026")</f>
        <v/>
      </c>
      <c r="X71">
        <f>HYPERLINK("https://klasma.github.io/Logging_2062/tillsyn/A 2729-2026 tillsynsbegäran.docx", "A 2729-2026")</f>
        <v/>
      </c>
      <c r="Y71">
        <f>HYPERLINK("https://klasma.github.io/Logging_2062/tillsynsmail/A 2729-2026 tillsynsbegäran mail.docx", "A 2729-2026")</f>
        <v/>
      </c>
      <c r="Z71">
        <f>HYPERLINK("https://klasma.github.io/Logging_2062/fåglar/A 2729-2026 prioriterade fågelarter.docx", "A 2729-2026")</f>
        <v/>
      </c>
    </row>
    <row r="72" ht="15" customHeight="1">
      <c r="A72" t="inlineStr">
        <is>
          <t>A 42028-2023</t>
        </is>
      </c>
      <c r="B72" s="1" t="n">
        <v>45177.49715277777</v>
      </c>
      <c r="C72" s="1" t="n">
        <v>46084</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37552-2023</t>
        </is>
      </c>
      <c r="B73" s="1" t="n">
        <v>45159.32799768518</v>
      </c>
      <c r="C73" s="1" t="n">
        <v>46084</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5304-2023</t>
        </is>
      </c>
      <c r="B74" s="1" t="n">
        <v>44959.55116898148</v>
      </c>
      <c r="C74" s="1" t="n">
        <v>46084</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46084</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16094-2024</t>
        </is>
      </c>
      <c r="B76" s="1" t="n">
        <v>45406.41648148148</v>
      </c>
      <c r="C76" s="1" t="n">
        <v>46084</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45344-2024</t>
        </is>
      </c>
      <c r="B77" s="1" t="n">
        <v>45576</v>
      </c>
      <c r="C77" s="1" t="n">
        <v>46084</v>
      </c>
      <c r="D77" t="inlineStr">
        <is>
          <t>DALARNAS LÄN</t>
        </is>
      </c>
      <c r="E77" t="inlineStr">
        <is>
          <t>MORA</t>
        </is>
      </c>
      <c r="G77" t="n">
        <v>0.9</v>
      </c>
      <c r="H77" t="n">
        <v>0</v>
      </c>
      <c r="I77" t="n">
        <v>0</v>
      </c>
      <c r="J77" t="n">
        <v>1</v>
      </c>
      <c r="K77" t="n">
        <v>0</v>
      </c>
      <c r="L77" t="n">
        <v>0</v>
      </c>
      <c r="M77" t="n">
        <v>0</v>
      </c>
      <c r="N77" t="n">
        <v>0</v>
      </c>
      <c r="O77" t="n">
        <v>1</v>
      </c>
      <c r="P77" t="n">
        <v>0</v>
      </c>
      <c r="Q77" t="n">
        <v>1</v>
      </c>
      <c r="R77" s="2" t="inlineStr">
        <is>
          <t>Garnlav</t>
        </is>
      </c>
      <c r="S77">
        <f>HYPERLINK("https://klasma.github.io/Logging_2062/artfynd/A 45344-2024 artfynd.xlsx", "A 45344-2024")</f>
        <v/>
      </c>
      <c r="T77">
        <f>HYPERLINK("https://klasma.github.io/Logging_2062/kartor/A 45344-2024 karta.png", "A 45344-2024")</f>
        <v/>
      </c>
      <c r="V77">
        <f>HYPERLINK("https://klasma.github.io/Logging_2062/klagomål/A 45344-2024 FSC-klagomål.docx", "A 45344-2024")</f>
        <v/>
      </c>
      <c r="W77">
        <f>HYPERLINK("https://klasma.github.io/Logging_2062/klagomålsmail/A 45344-2024 FSC-klagomål mail.docx", "A 45344-2024")</f>
        <v/>
      </c>
      <c r="X77">
        <f>HYPERLINK("https://klasma.github.io/Logging_2062/tillsyn/A 45344-2024 tillsynsbegäran.docx", "A 45344-2024")</f>
        <v/>
      </c>
      <c r="Y77">
        <f>HYPERLINK("https://klasma.github.io/Logging_2062/tillsynsmail/A 45344-2024 tillsynsbegäran mail.docx", "A 45344-2024")</f>
        <v/>
      </c>
    </row>
    <row r="78" ht="15" customHeight="1">
      <c r="A78" t="inlineStr">
        <is>
          <t>A 30328-2021</t>
        </is>
      </c>
      <c r="B78" s="1" t="n">
        <v>44364</v>
      </c>
      <c r="C78" s="1" t="n">
        <v>46084</v>
      </c>
      <c r="D78" t="inlineStr">
        <is>
          <t>DALARNAS LÄN</t>
        </is>
      </c>
      <c r="E78" t="inlineStr">
        <is>
          <t>MORA</t>
        </is>
      </c>
      <c r="F78" t="inlineStr">
        <is>
          <t>Bergvik skog öst AB</t>
        </is>
      </c>
      <c r="G78" t="n">
        <v>1.1</v>
      </c>
      <c r="H78" t="n">
        <v>1</v>
      </c>
      <c r="I78" t="n">
        <v>0</v>
      </c>
      <c r="J78" t="n">
        <v>1</v>
      </c>
      <c r="K78" t="n">
        <v>0</v>
      </c>
      <c r="L78" t="n">
        <v>0</v>
      </c>
      <c r="M78" t="n">
        <v>0</v>
      </c>
      <c r="N78" t="n">
        <v>0</v>
      </c>
      <c r="O78" t="n">
        <v>1</v>
      </c>
      <c r="P78" t="n">
        <v>0</v>
      </c>
      <c r="Q78" t="n">
        <v>1</v>
      </c>
      <c r="R78" s="2" t="inlineStr">
        <is>
          <t>Fjällvråk</t>
        </is>
      </c>
      <c r="S78">
        <f>HYPERLINK("https://klasma.github.io/Logging_2062/artfynd/A 30328-2021 artfynd.xlsx", "A 30328-2021")</f>
        <v/>
      </c>
      <c r="T78">
        <f>HYPERLINK("https://klasma.github.io/Logging_2062/kartor/A 30328-2021 karta.png", "A 30328-2021")</f>
        <v/>
      </c>
      <c r="V78">
        <f>HYPERLINK("https://klasma.github.io/Logging_2062/klagomål/A 30328-2021 FSC-klagomål.docx", "A 30328-2021")</f>
        <v/>
      </c>
      <c r="W78">
        <f>HYPERLINK("https://klasma.github.io/Logging_2062/klagomålsmail/A 30328-2021 FSC-klagomål mail.docx", "A 30328-2021")</f>
        <v/>
      </c>
      <c r="X78">
        <f>HYPERLINK("https://klasma.github.io/Logging_2062/tillsyn/A 30328-2021 tillsynsbegäran.docx", "A 30328-2021")</f>
        <v/>
      </c>
      <c r="Y78">
        <f>HYPERLINK("https://klasma.github.io/Logging_2062/tillsynsmail/A 30328-2021 tillsynsbegäran mail.docx", "A 30328-2021")</f>
        <v/>
      </c>
      <c r="Z78">
        <f>HYPERLINK("https://klasma.github.io/Logging_2062/fåglar/A 30328-2021 prioriterade fågelarter.docx", "A 30328-2021")</f>
        <v/>
      </c>
    </row>
    <row r="79" ht="15" customHeight="1">
      <c r="A79" t="inlineStr">
        <is>
          <t>A 62096-2025</t>
        </is>
      </c>
      <c r="B79" s="1" t="n">
        <v>46006.38961805555</v>
      </c>
      <c r="C79" s="1" t="n">
        <v>46084</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Garnlav</t>
        </is>
      </c>
      <c r="S79">
        <f>HYPERLINK("https://klasma.github.io/Logging_2062/artfynd/A 62096-2025 artfynd.xlsx", "A 62096-2025")</f>
        <v/>
      </c>
      <c r="T79">
        <f>HYPERLINK("https://klasma.github.io/Logging_2062/kartor/A 62096-2025 karta.png", "A 62096-2025")</f>
        <v/>
      </c>
      <c r="V79">
        <f>HYPERLINK("https://klasma.github.io/Logging_2062/klagomål/A 62096-2025 FSC-klagomål.docx", "A 62096-2025")</f>
        <v/>
      </c>
      <c r="W79">
        <f>HYPERLINK("https://klasma.github.io/Logging_2062/klagomålsmail/A 62096-2025 FSC-klagomål mail.docx", "A 62096-2025")</f>
        <v/>
      </c>
      <c r="X79">
        <f>HYPERLINK("https://klasma.github.io/Logging_2062/tillsyn/A 62096-2025 tillsynsbegäran.docx", "A 62096-2025")</f>
        <v/>
      </c>
      <c r="Y79">
        <f>HYPERLINK("https://klasma.github.io/Logging_2062/tillsynsmail/A 62096-2025 tillsynsbegäran mail.docx", "A 62096-2025")</f>
        <v/>
      </c>
    </row>
    <row r="80" ht="15" customHeight="1">
      <c r="A80" t="inlineStr">
        <is>
          <t>A 13717-2023</t>
        </is>
      </c>
      <c r="B80" s="1" t="n">
        <v>45007</v>
      </c>
      <c r="C80" s="1" t="n">
        <v>46084</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20538-2025</t>
        </is>
      </c>
      <c r="B81" s="1" t="n">
        <v>45775.62283564815</v>
      </c>
      <c r="C81" s="1" t="n">
        <v>46084</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20538-2025 artfynd.xlsx", "A 20538-2025")</f>
        <v/>
      </c>
      <c r="T81">
        <f>HYPERLINK("https://klasma.github.io/Logging_2062/kartor/A 20538-2025 karta.png", "A 20538-2025")</f>
        <v/>
      </c>
      <c r="V81">
        <f>HYPERLINK("https://klasma.github.io/Logging_2062/klagomål/A 20538-2025 FSC-klagomål.docx", "A 20538-2025")</f>
        <v/>
      </c>
      <c r="W81">
        <f>HYPERLINK("https://klasma.github.io/Logging_2062/klagomålsmail/A 20538-2025 FSC-klagomål mail.docx", "A 20538-2025")</f>
        <v/>
      </c>
      <c r="X81">
        <f>HYPERLINK("https://klasma.github.io/Logging_2062/tillsyn/A 20538-2025 tillsynsbegäran.docx", "A 20538-2025")</f>
        <v/>
      </c>
      <c r="Y81">
        <f>HYPERLINK("https://klasma.github.io/Logging_2062/tillsynsmail/A 20538-2025 tillsynsbegäran mail.docx", "A 20538-2025")</f>
        <v/>
      </c>
    </row>
    <row r="82" ht="15" customHeight="1">
      <c r="A82" t="inlineStr">
        <is>
          <t>A 831-2025</t>
        </is>
      </c>
      <c r="B82" s="1" t="n">
        <v>45665.58001157407</v>
      </c>
      <c r="C82" s="1" t="n">
        <v>46084</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68415-2021</t>
        </is>
      </c>
      <c r="B83" s="1" t="n">
        <v>44529</v>
      </c>
      <c r="C83" s="1" t="n">
        <v>46084</v>
      </c>
      <c r="D83" t="inlineStr">
        <is>
          <t>DALARNAS LÄN</t>
        </is>
      </c>
      <c r="E83" t="inlineStr">
        <is>
          <t>MORA</t>
        </is>
      </c>
      <c r="G83" t="n">
        <v>1.2</v>
      </c>
      <c r="H83" t="n">
        <v>1</v>
      </c>
      <c r="I83" t="n">
        <v>0</v>
      </c>
      <c r="J83" t="n">
        <v>0</v>
      </c>
      <c r="K83" t="n">
        <v>0</v>
      </c>
      <c r="L83" t="n">
        <v>0</v>
      </c>
      <c r="M83" t="n">
        <v>0</v>
      </c>
      <c r="N83" t="n">
        <v>0</v>
      </c>
      <c r="O83" t="n">
        <v>0</v>
      </c>
      <c r="P83" t="n">
        <v>0</v>
      </c>
      <c r="Q83" t="n">
        <v>1</v>
      </c>
      <c r="R83" s="2" t="inlineStr">
        <is>
          <t>Sparvuggla</t>
        </is>
      </c>
      <c r="S83">
        <f>HYPERLINK("https://klasma.github.io/Logging_2062/artfynd/A 68415-2021 artfynd.xlsx", "A 68415-2021")</f>
        <v/>
      </c>
      <c r="T83">
        <f>HYPERLINK("https://klasma.github.io/Logging_2062/kartor/A 68415-2021 karta.png", "A 68415-2021")</f>
        <v/>
      </c>
      <c r="V83">
        <f>HYPERLINK("https://klasma.github.io/Logging_2062/klagomål/A 68415-2021 FSC-klagomål.docx", "A 68415-2021")</f>
        <v/>
      </c>
      <c r="W83">
        <f>HYPERLINK("https://klasma.github.io/Logging_2062/klagomålsmail/A 68415-2021 FSC-klagomål mail.docx", "A 68415-2021")</f>
        <v/>
      </c>
      <c r="X83">
        <f>HYPERLINK("https://klasma.github.io/Logging_2062/tillsyn/A 68415-2021 tillsynsbegäran.docx", "A 68415-2021")</f>
        <v/>
      </c>
      <c r="Y83">
        <f>HYPERLINK("https://klasma.github.io/Logging_2062/tillsynsmail/A 68415-2021 tillsynsbegäran mail.docx", "A 68415-2021")</f>
        <v/>
      </c>
      <c r="Z83">
        <f>HYPERLINK("https://klasma.github.io/Logging_2062/fåglar/A 68415-2021 prioriterade fågelarter.docx", "A 68415-2021")</f>
        <v/>
      </c>
    </row>
    <row r="84" ht="15" customHeight="1">
      <c r="A84" t="inlineStr">
        <is>
          <t>A 57669-2022</t>
        </is>
      </c>
      <c r="B84" s="1" t="n">
        <v>44897</v>
      </c>
      <c r="C84" s="1" t="n">
        <v>46084</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Igelkott</t>
        </is>
      </c>
      <c r="S84">
        <f>HYPERLINK("https://klasma.github.io/Logging_2062/artfynd/A 57669-2022 artfynd.xlsx", "A 57669-2022")</f>
        <v/>
      </c>
      <c r="T84">
        <f>HYPERLINK("https://klasma.github.io/Logging_2062/kartor/A 57669-2022 karta.png", "A 57669-2022")</f>
        <v/>
      </c>
      <c r="V84">
        <f>HYPERLINK("https://klasma.github.io/Logging_2062/klagomål/A 57669-2022 FSC-klagomål.docx", "A 57669-2022")</f>
        <v/>
      </c>
      <c r="W84">
        <f>HYPERLINK("https://klasma.github.io/Logging_2062/klagomålsmail/A 57669-2022 FSC-klagomål mail.docx", "A 57669-2022")</f>
        <v/>
      </c>
      <c r="X84">
        <f>HYPERLINK("https://klasma.github.io/Logging_2062/tillsyn/A 57669-2022 tillsynsbegäran.docx", "A 57669-2022")</f>
        <v/>
      </c>
      <c r="Y84">
        <f>HYPERLINK("https://klasma.github.io/Logging_2062/tillsynsmail/A 57669-2022 tillsynsbegäran mail.docx", "A 57669-2022")</f>
        <v/>
      </c>
    </row>
    <row r="85" ht="15" customHeight="1">
      <c r="A85" t="inlineStr">
        <is>
          <t>A 23736-2023</t>
        </is>
      </c>
      <c r="B85" s="1" t="n">
        <v>45077</v>
      </c>
      <c r="C85" s="1" t="n">
        <v>46084</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38769-2021</t>
        </is>
      </c>
      <c r="B86" s="1" t="n">
        <v>44410</v>
      </c>
      <c r="C86" s="1" t="n">
        <v>46084</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46084</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42505-2021</t>
        </is>
      </c>
      <c r="B88" s="1" t="n">
        <v>44427</v>
      </c>
      <c r="C88" s="1" t="n">
        <v>46084</v>
      </c>
      <c r="D88" t="inlineStr">
        <is>
          <t>DALARNAS LÄN</t>
        </is>
      </c>
      <c r="E88" t="inlineStr">
        <is>
          <t>MORA</t>
        </is>
      </c>
      <c r="G88" t="n">
        <v>0.9</v>
      </c>
      <c r="H88" t="n">
        <v>0</v>
      </c>
      <c r="I88" t="n">
        <v>0</v>
      </c>
      <c r="J88" t="n">
        <v>0</v>
      </c>
      <c r="K88" t="n">
        <v>0</v>
      </c>
      <c r="L88" t="n">
        <v>0</v>
      </c>
      <c r="M88" t="n">
        <v>0</v>
      </c>
      <c r="N88" t="n">
        <v>0</v>
      </c>
      <c r="O88" t="n">
        <v>0</v>
      </c>
      <c r="P88" t="n">
        <v>0</v>
      </c>
      <c r="Q88" t="n">
        <v>0</v>
      </c>
      <c r="R88" s="2" t="inlineStr"/>
    </row>
    <row r="89" ht="15" customHeight="1">
      <c r="A89" t="inlineStr">
        <is>
          <t>A 72648-2021</t>
        </is>
      </c>
      <c r="B89" s="1" t="n">
        <v>44546.5862037037</v>
      </c>
      <c r="C89" s="1" t="n">
        <v>46084</v>
      </c>
      <c r="D89" t="inlineStr">
        <is>
          <t>DALARNAS LÄN</t>
        </is>
      </c>
      <c r="E89" t="inlineStr">
        <is>
          <t>MORA</t>
        </is>
      </c>
      <c r="G89" t="n">
        <v>0.2</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46084</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38651-2022</t>
        </is>
      </c>
      <c r="B91" s="1" t="n">
        <v>44813</v>
      </c>
      <c r="C91" s="1" t="n">
        <v>46084</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66158-2021</t>
        </is>
      </c>
      <c r="B92" s="1" t="n">
        <v>44517.934375</v>
      </c>
      <c r="C92" s="1" t="n">
        <v>46084</v>
      </c>
      <c r="D92" t="inlineStr">
        <is>
          <t>DALARNAS LÄN</t>
        </is>
      </c>
      <c r="E92" t="inlineStr">
        <is>
          <t>MORA</t>
        </is>
      </c>
      <c r="G92" t="n">
        <v>3.3</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46084</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46084</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46084</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46084</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46084</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46084</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46084</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46084</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46084</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46084</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41022-2021</t>
        </is>
      </c>
      <c r="B103" s="1" t="n">
        <v>44421</v>
      </c>
      <c r="C103" s="1" t="n">
        <v>46084</v>
      </c>
      <c r="D103" t="inlineStr">
        <is>
          <t>DALARNAS LÄN</t>
        </is>
      </c>
      <c r="E103" t="inlineStr">
        <is>
          <t>MORA</t>
        </is>
      </c>
      <c r="G103" t="n">
        <v>11.9</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46084</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46084</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46084</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46084</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46084</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46084</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46084</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46084</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46084</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46084</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46084</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46084</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46084</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46084</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46084</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46084</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46084</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46084</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46084</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46084</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46084</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46084</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46084</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46084</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46084</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46084</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46084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46084</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46084</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46084</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71702-2021</t>
        </is>
      </c>
      <c r="B134" s="1" t="n">
        <v>44543</v>
      </c>
      <c r="C134" s="1" t="n">
        <v>46084</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17904-2021</t>
        </is>
      </c>
      <c r="B135" s="1" t="n">
        <v>44301</v>
      </c>
      <c r="C135" s="1" t="n">
        <v>46084</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44680.4265162037</v>
      </c>
      <c r="C136" s="1" t="n">
        <v>46084</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58961-2021</t>
        </is>
      </c>
      <c r="B137" s="1" t="n">
        <v>44489.94246527777</v>
      </c>
      <c r="C137" s="1" t="n">
        <v>46084</v>
      </c>
      <c r="D137" t="inlineStr">
        <is>
          <t>DALARNAS LÄN</t>
        </is>
      </c>
      <c r="E137" t="inlineStr">
        <is>
          <t>MORA</t>
        </is>
      </c>
      <c r="G137" t="n">
        <v>18</v>
      </c>
      <c r="H137" t="n">
        <v>0</v>
      </c>
      <c r="I137" t="n">
        <v>0</v>
      </c>
      <c r="J137" t="n">
        <v>0</v>
      </c>
      <c r="K137" t="n">
        <v>0</v>
      </c>
      <c r="L137" t="n">
        <v>0</v>
      </c>
      <c r="M137" t="n">
        <v>0</v>
      </c>
      <c r="N137" t="n">
        <v>0</v>
      </c>
      <c r="O137" t="n">
        <v>0</v>
      </c>
      <c r="P137" t="n">
        <v>0</v>
      </c>
      <c r="Q137" t="n">
        <v>0</v>
      </c>
      <c r="R137" s="2" t="inlineStr"/>
    </row>
    <row r="138" ht="15" customHeight="1">
      <c r="A138" t="inlineStr">
        <is>
          <t>A 27461-2022</t>
        </is>
      </c>
      <c r="B138" s="1" t="n">
        <v>44742.58386574074</v>
      </c>
      <c r="C138" s="1" t="n">
        <v>46084</v>
      </c>
      <c r="D138" t="inlineStr">
        <is>
          <t>DALARNAS LÄN</t>
        </is>
      </c>
      <c r="E138" t="inlineStr">
        <is>
          <t>MORA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32474-2022</t>
        </is>
      </c>
      <c r="B139" s="1" t="n">
        <v>44782</v>
      </c>
      <c r="C139" s="1" t="n">
        <v>46084</v>
      </c>
      <c r="D139" t="inlineStr">
        <is>
          <t>DALARNAS LÄN</t>
        </is>
      </c>
      <c r="E139" t="inlineStr">
        <is>
          <t>MORA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46084</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46084</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46084</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46084</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46084</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20594-2025</t>
        </is>
      </c>
      <c r="B145" s="1" t="n">
        <v>45775.74009259259</v>
      </c>
      <c r="C145" s="1" t="n">
        <v>46084</v>
      </c>
      <c r="D145" t="inlineStr">
        <is>
          <t>DALARNAS LÄN</t>
        </is>
      </c>
      <c r="E145" t="inlineStr">
        <is>
          <t>MORA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58413-2021</t>
        </is>
      </c>
      <c r="B146" s="1" t="n">
        <v>44488</v>
      </c>
      <c r="C146" s="1" t="n">
        <v>46084</v>
      </c>
      <c r="D146" t="inlineStr">
        <is>
          <t>DALARNAS LÄN</t>
        </is>
      </c>
      <c r="E146" t="inlineStr">
        <is>
          <t>MORA</t>
        </is>
      </c>
      <c r="F146" t="inlineStr">
        <is>
          <t>Bergvik skog öst AB</t>
        </is>
      </c>
      <c r="G146" t="n">
        <v>5.3</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46084</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46084</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4488-2022</t>
        </is>
      </c>
      <c r="B149" s="1" t="n">
        <v>44589.65528935185</v>
      </c>
      <c r="C149" s="1" t="n">
        <v>46084</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60526-2023</t>
        </is>
      </c>
      <c r="B150" s="1" t="n">
        <v>45259</v>
      </c>
      <c r="C150" s="1" t="n">
        <v>46084</v>
      </c>
      <c r="D150" t="inlineStr">
        <is>
          <t>DALARNAS LÄN</t>
        </is>
      </c>
      <c r="E150" t="inlineStr">
        <is>
          <t>MORA</t>
        </is>
      </c>
      <c r="G150" t="n">
        <v>6.7</v>
      </c>
      <c r="H150" t="n">
        <v>0</v>
      </c>
      <c r="I150" t="n">
        <v>0</v>
      </c>
      <c r="J150" t="n">
        <v>0</v>
      </c>
      <c r="K150" t="n">
        <v>0</v>
      </c>
      <c r="L150" t="n">
        <v>0</v>
      </c>
      <c r="M150" t="n">
        <v>0</v>
      </c>
      <c r="N150" t="n">
        <v>0</v>
      </c>
      <c r="O150" t="n">
        <v>0</v>
      </c>
      <c r="P150" t="n">
        <v>0</v>
      </c>
      <c r="Q150" t="n">
        <v>0</v>
      </c>
      <c r="R150" s="2" t="inlineStr"/>
    </row>
    <row r="151" ht="15" customHeight="1">
      <c r="A151" t="inlineStr">
        <is>
          <t>A 53341-2023</t>
        </is>
      </c>
      <c r="B151" s="1" t="n">
        <v>45229</v>
      </c>
      <c r="C151" s="1" t="n">
        <v>46084</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46084</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12828-2023</t>
        </is>
      </c>
      <c r="B153" s="1" t="n">
        <v>45001</v>
      </c>
      <c r="C153" s="1" t="n">
        <v>46084</v>
      </c>
      <c r="D153" t="inlineStr">
        <is>
          <t>DALARNAS LÄN</t>
        </is>
      </c>
      <c r="E153" t="inlineStr">
        <is>
          <t>MORA</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46084</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35287-2024</t>
        </is>
      </c>
      <c r="B155" s="1" t="n">
        <v>45530</v>
      </c>
      <c r="C155" s="1" t="n">
        <v>46084</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39348-2024</t>
        </is>
      </c>
      <c r="B156" s="1" t="n">
        <v>45551.45322916667</v>
      </c>
      <c r="C156" s="1" t="n">
        <v>46084</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56501-2021</t>
        </is>
      </c>
      <c r="B157" s="1" t="n">
        <v>44480.57549768518</v>
      </c>
      <c r="C157" s="1" t="n">
        <v>46084</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21410-2023</t>
        </is>
      </c>
      <c r="B158" s="1" t="n">
        <v>45063</v>
      </c>
      <c r="C158" s="1" t="n">
        <v>46084</v>
      </c>
      <c r="D158" t="inlineStr">
        <is>
          <t>DALARNAS LÄN</t>
        </is>
      </c>
      <c r="E158" t="inlineStr">
        <is>
          <t>MORA</t>
        </is>
      </c>
      <c r="G158" t="n">
        <v>7</v>
      </c>
      <c r="H158" t="n">
        <v>0</v>
      </c>
      <c r="I158" t="n">
        <v>0</v>
      </c>
      <c r="J158" t="n">
        <v>0</v>
      </c>
      <c r="K158" t="n">
        <v>0</v>
      </c>
      <c r="L158" t="n">
        <v>0</v>
      </c>
      <c r="M158" t="n">
        <v>0</v>
      </c>
      <c r="N158" t="n">
        <v>0</v>
      </c>
      <c r="O158" t="n">
        <v>0</v>
      </c>
      <c r="P158" t="n">
        <v>0</v>
      </c>
      <c r="Q158" t="n">
        <v>0</v>
      </c>
      <c r="R158" s="2" t="inlineStr"/>
    </row>
    <row r="159" ht="15" customHeight="1">
      <c r="A159" t="inlineStr">
        <is>
          <t>A 54903-2024</t>
        </is>
      </c>
      <c r="B159" s="1" t="n">
        <v>45618</v>
      </c>
      <c r="C159" s="1" t="n">
        <v>46084</v>
      </c>
      <c r="D159" t="inlineStr">
        <is>
          <t>DALARNAS LÄN</t>
        </is>
      </c>
      <c r="E159" t="inlineStr">
        <is>
          <t>MORA</t>
        </is>
      </c>
      <c r="G159" t="n">
        <v>28.2</v>
      </c>
      <c r="H159" t="n">
        <v>0</v>
      </c>
      <c r="I159" t="n">
        <v>0</v>
      </c>
      <c r="J159" t="n">
        <v>0</v>
      </c>
      <c r="K159" t="n">
        <v>0</v>
      </c>
      <c r="L159" t="n">
        <v>0</v>
      </c>
      <c r="M159" t="n">
        <v>0</v>
      </c>
      <c r="N159" t="n">
        <v>0</v>
      </c>
      <c r="O159" t="n">
        <v>0</v>
      </c>
      <c r="P159" t="n">
        <v>0</v>
      </c>
      <c r="Q159" t="n">
        <v>0</v>
      </c>
      <c r="R159" s="2" t="inlineStr"/>
    </row>
    <row r="160" ht="15" customHeight="1">
      <c r="A160" t="inlineStr">
        <is>
          <t>A 23302-2024</t>
        </is>
      </c>
      <c r="B160" s="1" t="n">
        <v>45453.44091435185</v>
      </c>
      <c r="C160" s="1" t="n">
        <v>46084</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3531-2024</t>
        </is>
      </c>
      <c r="B161" s="1" t="n">
        <v>45320</v>
      </c>
      <c r="C161" s="1" t="n">
        <v>46084</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c r="U161">
        <f>HYPERLINK("https://klasma.github.io/Logging_2062/knärot/A 3531-2024 karta knärot.png", "A 3531-2024")</f>
        <v/>
      </c>
      <c r="V161">
        <f>HYPERLINK("https://klasma.github.io/Logging_2062/klagomål/A 3531-2024 FSC-klagomål.docx", "A 3531-2024")</f>
        <v/>
      </c>
      <c r="W161">
        <f>HYPERLINK("https://klasma.github.io/Logging_2062/klagomålsmail/A 3531-2024 FSC-klagomål mail.docx", "A 3531-2024")</f>
        <v/>
      </c>
      <c r="X161">
        <f>HYPERLINK("https://klasma.github.io/Logging_2062/tillsyn/A 3531-2024 tillsynsbegäran.docx", "A 3531-2024")</f>
        <v/>
      </c>
      <c r="Y161">
        <f>HYPERLINK("https://klasma.github.io/Logging_2062/tillsynsmail/A 3531-2024 tillsynsbegäran mail.docx", "A 3531-2024")</f>
        <v/>
      </c>
    </row>
    <row r="162" ht="15" customHeight="1">
      <c r="A162" t="inlineStr">
        <is>
          <t>A 45475-2023</t>
        </is>
      </c>
      <c r="B162" s="1" t="n">
        <v>45188</v>
      </c>
      <c r="C162" s="1" t="n">
        <v>46084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44071-2024</t>
        </is>
      </c>
      <c r="B163" s="1" t="n">
        <v>45572.60915509259</v>
      </c>
      <c r="C163" s="1" t="n">
        <v>46084</v>
      </c>
      <c r="D163" t="inlineStr">
        <is>
          <t>DALARNAS LÄN</t>
        </is>
      </c>
      <c r="E163" t="inlineStr">
        <is>
          <t>MORA</t>
        </is>
      </c>
      <c r="G163" t="n">
        <v>4.5</v>
      </c>
      <c r="H163" t="n">
        <v>0</v>
      </c>
      <c r="I163" t="n">
        <v>0</v>
      </c>
      <c r="J163" t="n">
        <v>0</v>
      </c>
      <c r="K163" t="n">
        <v>0</v>
      </c>
      <c r="L163" t="n">
        <v>0</v>
      </c>
      <c r="M163" t="n">
        <v>0</v>
      </c>
      <c r="N163" t="n">
        <v>0</v>
      </c>
      <c r="O163" t="n">
        <v>0</v>
      </c>
      <c r="P163" t="n">
        <v>0</v>
      </c>
      <c r="Q163" t="n">
        <v>0</v>
      </c>
      <c r="R163" s="2" t="inlineStr"/>
    </row>
    <row r="164" ht="15" customHeight="1">
      <c r="A164" t="inlineStr">
        <is>
          <t>A 11463-2024</t>
        </is>
      </c>
      <c r="B164" s="1" t="n">
        <v>45372.58969907407</v>
      </c>
      <c r="C164" s="1" t="n">
        <v>46084</v>
      </c>
      <c r="D164" t="inlineStr">
        <is>
          <t>DALARNAS LÄN</t>
        </is>
      </c>
      <c r="E164" t="inlineStr">
        <is>
          <t>MORA</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57903-2022</t>
        </is>
      </c>
      <c r="B165" s="1" t="n">
        <v>44900.3521412037</v>
      </c>
      <c r="C165" s="1" t="n">
        <v>46084</v>
      </c>
      <c r="D165" t="inlineStr">
        <is>
          <t>DALARNAS LÄN</t>
        </is>
      </c>
      <c r="E165" t="inlineStr">
        <is>
          <t>MORA</t>
        </is>
      </c>
      <c r="G165" t="n">
        <v>4.3</v>
      </c>
      <c r="H165" t="n">
        <v>0</v>
      </c>
      <c r="I165" t="n">
        <v>0</v>
      </c>
      <c r="J165" t="n">
        <v>0</v>
      </c>
      <c r="K165" t="n">
        <v>0</v>
      </c>
      <c r="L165" t="n">
        <v>0</v>
      </c>
      <c r="M165" t="n">
        <v>0</v>
      </c>
      <c r="N165" t="n">
        <v>0</v>
      </c>
      <c r="O165" t="n">
        <v>0</v>
      </c>
      <c r="P165" t="n">
        <v>0</v>
      </c>
      <c r="Q165" t="n">
        <v>0</v>
      </c>
      <c r="R165" s="2" t="inlineStr"/>
    </row>
    <row r="166" ht="15" customHeight="1">
      <c r="A166" t="inlineStr">
        <is>
          <t>A 46129-2024</t>
        </is>
      </c>
      <c r="B166" s="1" t="n">
        <v>45581.43337962963</v>
      </c>
      <c r="C166" s="1" t="n">
        <v>46084</v>
      </c>
      <c r="D166" t="inlineStr">
        <is>
          <t>DALARNAS LÄN</t>
        </is>
      </c>
      <c r="E166" t="inlineStr">
        <is>
          <t>MORA</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19193-2025</t>
        </is>
      </c>
      <c r="B167" s="1" t="n">
        <v>45769.42203703704</v>
      </c>
      <c r="C167" s="1" t="n">
        <v>46084</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6183-2024</t>
        </is>
      </c>
      <c r="B168" s="1" t="n">
        <v>45337.54135416666</v>
      </c>
      <c r="C168" s="1" t="n">
        <v>46084</v>
      </c>
      <c r="D168" t="inlineStr">
        <is>
          <t>DALARNAS LÄN</t>
        </is>
      </c>
      <c r="E168" t="inlineStr">
        <is>
          <t>MORA</t>
        </is>
      </c>
      <c r="G168" t="n">
        <v>7.9</v>
      </c>
      <c r="H168" t="n">
        <v>0</v>
      </c>
      <c r="I168" t="n">
        <v>0</v>
      </c>
      <c r="J168" t="n">
        <v>0</v>
      </c>
      <c r="K168" t="n">
        <v>0</v>
      </c>
      <c r="L168" t="n">
        <v>0</v>
      </c>
      <c r="M168" t="n">
        <v>0</v>
      </c>
      <c r="N168" t="n">
        <v>0</v>
      </c>
      <c r="O168" t="n">
        <v>0</v>
      </c>
      <c r="P168" t="n">
        <v>0</v>
      </c>
      <c r="Q168" t="n">
        <v>0</v>
      </c>
      <c r="R168" s="2" t="inlineStr"/>
    </row>
    <row r="169" ht="15" customHeight="1">
      <c r="A169" t="inlineStr">
        <is>
          <t>A 8068-2024</t>
        </is>
      </c>
      <c r="B169" s="1" t="n">
        <v>45351.41524305556</v>
      </c>
      <c r="C169" s="1" t="n">
        <v>46084</v>
      </c>
      <c r="D169" t="inlineStr">
        <is>
          <t>DALARNAS LÄN</t>
        </is>
      </c>
      <c r="E169" t="inlineStr">
        <is>
          <t>MORA</t>
        </is>
      </c>
      <c r="G169" t="n">
        <v>6.4</v>
      </c>
      <c r="H169" t="n">
        <v>0</v>
      </c>
      <c r="I169" t="n">
        <v>0</v>
      </c>
      <c r="J169" t="n">
        <v>0</v>
      </c>
      <c r="K169" t="n">
        <v>0</v>
      </c>
      <c r="L169" t="n">
        <v>0</v>
      </c>
      <c r="M169" t="n">
        <v>0</v>
      </c>
      <c r="N169" t="n">
        <v>0</v>
      </c>
      <c r="O169" t="n">
        <v>0</v>
      </c>
      <c r="P169" t="n">
        <v>0</v>
      </c>
      <c r="Q169" t="n">
        <v>0</v>
      </c>
      <c r="R169" s="2" t="inlineStr"/>
    </row>
    <row r="170" ht="15" customHeight="1">
      <c r="A170" t="inlineStr">
        <is>
          <t>A 8100-2024</t>
        </is>
      </c>
      <c r="B170" s="1" t="n">
        <v>45351.46583333334</v>
      </c>
      <c r="C170" s="1" t="n">
        <v>46084</v>
      </c>
      <c r="D170" t="inlineStr">
        <is>
          <t>DALARNAS LÄN</t>
        </is>
      </c>
      <c r="E170" t="inlineStr">
        <is>
          <t>MORA</t>
        </is>
      </c>
      <c r="G170" t="n">
        <v>3.2</v>
      </c>
      <c r="H170" t="n">
        <v>0</v>
      </c>
      <c r="I170" t="n">
        <v>0</v>
      </c>
      <c r="J170" t="n">
        <v>0</v>
      </c>
      <c r="K170" t="n">
        <v>0</v>
      </c>
      <c r="L170" t="n">
        <v>0</v>
      </c>
      <c r="M170" t="n">
        <v>0</v>
      </c>
      <c r="N170" t="n">
        <v>0</v>
      </c>
      <c r="O170" t="n">
        <v>0</v>
      </c>
      <c r="P170" t="n">
        <v>0</v>
      </c>
      <c r="Q170" t="n">
        <v>0</v>
      </c>
      <c r="R170" s="2" t="inlineStr"/>
    </row>
    <row r="171" ht="15" customHeight="1">
      <c r="A171" t="inlineStr">
        <is>
          <t>A 36058-2024</t>
        </is>
      </c>
      <c r="B171" s="1" t="n">
        <v>45533</v>
      </c>
      <c r="C171" s="1" t="n">
        <v>46084</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16573-2024</t>
        </is>
      </c>
      <c r="B172" s="1" t="n">
        <v>45408.46980324074</v>
      </c>
      <c r="C172" s="1" t="n">
        <v>46084</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21894-2025</t>
        </is>
      </c>
      <c r="B173" s="1" t="n">
        <v>45784.45060185185</v>
      </c>
      <c r="C173" s="1" t="n">
        <v>46084</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21890-2025</t>
        </is>
      </c>
      <c r="B174" s="1" t="n">
        <v>45784.44481481481</v>
      </c>
      <c r="C174" s="1" t="n">
        <v>46084</v>
      </c>
      <c r="D174" t="inlineStr">
        <is>
          <t>DALARNAS LÄN</t>
        </is>
      </c>
      <c r="E174" t="inlineStr">
        <is>
          <t>MORA</t>
        </is>
      </c>
      <c r="G174" t="n">
        <v>3.8</v>
      </c>
      <c r="H174" t="n">
        <v>0</v>
      </c>
      <c r="I174" t="n">
        <v>0</v>
      </c>
      <c r="J174" t="n">
        <v>0</v>
      </c>
      <c r="K174" t="n">
        <v>0</v>
      </c>
      <c r="L174" t="n">
        <v>0</v>
      </c>
      <c r="M174" t="n">
        <v>0</v>
      </c>
      <c r="N174" t="n">
        <v>0</v>
      </c>
      <c r="O174" t="n">
        <v>0</v>
      </c>
      <c r="P174" t="n">
        <v>0</v>
      </c>
      <c r="Q174" t="n">
        <v>0</v>
      </c>
      <c r="R174" s="2" t="inlineStr"/>
    </row>
    <row r="175" ht="15" customHeight="1">
      <c r="A175" t="inlineStr">
        <is>
          <t>A 21895-2025</t>
        </is>
      </c>
      <c r="B175" s="1" t="n">
        <v>45784.45273148148</v>
      </c>
      <c r="C175" s="1" t="n">
        <v>46084</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46152-2023</t>
        </is>
      </c>
      <c r="B176" s="1" t="n">
        <v>45196.58278935185</v>
      </c>
      <c r="C176" s="1" t="n">
        <v>46084</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28832-2023</t>
        </is>
      </c>
      <c r="B177" s="1" t="n">
        <v>45104.40493055555</v>
      </c>
      <c r="C177" s="1" t="n">
        <v>46084</v>
      </c>
      <c r="D177" t="inlineStr">
        <is>
          <t>DALARNAS LÄN</t>
        </is>
      </c>
      <c r="E177" t="inlineStr">
        <is>
          <t>MORA</t>
        </is>
      </c>
      <c r="F177" t="inlineStr">
        <is>
          <t>Bergvik skog öst AB</t>
        </is>
      </c>
      <c r="G177" t="n">
        <v>2</v>
      </c>
      <c r="H177" t="n">
        <v>0</v>
      </c>
      <c r="I177" t="n">
        <v>0</v>
      </c>
      <c r="J177" t="n">
        <v>0</v>
      </c>
      <c r="K177" t="n">
        <v>0</v>
      </c>
      <c r="L177" t="n">
        <v>0</v>
      </c>
      <c r="M177" t="n">
        <v>0</v>
      </c>
      <c r="N177" t="n">
        <v>0</v>
      </c>
      <c r="O177" t="n">
        <v>0</v>
      </c>
      <c r="P177" t="n">
        <v>0</v>
      </c>
      <c r="Q177" t="n">
        <v>0</v>
      </c>
      <c r="R177" s="2" t="inlineStr"/>
    </row>
    <row r="178" ht="15" customHeight="1">
      <c r="A178" t="inlineStr">
        <is>
          <t>A 59101-2024</t>
        </is>
      </c>
      <c r="B178" s="1" t="n">
        <v>45637.34074074074</v>
      </c>
      <c r="C178" s="1" t="n">
        <v>46084</v>
      </c>
      <c r="D178" t="inlineStr">
        <is>
          <t>DALARNAS LÄN</t>
        </is>
      </c>
      <c r="E178" t="inlineStr">
        <is>
          <t>MORA</t>
        </is>
      </c>
      <c r="F178" t="inlineStr">
        <is>
          <t>Allmännings- och besparingsskogar</t>
        </is>
      </c>
      <c r="G178" t="n">
        <v>1.2</v>
      </c>
      <c r="H178" t="n">
        <v>0</v>
      </c>
      <c r="I178" t="n">
        <v>0</v>
      </c>
      <c r="J178" t="n">
        <v>0</v>
      </c>
      <c r="K178" t="n">
        <v>0</v>
      </c>
      <c r="L178" t="n">
        <v>0</v>
      </c>
      <c r="M178" t="n">
        <v>0</v>
      </c>
      <c r="N178" t="n">
        <v>0</v>
      </c>
      <c r="O178" t="n">
        <v>0</v>
      </c>
      <c r="P178" t="n">
        <v>0</v>
      </c>
      <c r="Q178" t="n">
        <v>0</v>
      </c>
      <c r="R178" s="2" t="inlineStr"/>
    </row>
    <row r="179" ht="15" customHeight="1">
      <c r="A179" t="inlineStr">
        <is>
          <t>A 5418-2025</t>
        </is>
      </c>
      <c r="B179" s="1" t="n">
        <v>45692.68561342593</v>
      </c>
      <c r="C179" s="1" t="n">
        <v>46084</v>
      </c>
      <c r="D179" t="inlineStr">
        <is>
          <t>DALARNAS LÄN</t>
        </is>
      </c>
      <c r="E179" t="inlineStr">
        <is>
          <t>MORA</t>
        </is>
      </c>
      <c r="G179" t="n">
        <v>0.9</v>
      </c>
      <c r="H179" t="n">
        <v>0</v>
      </c>
      <c r="I179" t="n">
        <v>0</v>
      </c>
      <c r="J179" t="n">
        <v>0</v>
      </c>
      <c r="K179" t="n">
        <v>0</v>
      </c>
      <c r="L179" t="n">
        <v>0</v>
      </c>
      <c r="M179" t="n">
        <v>0</v>
      </c>
      <c r="N179" t="n">
        <v>0</v>
      </c>
      <c r="O179" t="n">
        <v>0</v>
      </c>
      <c r="P179" t="n">
        <v>0</v>
      </c>
      <c r="Q179" t="n">
        <v>0</v>
      </c>
      <c r="R179" s="2" t="inlineStr"/>
    </row>
    <row r="180" ht="15" customHeight="1">
      <c r="A180" t="inlineStr">
        <is>
          <t>A 17176-2025</t>
        </is>
      </c>
      <c r="B180" s="1" t="n">
        <v>45756.37520833333</v>
      </c>
      <c r="C180" s="1" t="n">
        <v>46084</v>
      </c>
      <c r="D180" t="inlineStr">
        <is>
          <t>DALARNAS LÄN</t>
        </is>
      </c>
      <c r="E180" t="inlineStr">
        <is>
          <t>MORA</t>
        </is>
      </c>
      <c r="F180" t="inlineStr">
        <is>
          <t>Bergvik skog öst AB</t>
        </is>
      </c>
      <c r="G180" t="n">
        <v>1.7</v>
      </c>
      <c r="H180" t="n">
        <v>0</v>
      </c>
      <c r="I180" t="n">
        <v>0</v>
      </c>
      <c r="J180" t="n">
        <v>0</v>
      </c>
      <c r="K180" t="n">
        <v>0</v>
      </c>
      <c r="L180" t="n">
        <v>0</v>
      </c>
      <c r="M180" t="n">
        <v>0</v>
      </c>
      <c r="N180" t="n">
        <v>0</v>
      </c>
      <c r="O180" t="n">
        <v>0</v>
      </c>
      <c r="P180" t="n">
        <v>0</v>
      </c>
      <c r="Q180" t="n">
        <v>0</v>
      </c>
      <c r="R180" s="2" t="inlineStr"/>
    </row>
    <row r="181" ht="15" customHeight="1">
      <c r="A181" t="inlineStr">
        <is>
          <t>A 22354-2025</t>
        </is>
      </c>
      <c r="B181" s="1" t="n">
        <v>45786.45721064815</v>
      </c>
      <c r="C181" s="1" t="n">
        <v>46084</v>
      </c>
      <c r="D181" t="inlineStr">
        <is>
          <t>DALARNAS LÄN</t>
        </is>
      </c>
      <c r="E181" t="inlineStr">
        <is>
          <t>MORA</t>
        </is>
      </c>
      <c r="F181" t="inlineStr">
        <is>
          <t>Bergvik skog öst AB</t>
        </is>
      </c>
      <c r="G181" t="n">
        <v>2</v>
      </c>
      <c r="H181" t="n">
        <v>0</v>
      </c>
      <c r="I181" t="n">
        <v>0</v>
      </c>
      <c r="J181" t="n">
        <v>0</v>
      </c>
      <c r="K181" t="n">
        <v>0</v>
      </c>
      <c r="L181" t="n">
        <v>0</v>
      </c>
      <c r="M181" t="n">
        <v>0</v>
      </c>
      <c r="N181" t="n">
        <v>0</v>
      </c>
      <c r="O181" t="n">
        <v>0</v>
      </c>
      <c r="P181" t="n">
        <v>0</v>
      </c>
      <c r="Q181" t="n">
        <v>0</v>
      </c>
      <c r="R181" s="2" t="inlineStr"/>
    </row>
    <row r="182" ht="15" customHeight="1">
      <c r="A182" t="inlineStr">
        <is>
          <t>A 48824-2023</t>
        </is>
      </c>
      <c r="B182" s="1" t="n">
        <v>45203</v>
      </c>
      <c r="C182" s="1" t="n">
        <v>46084</v>
      </c>
      <c r="D182" t="inlineStr">
        <is>
          <t>DALARNAS LÄN</t>
        </is>
      </c>
      <c r="E182" t="inlineStr">
        <is>
          <t>MORA</t>
        </is>
      </c>
      <c r="G182" t="n">
        <v>3.3</v>
      </c>
      <c r="H182" t="n">
        <v>0</v>
      </c>
      <c r="I182" t="n">
        <v>0</v>
      </c>
      <c r="J182" t="n">
        <v>0</v>
      </c>
      <c r="K182" t="n">
        <v>0</v>
      </c>
      <c r="L182" t="n">
        <v>0</v>
      </c>
      <c r="M182" t="n">
        <v>0</v>
      </c>
      <c r="N182" t="n">
        <v>0</v>
      </c>
      <c r="O182" t="n">
        <v>0</v>
      </c>
      <c r="P182" t="n">
        <v>0</v>
      </c>
      <c r="Q182" t="n">
        <v>0</v>
      </c>
      <c r="R182" s="2" t="inlineStr"/>
    </row>
    <row r="183" ht="15" customHeight="1">
      <c r="A183" t="inlineStr">
        <is>
          <t>A 8343-2025</t>
        </is>
      </c>
      <c r="B183" s="1" t="n">
        <v>45708.67253472222</v>
      </c>
      <c r="C183" s="1" t="n">
        <v>46084</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17163-2025</t>
        </is>
      </c>
      <c r="B184" s="1" t="n">
        <v>45756.35998842592</v>
      </c>
      <c r="C184" s="1" t="n">
        <v>46084</v>
      </c>
      <c r="D184" t="inlineStr">
        <is>
          <t>DALARNAS LÄN</t>
        </is>
      </c>
      <c r="E184" t="inlineStr">
        <is>
          <t>MORA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11442-2022</t>
        </is>
      </c>
      <c r="B185" s="1" t="n">
        <v>44630.62788194444</v>
      </c>
      <c r="C185" s="1" t="n">
        <v>46084</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34272-2024</t>
        </is>
      </c>
      <c r="B186" s="1" t="n">
        <v>45524.61752314815</v>
      </c>
      <c r="C186" s="1" t="n">
        <v>46084</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52525-2022</t>
        </is>
      </c>
      <c r="B187" s="1" t="n">
        <v>44874</v>
      </c>
      <c r="C187" s="1" t="n">
        <v>46084</v>
      </c>
      <c r="D187" t="inlineStr">
        <is>
          <t>DALARNAS LÄN</t>
        </is>
      </c>
      <c r="E187" t="inlineStr">
        <is>
          <t>MORA</t>
        </is>
      </c>
      <c r="F187" t="inlineStr">
        <is>
          <t>Bergvik skog öst AB</t>
        </is>
      </c>
      <c r="G187" t="n">
        <v>0.9</v>
      </c>
      <c r="H187" t="n">
        <v>0</v>
      </c>
      <c r="I187" t="n">
        <v>0</v>
      </c>
      <c r="J187" t="n">
        <v>0</v>
      </c>
      <c r="K187" t="n">
        <v>0</v>
      </c>
      <c r="L187" t="n">
        <v>0</v>
      </c>
      <c r="M187" t="n">
        <v>0</v>
      </c>
      <c r="N187" t="n">
        <v>0</v>
      </c>
      <c r="O187" t="n">
        <v>0</v>
      </c>
      <c r="P187" t="n">
        <v>0</v>
      </c>
      <c r="Q187" t="n">
        <v>0</v>
      </c>
      <c r="R187" s="2" t="inlineStr"/>
    </row>
    <row r="188" ht="15" customHeight="1">
      <c r="A188" t="inlineStr">
        <is>
          <t>A 22409-2025</t>
        </is>
      </c>
      <c r="B188" s="1" t="n">
        <v>45786.54940972223</v>
      </c>
      <c r="C188" s="1" t="n">
        <v>46084</v>
      </c>
      <c r="D188" t="inlineStr">
        <is>
          <t>DALARNAS LÄN</t>
        </is>
      </c>
      <c r="E188" t="inlineStr">
        <is>
          <t>MORA</t>
        </is>
      </c>
      <c r="F188" t="inlineStr">
        <is>
          <t>Bergvik skog öst AB</t>
        </is>
      </c>
      <c r="G188" t="n">
        <v>5</v>
      </c>
      <c r="H188" t="n">
        <v>0</v>
      </c>
      <c r="I188" t="n">
        <v>0</v>
      </c>
      <c r="J188" t="n">
        <v>0</v>
      </c>
      <c r="K188" t="n">
        <v>0</v>
      </c>
      <c r="L188" t="n">
        <v>0</v>
      </c>
      <c r="M188" t="n">
        <v>0</v>
      </c>
      <c r="N188" t="n">
        <v>0</v>
      </c>
      <c r="O188" t="n">
        <v>0</v>
      </c>
      <c r="P188" t="n">
        <v>0</v>
      </c>
      <c r="Q188" t="n">
        <v>0</v>
      </c>
      <c r="R188" s="2" t="inlineStr"/>
    </row>
    <row r="189" ht="15" customHeight="1">
      <c r="A189" t="inlineStr">
        <is>
          <t>A 48390-2024</t>
        </is>
      </c>
      <c r="B189" s="1" t="n">
        <v>45590.60216435185</v>
      </c>
      <c r="C189" s="1" t="n">
        <v>46084</v>
      </c>
      <c r="D189" t="inlineStr">
        <is>
          <t>DALARNAS LÄN</t>
        </is>
      </c>
      <c r="E189" t="inlineStr">
        <is>
          <t>MORA</t>
        </is>
      </c>
      <c r="G189" t="n">
        <v>5</v>
      </c>
      <c r="H189" t="n">
        <v>0</v>
      </c>
      <c r="I189" t="n">
        <v>0</v>
      </c>
      <c r="J189" t="n">
        <v>0</v>
      </c>
      <c r="K189" t="n">
        <v>0</v>
      </c>
      <c r="L189" t="n">
        <v>0</v>
      </c>
      <c r="M189" t="n">
        <v>0</v>
      </c>
      <c r="N189" t="n">
        <v>0</v>
      </c>
      <c r="O189" t="n">
        <v>0</v>
      </c>
      <c r="P189" t="n">
        <v>0</v>
      </c>
      <c r="Q189" t="n">
        <v>0</v>
      </c>
      <c r="R189" s="2" t="inlineStr"/>
    </row>
    <row r="190" ht="15" customHeight="1">
      <c r="A190" t="inlineStr">
        <is>
          <t>A 36579-2022</t>
        </is>
      </c>
      <c r="B190" s="1" t="n">
        <v>44804.61636574074</v>
      </c>
      <c r="C190" s="1" t="n">
        <v>46084</v>
      </c>
      <c r="D190" t="inlineStr">
        <is>
          <t>DALARNAS LÄN</t>
        </is>
      </c>
      <c r="E190" t="inlineStr">
        <is>
          <t>MORA</t>
        </is>
      </c>
      <c r="G190" t="n">
        <v>2.3</v>
      </c>
      <c r="H190" t="n">
        <v>0</v>
      </c>
      <c r="I190" t="n">
        <v>0</v>
      </c>
      <c r="J190" t="n">
        <v>0</v>
      </c>
      <c r="K190" t="n">
        <v>0</v>
      </c>
      <c r="L190" t="n">
        <v>0</v>
      </c>
      <c r="M190" t="n">
        <v>0</v>
      </c>
      <c r="N190" t="n">
        <v>0</v>
      </c>
      <c r="O190" t="n">
        <v>0</v>
      </c>
      <c r="P190" t="n">
        <v>0</v>
      </c>
      <c r="Q190" t="n">
        <v>0</v>
      </c>
      <c r="R190" s="2" t="inlineStr"/>
    </row>
    <row r="191" ht="15" customHeight="1">
      <c r="A191" t="inlineStr">
        <is>
          <t>A 30030-2021</t>
        </is>
      </c>
      <c r="B191" s="1" t="n">
        <v>44363</v>
      </c>
      <c r="C191" s="1" t="n">
        <v>46084</v>
      </c>
      <c r="D191" t="inlineStr">
        <is>
          <t>DALARNAS LÄN</t>
        </is>
      </c>
      <c r="E191" t="inlineStr">
        <is>
          <t>MORA</t>
        </is>
      </c>
      <c r="G191" t="n">
        <v>7.1</v>
      </c>
      <c r="H191" t="n">
        <v>0</v>
      </c>
      <c r="I191" t="n">
        <v>0</v>
      </c>
      <c r="J191" t="n">
        <v>0</v>
      </c>
      <c r="K191" t="n">
        <v>0</v>
      </c>
      <c r="L191" t="n">
        <v>0</v>
      </c>
      <c r="M191" t="n">
        <v>0</v>
      </c>
      <c r="N191" t="n">
        <v>0</v>
      </c>
      <c r="O191" t="n">
        <v>0</v>
      </c>
      <c r="P191" t="n">
        <v>0</v>
      </c>
      <c r="Q191" t="n">
        <v>0</v>
      </c>
      <c r="R191" s="2" t="inlineStr"/>
    </row>
    <row r="192" ht="15" customHeight="1">
      <c r="A192" t="inlineStr">
        <is>
          <t>A 23368-2025</t>
        </is>
      </c>
      <c r="B192" s="1" t="n">
        <v>45791.70299768518</v>
      </c>
      <c r="C192" s="1" t="n">
        <v>46084</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56935-2024</t>
        </is>
      </c>
      <c r="B193" s="1" t="n">
        <v>45625</v>
      </c>
      <c r="C193" s="1" t="n">
        <v>46084</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56927-2024</t>
        </is>
      </c>
      <c r="B194" s="1" t="n">
        <v>45625</v>
      </c>
      <c r="C194" s="1" t="n">
        <v>46084</v>
      </c>
      <c r="D194" t="inlineStr">
        <is>
          <t>DALARNAS LÄN</t>
        </is>
      </c>
      <c r="E194" t="inlineStr">
        <is>
          <t>MORA</t>
        </is>
      </c>
      <c r="G194" t="n">
        <v>2.8</v>
      </c>
      <c r="H194" t="n">
        <v>0</v>
      </c>
      <c r="I194" t="n">
        <v>0</v>
      </c>
      <c r="J194" t="n">
        <v>0</v>
      </c>
      <c r="K194" t="n">
        <v>0</v>
      </c>
      <c r="L194" t="n">
        <v>0</v>
      </c>
      <c r="M194" t="n">
        <v>0</v>
      </c>
      <c r="N194" t="n">
        <v>0</v>
      </c>
      <c r="O194" t="n">
        <v>0</v>
      </c>
      <c r="P194" t="n">
        <v>0</v>
      </c>
      <c r="Q194" t="n">
        <v>0</v>
      </c>
      <c r="R194" s="2" t="inlineStr"/>
    </row>
    <row r="195" ht="15" customHeight="1">
      <c r="A195" t="inlineStr">
        <is>
          <t>A 33531-2024</t>
        </is>
      </c>
      <c r="B195" s="1" t="n">
        <v>45519.67503472222</v>
      </c>
      <c r="C195" s="1" t="n">
        <v>46084</v>
      </c>
      <c r="D195" t="inlineStr">
        <is>
          <t>DALARNAS LÄN</t>
        </is>
      </c>
      <c r="E195" t="inlineStr">
        <is>
          <t>MORA</t>
        </is>
      </c>
      <c r="G195" t="n">
        <v>14.8</v>
      </c>
      <c r="H195" t="n">
        <v>0</v>
      </c>
      <c r="I195" t="n">
        <v>0</v>
      </c>
      <c r="J195" t="n">
        <v>0</v>
      </c>
      <c r="K195" t="n">
        <v>0</v>
      </c>
      <c r="L195" t="n">
        <v>0</v>
      </c>
      <c r="M195" t="n">
        <v>0</v>
      </c>
      <c r="N195" t="n">
        <v>0</v>
      </c>
      <c r="O195" t="n">
        <v>0</v>
      </c>
      <c r="P195" t="n">
        <v>0</v>
      </c>
      <c r="Q195" t="n">
        <v>0</v>
      </c>
      <c r="R195" s="2" t="inlineStr"/>
    </row>
    <row r="196" ht="15" customHeight="1">
      <c r="A196" t="inlineStr">
        <is>
          <t>A 22185-2025</t>
        </is>
      </c>
      <c r="B196" s="1" t="n">
        <v>45785</v>
      </c>
      <c r="C196" s="1" t="n">
        <v>46084</v>
      </c>
      <c r="D196" t="inlineStr">
        <is>
          <t>DALARNAS LÄN</t>
        </is>
      </c>
      <c r="E196" t="inlineStr">
        <is>
          <t>MORA</t>
        </is>
      </c>
      <c r="G196" t="n">
        <v>2.4</v>
      </c>
      <c r="H196" t="n">
        <v>0</v>
      </c>
      <c r="I196" t="n">
        <v>0</v>
      </c>
      <c r="J196" t="n">
        <v>0</v>
      </c>
      <c r="K196" t="n">
        <v>0</v>
      </c>
      <c r="L196" t="n">
        <v>0</v>
      </c>
      <c r="M196" t="n">
        <v>0</v>
      </c>
      <c r="N196" t="n">
        <v>0</v>
      </c>
      <c r="O196" t="n">
        <v>0</v>
      </c>
      <c r="P196" t="n">
        <v>0</v>
      </c>
      <c r="Q196" t="n">
        <v>0</v>
      </c>
      <c r="R196" s="2" t="inlineStr"/>
    </row>
    <row r="197" ht="15" customHeight="1">
      <c r="A197" t="inlineStr">
        <is>
          <t>A 59404-2024</t>
        </is>
      </c>
      <c r="B197" s="1" t="n">
        <v>45638</v>
      </c>
      <c r="C197" s="1" t="n">
        <v>46084</v>
      </c>
      <c r="D197" t="inlineStr">
        <is>
          <t>DALARNAS LÄN</t>
        </is>
      </c>
      <c r="E197" t="inlineStr">
        <is>
          <t>MORA</t>
        </is>
      </c>
      <c r="G197" t="n">
        <v>2.6</v>
      </c>
      <c r="H197" t="n">
        <v>0</v>
      </c>
      <c r="I197" t="n">
        <v>0</v>
      </c>
      <c r="J197" t="n">
        <v>0</v>
      </c>
      <c r="K197" t="n">
        <v>0</v>
      </c>
      <c r="L197" t="n">
        <v>0</v>
      </c>
      <c r="M197" t="n">
        <v>0</v>
      </c>
      <c r="N197" t="n">
        <v>0</v>
      </c>
      <c r="O197" t="n">
        <v>0</v>
      </c>
      <c r="P197" t="n">
        <v>0</v>
      </c>
      <c r="Q197" t="n">
        <v>0</v>
      </c>
      <c r="R197" s="2" t="inlineStr"/>
    </row>
    <row r="198" ht="15" customHeight="1">
      <c r="A198" t="inlineStr">
        <is>
          <t>A 11193-2025</t>
        </is>
      </c>
      <c r="B198" s="1" t="n">
        <v>45725</v>
      </c>
      <c r="C198" s="1" t="n">
        <v>46084</v>
      </c>
      <c r="D198" t="inlineStr">
        <is>
          <t>DALARNAS LÄN</t>
        </is>
      </c>
      <c r="E198" t="inlineStr">
        <is>
          <t>MORA</t>
        </is>
      </c>
      <c r="G198" t="n">
        <v>4.1</v>
      </c>
      <c r="H198" t="n">
        <v>0</v>
      </c>
      <c r="I198" t="n">
        <v>0</v>
      </c>
      <c r="J198" t="n">
        <v>0</v>
      </c>
      <c r="K198" t="n">
        <v>0</v>
      </c>
      <c r="L198" t="n">
        <v>0</v>
      </c>
      <c r="M198" t="n">
        <v>0</v>
      </c>
      <c r="N198" t="n">
        <v>0</v>
      </c>
      <c r="O198" t="n">
        <v>0</v>
      </c>
      <c r="P198" t="n">
        <v>0</v>
      </c>
      <c r="Q198" t="n">
        <v>0</v>
      </c>
      <c r="R198" s="2" t="inlineStr"/>
    </row>
    <row r="199" ht="15" customHeight="1">
      <c r="A199" t="inlineStr">
        <is>
          <t>A 43874-2024</t>
        </is>
      </c>
      <c r="B199" s="1" t="n">
        <v>45572.38476851852</v>
      </c>
      <c r="C199" s="1" t="n">
        <v>46084</v>
      </c>
      <c r="D199" t="inlineStr">
        <is>
          <t>DALARNAS LÄN</t>
        </is>
      </c>
      <c r="E199" t="inlineStr">
        <is>
          <t>MORA</t>
        </is>
      </c>
      <c r="G199" t="n">
        <v>3.6</v>
      </c>
      <c r="H199" t="n">
        <v>0</v>
      </c>
      <c r="I199" t="n">
        <v>0</v>
      </c>
      <c r="J199" t="n">
        <v>0</v>
      </c>
      <c r="K199" t="n">
        <v>0</v>
      </c>
      <c r="L199" t="n">
        <v>0</v>
      </c>
      <c r="M199" t="n">
        <v>0</v>
      </c>
      <c r="N199" t="n">
        <v>0</v>
      </c>
      <c r="O199" t="n">
        <v>0</v>
      </c>
      <c r="P199" t="n">
        <v>0</v>
      </c>
      <c r="Q199" t="n">
        <v>0</v>
      </c>
      <c r="R199" s="2" t="inlineStr"/>
    </row>
    <row r="200" ht="15" customHeight="1">
      <c r="A200" t="inlineStr">
        <is>
          <t>A 56900-2024</t>
        </is>
      </c>
      <c r="B200" s="1" t="n">
        <v>45625</v>
      </c>
      <c r="C200" s="1" t="n">
        <v>46084</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51780-2023</t>
        </is>
      </c>
      <c r="B201" s="1" t="n">
        <v>45222</v>
      </c>
      <c r="C201" s="1" t="n">
        <v>46084</v>
      </c>
      <c r="D201" t="inlineStr">
        <is>
          <t>DALARNAS LÄN</t>
        </is>
      </c>
      <c r="E201" t="inlineStr">
        <is>
          <t>MORA</t>
        </is>
      </c>
      <c r="G201" t="n">
        <v>9.9</v>
      </c>
      <c r="H201" t="n">
        <v>0</v>
      </c>
      <c r="I201" t="n">
        <v>0</v>
      </c>
      <c r="J201" t="n">
        <v>0</v>
      </c>
      <c r="K201" t="n">
        <v>0</v>
      </c>
      <c r="L201" t="n">
        <v>0</v>
      </c>
      <c r="M201" t="n">
        <v>0</v>
      </c>
      <c r="N201" t="n">
        <v>0</v>
      </c>
      <c r="O201" t="n">
        <v>0</v>
      </c>
      <c r="P201" t="n">
        <v>0</v>
      </c>
      <c r="Q201" t="n">
        <v>0</v>
      </c>
      <c r="R201" s="2" t="inlineStr"/>
    </row>
    <row r="202" ht="15" customHeight="1">
      <c r="A202" t="inlineStr">
        <is>
          <t>A 15818-2024</t>
        </is>
      </c>
      <c r="B202" s="1" t="n">
        <v>45404.67442129629</v>
      </c>
      <c r="C202" s="1" t="n">
        <v>46084</v>
      </c>
      <c r="D202" t="inlineStr">
        <is>
          <t>DALARNAS LÄN</t>
        </is>
      </c>
      <c r="E202" t="inlineStr">
        <is>
          <t>MORA</t>
        </is>
      </c>
      <c r="G202" t="n">
        <v>7</v>
      </c>
      <c r="H202" t="n">
        <v>0</v>
      </c>
      <c r="I202" t="n">
        <v>0</v>
      </c>
      <c r="J202" t="n">
        <v>0</v>
      </c>
      <c r="K202" t="n">
        <v>0</v>
      </c>
      <c r="L202" t="n">
        <v>0</v>
      </c>
      <c r="M202" t="n">
        <v>0</v>
      </c>
      <c r="N202" t="n">
        <v>0</v>
      </c>
      <c r="O202" t="n">
        <v>0</v>
      </c>
      <c r="P202" t="n">
        <v>0</v>
      </c>
      <c r="Q202" t="n">
        <v>0</v>
      </c>
      <c r="R202" s="2" t="inlineStr"/>
    </row>
    <row r="203" ht="15" customHeight="1">
      <c r="A203" t="inlineStr">
        <is>
          <t>A 23354-2022</t>
        </is>
      </c>
      <c r="B203" s="1" t="n">
        <v>44720</v>
      </c>
      <c r="C203" s="1" t="n">
        <v>46084</v>
      </c>
      <c r="D203" t="inlineStr">
        <is>
          <t>DALARNAS LÄN</t>
        </is>
      </c>
      <c r="E203" t="inlineStr">
        <is>
          <t>MORA</t>
        </is>
      </c>
      <c r="G203" t="n">
        <v>5.2</v>
      </c>
      <c r="H203" t="n">
        <v>0</v>
      </c>
      <c r="I203" t="n">
        <v>0</v>
      </c>
      <c r="J203" t="n">
        <v>0</v>
      </c>
      <c r="K203" t="n">
        <v>0</v>
      </c>
      <c r="L203" t="n">
        <v>0</v>
      </c>
      <c r="M203" t="n">
        <v>0</v>
      </c>
      <c r="N203" t="n">
        <v>0</v>
      </c>
      <c r="O203" t="n">
        <v>0</v>
      </c>
      <c r="P203" t="n">
        <v>0</v>
      </c>
      <c r="Q203" t="n">
        <v>0</v>
      </c>
      <c r="R203" s="2" t="inlineStr"/>
    </row>
    <row r="204" ht="15" customHeight="1">
      <c r="A204" t="inlineStr">
        <is>
          <t>A 54192-2023</t>
        </is>
      </c>
      <c r="B204" s="1" t="n">
        <v>45232.53052083333</v>
      </c>
      <c r="C204" s="1" t="n">
        <v>46084</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33513-2024</t>
        </is>
      </c>
      <c r="B205" s="1" t="n">
        <v>45519.644375</v>
      </c>
      <c r="C205" s="1" t="n">
        <v>46084</v>
      </c>
      <c r="D205" t="inlineStr">
        <is>
          <t>DALARNAS LÄN</t>
        </is>
      </c>
      <c r="E205" t="inlineStr">
        <is>
          <t>MORA</t>
        </is>
      </c>
      <c r="G205" t="n">
        <v>5.9</v>
      </c>
      <c r="H205" t="n">
        <v>0</v>
      </c>
      <c r="I205" t="n">
        <v>0</v>
      </c>
      <c r="J205" t="n">
        <v>0</v>
      </c>
      <c r="K205" t="n">
        <v>0</v>
      </c>
      <c r="L205" t="n">
        <v>0</v>
      </c>
      <c r="M205" t="n">
        <v>0</v>
      </c>
      <c r="N205" t="n">
        <v>0</v>
      </c>
      <c r="O205" t="n">
        <v>0</v>
      </c>
      <c r="P205" t="n">
        <v>0</v>
      </c>
      <c r="Q205" t="n">
        <v>0</v>
      </c>
      <c r="R205" s="2" t="inlineStr"/>
    </row>
    <row r="206" ht="15" customHeight="1">
      <c r="A206" t="inlineStr">
        <is>
          <t>A 23229-2025</t>
        </is>
      </c>
      <c r="B206" s="1" t="n">
        <v>45791</v>
      </c>
      <c r="C206" s="1" t="n">
        <v>46084</v>
      </c>
      <c r="D206" t="inlineStr">
        <is>
          <t>DALARNAS LÄN</t>
        </is>
      </c>
      <c r="E206" t="inlineStr">
        <is>
          <t>MORA</t>
        </is>
      </c>
      <c r="G206" t="n">
        <v>2.2</v>
      </c>
      <c r="H206" t="n">
        <v>0</v>
      </c>
      <c r="I206" t="n">
        <v>0</v>
      </c>
      <c r="J206" t="n">
        <v>0</v>
      </c>
      <c r="K206" t="n">
        <v>0</v>
      </c>
      <c r="L206" t="n">
        <v>0</v>
      </c>
      <c r="M206" t="n">
        <v>0</v>
      </c>
      <c r="N206" t="n">
        <v>0</v>
      </c>
      <c r="O206" t="n">
        <v>0</v>
      </c>
      <c r="P206" t="n">
        <v>0</v>
      </c>
      <c r="Q206" t="n">
        <v>0</v>
      </c>
      <c r="R206" s="2" t="inlineStr"/>
    </row>
    <row r="207" ht="15" customHeight="1">
      <c r="A207" t="inlineStr">
        <is>
          <t>A 35040-2023</t>
        </is>
      </c>
      <c r="B207" s="1" t="n">
        <v>45145.36853009259</v>
      </c>
      <c r="C207" s="1" t="n">
        <v>46084</v>
      </c>
      <c r="D207" t="inlineStr">
        <is>
          <t>DALARNAS LÄN</t>
        </is>
      </c>
      <c r="E207" t="inlineStr">
        <is>
          <t>MORA</t>
        </is>
      </c>
      <c r="G207" t="n">
        <v>2.1</v>
      </c>
      <c r="H207" t="n">
        <v>0</v>
      </c>
      <c r="I207" t="n">
        <v>0</v>
      </c>
      <c r="J207" t="n">
        <v>0</v>
      </c>
      <c r="K207" t="n">
        <v>0</v>
      </c>
      <c r="L207" t="n">
        <v>0</v>
      </c>
      <c r="M207" t="n">
        <v>0</v>
      </c>
      <c r="N207" t="n">
        <v>0</v>
      </c>
      <c r="O207" t="n">
        <v>0</v>
      </c>
      <c r="P207" t="n">
        <v>0</v>
      </c>
      <c r="Q207" t="n">
        <v>0</v>
      </c>
      <c r="R207" s="2" t="inlineStr"/>
    </row>
    <row r="208" ht="15" customHeight="1">
      <c r="A208" t="inlineStr">
        <is>
          <t>A 62854-2023</t>
        </is>
      </c>
      <c r="B208" s="1" t="n">
        <v>45272</v>
      </c>
      <c r="C208" s="1" t="n">
        <v>46084</v>
      </c>
      <c r="D208" t="inlineStr">
        <is>
          <t>DALARNAS LÄN</t>
        </is>
      </c>
      <c r="E208" t="inlineStr">
        <is>
          <t>MORA</t>
        </is>
      </c>
      <c r="G208" t="n">
        <v>11.3</v>
      </c>
      <c r="H208" t="n">
        <v>0</v>
      </c>
      <c r="I208" t="n">
        <v>0</v>
      </c>
      <c r="J208" t="n">
        <v>0</v>
      </c>
      <c r="K208" t="n">
        <v>0</v>
      </c>
      <c r="L208" t="n">
        <v>0</v>
      </c>
      <c r="M208" t="n">
        <v>0</v>
      </c>
      <c r="N208" t="n">
        <v>0</v>
      </c>
      <c r="O208" t="n">
        <v>0</v>
      </c>
      <c r="P208" t="n">
        <v>0</v>
      </c>
      <c r="Q208" t="n">
        <v>0</v>
      </c>
      <c r="R208" s="2" t="inlineStr"/>
    </row>
    <row r="209" ht="15" customHeight="1">
      <c r="A209" t="inlineStr">
        <is>
          <t>A 24127-2025</t>
        </is>
      </c>
      <c r="B209" s="1" t="n">
        <v>45796.63137731481</v>
      </c>
      <c r="C209" s="1" t="n">
        <v>46084</v>
      </c>
      <c r="D209" t="inlineStr">
        <is>
          <t>DALARNAS LÄN</t>
        </is>
      </c>
      <c r="E209" t="inlineStr">
        <is>
          <t>MORA</t>
        </is>
      </c>
      <c r="G209" t="n">
        <v>1.2</v>
      </c>
      <c r="H209" t="n">
        <v>0</v>
      </c>
      <c r="I209" t="n">
        <v>0</v>
      </c>
      <c r="J209" t="n">
        <v>0</v>
      </c>
      <c r="K209" t="n">
        <v>0</v>
      </c>
      <c r="L209" t="n">
        <v>0</v>
      </c>
      <c r="M209" t="n">
        <v>0</v>
      </c>
      <c r="N209" t="n">
        <v>0</v>
      </c>
      <c r="O209" t="n">
        <v>0</v>
      </c>
      <c r="P209" t="n">
        <v>0</v>
      </c>
      <c r="Q209" t="n">
        <v>0</v>
      </c>
      <c r="R209" s="2" t="inlineStr"/>
    </row>
    <row r="210" ht="15" customHeight="1">
      <c r="A210" t="inlineStr">
        <is>
          <t>A 39456-2025</t>
        </is>
      </c>
      <c r="B210" s="1" t="n">
        <v>45889.76200231481</v>
      </c>
      <c r="C210" s="1" t="n">
        <v>46084</v>
      </c>
      <c r="D210" t="inlineStr">
        <is>
          <t>DALARNAS LÄN</t>
        </is>
      </c>
      <c r="E210" t="inlineStr">
        <is>
          <t>MORA</t>
        </is>
      </c>
      <c r="F210" t="inlineStr">
        <is>
          <t>Bergvik skog öst AB</t>
        </is>
      </c>
      <c r="G210" t="n">
        <v>16.7</v>
      </c>
      <c r="H210" t="n">
        <v>0</v>
      </c>
      <c r="I210" t="n">
        <v>0</v>
      </c>
      <c r="J210" t="n">
        <v>0</v>
      </c>
      <c r="K210" t="n">
        <v>0</v>
      </c>
      <c r="L210" t="n">
        <v>0</v>
      </c>
      <c r="M210" t="n">
        <v>0</v>
      </c>
      <c r="N210" t="n">
        <v>0</v>
      </c>
      <c r="O210" t="n">
        <v>0</v>
      </c>
      <c r="P210" t="n">
        <v>0</v>
      </c>
      <c r="Q210" t="n">
        <v>0</v>
      </c>
      <c r="R210" s="2" t="inlineStr"/>
    </row>
    <row r="211" ht="15" customHeight="1">
      <c r="A211" t="inlineStr">
        <is>
          <t>A 24249-2025</t>
        </is>
      </c>
      <c r="B211" s="1" t="n">
        <v>45797.40260416667</v>
      </c>
      <c r="C211" s="1" t="n">
        <v>46084</v>
      </c>
      <c r="D211" t="inlineStr">
        <is>
          <t>DALARNAS LÄN</t>
        </is>
      </c>
      <c r="E211" t="inlineStr">
        <is>
          <t>MORA</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39824-2025</t>
        </is>
      </c>
      <c r="B212" s="1" t="n">
        <v>45891</v>
      </c>
      <c r="C212" s="1" t="n">
        <v>46084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39787-2025</t>
        </is>
      </c>
      <c r="B213" s="1" t="n">
        <v>45891</v>
      </c>
      <c r="C213" s="1" t="n">
        <v>46084</v>
      </c>
      <c r="D213" t="inlineStr">
        <is>
          <t>DALARNAS LÄN</t>
        </is>
      </c>
      <c r="E213" t="inlineStr">
        <is>
          <t>MORA</t>
        </is>
      </c>
      <c r="G213" t="n">
        <v>1.6</v>
      </c>
      <c r="H213" t="n">
        <v>0</v>
      </c>
      <c r="I213" t="n">
        <v>0</v>
      </c>
      <c r="J213" t="n">
        <v>0</v>
      </c>
      <c r="K213" t="n">
        <v>0</v>
      </c>
      <c r="L213" t="n">
        <v>0</v>
      </c>
      <c r="M213" t="n">
        <v>0</v>
      </c>
      <c r="N213" t="n">
        <v>0</v>
      </c>
      <c r="O213" t="n">
        <v>0</v>
      </c>
      <c r="P213" t="n">
        <v>0</v>
      </c>
      <c r="Q213" t="n">
        <v>0</v>
      </c>
      <c r="R213" s="2" t="inlineStr"/>
    </row>
    <row r="214" ht="15" customHeight="1">
      <c r="A214" t="inlineStr">
        <is>
          <t>A 9461-2025</t>
        </is>
      </c>
      <c r="B214" s="1" t="n">
        <v>45715.45341435185</v>
      </c>
      <c r="C214" s="1" t="n">
        <v>46084</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34928-2022</t>
        </is>
      </c>
      <c r="B215" s="1" t="n">
        <v>44796.60479166666</v>
      </c>
      <c r="C215" s="1" t="n">
        <v>46084</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19286-2023</t>
        </is>
      </c>
      <c r="B216" s="1" t="n">
        <v>45049</v>
      </c>
      <c r="C216" s="1" t="n">
        <v>46084</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24230-2025</t>
        </is>
      </c>
      <c r="B217" s="1" t="n">
        <v>45797.37607638889</v>
      </c>
      <c r="C217" s="1" t="n">
        <v>46084</v>
      </c>
      <c r="D217" t="inlineStr">
        <is>
          <t>DALARNAS LÄN</t>
        </is>
      </c>
      <c r="E217" t="inlineStr">
        <is>
          <t>MORA</t>
        </is>
      </c>
      <c r="G217" t="n">
        <v>6.8</v>
      </c>
      <c r="H217" t="n">
        <v>0</v>
      </c>
      <c r="I217" t="n">
        <v>0</v>
      </c>
      <c r="J217" t="n">
        <v>0</v>
      </c>
      <c r="K217" t="n">
        <v>0</v>
      </c>
      <c r="L217" t="n">
        <v>0</v>
      </c>
      <c r="M217" t="n">
        <v>0</v>
      </c>
      <c r="N217" t="n">
        <v>0</v>
      </c>
      <c r="O217" t="n">
        <v>0</v>
      </c>
      <c r="P217" t="n">
        <v>0</v>
      </c>
      <c r="Q217" t="n">
        <v>0</v>
      </c>
      <c r="R217" s="2" t="inlineStr"/>
    </row>
    <row r="218" ht="15" customHeight="1">
      <c r="A218" t="inlineStr">
        <is>
          <t>A 24280-2025</t>
        </is>
      </c>
      <c r="B218" s="1" t="n">
        <v>45797.45581018519</v>
      </c>
      <c r="C218" s="1" t="n">
        <v>46084</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46084</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19183-2025</t>
        </is>
      </c>
      <c r="B220" s="1" t="n">
        <v>45769</v>
      </c>
      <c r="C220" s="1" t="n">
        <v>46084</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25737-2025</t>
        </is>
      </c>
      <c r="B221" s="1" t="n">
        <v>45800</v>
      </c>
      <c r="C221" s="1" t="n">
        <v>46084</v>
      </c>
      <c r="D221" t="inlineStr">
        <is>
          <t>DALARNAS LÄN</t>
        </is>
      </c>
      <c r="E221" t="inlineStr">
        <is>
          <t>MORA</t>
        </is>
      </c>
      <c r="G221" t="n">
        <v>9.6</v>
      </c>
      <c r="H221" t="n">
        <v>0</v>
      </c>
      <c r="I221" t="n">
        <v>0</v>
      </c>
      <c r="J221" t="n">
        <v>0</v>
      </c>
      <c r="K221" t="n">
        <v>0</v>
      </c>
      <c r="L221" t="n">
        <v>0</v>
      </c>
      <c r="M221" t="n">
        <v>0</v>
      </c>
      <c r="N221" t="n">
        <v>0</v>
      </c>
      <c r="O221" t="n">
        <v>0</v>
      </c>
      <c r="P221" t="n">
        <v>0</v>
      </c>
      <c r="Q221" t="n">
        <v>0</v>
      </c>
      <c r="R221" s="2" t="inlineStr"/>
    </row>
    <row r="222" ht="15" customHeight="1">
      <c r="A222" t="inlineStr">
        <is>
          <t>A 44595-2024</t>
        </is>
      </c>
      <c r="B222" s="1" t="n">
        <v>45574.51053240741</v>
      </c>
      <c r="C222" s="1" t="n">
        <v>46084</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40140-2025</t>
        </is>
      </c>
      <c r="B223" s="1" t="n">
        <v>45894.57016203704</v>
      </c>
      <c r="C223" s="1" t="n">
        <v>46084</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40142-2025</t>
        </is>
      </c>
      <c r="B224" s="1" t="n">
        <v>45894.57202546296</v>
      </c>
      <c r="C224" s="1" t="n">
        <v>46084</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24640-2025</t>
        </is>
      </c>
      <c r="B225" s="1" t="n">
        <v>45798.62243055556</v>
      </c>
      <c r="C225" s="1" t="n">
        <v>46084</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61293-2022</t>
        </is>
      </c>
      <c r="B226" s="1" t="n">
        <v>44915.62751157407</v>
      </c>
      <c r="C226" s="1" t="n">
        <v>46084</v>
      </c>
      <c r="D226" t="inlineStr">
        <is>
          <t>DALARNAS LÄN</t>
        </is>
      </c>
      <c r="E226" t="inlineStr">
        <is>
          <t>MORA</t>
        </is>
      </c>
      <c r="G226" t="n">
        <v>0.3</v>
      </c>
      <c r="H226" t="n">
        <v>0</v>
      </c>
      <c r="I226" t="n">
        <v>0</v>
      </c>
      <c r="J226" t="n">
        <v>0</v>
      </c>
      <c r="K226" t="n">
        <v>0</v>
      </c>
      <c r="L226" t="n">
        <v>0</v>
      </c>
      <c r="M226" t="n">
        <v>0</v>
      </c>
      <c r="N226" t="n">
        <v>0</v>
      </c>
      <c r="O226" t="n">
        <v>0</v>
      </c>
      <c r="P226" t="n">
        <v>0</v>
      </c>
      <c r="Q226" t="n">
        <v>0</v>
      </c>
      <c r="R226" s="2" t="inlineStr"/>
    </row>
    <row r="227" ht="15" customHeight="1">
      <c r="A227" t="inlineStr">
        <is>
          <t>A 40147-2025</t>
        </is>
      </c>
      <c r="B227" s="1" t="n">
        <v>45894.57918981482</v>
      </c>
      <c r="C227" s="1" t="n">
        <v>46084</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46412-2024</t>
        </is>
      </c>
      <c r="B228" s="1" t="n">
        <v>45582.44894675926</v>
      </c>
      <c r="C228" s="1" t="n">
        <v>46084</v>
      </c>
      <c r="D228" t="inlineStr">
        <is>
          <t>DALARNAS LÄN</t>
        </is>
      </c>
      <c r="E228" t="inlineStr">
        <is>
          <t>MORA</t>
        </is>
      </c>
      <c r="G228" t="n">
        <v>4.1</v>
      </c>
      <c r="H228" t="n">
        <v>0</v>
      </c>
      <c r="I228" t="n">
        <v>0</v>
      </c>
      <c r="J228" t="n">
        <v>0</v>
      </c>
      <c r="K228" t="n">
        <v>0</v>
      </c>
      <c r="L228" t="n">
        <v>0</v>
      </c>
      <c r="M228" t="n">
        <v>0</v>
      </c>
      <c r="N228" t="n">
        <v>0</v>
      </c>
      <c r="O228" t="n">
        <v>0</v>
      </c>
      <c r="P228" t="n">
        <v>0</v>
      </c>
      <c r="Q228" t="n">
        <v>0</v>
      </c>
      <c r="R228" s="2" t="inlineStr"/>
    </row>
    <row r="229" ht="15" customHeight="1">
      <c r="A229" t="inlineStr">
        <is>
          <t>A 40660-2025</t>
        </is>
      </c>
      <c r="B229" s="1" t="n">
        <v>45896.64631944444</v>
      </c>
      <c r="C229" s="1" t="n">
        <v>46084</v>
      </c>
      <c r="D229" t="inlineStr">
        <is>
          <t>DALARNAS LÄN</t>
        </is>
      </c>
      <c r="E229" t="inlineStr">
        <is>
          <t>MORA</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57091-2021</t>
        </is>
      </c>
      <c r="B230" s="1" t="n">
        <v>44482</v>
      </c>
      <c r="C230" s="1" t="n">
        <v>46084</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50685-2023</t>
        </is>
      </c>
      <c r="B231" s="1" t="n">
        <v>45210</v>
      </c>
      <c r="C231" s="1" t="n">
        <v>46084</v>
      </c>
      <c r="D231" t="inlineStr">
        <is>
          <t>DALARNAS LÄN</t>
        </is>
      </c>
      <c r="E231" t="inlineStr">
        <is>
          <t>MORA</t>
        </is>
      </c>
      <c r="G231" t="n">
        <v>1.7</v>
      </c>
      <c r="H231" t="n">
        <v>0</v>
      </c>
      <c r="I231" t="n">
        <v>0</v>
      </c>
      <c r="J231" t="n">
        <v>0</v>
      </c>
      <c r="K231" t="n">
        <v>0</v>
      </c>
      <c r="L231" t="n">
        <v>0</v>
      </c>
      <c r="M231" t="n">
        <v>0</v>
      </c>
      <c r="N231" t="n">
        <v>0</v>
      </c>
      <c r="O231" t="n">
        <v>0</v>
      </c>
      <c r="P231" t="n">
        <v>0</v>
      </c>
      <c r="Q231" t="n">
        <v>0</v>
      </c>
      <c r="R231" s="2" t="inlineStr"/>
    </row>
    <row r="232" ht="15" customHeight="1">
      <c r="A232" t="inlineStr">
        <is>
          <t>A 36740-2023</t>
        </is>
      </c>
      <c r="B232" s="1" t="n">
        <v>45153</v>
      </c>
      <c r="C232" s="1" t="n">
        <v>46084</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40805-2025</t>
        </is>
      </c>
      <c r="B233" s="1" t="n">
        <v>45897.46659722222</v>
      </c>
      <c r="C233" s="1" t="n">
        <v>46084</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40661-2025</t>
        </is>
      </c>
      <c r="B234" s="1" t="n">
        <v>45896.64715277778</v>
      </c>
      <c r="C234" s="1" t="n">
        <v>46084</v>
      </c>
      <c r="D234" t="inlineStr">
        <is>
          <t>DALARNAS LÄN</t>
        </is>
      </c>
      <c r="E234" t="inlineStr">
        <is>
          <t>MORA</t>
        </is>
      </c>
      <c r="G234" t="n">
        <v>2.8</v>
      </c>
      <c r="H234" t="n">
        <v>0</v>
      </c>
      <c r="I234" t="n">
        <v>0</v>
      </c>
      <c r="J234" t="n">
        <v>0</v>
      </c>
      <c r="K234" t="n">
        <v>0</v>
      </c>
      <c r="L234" t="n">
        <v>0</v>
      </c>
      <c r="M234" t="n">
        <v>0</v>
      </c>
      <c r="N234" t="n">
        <v>0</v>
      </c>
      <c r="O234" t="n">
        <v>0</v>
      </c>
      <c r="P234" t="n">
        <v>0</v>
      </c>
      <c r="Q234" t="n">
        <v>0</v>
      </c>
      <c r="R234" s="2" t="inlineStr"/>
    </row>
    <row r="235" ht="15" customHeight="1">
      <c r="A235" t="inlineStr">
        <is>
          <t>A 25345-2025</t>
        </is>
      </c>
      <c r="B235" s="1" t="n">
        <v>45799</v>
      </c>
      <c r="C235" s="1" t="n">
        <v>46084</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24947-2025</t>
        </is>
      </c>
      <c r="B236" s="1" t="n">
        <v>45799.56524305556</v>
      </c>
      <c r="C236" s="1" t="n">
        <v>46084</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24630-2025</t>
        </is>
      </c>
      <c r="B237" s="1" t="n">
        <v>45798.6003587963</v>
      </c>
      <c r="C237" s="1" t="n">
        <v>46084</v>
      </c>
      <c r="D237" t="inlineStr">
        <is>
          <t>DALARNAS LÄN</t>
        </is>
      </c>
      <c r="E237" t="inlineStr">
        <is>
          <t>MORA</t>
        </is>
      </c>
      <c r="F237" t="inlineStr">
        <is>
          <t>Bergvik skog väst AB</t>
        </is>
      </c>
      <c r="G237" t="n">
        <v>10.4</v>
      </c>
      <c r="H237" t="n">
        <v>0</v>
      </c>
      <c r="I237" t="n">
        <v>0</v>
      </c>
      <c r="J237" t="n">
        <v>0</v>
      </c>
      <c r="K237" t="n">
        <v>0</v>
      </c>
      <c r="L237" t="n">
        <v>0</v>
      </c>
      <c r="M237" t="n">
        <v>0</v>
      </c>
      <c r="N237" t="n">
        <v>0</v>
      </c>
      <c r="O237" t="n">
        <v>0</v>
      </c>
      <c r="P237" t="n">
        <v>0</v>
      </c>
      <c r="Q237" t="n">
        <v>0</v>
      </c>
      <c r="R237" s="2" t="inlineStr"/>
    </row>
    <row r="238" ht="15" customHeight="1">
      <c r="A238" t="inlineStr">
        <is>
          <t>A 24960-2025</t>
        </is>
      </c>
      <c r="B238" s="1" t="n">
        <v>45799.57666666667</v>
      </c>
      <c r="C238" s="1" t="n">
        <v>46084</v>
      </c>
      <c r="D238" t="inlineStr">
        <is>
          <t>DALARNAS LÄN</t>
        </is>
      </c>
      <c r="E238" t="inlineStr">
        <is>
          <t>MORA</t>
        </is>
      </c>
      <c r="G238" t="n">
        <v>3.2</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46084</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65186-2021</t>
        </is>
      </c>
      <c r="B240" s="1" t="n">
        <v>44515</v>
      </c>
      <c r="C240" s="1" t="n">
        <v>46084</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5309-2023</t>
        </is>
      </c>
      <c r="B241" s="1" t="n">
        <v>44956</v>
      </c>
      <c r="C241" s="1" t="n">
        <v>46084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41200-2025</t>
        </is>
      </c>
      <c r="B242" s="1" t="n">
        <v>45898.5738425926</v>
      </c>
      <c r="C242" s="1" t="n">
        <v>46084</v>
      </c>
      <c r="D242" t="inlineStr">
        <is>
          <t>DALARNAS LÄN</t>
        </is>
      </c>
      <c r="E242" t="inlineStr">
        <is>
          <t>MORA</t>
        </is>
      </c>
      <c r="G242" t="n">
        <v>8.9</v>
      </c>
      <c r="H242" t="n">
        <v>0</v>
      </c>
      <c r="I242" t="n">
        <v>0</v>
      </c>
      <c r="J242" t="n">
        <v>0</v>
      </c>
      <c r="K242" t="n">
        <v>0</v>
      </c>
      <c r="L242" t="n">
        <v>0</v>
      </c>
      <c r="M242" t="n">
        <v>0</v>
      </c>
      <c r="N242" t="n">
        <v>0</v>
      </c>
      <c r="O242" t="n">
        <v>0</v>
      </c>
      <c r="P242" t="n">
        <v>0</v>
      </c>
      <c r="Q242" t="n">
        <v>0</v>
      </c>
      <c r="R242" s="2" t="inlineStr"/>
    </row>
    <row r="243" ht="15" customHeight="1">
      <c r="A243" t="inlineStr">
        <is>
          <t>A 24642-2025</t>
        </is>
      </c>
      <c r="B243" s="1" t="n">
        <v>45798.62894675926</v>
      </c>
      <c r="C243" s="1" t="n">
        <v>46084</v>
      </c>
      <c r="D243" t="inlineStr">
        <is>
          <t>DALARNAS LÄN</t>
        </is>
      </c>
      <c r="E243" t="inlineStr">
        <is>
          <t>MORA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41175-2025</t>
        </is>
      </c>
      <c r="B244" s="1" t="n">
        <v>45898.55165509259</v>
      </c>
      <c r="C244" s="1" t="n">
        <v>46084</v>
      </c>
      <c r="D244" t="inlineStr">
        <is>
          <t>DALARNAS LÄN</t>
        </is>
      </c>
      <c r="E244" t="inlineStr">
        <is>
          <t>MORA</t>
        </is>
      </c>
      <c r="G244" t="n">
        <v>4.5</v>
      </c>
      <c r="H244" t="n">
        <v>0</v>
      </c>
      <c r="I244" t="n">
        <v>0</v>
      </c>
      <c r="J244" t="n">
        <v>0</v>
      </c>
      <c r="K244" t="n">
        <v>0</v>
      </c>
      <c r="L244" t="n">
        <v>0</v>
      </c>
      <c r="M244" t="n">
        <v>0</v>
      </c>
      <c r="N244" t="n">
        <v>0</v>
      </c>
      <c r="O244" t="n">
        <v>0</v>
      </c>
      <c r="P244" t="n">
        <v>0</v>
      </c>
      <c r="Q244" t="n">
        <v>0</v>
      </c>
      <c r="R244" s="2" t="inlineStr"/>
    </row>
    <row r="245" ht="15" customHeight="1">
      <c r="A245" t="inlineStr">
        <is>
          <t>A 41614-2025</t>
        </is>
      </c>
      <c r="B245" s="1" t="n">
        <v>45901.68267361111</v>
      </c>
      <c r="C245" s="1" t="n">
        <v>46084</v>
      </c>
      <c r="D245" t="inlineStr">
        <is>
          <t>DALARNAS LÄN</t>
        </is>
      </c>
      <c r="E245" t="inlineStr">
        <is>
          <t>MORA</t>
        </is>
      </c>
      <c r="F245" t="inlineStr">
        <is>
          <t>Bergvik skog väst AB</t>
        </is>
      </c>
      <c r="G245" t="n">
        <v>13.8</v>
      </c>
      <c r="H245" t="n">
        <v>0</v>
      </c>
      <c r="I245" t="n">
        <v>0</v>
      </c>
      <c r="J245" t="n">
        <v>0</v>
      </c>
      <c r="K245" t="n">
        <v>0</v>
      </c>
      <c r="L245" t="n">
        <v>0</v>
      </c>
      <c r="M245" t="n">
        <v>0</v>
      </c>
      <c r="N245" t="n">
        <v>0</v>
      </c>
      <c r="O245" t="n">
        <v>0</v>
      </c>
      <c r="P245" t="n">
        <v>0</v>
      </c>
      <c r="Q245" t="n">
        <v>0</v>
      </c>
      <c r="R245" s="2" t="inlineStr"/>
    </row>
    <row r="246" ht="15" customHeight="1">
      <c r="A246" t="inlineStr">
        <is>
          <t>A 54398-2021</t>
        </is>
      </c>
      <c r="B246" s="1" t="n">
        <v>44473.39252314815</v>
      </c>
      <c r="C246" s="1" t="n">
        <v>46084</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2879-2022</t>
        </is>
      </c>
      <c r="B247" s="1" t="n">
        <v>44581</v>
      </c>
      <c r="C247" s="1" t="n">
        <v>46084</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58171-2024</t>
        </is>
      </c>
      <c r="B248" s="1" t="n">
        <v>45632.46545138889</v>
      </c>
      <c r="C248" s="1" t="n">
        <v>46084</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24620-2025</t>
        </is>
      </c>
      <c r="B249" s="1" t="n">
        <v>45798.59290509259</v>
      </c>
      <c r="C249" s="1" t="n">
        <v>46084</v>
      </c>
      <c r="D249" t="inlineStr">
        <is>
          <t>DALARNAS LÄN</t>
        </is>
      </c>
      <c r="E249" t="inlineStr">
        <is>
          <t>MORA</t>
        </is>
      </c>
      <c r="F249" t="inlineStr">
        <is>
          <t>Bergvik skog väst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60099-2024</t>
        </is>
      </c>
      <c r="B250" s="1" t="n">
        <v>45642.55645833333</v>
      </c>
      <c r="C250" s="1" t="n">
        <v>46084</v>
      </c>
      <c r="D250" t="inlineStr">
        <is>
          <t>DALARNAS LÄN</t>
        </is>
      </c>
      <c r="E250" t="inlineStr">
        <is>
          <t>MORA</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24653-2025</t>
        </is>
      </c>
      <c r="B251" s="1" t="n">
        <v>45798.63875</v>
      </c>
      <c r="C251" s="1" t="n">
        <v>46084</v>
      </c>
      <c r="D251" t="inlineStr">
        <is>
          <t>DALARNAS LÄN</t>
        </is>
      </c>
      <c r="E251" t="inlineStr">
        <is>
          <t>MORA</t>
        </is>
      </c>
      <c r="F251" t="inlineStr">
        <is>
          <t>Bergvik skog väst AB</t>
        </is>
      </c>
      <c r="G251" t="n">
        <v>4.9</v>
      </c>
      <c r="H251" t="n">
        <v>0</v>
      </c>
      <c r="I251" t="n">
        <v>0</v>
      </c>
      <c r="J251" t="n">
        <v>0</v>
      </c>
      <c r="K251" t="n">
        <v>0</v>
      </c>
      <c r="L251" t="n">
        <v>0</v>
      </c>
      <c r="M251" t="n">
        <v>0</v>
      </c>
      <c r="N251" t="n">
        <v>0</v>
      </c>
      <c r="O251" t="n">
        <v>0</v>
      </c>
      <c r="P251" t="n">
        <v>0</v>
      </c>
      <c r="Q251" t="n">
        <v>0</v>
      </c>
      <c r="R251" s="2" t="inlineStr"/>
    </row>
    <row r="252" ht="15" customHeight="1">
      <c r="A252" t="inlineStr">
        <is>
          <t>A 41783-2025</t>
        </is>
      </c>
      <c r="B252" s="1" t="n">
        <v>45902.58721064815</v>
      </c>
      <c r="C252" s="1" t="n">
        <v>46084</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17167-2025</t>
        </is>
      </c>
      <c r="B253" s="1" t="n">
        <v>45756.36844907407</v>
      </c>
      <c r="C253" s="1" t="n">
        <v>46084</v>
      </c>
      <c r="D253" t="inlineStr">
        <is>
          <t>DALARNAS LÄN</t>
        </is>
      </c>
      <c r="E253" t="inlineStr">
        <is>
          <t>MORA</t>
        </is>
      </c>
      <c r="F253" t="inlineStr">
        <is>
          <t>Bergvik skog öst AB</t>
        </is>
      </c>
      <c r="G253" t="n">
        <v>1.7</v>
      </c>
      <c r="H253" t="n">
        <v>0</v>
      </c>
      <c r="I253" t="n">
        <v>0</v>
      </c>
      <c r="J253" t="n">
        <v>0</v>
      </c>
      <c r="K253" t="n">
        <v>0</v>
      </c>
      <c r="L253" t="n">
        <v>0</v>
      </c>
      <c r="M253" t="n">
        <v>0</v>
      </c>
      <c r="N253" t="n">
        <v>0</v>
      </c>
      <c r="O253" t="n">
        <v>0</v>
      </c>
      <c r="P253" t="n">
        <v>0</v>
      </c>
      <c r="Q253" t="n">
        <v>0</v>
      </c>
      <c r="R253" s="2" t="inlineStr"/>
    </row>
    <row r="254" ht="15" customHeight="1">
      <c r="A254" t="inlineStr">
        <is>
          <t>A 20504-2023</t>
        </is>
      </c>
      <c r="B254" s="1" t="n">
        <v>45057</v>
      </c>
      <c r="C254" s="1" t="n">
        <v>46084</v>
      </c>
      <c r="D254" t="inlineStr">
        <is>
          <t>DALARNAS LÄN</t>
        </is>
      </c>
      <c r="E254" t="inlineStr">
        <is>
          <t>MORA</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36184-2021</t>
        </is>
      </c>
      <c r="B255" s="1" t="n">
        <v>44389</v>
      </c>
      <c r="C255" s="1" t="n">
        <v>46084</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17529-2023</t>
        </is>
      </c>
      <c r="B256" s="1" t="n">
        <v>45036.46804398148</v>
      </c>
      <c r="C256" s="1" t="n">
        <v>46084</v>
      </c>
      <c r="D256" t="inlineStr">
        <is>
          <t>DALARNAS LÄN</t>
        </is>
      </c>
      <c r="E256" t="inlineStr">
        <is>
          <t>MORA</t>
        </is>
      </c>
      <c r="G256" t="n">
        <v>6</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46084</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44201-2023</t>
        </is>
      </c>
      <c r="B258" s="1" t="n">
        <v>45188</v>
      </c>
      <c r="C258" s="1" t="n">
        <v>46084</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16522-2024</t>
        </is>
      </c>
      <c r="B259" s="1" t="n">
        <v>45408.41166666667</v>
      </c>
      <c r="C259" s="1" t="n">
        <v>46084</v>
      </c>
      <c r="D259" t="inlineStr">
        <is>
          <t>DALARNAS LÄN</t>
        </is>
      </c>
      <c r="E259" t="inlineStr">
        <is>
          <t>MORA</t>
        </is>
      </c>
      <c r="G259" t="n">
        <v>11.2</v>
      </c>
      <c r="H259" t="n">
        <v>0</v>
      </c>
      <c r="I259" t="n">
        <v>0</v>
      </c>
      <c r="J259" t="n">
        <v>0</v>
      </c>
      <c r="K259" t="n">
        <v>0</v>
      </c>
      <c r="L259" t="n">
        <v>0</v>
      </c>
      <c r="M259" t="n">
        <v>0</v>
      </c>
      <c r="N259" t="n">
        <v>0</v>
      </c>
      <c r="O259" t="n">
        <v>0</v>
      </c>
      <c r="P259" t="n">
        <v>0</v>
      </c>
      <c r="Q259" t="n">
        <v>0</v>
      </c>
      <c r="R259" s="2" t="inlineStr"/>
    </row>
    <row r="260" ht="15" customHeight="1">
      <c r="A260" t="inlineStr">
        <is>
          <t>A 42319-2025</t>
        </is>
      </c>
      <c r="B260" s="1" t="n">
        <v>45903</v>
      </c>
      <c r="C260" s="1" t="n">
        <v>46084</v>
      </c>
      <c r="D260" t="inlineStr">
        <is>
          <t>DALARNAS LÄN</t>
        </is>
      </c>
      <c r="E260" t="inlineStr">
        <is>
          <t>MORA</t>
        </is>
      </c>
      <c r="G260" t="n">
        <v>2.3</v>
      </c>
      <c r="H260" t="n">
        <v>0</v>
      </c>
      <c r="I260" t="n">
        <v>0</v>
      </c>
      <c r="J260" t="n">
        <v>0</v>
      </c>
      <c r="K260" t="n">
        <v>0</v>
      </c>
      <c r="L260" t="n">
        <v>0</v>
      </c>
      <c r="M260" t="n">
        <v>0</v>
      </c>
      <c r="N260" t="n">
        <v>0</v>
      </c>
      <c r="O260" t="n">
        <v>0</v>
      </c>
      <c r="P260" t="n">
        <v>0</v>
      </c>
      <c r="Q260" t="n">
        <v>0</v>
      </c>
      <c r="R260" s="2" t="inlineStr"/>
    </row>
    <row r="261" ht="15" customHeight="1">
      <c r="A261" t="inlineStr">
        <is>
          <t>A 36038-2024</t>
        </is>
      </c>
      <c r="B261" s="1" t="n">
        <v>45533</v>
      </c>
      <c r="C261" s="1" t="n">
        <v>46084</v>
      </c>
      <c r="D261" t="inlineStr">
        <is>
          <t>DALARNAS LÄN</t>
        </is>
      </c>
      <c r="E261" t="inlineStr">
        <is>
          <t>MORA</t>
        </is>
      </c>
      <c r="G261" t="n">
        <v>5.1</v>
      </c>
      <c r="H261" t="n">
        <v>0</v>
      </c>
      <c r="I261" t="n">
        <v>0</v>
      </c>
      <c r="J261" t="n">
        <v>0</v>
      </c>
      <c r="K261" t="n">
        <v>0</v>
      </c>
      <c r="L261" t="n">
        <v>0</v>
      </c>
      <c r="M261" t="n">
        <v>0</v>
      </c>
      <c r="N261" t="n">
        <v>0</v>
      </c>
      <c r="O261" t="n">
        <v>0</v>
      </c>
      <c r="P261" t="n">
        <v>0</v>
      </c>
      <c r="Q261" t="n">
        <v>0</v>
      </c>
      <c r="R261" s="2" t="inlineStr"/>
    </row>
    <row r="262" ht="15" customHeight="1">
      <c r="A262" t="inlineStr">
        <is>
          <t>A 26532-2025</t>
        </is>
      </c>
      <c r="B262" s="1" t="n">
        <v>45807</v>
      </c>
      <c r="C262" s="1" t="n">
        <v>46084</v>
      </c>
      <c r="D262" t="inlineStr">
        <is>
          <t>DALARNAS LÄN</t>
        </is>
      </c>
      <c r="E262" t="inlineStr">
        <is>
          <t>MORA</t>
        </is>
      </c>
      <c r="G262" t="n">
        <v>4.4</v>
      </c>
      <c r="H262" t="n">
        <v>0</v>
      </c>
      <c r="I262" t="n">
        <v>0</v>
      </c>
      <c r="J262" t="n">
        <v>0</v>
      </c>
      <c r="K262" t="n">
        <v>0</v>
      </c>
      <c r="L262" t="n">
        <v>0</v>
      </c>
      <c r="M262" t="n">
        <v>0</v>
      </c>
      <c r="N262" t="n">
        <v>0</v>
      </c>
      <c r="O262" t="n">
        <v>0</v>
      </c>
      <c r="P262" t="n">
        <v>0</v>
      </c>
      <c r="Q262" t="n">
        <v>0</v>
      </c>
      <c r="R262" s="2" t="inlineStr"/>
    </row>
    <row r="263" ht="15" customHeight="1">
      <c r="A263" t="inlineStr">
        <is>
          <t>A 2865-2022</t>
        </is>
      </c>
      <c r="B263" s="1" t="n">
        <v>44581</v>
      </c>
      <c r="C263" s="1" t="n">
        <v>46084</v>
      </c>
      <c r="D263" t="inlineStr">
        <is>
          <t>DALARNAS LÄN</t>
        </is>
      </c>
      <c r="E263" t="inlineStr">
        <is>
          <t>MORA</t>
        </is>
      </c>
      <c r="G263" t="n">
        <v>2</v>
      </c>
      <c r="H263" t="n">
        <v>0</v>
      </c>
      <c r="I263" t="n">
        <v>0</v>
      </c>
      <c r="J263" t="n">
        <v>0</v>
      </c>
      <c r="K263" t="n">
        <v>0</v>
      </c>
      <c r="L263" t="n">
        <v>0</v>
      </c>
      <c r="M263" t="n">
        <v>0</v>
      </c>
      <c r="N263" t="n">
        <v>0</v>
      </c>
      <c r="O263" t="n">
        <v>0</v>
      </c>
      <c r="P263" t="n">
        <v>0</v>
      </c>
      <c r="Q263" t="n">
        <v>0</v>
      </c>
      <c r="R263" s="2" t="inlineStr"/>
    </row>
    <row r="264" ht="15" customHeight="1">
      <c r="A264" t="inlineStr">
        <is>
          <t>A 15443-2025</t>
        </is>
      </c>
      <c r="B264" s="1" t="n">
        <v>45747.48371527778</v>
      </c>
      <c r="C264" s="1" t="n">
        <v>46084</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56834-2024</t>
        </is>
      </c>
      <c r="B265" s="1" t="n">
        <v>45628.49931712963</v>
      </c>
      <c r="C265" s="1" t="n">
        <v>46084</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30819-2024</t>
        </is>
      </c>
      <c r="B266" s="1" t="n">
        <v>45497</v>
      </c>
      <c r="C266" s="1" t="n">
        <v>46084</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47036-2023</t>
        </is>
      </c>
      <c r="B267" s="1" t="n">
        <v>45196</v>
      </c>
      <c r="C267" s="1" t="n">
        <v>46084</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26731-2025</t>
        </is>
      </c>
      <c r="B268" s="1" t="n">
        <v>45810.50702546296</v>
      </c>
      <c r="C268" s="1" t="n">
        <v>46084</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20885-2024</t>
        </is>
      </c>
      <c r="B269" s="1" t="n">
        <v>45439.45527777778</v>
      </c>
      <c r="C269" s="1" t="n">
        <v>46084</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56425-2024</t>
        </is>
      </c>
      <c r="B270" s="1" t="n">
        <v>45625.38677083333</v>
      </c>
      <c r="C270" s="1" t="n">
        <v>46084</v>
      </c>
      <c r="D270" t="inlineStr">
        <is>
          <t>DALARNAS LÄN</t>
        </is>
      </c>
      <c r="E270" t="inlineStr">
        <is>
          <t>MORA</t>
        </is>
      </c>
      <c r="G270" t="n">
        <v>2.1</v>
      </c>
      <c r="H270" t="n">
        <v>0</v>
      </c>
      <c r="I270" t="n">
        <v>0</v>
      </c>
      <c r="J270" t="n">
        <v>0</v>
      </c>
      <c r="K270" t="n">
        <v>0</v>
      </c>
      <c r="L270" t="n">
        <v>0</v>
      </c>
      <c r="M270" t="n">
        <v>0</v>
      </c>
      <c r="N270" t="n">
        <v>0</v>
      </c>
      <c r="O270" t="n">
        <v>0</v>
      </c>
      <c r="P270" t="n">
        <v>0</v>
      </c>
      <c r="Q270" t="n">
        <v>0</v>
      </c>
      <c r="R270" s="2" t="inlineStr"/>
    </row>
    <row r="271" ht="15" customHeight="1">
      <c r="A271" t="inlineStr">
        <is>
          <t>A 26711-2025</t>
        </is>
      </c>
      <c r="B271" s="1" t="n">
        <v>45810.46144675926</v>
      </c>
      <c r="C271" s="1" t="n">
        <v>46084</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20544-2025</t>
        </is>
      </c>
      <c r="B272" s="1" t="n">
        <v>45775.63119212963</v>
      </c>
      <c r="C272" s="1" t="n">
        <v>46084</v>
      </c>
      <c r="D272" t="inlineStr">
        <is>
          <t>DALARNAS LÄN</t>
        </is>
      </c>
      <c r="E272" t="inlineStr">
        <is>
          <t>MORA</t>
        </is>
      </c>
      <c r="G272" t="n">
        <v>3.6</v>
      </c>
      <c r="H272" t="n">
        <v>0</v>
      </c>
      <c r="I272" t="n">
        <v>0</v>
      </c>
      <c r="J272" t="n">
        <v>0</v>
      </c>
      <c r="K272" t="n">
        <v>0</v>
      </c>
      <c r="L272" t="n">
        <v>0</v>
      </c>
      <c r="M272" t="n">
        <v>0</v>
      </c>
      <c r="N272" t="n">
        <v>0</v>
      </c>
      <c r="O272" t="n">
        <v>0</v>
      </c>
      <c r="P272" t="n">
        <v>0</v>
      </c>
      <c r="Q272" t="n">
        <v>0</v>
      </c>
      <c r="R272" s="2" t="inlineStr"/>
    </row>
    <row r="273" ht="15" customHeight="1">
      <c r="A273" t="inlineStr">
        <is>
          <t>A 7565-2025</t>
        </is>
      </c>
      <c r="B273" s="1" t="n">
        <v>45705.59269675926</v>
      </c>
      <c r="C273" s="1" t="n">
        <v>46084</v>
      </c>
      <c r="D273" t="inlineStr">
        <is>
          <t>DALARNAS LÄN</t>
        </is>
      </c>
      <c r="E273" t="inlineStr">
        <is>
          <t>MORA</t>
        </is>
      </c>
      <c r="G273" t="n">
        <v>3</v>
      </c>
      <c r="H273" t="n">
        <v>0</v>
      </c>
      <c r="I273" t="n">
        <v>0</v>
      </c>
      <c r="J273" t="n">
        <v>0</v>
      </c>
      <c r="K273" t="n">
        <v>0</v>
      </c>
      <c r="L273" t="n">
        <v>0</v>
      </c>
      <c r="M273" t="n">
        <v>0</v>
      </c>
      <c r="N273" t="n">
        <v>0</v>
      </c>
      <c r="O273" t="n">
        <v>0</v>
      </c>
      <c r="P273" t="n">
        <v>0</v>
      </c>
      <c r="Q273" t="n">
        <v>0</v>
      </c>
      <c r="R273" s="2" t="inlineStr"/>
    </row>
    <row r="274" ht="15" customHeight="1">
      <c r="A274" t="inlineStr">
        <is>
          <t>A 26854-2025</t>
        </is>
      </c>
      <c r="B274" s="1" t="n">
        <v>45810.67462962963</v>
      </c>
      <c r="C274" s="1" t="n">
        <v>46084</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26647-2025</t>
        </is>
      </c>
      <c r="B275" s="1" t="n">
        <v>45810.38439814815</v>
      </c>
      <c r="C275" s="1" t="n">
        <v>46084</v>
      </c>
      <c r="D275" t="inlineStr">
        <is>
          <t>DALARNAS LÄN</t>
        </is>
      </c>
      <c r="E275" t="inlineStr">
        <is>
          <t>MORA</t>
        </is>
      </c>
      <c r="G275" t="n">
        <v>7.9</v>
      </c>
      <c r="H275" t="n">
        <v>0</v>
      </c>
      <c r="I275" t="n">
        <v>0</v>
      </c>
      <c r="J275" t="n">
        <v>0</v>
      </c>
      <c r="K275" t="n">
        <v>0</v>
      </c>
      <c r="L275" t="n">
        <v>0</v>
      </c>
      <c r="M275" t="n">
        <v>0</v>
      </c>
      <c r="N275" t="n">
        <v>0</v>
      </c>
      <c r="O275" t="n">
        <v>0</v>
      </c>
      <c r="P275" t="n">
        <v>0</v>
      </c>
      <c r="Q275" t="n">
        <v>0</v>
      </c>
      <c r="R275" s="2" t="inlineStr"/>
    </row>
    <row r="276" ht="15" customHeight="1">
      <c r="A276" t="inlineStr">
        <is>
          <t>A 42112-2025</t>
        </is>
      </c>
      <c r="B276" s="1" t="n">
        <v>45904.32134259259</v>
      </c>
      <c r="C276" s="1" t="n">
        <v>46084</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51965-2024</t>
        </is>
      </c>
      <c r="B277" s="1" t="n">
        <v>45607.65123842593</v>
      </c>
      <c r="C277" s="1" t="n">
        <v>46084</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42813-2025</t>
        </is>
      </c>
      <c r="B278" s="1" t="n">
        <v>45908.56168981481</v>
      </c>
      <c r="C278" s="1" t="n">
        <v>46084</v>
      </c>
      <c r="D278" t="inlineStr">
        <is>
          <t>DALARNAS LÄN</t>
        </is>
      </c>
      <c r="E278" t="inlineStr">
        <is>
          <t>MORA</t>
        </is>
      </c>
      <c r="G278" t="n">
        <v>4.3</v>
      </c>
      <c r="H278" t="n">
        <v>0</v>
      </c>
      <c r="I278" t="n">
        <v>0</v>
      </c>
      <c r="J278" t="n">
        <v>0</v>
      </c>
      <c r="K278" t="n">
        <v>0</v>
      </c>
      <c r="L278" t="n">
        <v>0</v>
      </c>
      <c r="M278" t="n">
        <v>0</v>
      </c>
      <c r="N278" t="n">
        <v>0</v>
      </c>
      <c r="O278" t="n">
        <v>0</v>
      </c>
      <c r="P278" t="n">
        <v>0</v>
      </c>
      <c r="Q278" t="n">
        <v>0</v>
      </c>
      <c r="R278" s="2" t="inlineStr"/>
    </row>
    <row r="279" ht="15" customHeight="1">
      <c r="A279" t="inlineStr">
        <is>
          <t>A 26630-2025</t>
        </is>
      </c>
      <c r="B279" s="1" t="n">
        <v>45809</v>
      </c>
      <c r="C279" s="1" t="n">
        <v>46084</v>
      </c>
      <c r="D279" t="inlineStr">
        <is>
          <t>DALARNAS LÄN</t>
        </is>
      </c>
      <c r="E279" t="inlineStr">
        <is>
          <t>MORA</t>
        </is>
      </c>
      <c r="G279" t="n">
        <v>32.1</v>
      </c>
      <c r="H279" t="n">
        <v>0</v>
      </c>
      <c r="I279" t="n">
        <v>0</v>
      </c>
      <c r="J279" t="n">
        <v>0</v>
      </c>
      <c r="K279" t="n">
        <v>0</v>
      </c>
      <c r="L279" t="n">
        <v>0</v>
      </c>
      <c r="M279" t="n">
        <v>0</v>
      </c>
      <c r="N279" t="n">
        <v>0</v>
      </c>
      <c r="O279" t="n">
        <v>0</v>
      </c>
      <c r="P279" t="n">
        <v>0</v>
      </c>
      <c r="Q279" t="n">
        <v>0</v>
      </c>
      <c r="R279" s="2" t="inlineStr"/>
    </row>
    <row r="280" ht="15" customHeight="1">
      <c r="A280" t="inlineStr">
        <is>
          <t>A 27194-2025</t>
        </is>
      </c>
      <c r="B280" s="1" t="n">
        <v>45812.37965277778</v>
      </c>
      <c r="C280" s="1" t="n">
        <v>46084</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42947-2025</t>
        </is>
      </c>
      <c r="B281" s="1" t="n">
        <v>45909.34799768519</v>
      </c>
      <c r="C281" s="1" t="n">
        <v>46084</v>
      </c>
      <c r="D281" t="inlineStr">
        <is>
          <t>DALARNAS LÄN</t>
        </is>
      </c>
      <c r="E281" t="inlineStr">
        <is>
          <t>MORA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42960-2025</t>
        </is>
      </c>
      <c r="B282" s="1" t="n">
        <v>45909.36631944445</v>
      </c>
      <c r="C282" s="1" t="n">
        <v>46084</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17268-2025</t>
        </is>
      </c>
      <c r="B283" s="1" t="n">
        <v>45756</v>
      </c>
      <c r="C283" s="1" t="n">
        <v>46084</v>
      </c>
      <c r="D283" t="inlineStr">
        <is>
          <t>DALARNAS LÄN</t>
        </is>
      </c>
      <c r="E283" t="inlineStr">
        <is>
          <t>MORA</t>
        </is>
      </c>
      <c r="G283" t="n">
        <v>6.8</v>
      </c>
      <c r="H283" t="n">
        <v>0</v>
      </c>
      <c r="I283" t="n">
        <v>0</v>
      </c>
      <c r="J283" t="n">
        <v>0</v>
      </c>
      <c r="K283" t="n">
        <v>0</v>
      </c>
      <c r="L283" t="n">
        <v>0</v>
      </c>
      <c r="M283" t="n">
        <v>0</v>
      </c>
      <c r="N283" t="n">
        <v>0</v>
      </c>
      <c r="O283" t="n">
        <v>0</v>
      </c>
      <c r="P283" t="n">
        <v>0</v>
      </c>
      <c r="Q283" t="n">
        <v>0</v>
      </c>
      <c r="R283" s="2" t="inlineStr"/>
    </row>
    <row r="284" ht="15" customHeight="1">
      <c r="A284" t="inlineStr">
        <is>
          <t>A 27642-2025</t>
        </is>
      </c>
      <c r="B284" s="1" t="n">
        <v>45813.59405092592</v>
      </c>
      <c r="C284" s="1" t="n">
        <v>46084</v>
      </c>
      <c r="D284" t="inlineStr">
        <is>
          <t>DALARNAS LÄN</t>
        </is>
      </c>
      <c r="E284" t="inlineStr">
        <is>
          <t>MORA</t>
        </is>
      </c>
      <c r="G284" t="n">
        <v>2.5</v>
      </c>
      <c r="H284" t="n">
        <v>0</v>
      </c>
      <c r="I284" t="n">
        <v>0</v>
      </c>
      <c r="J284" t="n">
        <v>0</v>
      </c>
      <c r="K284" t="n">
        <v>0</v>
      </c>
      <c r="L284" t="n">
        <v>0</v>
      </c>
      <c r="M284" t="n">
        <v>0</v>
      </c>
      <c r="N284" t="n">
        <v>0</v>
      </c>
      <c r="O284" t="n">
        <v>0</v>
      </c>
      <c r="P284" t="n">
        <v>0</v>
      </c>
      <c r="Q284" t="n">
        <v>0</v>
      </c>
      <c r="R284" s="2" t="inlineStr"/>
    </row>
    <row r="285" ht="15" customHeight="1">
      <c r="A285" t="inlineStr">
        <is>
          <t>A 27184-2025</t>
        </is>
      </c>
      <c r="B285" s="1" t="n">
        <v>45812.36133101852</v>
      </c>
      <c r="C285" s="1" t="n">
        <v>46084</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42954-2025</t>
        </is>
      </c>
      <c r="B286" s="1" t="n">
        <v>45909.3578125</v>
      </c>
      <c r="C286" s="1" t="n">
        <v>46084</v>
      </c>
      <c r="D286" t="inlineStr">
        <is>
          <t>DALARNAS LÄN</t>
        </is>
      </c>
      <c r="E286" t="inlineStr">
        <is>
          <t>MORA</t>
        </is>
      </c>
      <c r="G286" t="n">
        <v>2.5</v>
      </c>
      <c r="H286" t="n">
        <v>0</v>
      </c>
      <c r="I286" t="n">
        <v>0</v>
      </c>
      <c r="J286" t="n">
        <v>0</v>
      </c>
      <c r="K286" t="n">
        <v>0</v>
      </c>
      <c r="L286" t="n">
        <v>0</v>
      </c>
      <c r="M286" t="n">
        <v>0</v>
      </c>
      <c r="N286" t="n">
        <v>0</v>
      </c>
      <c r="O286" t="n">
        <v>0</v>
      </c>
      <c r="P286" t="n">
        <v>0</v>
      </c>
      <c r="Q286" t="n">
        <v>0</v>
      </c>
      <c r="R286" s="2" t="inlineStr"/>
    </row>
    <row r="287" ht="15" customHeight="1">
      <c r="A287" t="inlineStr">
        <is>
          <t>A 42830-2025</t>
        </is>
      </c>
      <c r="B287" s="1" t="n">
        <v>45908.57753472222</v>
      </c>
      <c r="C287" s="1" t="n">
        <v>46084</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27177-2025</t>
        </is>
      </c>
      <c r="B288" s="1" t="n">
        <v>45812.3533912037</v>
      </c>
      <c r="C288" s="1" t="n">
        <v>46084</v>
      </c>
      <c r="D288" t="inlineStr">
        <is>
          <t>DALARNAS LÄN</t>
        </is>
      </c>
      <c r="E288" t="inlineStr">
        <is>
          <t>MORA</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14611-2025</t>
        </is>
      </c>
      <c r="B289" s="1" t="n">
        <v>45742.38511574074</v>
      </c>
      <c r="C289" s="1" t="n">
        <v>46084</v>
      </c>
      <c r="D289" t="inlineStr">
        <is>
          <t>DALARNAS LÄN</t>
        </is>
      </c>
      <c r="E289" t="inlineStr">
        <is>
          <t>MORA</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43157-2025</t>
        </is>
      </c>
      <c r="B290" s="1" t="n">
        <v>45910.34953703704</v>
      </c>
      <c r="C290" s="1" t="n">
        <v>46084</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46084</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20401-2022</t>
        </is>
      </c>
      <c r="B292" s="1" t="n">
        <v>44699</v>
      </c>
      <c r="C292" s="1" t="n">
        <v>46084</v>
      </c>
      <c r="D292" t="inlineStr">
        <is>
          <t>DALARNAS LÄN</t>
        </is>
      </c>
      <c r="E292" t="inlineStr">
        <is>
          <t>MORA</t>
        </is>
      </c>
      <c r="G292" t="n">
        <v>3.2</v>
      </c>
      <c r="H292" t="n">
        <v>0</v>
      </c>
      <c r="I292" t="n">
        <v>0</v>
      </c>
      <c r="J292" t="n">
        <v>0</v>
      </c>
      <c r="K292" t="n">
        <v>0</v>
      </c>
      <c r="L292" t="n">
        <v>0</v>
      </c>
      <c r="M292" t="n">
        <v>0</v>
      </c>
      <c r="N292" t="n">
        <v>0</v>
      </c>
      <c r="O292" t="n">
        <v>0</v>
      </c>
      <c r="P292" t="n">
        <v>0</v>
      </c>
      <c r="Q292" t="n">
        <v>0</v>
      </c>
      <c r="R292" s="2" t="inlineStr"/>
    </row>
    <row r="293" ht="15" customHeight="1">
      <c r="A293" t="inlineStr">
        <is>
          <t>A 43569-2025</t>
        </is>
      </c>
      <c r="B293" s="1" t="n">
        <v>45911.63363425926</v>
      </c>
      <c r="C293" s="1" t="n">
        <v>46084</v>
      </c>
      <c r="D293" t="inlineStr">
        <is>
          <t>DALARNAS LÄN</t>
        </is>
      </c>
      <c r="E293" t="inlineStr">
        <is>
          <t>MORA</t>
        </is>
      </c>
      <c r="G293" t="n">
        <v>4.7</v>
      </c>
      <c r="H293" t="n">
        <v>0</v>
      </c>
      <c r="I293" t="n">
        <v>0</v>
      </c>
      <c r="J293" t="n">
        <v>0</v>
      </c>
      <c r="K293" t="n">
        <v>0</v>
      </c>
      <c r="L293" t="n">
        <v>0</v>
      </c>
      <c r="M293" t="n">
        <v>0</v>
      </c>
      <c r="N293" t="n">
        <v>0</v>
      </c>
      <c r="O293" t="n">
        <v>0</v>
      </c>
      <c r="P293" t="n">
        <v>0</v>
      </c>
      <c r="Q293" t="n">
        <v>0</v>
      </c>
      <c r="R293" s="2" t="inlineStr"/>
    </row>
    <row r="294" ht="15" customHeight="1">
      <c r="A294" t="inlineStr">
        <is>
          <t>A 31929-2024</t>
        </is>
      </c>
      <c r="B294" s="1" t="n">
        <v>45510.40587962963</v>
      </c>
      <c r="C294" s="1" t="n">
        <v>46084</v>
      </c>
      <c r="D294" t="inlineStr">
        <is>
          <t>DALARNAS LÄN</t>
        </is>
      </c>
      <c r="E294" t="inlineStr">
        <is>
          <t>MORA</t>
        </is>
      </c>
      <c r="G294" t="n">
        <v>10.8</v>
      </c>
      <c r="H294" t="n">
        <v>0</v>
      </c>
      <c r="I294" t="n">
        <v>0</v>
      </c>
      <c r="J294" t="n">
        <v>0</v>
      </c>
      <c r="K294" t="n">
        <v>0</v>
      </c>
      <c r="L294" t="n">
        <v>0</v>
      </c>
      <c r="M294" t="n">
        <v>0</v>
      </c>
      <c r="N294" t="n">
        <v>0</v>
      </c>
      <c r="O294" t="n">
        <v>0</v>
      </c>
      <c r="P294" t="n">
        <v>0</v>
      </c>
      <c r="Q294" t="n">
        <v>0</v>
      </c>
      <c r="R294" s="2" t="inlineStr"/>
    </row>
    <row r="295" ht="15" customHeight="1">
      <c r="A295" t="inlineStr">
        <is>
          <t>A 28033-2025</t>
        </is>
      </c>
      <c r="B295" s="1" t="n">
        <v>45817.6325462963</v>
      </c>
      <c r="C295" s="1" t="n">
        <v>46084</v>
      </c>
      <c r="D295" t="inlineStr">
        <is>
          <t>DALARNAS LÄN</t>
        </is>
      </c>
      <c r="E295" t="inlineStr">
        <is>
          <t>MORA</t>
        </is>
      </c>
      <c r="F295" t="inlineStr">
        <is>
          <t>Bergvik skog öst AB</t>
        </is>
      </c>
      <c r="G295" t="n">
        <v>12.8</v>
      </c>
      <c r="H295" t="n">
        <v>0</v>
      </c>
      <c r="I295" t="n">
        <v>0</v>
      </c>
      <c r="J295" t="n">
        <v>0</v>
      </c>
      <c r="K295" t="n">
        <v>0</v>
      </c>
      <c r="L295" t="n">
        <v>0</v>
      </c>
      <c r="M295" t="n">
        <v>0</v>
      </c>
      <c r="N295" t="n">
        <v>0</v>
      </c>
      <c r="O295" t="n">
        <v>0</v>
      </c>
      <c r="P295" t="n">
        <v>0</v>
      </c>
      <c r="Q295" t="n">
        <v>0</v>
      </c>
      <c r="R295" s="2" t="inlineStr"/>
    </row>
    <row r="296" ht="15" customHeight="1">
      <c r="A296" t="inlineStr">
        <is>
          <t>A 43153-2025</t>
        </is>
      </c>
      <c r="B296" s="1" t="n">
        <v>45910.34449074074</v>
      </c>
      <c r="C296" s="1" t="n">
        <v>46084</v>
      </c>
      <c r="D296" t="inlineStr">
        <is>
          <t>DALARNAS LÄN</t>
        </is>
      </c>
      <c r="E296" t="inlineStr">
        <is>
          <t>MORA</t>
        </is>
      </c>
      <c r="G296" t="n">
        <v>3.9</v>
      </c>
      <c r="H296" t="n">
        <v>0</v>
      </c>
      <c r="I296" t="n">
        <v>0</v>
      </c>
      <c r="J296" t="n">
        <v>0</v>
      </c>
      <c r="K296" t="n">
        <v>0</v>
      </c>
      <c r="L296" t="n">
        <v>0</v>
      </c>
      <c r="M296" t="n">
        <v>0</v>
      </c>
      <c r="N296" t="n">
        <v>0</v>
      </c>
      <c r="O296" t="n">
        <v>0</v>
      </c>
      <c r="P296" t="n">
        <v>0</v>
      </c>
      <c r="Q296" t="n">
        <v>0</v>
      </c>
      <c r="R296" s="2" t="inlineStr"/>
    </row>
    <row r="297" ht="15" customHeight="1">
      <c r="A297" t="inlineStr">
        <is>
          <t>A 43474-2025</t>
        </is>
      </c>
      <c r="B297" s="1" t="n">
        <v>45911.48967592593</v>
      </c>
      <c r="C297" s="1" t="n">
        <v>46084</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61405-2023</t>
        </is>
      </c>
      <c r="B298" s="1" t="n">
        <v>45264.65987268519</v>
      </c>
      <c r="C298" s="1" t="n">
        <v>46084</v>
      </c>
      <c r="D298" t="inlineStr">
        <is>
          <t>DALARNAS LÄN</t>
        </is>
      </c>
      <c r="E298" t="inlineStr">
        <is>
          <t>MORA</t>
        </is>
      </c>
      <c r="G298" t="n">
        <v>0.4</v>
      </c>
      <c r="H298" t="n">
        <v>0</v>
      </c>
      <c r="I298" t="n">
        <v>0</v>
      </c>
      <c r="J298" t="n">
        <v>0</v>
      </c>
      <c r="K298" t="n">
        <v>0</v>
      </c>
      <c r="L298" t="n">
        <v>0</v>
      </c>
      <c r="M298" t="n">
        <v>0</v>
      </c>
      <c r="N298" t="n">
        <v>0</v>
      </c>
      <c r="O298" t="n">
        <v>0</v>
      </c>
      <c r="P298" t="n">
        <v>0</v>
      </c>
      <c r="Q298" t="n">
        <v>0</v>
      </c>
      <c r="R298" s="2" t="inlineStr"/>
    </row>
    <row r="299" ht="15" customHeight="1">
      <c r="A299" t="inlineStr">
        <is>
          <t>A 14832-2025</t>
        </is>
      </c>
      <c r="B299" s="1" t="n">
        <v>45743</v>
      </c>
      <c r="C299" s="1" t="n">
        <v>46084</v>
      </c>
      <c r="D299" t="inlineStr">
        <is>
          <t>DALARNAS LÄN</t>
        </is>
      </c>
      <c r="E299" t="inlineStr">
        <is>
          <t>MORA</t>
        </is>
      </c>
      <c r="G299" t="n">
        <v>9.1</v>
      </c>
      <c r="H299" t="n">
        <v>0</v>
      </c>
      <c r="I299" t="n">
        <v>0</v>
      </c>
      <c r="J299" t="n">
        <v>0</v>
      </c>
      <c r="K299" t="n">
        <v>0</v>
      </c>
      <c r="L299" t="n">
        <v>0</v>
      </c>
      <c r="M299" t="n">
        <v>0</v>
      </c>
      <c r="N299" t="n">
        <v>0</v>
      </c>
      <c r="O299" t="n">
        <v>0</v>
      </c>
      <c r="P299" t="n">
        <v>0</v>
      </c>
      <c r="Q299" t="n">
        <v>0</v>
      </c>
      <c r="R299" s="2" t="inlineStr"/>
    </row>
    <row r="300" ht="15" customHeight="1">
      <c r="A300" t="inlineStr">
        <is>
          <t>A 43811-2025</t>
        </is>
      </c>
      <c r="B300" s="1" t="n">
        <v>45912.58710648148</v>
      </c>
      <c r="C300" s="1" t="n">
        <v>46084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29068-2025</t>
        </is>
      </c>
      <c r="B301" s="1" t="n">
        <v>45821.50900462963</v>
      </c>
      <c r="C301" s="1" t="n">
        <v>46084</v>
      </c>
      <c r="D301" t="inlineStr">
        <is>
          <t>DALARNAS LÄN</t>
        </is>
      </c>
      <c r="E301" t="inlineStr">
        <is>
          <t>MORA</t>
        </is>
      </c>
      <c r="G301" t="n">
        <v>1.2</v>
      </c>
      <c r="H301" t="n">
        <v>0</v>
      </c>
      <c r="I301" t="n">
        <v>0</v>
      </c>
      <c r="J301" t="n">
        <v>0</v>
      </c>
      <c r="K301" t="n">
        <v>0</v>
      </c>
      <c r="L301" t="n">
        <v>0</v>
      </c>
      <c r="M301" t="n">
        <v>0</v>
      </c>
      <c r="N301" t="n">
        <v>0</v>
      </c>
      <c r="O301" t="n">
        <v>0</v>
      </c>
      <c r="P301" t="n">
        <v>0</v>
      </c>
      <c r="Q301" t="n">
        <v>0</v>
      </c>
      <c r="R301" s="2" t="inlineStr"/>
    </row>
    <row r="302" ht="15" customHeight="1">
      <c r="A302" t="inlineStr">
        <is>
          <t>A 28976-2025</t>
        </is>
      </c>
      <c r="B302" s="1" t="n">
        <v>45821.34855324074</v>
      </c>
      <c r="C302" s="1" t="n">
        <v>46084</v>
      </c>
      <c r="D302" t="inlineStr">
        <is>
          <t>DALARNAS LÄN</t>
        </is>
      </c>
      <c r="E302" t="inlineStr">
        <is>
          <t>MORA</t>
        </is>
      </c>
      <c r="F302" t="inlineStr">
        <is>
          <t>Bergvik skog öst AB</t>
        </is>
      </c>
      <c r="G302" t="n">
        <v>1.2</v>
      </c>
      <c r="H302" t="n">
        <v>0</v>
      </c>
      <c r="I302" t="n">
        <v>0</v>
      </c>
      <c r="J302" t="n">
        <v>0</v>
      </c>
      <c r="K302" t="n">
        <v>0</v>
      </c>
      <c r="L302" t="n">
        <v>0</v>
      </c>
      <c r="M302" t="n">
        <v>0</v>
      </c>
      <c r="N302" t="n">
        <v>0</v>
      </c>
      <c r="O302" t="n">
        <v>0</v>
      </c>
      <c r="P302" t="n">
        <v>0</v>
      </c>
      <c r="Q302" t="n">
        <v>0</v>
      </c>
      <c r="R302" s="2" t="inlineStr"/>
    </row>
    <row r="303" ht="15" customHeight="1">
      <c r="A303" t="inlineStr">
        <is>
          <t>A 28925-2025</t>
        </is>
      </c>
      <c r="B303" s="1" t="n">
        <v>45820.67107638889</v>
      </c>
      <c r="C303" s="1" t="n">
        <v>46084</v>
      </c>
      <c r="D303" t="inlineStr">
        <is>
          <t>DALARNAS LÄN</t>
        </is>
      </c>
      <c r="E303" t="inlineStr">
        <is>
          <t>MORA</t>
        </is>
      </c>
      <c r="G303" t="n">
        <v>3.7</v>
      </c>
      <c r="H303" t="n">
        <v>0</v>
      </c>
      <c r="I303" t="n">
        <v>0</v>
      </c>
      <c r="J303" t="n">
        <v>0</v>
      </c>
      <c r="K303" t="n">
        <v>0</v>
      </c>
      <c r="L303" t="n">
        <v>0</v>
      </c>
      <c r="M303" t="n">
        <v>0</v>
      </c>
      <c r="N303" t="n">
        <v>0</v>
      </c>
      <c r="O303" t="n">
        <v>0</v>
      </c>
      <c r="P303" t="n">
        <v>0</v>
      </c>
      <c r="Q303" t="n">
        <v>0</v>
      </c>
      <c r="R303" s="2" t="inlineStr"/>
    </row>
    <row r="304" ht="15" customHeight="1">
      <c r="A304" t="inlineStr">
        <is>
          <t>A 28927-2025</t>
        </is>
      </c>
      <c r="B304" s="1" t="n">
        <v>45820.67221064815</v>
      </c>
      <c r="C304" s="1" t="n">
        <v>46084</v>
      </c>
      <c r="D304" t="inlineStr">
        <is>
          <t>DALARNAS LÄN</t>
        </is>
      </c>
      <c r="E304" t="inlineStr">
        <is>
          <t>MORA</t>
        </is>
      </c>
      <c r="G304" t="n">
        <v>0.4</v>
      </c>
      <c r="H304" t="n">
        <v>0</v>
      </c>
      <c r="I304" t="n">
        <v>0</v>
      </c>
      <c r="J304" t="n">
        <v>0</v>
      </c>
      <c r="K304" t="n">
        <v>0</v>
      </c>
      <c r="L304" t="n">
        <v>0</v>
      </c>
      <c r="M304" t="n">
        <v>0</v>
      </c>
      <c r="N304" t="n">
        <v>0</v>
      </c>
      <c r="O304" t="n">
        <v>0</v>
      </c>
      <c r="P304" t="n">
        <v>0</v>
      </c>
      <c r="Q304" t="n">
        <v>0</v>
      </c>
      <c r="R304" s="2" t="inlineStr"/>
    </row>
    <row r="305" ht="15" customHeight="1">
      <c r="A305" t="inlineStr">
        <is>
          <t>A 39674-2023</t>
        </is>
      </c>
      <c r="B305" s="1" t="n">
        <v>45167</v>
      </c>
      <c r="C305" s="1" t="n">
        <v>46084</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28924-2025</t>
        </is>
      </c>
      <c r="B306" s="1" t="n">
        <v>45820.66846064815</v>
      </c>
      <c r="C306" s="1" t="n">
        <v>46084</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44384-2025</t>
        </is>
      </c>
      <c r="B307" s="1" t="n">
        <v>45916.48513888889</v>
      </c>
      <c r="C307" s="1" t="n">
        <v>46084</v>
      </c>
      <c r="D307" t="inlineStr">
        <is>
          <t>DALARNAS LÄN</t>
        </is>
      </c>
      <c r="E307" t="inlineStr">
        <is>
          <t>MORA</t>
        </is>
      </c>
      <c r="F307" t="inlineStr">
        <is>
          <t>Kyrkan</t>
        </is>
      </c>
      <c r="G307" t="n">
        <v>5.1</v>
      </c>
      <c r="H307" t="n">
        <v>0</v>
      </c>
      <c r="I307" t="n">
        <v>0</v>
      </c>
      <c r="J307" t="n">
        <v>0</v>
      </c>
      <c r="K307" t="n">
        <v>0</v>
      </c>
      <c r="L307" t="n">
        <v>0</v>
      </c>
      <c r="M307" t="n">
        <v>0</v>
      </c>
      <c r="N307" t="n">
        <v>0</v>
      </c>
      <c r="O307" t="n">
        <v>0</v>
      </c>
      <c r="P307" t="n">
        <v>0</v>
      </c>
      <c r="Q307" t="n">
        <v>0</v>
      </c>
      <c r="R307" s="2" t="inlineStr"/>
    </row>
    <row r="308" ht="15" customHeight="1">
      <c r="A308" t="inlineStr">
        <is>
          <t>A 28751-2025</t>
        </is>
      </c>
      <c r="B308" s="1" t="n">
        <v>45820.40034722222</v>
      </c>
      <c r="C308" s="1" t="n">
        <v>46084</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38627-2023</t>
        </is>
      </c>
      <c r="B309" s="1" t="n">
        <v>45162.68787037037</v>
      </c>
      <c r="C309" s="1" t="n">
        <v>46084</v>
      </c>
      <c r="D309" t="inlineStr">
        <is>
          <t>DALARNAS LÄN</t>
        </is>
      </c>
      <c r="E309" t="inlineStr">
        <is>
          <t>MORA</t>
        </is>
      </c>
      <c r="G309" t="n">
        <v>6.5</v>
      </c>
      <c r="H309" t="n">
        <v>0</v>
      </c>
      <c r="I309" t="n">
        <v>0</v>
      </c>
      <c r="J309" t="n">
        <v>0</v>
      </c>
      <c r="K309" t="n">
        <v>0</v>
      </c>
      <c r="L309" t="n">
        <v>0</v>
      </c>
      <c r="M309" t="n">
        <v>0</v>
      </c>
      <c r="N309" t="n">
        <v>0</v>
      </c>
      <c r="O309" t="n">
        <v>0</v>
      </c>
      <c r="P309" t="n">
        <v>0</v>
      </c>
      <c r="Q309" t="n">
        <v>0</v>
      </c>
      <c r="R309" s="2" t="inlineStr"/>
    </row>
    <row r="310" ht="15" customHeight="1">
      <c r="A310" t="inlineStr">
        <is>
          <t>A 64088-2023</t>
        </is>
      </c>
      <c r="B310" s="1" t="n">
        <v>45279.43570601852</v>
      </c>
      <c r="C310" s="1" t="n">
        <v>46084</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29528-2025</t>
        </is>
      </c>
      <c r="B311" s="1" t="n">
        <v>45825.34322916667</v>
      </c>
      <c r="C311" s="1" t="n">
        <v>46084</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29440-2025</t>
        </is>
      </c>
      <c r="B312" s="1" t="n">
        <v>45824.65862268519</v>
      </c>
      <c r="C312" s="1" t="n">
        <v>46084</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44621-2025</t>
        </is>
      </c>
      <c r="B313" s="1" t="n">
        <v>45917.466875</v>
      </c>
      <c r="C313" s="1" t="n">
        <v>46084</v>
      </c>
      <c r="D313" t="inlineStr">
        <is>
          <t>DALARNAS LÄN</t>
        </is>
      </c>
      <c r="E313" t="inlineStr">
        <is>
          <t>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29425-2025</t>
        </is>
      </c>
      <c r="B314" s="1" t="n">
        <v>45824.64524305556</v>
      </c>
      <c r="C314" s="1" t="n">
        <v>46084</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2830-2023</t>
        </is>
      </c>
      <c r="B315" s="1" t="n">
        <v>44945.32997685186</v>
      </c>
      <c r="C315" s="1" t="n">
        <v>46084</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45181-2025</t>
        </is>
      </c>
      <c r="B316" s="1" t="n">
        <v>45919.53329861111</v>
      </c>
      <c r="C316" s="1" t="n">
        <v>46084</v>
      </c>
      <c r="D316" t="inlineStr">
        <is>
          <t>DALARNAS LÄN</t>
        </is>
      </c>
      <c r="E316" t="inlineStr">
        <is>
          <t>MORA</t>
        </is>
      </c>
      <c r="G316" t="n">
        <v>4.5</v>
      </c>
      <c r="H316" t="n">
        <v>0</v>
      </c>
      <c r="I316" t="n">
        <v>0</v>
      </c>
      <c r="J316" t="n">
        <v>0</v>
      </c>
      <c r="K316" t="n">
        <v>0</v>
      </c>
      <c r="L316" t="n">
        <v>0</v>
      </c>
      <c r="M316" t="n">
        <v>0</v>
      </c>
      <c r="N316" t="n">
        <v>0</v>
      </c>
      <c r="O316" t="n">
        <v>0</v>
      </c>
      <c r="P316" t="n">
        <v>0</v>
      </c>
      <c r="Q316" t="n">
        <v>0</v>
      </c>
      <c r="R316" s="2" t="inlineStr"/>
    </row>
    <row r="317" ht="15" customHeight="1">
      <c r="A317" t="inlineStr">
        <is>
          <t>A 39882-2024</t>
        </is>
      </c>
      <c r="B317" s="1" t="n">
        <v>45553</v>
      </c>
      <c r="C317" s="1" t="n">
        <v>46084</v>
      </c>
      <c r="D317" t="inlineStr">
        <is>
          <t>DALARNAS LÄN</t>
        </is>
      </c>
      <c r="E317" t="inlineStr">
        <is>
          <t>MORA</t>
        </is>
      </c>
      <c r="G317" t="n">
        <v>14.6</v>
      </c>
      <c r="H317" t="n">
        <v>0</v>
      </c>
      <c r="I317" t="n">
        <v>0</v>
      </c>
      <c r="J317" t="n">
        <v>0</v>
      </c>
      <c r="K317" t="n">
        <v>0</v>
      </c>
      <c r="L317" t="n">
        <v>0</v>
      </c>
      <c r="M317" t="n">
        <v>0</v>
      </c>
      <c r="N317" t="n">
        <v>0</v>
      </c>
      <c r="O317" t="n">
        <v>0</v>
      </c>
      <c r="P317" t="n">
        <v>0</v>
      </c>
      <c r="Q317" t="n">
        <v>0</v>
      </c>
      <c r="R317" s="2" t="inlineStr"/>
    </row>
    <row r="318" ht="15" customHeight="1">
      <c r="A318" t="inlineStr">
        <is>
          <t>A 43566-2023</t>
        </is>
      </c>
      <c r="B318" s="1" t="n">
        <v>45184.58199074074</v>
      </c>
      <c r="C318" s="1" t="n">
        <v>46084</v>
      </c>
      <c r="D318" t="inlineStr">
        <is>
          <t>DALARNAS LÄN</t>
        </is>
      </c>
      <c r="E318" t="inlineStr">
        <is>
          <t>MORA</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45191-2025</t>
        </is>
      </c>
      <c r="B319" s="1" t="n">
        <v>45919.54811342592</v>
      </c>
      <c r="C319" s="1" t="n">
        <v>46084</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30087-2025</t>
        </is>
      </c>
      <c r="B320" s="1" t="n">
        <v>45826.6575</v>
      </c>
      <c r="C320" s="1" t="n">
        <v>46084</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18702-2025</t>
        </is>
      </c>
      <c r="B321" s="1" t="n">
        <v>45763.63166666667</v>
      </c>
      <c r="C321" s="1" t="n">
        <v>46084</v>
      </c>
      <c r="D321" t="inlineStr">
        <is>
          <t>DALARNAS LÄN</t>
        </is>
      </c>
      <c r="E321" t="inlineStr">
        <is>
          <t>MORA</t>
        </is>
      </c>
      <c r="G321" t="n">
        <v>3.6</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46084</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46084</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46084</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43432-2024</t>
        </is>
      </c>
      <c r="B325" s="1" t="n">
        <v>45568.64337962963</v>
      </c>
      <c r="C325" s="1" t="n">
        <v>46084</v>
      </c>
      <c r="D325" t="inlineStr">
        <is>
          <t>DALARNAS LÄN</t>
        </is>
      </c>
      <c r="E325" t="inlineStr">
        <is>
          <t>MORA</t>
        </is>
      </c>
      <c r="G325" t="n">
        <v>0.4</v>
      </c>
      <c r="H325" t="n">
        <v>0</v>
      </c>
      <c r="I325" t="n">
        <v>0</v>
      </c>
      <c r="J325" t="n">
        <v>0</v>
      </c>
      <c r="K325" t="n">
        <v>0</v>
      </c>
      <c r="L325" t="n">
        <v>0</v>
      </c>
      <c r="M325" t="n">
        <v>0</v>
      </c>
      <c r="N325" t="n">
        <v>0</v>
      </c>
      <c r="O325" t="n">
        <v>0</v>
      </c>
      <c r="P325" t="n">
        <v>0</v>
      </c>
      <c r="Q325" t="n">
        <v>0</v>
      </c>
      <c r="R325" s="2" t="inlineStr"/>
    </row>
    <row r="326" ht="15" customHeight="1">
      <c r="A326" t="inlineStr">
        <is>
          <t>A 30507-2025</t>
        </is>
      </c>
      <c r="B326" s="1" t="n">
        <v>45831.24760416667</v>
      </c>
      <c r="C326" s="1" t="n">
        <v>46084</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30509-2025</t>
        </is>
      </c>
      <c r="B327" s="1" t="n">
        <v>45831.25519675926</v>
      </c>
      <c r="C327" s="1" t="n">
        <v>46084</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46414-2024</t>
        </is>
      </c>
      <c r="B328" s="1" t="n">
        <v>45582.45226851852</v>
      </c>
      <c r="C328" s="1" t="n">
        <v>46084</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46417-2024</t>
        </is>
      </c>
      <c r="B329" s="1" t="n">
        <v>45582.45449074074</v>
      </c>
      <c r="C329" s="1" t="n">
        <v>46084</v>
      </c>
      <c r="D329" t="inlineStr">
        <is>
          <t>DALARNAS LÄN</t>
        </is>
      </c>
      <c r="E329" t="inlineStr">
        <is>
          <t>MORA</t>
        </is>
      </c>
      <c r="G329" t="n">
        <v>0.8</v>
      </c>
      <c r="H329" t="n">
        <v>0</v>
      </c>
      <c r="I329" t="n">
        <v>0</v>
      </c>
      <c r="J329" t="n">
        <v>0</v>
      </c>
      <c r="K329" t="n">
        <v>0</v>
      </c>
      <c r="L329" t="n">
        <v>0</v>
      </c>
      <c r="M329" t="n">
        <v>0</v>
      </c>
      <c r="N329" t="n">
        <v>0</v>
      </c>
      <c r="O329" t="n">
        <v>0</v>
      </c>
      <c r="P329" t="n">
        <v>0</v>
      </c>
      <c r="Q329" t="n">
        <v>0</v>
      </c>
      <c r="R329" s="2" t="inlineStr"/>
    </row>
    <row r="330" ht="15" customHeight="1">
      <c r="A330" t="inlineStr">
        <is>
          <t>A 30989-2025</t>
        </is>
      </c>
      <c r="B330" s="1" t="n">
        <v>45832.48185185185</v>
      </c>
      <c r="C330" s="1" t="n">
        <v>46084</v>
      </c>
      <c r="D330" t="inlineStr">
        <is>
          <t>DALARNAS LÄN</t>
        </is>
      </c>
      <c r="E330" t="inlineStr">
        <is>
          <t>MORA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5491-2023</t>
        </is>
      </c>
      <c r="B331" s="1" t="n">
        <v>44957</v>
      </c>
      <c r="C331" s="1" t="n">
        <v>46084</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5493-2023</t>
        </is>
      </c>
      <c r="B332" s="1" t="n">
        <v>44957</v>
      </c>
      <c r="C332" s="1" t="n">
        <v>46084</v>
      </c>
      <c r="D332" t="inlineStr">
        <is>
          <t>DALARNAS LÄN</t>
        </is>
      </c>
      <c r="E332" t="inlineStr">
        <is>
          <t>MORA</t>
        </is>
      </c>
      <c r="F332" t="inlineStr">
        <is>
          <t>Allmännings- och besparingsskogar</t>
        </is>
      </c>
      <c r="G332" t="n">
        <v>14.9</v>
      </c>
      <c r="H332" t="n">
        <v>0</v>
      </c>
      <c r="I332" t="n">
        <v>0</v>
      </c>
      <c r="J332" t="n">
        <v>0</v>
      </c>
      <c r="K332" t="n">
        <v>0</v>
      </c>
      <c r="L332" t="n">
        <v>0</v>
      </c>
      <c r="M332" t="n">
        <v>0</v>
      </c>
      <c r="N332" t="n">
        <v>0</v>
      </c>
      <c r="O332" t="n">
        <v>0</v>
      </c>
      <c r="P332" t="n">
        <v>0</v>
      </c>
      <c r="Q332" t="n">
        <v>0</v>
      </c>
      <c r="R332" s="2" t="inlineStr"/>
    </row>
    <row r="333" ht="15" customHeight="1">
      <c r="A333" t="inlineStr">
        <is>
          <t>A 48825-2023</t>
        </is>
      </c>
      <c r="B333" s="1" t="n">
        <v>45203</v>
      </c>
      <c r="C333" s="1" t="n">
        <v>46084</v>
      </c>
      <c r="D333" t="inlineStr">
        <is>
          <t>DALARNAS LÄN</t>
        </is>
      </c>
      <c r="E333" t="inlineStr">
        <is>
          <t>MORA</t>
        </is>
      </c>
      <c r="G333" t="n">
        <v>7.9</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46084</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46091-2025</t>
        </is>
      </c>
      <c r="B335" s="1" t="n">
        <v>45924.52871527777</v>
      </c>
      <c r="C335" s="1" t="n">
        <v>46084</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46283-2025</t>
        </is>
      </c>
      <c r="B336" s="1" t="n">
        <v>45925</v>
      </c>
      <c r="C336" s="1" t="n">
        <v>46084</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30858-2025</t>
        </is>
      </c>
      <c r="B337" s="1" t="n">
        <v>45831.92416666666</v>
      </c>
      <c r="C337" s="1" t="n">
        <v>46084</v>
      </c>
      <c r="D337" t="inlineStr">
        <is>
          <t>DALARNAS LÄN</t>
        </is>
      </c>
      <c r="E337" t="inlineStr">
        <is>
          <t>MORA</t>
        </is>
      </c>
      <c r="G337" t="n">
        <v>2.9</v>
      </c>
      <c r="H337" t="n">
        <v>0</v>
      </c>
      <c r="I337" t="n">
        <v>0</v>
      </c>
      <c r="J337" t="n">
        <v>0</v>
      </c>
      <c r="K337" t="n">
        <v>0</v>
      </c>
      <c r="L337" t="n">
        <v>0</v>
      </c>
      <c r="M337" t="n">
        <v>0</v>
      </c>
      <c r="N337" t="n">
        <v>0</v>
      </c>
      <c r="O337" t="n">
        <v>0</v>
      </c>
      <c r="P337" t="n">
        <v>0</v>
      </c>
      <c r="Q337" t="n">
        <v>0</v>
      </c>
      <c r="R337" s="2" t="inlineStr"/>
    </row>
    <row r="338" ht="15" customHeight="1">
      <c r="A338" t="inlineStr">
        <is>
          <t>A 30859-2025</t>
        </is>
      </c>
      <c r="B338" s="1" t="n">
        <v>45831.93105324074</v>
      </c>
      <c r="C338" s="1" t="n">
        <v>46084</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37971-2024</t>
        </is>
      </c>
      <c r="B339" s="1" t="n">
        <v>45544</v>
      </c>
      <c r="C339" s="1" t="n">
        <v>46084</v>
      </c>
      <c r="D339" t="inlineStr">
        <is>
          <t>DALARNAS LÄN</t>
        </is>
      </c>
      <c r="E339" t="inlineStr">
        <is>
          <t>MORA</t>
        </is>
      </c>
      <c r="G339" t="n">
        <v>2.3</v>
      </c>
      <c r="H339" t="n">
        <v>0</v>
      </c>
      <c r="I339" t="n">
        <v>0</v>
      </c>
      <c r="J339" t="n">
        <v>0</v>
      </c>
      <c r="K339" t="n">
        <v>0</v>
      </c>
      <c r="L339" t="n">
        <v>0</v>
      </c>
      <c r="M339" t="n">
        <v>0</v>
      </c>
      <c r="N339" t="n">
        <v>0</v>
      </c>
      <c r="O339" t="n">
        <v>0</v>
      </c>
      <c r="P339" t="n">
        <v>0</v>
      </c>
      <c r="Q339" t="n">
        <v>0</v>
      </c>
      <c r="R339" s="2" t="inlineStr"/>
    </row>
    <row r="340" ht="15" customHeight="1">
      <c r="A340" t="inlineStr">
        <is>
          <t>A 12490-2025</t>
        </is>
      </c>
      <c r="B340" s="1" t="n">
        <v>45730.59239583334</v>
      </c>
      <c r="C340" s="1" t="n">
        <v>46084</v>
      </c>
      <c r="D340" t="inlineStr">
        <is>
          <t>DALARNAS LÄN</t>
        </is>
      </c>
      <c r="E340" t="inlineStr">
        <is>
          <t>MORA</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31846-2025</t>
        </is>
      </c>
      <c r="B341" s="1" t="n">
        <v>45834.60209490741</v>
      </c>
      <c r="C341" s="1" t="n">
        <v>46084</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31849-2025</t>
        </is>
      </c>
      <c r="B342" s="1" t="n">
        <v>45834.60525462963</v>
      </c>
      <c r="C342" s="1" t="n">
        <v>46084</v>
      </c>
      <c r="D342" t="inlineStr">
        <is>
          <t>DALARNAS LÄN</t>
        </is>
      </c>
      <c r="E342" t="inlineStr">
        <is>
          <t>MORA</t>
        </is>
      </c>
      <c r="G342" t="n">
        <v>3.9</v>
      </c>
      <c r="H342" t="n">
        <v>0</v>
      </c>
      <c r="I342" t="n">
        <v>0</v>
      </c>
      <c r="J342" t="n">
        <v>0</v>
      </c>
      <c r="K342" t="n">
        <v>0</v>
      </c>
      <c r="L342" t="n">
        <v>0</v>
      </c>
      <c r="M342" t="n">
        <v>0</v>
      </c>
      <c r="N342" t="n">
        <v>0</v>
      </c>
      <c r="O342" t="n">
        <v>0</v>
      </c>
      <c r="P342" t="n">
        <v>0</v>
      </c>
      <c r="Q342" t="n">
        <v>0</v>
      </c>
      <c r="R342" s="2" t="inlineStr"/>
    </row>
    <row r="343" ht="15" customHeight="1">
      <c r="A343" t="inlineStr">
        <is>
          <t>A 29193-2023</t>
        </is>
      </c>
      <c r="B343" s="1" t="n">
        <v>45105.54791666667</v>
      </c>
      <c r="C343" s="1" t="n">
        <v>46084</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18444-2024</t>
        </is>
      </c>
      <c r="B344" s="1" t="n">
        <v>45425.45568287037</v>
      </c>
      <c r="C344" s="1" t="n">
        <v>46084</v>
      </c>
      <c r="D344" t="inlineStr">
        <is>
          <t>DALARNAS LÄN</t>
        </is>
      </c>
      <c r="E344" t="inlineStr">
        <is>
          <t>MORA</t>
        </is>
      </c>
      <c r="G344" t="n">
        <v>5</v>
      </c>
      <c r="H344" t="n">
        <v>0</v>
      </c>
      <c r="I344" t="n">
        <v>0</v>
      </c>
      <c r="J344" t="n">
        <v>0</v>
      </c>
      <c r="K344" t="n">
        <v>0</v>
      </c>
      <c r="L344" t="n">
        <v>0</v>
      </c>
      <c r="M344" t="n">
        <v>0</v>
      </c>
      <c r="N344" t="n">
        <v>0</v>
      </c>
      <c r="O344" t="n">
        <v>0</v>
      </c>
      <c r="P344" t="n">
        <v>0</v>
      </c>
      <c r="Q344" t="n">
        <v>0</v>
      </c>
      <c r="R344" s="2" t="inlineStr"/>
    </row>
    <row r="345" ht="15" customHeight="1">
      <c r="A345" t="inlineStr">
        <is>
          <t>A 46525-2025</t>
        </is>
      </c>
      <c r="B345" s="1" t="n">
        <v>45926.3312962963</v>
      </c>
      <c r="C345" s="1" t="n">
        <v>46084</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47784-2024</t>
        </is>
      </c>
      <c r="B346" s="1" t="n">
        <v>45588.59290509259</v>
      </c>
      <c r="C346" s="1" t="n">
        <v>46084</v>
      </c>
      <c r="D346" t="inlineStr">
        <is>
          <t>DALARNAS LÄN</t>
        </is>
      </c>
      <c r="E346" t="inlineStr">
        <is>
          <t>MORA</t>
        </is>
      </c>
      <c r="G346" t="n">
        <v>15.3</v>
      </c>
      <c r="H346" t="n">
        <v>0</v>
      </c>
      <c r="I346" t="n">
        <v>0</v>
      </c>
      <c r="J346" t="n">
        <v>0</v>
      </c>
      <c r="K346" t="n">
        <v>0</v>
      </c>
      <c r="L346" t="n">
        <v>0</v>
      </c>
      <c r="M346" t="n">
        <v>0</v>
      </c>
      <c r="N346" t="n">
        <v>0</v>
      </c>
      <c r="O346" t="n">
        <v>0</v>
      </c>
      <c r="P346" t="n">
        <v>0</v>
      </c>
      <c r="Q346" t="n">
        <v>0</v>
      </c>
      <c r="R346" s="2" t="inlineStr"/>
    </row>
    <row r="347" ht="15" customHeight="1">
      <c r="A347" t="inlineStr">
        <is>
          <t>A 55671-2024</t>
        </is>
      </c>
      <c r="B347" s="1" t="n">
        <v>45622.65269675926</v>
      </c>
      <c r="C347" s="1" t="n">
        <v>46084</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31842-2025</t>
        </is>
      </c>
      <c r="B348" s="1" t="n">
        <v>45834.59822916667</v>
      </c>
      <c r="C348" s="1" t="n">
        <v>46084</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46537-2025</t>
        </is>
      </c>
      <c r="B349" s="1" t="n">
        <v>45926.34195601852</v>
      </c>
      <c r="C349" s="1" t="n">
        <v>46084</v>
      </c>
      <c r="D349" t="inlineStr">
        <is>
          <t>DALARNAS LÄN</t>
        </is>
      </c>
      <c r="E349" t="inlineStr">
        <is>
          <t>MORA</t>
        </is>
      </c>
      <c r="G349" t="n">
        <v>10.6</v>
      </c>
      <c r="H349" t="n">
        <v>0</v>
      </c>
      <c r="I349" t="n">
        <v>0</v>
      </c>
      <c r="J349" t="n">
        <v>0</v>
      </c>
      <c r="K349" t="n">
        <v>0</v>
      </c>
      <c r="L349" t="n">
        <v>0</v>
      </c>
      <c r="M349" t="n">
        <v>0</v>
      </c>
      <c r="N349" t="n">
        <v>0</v>
      </c>
      <c r="O349" t="n">
        <v>0</v>
      </c>
      <c r="P349" t="n">
        <v>0</v>
      </c>
      <c r="Q349" t="n">
        <v>0</v>
      </c>
      <c r="R349" s="2" t="inlineStr"/>
    </row>
    <row r="350" ht="15" customHeight="1">
      <c r="A350" t="inlineStr">
        <is>
          <t>A 47140-2025</t>
        </is>
      </c>
      <c r="B350" s="1" t="n">
        <v>45929</v>
      </c>
      <c r="C350" s="1" t="n">
        <v>46084</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47055-2025</t>
        </is>
      </c>
      <c r="B351" s="1" t="n">
        <v>45929.61931712963</v>
      </c>
      <c r="C351" s="1" t="n">
        <v>46084</v>
      </c>
      <c r="D351" t="inlineStr">
        <is>
          <t>DALARNAS LÄN</t>
        </is>
      </c>
      <c r="E351" t="inlineStr">
        <is>
          <t>MORA</t>
        </is>
      </c>
      <c r="G351" t="n">
        <v>28.1</v>
      </c>
      <c r="H351" t="n">
        <v>0</v>
      </c>
      <c r="I351" t="n">
        <v>0</v>
      </c>
      <c r="J351" t="n">
        <v>0</v>
      </c>
      <c r="K351" t="n">
        <v>0</v>
      </c>
      <c r="L351" t="n">
        <v>0</v>
      </c>
      <c r="M351" t="n">
        <v>0</v>
      </c>
      <c r="N351" t="n">
        <v>0</v>
      </c>
      <c r="O351" t="n">
        <v>0</v>
      </c>
      <c r="P351" t="n">
        <v>0</v>
      </c>
      <c r="Q351" t="n">
        <v>0</v>
      </c>
      <c r="R351" s="2" t="inlineStr"/>
    </row>
    <row r="352" ht="15" customHeight="1">
      <c r="A352" t="inlineStr">
        <is>
          <t>A 47072-2025</t>
        </is>
      </c>
      <c r="B352" s="1" t="n">
        <v>45929.6365162037</v>
      </c>
      <c r="C352" s="1" t="n">
        <v>46084</v>
      </c>
      <c r="D352" t="inlineStr">
        <is>
          <t>DALARNAS LÄN</t>
        </is>
      </c>
      <c r="E352" t="inlineStr">
        <is>
          <t>MORA</t>
        </is>
      </c>
      <c r="G352" t="n">
        <v>3.4</v>
      </c>
      <c r="H352" t="n">
        <v>0</v>
      </c>
      <c r="I352" t="n">
        <v>0</v>
      </c>
      <c r="J352" t="n">
        <v>0</v>
      </c>
      <c r="K352" t="n">
        <v>0</v>
      </c>
      <c r="L352" t="n">
        <v>0</v>
      </c>
      <c r="M352" t="n">
        <v>0</v>
      </c>
      <c r="N352" t="n">
        <v>0</v>
      </c>
      <c r="O352" t="n">
        <v>0</v>
      </c>
      <c r="P352" t="n">
        <v>0</v>
      </c>
      <c r="Q352" t="n">
        <v>0</v>
      </c>
      <c r="R352" s="2" t="inlineStr"/>
    </row>
    <row r="353" ht="15" customHeight="1">
      <c r="A353" t="inlineStr">
        <is>
          <t>A 35551-2023</t>
        </is>
      </c>
      <c r="B353" s="1" t="n">
        <v>45147.3934837963</v>
      </c>
      <c r="C353" s="1" t="n">
        <v>46084</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59174-2023</t>
        </is>
      </c>
      <c r="B354" s="1" t="n">
        <v>45253.43202546296</v>
      </c>
      <c r="C354" s="1" t="n">
        <v>46084</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32852-2025</t>
        </is>
      </c>
      <c r="B355" s="1" t="n">
        <v>45839.57559027777</v>
      </c>
      <c r="C355" s="1" t="n">
        <v>46084</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55331-2022</t>
        </is>
      </c>
      <c r="B356" s="1" t="n">
        <v>44887.43714120371</v>
      </c>
      <c r="C356" s="1" t="n">
        <v>46084</v>
      </c>
      <c r="D356" t="inlineStr">
        <is>
          <t>DALARNAS LÄN</t>
        </is>
      </c>
      <c r="E356" t="inlineStr">
        <is>
          <t>MORA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42085-2024</t>
        </is>
      </c>
      <c r="B357" s="1" t="n">
        <v>45562.33179398148</v>
      </c>
      <c r="C357" s="1" t="n">
        <v>46084</v>
      </c>
      <c r="D357" t="inlineStr">
        <is>
          <t>DALARNAS LÄN</t>
        </is>
      </c>
      <c r="E357" t="inlineStr">
        <is>
          <t>MORA</t>
        </is>
      </c>
      <c r="G357" t="n">
        <v>4.9</v>
      </c>
      <c r="H357" t="n">
        <v>0</v>
      </c>
      <c r="I357" t="n">
        <v>0</v>
      </c>
      <c r="J357" t="n">
        <v>0</v>
      </c>
      <c r="K357" t="n">
        <v>0</v>
      </c>
      <c r="L357" t="n">
        <v>0</v>
      </c>
      <c r="M357" t="n">
        <v>0</v>
      </c>
      <c r="N357" t="n">
        <v>0</v>
      </c>
      <c r="O357" t="n">
        <v>0</v>
      </c>
      <c r="P357" t="n">
        <v>0</v>
      </c>
      <c r="Q357" t="n">
        <v>0</v>
      </c>
      <c r="R357" s="2" t="inlineStr"/>
    </row>
    <row r="358" ht="15" customHeight="1">
      <c r="A358" t="inlineStr">
        <is>
          <t>A 47414-2025</t>
        </is>
      </c>
      <c r="B358" s="1" t="n">
        <v>45930.61896990741</v>
      </c>
      <c r="C358" s="1" t="n">
        <v>46084</v>
      </c>
      <c r="D358" t="inlineStr">
        <is>
          <t>DALARNAS LÄN</t>
        </is>
      </c>
      <c r="E358" t="inlineStr">
        <is>
          <t>MORA</t>
        </is>
      </c>
      <c r="G358" t="n">
        <v>6.1</v>
      </c>
      <c r="H358" t="n">
        <v>0</v>
      </c>
      <c r="I358" t="n">
        <v>0</v>
      </c>
      <c r="J358" t="n">
        <v>0</v>
      </c>
      <c r="K358" t="n">
        <v>0</v>
      </c>
      <c r="L358" t="n">
        <v>0</v>
      </c>
      <c r="M358" t="n">
        <v>0</v>
      </c>
      <c r="N358" t="n">
        <v>0</v>
      </c>
      <c r="O358" t="n">
        <v>0</v>
      </c>
      <c r="P358" t="n">
        <v>0</v>
      </c>
      <c r="Q358" t="n">
        <v>0</v>
      </c>
      <c r="R358" s="2" t="inlineStr"/>
    </row>
    <row r="359" ht="15" customHeight="1">
      <c r="A359" t="inlineStr">
        <is>
          <t>A 47765-2025</t>
        </is>
      </c>
      <c r="B359" s="1" t="n">
        <v>45931.69100694444</v>
      </c>
      <c r="C359" s="1" t="n">
        <v>46084</v>
      </c>
      <c r="D359" t="inlineStr">
        <is>
          <t>DALARNAS LÄN</t>
        </is>
      </c>
      <c r="E359" t="inlineStr">
        <is>
          <t>MORA</t>
        </is>
      </c>
      <c r="G359" t="n">
        <v>1.7</v>
      </c>
      <c r="H359" t="n">
        <v>0</v>
      </c>
      <c r="I359" t="n">
        <v>0</v>
      </c>
      <c r="J359" t="n">
        <v>0</v>
      </c>
      <c r="K359" t="n">
        <v>0</v>
      </c>
      <c r="L359" t="n">
        <v>0</v>
      </c>
      <c r="M359" t="n">
        <v>0</v>
      </c>
      <c r="N359" t="n">
        <v>0</v>
      </c>
      <c r="O359" t="n">
        <v>0</v>
      </c>
      <c r="P359" t="n">
        <v>0</v>
      </c>
      <c r="Q359" t="n">
        <v>0</v>
      </c>
      <c r="R359" s="2" t="inlineStr"/>
    </row>
    <row r="360" ht="15" customHeight="1">
      <c r="A360" t="inlineStr">
        <is>
          <t>A 45349-2024</t>
        </is>
      </c>
      <c r="B360" s="1" t="n">
        <v>45576</v>
      </c>
      <c r="C360" s="1" t="n">
        <v>46084</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47769-2025</t>
        </is>
      </c>
      <c r="B361" s="1" t="n">
        <v>45931.70715277778</v>
      </c>
      <c r="C361" s="1" t="n">
        <v>46084</v>
      </c>
      <c r="D361" t="inlineStr">
        <is>
          <t>DALARNAS LÄN</t>
        </is>
      </c>
      <c r="E361" t="inlineStr">
        <is>
          <t>MORA</t>
        </is>
      </c>
      <c r="G361" t="n">
        <v>6.7</v>
      </c>
      <c r="H361" t="n">
        <v>0</v>
      </c>
      <c r="I361" t="n">
        <v>0</v>
      </c>
      <c r="J361" t="n">
        <v>0</v>
      </c>
      <c r="K361" t="n">
        <v>0</v>
      </c>
      <c r="L361" t="n">
        <v>0</v>
      </c>
      <c r="M361" t="n">
        <v>0</v>
      </c>
      <c r="N361" t="n">
        <v>0</v>
      </c>
      <c r="O361" t="n">
        <v>0</v>
      </c>
      <c r="P361" t="n">
        <v>0</v>
      </c>
      <c r="Q361" t="n">
        <v>0</v>
      </c>
      <c r="R361" s="2" t="inlineStr"/>
    </row>
    <row r="362" ht="15" customHeight="1">
      <c r="A362" t="inlineStr">
        <is>
          <t>A 48376-2025</t>
        </is>
      </c>
      <c r="B362" s="1" t="n">
        <v>45933.71648148148</v>
      </c>
      <c r="C362" s="1" t="n">
        <v>46084</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47860-2025</t>
        </is>
      </c>
      <c r="B363" s="1" t="n">
        <v>45932.42298611111</v>
      </c>
      <c r="C363" s="1" t="n">
        <v>46084</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60187-2024</t>
        </is>
      </c>
      <c r="B364" s="1" t="n">
        <v>45642.64803240741</v>
      </c>
      <c r="C364" s="1" t="n">
        <v>46084</v>
      </c>
      <c r="D364" t="inlineStr">
        <is>
          <t>DALARNAS LÄN</t>
        </is>
      </c>
      <c r="E364" t="inlineStr">
        <is>
          <t>MORA</t>
        </is>
      </c>
      <c r="F364" t="inlineStr">
        <is>
          <t>Allmännings- och besparingsskogar</t>
        </is>
      </c>
      <c r="G364" t="n">
        <v>24.6</v>
      </c>
      <c r="H364" t="n">
        <v>0</v>
      </c>
      <c r="I364" t="n">
        <v>0</v>
      </c>
      <c r="J364" t="n">
        <v>0</v>
      </c>
      <c r="K364" t="n">
        <v>0</v>
      </c>
      <c r="L364" t="n">
        <v>0</v>
      </c>
      <c r="M364" t="n">
        <v>0</v>
      </c>
      <c r="N364" t="n">
        <v>0</v>
      </c>
      <c r="O364" t="n">
        <v>0</v>
      </c>
      <c r="P364" t="n">
        <v>0</v>
      </c>
      <c r="Q364" t="n">
        <v>0</v>
      </c>
      <c r="R364" s="2" t="inlineStr"/>
    </row>
    <row r="365" ht="15" customHeight="1">
      <c r="A365" t="inlineStr">
        <is>
          <t>A 33443-2025</t>
        </is>
      </c>
      <c r="B365" s="1" t="n">
        <v>45841</v>
      </c>
      <c r="C365" s="1" t="n">
        <v>46084</v>
      </c>
      <c r="D365" t="inlineStr">
        <is>
          <t>DALARNAS LÄN</t>
        </is>
      </c>
      <c r="E365" t="inlineStr">
        <is>
          <t>MORA</t>
        </is>
      </c>
      <c r="G365" t="n">
        <v>2.7</v>
      </c>
      <c r="H365" t="n">
        <v>0</v>
      </c>
      <c r="I365" t="n">
        <v>0</v>
      </c>
      <c r="J365" t="n">
        <v>0</v>
      </c>
      <c r="K365" t="n">
        <v>0</v>
      </c>
      <c r="L365" t="n">
        <v>0</v>
      </c>
      <c r="M365" t="n">
        <v>0</v>
      </c>
      <c r="N365" t="n">
        <v>0</v>
      </c>
      <c r="O365" t="n">
        <v>0</v>
      </c>
      <c r="P365" t="n">
        <v>0</v>
      </c>
      <c r="Q365" t="n">
        <v>0</v>
      </c>
      <c r="R365" s="2" t="inlineStr"/>
    </row>
    <row r="366" ht="15" customHeight="1">
      <c r="A366" t="inlineStr">
        <is>
          <t>A 61222-2023</t>
        </is>
      </c>
      <c r="B366" s="1" t="n">
        <v>45264</v>
      </c>
      <c r="C366" s="1" t="n">
        <v>46084</v>
      </c>
      <c r="D366" t="inlineStr">
        <is>
          <t>DALARNAS LÄN</t>
        </is>
      </c>
      <c r="E366" t="inlineStr">
        <is>
          <t>MORA</t>
        </is>
      </c>
      <c r="F366" t="inlineStr">
        <is>
          <t>Allmännings- och besparingsskogar</t>
        </is>
      </c>
      <c r="G366" t="n">
        <v>1.1</v>
      </c>
      <c r="H366" t="n">
        <v>0</v>
      </c>
      <c r="I366" t="n">
        <v>0</v>
      </c>
      <c r="J366" t="n">
        <v>0</v>
      </c>
      <c r="K366" t="n">
        <v>0</v>
      </c>
      <c r="L366" t="n">
        <v>0</v>
      </c>
      <c r="M366" t="n">
        <v>0</v>
      </c>
      <c r="N366" t="n">
        <v>0</v>
      </c>
      <c r="O366" t="n">
        <v>0</v>
      </c>
      <c r="P366" t="n">
        <v>0</v>
      </c>
      <c r="Q366" t="n">
        <v>0</v>
      </c>
      <c r="R366" s="2" t="inlineStr"/>
    </row>
    <row r="367" ht="15" customHeight="1">
      <c r="A367" t="inlineStr">
        <is>
          <t>A 48377-2025</t>
        </is>
      </c>
      <c r="B367" s="1" t="n">
        <v>45933.71896990741</v>
      </c>
      <c r="C367" s="1" t="n">
        <v>46084</v>
      </c>
      <c r="D367" t="inlineStr">
        <is>
          <t>DALARNAS LÄN</t>
        </is>
      </c>
      <c r="E367" t="inlineStr">
        <is>
          <t>MORA</t>
        </is>
      </c>
      <c r="G367" t="n">
        <v>2</v>
      </c>
      <c r="H367" t="n">
        <v>0</v>
      </c>
      <c r="I367" t="n">
        <v>0</v>
      </c>
      <c r="J367" t="n">
        <v>0</v>
      </c>
      <c r="K367" t="n">
        <v>0</v>
      </c>
      <c r="L367" t="n">
        <v>0</v>
      </c>
      <c r="M367" t="n">
        <v>0</v>
      </c>
      <c r="N367" t="n">
        <v>0</v>
      </c>
      <c r="O367" t="n">
        <v>0</v>
      </c>
      <c r="P367" t="n">
        <v>0</v>
      </c>
      <c r="Q367" t="n">
        <v>0</v>
      </c>
      <c r="R367" s="2" t="inlineStr"/>
    </row>
    <row r="368" ht="15" customHeight="1">
      <c r="A368" t="inlineStr">
        <is>
          <t>A 40949-2023</t>
        </is>
      </c>
      <c r="B368" s="1" t="n">
        <v>45173</v>
      </c>
      <c r="C368" s="1" t="n">
        <v>46084</v>
      </c>
      <c r="D368" t="inlineStr">
        <is>
          <t>DALARNAS LÄN</t>
        </is>
      </c>
      <c r="E368" t="inlineStr">
        <is>
          <t>MORA</t>
        </is>
      </c>
      <c r="F368" t="inlineStr">
        <is>
          <t>Kyrkan</t>
        </is>
      </c>
      <c r="G368" t="n">
        <v>0.5</v>
      </c>
      <c r="H368" t="n">
        <v>0</v>
      </c>
      <c r="I368" t="n">
        <v>0</v>
      </c>
      <c r="J368" t="n">
        <v>0</v>
      </c>
      <c r="K368" t="n">
        <v>0</v>
      </c>
      <c r="L368" t="n">
        <v>0</v>
      </c>
      <c r="M368" t="n">
        <v>0</v>
      </c>
      <c r="N368" t="n">
        <v>0</v>
      </c>
      <c r="O368" t="n">
        <v>0</v>
      </c>
      <c r="P368" t="n">
        <v>0</v>
      </c>
      <c r="Q368" t="n">
        <v>0</v>
      </c>
      <c r="R368" s="2" t="inlineStr"/>
    </row>
    <row r="369" ht="15" customHeight="1">
      <c r="A369" t="inlineStr">
        <is>
          <t>A 69483-2021</t>
        </is>
      </c>
      <c r="B369" s="1" t="n">
        <v>44531</v>
      </c>
      <c r="C369" s="1" t="n">
        <v>46084</v>
      </c>
      <c r="D369" t="inlineStr">
        <is>
          <t>DALARNAS LÄN</t>
        </is>
      </c>
      <c r="E369" t="inlineStr">
        <is>
          <t>MORA</t>
        </is>
      </c>
      <c r="G369" t="n">
        <v>1.5</v>
      </c>
      <c r="H369" t="n">
        <v>0</v>
      </c>
      <c r="I369" t="n">
        <v>0</v>
      </c>
      <c r="J369" t="n">
        <v>0</v>
      </c>
      <c r="K369" t="n">
        <v>0</v>
      </c>
      <c r="L369" t="n">
        <v>0</v>
      </c>
      <c r="M369" t="n">
        <v>0</v>
      </c>
      <c r="N369" t="n">
        <v>0</v>
      </c>
      <c r="O369" t="n">
        <v>0</v>
      </c>
      <c r="P369" t="n">
        <v>0</v>
      </c>
      <c r="Q369" t="n">
        <v>0</v>
      </c>
      <c r="R369" s="2" t="inlineStr"/>
    </row>
    <row r="370" ht="15" customHeight="1">
      <c r="A370" t="inlineStr">
        <is>
          <t>A 5216-2025</t>
        </is>
      </c>
      <c r="B370" s="1" t="n">
        <v>45691.69671296296</v>
      </c>
      <c r="C370" s="1" t="n">
        <v>46084</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47716-2025</t>
        </is>
      </c>
      <c r="B371" s="1" t="n">
        <v>45931</v>
      </c>
      <c r="C371" s="1" t="n">
        <v>46084</v>
      </c>
      <c r="D371" t="inlineStr">
        <is>
          <t>DALARNAS LÄN</t>
        </is>
      </c>
      <c r="E371" t="inlineStr">
        <is>
          <t>MORA</t>
        </is>
      </c>
      <c r="G371" t="n">
        <v>8.9</v>
      </c>
      <c r="H371" t="n">
        <v>0</v>
      </c>
      <c r="I371" t="n">
        <v>0</v>
      </c>
      <c r="J371" t="n">
        <v>0</v>
      </c>
      <c r="K371" t="n">
        <v>0</v>
      </c>
      <c r="L371" t="n">
        <v>0</v>
      </c>
      <c r="M371" t="n">
        <v>0</v>
      </c>
      <c r="N371" t="n">
        <v>0</v>
      </c>
      <c r="O371" t="n">
        <v>0</v>
      </c>
      <c r="P371" t="n">
        <v>0</v>
      </c>
      <c r="Q371" t="n">
        <v>0</v>
      </c>
      <c r="R371" s="2" t="inlineStr"/>
    </row>
    <row r="372" ht="15" customHeight="1">
      <c r="A372" t="inlineStr">
        <is>
          <t>A 48927-2025</t>
        </is>
      </c>
      <c r="B372" s="1" t="n">
        <v>45931</v>
      </c>
      <c r="C372" s="1" t="n">
        <v>46084</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48926-2025</t>
        </is>
      </c>
      <c r="B373" s="1" t="n">
        <v>45937.50666666667</v>
      </c>
      <c r="C373" s="1" t="n">
        <v>46084</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48929-2025</t>
        </is>
      </c>
      <c r="B374" s="1" t="n">
        <v>45937.51315972222</v>
      </c>
      <c r="C374" s="1" t="n">
        <v>46084</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45674-2024</t>
        </is>
      </c>
      <c r="B375" s="1" t="n">
        <v>45573</v>
      </c>
      <c r="C375" s="1" t="n">
        <v>46084</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49404-2025</t>
        </is>
      </c>
      <c r="B376" s="1" t="n">
        <v>45938.67662037037</v>
      </c>
      <c r="C376" s="1" t="n">
        <v>46084</v>
      </c>
      <c r="D376" t="inlineStr">
        <is>
          <t>DALARNAS LÄN</t>
        </is>
      </c>
      <c r="E376" t="inlineStr">
        <is>
          <t>MORA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34182-2025</t>
        </is>
      </c>
      <c r="B377" s="1" t="n">
        <v>45845.60520833333</v>
      </c>
      <c r="C377" s="1" t="n">
        <v>46084</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34005-2025</t>
        </is>
      </c>
      <c r="B378" s="1" t="n">
        <v>45844.58890046296</v>
      </c>
      <c r="C378" s="1" t="n">
        <v>46084</v>
      </c>
      <c r="D378" t="inlineStr">
        <is>
          <t>DALARNAS LÄN</t>
        </is>
      </c>
      <c r="E378" t="inlineStr">
        <is>
          <t>MORA</t>
        </is>
      </c>
      <c r="G378" t="n">
        <v>7.2</v>
      </c>
      <c r="H378" t="n">
        <v>0</v>
      </c>
      <c r="I378" t="n">
        <v>0</v>
      </c>
      <c r="J378" t="n">
        <v>0</v>
      </c>
      <c r="K378" t="n">
        <v>0</v>
      </c>
      <c r="L378" t="n">
        <v>0</v>
      </c>
      <c r="M378" t="n">
        <v>0</v>
      </c>
      <c r="N378" t="n">
        <v>0</v>
      </c>
      <c r="O378" t="n">
        <v>0</v>
      </c>
      <c r="P378" t="n">
        <v>0</v>
      </c>
      <c r="Q378" t="n">
        <v>0</v>
      </c>
      <c r="R378" s="2" t="inlineStr"/>
    </row>
    <row r="379" ht="15" customHeight="1">
      <c r="A379" t="inlineStr">
        <is>
          <t>A 49401-2025</t>
        </is>
      </c>
      <c r="B379" s="1" t="n">
        <v>45938.66932870371</v>
      </c>
      <c r="C379" s="1" t="n">
        <v>46084</v>
      </c>
      <c r="D379" t="inlineStr">
        <is>
          <t>DALARNAS LÄN</t>
        </is>
      </c>
      <c r="E379" t="inlineStr">
        <is>
          <t>MORA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18139-2025</t>
        </is>
      </c>
      <c r="B380" s="1" t="n">
        <v>45761.60459490741</v>
      </c>
      <c r="C380" s="1" t="n">
        <v>46084</v>
      </c>
      <c r="D380" t="inlineStr">
        <is>
          <t>DALARNAS LÄN</t>
        </is>
      </c>
      <c r="E380" t="inlineStr">
        <is>
          <t>MORA</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34482-2025</t>
        </is>
      </c>
      <c r="B381" s="1" t="n">
        <v>45847.38469907407</v>
      </c>
      <c r="C381" s="1" t="n">
        <v>46084</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49574-2025</t>
        </is>
      </c>
      <c r="B382" s="1" t="n">
        <v>45939.49045138889</v>
      </c>
      <c r="C382" s="1" t="n">
        <v>46084</v>
      </c>
      <c r="D382" t="inlineStr">
        <is>
          <t>DALARNAS LÄN</t>
        </is>
      </c>
      <c r="E382" t="inlineStr">
        <is>
          <t>MORA</t>
        </is>
      </c>
      <c r="G382" t="n">
        <v>6.3</v>
      </c>
      <c r="H382" t="n">
        <v>0</v>
      </c>
      <c r="I382" t="n">
        <v>0</v>
      </c>
      <c r="J382" t="n">
        <v>0</v>
      </c>
      <c r="K382" t="n">
        <v>0</v>
      </c>
      <c r="L382" t="n">
        <v>0</v>
      </c>
      <c r="M382" t="n">
        <v>0</v>
      </c>
      <c r="N382" t="n">
        <v>0</v>
      </c>
      <c r="O382" t="n">
        <v>0</v>
      </c>
      <c r="P382" t="n">
        <v>0</v>
      </c>
      <c r="Q382" t="n">
        <v>0</v>
      </c>
      <c r="R382" s="2" t="inlineStr"/>
    </row>
    <row r="383" ht="15" customHeight="1">
      <c r="A383" t="inlineStr">
        <is>
          <t>A 57999-2023</t>
        </is>
      </c>
      <c r="B383" s="1" t="n">
        <v>45247</v>
      </c>
      <c r="C383" s="1" t="n">
        <v>46084</v>
      </c>
      <c r="D383" t="inlineStr">
        <is>
          <t>DALARNAS LÄN</t>
        </is>
      </c>
      <c r="E383" t="inlineStr">
        <is>
          <t>MORA</t>
        </is>
      </c>
      <c r="G383" t="n">
        <v>0.4</v>
      </c>
      <c r="H383" t="n">
        <v>0</v>
      </c>
      <c r="I383" t="n">
        <v>0</v>
      </c>
      <c r="J383" t="n">
        <v>0</v>
      </c>
      <c r="K383" t="n">
        <v>0</v>
      </c>
      <c r="L383" t="n">
        <v>0</v>
      </c>
      <c r="M383" t="n">
        <v>0</v>
      </c>
      <c r="N383" t="n">
        <v>0</v>
      </c>
      <c r="O383" t="n">
        <v>0</v>
      </c>
      <c r="P383" t="n">
        <v>0</v>
      </c>
      <c r="Q383" t="n">
        <v>0</v>
      </c>
      <c r="R383" s="2" t="inlineStr"/>
    </row>
    <row r="384" ht="15" customHeight="1">
      <c r="A384" t="inlineStr">
        <is>
          <t>A 34382-2025</t>
        </is>
      </c>
      <c r="B384" s="1" t="n">
        <v>45846</v>
      </c>
      <c r="C384" s="1" t="n">
        <v>46084</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24335-2022</t>
        </is>
      </c>
      <c r="B385" s="1" t="n">
        <v>44725</v>
      </c>
      <c r="C385" s="1" t="n">
        <v>46084</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55120-2024</t>
        </is>
      </c>
      <c r="B386" s="1" t="n">
        <v>45621.45765046297</v>
      </c>
      <c r="C386" s="1" t="n">
        <v>46084</v>
      </c>
      <c r="D386" t="inlineStr">
        <is>
          <t>DALARNAS LÄN</t>
        </is>
      </c>
      <c r="E386" t="inlineStr">
        <is>
          <t>MORA</t>
        </is>
      </c>
      <c r="G386" t="n">
        <v>1.9</v>
      </c>
      <c r="H386" t="n">
        <v>0</v>
      </c>
      <c r="I386" t="n">
        <v>0</v>
      </c>
      <c r="J386" t="n">
        <v>0</v>
      </c>
      <c r="K386" t="n">
        <v>0</v>
      </c>
      <c r="L386" t="n">
        <v>0</v>
      </c>
      <c r="M386" t="n">
        <v>0</v>
      </c>
      <c r="N386" t="n">
        <v>0</v>
      </c>
      <c r="O386" t="n">
        <v>0</v>
      </c>
      <c r="P386" t="n">
        <v>0</v>
      </c>
      <c r="Q386" t="n">
        <v>0</v>
      </c>
      <c r="R386" s="2" t="inlineStr"/>
    </row>
    <row r="387" ht="15" customHeight="1">
      <c r="A387" t="inlineStr">
        <is>
          <t>A 49828-2025</t>
        </is>
      </c>
      <c r="B387" s="1" t="n">
        <v>45940.44993055556</v>
      </c>
      <c r="C387" s="1" t="n">
        <v>46084</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34660-2021</t>
        </is>
      </c>
      <c r="B388" s="1" t="n">
        <v>44382.57981481482</v>
      </c>
      <c r="C388" s="1" t="n">
        <v>46084</v>
      </c>
      <c r="D388" t="inlineStr">
        <is>
          <t>DALARNAS LÄN</t>
        </is>
      </c>
      <c r="E388" t="inlineStr">
        <is>
          <t>MORA</t>
        </is>
      </c>
      <c r="G388" t="n">
        <v>7.5</v>
      </c>
      <c r="H388" t="n">
        <v>0</v>
      </c>
      <c r="I388" t="n">
        <v>0</v>
      </c>
      <c r="J388" t="n">
        <v>0</v>
      </c>
      <c r="K388" t="n">
        <v>0</v>
      </c>
      <c r="L388" t="n">
        <v>0</v>
      </c>
      <c r="M388" t="n">
        <v>0</v>
      </c>
      <c r="N388" t="n">
        <v>0</v>
      </c>
      <c r="O388" t="n">
        <v>0</v>
      </c>
      <c r="P388" t="n">
        <v>0</v>
      </c>
      <c r="Q388" t="n">
        <v>0</v>
      </c>
      <c r="R388" s="2" t="inlineStr"/>
    </row>
    <row r="389" ht="15" customHeight="1">
      <c r="A389" t="inlineStr">
        <is>
          <t>A 34933-2025</t>
        </is>
      </c>
      <c r="B389" s="1" t="n">
        <v>45849.57297453703</v>
      </c>
      <c r="C389" s="1" t="n">
        <v>46084</v>
      </c>
      <c r="D389" t="inlineStr">
        <is>
          <t>DALARNAS LÄN</t>
        </is>
      </c>
      <c r="E389" t="inlineStr">
        <is>
          <t>MORA</t>
        </is>
      </c>
      <c r="F389" t="inlineStr">
        <is>
          <t>Bergvik skog väst AB</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42934-2024</t>
        </is>
      </c>
      <c r="B390" s="1" t="n">
        <v>45567.33655092592</v>
      </c>
      <c r="C390" s="1" t="n">
        <v>46084</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17516-2024</t>
        </is>
      </c>
      <c r="B391" s="1" t="n">
        <v>45415.58502314815</v>
      </c>
      <c r="C391" s="1" t="n">
        <v>46084</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49159-2023</t>
        </is>
      </c>
      <c r="B392" s="1" t="n">
        <v>45210</v>
      </c>
      <c r="C392" s="1" t="n">
        <v>46084</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29188-2023</t>
        </is>
      </c>
      <c r="B393" s="1" t="n">
        <v>45105.54270833333</v>
      </c>
      <c r="C393" s="1" t="n">
        <v>46084</v>
      </c>
      <c r="D393" t="inlineStr">
        <is>
          <t>DALARNAS LÄN</t>
        </is>
      </c>
      <c r="E393" t="inlineStr">
        <is>
          <t>MORA</t>
        </is>
      </c>
      <c r="G393" t="n">
        <v>0.8</v>
      </c>
      <c r="H393" t="n">
        <v>0</v>
      </c>
      <c r="I393" t="n">
        <v>0</v>
      </c>
      <c r="J393" t="n">
        <v>0</v>
      </c>
      <c r="K393" t="n">
        <v>0</v>
      </c>
      <c r="L393" t="n">
        <v>0</v>
      </c>
      <c r="M393" t="n">
        <v>0</v>
      </c>
      <c r="N393" t="n">
        <v>0</v>
      </c>
      <c r="O393" t="n">
        <v>0</v>
      </c>
      <c r="P393" t="n">
        <v>0</v>
      </c>
      <c r="Q393" t="n">
        <v>0</v>
      </c>
      <c r="R393" s="2" t="inlineStr"/>
    </row>
    <row r="394" ht="15" customHeight="1">
      <c r="A394" t="inlineStr">
        <is>
          <t>A 47686-2025</t>
        </is>
      </c>
      <c r="B394" s="1" t="n">
        <v>45931</v>
      </c>
      <c r="C394" s="1" t="n">
        <v>46084</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12151-2021</t>
        </is>
      </c>
      <c r="B395" s="1" t="n">
        <v>44266</v>
      </c>
      <c r="C395" s="1" t="n">
        <v>46084</v>
      </c>
      <c r="D395" t="inlineStr">
        <is>
          <t>DALARNAS LÄN</t>
        </is>
      </c>
      <c r="E395" t="inlineStr">
        <is>
          <t>MORA</t>
        </is>
      </c>
      <c r="G395" t="n">
        <v>0.5</v>
      </c>
      <c r="H395" t="n">
        <v>0</v>
      </c>
      <c r="I395" t="n">
        <v>0</v>
      </c>
      <c r="J395" t="n">
        <v>0</v>
      </c>
      <c r="K395" t="n">
        <v>0</v>
      </c>
      <c r="L395" t="n">
        <v>0</v>
      </c>
      <c r="M395" t="n">
        <v>0</v>
      </c>
      <c r="N395" t="n">
        <v>0</v>
      </c>
      <c r="O395" t="n">
        <v>0</v>
      </c>
      <c r="P395" t="n">
        <v>0</v>
      </c>
      <c r="Q395" t="n">
        <v>0</v>
      </c>
      <c r="R395" s="2" t="inlineStr"/>
    </row>
    <row r="396" ht="15" customHeight="1">
      <c r="A396" t="inlineStr">
        <is>
          <t>A 35121-2025</t>
        </is>
      </c>
      <c r="B396" s="1" t="n">
        <v>45852.60936342592</v>
      </c>
      <c r="C396" s="1" t="n">
        <v>46084</v>
      </c>
      <c r="D396" t="inlineStr">
        <is>
          <t>DALARNAS LÄN</t>
        </is>
      </c>
      <c r="E396" t="inlineStr">
        <is>
          <t>MORA</t>
        </is>
      </c>
      <c r="F396" t="inlineStr">
        <is>
          <t>Bergvik skog öst AB</t>
        </is>
      </c>
      <c r="G396" t="n">
        <v>15.9</v>
      </c>
      <c r="H396" t="n">
        <v>0</v>
      </c>
      <c r="I396" t="n">
        <v>0</v>
      </c>
      <c r="J396" t="n">
        <v>0</v>
      </c>
      <c r="K396" t="n">
        <v>0</v>
      </c>
      <c r="L396" t="n">
        <v>0</v>
      </c>
      <c r="M396" t="n">
        <v>0</v>
      </c>
      <c r="N396" t="n">
        <v>0</v>
      </c>
      <c r="O396" t="n">
        <v>0</v>
      </c>
      <c r="P396" t="n">
        <v>0</v>
      </c>
      <c r="Q396" t="n">
        <v>0</v>
      </c>
      <c r="R396" s="2" t="inlineStr"/>
    </row>
    <row r="397" ht="15" customHeight="1">
      <c r="A397" t="inlineStr">
        <is>
          <t>A 17494-2025</t>
        </is>
      </c>
      <c r="B397" s="1" t="n">
        <v>45757.52033564815</v>
      </c>
      <c r="C397" s="1" t="n">
        <v>46084</v>
      </c>
      <c r="D397" t="inlineStr">
        <is>
          <t>DALARNAS LÄN</t>
        </is>
      </c>
      <c r="E397" t="inlineStr">
        <is>
          <t>MORA</t>
        </is>
      </c>
      <c r="G397" t="n">
        <v>5.3</v>
      </c>
      <c r="H397" t="n">
        <v>0</v>
      </c>
      <c r="I397" t="n">
        <v>0</v>
      </c>
      <c r="J397" t="n">
        <v>0</v>
      </c>
      <c r="K397" t="n">
        <v>0</v>
      </c>
      <c r="L397" t="n">
        <v>0</v>
      </c>
      <c r="M397" t="n">
        <v>0</v>
      </c>
      <c r="N397" t="n">
        <v>0</v>
      </c>
      <c r="O397" t="n">
        <v>0</v>
      </c>
      <c r="P397" t="n">
        <v>0</v>
      </c>
      <c r="Q397" t="n">
        <v>0</v>
      </c>
      <c r="R397" s="2" t="inlineStr"/>
    </row>
    <row r="398" ht="15" customHeight="1">
      <c r="A398" t="inlineStr">
        <is>
          <t>A 26314-2021</t>
        </is>
      </c>
      <c r="B398" s="1" t="n">
        <v>44347</v>
      </c>
      <c r="C398" s="1" t="n">
        <v>46084</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30985-2024</t>
        </is>
      </c>
      <c r="B399" s="1" t="n">
        <v>45499.51721064815</v>
      </c>
      <c r="C399" s="1" t="n">
        <v>46084</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18202-2024</t>
        </is>
      </c>
      <c r="B400" s="1" t="n">
        <v>45420.68172453704</v>
      </c>
      <c r="C400" s="1" t="n">
        <v>46084</v>
      </c>
      <c r="D400" t="inlineStr">
        <is>
          <t>DALARNAS LÄN</t>
        </is>
      </c>
      <c r="E400" t="inlineStr">
        <is>
          <t>MORA</t>
        </is>
      </c>
      <c r="G400" t="n">
        <v>2</v>
      </c>
      <c r="H400" t="n">
        <v>0</v>
      </c>
      <c r="I400" t="n">
        <v>0</v>
      </c>
      <c r="J400" t="n">
        <v>0</v>
      </c>
      <c r="K400" t="n">
        <v>0</v>
      </c>
      <c r="L400" t="n">
        <v>0</v>
      </c>
      <c r="M400" t="n">
        <v>0</v>
      </c>
      <c r="N400" t="n">
        <v>0</v>
      </c>
      <c r="O400" t="n">
        <v>0</v>
      </c>
      <c r="P400" t="n">
        <v>0</v>
      </c>
      <c r="Q400" t="n">
        <v>0</v>
      </c>
      <c r="R400" s="2" t="inlineStr"/>
    </row>
    <row r="401" ht="15" customHeight="1">
      <c r="A401" t="inlineStr">
        <is>
          <t>A 40286-2024</t>
        </is>
      </c>
      <c r="B401" s="1" t="n">
        <v>45554.6687037037</v>
      </c>
      <c r="C401" s="1" t="n">
        <v>46084</v>
      </c>
      <c r="D401" t="inlineStr">
        <is>
          <t>DALARNAS LÄN</t>
        </is>
      </c>
      <c r="E401" t="inlineStr">
        <is>
          <t>MORA</t>
        </is>
      </c>
      <c r="G401" t="n">
        <v>0.4</v>
      </c>
      <c r="H401" t="n">
        <v>0</v>
      </c>
      <c r="I401" t="n">
        <v>0</v>
      </c>
      <c r="J401" t="n">
        <v>0</v>
      </c>
      <c r="K401" t="n">
        <v>0</v>
      </c>
      <c r="L401" t="n">
        <v>0</v>
      </c>
      <c r="M401" t="n">
        <v>0</v>
      </c>
      <c r="N401" t="n">
        <v>0</v>
      </c>
      <c r="O401" t="n">
        <v>0</v>
      </c>
      <c r="P401" t="n">
        <v>0</v>
      </c>
      <c r="Q401" t="n">
        <v>0</v>
      </c>
      <c r="R401" s="2" t="inlineStr"/>
    </row>
    <row r="402" ht="15" customHeight="1">
      <c r="A402" t="inlineStr">
        <is>
          <t>A 41169-2023</t>
        </is>
      </c>
      <c r="B402" s="1" t="n">
        <v>45174.34662037037</v>
      </c>
      <c r="C402" s="1" t="n">
        <v>46084</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30998-2022</t>
        </is>
      </c>
      <c r="B403" s="1" t="n">
        <v>44768</v>
      </c>
      <c r="C403" s="1" t="n">
        <v>46084</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47143-2022</t>
        </is>
      </c>
      <c r="B404" s="1" t="n">
        <v>44852</v>
      </c>
      <c r="C404" s="1" t="n">
        <v>46084</v>
      </c>
      <c r="D404" t="inlineStr">
        <is>
          <t>DALARNAS LÄN</t>
        </is>
      </c>
      <c r="E404" t="inlineStr">
        <is>
          <t>MORA</t>
        </is>
      </c>
      <c r="G404" t="n">
        <v>3.9</v>
      </c>
      <c r="H404" t="n">
        <v>0</v>
      </c>
      <c r="I404" t="n">
        <v>0</v>
      </c>
      <c r="J404" t="n">
        <v>0</v>
      </c>
      <c r="K404" t="n">
        <v>0</v>
      </c>
      <c r="L404" t="n">
        <v>0</v>
      </c>
      <c r="M404" t="n">
        <v>0</v>
      </c>
      <c r="N404" t="n">
        <v>0</v>
      </c>
      <c r="O404" t="n">
        <v>0</v>
      </c>
      <c r="P404" t="n">
        <v>0</v>
      </c>
      <c r="Q404" t="n">
        <v>0</v>
      </c>
      <c r="R404" s="2" t="inlineStr"/>
    </row>
    <row r="405" ht="15" customHeight="1">
      <c r="A405" t="inlineStr">
        <is>
          <t>A 35407-2025</t>
        </is>
      </c>
      <c r="B405" s="1" t="n">
        <v>45855.35989583333</v>
      </c>
      <c r="C405" s="1" t="n">
        <v>46084</v>
      </c>
      <c r="D405" t="inlineStr">
        <is>
          <t>DALARNAS LÄN</t>
        </is>
      </c>
      <c r="E405" t="inlineStr">
        <is>
          <t>MORA</t>
        </is>
      </c>
      <c r="G405" t="n">
        <v>1.4</v>
      </c>
      <c r="H405" t="n">
        <v>0</v>
      </c>
      <c r="I405" t="n">
        <v>0</v>
      </c>
      <c r="J405" t="n">
        <v>0</v>
      </c>
      <c r="K405" t="n">
        <v>0</v>
      </c>
      <c r="L405" t="n">
        <v>0</v>
      </c>
      <c r="M405" t="n">
        <v>0</v>
      </c>
      <c r="N405" t="n">
        <v>0</v>
      </c>
      <c r="O405" t="n">
        <v>0</v>
      </c>
      <c r="P405" t="n">
        <v>0</v>
      </c>
      <c r="Q405" t="n">
        <v>0</v>
      </c>
      <c r="R405" s="2" t="inlineStr"/>
    </row>
    <row r="406" ht="15" customHeight="1">
      <c r="A406" t="inlineStr">
        <is>
          <t>A 9277-2024</t>
        </is>
      </c>
      <c r="B406" s="1" t="n">
        <v>45358.63265046296</v>
      </c>
      <c r="C406" s="1" t="n">
        <v>46084</v>
      </c>
      <c r="D406" t="inlineStr">
        <is>
          <t>DALARNAS LÄN</t>
        </is>
      </c>
      <c r="E406" t="inlineStr">
        <is>
          <t>MORA</t>
        </is>
      </c>
      <c r="G406" t="n">
        <v>1.7</v>
      </c>
      <c r="H406" t="n">
        <v>0</v>
      </c>
      <c r="I406" t="n">
        <v>0</v>
      </c>
      <c r="J406" t="n">
        <v>0</v>
      </c>
      <c r="K406" t="n">
        <v>0</v>
      </c>
      <c r="L406" t="n">
        <v>0</v>
      </c>
      <c r="M406" t="n">
        <v>0</v>
      </c>
      <c r="N406" t="n">
        <v>0</v>
      </c>
      <c r="O406" t="n">
        <v>0</v>
      </c>
      <c r="P406" t="n">
        <v>0</v>
      </c>
      <c r="Q406" t="n">
        <v>0</v>
      </c>
      <c r="R406" s="2" t="inlineStr"/>
    </row>
    <row r="407" ht="15" customHeight="1">
      <c r="A407" t="inlineStr">
        <is>
          <t>A 35611-2025</t>
        </is>
      </c>
      <c r="B407" s="1" t="n">
        <v>45859.35384259259</v>
      </c>
      <c r="C407" s="1" t="n">
        <v>46084</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35734-2025</t>
        </is>
      </c>
      <c r="B408" s="1" t="n">
        <v>45860.471875</v>
      </c>
      <c r="C408" s="1" t="n">
        <v>46084</v>
      </c>
      <c r="D408" t="inlineStr">
        <is>
          <t>DALARNAS LÄN</t>
        </is>
      </c>
      <c r="E408" t="inlineStr">
        <is>
          <t>MORA</t>
        </is>
      </c>
      <c r="G408" t="n">
        <v>1.3</v>
      </c>
      <c r="H408" t="n">
        <v>0</v>
      </c>
      <c r="I408" t="n">
        <v>0</v>
      </c>
      <c r="J408" t="n">
        <v>0</v>
      </c>
      <c r="K408" t="n">
        <v>0</v>
      </c>
      <c r="L408" t="n">
        <v>0</v>
      </c>
      <c r="M408" t="n">
        <v>0</v>
      </c>
      <c r="N408" t="n">
        <v>0</v>
      </c>
      <c r="O408" t="n">
        <v>0</v>
      </c>
      <c r="P408" t="n">
        <v>0</v>
      </c>
      <c r="Q408" t="n">
        <v>0</v>
      </c>
      <c r="R408" s="2" t="inlineStr"/>
    </row>
    <row r="409" ht="15" customHeight="1">
      <c r="A409" t="inlineStr">
        <is>
          <t>A 35623-2025</t>
        </is>
      </c>
      <c r="B409" s="1" t="n">
        <v>45859</v>
      </c>
      <c r="C409" s="1" t="n">
        <v>46084</v>
      </c>
      <c r="D409" t="inlineStr">
        <is>
          <t>DALARNAS LÄN</t>
        </is>
      </c>
      <c r="E409" t="inlineStr">
        <is>
          <t>MORA</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51771-2025</t>
        </is>
      </c>
      <c r="B410" s="1" t="n">
        <v>45951.64653935185</v>
      </c>
      <c r="C410" s="1" t="n">
        <v>46084</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35622-2025</t>
        </is>
      </c>
      <c r="B411" s="1" t="n">
        <v>45859</v>
      </c>
      <c r="C411" s="1" t="n">
        <v>46084</v>
      </c>
      <c r="D411" t="inlineStr">
        <is>
          <t>DALARNAS LÄN</t>
        </is>
      </c>
      <c r="E411" t="inlineStr">
        <is>
          <t>MORA</t>
        </is>
      </c>
      <c r="F411" t="inlineStr">
        <is>
          <t>Bergvik skog öst AB</t>
        </is>
      </c>
      <c r="G411" t="n">
        <v>5.8</v>
      </c>
      <c r="H411" t="n">
        <v>0</v>
      </c>
      <c r="I411" t="n">
        <v>0</v>
      </c>
      <c r="J411" t="n">
        <v>0</v>
      </c>
      <c r="K411" t="n">
        <v>0</v>
      </c>
      <c r="L411" t="n">
        <v>0</v>
      </c>
      <c r="M411" t="n">
        <v>0</v>
      </c>
      <c r="N411" t="n">
        <v>0</v>
      </c>
      <c r="O411" t="n">
        <v>0</v>
      </c>
      <c r="P411" t="n">
        <v>0</v>
      </c>
      <c r="Q411" t="n">
        <v>0</v>
      </c>
      <c r="R411" s="2" t="inlineStr"/>
    </row>
    <row r="412" ht="15" customHeight="1">
      <c r="A412" t="inlineStr">
        <is>
          <t>A 35624-2025</t>
        </is>
      </c>
      <c r="B412" s="1" t="n">
        <v>45859</v>
      </c>
      <c r="C412" s="1" t="n">
        <v>46084</v>
      </c>
      <c r="D412" t="inlineStr">
        <is>
          <t>DALARNAS LÄN</t>
        </is>
      </c>
      <c r="E412" t="inlineStr">
        <is>
          <t>MORA</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46084</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50911-2024</t>
        </is>
      </c>
      <c r="B414" s="1" t="n">
        <v>45602.7022337963</v>
      </c>
      <c r="C414" s="1" t="n">
        <v>46084</v>
      </c>
      <c r="D414" t="inlineStr">
        <is>
          <t>DALARNAS LÄN</t>
        </is>
      </c>
      <c r="E414" t="inlineStr">
        <is>
          <t>MORA</t>
        </is>
      </c>
      <c r="G414" t="n">
        <v>1.7</v>
      </c>
      <c r="H414" t="n">
        <v>0</v>
      </c>
      <c r="I414" t="n">
        <v>0</v>
      </c>
      <c r="J414" t="n">
        <v>0</v>
      </c>
      <c r="K414" t="n">
        <v>0</v>
      </c>
      <c r="L414" t="n">
        <v>0</v>
      </c>
      <c r="M414" t="n">
        <v>0</v>
      </c>
      <c r="N414" t="n">
        <v>0</v>
      </c>
      <c r="O414" t="n">
        <v>0</v>
      </c>
      <c r="P414" t="n">
        <v>0</v>
      </c>
      <c r="Q414" t="n">
        <v>0</v>
      </c>
      <c r="R414" s="2" t="inlineStr"/>
    </row>
    <row r="415" ht="15" customHeight="1">
      <c r="A415" t="inlineStr">
        <is>
          <t>A 15440-2024</t>
        </is>
      </c>
      <c r="B415" s="1" t="n">
        <v>45401.4194212963</v>
      </c>
      <c r="C415" s="1" t="n">
        <v>46084</v>
      </c>
      <c r="D415" t="inlineStr">
        <is>
          <t>DALARNAS LÄN</t>
        </is>
      </c>
      <c r="E415" t="inlineStr">
        <is>
          <t>MORA</t>
        </is>
      </c>
      <c r="G415" t="n">
        <v>1.1</v>
      </c>
      <c r="H415" t="n">
        <v>0</v>
      </c>
      <c r="I415" t="n">
        <v>0</v>
      </c>
      <c r="J415" t="n">
        <v>0</v>
      </c>
      <c r="K415" t="n">
        <v>0</v>
      </c>
      <c r="L415" t="n">
        <v>0</v>
      </c>
      <c r="M415" t="n">
        <v>0</v>
      </c>
      <c r="N415" t="n">
        <v>0</v>
      </c>
      <c r="O415" t="n">
        <v>0</v>
      </c>
      <c r="P415" t="n">
        <v>0</v>
      </c>
      <c r="Q415" t="n">
        <v>0</v>
      </c>
      <c r="R415" s="2" t="inlineStr"/>
    </row>
    <row r="416" ht="15" customHeight="1">
      <c r="A416" t="inlineStr">
        <is>
          <t>A 44106-2023</t>
        </is>
      </c>
      <c r="B416" s="1" t="n">
        <v>45188</v>
      </c>
      <c r="C416" s="1" t="n">
        <v>46084</v>
      </c>
      <c r="D416" t="inlineStr">
        <is>
          <t>DALARNAS LÄN</t>
        </is>
      </c>
      <c r="E416" t="inlineStr">
        <is>
          <t>MORA</t>
        </is>
      </c>
      <c r="G416" t="n">
        <v>10.1</v>
      </c>
      <c r="H416" t="n">
        <v>0</v>
      </c>
      <c r="I416" t="n">
        <v>0</v>
      </c>
      <c r="J416" t="n">
        <v>0</v>
      </c>
      <c r="K416" t="n">
        <v>0</v>
      </c>
      <c r="L416" t="n">
        <v>0</v>
      </c>
      <c r="M416" t="n">
        <v>0</v>
      </c>
      <c r="N416" t="n">
        <v>0</v>
      </c>
      <c r="O416" t="n">
        <v>0</v>
      </c>
      <c r="P416" t="n">
        <v>0</v>
      </c>
      <c r="Q416" t="n">
        <v>0</v>
      </c>
      <c r="R416" s="2" t="inlineStr"/>
    </row>
    <row r="417" ht="15" customHeight="1">
      <c r="A417" t="inlineStr">
        <is>
          <t>A 59002-2024</t>
        </is>
      </c>
      <c r="B417" s="1" t="n">
        <v>45636</v>
      </c>
      <c r="C417" s="1" t="n">
        <v>46084</v>
      </c>
      <c r="D417" t="inlineStr">
        <is>
          <t>DALARNAS LÄN</t>
        </is>
      </c>
      <c r="E417" t="inlineStr">
        <is>
          <t>MORA</t>
        </is>
      </c>
      <c r="F417" t="inlineStr">
        <is>
          <t>Bergvik skog väst AB</t>
        </is>
      </c>
      <c r="G417" t="n">
        <v>24.8</v>
      </c>
      <c r="H417" t="n">
        <v>0</v>
      </c>
      <c r="I417" t="n">
        <v>0</v>
      </c>
      <c r="J417" t="n">
        <v>0</v>
      </c>
      <c r="K417" t="n">
        <v>0</v>
      </c>
      <c r="L417" t="n">
        <v>0</v>
      </c>
      <c r="M417" t="n">
        <v>0</v>
      </c>
      <c r="N417" t="n">
        <v>0</v>
      </c>
      <c r="O417" t="n">
        <v>0</v>
      </c>
      <c r="P417" t="n">
        <v>0</v>
      </c>
      <c r="Q417" t="n">
        <v>0</v>
      </c>
      <c r="R417" s="2" t="inlineStr"/>
    </row>
    <row r="418" ht="15" customHeight="1">
      <c r="A418" t="inlineStr">
        <is>
          <t>A 5980-2025</t>
        </is>
      </c>
      <c r="B418" s="1" t="n">
        <v>45695.54651620371</v>
      </c>
      <c r="C418" s="1" t="n">
        <v>46084</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52110-2025</t>
        </is>
      </c>
      <c r="B419" s="1" t="n">
        <v>45952.69306712963</v>
      </c>
      <c r="C419" s="1" t="n">
        <v>46084</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36041-2025</t>
        </is>
      </c>
      <c r="B420" s="1" t="n">
        <v>45866.34385416667</v>
      </c>
      <c r="C420" s="1" t="n">
        <v>46084</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16174-2025</t>
        </is>
      </c>
      <c r="B421" s="1" t="n">
        <v>45750</v>
      </c>
      <c r="C421" s="1" t="n">
        <v>46084</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36586-2025</t>
        </is>
      </c>
      <c r="B422" s="1" t="n">
        <v>45869</v>
      </c>
      <c r="C422" s="1" t="n">
        <v>46084</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36760-2025</t>
        </is>
      </c>
      <c r="B423" s="1" t="n">
        <v>45873.57319444444</v>
      </c>
      <c r="C423" s="1" t="n">
        <v>46084</v>
      </c>
      <c r="D423" t="inlineStr">
        <is>
          <t>DALARNAS LÄN</t>
        </is>
      </c>
      <c r="E423" t="inlineStr">
        <is>
          <t>MORA</t>
        </is>
      </c>
      <c r="G423" t="n">
        <v>4.6</v>
      </c>
      <c r="H423" t="n">
        <v>0</v>
      </c>
      <c r="I423" t="n">
        <v>0</v>
      </c>
      <c r="J423" t="n">
        <v>0</v>
      </c>
      <c r="K423" t="n">
        <v>0</v>
      </c>
      <c r="L423" t="n">
        <v>0</v>
      </c>
      <c r="M423" t="n">
        <v>0</v>
      </c>
      <c r="N423" t="n">
        <v>0</v>
      </c>
      <c r="O423" t="n">
        <v>0</v>
      </c>
      <c r="P423" t="n">
        <v>0</v>
      </c>
      <c r="Q423" t="n">
        <v>0</v>
      </c>
      <c r="R423" s="2" t="inlineStr"/>
    </row>
    <row r="424" ht="15" customHeight="1">
      <c r="A424" t="inlineStr">
        <is>
          <t>A 52804-2025</t>
        </is>
      </c>
      <c r="B424" s="1" t="n">
        <v>45957.44552083333</v>
      </c>
      <c r="C424" s="1" t="n">
        <v>46084</v>
      </c>
      <c r="D424" t="inlineStr">
        <is>
          <t>DALARNAS LÄN</t>
        </is>
      </c>
      <c r="E424" t="inlineStr">
        <is>
          <t>MORA</t>
        </is>
      </c>
      <c r="G424" t="n">
        <v>2.9</v>
      </c>
      <c r="H424" t="n">
        <v>0</v>
      </c>
      <c r="I424" t="n">
        <v>0</v>
      </c>
      <c r="J424" t="n">
        <v>0</v>
      </c>
      <c r="K424" t="n">
        <v>0</v>
      </c>
      <c r="L424" t="n">
        <v>0</v>
      </c>
      <c r="M424" t="n">
        <v>0</v>
      </c>
      <c r="N424" t="n">
        <v>0</v>
      </c>
      <c r="O424" t="n">
        <v>0</v>
      </c>
      <c r="P424" t="n">
        <v>0</v>
      </c>
      <c r="Q424" t="n">
        <v>0</v>
      </c>
      <c r="R424" s="2" t="inlineStr"/>
    </row>
    <row r="425" ht="15" customHeight="1">
      <c r="A425" t="inlineStr">
        <is>
          <t>A 5527-2024</t>
        </is>
      </c>
      <c r="B425" s="1" t="n">
        <v>45334.38981481481</v>
      </c>
      <c r="C425" s="1" t="n">
        <v>46084</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39856-2024</t>
        </is>
      </c>
      <c r="B426" s="1" t="n">
        <v>45553.44084490741</v>
      </c>
      <c r="C426" s="1" t="n">
        <v>46084</v>
      </c>
      <c r="D426" t="inlineStr">
        <is>
          <t>DALARNAS LÄN</t>
        </is>
      </c>
      <c r="E426" t="inlineStr">
        <is>
          <t>MORA</t>
        </is>
      </c>
      <c r="G426" t="n">
        <v>4.8</v>
      </c>
      <c r="H426" t="n">
        <v>0</v>
      </c>
      <c r="I426" t="n">
        <v>0</v>
      </c>
      <c r="J426" t="n">
        <v>0</v>
      </c>
      <c r="K426" t="n">
        <v>0</v>
      </c>
      <c r="L426" t="n">
        <v>0</v>
      </c>
      <c r="M426" t="n">
        <v>0</v>
      </c>
      <c r="N426" t="n">
        <v>0</v>
      </c>
      <c r="O426" t="n">
        <v>0</v>
      </c>
      <c r="P426" t="n">
        <v>0</v>
      </c>
      <c r="Q426" t="n">
        <v>0</v>
      </c>
      <c r="R426" s="2" t="inlineStr"/>
    </row>
    <row r="427" ht="15" customHeight="1">
      <c r="A427" t="inlineStr">
        <is>
          <t>A 52288-2024</t>
        </is>
      </c>
      <c r="B427" s="1" t="n">
        <v>45608.69395833334</v>
      </c>
      <c r="C427" s="1" t="n">
        <v>46084</v>
      </c>
      <c r="D427" t="inlineStr">
        <is>
          <t>DALARNAS LÄN</t>
        </is>
      </c>
      <c r="E427" t="inlineStr">
        <is>
          <t>MORA</t>
        </is>
      </c>
      <c r="G427" t="n">
        <v>2</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44838.46721064814</v>
      </c>
      <c r="C428" s="1" t="n">
        <v>46084</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53151-2025</t>
        </is>
      </c>
      <c r="B429" s="1" t="n">
        <v>45958.48611111111</v>
      </c>
      <c r="C429" s="1" t="n">
        <v>46084</v>
      </c>
      <c r="D429" t="inlineStr">
        <is>
          <t>DALARNAS LÄN</t>
        </is>
      </c>
      <c r="E429" t="inlineStr">
        <is>
          <t>MORA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12920-2022</t>
        </is>
      </c>
      <c r="B430" s="1" t="n">
        <v>44642.65418981481</v>
      </c>
      <c r="C430" s="1" t="n">
        <v>46084</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53150-2025</t>
        </is>
      </c>
      <c r="B431" s="1" t="n">
        <v>45958.48280092593</v>
      </c>
      <c r="C431" s="1" t="n">
        <v>46084</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36846-2025</t>
        </is>
      </c>
      <c r="B432" s="1" t="n">
        <v>45874.38655092593</v>
      </c>
      <c r="C432" s="1" t="n">
        <v>46084</v>
      </c>
      <c r="D432" t="inlineStr">
        <is>
          <t>DALARNAS LÄN</t>
        </is>
      </c>
      <c r="E432" t="inlineStr">
        <is>
          <t>MORA</t>
        </is>
      </c>
      <c r="G432" t="n">
        <v>10.7</v>
      </c>
      <c r="H432" t="n">
        <v>0</v>
      </c>
      <c r="I432" t="n">
        <v>0</v>
      </c>
      <c r="J432" t="n">
        <v>0</v>
      </c>
      <c r="K432" t="n">
        <v>0</v>
      </c>
      <c r="L432" t="n">
        <v>0</v>
      </c>
      <c r="M432" t="n">
        <v>0</v>
      </c>
      <c r="N432" t="n">
        <v>0</v>
      </c>
      <c r="O432" t="n">
        <v>0</v>
      </c>
      <c r="P432" t="n">
        <v>0</v>
      </c>
      <c r="Q432" t="n">
        <v>0</v>
      </c>
      <c r="R432" s="2" t="inlineStr"/>
    </row>
    <row r="433" ht="15" customHeight="1">
      <c r="A433" t="inlineStr">
        <is>
          <t>A 17280-2025</t>
        </is>
      </c>
      <c r="B433" s="1" t="n">
        <v>45756</v>
      </c>
      <c r="C433" s="1" t="n">
        <v>46084</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22854-2023</t>
        </is>
      </c>
      <c r="B434" s="1" t="n">
        <v>45072</v>
      </c>
      <c r="C434" s="1" t="n">
        <v>46084</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53982-2025</t>
        </is>
      </c>
      <c r="B435" s="1" t="n">
        <v>45961.57019675926</v>
      </c>
      <c r="C435" s="1" t="n">
        <v>46084</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53565-2025</t>
        </is>
      </c>
      <c r="B436" s="1" t="n">
        <v>45960.40711805555</v>
      </c>
      <c r="C436" s="1" t="n">
        <v>46084</v>
      </c>
      <c r="D436" t="inlineStr">
        <is>
          <t>DALARNAS LÄN</t>
        </is>
      </c>
      <c r="E436" t="inlineStr">
        <is>
          <t>MORA</t>
        </is>
      </c>
      <c r="G436" t="n">
        <v>5.1</v>
      </c>
      <c r="H436" t="n">
        <v>0</v>
      </c>
      <c r="I436" t="n">
        <v>0</v>
      </c>
      <c r="J436" t="n">
        <v>0</v>
      </c>
      <c r="K436" t="n">
        <v>0</v>
      </c>
      <c r="L436" t="n">
        <v>0</v>
      </c>
      <c r="M436" t="n">
        <v>0</v>
      </c>
      <c r="N436" t="n">
        <v>0</v>
      </c>
      <c r="O436" t="n">
        <v>0</v>
      </c>
      <c r="P436" t="n">
        <v>0</v>
      </c>
      <c r="Q436" t="n">
        <v>0</v>
      </c>
      <c r="R436" s="2" t="inlineStr"/>
    </row>
    <row r="437" ht="15" customHeight="1">
      <c r="A437" t="inlineStr">
        <is>
          <t>A 53632-2025</t>
        </is>
      </c>
      <c r="B437" s="1" t="n">
        <v>45960.49972222222</v>
      </c>
      <c r="C437" s="1" t="n">
        <v>46084</v>
      </c>
      <c r="D437" t="inlineStr">
        <is>
          <t>DALARNAS LÄN</t>
        </is>
      </c>
      <c r="E437" t="inlineStr">
        <is>
          <t>MORA</t>
        </is>
      </c>
      <c r="G437" t="n">
        <v>3.1</v>
      </c>
      <c r="H437" t="n">
        <v>0</v>
      </c>
      <c r="I437" t="n">
        <v>0</v>
      </c>
      <c r="J437" t="n">
        <v>0</v>
      </c>
      <c r="K437" t="n">
        <v>0</v>
      </c>
      <c r="L437" t="n">
        <v>0</v>
      </c>
      <c r="M437" t="n">
        <v>0</v>
      </c>
      <c r="N437" t="n">
        <v>0</v>
      </c>
      <c r="O437" t="n">
        <v>0</v>
      </c>
      <c r="P437" t="n">
        <v>0</v>
      </c>
      <c r="Q437" t="n">
        <v>0</v>
      </c>
      <c r="R437" s="2" t="inlineStr"/>
    </row>
    <row r="438" ht="15" customHeight="1">
      <c r="A438" t="inlineStr">
        <is>
          <t>A 57475-2022</t>
        </is>
      </c>
      <c r="B438" s="1" t="n">
        <v>44896</v>
      </c>
      <c r="C438" s="1" t="n">
        <v>46084</v>
      </c>
      <c r="D438" t="inlineStr">
        <is>
          <t>DALARNAS LÄN</t>
        </is>
      </c>
      <c r="E438" t="inlineStr">
        <is>
          <t>MORA</t>
        </is>
      </c>
      <c r="G438" t="n">
        <v>5.7</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45960.39960648148</v>
      </c>
      <c r="C439" s="1" t="n">
        <v>46084</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53562-2025</t>
        </is>
      </c>
      <c r="B440" s="1" t="n">
        <v>45960.40662037037</v>
      </c>
      <c r="C440" s="1" t="n">
        <v>46084</v>
      </c>
      <c r="D440" t="inlineStr">
        <is>
          <t>DALARNAS LÄN</t>
        </is>
      </c>
      <c r="E440" t="inlineStr">
        <is>
          <t>MORA</t>
        </is>
      </c>
      <c r="G440" t="n">
        <v>5.1</v>
      </c>
      <c r="H440" t="n">
        <v>0</v>
      </c>
      <c r="I440" t="n">
        <v>0</v>
      </c>
      <c r="J440" t="n">
        <v>0</v>
      </c>
      <c r="K440" t="n">
        <v>0</v>
      </c>
      <c r="L440" t="n">
        <v>0</v>
      </c>
      <c r="M440" t="n">
        <v>0</v>
      </c>
      <c r="N440" t="n">
        <v>0</v>
      </c>
      <c r="O440" t="n">
        <v>0</v>
      </c>
      <c r="P440" t="n">
        <v>0</v>
      </c>
      <c r="Q440" t="n">
        <v>0</v>
      </c>
      <c r="R440" s="2" t="inlineStr"/>
    </row>
    <row r="441" ht="15" customHeight="1">
      <c r="A441" t="inlineStr">
        <is>
          <t>A 53591-2025</t>
        </is>
      </c>
      <c r="B441" s="1" t="n">
        <v>45960.43893518519</v>
      </c>
      <c r="C441" s="1" t="n">
        <v>46084</v>
      </c>
      <c r="D441" t="inlineStr">
        <is>
          <t>DALARNAS LÄN</t>
        </is>
      </c>
      <c r="E441" t="inlineStr">
        <is>
          <t>MORA</t>
        </is>
      </c>
      <c r="G441" t="n">
        <v>3.8</v>
      </c>
      <c r="H441" t="n">
        <v>0</v>
      </c>
      <c r="I441" t="n">
        <v>0</v>
      </c>
      <c r="J441" t="n">
        <v>0</v>
      </c>
      <c r="K441" t="n">
        <v>0</v>
      </c>
      <c r="L441" t="n">
        <v>0</v>
      </c>
      <c r="M441" t="n">
        <v>0</v>
      </c>
      <c r="N441" t="n">
        <v>0</v>
      </c>
      <c r="O441" t="n">
        <v>0</v>
      </c>
      <c r="P441" t="n">
        <v>0</v>
      </c>
      <c r="Q441" t="n">
        <v>0</v>
      </c>
      <c r="R441" s="2" t="inlineStr"/>
    </row>
    <row r="442" ht="15" customHeight="1">
      <c r="A442" t="inlineStr">
        <is>
          <t>A 34282-2024</t>
        </is>
      </c>
      <c r="B442" s="1" t="n">
        <v>45524.62600694445</v>
      </c>
      <c r="C442" s="1" t="n">
        <v>46084</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53418-2025</t>
        </is>
      </c>
      <c r="B443" s="1" t="n">
        <v>45959</v>
      </c>
      <c r="C443" s="1" t="n">
        <v>46084</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37070-2025</t>
        </is>
      </c>
      <c r="B444" s="1" t="n">
        <v>45875.39822916667</v>
      </c>
      <c r="C444" s="1" t="n">
        <v>46084</v>
      </c>
      <c r="D444" t="inlineStr">
        <is>
          <t>DALARNAS LÄN</t>
        </is>
      </c>
      <c r="E444" t="inlineStr">
        <is>
          <t>MORA</t>
        </is>
      </c>
      <c r="G444" t="n">
        <v>2.7</v>
      </c>
      <c r="H444" t="n">
        <v>0</v>
      </c>
      <c r="I444" t="n">
        <v>0</v>
      </c>
      <c r="J444" t="n">
        <v>0</v>
      </c>
      <c r="K444" t="n">
        <v>0</v>
      </c>
      <c r="L444" t="n">
        <v>0</v>
      </c>
      <c r="M444" t="n">
        <v>0</v>
      </c>
      <c r="N444" t="n">
        <v>0</v>
      </c>
      <c r="O444" t="n">
        <v>0</v>
      </c>
      <c r="P444" t="n">
        <v>0</v>
      </c>
      <c r="Q444" t="n">
        <v>0</v>
      </c>
      <c r="R444" s="2" t="inlineStr"/>
    </row>
    <row r="445" ht="15" customHeight="1">
      <c r="A445" t="inlineStr">
        <is>
          <t>A 53556-2025</t>
        </is>
      </c>
      <c r="B445" s="1" t="n">
        <v>45960.3921875</v>
      </c>
      <c r="C445" s="1" t="n">
        <v>46084</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37268-2025</t>
        </is>
      </c>
      <c r="B446" s="1" t="n">
        <v>45876.46681712963</v>
      </c>
      <c r="C446" s="1" t="n">
        <v>46084</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54508-2025</t>
        </is>
      </c>
      <c r="B447" s="1" t="n">
        <v>45965.61844907407</v>
      </c>
      <c r="C447" s="1" t="n">
        <v>46084</v>
      </c>
      <c r="D447" t="inlineStr">
        <is>
          <t>DALARNAS LÄN</t>
        </is>
      </c>
      <c r="E447" t="inlineStr">
        <is>
          <t>MORA</t>
        </is>
      </c>
      <c r="G447" t="n">
        <v>0.9</v>
      </c>
      <c r="H447" t="n">
        <v>0</v>
      </c>
      <c r="I447" t="n">
        <v>0</v>
      </c>
      <c r="J447" t="n">
        <v>0</v>
      </c>
      <c r="K447" t="n">
        <v>0</v>
      </c>
      <c r="L447" t="n">
        <v>0</v>
      </c>
      <c r="M447" t="n">
        <v>0</v>
      </c>
      <c r="N447" t="n">
        <v>0</v>
      </c>
      <c r="O447" t="n">
        <v>0</v>
      </c>
      <c r="P447" t="n">
        <v>0</v>
      </c>
      <c r="Q447" t="n">
        <v>0</v>
      </c>
      <c r="R447" s="2" t="inlineStr"/>
    </row>
    <row r="448" ht="15" customHeight="1">
      <c r="A448" t="inlineStr">
        <is>
          <t>A 38055-2024</t>
        </is>
      </c>
      <c r="B448" s="1" t="n">
        <v>45544</v>
      </c>
      <c r="C448" s="1" t="n">
        <v>46084</v>
      </c>
      <c r="D448" t="inlineStr">
        <is>
          <t>DALARNAS LÄN</t>
        </is>
      </c>
      <c r="E448" t="inlineStr">
        <is>
          <t>MORA</t>
        </is>
      </c>
      <c r="G448" t="n">
        <v>0.7</v>
      </c>
      <c r="H448" t="n">
        <v>0</v>
      </c>
      <c r="I448" t="n">
        <v>0</v>
      </c>
      <c r="J448" t="n">
        <v>0</v>
      </c>
      <c r="K448" t="n">
        <v>0</v>
      </c>
      <c r="L448" t="n">
        <v>0</v>
      </c>
      <c r="M448" t="n">
        <v>0</v>
      </c>
      <c r="N448" t="n">
        <v>0</v>
      </c>
      <c r="O448" t="n">
        <v>0</v>
      </c>
      <c r="P448" t="n">
        <v>0</v>
      </c>
      <c r="Q448" t="n">
        <v>0</v>
      </c>
      <c r="R448" s="2" t="inlineStr"/>
    </row>
    <row r="449" ht="15" customHeight="1">
      <c r="A449" t="inlineStr">
        <is>
          <t>A 7116-2024</t>
        </is>
      </c>
      <c r="B449" s="1" t="n">
        <v>45343.95445601852</v>
      </c>
      <c r="C449" s="1" t="n">
        <v>46084</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22785-2023</t>
        </is>
      </c>
      <c r="B450" s="1" t="n">
        <v>45072.34796296297</v>
      </c>
      <c r="C450" s="1" t="n">
        <v>46084</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35363-2024</t>
        </is>
      </c>
      <c r="B451" s="1" t="n">
        <v>45531.34050925926</v>
      </c>
      <c r="C451" s="1" t="n">
        <v>46084</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54518-2025</t>
        </is>
      </c>
      <c r="B452" s="1" t="n">
        <v>45965.62608796296</v>
      </c>
      <c r="C452" s="1" t="n">
        <v>46084</v>
      </c>
      <c r="D452" t="inlineStr">
        <is>
          <t>DALARNAS LÄN</t>
        </is>
      </c>
      <c r="E452" t="inlineStr">
        <is>
          <t>MORA</t>
        </is>
      </c>
      <c r="G452" t="n">
        <v>7.1</v>
      </c>
      <c r="H452" t="n">
        <v>0</v>
      </c>
      <c r="I452" t="n">
        <v>0</v>
      </c>
      <c r="J452" t="n">
        <v>0</v>
      </c>
      <c r="K452" t="n">
        <v>0</v>
      </c>
      <c r="L452" t="n">
        <v>0</v>
      </c>
      <c r="M452" t="n">
        <v>0</v>
      </c>
      <c r="N452" t="n">
        <v>0</v>
      </c>
      <c r="O452" t="n">
        <v>0</v>
      </c>
      <c r="P452" t="n">
        <v>0</v>
      </c>
      <c r="Q452" t="n">
        <v>0</v>
      </c>
      <c r="R452" s="2" t="inlineStr"/>
    </row>
    <row r="453" ht="15" customHeight="1">
      <c r="A453" t="inlineStr">
        <is>
          <t>A 44307-2021</t>
        </is>
      </c>
      <c r="B453" s="1" t="n">
        <v>44435</v>
      </c>
      <c r="C453" s="1" t="n">
        <v>46084</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54099-2025</t>
        </is>
      </c>
      <c r="B454" s="1" t="n">
        <v>45964.41665509259</v>
      </c>
      <c r="C454" s="1" t="n">
        <v>46084</v>
      </c>
      <c r="D454" t="inlineStr">
        <is>
          <t>DALARNAS LÄN</t>
        </is>
      </c>
      <c r="E454" t="inlineStr">
        <is>
          <t>MORA</t>
        </is>
      </c>
      <c r="G454" t="n">
        <v>5.3</v>
      </c>
      <c r="H454" t="n">
        <v>0</v>
      </c>
      <c r="I454" t="n">
        <v>0</v>
      </c>
      <c r="J454" t="n">
        <v>0</v>
      </c>
      <c r="K454" t="n">
        <v>0</v>
      </c>
      <c r="L454" t="n">
        <v>0</v>
      </c>
      <c r="M454" t="n">
        <v>0</v>
      </c>
      <c r="N454" t="n">
        <v>0</v>
      </c>
      <c r="O454" t="n">
        <v>0</v>
      </c>
      <c r="P454" t="n">
        <v>0</v>
      </c>
      <c r="Q454" t="n">
        <v>0</v>
      </c>
      <c r="R454" s="2" t="inlineStr"/>
    </row>
    <row r="455" ht="15" customHeight="1">
      <c r="A455" t="inlineStr">
        <is>
          <t>A 54367-2025</t>
        </is>
      </c>
      <c r="B455" s="1" t="n">
        <v>45965.4031712963</v>
      </c>
      <c r="C455" s="1" t="n">
        <v>46084</v>
      </c>
      <c r="D455" t="inlineStr">
        <is>
          <t>DALARNAS LÄN</t>
        </is>
      </c>
      <c r="E455" t="inlineStr">
        <is>
          <t>MORA</t>
        </is>
      </c>
      <c r="G455" t="n">
        <v>7</v>
      </c>
      <c r="H455" t="n">
        <v>0</v>
      </c>
      <c r="I455" t="n">
        <v>0</v>
      </c>
      <c r="J455" t="n">
        <v>0</v>
      </c>
      <c r="K455" t="n">
        <v>0</v>
      </c>
      <c r="L455" t="n">
        <v>0</v>
      </c>
      <c r="M455" t="n">
        <v>0</v>
      </c>
      <c r="N455" t="n">
        <v>0</v>
      </c>
      <c r="O455" t="n">
        <v>0</v>
      </c>
      <c r="P455" t="n">
        <v>0</v>
      </c>
      <c r="Q455" t="n">
        <v>0</v>
      </c>
      <c r="R455" s="2" t="inlineStr"/>
    </row>
    <row r="456" ht="15" customHeight="1">
      <c r="A456" t="inlineStr">
        <is>
          <t>A 54504-2025</t>
        </is>
      </c>
      <c r="B456" s="1" t="n">
        <v>45965.61686342592</v>
      </c>
      <c r="C456" s="1" t="n">
        <v>46084</v>
      </c>
      <c r="D456" t="inlineStr">
        <is>
          <t>DALARNAS LÄN</t>
        </is>
      </c>
      <c r="E456" t="inlineStr">
        <is>
          <t>MORA</t>
        </is>
      </c>
      <c r="G456" t="n">
        <v>0.9</v>
      </c>
      <c r="H456" t="n">
        <v>0</v>
      </c>
      <c r="I456" t="n">
        <v>0</v>
      </c>
      <c r="J456" t="n">
        <v>0</v>
      </c>
      <c r="K456" t="n">
        <v>0</v>
      </c>
      <c r="L456" t="n">
        <v>0</v>
      </c>
      <c r="M456" t="n">
        <v>0</v>
      </c>
      <c r="N456" t="n">
        <v>0</v>
      </c>
      <c r="O456" t="n">
        <v>0</v>
      </c>
      <c r="P456" t="n">
        <v>0</v>
      </c>
      <c r="Q456" t="n">
        <v>0</v>
      </c>
      <c r="R456" s="2" t="inlineStr"/>
    </row>
    <row r="457" ht="15" customHeight="1">
      <c r="A457" t="inlineStr">
        <is>
          <t>A 60718-2023</t>
        </is>
      </c>
      <c r="B457" s="1" t="n">
        <v>45260.5284375</v>
      </c>
      <c r="C457" s="1" t="n">
        <v>46084</v>
      </c>
      <c r="D457" t="inlineStr">
        <is>
          <t>DALARNAS LÄN</t>
        </is>
      </c>
      <c r="E457" t="inlineStr">
        <is>
          <t>MORA</t>
        </is>
      </c>
      <c r="G457" t="n">
        <v>2.6</v>
      </c>
      <c r="H457" t="n">
        <v>0</v>
      </c>
      <c r="I457" t="n">
        <v>0</v>
      </c>
      <c r="J457" t="n">
        <v>0</v>
      </c>
      <c r="K457" t="n">
        <v>0</v>
      </c>
      <c r="L457" t="n">
        <v>0</v>
      </c>
      <c r="M457" t="n">
        <v>0</v>
      </c>
      <c r="N457" t="n">
        <v>0</v>
      </c>
      <c r="O457" t="n">
        <v>0</v>
      </c>
      <c r="P457" t="n">
        <v>0</v>
      </c>
      <c r="Q457" t="n">
        <v>0</v>
      </c>
      <c r="R457" s="2" t="inlineStr"/>
    </row>
    <row r="458" ht="15" customHeight="1">
      <c r="A458" t="inlineStr">
        <is>
          <t>A 7972-2024</t>
        </is>
      </c>
      <c r="B458" s="1" t="n">
        <v>45350</v>
      </c>
      <c r="C458" s="1" t="n">
        <v>46084</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16637-2025</t>
        </is>
      </c>
      <c r="B459" s="1" t="n">
        <v>45754.36738425926</v>
      </c>
      <c r="C459" s="1" t="n">
        <v>46084</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54868-2025</t>
        </is>
      </c>
      <c r="B460" s="1" t="n">
        <v>45966.85649305556</v>
      </c>
      <c r="C460" s="1" t="n">
        <v>46084</v>
      </c>
      <c r="D460" t="inlineStr">
        <is>
          <t>DALARNAS LÄN</t>
        </is>
      </c>
      <c r="E460" t="inlineStr">
        <is>
          <t>MORA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54862-2025</t>
        </is>
      </c>
      <c r="B461" s="1" t="n">
        <v>45966.76542824074</v>
      </c>
      <c r="C461" s="1" t="n">
        <v>46084</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54909-2025</t>
        </is>
      </c>
      <c r="B462" s="1" t="n">
        <v>45967.374375</v>
      </c>
      <c r="C462" s="1" t="n">
        <v>46084</v>
      </c>
      <c r="D462" t="inlineStr">
        <is>
          <t>DALARNAS LÄN</t>
        </is>
      </c>
      <c r="E462" t="inlineStr">
        <is>
          <t>MORA</t>
        </is>
      </c>
      <c r="G462" t="n">
        <v>1.7</v>
      </c>
      <c r="H462" t="n">
        <v>0</v>
      </c>
      <c r="I462" t="n">
        <v>0</v>
      </c>
      <c r="J462" t="n">
        <v>0</v>
      </c>
      <c r="K462" t="n">
        <v>0</v>
      </c>
      <c r="L462" t="n">
        <v>0</v>
      </c>
      <c r="M462" t="n">
        <v>0</v>
      </c>
      <c r="N462" t="n">
        <v>0</v>
      </c>
      <c r="O462" t="n">
        <v>0</v>
      </c>
      <c r="P462" t="n">
        <v>0</v>
      </c>
      <c r="Q462" t="n">
        <v>0</v>
      </c>
      <c r="R462" s="2" t="inlineStr"/>
    </row>
    <row r="463" ht="15" customHeight="1">
      <c r="A463" t="inlineStr">
        <is>
          <t>A 54919-2025</t>
        </is>
      </c>
      <c r="B463" s="1" t="n">
        <v>45967.38884259259</v>
      </c>
      <c r="C463" s="1" t="n">
        <v>46084</v>
      </c>
      <c r="D463" t="inlineStr">
        <is>
          <t>DALARNAS LÄN</t>
        </is>
      </c>
      <c r="E463" t="inlineStr">
        <is>
          <t>MORA</t>
        </is>
      </c>
      <c r="F463" t="inlineStr">
        <is>
          <t>Bergvik skog väst AB</t>
        </is>
      </c>
      <c r="G463" t="n">
        <v>5.6</v>
      </c>
      <c r="H463" t="n">
        <v>0</v>
      </c>
      <c r="I463" t="n">
        <v>0</v>
      </c>
      <c r="J463" t="n">
        <v>0</v>
      </c>
      <c r="K463" t="n">
        <v>0</v>
      </c>
      <c r="L463" t="n">
        <v>0</v>
      </c>
      <c r="M463" t="n">
        <v>0</v>
      </c>
      <c r="N463" t="n">
        <v>0</v>
      </c>
      <c r="O463" t="n">
        <v>0</v>
      </c>
      <c r="P463" t="n">
        <v>0</v>
      </c>
      <c r="Q463" t="n">
        <v>0</v>
      </c>
      <c r="R463" s="2" t="inlineStr"/>
    </row>
    <row r="464" ht="15" customHeight="1">
      <c r="A464" t="inlineStr">
        <is>
          <t>A 34923-2022</t>
        </is>
      </c>
      <c r="B464" s="1" t="n">
        <v>44796</v>
      </c>
      <c r="C464" s="1" t="n">
        <v>46084</v>
      </c>
      <c r="D464" t="inlineStr">
        <is>
          <t>DALARNAS LÄN</t>
        </is>
      </c>
      <c r="E464" t="inlineStr">
        <is>
          <t>MORA</t>
        </is>
      </c>
      <c r="G464" t="n">
        <v>5</v>
      </c>
      <c r="H464" t="n">
        <v>0</v>
      </c>
      <c r="I464" t="n">
        <v>0</v>
      </c>
      <c r="J464" t="n">
        <v>0</v>
      </c>
      <c r="K464" t="n">
        <v>0</v>
      </c>
      <c r="L464" t="n">
        <v>0</v>
      </c>
      <c r="M464" t="n">
        <v>0</v>
      </c>
      <c r="N464" t="n">
        <v>0</v>
      </c>
      <c r="O464" t="n">
        <v>0</v>
      </c>
      <c r="P464" t="n">
        <v>0</v>
      </c>
      <c r="Q464" t="n">
        <v>0</v>
      </c>
      <c r="R464" s="2" t="inlineStr"/>
    </row>
    <row r="465" ht="15" customHeight="1">
      <c r="A465" t="inlineStr">
        <is>
          <t>A 54905-2025</t>
        </is>
      </c>
      <c r="B465" s="1" t="n">
        <v>45967.3700462963</v>
      </c>
      <c r="C465" s="1" t="n">
        <v>46084</v>
      </c>
      <c r="D465" t="inlineStr">
        <is>
          <t>DALARNAS LÄN</t>
        </is>
      </c>
      <c r="E465" t="inlineStr">
        <is>
          <t>MORA</t>
        </is>
      </c>
      <c r="G465" t="n">
        <v>0.4</v>
      </c>
      <c r="H465" t="n">
        <v>0</v>
      </c>
      <c r="I465" t="n">
        <v>0</v>
      </c>
      <c r="J465" t="n">
        <v>0</v>
      </c>
      <c r="K465" t="n">
        <v>0</v>
      </c>
      <c r="L465" t="n">
        <v>0</v>
      </c>
      <c r="M465" t="n">
        <v>0</v>
      </c>
      <c r="N465" t="n">
        <v>0</v>
      </c>
      <c r="O465" t="n">
        <v>0</v>
      </c>
      <c r="P465" t="n">
        <v>0</v>
      </c>
      <c r="Q465" t="n">
        <v>0</v>
      </c>
      <c r="R465" s="2" t="inlineStr"/>
    </row>
    <row r="466" ht="15" customHeight="1">
      <c r="A466" t="inlineStr">
        <is>
          <t>A 54910-2025</t>
        </is>
      </c>
      <c r="B466" s="1" t="n">
        <v>45967.37679398148</v>
      </c>
      <c r="C466" s="1" t="n">
        <v>46084</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37879-2025</t>
        </is>
      </c>
      <c r="B467" s="1" t="n">
        <v>45881.48791666667</v>
      </c>
      <c r="C467" s="1" t="n">
        <v>46084</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38086-2025</t>
        </is>
      </c>
      <c r="B468" s="1" t="n">
        <v>45882.47625</v>
      </c>
      <c r="C468" s="1" t="n">
        <v>46084</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53527-2024</t>
        </is>
      </c>
      <c r="B469" s="1" t="n">
        <v>45614.61569444444</v>
      </c>
      <c r="C469" s="1" t="n">
        <v>46084</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49991-2023</t>
        </is>
      </c>
      <c r="B470" s="1" t="n">
        <v>45215.43879629629</v>
      </c>
      <c r="C470" s="1" t="n">
        <v>46084</v>
      </c>
      <c r="D470" t="inlineStr">
        <is>
          <t>DALARNAS LÄN</t>
        </is>
      </c>
      <c r="E470" t="inlineStr">
        <is>
          <t>MORA</t>
        </is>
      </c>
      <c r="G470" t="n">
        <v>1.8</v>
      </c>
      <c r="H470" t="n">
        <v>0</v>
      </c>
      <c r="I470" t="n">
        <v>0</v>
      </c>
      <c r="J470" t="n">
        <v>0</v>
      </c>
      <c r="K470" t="n">
        <v>0</v>
      </c>
      <c r="L470" t="n">
        <v>0</v>
      </c>
      <c r="M470" t="n">
        <v>0</v>
      </c>
      <c r="N470" t="n">
        <v>0</v>
      </c>
      <c r="O470" t="n">
        <v>0</v>
      </c>
      <c r="P470" t="n">
        <v>0</v>
      </c>
      <c r="Q470" t="n">
        <v>0</v>
      </c>
      <c r="R470" s="2" t="inlineStr"/>
    </row>
    <row r="471" ht="15" customHeight="1">
      <c r="A471" t="inlineStr">
        <is>
          <t>A 55123-2025</t>
        </is>
      </c>
      <c r="B471" s="1" t="n">
        <v>45968.40056712963</v>
      </c>
      <c r="C471" s="1" t="n">
        <v>46084</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28131-2024</t>
        </is>
      </c>
      <c r="B472" s="1" t="n">
        <v>45476.68435185185</v>
      </c>
      <c r="C472" s="1" t="n">
        <v>46084</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28132-2024</t>
        </is>
      </c>
      <c r="B473" s="1" t="n">
        <v>45476.68616898148</v>
      </c>
      <c r="C473" s="1" t="n">
        <v>46084</v>
      </c>
      <c r="D473" t="inlineStr">
        <is>
          <t>DALARNAS LÄN</t>
        </is>
      </c>
      <c r="E473" t="inlineStr">
        <is>
          <t>MORA</t>
        </is>
      </c>
      <c r="G473" t="n">
        <v>0.2</v>
      </c>
      <c r="H473" t="n">
        <v>0</v>
      </c>
      <c r="I473" t="n">
        <v>0</v>
      </c>
      <c r="J473" t="n">
        <v>0</v>
      </c>
      <c r="K473" t="n">
        <v>0</v>
      </c>
      <c r="L473" t="n">
        <v>0</v>
      </c>
      <c r="M473" t="n">
        <v>0</v>
      </c>
      <c r="N473" t="n">
        <v>0</v>
      </c>
      <c r="O473" t="n">
        <v>0</v>
      </c>
      <c r="P473" t="n">
        <v>0</v>
      </c>
      <c r="Q473" t="n">
        <v>0</v>
      </c>
      <c r="R473" s="2" t="inlineStr"/>
    </row>
    <row r="474" ht="15" customHeight="1">
      <c r="A474" t="inlineStr">
        <is>
          <t>A 55262-2025</t>
        </is>
      </c>
      <c r="B474" s="1" t="n">
        <v>45968.64847222222</v>
      </c>
      <c r="C474" s="1" t="n">
        <v>46084</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55284-2025</t>
        </is>
      </c>
      <c r="B475" s="1" t="n">
        <v>45968.8227662037</v>
      </c>
      <c r="C475" s="1" t="n">
        <v>46084</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38073-2025</t>
        </is>
      </c>
      <c r="B476" s="1" t="n">
        <v>45882</v>
      </c>
      <c r="C476" s="1" t="n">
        <v>46084</v>
      </c>
      <c r="D476" t="inlineStr">
        <is>
          <t>DALARNAS LÄN</t>
        </is>
      </c>
      <c r="E476" t="inlineStr">
        <is>
          <t>MORA</t>
        </is>
      </c>
      <c r="G476" t="n">
        <v>2.5</v>
      </c>
      <c r="H476" t="n">
        <v>0</v>
      </c>
      <c r="I476" t="n">
        <v>0</v>
      </c>
      <c r="J476" t="n">
        <v>0</v>
      </c>
      <c r="K476" t="n">
        <v>0</v>
      </c>
      <c r="L476" t="n">
        <v>0</v>
      </c>
      <c r="M476" t="n">
        <v>0</v>
      </c>
      <c r="N476" t="n">
        <v>0</v>
      </c>
      <c r="O476" t="n">
        <v>0</v>
      </c>
      <c r="P476" t="n">
        <v>0</v>
      </c>
      <c r="Q476" t="n">
        <v>0</v>
      </c>
      <c r="R476" s="2" t="inlineStr"/>
    </row>
    <row r="477" ht="15" customHeight="1">
      <c r="A477" t="inlineStr">
        <is>
          <t>A 55124-2025</t>
        </is>
      </c>
      <c r="B477" s="1" t="n">
        <v>45968.40621527778</v>
      </c>
      <c r="C477" s="1" t="n">
        <v>46084</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12987-2024</t>
        </is>
      </c>
      <c r="B478" s="1" t="n">
        <v>45385.55375</v>
      </c>
      <c r="C478" s="1" t="n">
        <v>46084</v>
      </c>
      <c r="D478" t="inlineStr">
        <is>
          <t>DALARNAS LÄN</t>
        </is>
      </c>
      <c r="E478" t="inlineStr">
        <is>
          <t>MORA</t>
        </is>
      </c>
      <c r="G478" t="n">
        <v>1.3</v>
      </c>
      <c r="H478" t="n">
        <v>0</v>
      </c>
      <c r="I478" t="n">
        <v>0</v>
      </c>
      <c r="J478" t="n">
        <v>0</v>
      </c>
      <c r="K478" t="n">
        <v>0</v>
      </c>
      <c r="L478" t="n">
        <v>0</v>
      </c>
      <c r="M478" t="n">
        <v>0</v>
      </c>
      <c r="N478" t="n">
        <v>0</v>
      </c>
      <c r="O478" t="n">
        <v>0</v>
      </c>
      <c r="P478" t="n">
        <v>0</v>
      </c>
      <c r="Q478" t="n">
        <v>0</v>
      </c>
      <c r="R478" s="2" t="inlineStr"/>
    </row>
    <row r="479" ht="15" customHeight="1">
      <c r="A479" t="inlineStr">
        <is>
          <t>A 16967-2025</t>
        </is>
      </c>
      <c r="B479" s="1" t="n">
        <v>45755.46106481482</v>
      </c>
      <c r="C479" s="1" t="n">
        <v>46084</v>
      </c>
      <c r="D479" t="inlineStr">
        <is>
          <t>DALARNAS LÄN</t>
        </is>
      </c>
      <c r="E479" t="inlineStr">
        <is>
          <t>MORA</t>
        </is>
      </c>
      <c r="F479" t="inlineStr">
        <is>
          <t>Bergvik skog öst AB</t>
        </is>
      </c>
      <c r="G479" t="n">
        <v>2.9</v>
      </c>
      <c r="H479" t="n">
        <v>0</v>
      </c>
      <c r="I479" t="n">
        <v>0</v>
      </c>
      <c r="J479" t="n">
        <v>0</v>
      </c>
      <c r="K479" t="n">
        <v>0</v>
      </c>
      <c r="L479" t="n">
        <v>0</v>
      </c>
      <c r="M479" t="n">
        <v>0</v>
      </c>
      <c r="N479" t="n">
        <v>0</v>
      </c>
      <c r="O479" t="n">
        <v>0</v>
      </c>
      <c r="P479" t="n">
        <v>0</v>
      </c>
      <c r="Q479" t="n">
        <v>0</v>
      </c>
      <c r="R479" s="2" t="inlineStr"/>
    </row>
    <row r="480" ht="15" customHeight="1">
      <c r="A480" t="inlineStr">
        <is>
          <t>A 61278-2024</t>
        </is>
      </c>
      <c r="B480" s="1" t="n">
        <v>45645.76561342592</v>
      </c>
      <c r="C480" s="1" t="n">
        <v>46084</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5922-2025</t>
        </is>
      </c>
      <c r="B481" s="1" t="n">
        <v>45695.42762731481</v>
      </c>
      <c r="C481" s="1" t="n">
        <v>46084</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43533-2023</t>
        </is>
      </c>
      <c r="B482" s="1" t="n">
        <v>45184.53412037037</v>
      </c>
      <c r="C482" s="1" t="n">
        <v>46084</v>
      </c>
      <c r="D482" t="inlineStr">
        <is>
          <t>DALARNAS LÄN</t>
        </is>
      </c>
      <c r="E482" t="inlineStr">
        <is>
          <t>MORA</t>
        </is>
      </c>
      <c r="F482" t="inlineStr">
        <is>
          <t>Bergvik skog väst AB</t>
        </is>
      </c>
      <c r="G482" t="n">
        <v>10.3</v>
      </c>
      <c r="H482" t="n">
        <v>0</v>
      </c>
      <c r="I482" t="n">
        <v>0</v>
      </c>
      <c r="J482" t="n">
        <v>0</v>
      </c>
      <c r="K482" t="n">
        <v>0</v>
      </c>
      <c r="L482" t="n">
        <v>0</v>
      </c>
      <c r="M482" t="n">
        <v>0</v>
      </c>
      <c r="N482" t="n">
        <v>0</v>
      </c>
      <c r="O482" t="n">
        <v>0</v>
      </c>
      <c r="P482" t="n">
        <v>0</v>
      </c>
      <c r="Q482" t="n">
        <v>0</v>
      </c>
      <c r="R482" s="2" t="inlineStr"/>
    </row>
    <row r="483" ht="15" customHeight="1">
      <c r="A483" t="inlineStr">
        <is>
          <t>A 48170-2024</t>
        </is>
      </c>
      <c r="B483" s="1" t="n">
        <v>45589.76975694444</v>
      </c>
      <c r="C483" s="1" t="n">
        <v>46084</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37774-2022</t>
        </is>
      </c>
      <c r="B484" s="1" t="n">
        <v>44810.64164351852</v>
      </c>
      <c r="C484" s="1" t="n">
        <v>46084</v>
      </c>
      <c r="D484" t="inlineStr">
        <is>
          <t>DALARNAS LÄN</t>
        </is>
      </c>
      <c r="E484" t="inlineStr">
        <is>
          <t>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58892-2023</t>
        </is>
      </c>
      <c r="B485" s="1" t="n">
        <v>45252.48592592592</v>
      </c>
      <c r="C485" s="1" t="n">
        <v>46084</v>
      </c>
      <c r="D485" t="inlineStr">
        <is>
          <t>DALARNAS LÄN</t>
        </is>
      </c>
      <c r="E485" t="inlineStr">
        <is>
          <t>MORA</t>
        </is>
      </c>
      <c r="G485" t="n">
        <v>2.2</v>
      </c>
      <c r="H485" t="n">
        <v>0</v>
      </c>
      <c r="I485" t="n">
        <v>0</v>
      </c>
      <c r="J485" t="n">
        <v>0</v>
      </c>
      <c r="K485" t="n">
        <v>0</v>
      </c>
      <c r="L485" t="n">
        <v>0</v>
      </c>
      <c r="M485" t="n">
        <v>0</v>
      </c>
      <c r="N485" t="n">
        <v>0</v>
      </c>
      <c r="O485" t="n">
        <v>0</v>
      </c>
      <c r="P485" t="n">
        <v>0</v>
      </c>
      <c r="Q485" t="n">
        <v>0</v>
      </c>
      <c r="R485" s="2" t="inlineStr"/>
    </row>
    <row r="486" ht="15" customHeight="1">
      <c r="A486" t="inlineStr">
        <is>
          <t>A 4213-2026</t>
        </is>
      </c>
      <c r="B486" s="1" t="n">
        <v>46044.741875</v>
      </c>
      <c r="C486" s="1" t="n">
        <v>46084</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3742-2026</t>
        </is>
      </c>
      <c r="B487" s="1" t="n">
        <v>46043</v>
      </c>
      <c r="C487" s="1" t="n">
        <v>46084</v>
      </c>
      <c r="D487" t="inlineStr">
        <is>
          <t>DALARNAS LÄN</t>
        </is>
      </c>
      <c r="E487" t="inlineStr">
        <is>
          <t>MORA</t>
        </is>
      </c>
      <c r="G487" t="n">
        <v>1.7</v>
      </c>
      <c r="H487" t="n">
        <v>0</v>
      </c>
      <c r="I487" t="n">
        <v>0</v>
      </c>
      <c r="J487" t="n">
        <v>0</v>
      </c>
      <c r="K487" t="n">
        <v>0</v>
      </c>
      <c r="L487" t="n">
        <v>0</v>
      </c>
      <c r="M487" t="n">
        <v>0</v>
      </c>
      <c r="N487" t="n">
        <v>0</v>
      </c>
      <c r="O487" t="n">
        <v>0</v>
      </c>
      <c r="P487" t="n">
        <v>0</v>
      </c>
      <c r="Q487" t="n">
        <v>0</v>
      </c>
      <c r="R487" s="2" t="inlineStr"/>
    </row>
    <row r="488" ht="15" customHeight="1">
      <c r="A488" t="inlineStr">
        <is>
          <t>A 8361-2026</t>
        </is>
      </c>
      <c r="B488" s="1" t="n">
        <v>46064.6643287037</v>
      </c>
      <c r="C488" s="1" t="n">
        <v>46084</v>
      </c>
      <c r="D488" t="inlineStr">
        <is>
          <t>DALARNAS LÄN</t>
        </is>
      </c>
      <c r="E488" t="inlineStr">
        <is>
          <t>MORA</t>
        </is>
      </c>
      <c r="G488" t="n">
        <v>2.7</v>
      </c>
      <c r="H488" t="n">
        <v>0</v>
      </c>
      <c r="I488" t="n">
        <v>0</v>
      </c>
      <c r="J488" t="n">
        <v>0</v>
      </c>
      <c r="K488" t="n">
        <v>0</v>
      </c>
      <c r="L488" t="n">
        <v>0</v>
      </c>
      <c r="M488" t="n">
        <v>0</v>
      </c>
      <c r="N488" t="n">
        <v>0</v>
      </c>
      <c r="O488" t="n">
        <v>0</v>
      </c>
      <c r="P488" t="n">
        <v>0</v>
      </c>
      <c r="Q488" t="n">
        <v>0</v>
      </c>
      <c r="R488" s="2" t="inlineStr"/>
    </row>
    <row r="489" ht="15" customHeight="1">
      <c r="A489" t="inlineStr">
        <is>
          <t>A 64327-2023</t>
        </is>
      </c>
      <c r="B489" s="1" t="n">
        <v>45280</v>
      </c>
      <c r="C489" s="1" t="n">
        <v>46084</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8470-2026</t>
        </is>
      </c>
      <c r="B490" s="1" t="n">
        <v>46065.4490162037</v>
      </c>
      <c r="C490" s="1" t="n">
        <v>46084</v>
      </c>
      <c r="D490" t="inlineStr">
        <is>
          <t>DALARNAS LÄN</t>
        </is>
      </c>
      <c r="E490" t="inlineStr">
        <is>
          <t>MORA</t>
        </is>
      </c>
      <c r="G490" t="n">
        <v>3.1</v>
      </c>
      <c r="H490" t="n">
        <v>0</v>
      </c>
      <c r="I490" t="n">
        <v>0</v>
      </c>
      <c r="J490" t="n">
        <v>0</v>
      </c>
      <c r="K490" t="n">
        <v>0</v>
      </c>
      <c r="L490" t="n">
        <v>0</v>
      </c>
      <c r="M490" t="n">
        <v>0</v>
      </c>
      <c r="N490" t="n">
        <v>0</v>
      </c>
      <c r="O490" t="n">
        <v>0</v>
      </c>
      <c r="P490" t="n">
        <v>0</v>
      </c>
      <c r="Q490" t="n">
        <v>0</v>
      </c>
      <c r="R490" s="2" t="inlineStr"/>
    </row>
    <row r="491" ht="15" customHeight="1">
      <c r="A491" t="inlineStr">
        <is>
          <t>A 27975-2023</t>
        </is>
      </c>
      <c r="B491" s="1" t="n">
        <v>45098</v>
      </c>
      <c r="C491" s="1" t="n">
        <v>46084</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17145-2024</t>
        </is>
      </c>
      <c r="B492" s="1" t="n">
        <v>45412</v>
      </c>
      <c r="C492" s="1" t="n">
        <v>46084</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55222-2023</t>
        </is>
      </c>
      <c r="B493" s="1" t="n">
        <v>45237.60775462963</v>
      </c>
      <c r="C493" s="1" t="n">
        <v>46084</v>
      </c>
      <c r="D493" t="inlineStr">
        <is>
          <t>DALARNAS LÄN</t>
        </is>
      </c>
      <c r="E493" t="inlineStr">
        <is>
          <t>MORA</t>
        </is>
      </c>
      <c r="F493" t="inlineStr">
        <is>
          <t>Allmännings- och besparingsskogar</t>
        </is>
      </c>
      <c r="G493" t="n">
        <v>19.8</v>
      </c>
      <c r="H493" t="n">
        <v>0</v>
      </c>
      <c r="I493" t="n">
        <v>0</v>
      </c>
      <c r="J493" t="n">
        <v>0</v>
      </c>
      <c r="K493" t="n">
        <v>0</v>
      </c>
      <c r="L493" t="n">
        <v>0</v>
      </c>
      <c r="M493" t="n">
        <v>0</v>
      </c>
      <c r="N493" t="n">
        <v>0</v>
      </c>
      <c r="O493" t="n">
        <v>0</v>
      </c>
      <c r="P493" t="n">
        <v>0</v>
      </c>
      <c r="Q493" t="n">
        <v>0</v>
      </c>
      <c r="R493" s="2" t="inlineStr"/>
    </row>
    <row r="494" ht="15" customHeight="1">
      <c r="A494" t="inlineStr">
        <is>
          <t>A 24772-2024</t>
        </is>
      </c>
      <c r="B494" s="1" t="n">
        <v>45460.70204861111</v>
      </c>
      <c r="C494" s="1" t="n">
        <v>46084</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5486-2023</t>
        </is>
      </c>
      <c r="B495" s="1" t="n">
        <v>44957</v>
      </c>
      <c r="C495" s="1" t="n">
        <v>46084</v>
      </c>
      <c r="D495" t="inlineStr">
        <is>
          <t>DALARNAS LÄN</t>
        </is>
      </c>
      <c r="E495" t="inlineStr">
        <is>
          <t>MORA</t>
        </is>
      </c>
      <c r="G495" t="n">
        <v>3.2</v>
      </c>
      <c r="H495" t="n">
        <v>0</v>
      </c>
      <c r="I495" t="n">
        <v>0</v>
      </c>
      <c r="J495" t="n">
        <v>0</v>
      </c>
      <c r="K495" t="n">
        <v>0</v>
      </c>
      <c r="L495" t="n">
        <v>0</v>
      </c>
      <c r="M495" t="n">
        <v>0</v>
      </c>
      <c r="N495" t="n">
        <v>0</v>
      </c>
      <c r="O495" t="n">
        <v>0</v>
      </c>
      <c r="P495" t="n">
        <v>0</v>
      </c>
      <c r="Q495" t="n">
        <v>0</v>
      </c>
      <c r="R495" s="2" t="inlineStr"/>
    </row>
    <row r="496" ht="15" customHeight="1">
      <c r="A496" t="inlineStr">
        <is>
          <t>A 42943-2024</t>
        </is>
      </c>
      <c r="B496" s="1" t="n">
        <v>45567.35359953704</v>
      </c>
      <c r="C496" s="1" t="n">
        <v>46084</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56702-2025</t>
        </is>
      </c>
      <c r="B497" s="1" t="n">
        <v>45977.45586805556</v>
      </c>
      <c r="C497" s="1" t="n">
        <v>46084</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8549-2026</t>
        </is>
      </c>
      <c r="B498" s="1" t="n">
        <v>46065.61790509259</v>
      </c>
      <c r="C498" s="1" t="n">
        <v>46084</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48728-2022</t>
        </is>
      </c>
      <c r="B499" s="1" t="n">
        <v>44859.52145833334</v>
      </c>
      <c r="C499" s="1" t="n">
        <v>46084</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9855-2024</t>
        </is>
      </c>
      <c r="B500" s="1" t="n">
        <v>45363.40368055556</v>
      </c>
      <c r="C500" s="1" t="n">
        <v>46084</v>
      </c>
      <c r="D500" t="inlineStr">
        <is>
          <t>DALARNAS LÄN</t>
        </is>
      </c>
      <c r="E500" t="inlineStr">
        <is>
          <t>MORA</t>
        </is>
      </c>
      <c r="G500" t="n">
        <v>8.6</v>
      </c>
      <c r="H500" t="n">
        <v>0</v>
      </c>
      <c r="I500" t="n">
        <v>0</v>
      </c>
      <c r="J500" t="n">
        <v>0</v>
      </c>
      <c r="K500" t="n">
        <v>0</v>
      </c>
      <c r="L500" t="n">
        <v>0</v>
      </c>
      <c r="M500" t="n">
        <v>0</v>
      </c>
      <c r="N500" t="n">
        <v>0</v>
      </c>
      <c r="O500" t="n">
        <v>0</v>
      </c>
      <c r="P500" t="n">
        <v>0</v>
      </c>
      <c r="Q500" t="n">
        <v>0</v>
      </c>
      <c r="R500" s="2" t="inlineStr"/>
    </row>
    <row r="501" ht="15" customHeight="1">
      <c r="A501" t="inlineStr">
        <is>
          <t>A 57097-2025</t>
        </is>
      </c>
      <c r="B501" s="1" t="n">
        <v>45979.43388888889</v>
      </c>
      <c r="C501" s="1" t="n">
        <v>46084</v>
      </c>
      <c r="D501" t="inlineStr">
        <is>
          <t>DALARNAS LÄN</t>
        </is>
      </c>
      <c r="E501" t="inlineStr">
        <is>
          <t>MORA</t>
        </is>
      </c>
      <c r="G501" t="n">
        <v>7.5</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46084</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56767-2024</t>
        </is>
      </c>
      <c r="B503" s="1" t="n">
        <v>45628.41274305555</v>
      </c>
      <c r="C503" s="1" t="n">
        <v>46084</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8762-2026</t>
        </is>
      </c>
      <c r="B504" s="1" t="n">
        <v>46066.55876157407</v>
      </c>
      <c r="C504" s="1" t="n">
        <v>46084</v>
      </c>
      <c r="D504" t="inlineStr">
        <is>
          <t>DALARNAS LÄN</t>
        </is>
      </c>
      <c r="E504" t="inlineStr">
        <is>
          <t>MORA</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21244-2024</t>
        </is>
      </c>
      <c r="B505" s="1" t="n">
        <v>45440.59936342593</v>
      </c>
      <c r="C505" s="1" t="n">
        <v>46084</v>
      </c>
      <c r="D505" t="inlineStr">
        <is>
          <t>DALARNAS LÄN</t>
        </is>
      </c>
      <c r="E505" t="inlineStr">
        <is>
          <t>MORA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28964-2024</t>
        </is>
      </c>
      <c r="B506" s="1" t="n">
        <v>45481.42923611111</v>
      </c>
      <c r="C506" s="1" t="n">
        <v>46084</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239-2026</t>
        </is>
      </c>
      <c r="B507" s="1" t="n">
        <v>46027</v>
      </c>
      <c r="C507" s="1" t="n">
        <v>46084</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57659-2025</t>
        </is>
      </c>
      <c r="B508" s="1" t="n">
        <v>45981.41228009259</v>
      </c>
      <c r="C508" s="1" t="n">
        <v>46084</v>
      </c>
      <c r="D508" t="inlineStr">
        <is>
          <t>DALARNAS LÄN</t>
        </is>
      </c>
      <c r="E508" t="inlineStr">
        <is>
          <t>MORA</t>
        </is>
      </c>
      <c r="G508" t="n">
        <v>1.8</v>
      </c>
      <c r="H508" t="n">
        <v>0</v>
      </c>
      <c r="I508" t="n">
        <v>0</v>
      </c>
      <c r="J508" t="n">
        <v>0</v>
      </c>
      <c r="K508" t="n">
        <v>0</v>
      </c>
      <c r="L508" t="n">
        <v>0</v>
      </c>
      <c r="M508" t="n">
        <v>0</v>
      </c>
      <c r="N508" t="n">
        <v>0</v>
      </c>
      <c r="O508" t="n">
        <v>0</v>
      </c>
      <c r="P508" t="n">
        <v>0</v>
      </c>
      <c r="Q508" t="n">
        <v>0</v>
      </c>
      <c r="R508" s="2" t="inlineStr"/>
    </row>
    <row r="509" ht="15" customHeight="1">
      <c r="A509" t="inlineStr">
        <is>
          <t>A 57647-2025</t>
        </is>
      </c>
      <c r="B509" s="1" t="n">
        <v>45981.37621527778</v>
      </c>
      <c r="C509" s="1" t="n">
        <v>46084</v>
      </c>
      <c r="D509" t="inlineStr">
        <is>
          <t>DALARNAS LÄN</t>
        </is>
      </c>
      <c r="E509" t="inlineStr">
        <is>
          <t>MORA</t>
        </is>
      </c>
      <c r="G509" t="n">
        <v>3.9</v>
      </c>
      <c r="H509" t="n">
        <v>0</v>
      </c>
      <c r="I509" t="n">
        <v>0</v>
      </c>
      <c r="J509" t="n">
        <v>0</v>
      </c>
      <c r="K509" t="n">
        <v>0</v>
      </c>
      <c r="L509" t="n">
        <v>0</v>
      </c>
      <c r="M509" t="n">
        <v>0</v>
      </c>
      <c r="N509" t="n">
        <v>0</v>
      </c>
      <c r="O509" t="n">
        <v>0</v>
      </c>
      <c r="P509" t="n">
        <v>0</v>
      </c>
      <c r="Q509" t="n">
        <v>0</v>
      </c>
      <c r="R509" s="2" t="inlineStr"/>
    </row>
    <row r="510" ht="15" customHeight="1">
      <c r="A510" t="inlineStr">
        <is>
          <t>A 141-2026</t>
        </is>
      </c>
      <c r="B510" s="1" t="n">
        <v>46024.62364583334</v>
      </c>
      <c r="C510" s="1" t="n">
        <v>46084</v>
      </c>
      <c r="D510" t="inlineStr">
        <is>
          <t>DALARNAS LÄN</t>
        </is>
      </c>
      <c r="E510" t="inlineStr">
        <is>
          <t>MORA</t>
        </is>
      </c>
      <c r="G510" t="n">
        <v>4.4</v>
      </c>
      <c r="H510" t="n">
        <v>0</v>
      </c>
      <c r="I510" t="n">
        <v>0</v>
      </c>
      <c r="J510" t="n">
        <v>0</v>
      </c>
      <c r="K510" t="n">
        <v>0</v>
      </c>
      <c r="L510" t="n">
        <v>0</v>
      </c>
      <c r="M510" t="n">
        <v>0</v>
      </c>
      <c r="N510" t="n">
        <v>0</v>
      </c>
      <c r="O510" t="n">
        <v>0</v>
      </c>
      <c r="P510" t="n">
        <v>0</v>
      </c>
      <c r="Q510" t="n">
        <v>0</v>
      </c>
      <c r="R510" s="2" t="inlineStr"/>
    </row>
    <row r="511" ht="15" customHeight="1">
      <c r="A511" t="inlineStr">
        <is>
          <t>A 32410-2024</t>
        </is>
      </c>
      <c r="B511" s="1" t="n">
        <v>45512.70077546296</v>
      </c>
      <c r="C511" s="1" t="n">
        <v>46084</v>
      </c>
      <c r="D511" t="inlineStr">
        <is>
          <t>DALARNAS LÄN</t>
        </is>
      </c>
      <c r="E511" t="inlineStr">
        <is>
          <t>MORA</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57843-2025</t>
        </is>
      </c>
      <c r="B512" s="1" t="n">
        <v>45981.62792824074</v>
      </c>
      <c r="C512" s="1" t="n">
        <v>46084</v>
      </c>
      <c r="D512" t="inlineStr">
        <is>
          <t>DALARNAS LÄN</t>
        </is>
      </c>
      <c r="E512" t="inlineStr">
        <is>
          <t>MORA</t>
        </is>
      </c>
      <c r="G512" t="n">
        <v>4.5</v>
      </c>
      <c r="H512" t="n">
        <v>0</v>
      </c>
      <c r="I512" t="n">
        <v>0</v>
      </c>
      <c r="J512" t="n">
        <v>0</v>
      </c>
      <c r="K512" t="n">
        <v>0</v>
      </c>
      <c r="L512" t="n">
        <v>0</v>
      </c>
      <c r="M512" t="n">
        <v>0</v>
      </c>
      <c r="N512" t="n">
        <v>0</v>
      </c>
      <c r="O512" t="n">
        <v>0</v>
      </c>
      <c r="P512" t="n">
        <v>0</v>
      </c>
      <c r="Q512" t="n">
        <v>0</v>
      </c>
      <c r="R512" s="2" t="inlineStr"/>
    </row>
    <row r="513" ht="15" customHeight="1">
      <c r="A513" t="inlineStr">
        <is>
          <t>A 8983-2026</t>
        </is>
      </c>
      <c r="B513" s="1" t="n">
        <v>46069</v>
      </c>
      <c r="C513" s="1" t="n">
        <v>46084</v>
      </c>
      <c r="D513" t="inlineStr">
        <is>
          <t>DALARNAS LÄN</t>
        </is>
      </c>
      <c r="E513" t="inlineStr">
        <is>
          <t>MORA</t>
        </is>
      </c>
      <c r="G513" t="n">
        <v>4.8</v>
      </c>
      <c r="H513" t="n">
        <v>0</v>
      </c>
      <c r="I513" t="n">
        <v>0</v>
      </c>
      <c r="J513" t="n">
        <v>0</v>
      </c>
      <c r="K513" t="n">
        <v>0</v>
      </c>
      <c r="L513" t="n">
        <v>0</v>
      </c>
      <c r="M513" t="n">
        <v>0</v>
      </c>
      <c r="N513" t="n">
        <v>0</v>
      </c>
      <c r="O513" t="n">
        <v>0</v>
      </c>
      <c r="P513" t="n">
        <v>0</v>
      </c>
      <c r="Q513" t="n">
        <v>0</v>
      </c>
      <c r="R513" s="2" t="inlineStr"/>
    </row>
    <row r="514" ht="15" customHeight="1">
      <c r="A514" t="inlineStr">
        <is>
          <t>A 4744-2026</t>
        </is>
      </c>
      <c r="B514" s="1" t="n">
        <v>46048</v>
      </c>
      <c r="C514" s="1" t="n">
        <v>46084</v>
      </c>
      <c r="D514" t="inlineStr">
        <is>
          <t>DALARNAS LÄN</t>
        </is>
      </c>
      <c r="E514" t="inlineStr">
        <is>
          <t>MORA</t>
        </is>
      </c>
      <c r="G514" t="n">
        <v>15.8</v>
      </c>
      <c r="H514" t="n">
        <v>0</v>
      </c>
      <c r="I514" t="n">
        <v>0</v>
      </c>
      <c r="J514" t="n">
        <v>0</v>
      </c>
      <c r="K514" t="n">
        <v>0</v>
      </c>
      <c r="L514" t="n">
        <v>0</v>
      </c>
      <c r="M514" t="n">
        <v>0</v>
      </c>
      <c r="N514" t="n">
        <v>0</v>
      </c>
      <c r="O514" t="n">
        <v>0</v>
      </c>
      <c r="P514" t="n">
        <v>0</v>
      </c>
      <c r="Q514" t="n">
        <v>0</v>
      </c>
      <c r="R514" s="2" t="inlineStr"/>
    </row>
    <row r="515" ht="15" customHeight="1">
      <c r="A515" t="inlineStr">
        <is>
          <t>A 30194-2024</t>
        </is>
      </c>
      <c r="B515" s="1" t="n">
        <v>45490.33387731481</v>
      </c>
      <c r="C515" s="1" t="n">
        <v>46084</v>
      </c>
      <c r="D515" t="inlineStr">
        <is>
          <t>DALARNAS LÄN</t>
        </is>
      </c>
      <c r="E515" t="inlineStr">
        <is>
          <t>MORA</t>
        </is>
      </c>
      <c r="G515" t="n">
        <v>3.1</v>
      </c>
      <c r="H515" t="n">
        <v>0</v>
      </c>
      <c r="I515" t="n">
        <v>0</v>
      </c>
      <c r="J515" t="n">
        <v>0</v>
      </c>
      <c r="K515" t="n">
        <v>0</v>
      </c>
      <c r="L515" t="n">
        <v>0</v>
      </c>
      <c r="M515" t="n">
        <v>0</v>
      </c>
      <c r="N515" t="n">
        <v>0</v>
      </c>
      <c r="O515" t="n">
        <v>0</v>
      </c>
      <c r="P515" t="n">
        <v>0</v>
      </c>
      <c r="Q515" t="n">
        <v>0</v>
      </c>
      <c r="R515" s="2" t="inlineStr"/>
    </row>
    <row r="516" ht="15" customHeight="1">
      <c r="A516" t="inlineStr">
        <is>
          <t>A 58177-2024</t>
        </is>
      </c>
      <c r="B516" s="1" t="n">
        <v>45632.46821759259</v>
      </c>
      <c r="C516" s="1" t="n">
        <v>46084</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9083-2026</t>
        </is>
      </c>
      <c r="B517" s="1" t="n">
        <v>46069</v>
      </c>
      <c r="C517" s="1" t="n">
        <v>46084</v>
      </c>
      <c r="D517" t="inlineStr">
        <is>
          <t>DALARNAS LÄN</t>
        </is>
      </c>
      <c r="E517" t="inlineStr">
        <is>
          <t>MORA</t>
        </is>
      </c>
      <c r="G517" t="n">
        <v>10.1</v>
      </c>
      <c r="H517" t="n">
        <v>0</v>
      </c>
      <c r="I517" t="n">
        <v>0</v>
      </c>
      <c r="J517" t="n">
        <v>0</v>
      </c>
      <c r="K517" t="n">
        <v>0</v>
      </c>
      <c r="L517" t="n">
        <v>0</v>
      </c>
      <c r="M517" t="n">
        <v>0</v>
      </c>
      <c r="N517" t="n">
        <v>0</v>
      </c>
      <c r="O517" t="n">
        <v>0</v>
      </c>
      <c r="P517" t="n">
        <v>0</v>
      </c>
      <c r="Q517" t="n">
        <v>0</v>
      </c>
      <c r="R517" s="2" t="inlineStr"/>
    </row>
    <row r="518" ht="15" customHeight="1">
      <c r="A518" t="inlineStr">
        <is>
          <t>A 57855-2025</t>
        </is>
      </c>
      <c r="B518" s="1" t="n">
        <v>45981.63909722222</v>
      </c>
      <c r="C518" s="1" t="n">
        <v>46084</v>
      </c>
      <c r="D518" t="inlineStr">
        <is>
          <t>DALARNAS LÄN</t>
        </is>
      </c>
      <c r="E518" t="inlineStr">
        <is>
          <t>MORA</t>
        </is>
      </c>
      <c r="G518" t="n">
        <v>9.9</v>
      </c>
      <c r="H518" t="n">
        <v>0</v>
      </c>
      <c r="I518" t="n">
        <v>0</v>
      </c>
      <c r="J518" t="n">
        <v>0</v>
      </c>
      <c r="K518" t="n">
        <v>0</v>
      </c>
      <c r="L518" t="n">
        <v>0</v>
      </c>
      <c r="M518" t="n">
        <v>0</v>
      </c>
      <c r="N518" t="n">
        <v>0</v>
      </c>
      <c r="O518" t="n">
        <v>0</v>
      </c>
      <c r="P518" t="n">
        <v>0</v>
      </c>
      <c r="Q518" t="n">
        <v>0</v>
      </c>
      <c r="R518" s="2" t="inlineStr"/>
    </row>
    <row r="519" ht="15" customHeight="1">
      <c r="A519" t="inlineStr">
        <is>
          <t>A 57453-2025</t>
        </is>
      </c>
      <c r="B519" s="1" t="n">
        <v>45980.5122337963</v>
      </c>
      <c r="C519" s="1" t="n">
        <v>46084</v>
      </c>
      <c r="D519" t="inlineStr">
        <is>
          <t>DALARNAS LÄN</t>
        </is>
      </c>
      <c r="E519" t="inlineStr">
        <is>
          <t>MORA</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9412-2026</t>
        </is>
      </c>
      <c r="B520" s="1" t="n">
        <v>46071.42309027778</v>
      </c>
      <c r="C520" s="1" t="n">
        <v>46084</v>
      </c>
      <c r="D520" t="inlineStr">
        <is>
          <t>DALARNAS LÄN</t>
        </is>
      </c>
      <c r="E520" t="inlineStr">
        <is>
          <t>MORA</t>
        </is>
      </c>
      <c r="G520" t="n">
        <v>3.4</v>
      </c>
      <c r="H520" t="n">
        <v>0</v>
      </c>
      <c r="I520" t="n">
        <v>0</v>
      </c>
      <c r="J520" t="n">
        <v>0</v>
      </c>
      <c r="K520" t="n">
        <v>0</v>
      </c>
      <c r="L520" t="n">
        <v>0</v>
      </c>
      <c r="M520" t="n">
        <v>0</v>
      </c>
      <c r="N520" t="n">
        <v>0</v>
      </c>
      <c r="O520" t="n">
        <v>0</v>
      </c>
      <c r="P520" t="n">
        <v>0</v>
      </c>
      <c r="Q520" t="n">
        <v>0</v>
      </c>
      <c r="R520" s="2" t="inlineStr"/>
    </row>
    <row r="521" ht="15" customHeight="1">
      <c r="A521" t="inlineStr">
        <is>
          <t>A 7849-2026</t>
        </is>
      </c>
      <c r="B521" s="1" t="n">
        <v>46062</v>
      </c>
      <c r="C521" s="1" t="n">
        <v>46084</v>
      </c>
      <c r="D521" t="inlineStr">
        <is>
          <t>DALARNAS LÄN</t>
        </is>
      </c>
      <c r="E521" t="inlineStr">
        <is>
          <t>MORA</t>
        </is>
      </c>
      <c r="G521" t="n">
        <v>1.7</v>
      </c>
      <c r="H521" t="n">
        <v>0</v>
      </c>
      <c r="I521" t="n">
        <v>0</v>
      </c>
      <c r="J521" t="n">
        <v>0</v>
      </c>
      <c r="K521" t="n">
        <v>0</v>
      </c>
      <c r="L521" t="n">
        <v>0</v>
      </c>
      <c r="M521" t="n">
        <v>0</v>
      </c>
      <c r="N521" t="n">
        <v>0</v>
      </c>
      <c r="O521" t="n">
        <v>0</v>
      </c>
      <c r="P521" t="n">
        <v>0</v>
      </c>
      <c r="Q521" t="n">
        <v>0</v>
      </c>
      <c r="R521" s="2" t="inlineStr"/>
    </row>
    <row r="522" ht="15" customHeight="1">
      <c r="A522" t="inlineStr">
        <is>
          <t>A 58473-2025</t>
        </is>
      </c>
      <c r="B522" s="1" t="n">
        <v>45985.63859953704</v>
      </c>
      <c r="C522" s="1" t="n">
        <v>46084</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58001-2025</t>
        </is>
      </c>
      <c r="B523" s="1" t="n">
        <v>45982.43615740741</v>
      </c>
      <c r="C523" s="1" t="n">
        <v>46084</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57976-2025</t>
        </is>
      </c>
      <c r="B524" s="1" t="n">
        <v>45982.39435185185</v>
      </c>
      <c r="C524" s="1" t="n">
        <v>46084</v>
      </c>
      <c r="D524" t="inlineStr">
        <is>
          <t>DALARNAS LÄN</t>
        </is>
      </c>
      <c r="E524" t="inlineStr">
        <is>
          <t>MORA</t>
        </is>
      </c>
      <c r="G524" t="n">
        <v>7.4</v>
      </c>
      <c r="H524" t="n">
        <v>0</v>
      </c>
      <c r="I524" t="n">
        <v>0</v>
      </c>
      <c r="J524" t="n">
        <v>0</v>
      </c>
      <c r="K524" t="n">
        <v>0</v>
      </c>
      <c r="L524" t="n">
        <v>0</v>
      </c>
      <c r="M524" t="n">
        <v>0</v>
      </c>
      <c r="N524" t="n">
        <v>0</v>
      </c>
      <c r="O524" t="n">
        <v>0</v>
      </c>
      <c r="P524" t="n">
        <v>0</v>
      </c>
      <c r="Q524" t="n">
        <v>0</v>
      </c>
      <c r="R524" s="2" t="inlineStr"/>
    </row>
    <row r="525" ht="15" customHeight="1">
      <c r="A525" t="inlineStr">
        <is>
          <t>A 60962-2025</t>
        </is>
      </c>
      <c r="B525" s="1" t="n">
        <v>45999.66488425926</v>
      </c>
      <c r="C525" s="1" t="n">
        <v>46084</v>
      </c>
      <c r="D525" t="inlineStr">
        <is>
          <t>DALARNAS LÄN</t>
        </is>
      </c>
      <c r="E525" t="inlineStr">
        <is>
          <t>MORA</t>
        </is>
      </c>
      <c r="G525" t="n">
        <v>2</v>
      </c>
      <c r="H525" t="n">
        <v>0</v>
      </c>
      <c r="I525" t="n">
        <v>0</v>
      </c>
      <c r="J525" t="n">
        <v>0</v>
      </c>
      <c r="K525" t="n">
        <v>0</v>
      </c>
      <c r="L525" t="n">
        <v>0</v>
      </c>
      <c r="M525" t="n">
        <v>0</v>
      </c>
      <c r="N525" t="n">
        <v>0</v>
      </c>
      <c r="O525" t="n">
        <v>0</v>
      </c>
      <c r="P525" t="n">
        <v>0</v>
      </c>
      <c r="Q525" t="n">
        <v>0</v>
      </c>
      <c r="R525" s="2" t="inlineStr"/>
    </row>
    <row r="526" ht="15" customHeight="1">
      <c r="A526" t="inlineStr">
        <is>
          <t>A 7446-2026</t>
        </is>
      </c>
      <c r="B526" s="1" t="n">
        <v>46059</v>
      </c>
      <c r="C526" s="1" t="n">
        <v>46084</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45390-2024</t>
        </is>
      </c>
      <c r="B527" s="1" t="n">
        <v>45576.54820601852</v>
      </c>
      <c r="C527" s="1" t="n">
        <v>46084</v>
      </c>
      <c r="D527" t="inlineStr">
        <is>
          <t>DALARNAS LÄN</t>
        </is>
      </c>
      <c r="E527" t="inlineStr">
        <is>
          <t>MORA</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58089-2024</t>
        </is>
      </c>
      <c r="B528" s="1" t="n">
        <v>45632.34984953704</v>
      </c>
      <c r="C528" s="1" t="n">
        <v>46084</v>
      </c>
      <c r="D528" t="inlineStr">
        <is>
          <t>DALARNAS LÄN</t>
        </is>
      </c>
      <c r="E528" t="inlineStr">
        <is>
          <t>MORA</t>
        </is>
      </c>
      <c r="G528" t="n">
        <v>1.4</v>
      </c>
      <c r="H528" t="n">
        <v>0</v>
      </c>
      <c r="I528" t="n">
        <v>0</v>
      </c>
      <c r="J528" t="n">
        <v>0</v>
      </c>
      <c r="K528" t="n">
        <v>0</v>
      </c>
      <c r="L528" t="n">
        <v>0</v>
      </c>
      <c r="M528" t="n">
        <v>0</v>
      </c>
      <c r="N528" t="n">
        <v>0</v>
      </c>
      <c r="O528" t="n">
        <v>0</v>
      </c>
      <c r="P528" t="n">
        <v>0</v>
      </c>
      <c r="Q528" t="n">
        <v>0</v>
      </c>
      <c r="R528" s="2" t="inlineStr"/>
    </row>
    <row r="529" ht="15" customHeight="1">
      <c r="A529" t="inlineStr">
        <is>
          <t>A 4752-2026</t>
        </is>
      </c>
      <c r="B529" s="1" t="n">
        <v>46048</v>
      </c>
      <c r="C529" s="1" t="n">
        <v>46084</v>
      </c>
      <c r="D529" t="inlineStr">
        <is>
          <t>DALARNAS LÄN</t>
        </is>
      </c>
      <c r="E529" t="inlineStr">
        <is>
          <t>MORA</t>
        </is>
      </c>
      <c r="G529" t="n">
        <v>1.7</v>
      </c>
      <c r="H529" t="n">
        <v>0</v>
      </c>
      <c r="I529" t="n">
        <v>0</v>
      </c>
      <c r="J529" t="n">
        <v>0</v>
      </c>
      <c r="K529" t="n">
        <v>0</v>
      </c>
      <c r="L529" t="n">
        <v>0</v>
      </c>
      <c r="M529" t="n">
        <v>0</v>
      </c>
      <c r="N529" t="n">
        <v>0</v>
      </c>
      <c r="O529" t="n">
        <v>0</v>
      </c>
      <c r="P529" t="n">
        <v>0</v>
      </c>
      <c r="Q529" t="n">
        <v>0</v>
      </c>
      <c r="R529" s="2" t="inlineStr"/>
    </row>
    <row r="530" ht="15" customHeight="1">
      <c r="A530" t="inlineStr">
        <is>
          <t>A 4994-2025</t>
        </is>
      </c>
      <c r="B530" s="1" t="n">
        <v>45691.35427083333</v>
      </c>
      <c r="C530" s="1" t="n">
        <v>46084</v>
      </c>
      <c r="D530" t="inlineStr">
        <is>
          <t>DALARNAS LÄN</t>
        </is>
      </c>
      <c r="E530" t="inlineStr">
        <is>
          <t>MORA</t>
        </is>
      </c>
      <c r="G530" t="n">
        <v>4.6</v>
      </c>
      <c r="H530" t="n">
        <v>0</v>
      </c>
      <c r="I530" t="n">
        <v>0</v>
      </c>
      <c r="J530" t="n">
        <v>0</v>
      </c>
      <c r="K530" t="n">
        <v>0</v>
      </c>
      <c r="L530" t="n">
        <v>0</v>
      </c>
      <c r="M530" t="n">
        <v>0</v>
      </c>
      <c r="N530" t="n">
        <v>0</v>
      </c>
      <c r="O530" t="n">
        <v>0</v>
      </c>
      <c r="P530" t="n">
        <v>0</v>
      </c>
      <c r="Q530" t="n">
        <v>0</v>
      </c>
      <c r="R530" s="2" t="inlineStr"/>
    </row>
    <row r="531" ht="15" customHeight="1">
      <c r="A531" t="inlineStr">
        <is>
          <t>A 15993-2025</t>
        </is>
      </c>
      <c r="B531" s="1" t="n">
        <v>45749.58428240741</v>
      </c>
      <c r="C531" s="1" t="n">
        <v>46084</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665-2026</t>
        </is>
      </c>
      <c r="B532" s="1" t="n">
        <v>46029</v>
      </c>
      <c r="C532" s="1" t="n">
        <v>46084</v>
      </c>
      <c r="D532" t="inlineStr">
        <is>
          <t>DALARNAS LÄN</t>
        </is>
      </c>
      <c r="E532" t="inlineStr">
        <is>
          <t>MORA</t>
        </is>
      </c>
      <c r="F532" t="inlineStr">
        <is>
          <t>Kommuner</t>
        </is>
      </c>
      <c r="G532" t="n">
        <v>20.9</v>
      </c>
      <c r="H532" t="n">
        <v>0</v>
      </c>
      <c r="I532" t="n">
        <v>0</v>
      </c>
      <c r="J532" t="n">
        <v>0</v>
      </c>
      <c r="K532" t="n">
        <v>0</v>
      </c>
      <c r="L532" t="n">
        <v>0</v>
      </c>
      <c r="M532" t="n">
        <v>0</v>
      </c>
      <c r="N532" t="n">
        <v>0</v>
      </c>
      <c r="O532" t="n">
        <v>0</v>
      </c>
      <c r="P532" t="n">
        <v>0</v>
      </c>
      <c r="Q532" t="n">
        <v>0</v>
      </c>
      <c r="R532" s="2" t="inlineStr"/>
    </row>
    <row r="533" ht="15" customHeight="1">
      <c r="A533" t="inlineStr">
        <is>
          <t>A 4208-2023</t>
        </is>
      </c>
      <c r="B533" s="1" t="n">
        <v>44953</v>
      </c>
      <c r="C533" s="1" t="n">
        <v>46084</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4210-2023</t>
        </is>
      </c>
      <c r="B534" s="1" t="n">
        <v>44953.44965277778</v>
      </c>
      <c r="C534" s="1" t="n">
        <v>46084</v>
      </c>
      <c r="D534" t="inlineStr">
        <is>
          <t>DALARNAS LÄN</t>
        </is>
      </c>
      <c r="E534" t="inlineStr">
        <is>
          <t>MORA</t>
        </is>
      </c>
      <c r="G534" t="n">
        <v>0.9</v>
      </c>
      <c r="H534" t="n">
        <v>0</v>
      </c>
      <c r="I534" t="n">
        <v>0</v>
      </c>
      <c r="J534" t="n">
        <v>0</v>
      </c>
      <c r="K534" t="n">
        <v>0</v>
      </c>
      <c r="L534" t="n">
        <v>0</v>
      </c>
      <c r="M534" t="n">
        <v>0</v>
      </c>
      <c r="N534" t="n">
        <v>0</v>
      </c>
      <c r="O534" t="n">
        <v>0</v>
      </c>
      <c r="P534" t="n">
        <v>0</v>
      </c>
      <c r="Q534" t="n">
        <v>0</v>
      </c>
      <c r="R534" s="2" t="inlineStr"/>
    </row>
    <row r="535" ht="15" customHeight="1">
      <c r="A535" t="inlineStr">
        <is>
          <t>A 44769-2021</t>
        </is>
      </c>
      <c r="B535" s="1" t="n">
        <v>44438</v>
      </c>
      <c r="C535" s="1" t="n">
        <v>46084</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1174-2026</t>
        </is>
      </c>
      <c r="B536" s="1" t="n">
        <v>46031</v>
      </c>
      <c r="C536" s="1" t="n">
        <v>46084</v>
      </c>
      <c r="D536" t="inlineStr">
        <is>
          <t>DALARNAS LÄN</t>
        </is>
      </c>
      <c r="E536" t="inlineStr">
        <is>
          <t>MORA</t>
        </is>
      </c>
      <c r="G536" t="n">
        <v>2.8</v>
      </c>
      <c r="H536" t="n">
        <v>0</v>
      </c>
      <c r="I536" t="n">
        <v>0</v>
      </c>
      <c r="J536" t="n">
        <v>0</v>
      </c>
      <c r="K536" t="n">
        <v>0</v>
      </c>
      <c r="L536" t="n">
        <v>0</v>
      </c>
      <c r="M536" t="n">
        <v>0</v>
      </c>
      <c r="N536" t="n">
        <v>0</v>
      </c>
      <c r="O536" t="n">
        <v>0</v>
      </c>
      <c r="P536" t="n">
        <v>0</v>
      </c>
      <c r="Q536" t="n">
        <v>0</v>
      </c>
      <c r="R536" s="2" t="inlineStr"/>
    </row>
    <row r="537" ht="15" customHeight="1">
      <c r="A537" t="inlineStr">
        <is>
          <t>A 51253-2023</t>
        </is>
      </c>
      <c r="B537" s="1" t="n">
        <v>45219</v>
      </c>
      <c r="C537" s="1" t="n">
        <v>46084</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57110-2021</t>
        </is>
      </c>
      <c r="B538" s="1" t="n">
        <v>44482</v>
      </c>
      <c r="C538" s="1" t="n">
        <v>46084</v>
      </c>
      <c r="D538" t="inlineStr">
        <is>
          <t>DALARNAS LÄN</t>
        </is>
      </c>
      <c r="E538" t="inlineStr">
        <is>
          <t>MORA</t>
        </is>
      </c>
      <c r="G538" t="n">
        <v>5.4</v>
      </c>
      <c r="H538" t="n">
        <v>0</v>
      </c>
      <c r="I538" t="n">
        <v>0</v>
      </c>
      <c r="J538" t="n">
        <v>0</v>
      </c>
      <c r="K538" t="n">
        <v>0</v>
      </c>
      <c r="L538" t="n">
        <v>0</v>
      </c>
      <c r="M538" t="n">
        <v>0</v>
      </c>
      <c r="N538" t="n">
        <v>0</v>
      </c>
      <c r="O538" t="n">
        <v>0</v>
      </c>
      <c r="P538" t="n">
        <v>0</v>
      </c>
      <c r="Q538" t="n">
        <v>0</v>
      </c>
      <c r="R538" s="2" t="inlineStr"/>
    </row>
    <row r="539" ht="15" customHeight="1">
      <c r="A539" t="inlineStr">
        <is>
          <t>A 58036-2024</t>
        </is>
      </c>
      <c r="B539" s="1" t="n">
        <v>45631.71893518518</v>
      </c>
      <c r="C539" s="1" t="n">
        <v>46084</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46084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3430-2023</t>
        </is>
      </c>
      <c r="B541" s="1" t="n">
        <v>44949.57856481482</v>
      </c>
      <c r="C541" s="1" t="n">
        <v>46084</v>
      </c>
      <c r="D541" t="inlineStr">
        <is>
          <t>DALARNAS LÄN</t>
        </is>
      </c>
      <c r="E541" t="inlineStr">
        <is>
          <t>MORA</t>
        </is>
      </c>
      <c r="G541" t="n">
        <v>2.6</v>
      </c>
      <c r="H541" t="n">
        <v>0</v>
      </c>
      <c r="I541" t="n">
        <v>0</v>
      </c>
      <c r="J541" t="n">
        <v>0</v>
      </c>
      <c r="K541" t="n">
        <v>0</v>
      </c>
      <c r="L541" t="n">
        <v>0</v>
      </c>
      <c r="M541" t="n">
        <v>0</v>
      </c>
      <c r="N541" t="n">
        <v>0</v>
      </c>
      <c r="O541" t="n">
        <v>0</v>
      </c>
      <c r="P541" t="n">
        <v>0</v>
      </c>
      <c r="Q541" t="n">
        <v>0</v>
      </c>
      <c r="R541" s="2" t="inlineStr"/>
    </row>
    <row r="542" ht="15" customHeight="1">
      <c r="A542" t="inlineStr">
        <is>
          <t>A 902-2026</t>
        </is>
      </c>
      <c r="B542" s="1" t="n">
        <v>46030.46954861111</v>
      </c>
      <c r="C542" s="1" t="n">
        <v>46084</v>
      </c>
      <c r="D542" t="inlineStr">
        <is>
          <t>DALARNAS LÄN</t>
        </is>
      </c>
      <c r="E542" t="inlineStr">
        <is>
          <t>MORA</t>
        </is>
      </c>
      <c r="G542" t="n">
        <v>4.2</v>
      </c>
      <c r="H542" t="n">
        <v>0</v>
      </c>
      <c r="I542" t="n">
        <v>0</v>
      </c>
      <c r="J542" t="n">
        <v>0</v>
      </c>
      <c r="K542" t="n">
        <v>0</v>
      </c>
      <c r="L542" t="n">
        <v>0</v>
      </c>
      <c r="M542" t="n">
        <v>0</v>
      </c>
      <c r="N542" t="n">
        <v>0</v>
      </c>
      <c r="O542" t="n">
        <v>0</v>
      </c>
      <c r="P542" t="n">
        <v>0</v>
      </c>
      <c r="Q542" t="n">
        <v>0</v>
      </c>
      <c r="R542" s="2" t="inlineStr"/>
    </row>
    <row r="543" ht="15" customHeight="1">
      <c r="A543" t="inlineStr">
        <is>
          <t>A 9740-2026</t>
        </is>
      </c>
      <c r="B543" s="1" t="n">
        <v>46072.50745370371</v>
      </c>
      <c r="C543" s="1" t="n">
        <v>46084</v>
      </c>
      <c r="D543" t="inlineStr">
        <is>
          <t>DALARNAS LÄN</t>
        </is>
      </c>
      <c r="E543" t="inlineStr">
        <is>
          <t>MORA</t>
        </is>
      </c>
      <c r="G543" t="n">
        <v>2</v>
      </c>
      <c r="H543" t="n">
        <v>0</v>
      </c>
      <c r="I543" t="n">
        <v>0</v>
      </c>
      <c r="J543" t="n">
        <v>0</v>
      </c>
      <c r="K543" t="n">
        <v>0</v>
      </c>
      <c r="L543" t="n">
        <v>0</v>
      </c>
      <c r="M543" t="n">
        <v>0</v>
      </c>
      <c r="N543" t="n">
        <v>0</v>
      </c>
      <c r="O543" t="n">
        <v>0</v>
      </c>
      <c r="P543" t="n">
        <v>0</v>
      </c>
      <c r="Q543" t="n">
        <v>0</v>
      </c>
      <c r="R543" s="2" t="inlineStr"/>
    </row>
    <row r="544" ht="15" customHeight="1">
      <c r="A544" t="inlineStr">
        <is>
          <t>A 54548-2025</t>
        </is>
      </c>
      <c r="B544" s="1" t="n">
        <v>45965.6534837963</v>
      </c>
      <c r="C544" s="1" t="n">
        <v>46084</v>
      </c>
      <c r="D544" t="inlineStr">
        <is>
          <t>DALARNAS LÄN</t>
        </is>
      </c>
      <c r="E544" t="inlineStr">
        <is>
          <t>MORA</t>
        </is>
      </c>
      <c r="G544" t="n">
        <v>2.3</v>
      </c>
      <c r="H544" t="n">
        <v>0</v>
      </c>
      <c r="I544" t="n">
        <v>0</v>
      </c>
      <c r="J544" t="n">
        <v>0</v>
      </c>
      <c r="K544" t="n">
        <v>0</v>
      </c>
      <c r="L544" t="n">
        <v>0</v>
      </c>
      <c r="M544" t="n">
        <v>0</v>
      </c>
      <c r="N544" t="n">
        <v>0</v>
      </c>
      <c r="O544" t="n">
        <v>0</v>
      </c>
      <c r="P544" t="n">
        <v>0</v>
      </c>
      <c r="Q544" t="n">
        <v>0</v>
      </c>
      <c r="R544" s="2" t="inlineStr"/>
    </row>
    <row r="545" ht="15" customHeight="1">
      <c r="A545" t="inlineStr">
        <is>
          <t>A 9421-2026</t>
        </is>
      </c>
      <c r="B545" s="1" t="n">
        <v>46071.44172453704</v>
      </c>
      <c r="C545" s="1" t="n">
        <v>46084</v>
      </c>
      <c r="D545" t="inlineStr">
        <is>
          <t>DALARNAS LÄN</t>
        </is>
      </c>
      <c r="E545" t="inlineStr">
        <is>
          <t>MORA</t>
        </is>
      </c>
      <c r="G545" t="n">
        <v>8.1</v>
      </c>
      <c r="H545" t="n">
        <v>0</v>
      </c>
      <c r="I545" t="n">
        <v>0</v>
      </c>
      <c r="J545" t="n">
        <v>0</v>
      </c>
      <c r="K545" t="n">
        <v>0</v>
      </c>
      <c r="L545" t="n">
        <v>0</v>
      </c>
      <c r="M545" t="n">
        <v>0</v>
      </c>
      <c r="N545" t="n">
        <v>0</v>
      </c>
      <c r="O545" t="n">
        <v>0</v>
      </c>
      <c r="P545" t="n">
        <v>0</v>
      </c>
      <c r="Q545" t="n">
        <v>0</v>
      </c>
      <c r="R545" s="2" t="inlineStr"/>
    </row>
    <row r="546" ht="15" customHeight="1">
      <c r="A546" t="inlineStr">
        <is>
          <t>A 55135-2025</t>
        </is>
      </c>
      <c r="B546" s="1" t="n">
        <v>45968.42591435185</v>
      </c>
      <c r="C546" s="1" t="n">
        <v>46084</v>
      </c>
      <c r="D546" t="inlineStr">
        <is>
          <t>DALARNAS LÄN</t>
        </is>
      </c>
      <c r="E546" t="inlineStr">
        <is>
          <t>MORA</t>
        </is>
      </c>
      <c r="G546" t="n">
        <v>5.1</v>
      </c>
      <c r="H546" t="n">
        <v>0</v>
      </c>
      <c r="I546" t="n">
        <v>0</v>
      </c>
      <c r="J546" t="n">
        <v>0</v>
      </c>
      <c r="K546" t="n">
        <v>0</v>
      </c>
      <c r="L546" t="n">
        <v>0</v>
      </c>
      <c r="M546" t="n">
        <v>0</v>
      </c>
      <c r="N546" t="n">
        <v>0</v>
      </c>
      <c r="O546" t="n">
        <v>0</v>
      </c>
      <c r="P546" t="n">
        <v>0</v>
      </c>
      <c r="Q546" t="n">
        <v>0</v>
      </c>
      <c r="R546" s="2" t="inlineStr"/>
    </row>
    <row r="547" ht="15" customHeight="1">
      <c r="A547" t="inlineStr">
        <is>
          <t>A 56012-2023</t>
        </is>
      </c>
      <c r="B547" s="1" t="n">
        <v>45240</v>
      </c>
      <c r="C547" s="1" t="n">
        <v>46084</v>
      </c>
      <c r="D547" t="inlineStr">
        <is>
          <t>DALARNAS LÄN</t>
        </is>
      </c>
      <c r="E547" t="inlineStr">
        <is>
          <t>MORA</t>
        </is>
      </c>
      <c r="G547" t="n">
        <v>0.3</v>
      </c>
      <c r="H547" t="n">
        <v>0</v>
      </c>
      <c r="I547" t="n">
        <v>0</v>
      </c>
      <c r="J547" t="n">
        <v>0</v>
      </c>
      <c r="K547" t="n">
        <v>0</v>
      </c>
      <c r="L547" t="n">
        <v>0</v>
      </c>
      <c r="M547" t="n">
        <v>0</v>
      </c>
      <c r="N547" t="n">
        <v>0</v>
      </c>
      <c r="O547" t="n">
        <v>0</v>
      </c>
      <c r="P547" t="n">
        <v>0</v>
      </c>
      <c r="Q547" t="n">
        <v>0</v>
      </c>
      <c r="R547" s="2" t="inlineStr"/>
    </row>
    <row r="548" ht="15" customHeight="1">
      <c r="A548" t="inlineStr">
        <is>
          <t>A 60674-2023</t>
        </is>
      </c>
      <c r="B548" s="1" t="n">
        <v>45260.46609953704</v>
      </c>
      <c r="C548" s="1" t="n">
        <v>46084</v>
      </c>
      <c r="D548" t="inlineStr">
        <is>
          <t>DALARNAS LÄN</t>
        </is>
      </c>
      <c r="E548" t="inlineStr">
        <is>
          <t>MORA</t>
        </is>
      </c>
      <c r="G548" t="n">
        <v>2.9</v>
      </c>
      <c r="H548" t="n">
        <v>0</v>
      </c>
      <c r="I548" t="n">
        <v>0</v>
      </c>
      <c r="J548" t="n">
        <v>0</v>
      </c>
      <c r="K548" t="n">
        <v>0</v>
      </c>
      <c r="L548" t="n">
        <v>0</v>
      </c>
      <c r="M548" t="n">
        <v>0</v>
      </c>
      <c r="N548" t="n">
        <v>0</v>
      </c>
      <c r="O548" t="n">
        <v>0</v>
      </c>
      <c r="P548" t="n">
        <v>0</v>
      </c>
      <c r="Q548" t="n">
        <v>0</v>
      </c>
      <c r="R548" s="2" t="inlineStr"/>
    </row>
    <row r="549" ht="15" customHeight="1">
      <c r="A549" t="inlineStr">
        <is>
          <t>A 5298-2023</t>
        </is>
      </c>
      <c r="B549" s="1" t="n">
        <v>44959.54355324074</v>
      </c>
      <c r="C549" s="1" t="n">
        <v>46084</v>
      </c>
      <c r="D549" t="inlineStr">
        <is>
          <t>DALARNAS LÄN</t>
        </is>
      </c>
      <c r="E549" t="inlineStr">
        <is>
          <t>MORA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15172-2025</t>
        </is>
      </c>
      <c r="B550" s="1" t="n">
        <v>45744.50722222222</v>
      </c>
      <c r="C550" s="1" t="n">
        <v>46084</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59094-2025</t>
        </is>
      </c>
      <c r="B551" s="1" t="n">
        <v>45988.45105324074</v>
      </c>
      <c r="C551" s="1" t="n">
        <v>46084</v>
      </c>
      <c r="D551" t="inlineStr">
        <is>
          <t>DALARNAS LÄN</t>
        </is>
      </c>
      <c r="E551" t="inlineStr">
        <is>
          <t>MORA</t>
        </is>
      </c>
      <c r="G551" t="n">
        <v>10</v>
      </c>
      <c r="H551" t="n">
        <v>0</v>
      </c>
      <c r="I551" t="n">
        <v>0</v>
      </c>
      <c r="J551" t="n">
        <v>0</v>
      </c>
      <c r="K551" t="n">
        <v>0</v>
      </c>
      <c r="L551" t="n">
        <v>0</v>
      </c>
      <c r="M551" t="n">
        <v>0</v>
      </c>
      <c r="N551" t="n">
        <v>0</v>
      </c>
      <c r="O551" t="n">
        <v>0</v>
      </c>
      <c r="P551" t="n">
        <v>0</v>
      </c>
      <c r="Q551" t="n">
        <v>0</v>
      </c>
      <c r="R551" s="2" t="inlineStr"/>
    </row>
    <row r="552" ht="15" customHeight="1">
      <c r="A552" t="inlineStr">
        <is>
          <t>A 57859-2022</t>
        </is>
      </c>
      <c r="B552" s="1" t="n">
        <v>44898</v>
      </c>
      <c r="C552" s="1" t="n">
        <v>46084</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5473-2026</t>
        </is>
      </c>
      <c r="B553" s="1" t="n">
        <v>46050</v>
      </c>
      <c r="C553" s="1" t="n">
        <v>46084</v>
      </c>
      <c r="D553" t="inlineStr">
        <is>
          <t>DALARNAS LÄN</t>
        </is>
      </c>
      <c r="E553" t="inlineStr">
        <is>
          <t>MORA</t>
        </is>
      </c>
      <c r="G553" t="n">
        <v>10.2</v>
      </c>
      <c r="H553" t="n">
        <v>0</v>
      </c>
      <c r="I553" t="n">
        <v>0</v>
      </c>
      <c r="J553" t="n">
        <v>0</v>
      </c>
      <c r="K553" t="n">
        <v>0</v>
      </c>
      <c r="L553" t="n">
        <v>0</v>
      </c>
      <c r="M553" t="n">
        <v>0</v>
      </c>
      <c r="N553" t="n">
        <v>0</v>
      </c>
      <c r="O553" t="n">
        <v>0</v>
      </c>
      <c r="P553" t="n">
        <v>0</v>
      </c>
      <c r="Q553" t="n">
        <v>0</v>
      </c>
      <c r="R553" s="2" t="inlineStr"/>
    </row>
    <row r="554" ht="15" customHeight="1">
      <c r="A554" t="inlineStr">
        <is>
          <t>A 1068-2026</t>
        </is>
      </c>
      <c r="B554" s="1" t="n">
        <v>46030</v>
      </c>
      <c r="C554" s="1" t="n">
        <v>46084</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row>
    <row r="555" ht="15" customHeight="1">
      <c r="A555" t="inlineStr">
        <is>
          <t>A 9788-2026</t>
        </is>
      </c>
      <c r="B555" s="1" t="n">
        <v>46072.5968287037</v>
      </c>
      <c r="C555" s="1" t="n">
        <v>46084</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9733-2026</t>
        </is>
      </c>
      <c r="B556" s="1" t="n">
        <v>46072.48162037037</v>
      </c>
      <c r="C556" s="1" t="n">
        <v>46084</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59805-2025</t>
        </is>
      </c>
      <c r="B557" s="1" t="n">
        <v>45992.62635416666</v>
      </c>
      <c r="C557" s="1" t="n">
        <v>46084</v>
      </c>
      <c r="D557" t="inlineStr">
        <is>
          <t>DALARNAS LÄN</t>
        </is>
      </c>
      <c r="E557" t="inlineStr">
        <is>
          <t>MORA</t>
        </is>
      </c>
      <c r="G557" t="n">
        <v>4.2</v>
      </c>
      <c r="H557" t="n">
        <v>0</v>
      </c>
      <c r="I557" t="n">
        <v>0</v>
      </c>
      <c r="J557" t="n">
        <v>0</v>
      </c>
      <c r="K557" t="n">
        <v>0</v>
      </c>
      <c r="L557" t="n">
        <v>0</v>
      </c>
      <c r="M557" t="n">
        <v>0</v>
      </c>
      <c r="N557" t="n">
        <v>0</v>
      </c>
      <c r="O557" t="n">
        <v>0</v>
      </c>
      <c r="P557" t="n">
        <v>0</v>
      </c>
      <c r="Q557" t="n">
        <v>0</v>
      </c>
      <c r="R557" s="2" t="inlineStr"/>
    </row>
    <row r="558" ht="15" customHeight="1">
      <c r="A558" t="inlineStr">
        <is>
          <t>A 1102-2026</t>
        </is>
      </c>
      <c r="B558" s="1" t="n">
        <v>46030.66743055556</v>
      </c>
      <c r="C558" s="1" t="n">
        <v>46084</v>
      </c>
      <c r="D558" t="inlineStr">
        <is>
          <t>DALARNAS LÄN</t>
        </is>
      </c>
      <c r="E558" t="inlineStr">
        <is>
          <t>MORA</t>
        </is>
      </c>
      <c r="G558" t="n">
        <v>1.5</v>
      </c>
      <c r="H558" t="n">
        <v>0</v>
      </c>
      <c r="I558" t="n">
        <v>0</v>
      </c>
      <c r="J558" t="n">
        <v>0</v>
      </c>
      <c r="K558" t="n">
        <v>0</v>
      </c>
      <c r="L558" t="n">
        <v>0</v>
      </c>
      <c r="M558" t="n">
        <v>0</v>
      </c>
      <c r="N558" t="n">
        <v>0</v>
      </c>
      <c r="O558" t="n">
        <v>0</v>
      </c>
      <c r="P558" t="n">
        <v>0</v>
      </c>
      <c r="Q558" t="n">
        <v>0</v>
      </c>
      <c r="R558" s="2" t="inlineStr"/>
    </row>
    <row r="559" ht="15" customHeight="1">
      <c r="A559" t="inlineStr">
        <is>
          <t>A 61249-2023</t>
        </is>
      </c>
      <c r="B559" s="1" t="n">
        <v>45264</v>
      </c>
      <c r="C559" s="1" t="n">
        <v>46084</v>
      </c>
      <c r="D559" t="inlineStr">
        <is>
          <t>DALARNAS LÄN</t>
        </is>
      </c>
      <c r="E559" t="inlineStr">
        <is>
          <t>MORA</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8474-2026</t>
        </is>
      </c>
      <c r="B560" s="1" t="n">
        <v>46065</v>
      </c>
      <c r="C560" s="1" t="n">
        <v>46084</v>
      </c>
      <c r="D560" t="inlineStr">
        <is>
          <t>DALARNAS LÄN</t>
        </is>
      </c>
      <c r="E560" t="inlineStr">
        <is>
          <t>MORA</t>
        </is>
      </c>
      <c r="G560" t="n">
        <v>4.7</v>
      </c>
      <c r="H560" t="n">
        <v>0</v>
      </c>
      <c r="I560" t="n">
        <v>0</v>
      </c>
      <c r="J560" t="n">
        <v>0</v>
      </c>
      <c r="K560" t="n">
        <v>0</v>
      </c>
      <c r="L560" t="n">
        <v>0</v>
      </c>
      <c r="M560" t="n">
        <v>0</v>
      </c>
      <c r="N560" t="n">
        <v>0</v>
      </c>
      <c r="O560" t="n">
        <v>0</v>
      </c>
      <c r="P560" t="n">
        <v>0</v>
      </c>
      <c r="Q560" t="n">
        <v>0</v>
      </c>
      <c r="R560" s="2" t="inlineStr"/>
    </row>
    <row r="561" ht="15" customHeight="1">
      <c r="A561" t="inlineStr">
        <is>
          <t>A 59768-2025</t>
        </is>
      </c>
      <c r="B561" s="1" t="n">
        <v>45992</v>
      </c>
      <c r="C561" s="1" t="n">
        <v>46084</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59669-2025</t>
        </is>
      </c>
      <c r="B562" s="1" t="n">
        <v>45992.45640046296</v>
      </c>
      <c r="C562" s="1" t="n">
        <v>46084</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1881-2026</t>
        </is>
      </c>
      <c r="B563" s="1" t="n">
        <v>46035.4731712963</v>
      </c>
      <c r="C563" s="1" t="n">
        <v>46084</v>
      </c>
      <c r="D563" t="inlineStr">
        <is>
          <t>DALARNAS LÄN</t>
        </is>
      </c>
      <c r="E563" t="inlineStr">
        <is>
          <t>MORA</t>
        </is>
      </c>
      <c r="G563" t="n">
        <v>5.2</v>
      </c>
      <c r="H563" t="n">
        <v>0</v>
      </c>
      <c r="I563" t="n">
        <v>0</v>
      </c>
      <c r="J563" t="n">
        <v>0</v>
      </c>
      <c r="K563" t="n">
        <v>0</v>
      </c>
      <c r="L563" t="n">
        <v>0</v>
      </c>
      <c r="M563" t="n">
        <v>0</v>
      </c>
      <c r="N563" t="n">
        <v>0</v>
      </c>
      <c r="O563" t="n">
        <v>0</v>
      </c>
      <c r="P563" t="n">
        <v>0</v>
      </c>
      <c r="Q563" t="n">
        <v>0</v>
      </c>
      <c r="R563" s="2" t="inlineStr"/>
    </row>
    <row r="564" ht="15" customHeight="1">
      <c r="A564" t="inlineStr">
        <is>
          <t>A 39897-2022</t>
        </is>
      </c>
      <c r="B564" s="1" t="n">
        <v>44819.66083333334</v>
      </c>
      <c r="C564" s="1" t="n">
        <v>46084</v>
      </c>
      <c r="D564" t="inlineStr">
        <is>
          <t>DALARNAS LÄN</t>
        </is>
      </c>
      <c r="E564" t="inlineStr">
        <is>
          <t>MORA</t>
        </is>
      </c>
      <c r="G564" t="n">
        <v>15.8</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45090.68675925926</v>
      </c>
      <c r="C565" s="1" t="n">
        <v>46084</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62853-2023</t>
        </is>
      </c>
      <c r="B566" s="1" t="n">
        <v>45272</v>
      </c>
      <c r="C566" s="1" t="n">
        <v>46084</v>
      </c>
      <c r="D566" t="inlineStr">
        <is>
          <t>DALARNAS LÄN</t>
        </is>
      </c>
      <c r="E566" t="inlineStr">
        <is>
          <t>MORA</t>
        </is>
      </c>
      <c r="G566" t="n">
        <v>13.6</v>
      </c>
      <c r="H566" t="n">
        <v>0</v>
      </c>
      <c r="I566" t="n">
        <v>0</v>
      </c>
      <c r="J566" t="n">
        <v>0</v>
      </c>
      <c r="K566" t="n">
        <v>0</v>
      </c>
      <c r="L566" t="n">
        <v>0</v>
      </c>
      <c r="M566" t="n">
        <v>0</v>
      </c>
      <c r="N566" t="n">
        <v>0</v>
      </c>
      <c r="O566" t="n">
        <v>0</v>
      </c>
      <c r="P566" t="n">
        <v>0</v>
      </c>
      <c r="Q566" t="n">
        <v>0</v>
      </c>
      <c r="R566" s="2" t="inlineStr"/>
    </row>
    <row r="567" ht="15" customHeight="1">
      <c r="A567" t="inlineStr">
        <is>
          <t>A 11919-2024</t>
        </is>
      </c>
      <c r="B567" s="1" t="n">
        <v>45376.61019675926</v>
      </c>
      <c r="C567" s="1" t="n">
        <v>46084</v>
      </c>
      <c r="D567" t="inlineStr">
        <is>
          <t>DALARNAS LÄN</t>
        </is>
      </c>
      <c r="E567" t="inlineStr">
        <is>
          <t>MORA</t>
        </is>
      </c>
      <c r="G567" t="n">
        <v>3.5</v>
      </c>
      <c r="H567" t="n">
        <v>0</v>
      </c>
      <c r="I567" t="n">
        <v>0</v>
      </c>
      <c r="J567" t="n">
        <v>0</v>
      </c>
      <c r="K567" t="n">
        <v>0</v>
      </c>
      <c r="L567" t="n">
        <v>0</v>
      </c>
      <c r="M567" t="n">
        <v>0</v>
      </c>
      <c r="N567" t="n">
        <v>0</v>
      </c>
      <c r="O567" t="n">
        <v>0</v>
      </c>
      <c r="P567" t="n">
        <v>0</v>
      </c>
      <c r="Q567" t="n">
        <v>0</v>
      </c>
      <c r="R567" s="2" t="inlineStr"/>
    </row>
    <row r="568" ht="15" customHeight="1">
      <c r="A568" t="inlineStr">
        <is>
          <t>A 23057-2024</t>
        </is>
      </c>
      <c r="B568" s="1" t="n">
        <v>45450</v>
      </c>
      <c r="C568" s="1" t="n">
        <v>46084</v>
      </c>
      <c r="D568" t="inlineStr">
        <is>
          <t>DALARNAS LÄN</t>
        </is>
      </c>
      <c r="E568" t="inlineStr">
        <is>
          <t>MORA</t>
        </is>
      </c>
      <c r="F568" t="inlineStr">
        <is>
          <t>Bergvik skog väst AB</t>
        </is>
      </c>
      <c r="G568" t="n">
        <v>2.2</v>
      </c>
      <c r="H568" t="n">
        <v>0</v>
      </c>
      <c r="I568" t="n">
        <v>0</v>
      </c>
      <c r="J568" t="n">
        <v>0</v>
      </c>
      <c r="K568" t="n">
        <v>0</v>
      </c>
      <c r="L568" t="n">
        <v>0</v>
      </c>
      <c r="M568" t="n">
        <v>0</v>
      </c>
      <c r="N568" t="n">
        <v>0</v>
      </c>
      <c r="O568" t="n">
        <v>0</v>
      </c>
      <c r="P568" t="n">
        <v>0</v>
      </c>
      <c r="Q568" t="n">
        <v>0</v>
      </c>
      <c r="R568" s="2" t="inlineStr"/>
    </row>
    <row r="569" ht="15" customHeight="1">
      <c r="A569" t="inlineStr">
        <is>
          <t>A 1897-2023</t>
        </is>
      </c>
      <c r="B569" s="1" t="n">
        <v>44937</v>
      </c>
      <c r="C569" s="1" t="n">
        <v>46084</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37385-2022</t>
        </is>
      </c>
      <c r="B570" s="1" t="n">
        <v>44806</v>
      </c>
      <c r="C570" s="1" t="n">
        <v>46084</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48522-2024</t>
        </is>
      </c>
      <c r="B571" s="1" t="n">
        <v>45593.32924768519</v>
      </c>
      <c r="C571" s="1" t="n">
        <v>46084</v>
      </c>
      <c r="D571" t="inlineStr">
        <is>
          <t>DALARNAS LÄN</t>
        </is>
      </c>
      <c r="E571" t="inlineStr">
        <is>
          <t>MORA</t>
        </is>
      </c>
      <c r="G571" t="n">
        <v>1.2</v>
      </c>
      <c r="H571" t="n">
        <v>0</v>
      </c>
      <c r="I571" t="n">
        <v>0</v>
      </c>
      <c r="J571" t="n">
        <v>0</v>
      </c>
      <c r="K571" t="n">
        <v>0</v>
      </c>
      <c r="L571" t="n">
        <v>0</v>
      </c>
      <c r="M571" t="n">
        <v>0</v>
      </c>
      <c r="N571" t="n">
        <v>0</v>
      </c>
      <c r="O571" t="n">
        <v>0</v>
      </c>
      <c r="P571" t="n">
        <v>0</v>
      </c>
      <c r="Q571" t="n">
        <v>0</v>
      </c>
      <c r="R571" s="2" t="inlineStr"/>
    </row>
    <row r="572" ht="15" customHeight="1">
      <c r="A572" t="inlineStr">
        <is>
          <t>A 48342-2023</t>
        </is>
      </c>
      <c r="B572" s="1" t="n">
        <v>45205</v>
      </c>
      <c r="C572" s="1" t="n">
        <v>46084</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51168-2024</t>
        </is>
      </c>
      <c r="B573" s="1" t="n">
        <v>45603.58619212963</v>
      </c>
      <c r="C573" s="1" t="n">
        <v>46084</v>
      </c>
      <c r="D573" t="inlineStr">
        <is>
          <t>DALARNAS LÄN</t>
        </is>
      </c>
      <c r="E573" t="inlineStr">
        <is>
          <t>MORA</t>
        </is>
      </c>
      <c r="G573" t="n">
        <v>3</v>
      </c>
      <c r="H573" t="n">
        <v>0</v>
      </c>
      <c r="I573" t="n">
        <v>0</v>
      </c>
      <c r="J573" t="n">
        <v>0</v>
      </c>
      <c r="K573" t="n">
        <v>0</v>
      </c>
      <c r="L573" t="n">
        <v>0</v>
      </c>
      <c r="M573" t="n">
        <v>0</v>
      </c>
      <c r="N573" t="n">
        <v>0</v>
      </c>
      <c r="O573" t="n">
        <v>0</v>
      </c>
      <c r="P573" t="n">
        <v>0</v>
      </c>
      <c r="Q573" t="n">
        <v>0</v>
      </c>
      <c r="R573" s="2" t="inlineStr"/>
    </row>
    <row r="574" ht="15" customHeight="1">
      <c r="A574" t="inlineStr">
        <is>
          <t>A 59182-2023</t>
        </is>
      </c>
      <c r="B574" s="1" t="n">
        <v>45253</v>
      </c>
      <c r="C574" s="1" t="n">
        <v>46084</v>
      </c>
      <c r="D574" t="inlineStr">
        <is>
          <t>DALARNAS LÄN</t>
        </is>
      </c>
      <c r="E574" t="inlineStr">
        <is>
          <t>MORA</t>
        </is>
      </c>
      <c r="G574" t="n">
        <v>3.3</v>
      </c>
      <c r="H574" t="n">
        <v>0</v>
      </c>
      <c r="I574" t="n">
        <v>0</v>
      </c>
      <c r="J574" t="n">
        <v>0</v>
      </c>
      <c r="K574" t="n">
        <v>0</v>
      </c>
      <c r="L574" t="n">
        <v>0</v>
      </c>
      <c r="M574" t="n">
        <v>0</v>
      </c>
      <c r="N574" t="n">
        <v>0</v>
      </c>
      <c r="O574" t="n">
        <v>0</v>
      </c>
      <c r="P574" t="n">
        <v>0</v>
      </c>
      <c r="Q574" t="n">
        <v>0</v>
      </c>
      <c r="R574" s="2" t="inlineStr"/>
    </row>
    <row r="575" ht="15" customHeight="1">
      <c r="A575" t="inlineStr">
        <is>
          <t>A 60957-2025</t>
        </is>
      </c>
      <c r="B575" s="1" t="n">
        <v>45999.65799768519</v>
      </c>
      <c r="C575" s="1" t="n">
        <v>46084</v>
      </c>
      <c r="D575" t="inlineStr">
        <is>
          <t>DALARNAS LÄN</t>
        </is>
      </c>
      <c r="E575" t="inlineStr">
        <is>
          <t>MORA</t>
        </is>
      </c>
      <c r="G575" t="n">
        <v>1.6</v>
      </c>
      <c r="H575" t="n">
        <v>0</v>
      </c>
      <c r="I575" t="n">
        <v>0</v>
      </c>
      <c r="J575" t="n">
        <v>0</v>
      </c>
      <c r="K575" t="n">
        <v>0</v>
      </c>
      <c r="L575" t="n">
        <v>0</v>
      </c>
      <c r="M575" t="n">
        <v>0</v>
      </c>
      <c r="N575" t="n">
        <v>0</v>
      </c>
      <c r="O575" t="n">
        <v>0</v>
      </c>
      <c r="P575" t="n">
        <v>0</v>
      </c>
      <c r="Q575" t="n">
        <v>0</v>
      </c>
      <c r="R575" s="2" t="inlineStr"/>
    </row>
    <row r="576" ht="15" customHeight="1">
      <c r="A576" t="inlineStr">
        <is>
          <t>A 55691-2023</t>
        </is>
      </c>
      <c r="B576" s="1" t="n">
        <v>45239.36509259259</v>
      </c>
      <c r="C576" s="1" t="n">
        <v>46084</v>
      </c>
      <c r="D576" t="inlineStr">
        <is>
          <t>DALARNAS LÄN</t>
        </is>
      </c>
      <c r="E576" t="inlineStr">
        <is>
          <t>MORA</t>
        </is>
      </c>
      <c r="G576" t="n">
        <v>2.2</v>
      </c>
      <c r="H576" t="n">
        <v>0</v>
      </c>
      <c r="I576" t="n">
        <v>0</v>
      </c>
      <c r="J576" t="n">
        <v>0</v>
      </c>
      <c r="K576" t="n">
        <v>0</v>
      </c>
      <c r="L576" t="n">
        <v>0</v>
      </c>
      <c r="M576" t="n">
        <v>0</v>
      </c>
      <c r="N576" t="n">
        <v>0</v>
      </c>
      <c r="O576" t="n">
        <v>0</v>
      </c>
      <c r="P576" t="n">
        <v>0</v>
      </c>
      <c r="Q576" t="n">
        <v>0</v>
      </c>
      <c r="R576" s="2" t="inlineStr"/>
    </row>
    <row r="577" ht="15" customHeight="1">
      <c r="A577" t="inlineStr">
        <is>
          <t>A 63958-2023</t>
        </is>
      </c>
      <c r="B577" s="1" t="n">
        <v>45278</v>
      </c>
      <c r="C577" s="1" t="n">
        <v>46084</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25494-2024</t>
        </is>
      </c>
      <c r="B578" s="1" t="n">
        <v>45463</v>
      </c>
      <c r="C578" s="1" t="n">
        <v>46084</v>
      </c>
      <c r="D578" t="inlineStr">
        <is>
          <t>DALARNAS LÄN</t>
        </is>
      </c>
      <c r="E578" t="inlineStr">
        <is>
          <t>MORA</t>
        </is>
      </c>
      <c r="G578" t="n">
        <v>4.9</v>
      </c>
      <c r="H578" t="n">
        <v>0</v>
      </c>
      <c r="I578" t="n">
        <v>0</v>
      </c>
      <c r="J578" t="n">
        <v>0</v>
      </c>
      <c r="K578" t="n">
        <v>0</v>
      </c>
      <c r="L578" t="n">
        <v>0</v>
      </c>
      <c r="M578" t="n">
        <v>0</v>
      </c>
      <c r="N578" t="n">
        <v>0</v>
      </c>
      <c r="O578" t="n">
        <v>0</v>
      </c>
      <c r="P578" t="n">
        <v>0</v>
      </c>
      <c r="Q578" t="n">
        <v>0</v>
      </c>
      <c r="R578" s="2" t="inlineStr"/>
    </row>
    <row r="579" ht="15" customHeight="1">
      <c r="A579" t="inlineStr">
        <is>
          <t>A 42391-2023</t>
        </is>
      </c>
      <c r="B579" s="1" t="n">
        <v>45180</v>
      </c>
      <c r="C579" s="1" t="n">
        <v>46084</v>
      </c>
      <c r="D579" t="inlineStr">
        <is>
          <t>DALARNAS LÄN</t>
        </is>
      </c>
      <c r="E579" t="inlineStr">
        <is>
          <t>MORA</t>
        </is>
      </c>
      <c r="F579" t="inlineStr">
        <is>
          <t>Kommuner</t>
        </is>
      </c>
      <c r="G579" t="n">
        <v>0.3</v>
      </c>
      <c r="H579" t="n">
        <v>0</v>
      </c>
      <c r="I579" t="n">
        <v>0</v>
      </c>
      <c r="J579" t="n">
        <v>0</v>
      </c>
      <c r="K579" t="n">
        <v>0</v>
      </c>
      <c r="L579" t="n">
        <v>0</v>
      </c>
      <c r="M579" t="n">
        <v>0</v>
      </c>
      <c r="N579" t="n">
        <v>0</v>
      </c>
      <c r="O579" t="n">
        <v>0</v>
      </c>
      <c r="P579" t="n">
        <v>0</v>
      </c>
      <c r="Q579" t="n">
        <v>0</v>
      </c>
      <c r="R579" s="2" t="inlineStr"/>
    </row>
    <row r="580" ht="15" customHeight="1">
      <c r="A580" t="inlineStr">
        <is>
          <t>A 70141-2021</t>
        </is>
      </c>
      <c r="B580" s="1" t="n">
        <v>44533</v>
      </c>
      <c r="C580" s="1" t="n">
        <v>46084</v>
      </c>
      <c r="D580" t="inlineStr">
        <is>
          <t>DALARNAS LÄN</t>
        </is>
      </c>
      <c r="E580" t="inlineStr">
        <is>
          <t>MORA</t>
        </is>
      </c>
      <c r="G580" t="n">
        <v>4.1</v>
      </c>
      <c r="H580" t="n">
        <v>0</v>
      </c>
      <c r="I580" t="n">
        <v>0</v>
      </c>
      <c r="J580" t="n">
        <v>0</v>
      </c>
      <c r="K580" t="n">
        <v>0</v>
      </c>
      <c r="L580" t="n">
        <v>0</v>
      </c>
      <c r="M580" t="n">
        <v>0</v>
      </c>
      <c r="N580" t="n">
        <v>0</v>
      </c>
      <c r="O580" t="n">
        <v>0</v>
      </c>
      <c r="P580" t="n">
        <v>0</v>
      </c>
      <c r="Q580" t="n">
        <v>0</v>
      </c>
      <c r="R580" s="2" t="inlineStr"/>
    </row>
    <row r="581" ht="15" customHeight="1">
      <c r="A581" t="inlineStr">
        <is>
          <t>A 36600-2023</t>
        </is>
      </c>
      <c r="B581" s="1" t="n">
        <v>45153</v>
      </c>
      <c r="C581" s="1" t="n">
        <v>46084</v>
      </c>
      <c r="D581" t="inlineStr">
        <is>
          <t>DALARNAS LÄN</t>
        </is>
      </c>
      <c r="E581" t="inlineStr">
        <is>
          <t>MORA</t>
        </is>
      </c>
      <c r="G581" t="n">
        <v>7.3</v>
      </c>
      <c r="H581" t="n">
        <v>0</v>
      </c>
      <c r="I581" t="n">
        <v>0</v>
      </c>
      <c r="J581" t="n">
        <v>0</v>
      </c>
      <c r="K581" t="n">
        <v>0</v>
      </c>
      <c r="L581" t="n">
        <v>0</v>
      </c>
      <c r="M581" t="n">
        <v>0</v>
      </c>
      <c r="N581" t="n">
        <v>0</v>
      </c>
      <c r="O581" t="n">
        <v>0</v>
      </c>
      <c r="P581" t="n">
        <v>0</v>
      </c>
      <c r="Q581" t="n">
        <v>0</v>
      </c>
      <c r="R581" s="2" t="inlineStr"/>
    </row>
    <row r="582" ht="15" customHeight="1">
      <c r="A582" t="inlineStr">
        <is>
          <t>A 64093-2023</t>
        </is>
      </c>
      <c r="B582" s="1" t="n">
        <v>45279</v>
      </c>
      <c r="C582" s="1" t="n">
        <v>46084</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5936-2026</t>
        </is>
      </c>
      <c r="B583" s="1" t="n">
        <v>46052.47197916666</v>
      </c>
      <c r="C583" s="1" t="n">
        <v>46084</v>
      </c>
      <c r="D583" t="inlineStr">
        <is>
          <t>DALARNAS LÄN</t>
        </is>
      </c>
      <c r="E583" t="inlineStr">
        <is>
          <t>MORA</t>
        </is>
      </c>
      <c r="G583" t="n">
        <v>11.1</v>
      </c>
      <c r="H583" t="n">
        <v>0</v>
      </c>
      <c r="I583" t="n">
        <v>0</v>
      </c>
      <c r="J583" t="n">
        <v>0</v>
      </c>
      <c r="K583" t="n">
        <v>0</v>
      </c>
      <c r="L583" t="n">
        <v>0</v>
      </c>
      <c r="M583" t="n">
        <v>0</v>
      </c>
      <c r="N583" t="n">
        <v>0</v>
      </c>
      <c r="O583" t="n">
        <v>0</v>
      </c>
      <c r="P583" t="n">
        <v>0</v>
      </c>
      <c r="Q583" t="n">
        <v>0</v>
      </c>
      <c r="R583" s="2" t="inlineStr"/>
    </row>
    <row r="584" ht="15" customHeight="1">
      <c r="A584" t="inlineStr">
        <is>
          <t>A 10693-2026</t>
        </is>
      </c>
      <c r="B584" s="1" t="n">
        <v>46078.43366898148</v>
      </c>
      <c r="C584" s="1" t="n">
        <v>46084</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2637-2026</t>
        </is>
      </c>
      <c r="B585" s="1" t="n">
        <v>46037.61490740741</v>
      </c>
      <c r="C585" s="1" t="n">
        <v>46084</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37471-2024</t>
        </is>
      </c>
      <c r="B586" s="1" t="n">
        <v>45540.85054398148</v>
      </c>
      <c r="C586" s="1" t="n">
        <v>46084</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14936-2025</t>
        </is>
      </c>
      <c r="B587" s="1" t="n">
        <v>45743.55756944444</v>
      </c>
      <c r="C587" s="1" t="n">
        <v>46084</v>
      </c>
      <c r="D587" t="inlineStr">
        <is>
          <t>DALARNAS LÄN</t>
        </is>
      </c>
      <c r="E587" t="inlineStr">
        <is>
          <t>MORA</t>
        </is>
      </c>
      <c r="G587" t="n">
        <v>2.4</v>
      </c>
      <c r="H587" t="n">
        <v>0</v>
      </c>
      <c r="I587" t="n">
        <v>0</v>
      </c>
      <c r="J587" t="n">
        <v>0</v>
      </c>
      <c r="K587" t="n">
        <v>0</v>
      </c>
      <c r="L587" t="n">
        <v>0</v>
      </c>
      <c r="M587" t="n">
        <v>0</v>
      </c>
      <c r="N587" t="n">
        <v>0</v>
      </c>
      <c r="O587" t="n">
        <v>0</v>
      </c>
      <c r="P587" t="n">
        <v>0</v>
      </c>
      <c r="Q587" t="n">
        <v>0</v>
      </c>
      <c r="R587" s="2" t="inlineStr"/>
    </row>
    <row r="588" ht="15" customHeight="1">
      <c r="A588" t="inlineStr">
        <is>
          <t>A 3669-2026</t>
        </is>
      </c>
      <c r="B588" s="1" t="n">
        <v>46043.41603009259</v>
      </c>
      <c r="C588" s="1" t="n">
        <v>46084</v>
      </c>
      <c r="D588" t="inlineStr">
        <is>
          <t>DALARNAS LÄN</t>
        </is>
      </c>
      <c r="E588" t="inlineStr">
        <is>
          <t>MORA</t>
        </is>
      </c>
      <c r="G588" t="n">
        <v>4.6</v>
      </c>
      <c r="H588" t="n">
        <v>0</v>
      </c>
      <c r="I588" t="n">
        <v>0</v>
      </c>
      <c r="J588" t="n">
        <v>0</v>
      </c>
      <c r="K588" t="n">
        <v>0</v>
      </c>
      <c r="L588" t="n">
        <v>0</v>
      </c>
      <c r="M588" t="n">
        <v>0</v>
      </c>
      <c r="N588" t="n">
        <v>0</v>
      </c>
      <c r="O588" t="n">
        <v>0</v>
      </c>
      <c r="P588" t="n">
        <v>0</v>
      </c>
      <c r="Q588" t="n">
        <v>0</v>
      </c>
      <c r="R588" s="2" t="inlineStr"/>
    </row>
    <row r="589" ht="15" customHeight="1">
      <c r="A589" t="inlineStr">
        <is>
          <t>A 53344-2023</t>
        </is>
      </c>
      <c r="B589" s="1" t="n">
        <v>45229</v>
      </c>
      <c r="C589" s="1" t="n">
        <v>46084</v>
      </c>
      <c r="D589" t="inlineStr">
        <is>
          <t>DALARNAS LÄN</t>
        </is>
      </c>
      <c r="E589" t="inlineStr">
        <is>
          <t>MORA</t>
        </is>
      </c>
      <c r="G589" t="n">
        <v>2.4</v>
      </c>
      <c r="H589" t="n">
        <v>0</v>
      </c>
      <c r="I589" t="n">
        <v>0</v>
      </c>
      <c r="J589" t="n">
        <v>0</v>
      </c>
      <c r="K589" t="n">
        <v>0</v>
      </c>
      <c r="L589" t="n">
        <v>0</v>
      </c>
      <c r="M589" t="n">
        <v>0</v>
      </c>
      <c r="N589" t="n">
        <v>0</v>
      </c>
      <c r="O589" t="n">
        <v>0</v>
      </c>
      <c r="P589" t="n">
        <v>0</v>
      </c>
      <c r="Q589" t="n">
        <v>0</v>
      </c>
      <c r="R589" s="2" t="inlineStr"/>
    </row>
    <row r="590" ht="15" customHeight="1">
      <c r="A590" t="inlineStr">
        <is>
          <t>A 61412-2025</t>
        </is>
      </c>
      <c r="B590" s="1" t="n">
        <v>46001.5266087963</v>
      </c>
      <c r="C590" s="1" t="n">
        <v>46084</v>
      </c>
      <c r="D590" t="inlineStr">
        <is>
          <t>DALARNAS LÄN</t>
        </is>
      </c>
      <c r="E590" t="inlineStr">
        <is>
          <t>MORA</t>
        </is>
      </c>
      <c r="G590" t="n">
        <v>2.9</v>
      </c>
      <c r="H590" t="n">
        <v>0</v>
      </c>
      <c r="I590" t="n">
        <v>0</v>
      </c>
      <c r="J590" t="n">
        <v>0</v>
      </c>
      <c r="K590" t="n">
        <v>0</v>
      </c>
      <c r="L590" t="n">
        <v>0</v>
      </c>
      <c r="M590" t="n">
        <v>0</v>
      </c>
      <c r="N590" t="n">
        <v>0</v>
      </c>
      <c r="O590" t="n">
        <v>0</v>
      </c>
      <c r="P590" t="n">
        <v>0</v>
      </c>
      <c r="Q590" t="n">
        <v>0</v>
      </c>
      <c r="R590" s="2" t="inlineStr"/>
    </row>
    <row r="591" ht="15" customHeight="1">
      <c r="A591" t="inlineStr">
        <is>
          <t>A 35325-2024</t>
        </is>
      </c>
      <c r="B591" s="1" t="n">
        <v>45530.71158564815</v>
      </c>
      <c r="C591" s="1" t="n">
        <v>46084</v>
      </c>
      <c r="D591" t="inlineStr">
        <is>
          <t>DALARNAS LÄN</t>
        </is>
      </c>
      <c r="E591" t="inlineStr">
        <is>
          <t>MORA</t>
        </is>
      </c>
      <c r="G591" t="n">
        <v>5</v>
      </c>
      <c r="H591" t="n">
        <v>0</v>
      </c>
      <c r="I591" t="n">
        <v>0</v>
      </c>
      <c r="J591" t="n">
        <v>0</v>
      </c>
      <c r="K591" t="n">
        <v>0</v>
      </c>
      <c r="L591" t="n">
        <v>0</v>
      </c>
      <c r="M591" t="n">
        <v>0</v>
      </c>
      <c r="N591" t="n">
        <v>0</v>
      </c>
      <c r="O591" t="n">
        <v>0</v>
      </c>
      <c r="P591" t="n">
        <v>0</v>
      </c>
      <c r="Q591" t="n">
        <v>0</v>
      </c>
      <c r="R591" s="2" t="inlineStr"/>
    </row>
    <row r="592" ht="15" customHeight="1">
      <c r="A592" t="inlineStr">
        <is>
          <t>A 6971-2026</t>
        </is>
      </c>
      <c r="B592" s="1" t="n">
        <v>46057</v>
      </c>
      <c r="C592" s="1" t="n">
        <v>46084</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3440-2026</t>
        </is>
      </c>
      <c r="B593" s="1" t="n">
        <v>46042.475625</v>
      </c>
      <c r="C593" s="1" t="n">
        <v>46084</v>
      </c>
      <c r="D593" t="inlineStr">
        <is>
          <t>DALARNAS LÄN</t>
        </is>
      </c>
      <c r="E593" t="inlineStr">
        <is>
          <t>MORA</t>
        </is>
      </c>
      <c r="G593" t="n">
        <v>6.7</v>
      </c>
      <c r="H593" t="n">
        <v>0</v>
      </c>
      <c r="I593" t="n">
        <v>0</v>
      </c>
      <c r="J593" t="n">
        <v>0</v>
      </c>
      <c r="K593" t="n">
        <v>0</v>
      </c>
      <c r="L593" t="n">
        <v>0</v>
      </c>
      <c r="M593" t="n">
        <v>0</v>
      </c>
      <c r="N593" t="n">
        <v>0</v>
      </c>
      <c r="O593" t="n">
        <v>0</v>
      </c>
      <c r="P593" t="n">
        <v>0</v>
      </c>
      <c r="Q593" t="n">
        <v>0</v>
      </c>
      <c r="R593" s="2" t="inlineStr"/>
    </row>
    <row r="594" ht="15" customHeight="1">
      <c r="A594" t="inlineStr">
        <is>
          <t>A 3876-2026</t>
        </is>
      </c>
      <c r="B594" s="1" t="n">
        <v>46043.64811342592</v>
      </c>
      <c r="C594" s="1" t="n">
        <v>46084</v>
      </c>
      <c r="D594" t="inlineStr">
        <is>
          <t>DALARNAS LÄN</t>
        </is>
      </c>
      <c r="E594" t="inlineStr">
        <is>
          <t>MORA</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66232-2021</t>
        </is>
      </c>
      <c r="B595" s="1" t="n">
        <v>44518.39234953704</v>
      </c>
      <c r="C595" s="1" t="n">
        <v>46084</v>
      </c>
      <c r="D595" t="inlineStr">
        <is>
          <t>DALARNAS LÄN</t>
        </is>
      </c>
      <c r="E595" t="inlineStr">
        <is>
          <t>MORA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53754-2024</t>
        </is>
      </c>
      <c r="B596" s="1" t="n">
        <v>45615.49371527778</v>
      </c>
      <c r="C596" s="1" t="n">
        <v>46084</v>
      </c>
      <c r="D596" t="inlineStr">
        <is>
          <t>DALARNAS LÄN</t>
        </is>
      </c>
      <c r="E596" t="inlineStr">
        <is>
          <t>MORA</t>
        </is>
      </c>
      <c r="G596" t="n">
        <v>4.8</v>
      </c>
      <c r="H596" t="n">
        <v>0</v>
      </c>
      <c r="I596" t="n">
        <v>0</v>
      </c>
      <c r="J596" t="n">
        <v>0</v>
      </c>
      <c r="K596" t="n">
        <v>0</v>
      </c>
      <c r="L596" t="n">
        <v>0</v>
      </c>
      <c r="M596" t="n">
        <v>0</v>
      </c>
      <c r="N596" t="n">
        <v>0</v>
      </c>
      <c r="O596" t="n">
        <v>0</v>
      </c>
      <c r="P596" t="n">
        <v>0</v>
      </c>
      <c r="Q596" t="n">
        <v>0</v>
      </c>
      <c r="R596" s="2" t="inlineStr"/>
    </row>
    <row r="597" ht="15" customHeight="1">
      <c r="A597" t="inlineStr">
        <is>
          <t>A 14040-2023</t>
        </is>
      </c>
      <c r="B597" s="1" t="n">
        <v>45008.64575231481</v>
      </c>
      <c r="C597" s="1" t="n">
        <v>46084</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56770-2024</t>
        </is>
      </c>
      <c r="B598" s="1" t="n">
        <v>45628.41587962963</v>
      </c>
      <c r="C598" s="1" t="n">
        <v>46084</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45562-2023</t>
        </is>
      </c>
      <c r="B599" s="1" t="n">
        <v>45194.59378472222</v>
      </c>
      <c r="C599" s="1" t="n">
        <v>46084</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61455-2025</t>
        </is>
      </c>
      <c r="B600" s="1" t="n">
        <v>46001.58590277778</v>
      </c>
      <c r="C600" s="1" t="n">
        <v>46084</v>
      </c>
      <c r="D600" t="inlineStr">
        <is>
          <t>DALARNAS LÄN</t>
        </is>
      </c>
      <c r="E600" t="inlineStr">
        <is>
          <t>MORA</t>
        </is>
      </c>
      <c r="G600" t="n">
        <v>3.4</v>
      </c>
      <c r="H600" t="n">
        <v>0</v>
      </c>
      <c r="I600" t="n">
        <v>0</v>
      </c>
      <c r="J600" t="n">
        <v>0</v>
      </c>
      <c r="K600" t="n">
        <v>0</v>
      </c>
      <c r="L600" t="n">
        <v>0</v>
      </c>
      <c r="M600" t="n">
        <v>0</v>
      </c>
      <c r="N600" t="n">
        <v>0</v>
      </c>
      <c r="O600" t="n">
        <v>0</v>
      </c>
      <c r="P600" t="n">
        <v>0</v>
      </c>
      <c r="Q600" t="n">
        <v>0</v>
      </c>
      <c r="R600" s="2" t="inlineStr"/>
    </row>
    <row r="601" ht="15" customHeight="1">
      <c r="A601" t="inlineStr">
        <is>
          <t>A 9536-2026</t>
        </is>
      </c>
      <c r="B601" s="1" t="n">
        <v>46071</v>
      </c>
      <c r="C601" s="1" t="n">
        <v>46084</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18120-2025</t>
        </is>
      </c>
      <c r="B602" s="1" t="n">
        <v>45761</v>
      </c>
      <c r="C602" s="1" t="n">
        <v>46084</v>
      </c>
      <c r="D602" t="inlineStr">
        <is>
          <t>DALARNAS LÄN</t>
        </is>
      </c>
      <c r="E602" t="inlineStr">
        <is>
          <t>MORA</t>
        </is>
      </c>
      <c r="F602" t="inlineStr">
        <is>
          <t>Bergvik skog väst AB</t>
        </is>
      </c>
      <c r="G602" t="n">
        <v>6.4</v>
      </c>
      <c r="H602" t="n">
        <v>0</v>
      </c>
      <c r="I602" t="n">
        <v>0</v>
      </c>
      <c r="J602" t="n">
        <v>0</v>
      </c>
      <c r="K602" t="n">
        <v>0</v>
      </c>
      <c r="L602" t="n">
        <v>0</v>
      </c>
      <c r="M602" t="n">
        <v>0</v>
      </c>
      <c r="N602" t="n">
        <v>0</v>
      </c>
      <c r="O602" t="n">
        <v>0</v>
      </c>
      <c r="P602" t="n">
        <v>0</v>
      </c>
      <c r="Q602" t="n">
        <v>0</v>
      </c>
      <c r="R602" s="2" t="inlineStr"/>
    </row>
    <row r="603" ht="15" customHeight="1">
      <c r="A603" t="inlineStr">
        <is>
          <t>A 18127-2025</t>
        </is>
      </c>
      <c r="B603" s="1" t="n">
        <v>45761.59523148148</v>
      </c>
      <c r="C603" s="1" t="n">
        <v>46084</v>
      </c>
      <c r="D603" t="inlineStr">
        <is>
          <t>DALARNAS LÄN</t>
        </is>
      </c>
      <c r="E603" t="inlineStr">
        <is>
          <t>MORA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2110-2026</t>
        </is>
      </c>
      <c r="B604" s="1" t="n">
        <v>46036</v>
      </c>
      <c r="C604" s="1" t="n">
        <v>46084</v>
      </c>
      <c r="D604" t="inlineStr">
        <is>
          <t>DALARNAS LÄN</t>
        </is>
      </c>
      <c r="E604" t="inlineStr">
        <is>
          <t>MORA</t>
        </is>
      </c>
      <c r="G604" t="n">
        <v>7.2</v>
      </c>
      <c r="H604" t="n">
        <v>0</v>
      </c>
      <c r="I604" t="n">
        <v>0</v>
      </c>
      <c r="J604" t="n">
        <v>0</v>
      </c>
      <c r="K604" t="n">
        <v>0</v>
      </c>
      <c r="L604" t="n">
        <v>0</v>
      </c>
      <c r="M604" t="n">
        <v>0</v>
      </c>
      <c r="N604" t="n">
        <v>0</v>
      </c>
      <c r="O604" t="n">
        <v>0</v>
      </c>
      <c r="P604" t="n">
        <v>0</v>
      </c>
      <c r="Q604" t="n">
        <v>0</v>
      </c>
      <c r="R604" s="2" t="inlineStr"/>
    </row>
    <row r="605" ht="15" customHeight="1">
      <c r="A605" t="inlineStr">
        <is>
          <t>A 51570-2023</t>
        </is>
      </c>
      <c r="B605" s="1" t="n">
        <v>45222</v>
      </c>
      <c r="C605" s="1" t="n">
        <v>46084</v>
      </c>
      <c r="D605" t="inlineStr">
        <is>
          <t>DALARNAS LÄN</t>
        </is>
      </c>
      <c r="E605" t="inlineStr">
        <is>
          <t>MORA</t>
        </is>
      </c>
      <c r="G605" t="n">
        <v>10.1</v>
      </c>
      <c r="H605" t="n">
        <v>0</v>
      </c>
      <c r="I605" t="n">
        <v>0</v>
      </c>
      <c r="J605" t="n">
        <v>0</v>
      </c>
      <c r="K605" t="n">
        <v>0</v>
      </c>
      <c r="L605" t="n">
        <v>0</v>
      </c>
      <c r="M605" t="n">
        <v>0</v>
      </c>
      <c r="N605" t="n">
        <v>0</v>
      </c>
      <c r="O605" t="n">
        <v>0</v>
      </c>
      <c r="P605" t="n">
        <v>0</v>
      </c>
      <c r="Q605" t="n">
        <v>0</v>
      </c>
      <c r="R605" s="2" t="inlineStr"/>
    </row>
    <row r="606" ht="15" customHeight="1">
      <c r="A606" t="inlineStr">
        <is>
          <t>A 5709-2026</t>
        </is>
      </c>
      <c r="B606" s="1" t="n">
        <v>46051</v>
      </c>
      <c r="C606" s="1" t="n">
        <v>46084</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673-2026</t>
        </is>
      </c>
      <c r="B607" s="1" t="n">
        <v>46029</v>
      </c>
      <c r="C607" s="1" t="n">
        <v>46084</v>
      </c>
      <c r="D607" t="inlineStr">
        <is>
          <t>DALARNAS LÄN</t>
        </is>
      </c>
      <c r="E607" t="inlineStr">
        <is>
          <t>MORA</t>
        </is>
      </c>
      <c r="F607" t="inlineStr">
        <is>
          <t>Kommuner</t>
        </is>
      </c>
      <c r="G607" t="n">
        <v>25.8</v>
      </c>
      <c r="H607" t="n">
        <v>0</v>
      </c>
      <c r="I607" t="n">
        <v>0</v>
      </c>
      <c r="J607" t="n">
        <v>0</v>
      </c>
      <c r="K607" t="n">
        <v>0</v>
      </c>
      <c r="L607" t="n">
        <v>0</v>
      </c>
      <c r="M607" t="n">
        <v>0</v>
      </c>
      <c r="N607" t="n">
        <v>0</v>
      </c>
      <c r="O607" t="n">
        <v>0</v>
      </c>
      <c r="P607" t="n">
        <v>0</v>
      </c>
      <c r="Q607" t="n">
        <v>0</v>
      </c>
      <c r="R607" s="2" t="inlineStr"/>
    </row>
    <row r="608" ht="15" customHeight="1">
      <c r="A608" t="inlineStr">
        <is>
          <t>A 4489-2022</t>
        </is>
      </c>
      <c r="B608" s="1" t="n">
        <v>44589</v>
      </c>
      <c r="C608" s="1" t="n">
        <v>46084</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45574-2023</t>
        </is>
      </c>
      <c r="B609" s="1" t="n">
        <v>45194</v>
      </c>
      <c r="C609" s="1" t="n">
        <v>46084</v>
      </c>
      <c r="D609" t="inlineStr">
        <is>
          <t>DALARNAS LÄN</t>
        </is>
      </c>
      <c r="E609" t="inlineStr">
        <is>
          <t>MORA</t>
        </is>
      </c>
      <c r="G609" t="n">
        <v>6.3</v>
      </c>
      <c r="H609" t="n">
        <v>0</v>
      </c>
      <c r="I609" t="n">
        <v>0</v>
      </c>
      <c r="J609" t="n">
        <v>0</v>
      </c>
      <c r="K609" t="n">
        <v>0</v>
      </c>
      <c r="L609" t="n">
        <v>0</v>
      </c>
      <c r="M609" t="n">
        <v>0</v>
      </c>
      <c r="N609" t="n">
        <v>0</v>
      </c>
      <c r="O609" t="n">
        <v>0</v>
      </c>
      <c r="P609" t="n">
        <v>0</v>
      </c>
      <c r="Q609" t="n">
        <v>0</v>
      </c>
      <c r="R609" s="2" t="inlineStr"/>
    </row>
    <row r="610" ht="15" customHeight="1">
      <c r="A610" t="inlineStr">
        <is>
          <t>A 45315-2024</t>
        </is>
      </c>
      <c r="B610" s="1" t="n">
        <v>45576.43782407408</v>
      </c>
      <c r="C610" s="1" t="n">
        <v>46084</v>
      </c>
      <c r="D610" t="inlineStr">
        <is>
          <t>DALARNAS LÄN</t>
        </is>
      </c>
      <c r="E610" t="inlineStr">
        <is>
          <t>MORA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4155-2026</t>
        </is>
      </c>
      <c r="B611" s="1" t="n">
        <v>46044.6533449074</v>
      </c>
      <c r="C611" s="1" t="n">
        <v>46084</v>
      </c>
      <c r="D611" t="inlineStr">
        <is>
          <t>DALARNAS LÄN</t>
        </is>
      </c>
      <c r="E611" t="inlineStr">
        <is>
          <t>MORA</t>
        </is>
      </c>
      <c r="G611" t="n">
        <v>0.8</v>
      </c>
      <c r="H611" t="n">
        <v>0</v>
      </c>
      <c r="I611" t="n">
        <v>0</v>
      </c>
      <c r="J611" t="n">
        <v>0</v>
      </c>
      <c r="K611" t="n">
        <v>0</v>
      </c>
      <c r="L611" t="n">
        <v>0</v>
      </c>
      <c r="M611" t="n">
        <v>0</v>
      </c>
      <c r="N611" t="n">
        <v>0</v>
      </c>
      <c r="O611" t="n">
        <v>0</v>
      </c>
      <c r="P611" t="n">
        <v>0</v>
      </c>
      <c r="Q611" t="n">
        <v>0</v>
      </c>
      <c r="R611" s="2" t="inlineStr"/>
    </row>
    <row r="612" ht="15" customHeight="1">
      <c r="A612" t="inlineStr">
        <is>
          <t>A 17172-2025</t>
        </is>
      </c>
      <c r="B612" s="1" t="n">
        <v>45756.37201388889</v>
      </c>
      <c r="C612" s="1" t="n">
        <v>46084</v>
      </c>
      <c r="D612" t="inlineStr">
        <is>
          <t>DALARNAS LÄN</t>
        </is>
      </c>
      <c r="E612" t="inlineStr">
        <is>
          <t>MORA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2521-2026</t>
        </is>
      </c>
      <c r="B613" s="1" t="n">
        <v>46037.42600694444</v>
      </c>
      <c r="C613" s="1" t="n">
        <v>46084</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316-2026</t>
        </is>
      </c>
      <c r="B614" s="1" t="n">
        <v>46027</v>
      </c>
      <c r="C614" s="1" t="n">
        <v>46084</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11176-2026</t>
        </is>
      </c>
      <c r="B615" s="1" t="n">
        <v>46080.38643518519</v>
      </c>
      <c r="C615" s="1" t="n">
        <v>46084</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9350-2026</t>
        </is>
      </c>
      <c r="B616" s="1" t="n">
        <v>46070</v>
      </c>
      <c r="C616" s="1" t="n">
        <v>46084</v>
      </c>
      <c r="D616" t="inlineStr">
        <is>
          <t>DALARNAS LÄN</t>
        </is>
      </c>
      <c r="E616" t="inlineStr">
        <is>
          <t>MORA</t>
        </is>
      </c>
      <c r="G616" t="n">
        <v>0.9</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46084</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56532-2024</t>
        </is>
      </c>
      <c r="B618" s="1" t="n">
        <v>45625.55440972222</v>
      </c>
      <c r="C618" s="1" t="n">
        <v>46084</v>
      </c>
      <c r="D618" t="inlineStr">
        <is>
          <t>DALARNAS LÄN</t>
        </is>
      </c>
      <c r="E618" t="inlineStr">
        <is>
          <t>MORA</t>
        </is>
      </c>
      <c r="G618" t="n">
        <v>6.9</v>
      </c>
      <c r="H618" t="n">
        <v>0</v>
      </c>
      <c r="I618" t="n">
        <v>0</v>
      </c>
      <c r="J618" t="n">
        <v>0</v>
      </c>
      <c r="K618" t="n">
        <v>0</v>
      </c>
      <c r="L618" t="n">
        <v>0</v>
      </c>
      <c r="M618" t="n">
        <v>0</v>
      </c>
      <c r="N618" t="n">
        <v>0</v>
      </c>
      <c r="O618" t="n">
        <v>0</v>
      </c>
      <c r="P618" t="n">
        <v>0</v>
      </c>
      <c r="Q618" t="n">
        <v>0</v>
      </c>
      <c r="R618" s="2" t="inlineStr"/>
    </row>
    <row r="619" ht="15" customHeight="1">
      <c r="A619" t="inlineStr">
        <is>
          <t>A 61606-2025</t>
        </is>
      </c>
      <c r="B619" s="1" t="n">
        <v>46002.37662037037</v>
      </c>
      <c r="C619" s="1" t="n">
        <v>46084</v>
      </c>
      <c r="D619" t="inlineStr">
        <is>
          <t>DALARNAS LÄN</t>
        </is>
      </c>
      <c r="E619" t="inlineStr">
        <is>
          <t>MORA</t>
        </is>
      </c>
      <c r="G619" t="n">
        <v>6.1</v>
      </c>
      <c r="H619" t="n">
        <v>0</v>
      </c>
      <c r="I619" t="n">
        <v>0</v>
      </c>
      <c r="J619" t="n">
        <v>0</v>
      </c>
      <c r="K619" t="n">
        <v>0</v>
      </c>
      <c r="L619" t="n">
        <v>0</v>
      </c>
      <c r="M619" t="n">
        <v>0</v>
      </c>
      <c r="N619" t="n">
        <v>0</v>
      </c>
      <c r="O619" t="n">
        <v>0</v>
      </c>
      <c r="P619" t="n">
        <v>0</v>
      </c>
      <c r="Q619" t="n">
        <v>0</v>
      </c>
      <c r="R619" s="2" t="inlineStr"/>
    </row>
    <row r="620" ht="15" customHeight="1">
      <c r="A620" t="inlineStr">
        <is>
          <t>A 61624-2025</t>
        </is>
      </c>
      <c r="B620" s="1" t="n">
        <v>46002.39755787037</v>
      </c>
      <c r="C620" s="1" t="n">
        <v>46084</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10181-2026</t>
        </is>
      </c>
      <c r="B621" s="1" t="n">
        <v>46076</v>
      </c>
      <c r="C621" s="1" t="n">
        <v>46084</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61620-2025</t>
        </is>
      </c>
      <c r="B622" s="1" t="n">
        <v>46002.39347222223</v>
      </c>
      <c r="C622" s="1" t="n">
        <v>46084</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5001-2025</t>
        </is>
      </c>
      <c r="B623" s="1" t="n">
        <v>45691.36403935185</v>
      </c>
      <c r="C623" s="1" t="n">
        <v>46084</v>
      </c>
      <c r="D623" t="inlineStr">
        <is>
          <t>DALARNAS LÄN</t>
        </is>
      </c>
      <c r="E623" t="inlineStr">
        <is>
          <t>MORA</t>
        </is>
      </c>
      <c r="G623" t="n">
        <v>1.3</v>
      </c>
      <c r="H623" t="n">
        <v>0</v>
      </c>
      <c r="I623" t="n">
        <v>0</v>
      </c>
      <c r="J623" t="n">
        <v>0</v>
      </c>
      <c r="K623" t="n">
        <v>0</v>
      </c>
      <c r="L623" t="n">
        <v>0</v>
      </c>
      <c r="M623" t="n">
        <v>0</v>
      </c>
      <c r="N623" t="n">
        <v>0</v>
      </c>
      <c r="O623" t="n">
        <v>0</v>
      </c>
      <c r="P623" t="n">
        <v>0</v>
      </c>
      <c r="Q623" t="n">
        <v>0</v>
      </c>
      <c r="R623" s="2" t="inlineStr"/>
    </row>
    <row r="624" ht="15" customHeight="1">
      <c r="A624" t="inlineStr">
        <is>
          <t>A 61995-2025</t>
        </is>
      </c>
      <c r="B624" s="1" t="n">
        <v>46003.63954861111</v>
      </c>
      <c r="C624" s="1" t="n">
        <v>46084</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60360-2023</t>
        </is>
      </c>
      <c r="B625" s="1" t="n">
        <v>45259</v>
      </c>
      <c r="C625" s="1" t="n">
        <v>46084</v>
      </c>
      <c r="D625" t="inlineStr">
        <is>
          <t>DALARNAS LÄN</t>
        </is>
      </c>
      <c r="E625" t="inlineStr">
        <is>
          <t>MORA</t>
        </is>
      </c>
      <c r="G625" t="n">
        <v>2.9</v>
      </c>
      <c r="H625" t="n">
        <v>0</v>
      </c>
      <c r="I625" t="n">
        <v>0</v>
      </c>
      <c r="J625" t="n">
        <v>0</v>
      </c>
      <c r="K625" t="n">
        <v>0</v>
      </c>
      <c r="L625" t="n">
        <v>0</v>
      </c>
      <c r="M625" t="n">
        <v>0</v>
      </c>
      <c r="N625" t="n">
        <v>0</v>
      </c>
      <c r="O625" t="n">
        <v>0</v>
      </c>
      <c r="P625" t="n">
        <v>0</v>
      </c>
      <c r="Q625" t="n">
        <v>0</v>
      </c>
      <c r="R625" s="2" t="inlineStr"/>
    </row>
    <row r="626" ht="15" customHeight="1">
      <c r="A626" t="inlineStr">
        <is>
          <t>A 17164-2025</t>
        </is>
      </c>
      <c r="B626" s="1" t="n">
        <v>45756.36403935185</v>
      </c>
      <c r="C626" s="1" t="n">
        <v>46084</v>
      </c>
      <c r="D626" t="inlineStr">
        <is>
          <t>DALARNAS LÄN</t>
        </is>
      </c>
      <c r="E626" t="inlineStr">
        <is>
          <t>MORA</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24768-2024</t>
        </is>
      </c>
      <c r="B627" s="1" t="n">
        <v>45460.69545138889</v>
      </c>
      <c r="C627" s="1" t="n">
        <v>46084</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3260-2026</t>
        </is>
      </c>
      <c r="B628" s="1" t="n">
        <v>46041</v>
      </c>
      <c r="C628" s="1" t="n">
        <v>46084</v>
      </c>
      <c r="D628" t="inlineStr">
        <is>
          <t>DALARNAS LÄN</t>
        </is>
      </c>
      <c r="E628" t="inlineStr">
        <is>
          <t>MORA</t>
        </is>
      </c>
      <c r="G628" t="n">
        <v>27.1</v>
      </c>
      <c r="H628" t="n">
        <v>0</v>
      </c>
      <c r="I628" t="n">
        <v>0</v>
      </c>
      <c r="J628" t="n">
        <v>0</v>
      </c>
      <c r="K628" t="n">
        <v>0</v>
      </c>
      <c r="L628" t="n">
        <v>0</v>
      </c>
      <c r="M628" t="n">
        <v>0</v>
      </c>
      <c r="N628" t="n">
        <v>0</v>
      </c>
      <c r="O628" t="n">
        <v>0</v>
      </c>
      <c r="P628" t="n">
        <v>0</v>
      </c>
      <c r="Q628" t="n">
        <v>0</v>
      </c>
      <c r="R628" s="2" t="inlineStr"/>
    </row>
    <row r="629" ht="15" customHeight="1">
      <c r="A629" t="inlineStr">
        <is>
          <t>A 5803-2026</t>
        </is>
      </c>
      <c r="B629" s="1" t="n">
        <v>46051</v>
      </c>
      <c r="C629" s="1" t="n">
        <v>46084</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3247-2026</t>
        </is>
      </c>
      <c r="B630" s="1" t="n">
        <v>46041</v>
      </c>
      <c r="C630" s="1" t="n">
        <v>46084</v>
      </c>
      <c r="D630" t="inlineStr">
        <is>
          <t>DALARNAS LÄN</t>
        </is>
      </c>
      <c r="E630" t="inlineStr">
        <is>
          <t>MORA</t>
        </is>
      </c>
      <c r="G630" t="n">
        <v>1</v>
      </c>
      <c r="H630" t="n">
        <v>0</v>
      </c>
      <c r="I630" t="n">
        <v>0</v>
      </c>
      <c r="J630" t="n">
        <v>0</v>
      </c>
      <c r="K630" t="n">
        <v>0</v>
      </c>
      <c r="L630" t="n">
        <v>0</v>
      </c>
      <c r="M630" t="n">
        <v>0</v>
      </c>
      <c r="N630" t="n">
        <v>0</v>
      </c>
      <c r="O630" t="n">
        <v>0</v>
      </c>
      <c r="P630" t="n">
        <v>0</v>
      </c>
      <c r="Q630" t="n">
        <v>0</v>
      </c>
      <c r="R630" s="2" t="inlineStr"/>
    </row>
    <row r="631" ht="15" customHeight="1">
      <c r="A631" t="inlineStr">
        <is>
          <t>A 2995-2026</t>
        </is>
      </c>
      <c r="B631" s="1" t="n">
        <v>46038</v>
      </c>
      <c r="C631" s="1" t="n">
        <v>46084</v>
      </c>
      <c r="D631" t="inlineStr">
        <is>
          <t>DALARNAS LÄN</t>
        </is>
      </c>
      <c r="E631" t="inlineStr">
        <is>
          <t>MORA</t>
        </is>
      </c>
      <c r="G631" t="n">
        <v>2.3</v>
      </c>
      <c r="H631" t="n">
        <v>0</v>
      </c>
      <c r="I631" t="n">
        <v>0</v>
      </c>
      <c r="J631" t="n">
        <v>0</v>
      </c>
      <c r="K631" t="n">
        <v>0</v>
      </c>
      <c r="L631" t="n">
        <v>0</v>
      </c>
      <c r="M631" t="n">
        <v>0</v>
      </c>
      <c r="N631" t="n">
        <v>0</v>
      </c>
      <c r="O631" t="n">
        <v>0</v>
      </c>
      <c r="P631" t="n">
        <v>0</v>
      </c>
      <c r="Q631" t="n">
        <v>0</v>
      </c>
      <c r="R631" s="2" t="inlineStr"/>
    </row>
    <row r="632" ht="15" customHeight="1">
      <c r="A632" t="inlineStr">
        <is>
          <t>A 2786-2026</t>
        </is>
      </c>
      <c r="B632" s="1" t="n">
        <v>46038.39023148148</v>
      </c>
      <c r="C632" s="1" t="n">
        <v>46084</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62055-2025</t>
        </is>
      </c>
      <c r="B633" s="1" t="n">
        <v>46006.3365625</v>
      </c>
      <c r="C633" s="1" t="n">
        <v>46084</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59995-2023</t>
        </is>
      </c>
      <c r="B634" s="1" t="n">
        <v>45254</v>
      </c>
      <c r="C634" s="1" t="n">
        <v>46084</v>
      </c>
      <c r="D634" t="inlineStr">
        <is>
          <t>DALARNAS LÄN</t>
        </is>
      </c>
      <c r="E634" t="inlineStr">
        <is>
          <t>MORA</t>
        </is>
      </c>
      <c r="G634" t="n">
        <v>1.2</v>
      </c>
      <c r="H634" t="n">
        <v>0</v>
      </c>
      <c r="I634" t="n">
        <v>0</v>
      </c>
      <c r="J634" t="n">
        <v>0</v>
      </c>
      <c r="K634" t="n">
        <v>0</v>
      </c>
      <c r="L634" t="n">
        <v>0</v>
      </c>
      <c r="M634" t="n">
        <v>0</v>
      </c>
      <c r="N634" t="n">
        <v>0</v>
      </c>
      <c r="O634" t="n">
        <v>0</v>
      </c>
      <c r="P634" t="n">
        <v>0</v>
      </c>
      <c r="Q634" t="n">
        <v>0</v>
      </c>
      <c r="R634" s="2" t="inlineStr"/>
    </row>
    <row r="635" ht="15" customHeight="1">
      <c r="A635" t="inlineStr">
        <is>
          <t>A 5116-2026</t>
        </is>
      </c>
      <c r="B635" s="1" t="n">
        <v>46049.57591435185</v>
      </c>
      <c r="C635" s="1" t="n">
        <v>46084</v>
      </c>
      <c r="D635" t="inlineStr">
        <is>
          <t>DALARNAS LÄN</t>
        </is>
      </c>
      <c r="E635" t="inlineStr">
        <is>
          <t>MORA</t>
        </is>
      </c>
      <c r="F635" t="inlineStr">
        <is>
          <t>Bergvik skog öst AB</t>
        </is>
      </c>
      <c r="G635" t="n">
        <v>2.9</v>
      </c>
      <c r="H635" t="n">
        <v>0</v>
      </c>
      <c r="I635" t="n">
        <v>0</v>
      </c>
      <c r="J635" t="n">
        <v>0</v>
      </c>
      <c r="K635" t="n">
        <v>0</v>
      </c>
      <c r="L635" t="n">
        <v>0</v>
      </c>
      <c r="M635" t="n">
        <v>0</v>
      </c>
      <c r="N635" t="n">
        <v>0</v>
      </c>
      <c r="O635" t="n">
        <v>0</v>
      </c>
      <c r="P635" t="n">
        <v>0</v>
      </c>
      <c r="Q635" t="n">
        <v>0</v>
      </c>
      <c r="R635" s="2" t="inlineStr"/>
    </row>
    <row r="636" ht="15" customHeight="1">
      <c r="A636" t="inlineStr">
        <is>
          <t>A 62054-2025</t>
        </is>
      </c>
      <c r="B636" s="1" t="n">
        <v>46006.33462962963</v>
      </c>
      <c r="C636" s="1" t="n">
        <v>46084</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4906-2026</t>
        </is>
      </c>
      <c r="B637" s="1" t="n">
        <v>46048.70013888889</v>
      </c>
      <c r="C637" s="1" t="n">
        <v>46084</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11452-2026</t>
        </is>
      </c>
      <c r="B638" s="1" t="n">
        <v>46083.56024305556</v>
      </c>
      <c r="C638" s="1" t="n">
        <v>46084</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17278-2025</t>
        </is>
      </c>
      <c r="B639" s="1" t="n">
        <v>45756.56131944444</v>
      </c>
      <c r="C639" s="1" t="n">
        <v>46084</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4209-2023</t>
        </is>
      </c>
      <c r="B640" s="1" t="n">
        <v>44953</v>
      </c>
      <c r="C640" s="1" t="n">
        <v>46084</v>
      </c>
      <c r="D640" t="inlineStr">
        <is>
          <t>DALARNAS LÄN</t>
        </is>
      </c>
      <c r="E640" t="inlineStr">
        <is>
          <t>MORA</t>
        </is>
      </c>
      <c r="G640" t="n">
        <v>1</v>
      </c>
      <c r="H640" t="n">
        <v>0</v>
      </c>
      <c r="I640" t="n">
        <v>0</v>
      </c>
      <c r="J640" t="n">
        <v>0</v>
      </c>
      <c r="K640" t="n">
        <v>0</v>
      </c>
      <c r="L640" t="n">
        <v>0</v>
      </c>
      <c r="M640" t="n">
        <v>0</v>
      </c>
      <c r="N640" t="n">
        <v>0</v>
      </c>
      <c r="O640" t="n">
        <v>0</v>
      </c>
      <c r="P640" t="n">
        <v>0</v>
      </c>
      <c r="Q640" t="n">
        <v>0</v>
      </c>
      <c r="R640" s="2" t="inlineStr"/>
    </row>
    <row r="641" ht="15" customHeight="1">
      <c r="A641" t="inlineStr">
        <is>
          <t>A 62548-2025</t>
        </is>
      </c>
      <c r="B641" s="1" t="n">
        <v>46007.66275462963</v>
      </c>
      <c r="C641" s="1" t="n">
        <v>46084</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46084</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22732-2024</t>
        </is>
      </c>
      <c r="B643" s="1" t="n">
        <v>45448.38677083333</v>
      </c>
      <c r="C643" s="1" t="n">
        <v>46084</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19756-2022</t>
        </is>
      </c>
      <c r="B644" s="1" t="n">
        <v>44694.62913194444</v>
      </c>
      <c r="C644" s="1" t="n">
        <v>46084</v>
      </c>
      <c r="D644" t="inlineStr">
        <is>
          <t>DALARNAS LÄN</t>
        </is>
      </c>
      <c r="E644" t="inlineStr">
        <is>
          <t>MORA</t>
        </is>
      </c>
      <c r="G644" t="n">
        <v>1</v>
      </c>
      <c r="H644" t="n">
        <v>0</v>
      </c>
      <c r="I644" t="n">
        <v>0</v>
      </c>
      <c r="J644" t="n">
        <v>0</v>
      </c>
      <c r="K644" t="n">
        <v>0</v>
      </c>
      <c r="L644" t="n">
        <v>0</v>
      </c>
      <c r="M644" t="n">
        <v>0</v>
      </c>
      <c r="N644" t="n">
        <v>0</v>
      </c>
      <c r="O644" t="n">
        <v>0</v>
      </c>
      <c r="P644" t="n">
        <v>0</v>
      </c>
      <c r="Q644" t="n">
        <v>0</v>
      </c>
      <c r="R644" s="2" t="inlineStr"/>
    </row>
    <row r="645" ht="15" customHeight="1">
      <c r="A645" t="inlineStr">
        <is>
          <t>A 3145-2026</t>
        </is>
      </c>
      <c r="B645" s="1" t="n">
        <v>46041.41971064815</v>
      </c>
      <c r="C645" s="1" t="n">
        <v>46084</v>
      </c>
      <c r="D645" t="inlineStr">
        <is>
          <t>DALARNAS LÄN</t>
        </is>
      </c>
      <c r="E645" t="inlineStr">
        <is>
          <t>MORA</t>
        </is>
      </c>
      <c r="G645" t="n">
        <v>4.3</v>
      </c>
      <c r="H645" t="n">
        <v>0</v>
      </c>
      <c r="I645" t="n">
        <v>0</v>
      </c>
      <c r="J645" t="n">
        <v>0</v>
      </c>
      <c r="K645" t="n">
        <v>0</v>
      </c>
      <c r="L645" t="n">
        <v>0</v>
      </c>
      <c r="M645" t="n">
        <v>0</v>
      </c>
      <c r="N645" t="n">
        <v>0</v>
      </c>
      <c r="O645" t="n">
        <v>0</v>
      </c>
      <c r="P645" t="n">
        <v>0</v>
      </c>
      <c r="Q645" t="n">
        <v>0</v>
      </c>
      <c r="R645" s="2" t="inlineStr"/>
    </row>
    <row r="646" ht="15" customHeight="1">
      <c r="A646" t="inlineStr">
        <is>
          <t>A 3149-2026</t>
        </is>
      </c>
      <c r="B646" s="1" t="n">
        <v>46041.42416666666</v>
      </c>
      <c r="C646" s="1" t="n">
        <v>46084</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46801-2022</t>
        </is>
      </c>
      <c r="B647" s="1" t="n">
        <v>44851</v>
      </c>
      <c r="C647" s="1" t="n">
        <v>46084</v>
      </c>
      <c r="D647" t="inlineStr">
        <is>
          <t>DALARNAS LÄN</t>
        </is>
      </c>
      <c r="E647" t="inlineStr">
        <is>
          <t>MORA</t>
        </is>
      </c>
      <c r="G647" t="n">
        <v>1.5</v>
      </c>
      <c r="H647" t="n">
        <v>0</v>
      </c>
      <c r="I647" t="n">
        <v>0</v>
      </c>
      <c r="J647" t="n">
        <v>0</v>
      </c>
      <c r="K647" t="n">
        <v>0</v>
      </c>
      <c r="L647" t="n">
        <v>0</v>
      </c>
      <c r="M647" t="n">
        <v>0</v>
      </c>
      <c r="N647" t="n">
        <v>0</v>
      </c>
      <c r="O647" t="n">
        <v>0</v>
      </c>
      <c r="P647" t="n">
        <v>0</v>
      </c>
      <c r="Q647" t="n">
        <v>0</v>
      </c>
      <c r="R647" s="2" t="inlineStr"/>
    </row>
    <row r="648" ht="15" customHeight="1">
      <c r="A648" t="inlineStr">
        <is>
          <t>A 5644-2024</t>
        </is>
      </c>
      <c r="B648" s="1" t="n">
        <v>45334</v>
      </c>
      <c r="C648" s="1" t="n">
        <v>46084</v>
      </c>
      <c r="D648" t="inlineStr">
        <is>
          <t>DALARNAS LÄN</t>
        </is>
      </c>
      <c r="E648" t="inlineStr">
        <is>
          <t>MORA</t>
        </is>
      </c>
      <c r="F648" t="inlineStr">
        <is>
          <t>Bergvik skog väst AB</t>
        </is>
      </c>
      <c r="G648" t="n">
        <v>0.6</v>
      </c>
      <c r="H648" t="n">
        <v>0</v>
      </c>
      <c r="I648" t="n">
        <v>0</v>
      </c>
      <c r="J648" t="n">
        <v>0</v>
      </c>
      <c r="K648" t="n">
        <v>0</v>
      </c>
      <c r="L648" t="n">
        <v>0</v>
      </c>
      <c r="M648" t="n">
        <v>0</v>
      </c>
      <c r="N648" t="n">
        <v>0</v>
      </c>
      <c r="O648" t="n">
        <v>0</v>
      </c>
      <c r="P648" t="n">
        <v>0</v>
      </c>
      <c r="Q648" t="n">
        <v>0</v>
      </c>
      <c r="R648" s="2" t="inlineStr"/>
    </row>
    <row r="649" ht="15" customHeight="1">
      <c r="A649" t="inlineStr">
        <is>
          <t>A 33627-2024</t>
        </is>
      </c>
      <c r="B649" s="1" t="n">
        <v>45520</v>
      </c>
      <c r="C649" s="1" t="n">
        <v>46084</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46923-2024</t>
        </is>
      </c>
      <c r="B650" s="1" t="n">
        <v>45584.42887731481</v>
      </c>
      <c r="C650" s="1" t="n">
        <v>46084</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62959-2025</t>
        </is>
      </c>
      <c r="B651" s="1" t="n">
        <v>46009.45792824074</v>
      </c>
      <c r="C651" s="1" t="n">
        <v>46084</v>
      </c>
      <c r="D651" t="inlineStr">
        <is>
          <t>DALARNAS LÄN</t>
        </is>
      </c>
      <c r="E651" t="inlineStr">
        <is>
          <t>MORA</t>
        </is>
      </c>
      <c r="G651" t="n">
        <v>2.6</v>
      </c>
      <c r="H651" t="n">
        <v>0</v>
      </c>
      <c r="I651" t="n">
        <v>0</v>
      </c>
      <c r="J651" t="n">
        <v>0</v>
      </c>
      <c r="K651" t="n">
        <v>0</v>
      </c>
      <c r="L651" t="n">
        <v>0</v>
      </c>
      <c r="M651" t="n">
        <v>0</v>
      </c>
      <c r="N651" t="n">
        <v>0</v>
      </c>
      <c r="O651" t="n">
        <v>0</v>
      </c>
      <c r="P651" t="n">
        <v>0</v>
      </c>
      <c r="Q651" t="n">
        <v>0</v>
      </c>
      <c r="R651" s="2" t="inlineStr"/>
    </row>
    <row r="652" ht="15" customHeight="1">
      <c r="A652" t="inlineStr">
        <is>
          <t>A 62965-2025</t>
        </is>
      </c>
      <c r="B652" s="1" t="n">
        <v>46009.46129629629</v>
      </c>
      <c r="C652" s="1" t="n">
        <v>46084</v>
      </c>
      <c r="D652" t="inlineStr">
        <is>
          <t>DALARNAS LÄN</t>
        </is>
      </c>
      <c r="E652" t="inlineStr">
        <is>
          <t>MORA</t>
        </is>
      </c>
      <c r="G652" t="n">
        <v>9.1</v>
      </c>
      <c r="H652" t="n">
        <v>0</v>
      </c>
      <c r="I652" t="n">
        <v>0</v>
      </c>
      <c r="J652" t="n">
        <v>0</v>
      </c>
      <c r="K652" t="n">
        <v>0</v>
      </c>
      <c r="L652" t="n">
        <v>0</v>
      </c>
      <c r="M652" t="n">
        <v>0</v>
      </c>
      <c r="N652" t="n">
        <v>0</v>
      </c>
      <c r="O652" t="n">
        <v>0</v>
      </c>
      <c r="P652" t="n">
        <v>0</v>
      </c>
      <c r="Q652" t="n">
        <v>0</v>
      </c>
      <c r="R652" s="2" t="inlineStr"/>
    </row>
    <row r="653" ht="15" customHeight="1">
      <c r="A653" t="inlineStr">
        <is>
          <t>A 60673-2023</t>
        </is>
      </c>
      <c r="B653" s="1" t="n">
        <v>45260.46438657407</v>
      </c>
      <c r="C653" s="1" t="n">
        <v>46084</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63030-2025</t>
        </is>
      </c>
      <c r="B654" s="1" t="n">
        <v>46009.60133101852</v>
      </c>
      <c r="C654" s="1" t="n">
        <v>46084</v>
      </c>
      <c r="D654" t="inlineStr">
        <is>
          <t>DALARNAS LÄN</t>
        </is>
      </c>
      <c r="E654" t="inlineStr">
        <is>
          <t>MORA</t>
        </is>
      </c>
      <c r="G654" t="n">
        <v>1.5</v>
      </c>
      <c r="H654" t="n">
        <v>0</v>
      </c>
      <c r="I654" t="n">
        <v>0</v>
      </c>
      <c r="J654" t="n">
        <v>0</v>
      </c>
      <c r="K654" t="n">
        <v>0</v>
      </c>
      <c r="L654" t="n">
        <v>0</v>
      </c>
      <c r="M654" t="n">
        <v>0</v>
      </c>
      <c r="N654" t="n">
        <v>0</v>
      </c>
      <c r="O654" t="n">
        <v>0</v>
      </c>
      <c r="P654" t="n">
        <v>0</v>
      </c>
      <c r="Q654" t="n">
        <v>0</v>
      </c>
      <c r="R654" s="2" t="inlineStr"/>
    </row>
    <row r="655" ht="15" customHeight="1">
      <c r="A655" t="inlineStr">
        <is>
          <t>A 5763-2026</t>
        </is>
      </c>
      <c r="B655" s="1" t="n">
        <v>46051.63380787037</v>
      </c>
      <c r="C655" s="1" t="n">
        <v>46084</v>
      </c>
      <c r="D655" t="inlineStr">
        <is>
          <t>DALARNAS LÄN</t>
        </is>
      </c>
      <c r="E655" t="inlineStr">
        <is>
          <t>MORA</t>
        </is>
      </c>
      <c r="G655" t="n">
        <v>0.3</v>
      </c>
      <c r="H655" t="n">
        <v>0</v>
      </c>
      <c r="I655" t="n">
        <v>0</v>
      </c>
      <c r="J655" t="n">
        <v>0</v>
      </c>
      <c r="K655" t="n">
        <v>0</v>
      </c>
      <c r="L655" t="n">
        <v>0</v>
      </c>
      <c r="M655" t="n">
        <v>0</v>
      </c>
      <c r="N655" t="n">
        <v>0</v>
      </c>
      <c r="O655" t="n">
        <v>0</v>
      </c>
      <c r="P655" t="n">
        <v>0</v>
      </c>
      <c r="Q655" t="n">
        <v>0</v>
      </c>
      <c r="R655" s="2" t="inlineStr"/>
    </row>
    <row r="656" ht="15" customHeight="1">
      <c r="A656" t="inlineStr">
        <is>
          <t>A 39888-2024</t>
        </is>
      </c>
      <c r="B656" s="1" t="n">
        <v>45553.47538194444</v>
      </c>
      <c r="C656" s="1" t="n">
        <v>46084</v>
      </c>
      <c r="D656" t="inlineStr">
        <is>
          <t>DALARNAS LÄN</t>
        </is>
      </c>
      <c r="E656" t="inlineStr">
        <is>
          <t>MORA</t>
        </is>
      </c>
      <c r="G656" t="n">
        <v>5.4</v>
      </c>
      <c r="H656" t="n">
        <v>0</v>
      </c>
      <c r="I656" t="n">
        <v>0</v>
      </c>
      <c r="J656" t="n">
        <v>0</v>
      </c>
      <c r="K656" t="n">
        <v>0</v>
      </c>
      <c r="L656" t="n">
        <v>0</v>
      </c>
      <c r="M656" t="n">
        <v>0</v>
      </c>
      <c r="N656" t="n">
        <v>0</v>
      </c>
      <c r="O656" t="n">
        <v>0</v>
      </c>
      <c r="P656" t="n">
        <v>0</v>
      </c>
      <c r="Q656" t="n">
        <v>0</v>
      </c>
      <c r="R656" s="2" t="inlineStr"/>
    </row>
    <row r="657" ht="15" customHeight="1">
      <c r="A657" t="inlineStr">
        <is>
          <t>A 62619-2025</t>
        </is>
      </c>
      <c r="B657" s="1" t="n">
        <v>46008.33967592593</v>
      </c>
      <c r="C657" s="1" t="n">
        <v>46084</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33666-2024</t>
        </is>
      </c>
      <c r="B658" s="1" t="n">
        <v>45520.48304398148</v>
      </c>
      <c r="C658" s="1" t="n">
        <v>46084</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62853-2025</t>
        </is>
      </c>
      <c r="B659" s="1" t="n">
        <v>46008.72493055555</v>
      </c>
      <c r="C659" s="1" t="n">
        <v>46084</v>
      </c>
      <c r="D659" t="inlineStr">
        <is>
          <t>DALARNAS LÄN</t>
        </is>
      </c>
      <c r="E659" t="inlineStr">
        <is>
          <t>MORA</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20989-2024</t>
        </is>
      </c>
      <c r="B660" s="1" t="n">
        <v>45439</v>
      </c>
      <c r="C660" s="1" t="n">
        <v>46084</v>
      </c>
      <c r="D660" t="inlineStr">
        <is>
          <t>DALARNAS LÄN</t>
        </is>
      </c>
      <c r="E660" t="inlineStr">
        <is>
          <t>MORA</t>
        </is>
      </c>
      <c r="F660" t="inlineStr">
        <is>
          <t>Bergvik skog öst AB</t>
        </is>
      </c>
      <c r="G660" t="n">
        <v>14.7</v>
      </c>
      <c r="H660" t="n">
        <v>0</v>
      </c>
      <c r="I660" t="n">
        <v>0</v>
      </c>
      <c r="J660" t="n">
        <v>0</v>
      </c>
      <c r="K660" t="n">
        <v>0</v>
      </c>
      <c r="L660" t="n">
        <v>0</v>
      </c>
      <c r="M660" t="n">
        <v>0</v>
      </c>
      <c r="N660" t="n">
        <v>0</v>
      </c>
      <c r="O660" t="n">
        <v>0</v>
      </c>
      <c r="P660" t="n">
        <v>0</v>
      </c>
      <c r="Q660" t="n">
        <v>0</v>
      </c>
      <c r="R660" s="2" t="inlineStr"/>
    </row>
    <row r="661" ht="15" customHeight="1">
      <c r="A661" t="inlineStr">
        <is>
          <t>A 41812-2024</t>
        </is>
      </c>
      <c r="B661" s="1" t="n">
        <v>45561.3771412037</v>
      </c>
      <c r="C661" s="1" t="n">
        <v>46084</v>
      </c>
      <c r="D661" t="inlineStr">
        <is>
          <t>DALARNAS LÄN</t>
        </is>
      </c>
      <c r="E661" t="inlineStr">
        <is>
          <t>MORA</t>
        </is>
      </c>
      <c r="G661" t="n">
        <v>2.2</v>
      </c>
      <c r="H661" t="n">
        <v>0</v>
      </c>
      <c r="I661" t="n">
        <v>0</v>
      </c>
      <c r="J661" t="n">
        <v>0</v>
      </c>
      <c r="K661" t="n">
        <v>0</v>
      </c>
      <c r="L661" t="n">
        <v>0</v>
      </c>
      <c r="M661" t="n">
        <v>0</v>
      </c>
      <c r="N661" t="n">
        <v>0</v>
      </c>
      <c r="O661" t="n">
        <v>0</v>
      </c>
      <c r="P661" t="n">
        <v>0</v>
      </c>
      <c r="Q661" t="n">
        <v>0</v>
      </c>
      <c r="R661" s="2" t="inlineStr"/>
    </row>
    <row r="662" ht="15" customHeight="1">
      <c r="A662" t="inlineStr">
        <is>
          <t>A 62628-2025</t>
        </is>
      </c>
      <c r="B662" s="1" t="n">
        <v>46008.35011574074</v>
      </c>
      <c r="C662" s="1" t="n">
        <v>46084</v>
      </c>
      <c r="D662" t="inlineStr">
        <is>
          <t>DALARNAS LÄN</t>
        </is>
      </c>
      <c r="E662" t="inlineStr">
        <is>
          <t>MORA</t>
        </is>
      </c>
      <c r="G662" t="n">
        <v>5.7</v>
      </c>
      <c r="H662" t="n">
        <v>0</v>
      </c>
      <c r="I662" t="n">
        <v>0</v>
      </c>
      <c r="J662" t="n">
        <v>0</v>
      </c>
      <c r="K662" t="n">
        <v>0</v>
      </c>
      <c r="L662" t="n">
        <v>0</v>
      </c>
      <c r="M662" t="n">
        <v>0</v>
      </c>
      <c r="N662" t="n">
        <v>0</v>
      </c>
      <c r="O662" t="n">
        <v>0</v>
      </c>
      <c r="P662" t="n">
        <v>0</v>
      </c>
      <c r="Q662" t="n">
        <v>0</v>
      </c>
      <c r="R662" s="2" t="inlineStr"/>
    </row>
    <row r="663" ht="15" customHeight="1">
      <c r="A663" t="inlineStr">
        <is>
          <t>A 62626-2025</t>
        </is>
      </c>
      <c r="B663" s="1" t="n">
        <v>46008.34541666666</v>
      </c>
      <c r="C663" s="1" t="n">
        <v>46084</v>
      </c>
      <c r="D663" t="inlineStr">
        <is>
          <t>DALARNAS LÄN</t>
        </is>
      </c>
      <c r="E663" t="inlineStr">
        <is>
          <t>MORA</t>
        </is>
      </c>
      <c r="G663" t="n">
        <v>6.7</v>
      </c>
      <c r="H663" t="n">
        <v>0</v>
      </c>
      <c r="I663" t="n">
        <v>0</v>
      </c>
      <c r="J663" t="n">
        <v>0</v>
      </c>
      <c r="K663" t="n">
        <v>0</v>
      </c>
      <c r="L663" t="n">
        <v>0</v>
      </c>
      <c r="M663" t="n">
        <v>0</v>
      </c>
      <c r="N663" t="n">
        <v>0</v>
      </c>
      <c r="O663" t="n">
        <v>0</v>
      </c>
      <c r="P663" t="n">
        <v>0</v>
      </c>
      <c r="Q663" t="n">
        <v>0</v>
      </c>
      <c r="R663" s="2" t="inlineStr"/>
    </row>
    <row r="664" ht="15" customHeight="1">
      <c r="A664" t="inlineStr">
        <is>
          <t>A 51888-2024</t>
        </is>
      </c>
      <c r="B664" s="1" t="n">
        <v>45607.57142361111</v>
      </c>
      <c r="C664" s="1" t="n">
        <v>46084</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24465-2021</t>
        </is>
      </c>
      <c r="B665" s="1" t="n">
        <v>44337</v>
      </c>
      <c r="C665" s="1" t="n">
        <v>46084</v>
      </c>
      <c r="D665" t="inlineStr">
        <is>
          <t>DALARNAS LÄN</t>
        </is>
      </c>
      <c r="E665" t="inlineStr">
        <is>
          <t>MORA</t>
        </is>
      </c>
      <c r="G665" t="n">
        <v>2.6</v>
      </c>
      <c r="H665" t="n">
        <v>0</v>
      </c>
      <c r="I665" t="n">
        <v>0</v>
      </c>
      <c r="J665" t="n">
        <v>0</v>
      </c>
      <c r="K665" t="n">
        <v>0</v>
      </c>
      <c r="L665" t="n">
        <v>0</v>
      </c>
      <c r="M665" t="n">
        <v>0</v>
      </c>
      <c r="N665" t="n">
        <v>0</v>
      </c>
      <c r="O665" t="n">
        <v>0</v>
      </c>
      <c r="P665" t="n">
        <v>0</v>
      </c>
      <c r="Q665" t="n">
        <v>0</v>
      </c>
      <c r="R665" s="2" t="inlineStr"/>
    </row>
    <row r="666" ht="15" customHeight="1">
      <c r="A666" t="inlineStr">
        <is>
          <t>A 61270-2024</t>
        </is>
      </c>
      <c r="B666" s="1" t="n">
        <v>45645.74694444444</v>
      </c>
      <c r="C666" s="1" t="n">
        <v>46084</v>
      </c>
      <c r="D666" t="inlineStr">
        <is>
          <t>DALARNAS LÄN</t>
        </is>
      </c>
      <c r="E666" t="inlineStr">
        <is>
          <t>MORA</t>
        </is>
      </c>
      <c r="G666" t="n">
        <v>5.1</v>
      </c>
      <c r="H666" t="n">
        <v>0</v>
      </c>
      <c r="I666" t="n">
        <v>0</v>
      </c>
      <c r="J666" t="n">
        <v>0</v>
      </c>
      <c r="K666" t="n">
        <v>0</v>
      </c>
      <c r="L666" t="n">
        <v>0</v>
      </c>
      <c r="M666" t="n">
        <v>0</v>
      </c>
      <c r="N666" t="n">
        <v>0</v>
      </c>
      <c r="O666" t="n">
        <v>0</v>
      </c>
      <c r="P666" t="n">
        <v>0</v>
      </c>
      <c r="Q666" t="n">
        <v>0</v>
      </c>
      <c r="R666" s="2" t="inlineStr"/>
    </row>
    <row r="667" ht="15" customHeight="1">
      <c r="A667" t="inlineStr">
        <is>
          <t>A 32721-2024</t>
        </is>
      </c>
      <c r="B667" s="1" t="n">
        <v>45516.40261574074</v>
      </c>
      <c r="C667" s="1" t="n">
        <v>46084</v>
      </c>
      <c r="D667" t="inlineStr">
        <is>
          <t>DALARNAS LÄN</t>
        </is>
      </c>
      <c r="E667" t="inlineStr">
        <is>
          <t>MORA</t>
        </is>
      </c>
      <c r="G667" t="n">
        <v>4.2</v>
      </c>
      <c r="H667" t="n">
        <v>0</v>
      </c>
      <c r="I667" t="n">
        <v>0</v>
      </c>
      <c r="J667" t="n">
        <v>0</v>
      </c>
      <c r="K667" t="n">
        <v>0</v>
      </c>
      <c r="L667" t="n">
        <v>0</v>
      </c>
      <c r="M667" t="n">
        <v>0</v>
      </c>
      <c r="N667" t="n">
        <v>0</v>
      </c>
      <c r="O667" t="n">
        <v>0</v>
      </c>
      <c r="P667" t="n">
        <v>0</v>
      </c>
      <c r="Q667" t="n">
        <v>0</v>
      </c>
      <c r="R667" s="2" t="inlineStr"/>
    </row>
    <row r="668" ht="15" customHeight="1">
      <c r="A668" t="inlineStr">
        <is>
          <t>A 5836-2026</t>
        </is>
      </c>
      <c r="B668" s="1" t="n">
        <v>46052.33809027778</v>
      </c>
      <c r="C668" s="1" t="n">
        <v>46084</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26546-2025</t>
        </is>
      </c>
      <c r="B669" s="1" t="n">
        <v>45807</v>
      </c>
      <c r="C669" s="1" t="n">
        <v>46084</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26573-2025</t>
        </is>
      </c>
      <c r="B670" s="1" t="n">
        <v>45807</v>
      </c>
      <c r="C670" s="1" t="n">
        <v>46084</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26577-2025</t>
        </is>
      </c>
      <c r="B671" s="1" t="n">
        <v>45807</v>
      </c>
      <c r="C671" s="1" t="n">
        <v>46084</v>
      </c>
      <c r="D671" t="inlineStr">
        <is>
          <t>DALARNAS LÄN</t>
        </is>
      </c>
      <c r="E671" t="inlineStr">
        <is>
          <t>MORA</t>
        </is>
      </c>
      <c r="G671" t="n">
        <v>2.8</v>
      </c>
      <c r="H671" t="n">
        <v>0</v>
      </c>
      <c r="I671" t="n">
        <v>0</v>
      </c>
      <c r="J671" t="n">
        <v>0</v>
      </c>
      <c r="K671" t="n">
        <v>0</v>
      </c>
      <c r="L671" t="n">
        <v>0</v>
      </c>
      <c r="M671" t="n">
        <v>0</v>
      </c>
      <c r="N671" t="n">
        <v>0</v>
      </c>
      <c r="O671" t="n">
        <v>0</v>
      </c>
      <c r="P671" t="n">
        <v>0</v>
      </c>
      <c r="Q671" t="n">
        <v>0</v>
      </c>
      <c r="R671" s="2" t="inlineStr"/>
    </row>
    <row r="672" ht="15" customHeight="1">
      <c r="A672" t="inlineStr">
        <is>
          <t>A 26545-2025</t>
        </is>
      </c>
      <c r="B672" s="1" t="n">
        <v>45807</v>
      </c>
      <c r="C672" s="1" t="n">
        <v>46084</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25749-2023</t>
        </is>
      </c>
      <c r="B673" s="1" t="n">
        <v>45090</v>
      </c>
      <c r="C673" s="1" t="n">
        <v>46084</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63434-2025</t>
        </is>
      </c>
      <c r="B674" s="1" t="n">
        <v>46013.36556712963</v>
      </c>
      <c r="C674" s="1" t="n">
        <v>46084</v>
      </c>
      <c r="D674" t="inlineStr">
        <is>
          <t>DALARNAS LÄN</t>
        </is>
      </c>
      <c r="E674" t="inlineStr">
        <is>
          <t>MORA</t>
        </is>
      </c>
      <c r="F674" t="inlineStr">
        <is>
          <t>Allmännings- och besparingsskogar</t>
        </is>
      </c>
      <c r="G674" t="n">
        <v>3.6</v>
      </c>
      <c r="H674" t="n">
        <v>0</v>
      </c>
      <c r="I674" t="n">
        <v>0</v>
      </c>
      <c r="J674" t="n">
        <v>0</v>
      </c>
      <c r="K674" t="n">
        <v>0</v>
      </c>
      <c r="L674" t="n">
        <v>0</v>
      </c>
      <c r="M674" t="n">
        <v>0</v>
      </c>
      <c r="N674" t="n">
        <v>0</v>
      </c>
      <c r="O674" t="n">
        <v>0</v>
      </c>
      <c r="P674" t="n">
        <v>0</v>
      </c>
      <c r="Q674" t="n">
        <v>0</v>
      </c>
      <c r="R674" s="2" t="inlineStr"/>
    </row>
    <row r="675" ht="15" customHeight="1">
      <c r="A675" t="inlineStr">
        <is>
          <t>A 40325-2024</t>
        </is>
      </c>
      <c r="B675" s="1" t="n">
        <v>45554.88538194444</v>
      </c>
      <c r="C675" s="1" t="n">
        <v>46084</v>
      </c>
      <c r="D675" t="inlineStr">
        <is>
          <t>DALARNAS LÄN</t>
        </is>
      </c>
      <c r="E675" t="inlineStr">
        <is>
          <t>MORA</t>
        </is>
      </c>
      <c r="G675" t="n">
        <v>2.8</v>
      </c>
      <c r="H675" t="n">
        <v>0</v>
      </c>
      <c r="I675" t="n">
        <v>0</v>
      </c>
      <c r="J675" t="n">
        <v>0</v>
      </c>
      <c r="K675" t="n">
        <v>0</v>
      </c>
      <c r="L675" t="n">
        <v>0</v>
      </c>
      <c r="M675" t="n">
        <v>0</v>
      </c>
      <c r="N675" t="n">
        <v>0</v>
      </c>
      <c r="O675" t="n">
        <v>0</v>
      </c>
      <c r="P675" t="n">
        <v>0</v>
      </c>
      <c r="Q675" t="n">
        <v>0</v>
      </c>
      <c r="R675" s="2" t="inlineStr"/>
    </row>
    <row r="676" ht="15" customHeight="1">
      <c r="A676" t="inlineStr">
        <is>
          <t>A 43964-2024</t>
        </is>
      </c>
      <c r="B676" s="1" t="n">
        <v>45572.48407407408</v>
      </c>
      <c r="C676" s="1" t="n">
        <v>46084</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20930-2024</t>
        </is>
      </c>
      <c r="B677" s="1" t="n">
        <v>45439.51907407407</v>
      </c>
      <c r="C677" s="1" t="n">
        <v>46084</v>
      </c>
      <c r="D677" t="inlineStr">
        <is>
          <t>DALARNAS LÄN</t>
        </is>
      </c>
      <c r="E677" t="inlineStr">
        <is>
          <t>MORA</t>
        </is>
      </c>
      <c r="F677" t="inlineStr">
        <is>
          <t>Bergvik skog väst AB</t>
        </is>
      </c>
      <c r="G677" t="n">
        <v>5.3</v>
      </c>
      <c r="H677" t="n">
        <v>0</v>
      </c>
      <c r="I677" t="n">
        <v>0</v>
      </c>
      <c r="J677" t="n">
        <v>0</v>
      </c>
      <c r="K677" t="n">
        <v>0</v>
      </c>
      <c r="L677" t="n">
        <v>0</v>
      </c>
      <c r="M677" t="n">
        <v>0</v>
      </c>
      <c r="N677" t="n">
        <v>0</v>
      </c>
      <c r="O677" t="n">
        <v>0</v>
      </c>
      <c r="P677" t="n">
        <v>0</v>
      </c>
      <c r="Q677" t="n">
        <v>0</v>
      </c>
      <c r="R677" s="2" t="inlineStr"/>
    </row>
    <row r="678" ht="15" customHeight="1">
      <c r="A678" t="inlineStr">
        <is>
          <t>A 42611-2022</t>
        </is>
      </c>
      <c r="B678" s="1" t="n">
        <v>44831.81482638889</v>
      </c>
      <c r="C678" s="1" t="n">
        <v>46084</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6182-2026</t>
        </is>
      </c>
      <c r="B679" s="1" t="n">
        <v>46055.36231481482</v>
      </c>
      <c r="C679" s="1" t="n">
        <v>46084</v>
      </c>
      <c r="D679" t="inlineStr">
        <is>
          <t>DALARNAS LÄN</t>
        </is>
      </c>
      <c r="E679" t="inlineStr">
        <is>
          <t>MORA</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51883-2024</t>
        </is>
      </c>
      <c r="B680" s="1" t="n">
        <v>45607</v>
      </c>
      <c r="C680" s="1" t="n">
        <v>46084</v>
      </c>
      <c r="D680" t="inlineStr">
        <is>
          <t>DALARNAS LÄN</t>
        </is>
      </c>
      <c r="E680" t="inlineStr">
        <is>
          <t>MORA</t>
        </is>
      </c>
      <c r="G680" t="n">
        <v>0.2</v>
      </c>
      <c r="H680" t="n">
        <v>0</v>
      </c>
      <c r="I680" t="n">
        <v>0</v>
      </c>
      <c r="J680" t="n">
        <v>0</v>
      </c>
      <c r="K680" t="n">
        <v>0</v>
      </c>
      <c r="L680" t="n">
        <v>0</v>
      </c>
      <c r="M680" t="n">
        <v>0</v>
      </c>
      <c r="N680" t="n">
        <v>0</v>
      </c>
      <c r="O680" t="n">
        <v>0</v>
      </c>
      <c r="P680" t="n">
        <v>0</v>
      </c>
      <c r="Q680" t="n">
        <v>0</v>
      </c>
      <c r="R680" s="2" t="inlineStr"/>
    </row>
    <row r="681" ht="15" customHeight="1">
      <c r="A681" t="inlineStr">
        <is>
          <t>A 5959-2026</t>
        </is>
      </c>
      <c r="B681" s="1" t="n">
        <v>46052.50533564815</v>
      </c>
      <c r="C681" s="1" t="n">
        <v>46084</v>
      </c>
      <c r="D681" t="inlineStr">
        <is>
          <t>DALARNAS LÄN</t>
        </is>
      </c>
      <c r="E681" t="inlineStr">
        <is>
          <t>MORA</t>
        </is>
      </c>
      <c r="G681" t="n">
        <v>9.5</v>
      </c>
      <c r="H681" t="n">
        <v>0</v>
      </c>
      <c r="I681" t="n">
        <v>0</v>
      </c>
      <c r="J681" t="n">
        <v>0</v>
      </c>
      <c r="K681" t="n">
        <v>0</v>
      </c>
      <c r="L681" t="n">
        <v>0</v>
      </c>
      <c r="M681" t="n">
        <v>0</v>
      </c>
      <c r="N681" t="n">
        <v>0</v>
      </c>
      <c r="O681" t="n">
        <v>0</v>
      </c>
      <c r="P681" t="n">
        <v>0</v>
      </c>
      <c r="Q681" t="n">
        <v>0</v>
      </c>
      <c r="R681" s="2" t="inlineStr"/>
    </row>
    <row r="682" ht="15" customHeight="1">
      <c r="A682" t="inlineStr">
        <is>
          <t>A 63431-2025</t>
        </is>
      </c>
      <c r="B682" s="1" t="n">
        <v>46013.36268518519</v>
      </c>
      <c r="C682" s="1" t="n">
        <v>46084</v>
      </c>
      <c r="D682" t="inlineStr">
        <is>
          <t>DALARNAS LÄN</t>
        </is>
      </c>
      <c r="E682" t="inlineStr">
        <is>
          <t>MORA</t>
        </is>
      </c>
      <c r="F682" t="inlineStr">
        <is>
          <t>Allmännings- och besparingsskogar</t>
        </is>
      </c>
      <c r="G682" t="n">
        <v>5.7</v>
      </c>
      <c r="H682" t="n">
        <v>0</v>
      </c>
      <c r="I682" t="n">
        <v>0</v>
      </c>
      <c r="J682" t="n">
        <v>0</v>
      </c>
      <c r="K682" t="n">
        <v>0</v>
      </c>
      <c r="L682" t="n">
        <v>0</v>
      </c>
      <c r="M682" t="n">
        <v>0</v>
      </c>
      <c r="N682" t="n">
        <v>0</v>
      </c>
      <c r="O682" t="n">
        <v>0</v>
      </c>
      <c r="P682" t="n">
        <v>0</v>
      </c>
      <c r="Q682" t="n">
        <v>0</v>
      </c>
      <c r="R682" s="2" t="inlineStr"/>
    </row>
    <row r="683" ht="15" customHeight="1">
      <c r="A683" t="inlineStr">
        <is>
          <t>A 42941-2024</t>
        </is>
      </c>
      <c r="B683" s="1" t="n">
        <v>45567.3515162037</v>
      </c>
      <c r="C683" s="1" t="n">
        <v>46084</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43873-2024</t>
        </is>
      </c>
      <c r="B684" s="1" t="n">
        <v>45572.38429398148</v>
      </c>
      <c r="C684" s="1" t="n">
        <v>46084</v>
      </c>
      <c r="D684" t="inlineStr">
        <is>
          <t>DALARNAS LÄN</t>
        </is>
      </c>
      <c r="E684" t="inlineStr">
        <is>
          <t>MORA</t>
        </is>
      </c>
      <c r="G684" t="n">
        <v>4.1</v>
      </c>
      <c r="H684" t="n">
        <v>0</v>
      </c>
      <c r="I684" t="n">
        <v>0</v>
      </c>
      <c r="J684" t="n">
        <v>0</v>
      </c>
      <c r="K684" t="n">
        <v>0</v>
      </c>
      <c r="L684" t="n">
        <v>0</v>
      </c>
      <c r="M684" t="n">
        <v>0</v>
      </c>
      <c r="N684" t="n">
        <v>0</v>
      </c>
      <c r="O684" t="n">
        <v>0</v>
      </c>
      <c r="P684" t="n">
        <v>0</v>
      </c>
      <c r="Q684" t="n">
        <v>0</v>
      </c>
      <c r="R684" s="2" t="inlineStr"/>
    </row>
    <row r="685" ht="15" customHeight="1">
      <c r="A685" t="inlineStr">
        <is>
          <t>A 63457-2025</t>
        </is>
      </c>
      <c r="B685" s="1" t="n">
        <v>46013.42269675926</v>
      </c>
      <c r="C685" s="1" t="n">
        <v>46084</v>
      </c>
      <c r="D685" t="inlineStr">
        <is>
          <t>DALARNAS LÄN</t>
        </is>
      </c>
      <c r="E685" t="inlineStr">
        <is>
          <t>MORA</t>
        </is>
      </c>
      <c r="F685" t="inlineStr">
        <is>
          <t>Allmännings- och besparingsskogar</t>
        </is>
      </c>
      <c r="G685" t="n">
        <v>34.4</v>
      </c>
      <c r="H685" t="n">
        <v>0</v>
      </c>
      <c r="I685" t="n">
        <v>0</v>
      </c>
      <c r="J685" t="n">
        <v>0</v>
      </c>
      <c r="K685" t="n">
        <v>0</v>
      </c>
      <c r="L685" t="n">
        <v>0</v>
      </c>
      <c r="M685" t="n">
        <v>0</v>
      </c>
      <c r="N685" t="n">
        <v>0</v>
      </c>
      <c r="O685" t="n">
        <v>0</v>
      </c>
      <c r="P685" t="n">
        <v>0</v>
      </c>
      <c r="Q685" t="n">
        <v>0</v>
      </c>
      <c r="R685" s="2" t="inlineStr"/>
    </row>
    <row r="686" ht="15" customHeight="1">
      <c r="A686" t="inlineStr">
        <is>
          <t>A 17865-2025</t>
        </is>
      </c>
      <c r="B686" s="1" t="n">
        <v>45758.62951388889</v>
      </c>
      <c r="C686" s="1" t="n">
        <v>46084</v>
      </c>
      <c r="D686" t="inlineStr">
        <is>
          <t>DALARNAS LÄN</t>
        </is>
      </c>
      <c r="E686" t="inlineStr">
        <is>
          <t>MORA</t>
        </is>
      </c>
      <c r="G686" t="n">
        <v>1.6</v>
      </c>
      <c r="H686" t="n">
        <v>0</v>
      </c>
      <c r="I686" t="n">
        <v>0</v>
      </c>
      <c r="J686" t="n">
        <v>0</v>
      </c>
      <c r="K686" t="n">
        <v>0</v>
      </c>
      <c r="L686" t="n">
        <v>0</v>
      </c>
      <c r="M686" t="n">
        <v>0</v>
      </c>
      <c r="N686" t="n">
        <v>0</v>
      </c>
      <c r="O686" t="n">
        <v>0</v>
      </c>
      <c r="P686" t="n">
        <v>0</v>
      </c>
      <c r="Q686" t="n">
        <v>0</v>
      </c>
      <c r="R686" s="2" t="inlineStr"/>
    </row>
    <row r="687" ht="15" customHeight="1">
      <c r="A687" t="inlineStr">
        <is>
          <t>A 6947-2026</t>
        </is>
      </c>
      <c r="B687" s="1" t="n">
        <v>46057.56855324074</v>
      </c>
      <c r="C687" s="1" t="n">
        <v>46084</v>
      </c>
      <c r="D687" t="inlineStr">
        <is>
          <t>DALARNAS LÄN</t>
        </is>
      </c>
      <c r="E687" t="inlineStr">
        <is>
          <t>MORA</t>
        </is>
      </c>
      <c r="G687" t="n">
        <v>0.8</v>
      </c>
      <c r="H687" t="n">
        <v>0</v>
      </c>
      <c r="I687" t="n">
        <v>0</v>
      </c>
      <c r="J687" t="n">
        <v>0</v>
      </c>
      <c r="K687" t="n">
        <v>0</v>
      </c>
      <c r="L687" t="n">
        <v>0</v>
      </c>
      <c r="M687" t="n">
        <v>0</v>
      </c>
      <c r="N687" t="n">
        <v>0</v>
      </c>
      <c r="O687" t="n">
        <v>0</v>
      </c>
      <c r="P687" t="n">
        <v>0</v>
      </c>
      <c r="Q687" t="n">
        <v>0</v>
      </c>
      <c r="R687" s="2" t="inlineStr"/>
    </row>
    <row r="688" ht="15" customHeight="1">
      <c r="A688" t="inlineStr">
        <is>
          <t>A 6802-2026</t>
        </is>
      </c>
      <c r="B688" s="1" t="n">
        <v>46057.35288194445</v>
      </c>
      <c r="C688" s="1" t="n">
        <v>46084</v>
      </c>
      <c r="D688" t="inlineStr">
        <is>
          <t>DALARNAS LÄN</t>
        </is>
      </c>
      <c r="E688" t="inlineStr">
        <is>
          <t>MORA</t>
        </is>
      </c>
      <c r="G688" t="n">
        <v>5.8</v>
      </c>
      <c r="H688" t="n">
        <v>0</v>
      </c>
      <c r="I688" t="n">
        <v>0</v>
      </c>
      <c r="J688" t="n">
        <v>0</v>
      </c>
      <c r="K688" t="n">
        <v>0</v>
      </c>
      <c r="L688" t="n">
        <v>0</v>
      </c>
      <c r="M688" t="n">
        <v>0</v>
      </c>
      <c r="N688" t="n">
        <v>0</v>
      </c>
      <c r="O688" t="n">
        <v>0</v>
      </c>
      <c r="P688" t="n">
        <v>0</v>
      </c>
      <c r="Q688" t="n">
        <v>0</v>
      </c>
      <c r="R688" s="2" t="inlineStr"/>
    </row>
    <row r="689" ht="15" customHeight="1">
      <c r="A689" t="inlineStr">
        <is>
          <t>A 6967-2026</t>
        </is>
      </c>
      <c r="B689" s="1" t="n">
        <v>46057.58777777778</v>
      </c>
      <c r="C689" s="1" t="n">
        <v>46084</v>
      </c>
      <c r="D689" t="inlineStr">
        <is>
          <t>DALARNAS LÄN</t>
        </is>
      </c>
      <c r="E689" t="inlineStr">
        <is>
          <t>MORA</t>
        </is>
      </c>
      <c r="G689" t="n">
        <v>5</v>
      </c>
      <c r="H689" t="n">
        <v>0</v>
      </c>
      <c r="I689" t="n">
        <v>0</v>
      </c>
      <c r="J689" t="n">
        <v>0</v>
      </c>
      <c r="K689" t="n">
        <v>0</v>
      </c>
      <c r="L689" t="n">
        <v>0</v>
      </c>
      <c r="M689" t="n">
        <v>0</v>
      </c>
      <c r="N689" t="n">
        <v>0</v>
      </c>
      <c r="O689" t="n">
        <v>0</v>
      </c>
      <c r="P689" t="n">
        <v>0</v>
      </c>
      <c r="Q689" t="n">
        <v>0</v>
      </c>
      <c r="R689" s="2" t="inlineStr"/>
    </row>
    <row r="690" ht="15" customHeight="1">
      <c r="A690" t="inlineStr">
        <is>
          <t>A 52599-2025</t>
        </is>
      </c>
      <c r="B690" s="1" t="n">
        <v>45954.65564814815</v>
      </c>
      <c r="C690" s="1" t="n">
        <v>46084</v>
      </c>
      <c r="D690" t="inlineStr">
        <is>
          <t>DALARNAS LÄN</t>
        </is>
      </c>
      <c r="E690" t="inlineStr">
        <is>
          <t>MORA</t>
        </is>
      </c>
      <c r="G690" t="n">
        <v>10.8</v>
      </c>
      <c r="H690" t="n">
        <v>0</v>
      </c>
      <c r="I690" t="n">
        <v>0</v>
      </c>
      <c r="J690" t="n">
        <v>0</v>
      </c>
      <c r="K690" t="n">
        <v>0</v>
      </c>
      <c r="L690" t="n">
        <v>0</v>
      </c>
      <c r="M690" t="n">
        <v>0</v>
      </c>
      <c r="N690" t="n">
        <v>0</v>
      </c>
      <c r="O690" t="n">
        <v>0</v>
      </c>
      <c r="P690" t="n">
        <v>0</v>
      </c>
      <c r="Q690" t="n">
        <v>0</v>
      </c>
      <c r="R690" s="2" t="inlineStr"/>
    </row>
    <row r="691" ht="15" customHeight="1">
      <c r="A691" t="inlineStr">
        <is>
          <t>A 63596-2025</t>
        </is>
      </c>
      <c r="B691" s="1" t="n">
        <v>46013.96362268519</v>
      </c>
      <c r="C691" s="1" t="n">
        <v>46084</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63692-2025</t>
        </is>
      </c>
      <c r="B692" s="1" t="n">
        <v>46014.54496527778</v>
      </c>
      <c r="C692" s="1" t="n">
        <v>46084</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6892-2026</t>
        </is>
      </c>
      <c r="B693" s="1" t="n">
        <v>46057.47490740741</v>
      </c>
      <c r="C693" s="1" t="n">
        <v>46084</v>
      </c>
      <c r="D693" t="inlineStr">
        <is>
          <t>DALARNAS LÄN</t>
        </is>
      </c>
      <c r="E693" t="inlineStr">
        <is>
          <t>MORA</t>
        </is>
      </c>
      <c r="G693" t="n">
        <v>9</v>
      </c>
      <c r="H693" t="n">
        <v>0</v>
      </c>
      <c r="I693" t="n">
        <v>0</v>
      </c>
      <c r="J693" t="n">
        <v>0</v>
      </c>
      <c r="K693" t="n">
        <v>0</v>
      </c>
      <c r="L693" t="n">
        <v>0</v>
      </c>
      <c r="M693" t="n">
        <v>0</v>
      </c>
      <c r="N693" t="n">
        <v>0</v>
      </c>
      <c r="O693" t="n">
        <v>0</v>
      </c>
      <c r="P693" t="n">
        <v>0</v>
      </c>
      <c r="Q693" t="n">
        <v>0</v>
      </c>
      <c r="R693" s="2" t="inlineStr"/>
    </row>
    <row r="694" ht="15" customHeight="1">
      <c r="A694" t="inlineStr">
        <is>
          <t>A 6690-2026</t>
        </is>
      </c>
      <c r="B694" s="1" t="n">
        <v>46056.6352662037</v>
      </c>
      <c r="C694" s="1" t="n">
        <v>46084</v>
      </c>
      <c r="D694" t="inlineStr">
        <is>
          <t>DALARNAS LÄN</t>
        </is>
      </c>
      <c r="E694" t="inlineStr">
        <is>
          <t>MORA</t>
        </is>
      </c>
      <c r="G694" t="n">
        <v>1.9</v>
      </c>
      <c r="H694" t="n">
        <v>0</v>
      </c>
      <c r="I694" t="n">
        <v>0</v>
      </c>
      <c r="J694" t="n">
        <v>0</v>
      </c>
      <c r="K694" t="n">
        <v>0</v>
      </c>
      <c r="L694" t="n">
        <v>0</v>
      </c>
      <c r="M694" t="n">
        <v>0</v>
      </c>
      <c r="N694" t="n">
        <v>0</v>
      </c>
      <c r="O694" t="n">
        <v>0</v>
      </c>
      <c r="P694" t="n">
        <v>0</v>
      </c>
      <c r="Q694" t="n">
        <v>0</v>
      </c>
      <c r="R694" s="2" t="inlineStr"/>
    </row>
    <row r="695" ht="15" customHeight="1">
      <c r="A695" t="inlineStr">
        <is>
          <t>A 33676-2023</t>
        </is>
      </c>
      <c r="B695" s="1" t="n">
        <v>45132.6291550926</v>
      </c>
      <c r="C695" s="1" t="n">
        <v>46084</v>
      </c>
      <c r="D695" t="inlineStr">
        <is>
          <t>DALARNAS LÄN</t>
        </is>
      </c>
      <c r="E695" t="inlineStr">
        <is>
          <t>MORA</t>
        </is>
      </c>
      <c r="F695" t="inlineStr">
        <is>
          <t>Bergvik skog öst AB</t>
        </is>
      </c>
      <c r="G695" t="n">
        <v>2.7</v>
      </c>
      <c r="H695" t="n">
        <v>0</v>
      </c>
      <c r="I695" t="n">
        <v>0</v>
      </c>
      <c r="J695" t="n">
        <v>0</v>
      </c>
      <c r="K695" t="n">
        <v>0</v>
      </c>
      <c r="L695" t="n">
        <v>0</v>
      </c>
      <c r="M695" t="n">
        <v>0</v>
      </c>
      <c r="N695" t="n">
        <v>0</v>
      </c>
      <c r="O695" t="n">
        <v>0</v>
      </c>
      <c r="P695" t="n">
        <v>0</v>
      </c>
      <c r="Q695" t="n">
        <v>0</v>
      </c>
      <c r="R695" s="2" t="inlineStr"/>
    </row>
    <row r="696" ht="15" customHeight="1">
      <c r="A696" t="inlineStr">
        <is>
          <t>A 61188-2024</t>
        </is>
      </c>
      <c r="B696" s="1" t="n">
        <v>45645.62282407407</v>
      </c>
      <c r="C696" s="1" t="n">
        <v>46084</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14372-2025</t>
        </is>
      </c>
      <c r="B697" s="1" t="n">
        <v>45741.4050462963</v>
      </c>
      <c r="C697" s="1" t="n">
        <v>46084</v>
      </c>
      <c r="D697" t="inlineStr">
        <is>
          <t>DALARNAS LÄN</t>
        </is>
      </c>
      <c r="E697" t="inlineStr">
        <is>
          <t>MORA</t>
        </is>
      </c>
      <c r="G697" t="n">
        <v>5.1</v>
      </c>
      <c r="H697" t="n">
        <v>0</v>
      </c>
      <c r="I697" t="n">
        <v>0</v>
      </c>
      <c r="J697" t="n">
        <v>0</v>
      </c>
      <c r="K697" t="n">
        <v>0</v>
      </c>
      <c r="L697" t="n">
        <v>0</v>
      </c>
      <c r="M697" t="n">
        <v>0</v>
      </c>
      <c r="N697" t="n">
        <v>0</v>
      </c>
      <c r="O697" t="n">
        <v>0</v>
      </c>
      <c r="P697" t="n">
        <v>0</v>
      </c>
      <c r="Q697" t="n">
        <v>0</v>
      </c>
      <c r="R697" s="2" t="inlineStr"/>
    </row>
    <row r="698" ht="15" customHeight="1">
      <c r="A698" t="inlineStr">
        <is>
          <t>A 14378-2025</t>
        </is>
      </c>
      <c r="B698" s="1" t="n">
        <v>45741</v>
      </c>
      <c r="C698" s="1" t="n">
        <v>46084</v>
      </c>
      <c r="D698" t="inlineStr">
        <is>
          <t>DALARNAS LÄN</t>
        </is>
      </c>
      <c r="E698" t="inlineStr">
        <is>
          <t>MORA</t>
        </is>
      </c>
      <c r="G698" t="n">
        <v>5.2</v>
      </c>
      <c r="H698" t="n">
        <v>0</v>
      </c>
      <c r="I698" t="n">
        <v>0</v>
      </c>
      <c r="J698" t="n">
        <v>0</v>
      </c>
      <c r="K698" t="n">
        <v>0</v>
      </c>
      <c r="L698" t="n">
        <v>0</v>
      </c>
      <c r="M698" t="n">
        <v>0</v>
      </c>
      <c r="N698" t="n">
        <v>0</v>
      </c>
      <c r="O698" t="n">
        <v>0</v>
      </c>
      <c r="P698" t="n">
        <v>0</v>
      </c>
      <c r="Q698" t="n">
        <v>0</v>
      </c>
      <c r="R698" s="2" t="inlineStr"/>
    </row>
    <row r="699" ht="15" customHeight="1">
      <c r="A699" t="inlineStr">
        <is>
          <t>A 6619-2026</t>
        </is>
      </c>
      <c r="B699" s="1" t="n">
        <v>46056.49622685185</v>
      </c>
      <c r="C699" s="1" t="n">
        <v>46084</v>
      </c>
      <c r="D699" t="inlineStr">
        <is>
          <t>DALARNAS LÄN</t>
        </is>
      </c>
      <c r="E699" t="inlineStr">
        <is>
          <t>MORA</t>
        </is>
      </c>
      <c r="G699" t="n">
        <v>0.9</v>
      </c>
      <c r="H699" t="n">
        <v>0</v>
      </c>
      <c r="I699" t="n">
        <v>0</v>
      </c>
      <c r="J699" t="n">
        <v>0</v>
      </c>
      <c r="K699" t="n">
        <v>0</v>
      </c>
      <c r="L699" t="n">
        <v>0</v>
      </c>
      <c r="M699" t="n">
        <v>0</v>
      </c>
      <c r="N699" t="n">
        <v>0</v>
      </c>
      <c r="O699" t="n">
        <v>0</v>
      </c>
      <c r="P699" t="n">
        <v>0</v>
      </c>
      <c r="Q699" t="n">
        <v>0</v>
      </c>
      <c r="R699" s="2" t="inlineStr"/>
    </row>
    <row r="700" ht="15" customHeight="1">
      <c r="A700" t="inlineStr">
        <is>
          <t>A 6674-2026</t>
        </is>
      </c>
      <c r="B700" s="1" t="n">
        <v>46056.60297453704</v>
      </c>
      <c r="C700" s="1" t="n">
        <v>46084</v>
      </c>
      <c r="D700" t="inlineStr">
        <is>
          <t>DALARNAS LÄN</t>
        </is>
      </c>
      <c r="E700" t="inlineStr">
        <is>
          <t>MORA</t>
        </is>
      </c>
      <c r="G700" t="n">
        <v>0.7</v>
      </c>
      <c r="H700" t="n">
        <v>0</v>
      </c>
      <c r="I700" t="n">
        <v>0</v>
      </c>
      <c r="J700" t="n">
        <v>0</v>
      </c>
      <c r="K700" t="n">
        <v>0</v>
      </c>
      <c r="L700" t="n">
        <v>0</v>
      </c>
      <c r="M700" t="n">
        <v>0</v>
      </c>
      <c r="N700" t="n">
        <v>0</v>
      </c>
      <c r="O700" t="n">
        <v>0</v>
      </c>
      <c r="P700" t="n">
        <v>0</v>
      </c>
      <c r="Q700" t="n">
        <v>0</v>
      </c>
      <c r="R700" s="2" t="inlineStr"/>
    </row>
    <row r="701" ht="15" customHeight="1">
      <c r="A701" t="inlineStr">
        <is>
          <t>A 6719-2026</t>
        </is>
      </c>
      <c r="B701" s="1" t="n">
        <v>46056.66945601852</v>
      </c>
      <c r="C701" s="1" t="n">
        <v>46084</v>
      </c>
      <c r="D701" t="inlineStr">
        <is>
          <t>DALARNAS LÄN</t>
        </is>
      </c>
      <c r="E701" t="inlineStr">
        <is>
          <t>MORA</t>
        </is>
      </c>
      <c r="G701" t="n">
        <v>0.7</v>
      </c>
      <c r="H701" t="n">
        <v>0</v>
      </c>
      <c r="I701" t="n">
        <v>0</v>
      </c>
      <c r="J701" t="n">
        <v>0</v>
      </c>
      <c r="K701" t="n">
        <v>0</v>
      </c>
      <c r="L701" t="n">
        <v>0</v>
      </c>
      <c r="M701" t="n">
        <v>0</v>
      </c>
      <c r="N701" t="n">
        <v>0</v>
      </c>
      <c r="O701" t="n">
        <v>0</v>
      </c>
      <c r="P701" t="n">
        <v>0</v>
      </c>
      <c r="Q701" t="n">
        <v>0</v>
      </c>
      <c r="R701" s="2" t="inlineStr"/>
    </row>
    <row r="702" ht="15" customHeight="1">
      <c r="A702" t="inlineStr">
        <is>
          <t>A 16733-2024</t>
        </is>
      </c>
      <c r="B702" s="1" t="n">
        <v>45410.78502314815</v>
      </c>
      <c r="C702" s="1" t="n">
        <v>46084</v>
      </c>
      <c r="D702" t="inlineStr">
        <is>
          <t>DALARNAS LÄN</t>
        </is>
      </c>
      <c r="E702" t="inlineStr">
        <is>
          <t>MORA</t>
        </is>
      </c>
      <c r="G702" t="n">
        <v>6.3</v>
      </c>
      <c r="H702" t="n">
        <v>0</v>
      </c>
      <c r="I702" t="n">
        <v>0</v>
      </c>
      <c r="J702" t="n">
        <v>0</v>
      </c>
      <c r="K702" t="n">
        <v>0</v>
      </c>
      <c r="L702" t="n">
        <v>0</v>
      </c>
      <c r="M702" t="n">
        <v>0</v>
      </c>
      <c r="N702" t="n">
        <v>0</v>
      </c>
      <c r="O702" t="n">
        <v>0</v>
      </c>
      <c r="P702" t="n">
        <v>0</v>
      </c>
      <c r="Q702" t="n">
        <v>0</v>
      </c>
      <c r="R702" s="2" t="inlineStr"/>
    </row>
    <row r="703" ht="15" customHeight="1">
      <c r="A703" t="inlineStr">
        <is>
          <t>A 63689-2025</t>
        </is>
      </c>
      <c r="B703" s="1" t="n">
        <v>46014.539375</v>
      </c>
      <c r="C703" s="1" t="n">
        <v>46084</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61217-2023</t>
        </is>
      </c>
      <c r="B704" s="1" t="n">
        <v>45264.43802083333</v>
      </c>
      <c r="C704" s="1" t="n">
        <v>46084</v>
      </c>
      <c r="D704" t="inlineStr">
        <is>
          <t>DALARNAS LÄN</t>
        </is>
      </c>
      <c r="E704" t="inlineStr">
        <is>
          <t>MORA</t>
        </is>
      </c>
      <c r="F704" t="inlineStr">
        <is>
          <t>Allmännings- och besparingsskogar</t>
        </is>
      </c>
      <c r="G704" t="n">
        <v>2</v>
      </c>
      <c r="H704" t="n">
        <v>0</v>
      </c>
      <c r="I704" t="n">
        <v>0</v>
      </c>
      <c r="J704" t="n">
        <v>0</v>
      </c>
      <c r="K704" t="n">
        <v>0</v>
      </c>
      <c r="L704" t="n">
        <v>0</v>
      </c>
      <c r="M704" t="n">
        <v>0</v>
      </c>
      <c r="N704" t="n">
        <v>0</v>
      </c>
      <c r="O704" t="n">
        <v>0</v>
      </c>
      <c r="P704" t="n">
        <v>0</v>
      </c>
      <c r="Q704" t="n">
        <v>0</v>
      </c>
      <c r="R704" s="2" t="inlineStr"/>
    </row>
    <row r="705" ht="15" customHeight="1">
      <c r="A705" t="inlineStr">
        <is>
          <t>A 61218-2023</t>
        </is>
      </c>
      <c r="B705" s="1" t="n">
        <v>45264</v>
      </c>
      <c r="C705" s="1" t="n">
        <v>46084</v>
      </c>
      <c r="D705" t="inlineStr">
        <is>
          <t>DALARNAS LÄN</t>
        </is>
      </c>
      <c r="E705" t="inlineStr">
        <is>
          <t>MORA</t>
        </is>
      </c>
      <c r="F705" t="inlineStr">
        <is>
          <t>Allmännings- och besparingsskogar</t>
        </is>
      </c>
      <c r="G705" t="n">
        <v>2.6</v>
      </c>
      <c r="H705" t="n">
        <v>0</v>
      </c>
      <c r="I705" t="n">
        <v>0</v>
      </c>
      <c r="J705" t="n">
        <v>0</v>
      </c>
      <c r="K705" t="n">
        <v>0</v>
      </c>
      <c r="L705" t="n">
        <v>0</v>
      </c>
      <c r="M705" t="n">
        <v>0</v>
      </c>
      <c r="N705" t="n">
        <v>0</v>
      </c>
      <c r="O705" t="n">
        <v>0</v>
      </c>
      <c r="P705" t="n">
        <v>0</v>
      </c>
      <c r="Q705" t="n">
        <v>0</v>
      </c>
      <c r="R705" s="2" t="inlineStr"/>
    </row>
    <row r="706" ht="15" customHeight="1">
      <c r="A706" t="inlineStr">
        <is>
          <t>A 37710-2023</t>
        </is>
      </c>
      <c r="B706" s="1" t="n">
        <v>45159.59186342593</v>
      </c>
      <c r="C706" s="1" t="n">
        <v>46084</v>
      </c>
      <c r="D706" t="inlineStr">
        <is>
          <t>DALARNAS LÄN</t>
        </is>
      </c>
      <c r="E706" t="inlineStr">
        <is>
          <t>MORA</t>
        </is>
      </c>
      <c r="G706" t="n">
        <v>1.9</v>
      </c>
      <c r="H706" t="n">
        <v>0</v>
      </c>
      <c r="I706" t="n">
        <v>0</v>
      </c>
      <c r="J706" t="n">
        <v>0</v>
      </c>
      <c r="K706" t="n">
        <v>0</v>
      </c>
      <c r="L706" t="n">
        <v>0</v>
      </c>
      <c r="M706" t="n">
        <v>0</v>
      </c>
      <c r="N706" t="n">
        <v>0</v>
      </c>
      <c r="O706" t="n">
        <v>0</v>
      </c>
      <c r="P706" t="n">
        <v>0</v>
      </c>
      <c r="Q706" t="n">
        <v>0</v>
      </c>
      <c r="R706" s="2" t="inlineStr"/>
    </row>
    <row r="707" ht="15" customHeight="1">
      <c r="A707" t="inlineStr">
        <is>
          <t>A 6923-2026</t>
        </is>
      </c>
      <c r="B707" s="1" t="n">
        <v>46057.53868055555</v>
      </c>
      <c r="C707" s="1" t="n">
        <v>46084</v>
      </c>
      <c r="D707" t="inlineStr">
        <is>
          <t>DALARNAS LÄN</t>
        </is>
      </c>
      <c r="E707" t="inlineStr">
        <is>
          <t>MORA</t>
        </is>
      </c>
      <c r="G707" t="n">
        <v>1.1</v>
      </c>
      <c r="H707" t="n">
        <v>0</v>
      </c>
      <c r="I707" t="n">
        <v>0</v>
      </c>
      <c r="J707" t="n">
        <v>0</v>
      </c>
      <c r="K707" t="n">
        <v>0</v>
      </c>
      <c r="L707" t="n">
        <v>0</v>
      </c>
      <c r="M707" t="n">
        <v>0</v>
      </c>
      <c r="N707" t="n">
        <v>0</v>
      </c>
      <c r="O707" t="n">
        <v>0</v>
      </c>
      <c r="P707" t="n">
        <v>0</v>
      </c>
      <c r="Q707" t="n">
        <v>0</v>
      </c>
      <c r="R707" s="2" t="inlineStr"/>
    </row>
    <row r="708" ht="15" customHeight="1">
      <c r="A708" t="inlineStr">
        <is>
          <t>A 45355-2024</t>
        </is>
      </c>
      <c r="B708" s="1" t="n">
        <v>45576</v>
      </c>
      <c r="C708" s="1" t="n">
        <v>46084</v>
      </c>
      <c r="D708" t="inlineStr">
        <is>
          <t>DALARNAS LÄN</t>
        </is>
      </c>
      <c r="E708" t="inlineStr">
        <is>
          <t>MORA</t>
        </is>
      </c>
      <c r="G708" t="n">
        <v>1.4</v>
      </c>
      <c r="H708" t="n">
        <v>0</v>
      </c>
      <c r="I708" t="n">
        <v>0</v>
      </c>
      <c r="J708" t="n">
        <v>0</v>
      </c>
      <c r="K708" t="n">
        <v>0</v>
      </c>
      <c r="L708" t="n">
        <v>0</v>
      </c>
      <c r="M708" t="n">
        <v>0</v>
      </c>
      <c r="N708" t="n">
        <v>0</v>
      </c>
      <c r="O708" t="n">
        <v>0</v>
      </c>
      <c r="P708" t="n">
        <v>0</v>
      </c>
      <c r="Q708" t="n">
        <v>0</v>
      </c>
      <c r="R708" s="2" t="inlineStr"/>
    </row>
    <row r="709" ht="15" customHeight="1">
      <c r="A709" t="inlineStr">
        <is>
          <t>A 37695-2024</t>
        </is>
      </c>
      <c r="B709" s="1" t="n">
        <v>45541.61094907407</v>
      </c>
      <c r="C709" s="1" t="n">
        <v>46084</v>
      </c>
      <c r="D709" t="inlineStr">
        <is>
          <t>DALARNAS LÄN</t>
        </is>
      </c>
      <c r="E709" t="inlineStr">
        <is>
          <t>MORA</t>
        </is>
      </c>
      <c r="G709" t="n">
        <v>19.7</v>
      </c>
      <c r="H709" t="n">
        <v>0</v>
      </c>
      <c r="I709" t="n">
        <v>0</v>
      </c>
      <c r="J709" t="n">
        <v>0</v>
      </c>
      <c r="K709" t="n">
        <v>0</v>
      </c>
      <c r="L709" t="n">
        <v>0</v>
      </c>
      <c r="M709" t="n">
        <v>0</v>
      </c>
      <c r="N709" t="n">
        <v>0</v>
      </c>
      <c r="O709" t="n">
        <v>0</v>
      </c>
      <c r="P709" t="n">
        <v>0</v>
      </c>
      <c r="Q709" t="n">
        <v>0</v>
      </c>
      <c r="R709" s="2" t="inlineStr"/>
    </row>
    <row r="710" ht="15" customHeight="1">
      <c r="A710" t="inlineStr">
        <is>
          <t>A 6595-2026</t>
        </is>
      </c>
      <c r="B710" s="1" t="n">
        <v>46056.4644675926</v>
      </c>
      <c r="C710" s="1" t="n">
        <v>46084</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28934-2023</t>
        </is>
      </c>
      <c r="B711" s="1" t="n">
        <v>45104</v>
      </c>
      <c r="C711" s="1" t="n">
        <v>46084</v>
      </c>
      <c r="D711" t="inlineStr">
        <is>
          <t>DALARNAS LÄN</t>
        </is>
      </c>
      <c r="E711" t="inlineStr">
        <is>
          <t>MORA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7418-2026</t>
        </is>
      </c>
      <c r="B712" s="1" t="n">
        <v>46059.42018518518</v>
      </c>
      <c r="C712" s="1" t="n">
        <v>46084</v>
      </c>
      <c r="D712" t="inlineStr">
        <is>
          <t>DALARNAS LÄN</t>
        </is>
      </c>
      <c r="E712" t="inlineStr">
        <is>
          <t>MORA</t>
        </is>
      </c>
      <c r="G712" t="n">
        <v>4</v>
      </c>
      <c r="H712" t="n">
        <v>0</v>
      </c>
      <c r="I712" t="n">
        <v>0</v>
      </c>
      <c r="J712" t="n">
        <v>0</v>
      </c>
      <c r="K712" t="n">
        <v>0</v>
      </c>
      <c r="L712" t="n">
        <v>0</v>
      </c>
      <c r="M712" t="n">
        <v>0</v>
      </c>
      <c r="N712" t="n">
        <v>0</v>
      </c>
      <c r="O712" t="n">
        <v>0</v>
      </c>
      <c r="P712" t="n">
        <v>0</v>
      </c>
      <c r="Q712" t="n">
        <v>0</v>
      </c>
      <c r="R712" s="2" t="inlineStr"/>
    </row>
    <row r="713" ht="15" customHeight="1">
      <c r="A713" t="inlineStr">
        <is>
          <t>A 15416-2023</t>
        </is>
      </c>
      <c r="B713" s="1" t="n">
        <v>45019.71342592593</v>
      </c>
      <c r="C713" s="1" t="n">
        <v>46084</v>
      </c>
      <c r="D713" t="inlineStr">
        <is>
          <t>DALARNAS LÄN</t>
        </is>
      </c>
      <c r="E713" t="inlineStr">
        <is>
          <t>MORA</t>
        </is>
      </c>
      <c r="G713" t="n">
        <v>2</v>
      </c>
      <c r="H713" t="n">
        <v>0</v>
      </c>
      <c r="I713" t="n">
        <v>0</v>
      </c>
      <c r="J713" t="n">
        <v>0</v>
      </c>
      <c r="K713" t="n">
        <v>0</v>
      </c>
      <c r="L713" t="n">
        <v>0</v>
      </c>
      <c r="M713" t="n">
        <v>0</v>
      </c>
      <c r="N713" t="n">
        <v>0</v>
      </c>
      <c r="O713" t="n">
        <v>0</v>
      </c>
      <c r="P713" t="n">
        <v>0</v>
      </c>
      <c r="Q713" t="n">
        <v>0</v>
      </c>
      <c r="R713" s="2" t="inlineStr"/>
    </row>
    <row r="714" ht="15" customHeight="1">
      <c r="A714" t="inlineStr">
        <is>
          <t>A 5769-2025</t>
        </is>
      </c>
      <c r="B714" s="1" t="n">
        <v>45694.59288194445</v>
      </c>
      <c r="C714" s="1" t="n">
        <v>46084</v>
      </c>
      <c r="D714" t="inlineStr">
        <is>
          <t>DALARNAS LÄN</t>
        </is>
      </c>
      <c r="E714" t="inlineStr">
        <is>
          <t>MORA</t>
        </is>
      </c>
      <c r="G714" t="n">
        <v>15.7</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45232.63217592592</v>
      </c>
      <c r="C715" s="1" t="n">
        <v>46084</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57608-2021</t>
        </is>
      </c>
      <c r="B716" s="1" t="n">
        <v>44484</v>
      </c>
      <c r="C716" s="1" t="n">
        <v>46084</v>
      </c>
      <c r="D716" t="inlineStr">
        <is>
          <t>DALARNAS LÄN</t>
        </is>
      </c>
      <c r="E716" t="inlineStr">
        <is>
          <t>MORA</t>
        </is>
      </c>
      <c r="G716" t="n">
        <v>6.3</v>
      </c>
      <c r="H716" t="n">
        <v>0</v>
      </c>
      <c r="I716" t="n">
        <v>0</v>
      </c>
      <c r="J716" t="n">
        <v>0</v>
      </c>
      <c r="K716" t="n">
        <v>0</v>
      </c>
      <c r="L716" t="n">
        <v>0</v>
      </c>
      <c r="M716" t="n">
        <v>0</v>
      </c>
      <c r="N716" t="n">
        <v>0</v>
      </c>
      <c r="O716" t="n">
        <v>0</v>
      </c>
      <c r="P716" t="n">
        <v>0</v>
      </c>
      <c r="Q716" t="n">
        <v>0</v>
      </c>
      <c r="R716" s="2" t="inlineStr"/>
    </row>
    <row r="717" ht="15" customHeight="1">
      <c r="A717" t="inlineStr">
        <is>
          <t>A 8007-2026</t>
        </is>
      </c>
      <c r="B717" s="1" t="n">
        <v>46063.52565972223</v>
      </c>
      <c r="C717" s="1" t="n">
        <v>46084</v>
      </c>
      <c r="D717" t="inlineStr">
        <is>
          <t>DALARNAS LÄN</t>
        </is>
      </c>
      <c r="E717" t="inlineStr">
        <is>
          <t>MORA</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7951-2026</t>
        </is>
      </c>
      <c r="B718" s="1" t="n">
        <v>46063.42481481482</v>
      </c>
      <c r="C718" s="1" t="n">
        <v>46084</v>
      </c>
      <c r="D718" t="inlineStr">
        <is>
          <t>DALARNAS LÄN</t>
        </is>
      </c>
      <c r="E718" t="inlineStr">
        <is>
          <t>MORA</t>
        </is>
      </c>
      <c r="G718" t="n">
        <v>2.9</v>
      </c>
      <c r="H718" t="n">
        <v>0</v>
      </c>
      <c r="I718" t="n">
        <v>0</v>
      </c>
      <c r="J718" t="n">
        <v>0</v>
      </c>
      <c r="K718" t="n">
        <v>0</v>
      </c>
      <c r="L718" t="n">
        <v>0</v>
      </c>
      <c r="M718" t="n">
        <v>0</v>
      </c>
      <c r="N718" t="n">
        <v>0</v>
      </c>
      <c r="O718" t="n">
        <v>0</v>
      </c>
      <c r="P718" t="n">
        <v>0</v>
      </c>
      <c r="Q718" t="n">
        <v>0</v>
      </c>
      <c r="R718" s="2" t="inlineStr"/>
    </row>
    <row r="719" ht="15" customHeight="1">
      <c r="A719" t="inlineStr">
        <is>
          <t>A 17393-2025</t>
        </is>
      </c>
      <c r="B719" s="1" t="n">
        <v>45757.34350694445</v>
      </c>
      <c r="C719" s="1" t="n">
        <v>46084</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63964-2025</t>
        </is>
      </c>
      <c r="B720" s="1" t="n">
        <v>46020</v>
      </c>
      <c r="C720" s="1" t="n">
        <v>46084</v>
      </c>
      <c r="D720" t="inlineStr">
        <is>
          <t>DALARNAS LÄN</t>
        </is>
      </c>
      <c r="E720" t="inlineStr">
        <is>
          <t>MORA</t>
        </is>
      </c>
      <c r="G720" t="n">
        <v>6.1</v>
      </c>
      <c r="H720" t="n">
        <v>0</v>
      </c>
      <c r="I720" t="n">
        <v>0</v>
      </c>
      <c r="J720" t="n">
        <v>0</v>
      </c>
      <c r="K720" t="n">
        <v>0</v>
      </c>
      <c r="L720" t="n">
        <v>0</v>
      </c>
      <c r="M720" t="n">
        <v>0</v>
      </c>
      <c r="N720" t="n">
        <v>0</v>
      </c>
      <c r="O720" t="n">
        <v>0</v>
      </c>
      <c r="P720" t="n">
        <v>0</v>
      </c>
      <c r="Q720" t="n">
        <v>0</v>
      </c>
      <c r="R720" s="2" t="inlineStr"/>
    </row>
    <row r="721" ht="15" customHeight="1">
      <c r="A721" t="inlineStr">
        <is>
          <t>A 25887-2023</t>
        </is>
      </c>
      <c r="B721" s="1" t="n">
        <v>45090.62493055555</v>
      </c>
      <c r="C721" s="1" t="n">
        <v>46084</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8075-2026</t>
        </is>
      </c>
      <c r="B722" s="1" t="n">
        <v>46063.65672453704</v>
      </c>
      <c r="C722" s="1" t="n">
        <v>46084</v>
      </c>
      <c r="D722" t="inlineStr">
        <is>
          <t>DALARNAS LÄN</t>
        </is>
      </c>
      <c r="E722" t="inlineStr">
        <is>
          <t>MORA</t>
        </is>
      </c>
      <c r="G722" t="n">
        <v>1.3</v>
      </c>
      <c r="H722" t="n">
        <v>0</v>
      </c>
      <c r="I722" t="n">
        <v>0</v>
      </c>
      <c r="J722" t="n">
        <v>0</v>
      </c>
      <c r="K722" t="n">
        <v>0</v>
      </c>
      <c r="L722" t="n">
        <v>0</v>
      </c>
      <c r="M722" t="n">
        <v>0</v>
      </c>
      <c r="N722" t="n">
        <v>0</v>
      </c>
      <c r="O722" t="n">
        <v>0</v>
      </c>
      <c r="P722" t="n">
        <v>0</v>
      </c>
      <c r="Q722" t="n">
        <v>0</v>
      </c>
      <c r="R722" s="2" t="inlineStr"/>
    </row>
    <row r="723" ht="15" customHeight="1">
      <c r="A723" t="inlineStr">
        <is>
          <t>A 3854-2026</t>
        </is>
      </c>
      <c r="B723" s="1" t="n">
        <v>46043</v>
      </c>
      <c r="C723" s="1" t="n">
        <v>46084</v>
      </c>
      <c r="D723" t="inlineStr">
        <is>
          <t>DALARNAS LÄN</t>
        </is>
      </c>
      <c r="E723" t="inlineStr">
        <is>
          <t>MORA</t>
        </is>
      </c>
      <c r="G723" t="n">
        <v>1</v>
      </c>
      <c r="H723" t="n">
        <v>0</v>
      </c>
      <c r="I723" t="n">
        <v>0</v>
      </c>
      <c r="J723" t="n">
        <v>0</v>
      </c>
      <c r="K723" t="n">
        <v>0</v>
      </c>
      <c r="L723" t="n">
        <v>0</v>
      </c>
      <c r="M723" t="n">
        <v>0</v>
      </c>
      <c r="N723" t="n">
        <v>0</v>
      </c>
      <c r="O723" t="n">
        <v>0</v>
      </c>
      <c r="P723" t="n">
        <v>0</v>
      </c>
      <c r="Q723" t="n">
        <v>0</v>
      </c>
      <c r="R723" s="2" t="inlineStr"/>
    </row>
    <row r="724" ht="15" customHeight="1">
      <c r="A724" t="inlineStr">
        <is>
          <t>A 64099-2023</t>
        </is>
      </c>
      <c r="B724" s="1" t="n">
        <v>45279.46009259259</v>
      </c>
      <c r="C724" s="1" t="n">
        <v>46084</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19910-2024</t>
        </is>
      </c>
      <c r="B725" s="1" t="n">
        <v>45433.5741087963</v>
      </c>
      <c r="C725" s="1" t="n">
        <v>46084</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23300-2024</t>
        </is>
      </c>
      <c r="B726" s="1" t="n">
        <v>45453.43695601852</v>
      </c>
      <c r="C726" s="1" t="n">
        <v>46084</v>
      </c>
      <c r="D726" t="inlineStr">
        <is>
          <t>DALARNAS LÄN</t>
        </is>
      </c>
      <c r="E726" t="inlineStr">
        <is>
          <t>MORA</t>
        </is>
      </c>
      <c r="G726" t="n">
        <v>0.5</v>
      </c>
      <c r="H726" t="n">
        <v>0</v>
      </c>
      <c r="I726" t="n">
        <v>0</v>
      </c>
      <c r="J726" t="n">
        <v>0</v>
      </c>
      <c r="K726" t="n">
        <v>0</v>
      </c>
      <c r="L726" t="n">
        <v>0</v>
      </c>
      <c r="M726" t="n">
        <v>0</v>
      </c>
      <c r="N726" t="n">
        <v>0</v>
      </c>
      <c r="O726" t="n">
        <v>0</v>
      </c>
      <c r="P726" t="n">
        <v>0</v>
      </c>
      <c r="Q726" t="n">
        <v>0</v>
      </c>
      <c r="R726" s="2" t="inlineStr"/>
    </row>
    <row r="727" ht="15" customHeight="1">
      <c r="A727" t="inlineStr">
        <is>
          <t>A 19896-2021</t>
        </is>
      </c>
      <c r="B727" s="1" t="n">
        <v>44313.54942129629</v>
      </c>
      <c r="C727" s="1" t="n">
        <v>46084</v>
      </c>
      <c r="D727" t="inlineStr">
        <is>
          <t>DALARNAS LÄN</t>
        </is>
      </c>
      <c r="E727" t="inlineStr">
        <is>
          <t>MORA</t>
        </is>
      </c>
      <c r="G727" t="n">
        <v>1.8</v>
      </c>
      <c r="H727" t="n">
        <v>0</v>
      </c>
      <c r="I727" t="n">
        <v>0</v>
      </c>
      <c r="J727" t="n">
        <v>0</v>
      </c>
      <c r="K727" t="n">
        <v>0</v>
      </c>
      <c r="L727" t="n">
        <v>0</v>
      </c>
      <c r="M727" t="n">
        <v>0</v>
      </c>
      <c r="N727" t="n">
        <v>0</v>
      </c>
      <c r="O727" t="n">
        <v>0</v>
      </c>
      <c r="P727" t="n">
        <v>0</v>
      </c>
      <c r="Q727" t="n">
        <v>0</v>
      </c>
      <c r="R727" s="2" t="inlineStr"/>
    </row>
    <row r="728" ht="15" customHeight="1">
      <c r="A728" t="inlineStr">
        <is>
          <t>A 9599-2022</t>
        </is>
      </c>
      <c r="B728" s="1" t="n">
        <v>44617.48909722222</v>
      </c>
      <c r="C728" s="1" t="n">
        <v>46084</v>
      </c>
      <c r="D728" t="inlineStr">
        <is>
          <t>DALARNAS LÄN</t>
        </is>
      </c>
      <c r="E728" t="inlineStr">
        <is>
          <t>MORA</t>
        </is>
      </c>
      <c r="G728" t="n">
        <v>2.1</v>
      </c>
      <c r="H728" t="n">
        <v>0</v>
      </c>
      <c r="I728" t="n">
        <v>0</v>
      </c>
      <c r="J728" t="n">
        <v>0</v>
      </c>
      <c r="K728" t="n">
        <v>0</v>
      </c>
      <c r="L728" t="n">
        <v>0</v>
      </c>
      <c r="M728" t="n">
        <v>0</v>
      </c>
      <c r="N728" t="n">
        <v>0</v>
      </c>
      <c r="O728" t="n">
        <v>0</v>
      </c>
      <c r="P728" t="n">
        <v>0</v>
      </c>
      <c r="Q728" t="n">
        <v>0</v>
      </c>
      <c r="R728" s="2" t="inlineStr"/>
    </row>
    <row r="729" ht="15" customHeight="1">
      <c r="A729" t="inlineStr">
        <is>
          <t>A 35521-2023</t>
        </is>
      </c>
      <c r="B729" s="1" t="n">
        <v>45147.33251157407</v>
      </c>
      <c r="C729" s="1" t="n">
        <v>46084</v>
      </c>
      <c r="D729" t="inlineStr">
        <is>
          <t>DALARNAS LÄN</t>
        </is>
      </c>
      <c r="E729" t="inlineStr">
        <is>
          <t>MORA</t>
        </is>
      </c>
      <c r="G729" t="n">
        <v>3.7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45260.52684027778</v>
      </c>
      <c r="C730" s="1" t="n">
        <v>46084</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54257-2023</t>
        </is>
      </c>
      <c r="B731" s="1" t="n">
        <v>45232.64195601852</v>
      </c>
      <c r="C731" s="1" t="n">
        <v>46084</v>
      </c>
      <c r="D731" t="inlineStr">
        <is>
          <t>DALARNAS LÄN</t>
        </is>
      </c>
      <c r="E731" t="inlineStr">
        <is>
          <t>MORA</t>
        </is>
      </c>
      <c r="G731" t="n">
        <v>4</v>
      </c>
      <c r="H731" t="n">
        <v>0</v>
      </c>
      <c r="I731" t="n">
        <v>0</v>
      </c>
      <c r="J731" t="n">
        <v>0</v>
      </c>
      <c r="K731" t="n">
        <v>0</v>
      </c>
      <c r="L731" t="n">
        <v>0</v>
      </c>
      <c r="M731" t="n">
        <v>0</v>
      </c>
      <c r="N731" t="n">
        <v>0</v>
      </c>
      <c r="O731" t="n">
        <v>0</v>
      </c>
      <c r="P731" t="n">
        <v>0</v>
      </c>
      <c r="Q731" t="n">
        <v>0</v>
      </c>
      <c r="R731" s="2" t="inlineStr"/>
    </row>
    <row r="732" ht="15" customHeight="1">
      <c r="A732" t="inlineStr">
        <is>
          <t>A 25499-2024</t>
        </is>
      </c>
      <c r="B732" s="1" t="n">
        <v>45463</v>
      </c>
      <c r="C732" s="1" t="n">
        <v>46084</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58958-2022</t>
        </is>
      </c>
      <c r="B733" s="1" t="n">
        <v>44903.6605324074</v>
      </c>
      <c r="C733" s="1" t="n">
        <v>46084</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52908-2023</t>
        </is>
      </c>
      <c r="B734" s="1" t="n">
        <v>45226.49950231481</v>
      </c>
      <c r="C734" s="1" t="n">
        <v>46084</v>
      </c>
      <c r="D734" t="inlineStr">
        <is>
          <t>DALARNAS LÄN</t>
        </is>
      </c>
      <c r="E734" t="inlineStr">
        <is>
          <t>MORA</t>
        </is>
      </c>
      <c r="G734" t="n">
        <v>3.3</v>
      </c>
      <c r="H734" t="n">
        <v>0</v>
      </c>
      <c r="I734" t="n">
        <v>0</v>
      </c>
      <c r="J734" t="n">
        <v>0</v>
      </c>
      <c r="K734" t="n">
        <v>0</v>
      </c>
      <c r="L734" t="n">
        <v>0</v>
      </c>
      <c r="M734" t="n">
        <v>0</v>
      </c>
      <c r="N734" t="n">
        <v>0</v>
      </c>
      <c r="O734" t="n">
        <v>0</v>
      </c>
      <c r="P734" t="n">
        <v>0</v>
      </c>
      <c r="Q734" t="n">
        <v>0</v>
      </c>
      <c r="R734" s="2" t="inlineStr"/>
    </row>
    <row r="735" ht="15" customHeight="1">
      <c r="A735" t="inlineStr">
        <is>
          <t>A 18214-2024</t>
        </is>
      </c>
      <c r="B735" s="1" t="n">
        <v>45420</v>
      </c>
      <c r="C735" s="1" t="n">
        <v>46084</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60465-2023</t>
        </is>
      </c>
      <c r="B736" s="1" t="n">
        <v>45259.57872685185</v>
      </c>
      <c r="C736" s="1" t="n">
        <v>46084</v>
      </c>
      <c r="D736" t="inlineStr">
        <is>
          <t>DALARNAS LÄN</t>
        </is>
      </c>
      <c r="E736" t="inlineStr">
        <is>
          <t>MORA</t>
        </is>
      </c>
      <c r="G736" t="n">
        <v>1.3</v>
      </c>
      <c r="H736" t="n">
        <v>0</v>
      </c>
      <c r="I736" t="n">
        <v>0</v>
      </c>
      <c r="J736" t="n">
        <v>0</v>
      </c>
      <c r="K736" t="n">
        <v>0</v>
      </c>
      <c r="L736" t="n">
        <v>0</v>
      </c>
      <c r="M736" t="n">
        <v>0</v>
      </c>
      <c r="N736" t="n">
        <v>0</v>
      </c>
      <c r="O736" t="n">
        <v>0</v>
      </c>
      <c r="P736" t="n">
        <v>0</v>
      </c>
      <c r="Q736" t="n">
        <v>0</v>
      </c>
      <c r="R736" s="2" t="inlineStr"/>
    </row>
    <row r="737" ht="15" customHeight="1">
      <c r="A737" t="inlineStr">
        <is>
          <t>A 61654-2024</t>
        </is>
      </c>
      <c r="B737" s="1" t="n">
        <v>45646.74988425926</v>
      </c>
      <c r="C737" s="1" t="n">
        <v>46084</v>
      </c>
      <c r="D737" t="inlineStr">
        <is>
          <t>DALARNAS LÄN</t>
        </is>
      </c>
      <c r="E737" t="inlineStr">
        <is>
          <t>MORA</t>
        </is>
      </c>
      <c r="G737" t="n">
        <v>1.7</v>
      </c>
      <c r="H737" t="n">
        <v>0</v>
      </c>
      <c r="I737" t="n">
        <v>0</v>
      </c>
      <c r="J737" t="n">
        <v>0</v>
      </c>
      <c r="K737" t="n">
        <v>0</v>
      </c>
      <c r="L737" t="n">
        <v>0</v>
      </c>
      <c r="M737" t="n">
        <v>0</v>
      </c>
      <c r="N737" t="n">
        <v>0</v>
      </c>
      <c r="O737" t="n">
        <v>0</v>
      </c>
      <c r="P737" t="n">
        <v>0</v>
      </c>
      <c r="Q737" t="n">
        <v>0</v>
      </c>
      <c r="R737" s="2" t="inlineStr"/>
    </row>
    <row r="738" ht="15" customHeight="1">
      <c r="A738" t="inlineStr">
        <is>
          <t>A 60428-2023</t>
        </is>
      </c>
      <c r="B738" s="1" t="n">
        <v>45259.50996527778</v>
      </c>
      <c r="C738" s="1" t="n">
        <v>46084</v>
      </c>
      <c r="D738" t="inlineStr">
        <is>
          <t>DALARNAS LÄN</t>
        </is>
      </c>
      <c r="E738" t="inlineStr">
        <is>
          <t>MORA</t>
        </is>
      </c>
      <c r="G738" t="n">
        <v>4.9</v>
      </c>
      <c r="H738" t="n">
        <v>0</v>
      </c>
      <c r="I738" t="n">
        <v>0</v>
      </c>
      <c r="J738" t="n">
        <v>0</v>
      </c>
      <c r="K738" t="n">
        <v>0</v>
      </c>
      <c r="L738" t="n">
        <v>0</v>
      </c>
      <c r="M738" t="n">
        <v>0</v>
      </c>
      <c r="N738" t="n">
        <v>0</v>
      </c>
      <c r="O738" t="n">
        <v>0</v>
      </c>
      <c r="P738" t="n">
        <v>0</v>
      </c>
      <c r="Q738" t="n">
        <v>0</v>
      </c>
      <c r="R738" s="2" t="inlineStr"/>
    </row>
    <row r="739" ht="15" customHeight="1">
      <c r="A739" t="inlineStr">
        <is>
          <t>A 2308-2023</t>
        </is>
      </c>
      <c r="B739" s="1" t="n">
        <v>44942.57987268519</v>
      </c>
      <c r="C739" s="1" t="n">
        <v>46084</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53159-2024</t>
        </is>
      </c>
      <c r="B740" s="1" t="n">
        <v>45611.63849537037</v>
      </c>
      <c r="C740" s="1" t="n">
        <v>46084</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29754-2022</t>
        </is>
      </c>
      <c r="B741" s="1" t="n">
        <v>44755.59188657408</v>
      </c>
      <c r="C741" s="1" t="n">
        <v>46084</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27188-2023</t>
        </is>
      </c>
      <c r="B742" s="1" t="n">
        <v>45096</v>
      </c>
      <c r="C742" s="1" t="n">
        <v>46084</v>
      </c>
      <c r="D742" t="inlineStr">
        <is>
          <t>DALARNAS LÄN</t>
        </is>
      </c>
      <c r="E742" t="inlineStr">
        <is>
          <t>MORA</t>
        </is>
      </c>
      <c r="G742" t="n">
        <v>4.8</v>
      </c>
      <c r="H742" t="n">
        <v>0</v>
      </c>
      <c r="I742" t="n">
        <v>0</v>
      </c>
      <c r="J742" t="n">
        <v>0</v>
      </c>
      <c r="K742" t="n">
        <v>0</v>
      </c>
      <c r="L742" t="n">
        <v>0</v>
      </c>
      <c r="M742" t="n">
        <v>0</v>
      </c>
      <c r="N742" t="n">
        <v>0</v>
      </c>
      <c r="O742" t="n">
        <v>0</v>
      </c>
      <c r="P742" t="n">
        <v>0</v>
      </c>
      <c r="Q742" t="n">
        <v>0</v>
      </c>
      <c r="R742" s="2" t="inlineStr"/>
    </row>
    <row r="743" ht="15" customHeight="1">
      <c r="A743" t="inlineStr">
        <is>
          <t>A 56268-2024</t>
        </is>
      </c>
      <c r="B743" s="1" t="n">
        <v>45624.65785879629</v>
      </c>
      <c r="C743" s="1" t="n">
        <v>46084</v>
      </c>
      <c r="D743" t="inlineStr">
        <is>
          <t>DALARNAS LÄN</t>
        </is>
      </c>
      <c r="E743" t="inlineStr">
        <is>
          <t>MORA</t>
        </is>
      </c>
      <c r="G743" t="n">
        <v>2.7</v>
      </c>
      <c r="H743" t="n">
        <v>0</v>
      </c>
      <c r="I743" t="n">
        <v>0</v>
      </c>
      <c r="J743" t="n">
        <v>0</v>
      </c>
      <c r="K743" t="n">
        <v>0</v>
      </c>
      <c r="L743" t="n">
        <v>0</v>
      </c>
      <c r="M743" t="n">
        <v>0</v>
      </c>
      <c r="N743" t="n">
        <v>0</v>
      </c>
      <c r="O743" t="n">
        <v>0</v>
      </c>
      <c r="P743" t="n">
        <v>0</v>
      </c>
      <c r="Q743" t="n">
        <v>0</v>
      </c>
      <c r="R743" s="2" t="inlineStr"/>
    </row>
    <row r="744" ht="15" customHeight="1">
      <c r="A744" t="inlineStr">
        <is>
          <t>A 14641-2023</t>
        </is>
      </c>
      <c r="B744" s="1" t="n">
        <v>45013</v>
      </c>
      <c r="C744" s="1" t="n">
        <v>46084</v>
      </c>
      <c r="D744" t="inlineStr">
        <is>
          <t>DALARNAS LÄN</t>
        </is>
      </c>
      <c r="E744" t="inlineStr">
        <is>
          <t>MORA</t>
        </is>
      </c>
      <c r="G744" t="n">
        <v>1.5</v>
      </c>
      <c r="H744" t="n">
        <v>0</v>
      </c>
      <c r="I744" t="n">
        <v>0</v>
      </c>
      <c r="J744" t="n">
        <v>0</v>
      </c>
      <c r="K744" t="n">
        <v>0</v>
      </c>
      <c r="L744" t="n">
        <v>0</v>
      </c>
      <c r="M744" t="n">
        <v>0</v>
      </c>
      <c r="N744" t="n">
        <v>0</v>
      </c>
      <c r="O744" t="n">
        <v>0</v>
      </c>
      <c r="P744" t="n">
        <v>0</v>
      </c>
      <c r="Q744" t="n">
        <v>0</v>
      </c>
      <c r="R744" s="2" t="inlineStr"/>
    </row>
    <row r="745" ht="15" customHeight="1">
      <c r="A745" t="inlineStr">
        <is>
          <t>A 57408-2024</t>
        </is>
      </c>
      <c r="B745" s="1" t="n">
        <v>45629</v>
      </c>
      <c r="C745" s="1" t="n">
        <v>46084</v>
      </c>
      <c r="D745" t="inlineStr">
        <is>
          <t>DALARNAS LÄN</t>
        </is>
      </c>
      <c r="E745" t="inlineStr">
        <is>
          <t>MORA</t>
        </is>
      </c>
      <c r="F745" t="inlineStr">
        <is>
          <t>Allmännings- och besparingsskogar</t>
        </is>
      </c>
      <c r="G745" t="n">
        <v>2.5</v>
      </c>
      <c r="H745" t="n">
        <v>0</v>
      </c>
      <c r="I745" t="n">
        <v>0</v>
      </c>
      <c r="J745" t="n">
        <v>0</v>
      </c>
      <c r="K745" t="n">
        <v>0</v>
      </c>
      <c r="L745" t="n">
        <v>0</v>
      </c>
      <c r="M745" t="n">
        <v>0</v>
      </c>
      <c r="N745" t="n">
        <v>0</v>
      </c>
      <c r="O745" t="n">
        <v>0</v>
      </c>
      <c r="P745" t="n">
        <v>0</v>
      </c>
      <c r="Q745" t="n">
        <v>0</v>
      </c>
      <c r="R745" s="2" t="inlineStr"/>
    </row>
    <row r="746" ht="15" customHeight="1">
      <c r="A746" t="inlineStr">
        <is>
          <t>A 1252-2025</t>
        </is>
      </c>
      <c r="B746" s="1" t="n">
        <v>45667.46648148148</v>
      </c>
      <c r="C746" s="1" t="n">
        <v>46084</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9554-2025</t>
        </is>
      </c>
      <c r="B747" s="1" t="n">
        <v>45715.59936342593</v>
      </c>
      <c r="C747" s="1" t="n">
        <v>46084</v>
      </c>
      <c r="D747" t="inlineStr">
        <is>
          <t>DALARNAS LÄN</t>
        </is>
      </c>
      <c r="E747" t="inlineStr">
        <is>
          <t>MORA</t>
        </is>
      </c>
      <c r="G747" t="n">
        <v>0.9</v>
      </c>
      <c r="H747" t="n">
        <v>0</v>
      </c>
      <c r="I747" t="n">
        <v>0</v>
      </c>
      <c r="J747" t="n">
        <v>0</v>
      </c>
      <c r="K747" t="n">
        <v>0</v>
      </c>
      <c r="L747" t="n">
        <v>0</v>
      </c>
      <c r="M747" t="n">
        <v>0</v>
      </c>
      <c r="N747" t="n">
        <v>0</v>
      </c>
      <c r="O747" t="n">
        <v>0</v>
      </c>
      <c r="P747" t="n">
        <v>0</v>
      </c>
      <c r="Q747" t="n">
        <v>0</v>
      </c>
      <c r="R747" s="2" t="inlineStr"/>
    </row>
    <row r="748" ht="15" customHeight="1">
      <c r="A748" t="inlineStr">
        <is>
          <t>A 571-2024</t>
        </is>
      </c>
      <c r="B748" s="1" t="n">
        <v>45299</v>
      </c>
      <c r="C748" s="1" t="n">
        <v>46084</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20549-2025</t>
        </is>
      </c>
      <c r="B749" s="1" t="n">
        <v>45775.63459490741</v>
      </c>
      <c r="C749" s="1" t="n">
        <v>46084</v>
      </c>
      <c r="D749" t="inlineStr">
        <is>
          <t>DALARNAS LÄN</t>
        </is>
      </c>
      <c r="E749" t="inlineStr">
        <is>
          <t>MORA</t>
        </is>
      </c>
      <c r="G749" t="n">
        <v>1.6</v>
      </c>
      <c r="H749" t="n">
        <v>0</v>
      </c>
      <c r="I749" t="n">
        <v>0</v>
      </c>
      <c r="J749" t="n">
        <v>0</v>
      </c>
      <c r="K749" t="n">
        <v>0</v>
      </c>
      <c r="L749" t="n">
        <v>0</v>
      </c>
      <c r="M749" t="n">
        <v>0</v>
      </c>
      <c r="N749" t="n">
        <v>0</v>
      </c>
      <c r="O749" t="n">
        <v>0</v>
      </c>
      <c r="P749" t="n">
        <v>0</v>
      </c>
      <c r="Q749" t="n">
        <v>0</v>
      </c>
      <c r="R749" s="2" t="inlineStr"/>
    </row>
    <row r="750" ht="15" customHeight="1">
      <c r="A750" t="inlineStr">
        <is>
          <t>A 12478-2025</t>
        </is>
      </c>
      <c r="B750" s="1" t="n">
        <v>45730.57429398148</v>
      </c>
      <c r="C750" s="1" t="n">
        <v>46084</v>
      </c>
      <c r="D750" t="inlineStr">
        <is>
          <t>DALARNAS LÄN</t>
        </is>
      </c>
      <c r="E750" t="inlineStr">
        <is>
          <t>MORA</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53743-2024</t>
        </is>
      </c>
      <c r="B751" s="1" t="n">
        <v>45615.47137731482</v>
      </c>
      <c r="C751" s="1" t="n">
        <v>46084</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18806-2025</t>
        </is>
      </c>
      <c r="B752" s="1" t="n">
        <v>45764.35269675926</v>
      </c>
      <c r="C752" s="1" t="n">
        <v>46084</v>
      </c>
      <c r="D752" t="inlineStr">
        <is>
          <t>DALARNAS LÄN</t>
        </is>
      </c>
      <c r="E752" t="inlineStr">
        <is>
          <t>MORA</t>
        </is>
      </c>
      <c r="G752" t="n">
        <v>1.7</v>
      </c>
      <c r="H752" t="n">
        <v>0</v>
      </c>
      <c r="I752" t="n">
        <v>0</v>
      </c>
      <c r="J752" t="n">
        <v>0</v>
      </c>
      <c r="K752" t="n">
        <v>0</v>
      </c>
      <c r="L752" t="n">
        <v>0</v>
      </c>
      <c r="M752" t="n">
        <v>0</v>
      </c>
      <c r="N752" t="n">
        <v>0</v>
      </c>
      <c r="O752" t="n">
        <v>0</v>
      </c>
      <c r="P752" t="n">
        <v>0</v>
      </c>
      <c r="Q752" t="n">
        <v>0</v>
      </c>
      <c r="R752" s="2" t="inlineStr"/>
    </row>
    <row r="753" ht="15" customHeight="1">
      <c r="A753" t="inlineStr">
        <is>
          <t>A 54628-2024</t>
        </is>
      </c>
      <c r="B753" s="1" t="n">
        <v>45617.83969907407</v>
      </c>
      <c r="C753" s="1" t="n">
        <v>46084</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59448-2022</t>
        </is>
      </c>
      <c r="B754" s="1" t="n">
        <v>44907</v>
      </c>
      <c r="C754" s="1" t="n">
        <v>46084</v>
      </c>
      <c r="D754" t="inlineStr">
        <is>
          <t>DALARNAS LÄN</t>
        </is>
      </c>
      <c r="E754" t="inlineStr">
        <is>
          <t>MORA</t>
        </is>
      </c>
      <c r="G754" t="n">
        <v>35.7</v>
      </c>
      <c r="H754" t="n">
        <v>0</v>
      </c>
      <c r="I754" t="n">
        <v>0</v>
      </c>
      <c r="J754" t="n">
        <v>0</v>
      </c>
      <c r="K754" t="n">
        <v>0</v>
      </c>
      <c r="L754" t="n">
        <v>0</v>
      </c>
      <c r="M754" t="n">
        <v>0</v>
      </c>
      <c r="N754" t="n">
        <v>0</v>
      </c>
      <c r="O754" t="n">
        <v>0</v>
      </c>
      <c r="P754" t="n">
        <v>0</v>
      </c>
      <c r="Q754" t="n">
        <v>0</v>
      </c>
      <c r="R754" s="2" t="inlineStr"/>
    </row>
    <row r="755" ht="15" customHeight="1">
      <c r="A755" t="inlineStr">
        <is>
          <t>A 57319-2023</t>
        </is>
      </c>
      <c r="B755" s="1" t="n">
        <v>45245.64877314815</v>
      </c>
      <c r="C755" s="1" t="n">
        <v>46084</v>
      </c>
      <c r="D755" t="inlineStr">
        <is>
          <t>DALARNAS LÄN</t>
        </is>
      </c>
      <c r="E755" t="inlineStr">
        <is>
          <t>MORA</t>
        </is>
      </c>
      <c r="G755" t="n">
        <v>2</v>
      </c>
      <c r="H755" t="n">
        <v>0</v>
      </c>
      <c r="I755" t="n">
        <v>0</v>
      </c>
      <c r="J755" t="n">
        <v>0</v>
      </c>
      <c r="K755" t="n">
        <v>0</v>
      </c>
      <c r="L755" t="n">
        <v>0</v>
      </c>
      <c r="M755" t="n">
        <v>0</v>
      </c>
      <c r="N755" t="n">
        <v>0</v>
      </c>
      <c r="O755" t="n">
        <v>0</v>
      </c>
      <c r="P755" t="n">
        <v>0</v>
      </c>
      <c r="Q755" t="n">
        <v>0</v>
      </c>
      <c r="R755" s="2" t="inlineStr"/>
    </row>
    <row r="756" ht="15" customHeight="1">
      <c r="A756" t="inlineStr">
        <is>
          <t>A 43498-2023</t>
        </is>
      </c>
      <c r="B756" s="1" t="n">
        <v>45184</v>
      </c>
      <c r="C756" s="1" t="n">
        <v>46084</v>
      </c>
      <c r="D756" t="inlineStr">
        <is>
          <t>DALARNAS LÄN</t>
        </is>
      </c>
      <c r="E756" t="inlineStr">
        <is>
          <t>MORA</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32261-2022</t>
        </is>
      </c>
      <c r="B757" s="1" t="n">
        <v>44781.5350925926</v>
      </c>
      <c r="C757" s="1" t="n">
        <v>46084</v>
      </c>
      <c r="D757" t="inlineStr">
        <is>
          <t>DALARNAS LÄN</t>
        </is>
      </c>
      <c r="E757" t="inlineStr">
        <is>
          <t>MORA</t>
        </is>
      </c>
      <c r="G757" t="n">
        <v>2.7</v>
      </c>
      <c r="H757" t="n">
        <v>0</v>
      </c>
      <c r="I757" t="n">
        <v>0</v>
      </c>
      <c r="J757" t="n">
        <v>0</v>
      </c>
      <c r="K757" t="n">
        <v>0</v>
      </c>
      <c r="L757" t="n">
        <v>0</v>
      </c>
      <c r="M757" t="n">
        <v>0</v>
      </c>
      <c r="N757" t="n">
        <v>0</v>
      </c>
      <c r="O757" t="n">
        <v>0</v>
      </c>
      <c r="P757" t="n">
        <v>0</v>
      </c>
      <c r="Q757" t="n">
        <v>0</v>
      </c>
      <c r="R757" s="2" t="inlineStr"/>
    </row>
    <row r="758" ht="15" customHeight="1">
      <c r="A758" t="inlineStr">
        <is>
          <t>A 35381-2024</t>
        </is>
      </c>
      <c r="B758" s="1" t="n">
        <v>45531.38372685185</v>
      </c>
      <c r="C758" s="1" t="n">
        <v>46084</v>
      </c>
      <c r="D758" t="inlineStr">
        <is>
          <t>DALARNAS LÄN</t>
        </is>
      </c>
      <c r="E758" t="inlineStr">
        <is>
          <t>MORA</t>
        </is>
      </c>
      <c r="G758" t="n">
        <v>3.7</v>
      </c>
      <c r="H758" t="n">
        <v>0</v>
      </c>
      <c r="I758" t="n">
        <v>0</v>
      </c>
      <c r="J758" t="n">
        <v>0</v>
      </c>
      <c r="K758" t="n">
        <v>0</v>
      </c>
      <c r="L758" t="n">
        <v>0</v>
      </c>
      <c r="M758" t="n">
        <v>0</v>
      </c>
      <c r="N758" t="n">
        <v>0</v>
      </c>
      <c r="O758" t="n">
        <v>0</v>
      </c>
      <c r="P758" t="n">
        <v>0</v>
      </c>
      <c r="Q758" t="n">
        <v>0</v>
      </c>
      <c r="R758" s="2" t="inlineStr"/>
    </row>
    <row r="759" ht="15" customHeight="1">
      <c r="A759" t="inlineStr">
        <is>
          <t>A 13479-2024</t>
        </is>
      </c>
      <c r="B759" s="1" t="n">
        <v>45387.5900925926</v>
      </c>
      <c r="C759" s="1" t="n">
        <v>46084</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20299-2023</t>
        </is>
      </c>
      <c r="B760" s="1" t="n">
        <v>45056</v>
      </c>
      <c r="C760" s="1" t="n">
        <v>46084</v>
      </c>
      <c r="D760" t="inlineStr">
        <is>
          <t>DALARNAS LÄN</t>
        </is>
      </c>
      <c r="E760" t="inlineStr">
        <is>
          <t>MORA</t>
        </is>
      </c>
      <c r="G760" t="n">
        <v>1.2</v>
      </c>
      <c r="H760" t="n">
        <v>0</v>
      </c>
      <c r="I760" t="n">
        <v>0</v>
      </c>
      <c r="J760" t="n">
        <v>0</v>
      </c>
      <c r="K760" t="n">
        <v>0</v>
      </c>
      <c r="L760" t="n">
        <v>0</v>
      </c>
      <c r="M760" t="n">
        <v>0</v>
      </c>
      <c r="N760" t="n">
        <v>0</v>
      </c>
      <c r="O760" t="n">
        <v>0</v>
      </c>
      <c r="P760" t="n">
        <v>0</v>
      </c>
      <c r="Q760" t="n">
        <v>0</v>
      </c>
      <c r="R760" s="2" t="inlineStr"/>
    </row>
    <row r="761" ht="15" customHeight="1">
      <c r="A761" t="inlineStr">
        <is>
          <t>A 28487-2024</t>
        </is>
      </c>
      <c r="B761" s="1" t="n">
        <v>45477.75744212963</v>
      </c>
      <c r="C761" s="1" t="n">
        <v>46084</v>
      </c>
      <c r="D761" t="inlineStr">
        <is>
          <t>DALARNAS LÄN</t>
        </is>
      </c>
      <c r="E761" t="inlineStr">
        <is>
          <t>MORA</t>
        </is>
      </c>
      <c r="G761" t="n">
        <v>3.1</v>
      </c>
      <c r="H761" t="n">
        <v>0</v>
      </c>
      <c r="I761" t="n">
        <v>0</v>
      </c>
      <c r="J761" t="n">
        <v>0</v>
      </c>
      <c r="K761" t="n">
        <v>0</v>
      </c>
      <c r="L761" t="n">
        <v>0</v>
      </c>
      <c r="M761" t="n">
        <v>0</v>
      </c>
      <c r="N761" t="n">
        <v>0</v>
      </c>
      <c r="O761" t="n">
        <v>0</v>
      </c>
      <c r="P761" t="n">
        <v>0</v>
      </c>
      <c r="Q761" t="n">
        <v>0</v>
      </c>
      <c r="R761" s="2" t="inlineStr"/>
    </row>
    <row r="762" ht="15" customHeight="1">
      <c r="A762" t="inlineStr">
        <is>
          <t>A 23586-2023</t>
        </is>
      </c>
      <c r="B762" s="1" t="n">
        <v>45077</v>
      </c>
      <c r="C762" s="1" t="n">
        <v>46084</v>
      </c>
      <c r="D762" t="inlineStr">
        <is>
          <t>DALARNAS LÄN</t>
        </is>
      </c>
      <c r="E762" t="inlineStr">
        <is>
          <t>MORA</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58972-2023</t>
        </is>
      </c>
      <c r="B763" s="1" t="n">
        <v>45252</v>
      </c>
      <c r="C763" s="1" t="n">
        <v>46084</v>
      </c>
      <c r="D763" t="inlineStr">
        <is>
          <t>DALARNAS LÄN</t>
        </is>
      </c>
      <c r="E763" t="inlineStr">
        <is>
          <t>MORA</t>
        </is>
      </c>
      <c r="G763" t="n">
        <v>0.5</v>
      </c>
      <c r="H763" t="n">
        <v>0</v>
      </c>
      <c r="I763" t="n">
        <v>0</v>
      </c>
      <c r="J763" t="n">
        <v>0</v>
      </c>
      <c r="K763" t="n">
        <v>0</v>
      </c>
      <c r="L763" t="n">
        <v>0</v>
      </c>
      <c r="M763" t="n">
        <v>0</v>
      </c>
      <c r="N763" t="n">
        <v>0</v>
      </c>
      <c r="O763" t="n">
        <v>0</v>
      </c>
      <c r="P763" t="n">
        <v>0</v>
      </c>
      <c r="Q763" t="n">
        <v>0</v>
      </c>
      <c r="R763" s="2" t="inlineStr"/>
    </row>
    <row r="764" ht="15" customHeight="1">
      <c r="A764" t="inlineStr">
        <is>
          <t>A 46188-2022</t>
        </is>
      </c>
      <c r="B764" s="1" t="n">
        <v>44847.518125</v>
      </c>
      <c r="C764" s="1" t="n">
        <v>46084</v>
      </c>
      <c r="D764" t="inlineStr">
        <is>
          <t>DALARNAS LÄN</t>
        </is>
      </c>
      <c r="E764" t="inlineStr">
        <is>
          <t>MORA</t>
        </is>
      </c>
      <c r="G764" t="n">
        <v>1.8</v>
      </c>
      <c r="H764" t="n">
        <v>0</v>
      </c>
      <c r="I764" t="n">
        <v>0</v>
      </c>
      <c r="J764" t="n">
        <v>0</v>
      </c>
      <c r="K764" t="n">
        <v>0</v>
      </c>
      <c r="L764" t="n">
        <v>0</v>
      </c>
      <c r="M764" t="n">
        <v>0</v>
      </c>
      <c r="N764" t="n">
        <v>0</v>
      </c>
      <c r="O764" t="n">
        <v>0</v>
      </c>
      <c r="P764" t="n">
        <v>0</v>
      </c>
      <c r="Q764" t="n">
        <v>0</v>
      </c>
      <c r="R764" s="2" t="inlineStr"/>
    </row>
    <row r="765" ht="15" customHeight="1">
      <c r="A765" t="inlineStr">
        <is>
          <t>A 42035-2022</t>
        </is>
      </c>
      <c r="B765" s="1" t="n">
        <v>44830</v>
      </c>
      <c r="C765" s="1" t="n">
        <v>46084</v>
      </c>
      <c r="D765" t="inlineStr">
        <is>
          <t>DALARNAS LÄN</t>
        </is>
      </c>
      <c r="E765" t="inlineStr">
        <is>
          <t>MORA</t>
        </is>
      </c>
      <c r="G765" t="n">
        <v>2.7</v>
      </c>
      <c r="H765" t="n">
        <v>0</v>
      </c>
      <c r="I765" t="n">
        <v>0</v>
      </c>
      <c r="J765" t="n">
        <v>0</v>
      </c>
      <c r="K765" t="n">
        <v>0</v>
      </c>
      <c r="L765" t="n">
        <v>0</v>
      </c>
      <c r="M765" t="n">
        <v>0</v>
      </c>
      <c r="N765" t="n">
        <v>0</v>
      </c>
      <c r="O765" t="n">
        <v>0</v>
      </c>
      <c r="P765" t="n">
        <v>0</v>
      </c>
      <c r="Q765" t="n">
        <v>0</v>
      </c>
      <c r="R765" s="2" t="inlineStr"/>
    </row>
    <row r="766" ht="15" customHeight="1">
      <c r="A766" t="inlineStr">
        <is>
          <t>A 15817-2024</t>
        </is>
      </c>
      <c r="B766" s="1" t="n">
        <v>45404.67387731482</v>
      </c>
      <c r="C766" s="1" t="n">
        <v>46084</v>
      </c>
      <c r="D766" t="inlineStr">
        <is>
          <t>DALARNAS LÄN</t>
        </is>
      </c>
      <c r="E766" t="inlineStr">
        <is>
          <t>MORA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58116-2022</t>
        </is>
      </c>
      <c r="B767" s="1" t="n">
        <v>44900.65716435185</v>
      </c>
      <c r="C767" s="1" t="n">
        <v>46084</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18992-2024</t>
        </is>
      </c>
      <c r="B768" s="1" t="n">
        <v>45427.61516203704</v>
      </c>
      <c r="C768" s="1" t="n">
        <v>46084</v>
      </c>
      <c r="D768" t="inlineStr">
        <is>
          <t>DALARNAS LÄN</t>
        </is>
      </c>
      <c r="E768" t="inlineStr">
        <is>
          <t>MORA</t>
        </is>
      </c>
      <c r="G768" t="n">
        <v>9.9</v>
      </c>
      <c r="H768" t="n">
        <v>0</v>
      </c>
      <c r="I768" t="n">
        <v>0</v>
      </c>
      <c r="J768" t="n">
        <v>0</v>
      </c>
      <c r="K768" t="n">
        <v>0</v>
      </c>
      <c r="L768" t="n">
        <v>0</v>
      </c>
      <c r="M768" t="n">
        <v>0</v>
      </c>
      <c r="N768" t="n">
        <v>0</v>
      </c>
      <c r="O768" t="n">
        <v>0</v>
      </c>
      <c r="P768" t="n">
        <v>0</v>
      </c>
      <c r="Q768" t="n">
        <v>0</v>
      </c>
      <c r="R768" s="2" t="inlineStr"/>
    </row>
    <row r="769" ht="15" customHeight="1">
      <c r="A769" t="inlineStr">
        <is>
          <t>A 60647-2022</t>
        </is>
      </c>
      <c r="B769" s="1" t="n">
        <v>44911</v>
      </c>
      <c r="C769" s="1" t="n">
        <v>46084</v>
      </c>
      <c r="D769" t="inlineStr">
        <is>
          <t>DALARNAS LÄN</t>
        </is>
      </c>
      <c r="E769" t="inlineStr">
        <is>
          <t>MORA</t>
        </is>
      </c>
      <c r="G769" t="n">
        <v>4.8</v>
      </c>
      <c r="H769" t="n">
        <v>0</v>
      </c>
      <c r="I769" t="n">
        <v>0</v>
      </c>
      <c r="J769" t="n">
        <v>0</v>
      </c>
      <c r="K769" t="n">
        <v>0</v>
      </c>
      <c r="L769" t="n">
        <v>0</v>
      </c>
      <c r="M769" t="n">
        <v>0</v>
      </c>
      <c r="N769" t="n">
        <v>0</v>
      </c>
      <c r="O769" t="n">
        <v>0</v>
      </c>
      <c r="P769" t="n">
        <v>0</v>
      </c>
      <c r="Q769" t="n">
        <v>0</v>
      </c>
      <c r="R769" s="2" t="inlineStr"/>
    </row>
    <row r="770" ht="15" customHeight="1">
      <c r="A770" t="inlineStr">
        <is>
          <t>A 56460-2022</t>
        </is>
      </c>
      <c r="B770" s="1" t="n">
        <v>44893</v>
      </c>
      <c r="C770" s="1" t="n">
        <v>46084</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437-2024</t>
        </is>
      </c>
      <c r="B771" s="1" t="n">
        <v>45296</v>
      </c>
      <c r="C771" s="1" t="n">
        <v>46084</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31395-2024</t>
        </is>
      </c>
      <c r="B772" s="1" t="n">
        <v>45505.47716435185</v>
      </c>
      <c r="C772" s="1" t="n">
        <v>46084</v>
      </c>
      <c r="D772" t="inlineStr">
        <is>
          <t>DALARNAS LÄN</t>
        </is>
      </c>
      <c r="E772" t="inlineStr">
        <is>
          <t>MORA</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ht="15" customHeight="1">
      <c r="A773" t="inlineStr">
        <is>
          <t>A 60847-2021</t>
        </is>
      </c>
      <c r="B773" s="1" t="n">
        <v>44497</v>
      </c>
      <c r="C773" s="1" t="n">
        <v>46084</v>
      </c>
      <c r="D773" t="inlineStr">
        <is>
          <t>DALARNAS LÄN</t>
        </is>
      </c>
      <c r="E773" t="inlineStr">
        <is>
          <t>MORA</t>
        </is>
      </c>
      <c r="G773" t="n">
        <v>1</v>
      </c>
      <c r="H773" t="n">
        <v>0</v>
      </c>
      <c r="I773" t="n">
        <v>0</v>
      </c>
      <c r="J773" t="n">
        <v>0</v>
      </c>
      <c r="K773" t="n">
        <v>0</v>
      </c>
      <c r="L773" t="n">
        <v>0</v>
      </c>
      <c r="M773" t="n">
        <v>0</v>
      </c>
      <c r="N773" t="n">
        <v>0</v>
      </c>
      <c r="O773" t="n">
        <v>0</v>
      </c>
      <c r="P773" t="n">
        <v>0</v>
      </c>
      <c r="Q773" t="n">
        <v>0</v>
      </c>
      <c r="R773" s="2" t="inlineStr"/>
    </row>
    <row r="774" ht="15" customHeight="1">
      <c r="A774" t="inlineStr">
        <is>
          <t>A 15435-2024</t>
        </is>
      </c>
      <c r="B774" s="1" t="n">
        <v>45401.40806712963</v>
      </c>
      <c r="C774" s="1" t="n">
        <v>46084</v>
      </c>
      <c r="D774" t="inlineStr">
        <is>
          <t>DALARNAS LÄN</t>
        </is>
      </c>
      <c r="E774" t="inlineStr">
        <is>
          <t>MORA</t>
        </is>
      </c>
      <c r="G774" t="n">
        <v>2.1</v>
      </c>
      <c r="H774" t="n">
        <v>0</v>
      </c>
      <c r="I774" t="n">
        <v>0</v>
      </c>
      <c r="J774" t="n">
        <v>0</v>
      </c>
      <c r="K774" t="n">
        <v>0</v>
      </c>
      <c r="L774" t="n">
        <v>0</v>
      </c>
      <c r="M774" t="n">
        <v>0</v>
      </c>
      <c r="N774" t="n">
        <v>0</v>
      </c>
      <c r="O774" t="n">
        <v>0</v>
      </c>
      <c r="P774" t="n">
        <v>0</v>
      </c>
      <c r="Q774" t="n">
        <v>0</v>
      </c>
      <c r="R774" s="2" t="inlineStr"/>
    </row>
    <row r="775" ht="15" customHeight="1">
      <c r="A775" t="inlineStr">
        <is>
          <t>A 31085-2024</t>
        </is>
      </c>
      <c r="B775" s="1" t="n">
        <v>45502.48047453703</v>
      </c>
      <c r="C775" s="1" t="n">
        <v>46084</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43863-2023</t>
        </is>
      </c>
      <c r="B776" s="1" t="n">
        <v>45187.62532407408</v>
      </c>
      <c r="C776" s="1" t="n">
        <v>46084</v>
      </c>
      <c r="D776" t="inlineStr">
        <is>
          <t>DALARNAS LÄN</t>
        </is>
      </c>
      <c r="E776" t="inlineStr">
        <is>
          <t>MORA</t>
        </is>
      </c>
      <c r="F776" t="inlineStr">
        <is>
          <t>Bergvik skog väst AB</t>
        </is>
      </c>
      <c r="G776" t="n">
        <v>3.9</v>
      </c>
      <c r="H776" t="n">
        <v>0</v>
      </c>
      <c r="I776" t="n">
        <v>0</v>
      </c>
      <c r="J776" t="n">
        <v>0</v>
      </c>
      <c r="K776" t="n">
        <v>0</v>
      </c>
      <c r="L776" t="n">
        <v>0</v>
      </c>
      <c r="M776" t="n">
        <v>0</v>
      </c>
      <c r="N776" t="n">
        <v>0</v>
      </c>
      <c r="O776" t="n">
        <v>0</v>
      </c>
      <c r="P776" t="n">
        <v>0</v>
      </c>
      <c r="Q776" t="n">
        <v>0</v>
      </c>
      <c r="R776" s="2" t="inlineStr"/>
    </row>
    <row r="777" ht="15" customHeight="1">
      <c r="A777" t="inlineStr">
        <is>
          <t>A 60051-2022</t>
        </is>
      </c>
      <c r="B777" s="1" t="n">
        <v>44909.52385416667</v>
      </c>
      <c r="C777" s="1" t="n">
        <v>46084</v>
      </c>
      <c r="D777" t="inlineStr">
        <is>
          <t>DALARNAS LÄN</t>
        </is>
      </c>
      <c r="E777" t="inlineStr">
        <is>
          <t>MORA</t>
        </is>
      </c>
      <c r="G777" t="n">
        <v>0.9</v>
      </c>
      <c r="H777" t="n">
        <v>0</v>
      </c>
      <c r="I777" t="n">
        <v>0</v>
      </c>
      <c r="J777" t="n">
        <v>0</v>
      </c>
      <c r="K777" t="n">
        <v>0</v>
      </c>
      <c r="L777" t="n">
        <v>0</v>
      </c>
      <c r="M777" t="n">
        <v>0</v>
      </c>
      <c r="N777" t="n">
        <v>0</v>
      </c>
      <c r="O777" t="n">
        <v>0</v>
      </c>
      <c r="P777" t="n">
        <v>0</v>
      </c>
      <c r="Q777" t="n">
        <v>0</v>
      </c>
      <c r="R777" s="2" t="inlineStr"/>
    </row>
    <row r="778" ht="15" customHeight="1">
      <c r="A778" t="inlineStr">
        <is>
          <t>A 13262-2022</t>
        </is>
      </c>
      <c r="B778" s="1" t="n">
        <v>44644.70184027778</v>
      </c>
      <c r="C778" s="1" t="n">
        <v>46084</v>
      </c>
      <c r="D778" t="inlineStr">
        <is>
          <t>DALARNAS LÄN</t>
        </is>
      </c>
      <c r="E778" t="inlineStr">
        <is>
          <t>MORA</t>
        </is>
      </c>
      <c r="G778" t="n">
        <v>0.8</v>
      </c>
      <c r="H778" t="n">
        <v>0</v>
      </c>
      <c r="I778" t="n">
        <v>0</v>
      </c>
      <c r="J778" t="n">
        <v>0</v>
      </c>
      <c r="K778" t="n">
        <v>0</v>
      </c>
      <c r="L778" t="n">
        <v>0</v>
      </c>
      <c r="M778" t="n">
        <v>0</v>
      </c>
      <c r="N778" t="n">
        <v>0</v>
      </c>
      <c r="O778" t="n">
        <v>0</v>
      </c>
      <c r="P778" t="n">
        <v>0</v>
      </c>
      <c r="Q778" t="n">
        <v>0</v>
      </c>
      <c r="R778" s="2" t="inlineStr"/>
    </row>
    <row r="779" ht="15" customHeight="1">
      <c r="A779" t="inlineStr">
        <is>
          <t>A 56767-2023</t>
        </is>
      </c>
      <c r="B779" s="1" t="n">
        <v>45244</v>
      </c>
      <c r="C779" s="1" t="n">
        <v>46084</v>
      </c>
      <c r="D779" t="inlineStr">
        <is>
          <t>DALARNAS LÄN</t>
        </is>
      </c>
      <c r="E779" t="inlineStr">
        <is>
          <t>MORA</t>
        </is>
      </c>
      <c r="G779" t="n">
        <v>1.2</v>
      </c>
      <c r="H779" t="n">
        <v>0</v>
      </c>
      <c r="I779" t="n">
        <v>0</v>
      </c>
      <c r="J779" t="n">
        <v>0</v>
      </c>
      <c r="K779" t="n">
        <v>0</v>
      </c>
      <c r="L779" t="n">
        <v>0</v>
      </c>
      <c r="M779" t="n">
        <v>0</v>
      </c>
      <c r="N779" t="n">
        <v>0</v>
      </c>
      <c r="O779" t="n">
        <v>0</v>
      </c>
      <c r="P779" t="n">
        <v>0</v>
      </c>
      <c r="Q779" t="n">
        <v>0</v>
      </c>
      <c r="R779" s="2" t="inlineStr"/>
    </row>
    <row r="780" ht="15" customHeight="1">
      <c r="A780" t="inlineStr">
        <is>
          <t>A 50056-2022</t>
        </is>
      </c>
      <c r="B780" s="1" t="n">
        <v>44865</v>
      </c>
      <c r="C780" s="1" t="n">
        <v>46084</v>
      </c>
      <c r="D780" t="inlineStr">
        <is>
          <t>DALARNAS LÄN</t>
        </is>
      </c>
      <c r="E780" t="inlineStr">
        <is>
          <t>MORA</t>
        </is>
      </c>
      <c r="G780" t="n">
        <v>1.2</v>
      </c>
      <c r="H780" t="n">
        <v>0</v>
      </c>
      <c r="I780" t="n">
        <v>0</v>
      </c>
      <c r="J780" t="n">
        <v>0</v>
      </c>
      <c r="K780" t="n">
        <v>0</v>
      </c>
      <c r="L780" t="n">
        <v>0</v>
      </c>
      <c r="M780" t="n">
        <v>0</v>
      </c>
      <c r="N780" t="n">
        <v>0</v>
      </c>
      <c r="O780" t="n">
        <v>0</v>
      </c>
      <c r="P780" t="n">
        <v>0</v>
      </c>
      <c r="Q780" t="n">
        <v>0</v>
      </c>
      <c r="R780" s="2" t="inlineStr"/>
    </row>
    <row r="781" ht="15" customHeight="1">
      <c r="A781" t="inlineStr">
        <is>
          <t>A 15499-2024</t>
        </is>
      </c>
      <c r="B781" s="1" t="n">
        <v>45401.53798611111</v>
      </c>
      <c r="C781" s="1" t="n">
        <v>46084</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15643-2025</t>
        </is>
      </c>
      <c r="B782" s="1" t="n">
        <v>45748.39222222222</v>
      </c>
      <c r="C782" s="1" t="n">
        <v>46084</v>
      </c>
      <c r="D782" t="inlineStr">
        <is>
          <t>DALARNAS LÄN</t>
        </is>
      </c>
      <c r="E782" t="inlineStr">
        <is>
          <t>MORA</t>
        </is>
      </c>
      <c r="G782" t="n">
        <v>7.6</v>
      </c>
      <c r="H782" t="n">
        <v>0</v>
      </c>
      <c r="I782" t="n">
        <v>0</v>
      </c>
      <c r="J782" t="n">
        <v>0</v>
      </c>
      <c r="K782" t="n">
        <v>0</v>
      </c>
      <c r="L782" t="n">
        <v>0</v>
      </c>
      <c r="M782" t="n">
        <v>0</v>
      </c>
      <c r="N782" t="n">
        <v>0</v>
      </c>
      <c r="O782" t="n">
        <v>0</v>
      </c>
      <c r="P782" t="n">
        <v>0</v>
      </c>
      <c r="Q782" t="n">
        <v>0</v>
      </c>
      <c r="R782" s="2" t="inlineStr"/>
    </row>
    <row r="783" ht="15" customHeight="1">
      <c r="A783" t="inlineStr">
        <is>
          <t>A 46755-2023</t>
        </is>
      </c>
      <c r="B783" s="1" t="n">
        <v>45198.61314814815</v>
      </c>
      <c r="C783" s="1" t="n">
        <v>46084</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18122-2025</t>
        </is>
      </c>
      <c r="B784" s="1" t="n">
        <v>45761.59221064814</v>
      </c>
      <c r="C784" s="1" t="n">
        <v>46084</v>
      </c>
      <c r="D784" t="inlineStr">
        <is>
          <t>DALARNAS LÄN</t>
        </is>
      </c>
      <c r="E784" t="inlineStr">
        <is>
          <t>MORA</t>
        </is>
      </c>
      <c r="F784" t="inlineStr">
        <is>
          <t>Bergvik skog öst AB</t>
        </is>
      </c>
      <c r="G784" t="n">
        <v>1.1</v>
      </c>
      <c r="H784" t="n">
        <v>0</v>
      </c>
      <c r="I784" t="n">
        <v>0</v>
      </c>
      <c r="J784" t="n">
        <v>0</v>
      </c>
      <c r="K784" t="n">
        <v>0</v>
      </c>
      <c r="L784" t="n">
        <v>0</v>
      </c>
      <c r="M784" t="n">
        <v>0</v>
      </c>
      <c r="N784" t="n">
        <v>0</v>
      </c>
      <c r="O784" t="n">
        <v>0</v>
      </c>
      <c r="P784" t="n">
        <v>0</v>
      </c>
      <c r="Q784" t="n">
        <v>0</v>
      </c>
      <c r="R784" s="2" t="inlineStr"/>
    </row>
    <row r="785" ht="15" customHeight="1">
      <c r="A785" t="inlineStr">
        <is>
          <t>A 44817-2023</t>
        </is>
      </c>
      <c r="B785" s="1" t="n">
        <v>45190.51887731482</v>
      </c>
      <c r="C785" s="1" t="n">
        <v>46084</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39511-2024</t>
        </is>
      </c>
      <c r="B786" s="1" t="n">
        <v>45551.68347222222</v>
      </c>
      <c r="C786" s="1" t="n">
        <v>46084</v>
      </c>
      <c r="D786" t="inlineStr">
        <is>
          <t>DALARNAS LÄN</t>
        </is>
      </c>
      <c r="E786" t="inlineStr">
        <is>
          <t>MORA</t>
        </is>
      </c>
      <c r="G786" t="n">
        <v>1.2</v>
      </c>
      <c r="H786" t="n">
        <v>0</v>
      </c>
      <c r="I786" t="n">
        <v>0</v>
      </c>
      <c r="J786" t="n">
        <v>0</v>
      </c>
      <c r="K786" t="n">
        <v>0</v>
      </c>
      <c r="L786" t="n">
        <v>0</v>
      </c>
      <c r="M786" t="n">
        <v>0</v>
      </c>
      <c r="N786" t="n">
        <v>0</v>
      </c>
      <c r="O786" t="n">
        <v>0</v>
      </c>
      <c r="P786" t="n">
        <v>0</v>
      </c>
      <c r="Q786" t="n">
        <v>0</v>
      </c>
      <c r="R786" s="2" t="inlineStr"/>
    </row>
    <row r="787" ht="15" customHeight="1">
      <c r="A787" t="inlineStr">
        <is>
          <t>A 57797-2022</t>
        </is>
      </c>
      <c r="B787" s="1" t="n">
        <v>44897</v>
      </c>
      <c r="C787" s="1" t="n">
        <v>46084</v>
      </c>
      <c r="D787" t="inlineStr">
        <is>
          <t>DALARNAS LÄN</t>
        </is>
      </c>
      <c r="E787" t="inlineStr">
        <is>
          <t>MORA</t>
        </is>
      </c>
      <c r="G787" t="n">
        <v>3.1</v>
      </c>
      <c r="H787" t="n">
        <v>0</v>
      </c>
      <c r="I787" t="n">
        <v>0</v>
      </c>
      <c r="J787" t="n">
        <v>0</v>
      </c>
      <c r="K787" t="n">
        <v>0</v>
      </c>
      <c r="L787" t="n">
        <v>0</v>
      </c>
      <c r="M787" t="n">
        <v>0</v>
      </c>
      <c r="N787" t="n">
        <v>0</v>
      </c>
      <c r="O787" t="n">
        <v>0</v>
      </c>
      <c r="P787" t="n">
        <v>0</v>
      </c>
      <c r="Q787" t="n">
        <v>0</v>
      </c>
      <c r="R787" s="2" t="inlineStr"/>
    </row>
    <row r="788" ht="15" customHeight="1">
      <c r="A788" t="inlineStr">
        <is>
          <t>A 27125-2024</t>
        </is>
      </c>
      <c r="B788" s="1" t="n">
        <v>45471</v>
      </c>
      <c r="C788" s="1" t="n">
        <v>46084</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30822-2024</t>
        </is>
      </c>
      <c r="B789" s="1" t="n">
        <v>45497</v>
      </c>
      <c r="C789" s="1" t="n">
        <v>46084</v>
      </c>
      <c r="D789" t="inlineStr">
        <is>
          <t>DALARNAS LÄN</t>
        </is>
      </c>
      <c r="E789" t="inlineStr">
        <is>
          <t>MORA</t>
        </is>
      </c>
      <c r="G789" t="n">
        <v>1.8</v>
      </c>
      <c r="H789" t="n">
        <v>0</v>
      </c>
      <c r="I789" t="n">
        <v>0</v>
      </c>
      <c r="J789" t="n">
        <v>0</v>
      </c>
      <c r="K789" t="n">
        <v>0</v>
      </c>
      <c r="L789" t="n">
        <v>0</v>
      </c>
      <c r="M789" t="n">
        <v>0</v>
      </c>
      <c r="N789" t="n">
        <v>0</v>
      </c>
      <c r="O789" t="n">
        <v>0</v>
      </c>
      <c r="P789" t="n">
        <v>0</v>
      </c>
      <c r="Q789" t="n">
        <v>0</v>
      </c>
      <c r="R789" s="2" t="inlineStr"/>
    </row>
    <row r="790" ht="15" customHeight="1">
      <c r="A790" t="inlineStr">
        <is>
          <t>A 6371-2022</t>
        </is>
      </c>
      <c r="B790" s="1" t="n">
        <v>44600</v>
      </c>
      <c r="C790" s="1" t="n">
        <v>46084</v>
      </c>
      <c r="D790" t="inlineStr">
        <is>
          <t>DALARNAS LÄN</t>
        </is>
      </c>
      <c r="E790" t="inlineStr">
        <is>
          <t>MORA</t>
        </is>
      </c>
      <c r="G790" t="n">
        <v>4.6</v>
      </c>
      <c r="H790" t="n">
        <v>0</v>
      </c>
      <c r="I790" t="n">
        <v>0</v>
      </c>
      <c r="J790" t="n">
        <v>0</v>
      </c>
      <c r="K790" t="n">
        <v>0</v>
      </c>
      <c r="L790" t="n">
        <v>0</v>
      </c>
      <c r="M790" t="n">
        <v>0</v>
      </c>
      <c r="N790" t="n">
        <v>0</v>
      </c>
      <c r="O790" t="n">
        <v>0</v>
      </c>
      <c r="P790" t="n">
        <v>0</v>
      </c>
      <c r="Q790" t="n">
        <v>0</v>
      </c>
      <c r="R790" s="2" t="inlineStr"/>
    </row>
    <row r="791" ht="15" customHeight="1">
      <c r="A791" t="inlineStr">
        <is>
          <t>A 61350-2024</t>
        </is>
      </c>
      <c r="B791" s="1" t="n">
        <v>45646.37872685185</v>
      </c>
      <c r="C791" s="1" t="n">
        <v>46084</v>
      </c>
      <c r="D791" t="inlineStr">
        <is>
          <t>DALARNAS LÄN</t>
        </is>
      </c>
      <c r="E791" t="inlineStr">
        <is>
          <t>MORA</t>
        </is>
      </c>
      <c r="G791" t="n">
        <v>1.4</v>
      </c>
      <c r="H791" t="n">
        <v>0</v>
      </c>
      <c r="I791" t="n">
        <v>0</v>
      </c>
      <c r="J791" t="n">
        <v>0</v>
      </c>
      <c r="K791" t="n">
        <v>0</v>
      </c>
      <c r="L791" t="n">
        <v>0</v>
      </c>
      <c r="M791" t="n">
        <v>0</v>
      </c>
      <c r="N791" t="n">
        <v>0</v>
      </c>
      <c r="O791" t="n">
        <v>0</v>
      </c>
      <c r="P791" t="n">
        <v>0</v>
      </c>
      <c r="Q791" t="n">
        <v>0</v>
      </c>
      <c r="R791" s="2" t="inlineStr"/>
    </row>
    <row r="792" ht="15" customHeight="1">
      <c r="A792" t="inlineStr">
        <is>
          <t>A 20126-2025</t>
        </is>
      </c>
      <c r="B792" s="1" t="n">
        <v>45772.49640046297</v>
      </c>
      <c r="C792" s="1" t="n">
        <v>46084</v>
      </c>
      <c r="D792" t="inlineStr">
        <is>
          <t>DALARNAS LÄN</t>
        </is>
      </c>
      <c r="E792" t="inlineStr">
        <is>
          <t>MORA</t>
        </is>
      </c>
      <c r="G792" t="n">
        <v>12.1</v>
      </c>
      <c r="H792" t="n">
        <v>0</v>
      </c>
      <c r="I792" t="n">
        <v>0</v>
      </c>
      <c r="J792" t="n">
        <v>0</v>
      </c>
      <c r="K792" t="n">
        <v>0</v>
      </c>
      <c r="L792" t="n">
        <v>0</v>
      </c>
      <c r="M792" t="n">
        <v>0</v>
      </c>
      <c r="N792" t="n">
        <v>0</v>
      </c>
      <c r="O792" t="n">
        <v>0</v>
      </c>
      <c r="P792" t="n">
        <v>0</v>
      </c>
      <c r="Q792" t="n">
        <v>0</v>
      </c>
      <c r="R792" s="2" t="inlineStr"/>
    </row>
    <row r="793" ht="15" customHeight="1">
      <c r="A793" t="inlineStr">
        <is>
          <t>A 27420-2024</t>
        </is>
      </c>
      <c r="B793" s="1" t="n">
        <v>45474.37850694444</v>
      </c>
      <c r="C793" s="1" t="n">
        <v>46084</v>
      </c>
      <c r="D793" t="inlineStr">
        <is>
          <t>DALARNAS LÄN</t>
        </is>
      </c>
      <c r="E793" t="inlineStr">
        <is>
          <t>MORA</t>
        </is>
      </c>
      <c r="G793" t="n">
        <v>7.3</v>
      </c>
      <c r="H793" t="n">
        <v>0</v>
      </c>
      <c r="I793" t="n">
        <v>0</v>
      </c>
      <c r="J793" t="n">
        <v>0</v>
      </c>
      <c r="K793" t="n">
        <v>0</v>
      </c>
      <c r="L793" t="n">
        <v>0</v>
      </c>
      <c r="M793" t="n">
        <v>0</v>
      </c>
      <c r="N793" t="n">
        <v>0</v>
      </c>
      <c r="O793" t="n">
        <v>0</v>
      </c>
      <c r="P793" t="n">
        <v>0</v>
      </c>
      <c r="Q793" t="n">
        <v>0</v>
      </c>
      <c r="R793" s="2" t="inlineStr"/>
    </row>
    <row r="794" ht="15" customHeight="1">
      <c r="A794" t="inlineStr">
        <is>
          <t>A 39344-2024</t>
        </is>
      </c>
      <c r="B794" s="1" t="n">
        <v>45551.44503472222</v>
      </c>
      <c r="C794" s="1" t="n">
        <v>46084</v>
      </c>
      <c r="D794" t="inlineStr">
        <is>
          <t>DALARNAS LÄN</t>
        </is>
      </c>
      <c r="E794" t="inlineStr">
        <is>
          <t>MORA</t>
        </is>
      </c>
      <c r="G794" t="n">
        <v>0.6</v>
      </c>
      <c r="H794" t="n">
        <v>0</v>
      </c>
      <c r="I794" t="n">
        <v>0</v>
      </c>
      <c r="J794" t="n">
        <v>0</v>
      </c>
      <c r="K794" t="n">
        <v>0</v>
      </c>
      <c r="L794" t="n">
        <v>0</v>
      </c>
      <c r="M794" t="n">
        <v>0</v>
      </c>
      <c r="N794" t="n">
        <v>0</v>
      </c>
      <c r="O794" t="n">
        <v>0</v>
      </c>
      <c r="P794" t="n">
        <v>0</v>
      </c>
      <c r="Q794" t="n">
        <v>0</v>
      </c>
      <c r="R794" s="2" t="inlineStr"/>
    </row>
    <row r="795" ht="15" customHeight="1">
      <c r="A795" t="inlineStr">
        <is>
          <t>A 24590-2024</t>
        </is>
      </c>
      <c r="B795" s="1" t="n">
        <v>45460</v>
      </c>
      <c r="C795" s="1" t="n">
        <v>46084</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24169-2022</t>
        </is>
      </c>
      <c r="B796" s="1" t="n">
        <v>44725.50280092593</v>
      </c>
      <c r="C796" s="1" t="n">
        <v>46084</v>
      </c>
      <c r="D796" t="inlineStr">
        <is>
          <t>DALARNAS LÄN</t>
        </is>
      </c>
      <c r="E796" t="inlineStr">
        <is>
          <t>MORA</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43641-2022</t>
        </is>
      </c>
      <c r="B797" s="1" t="n">
        <v>44837</v>
      </c>
      <c r="C797" s="1" t="n">
        <v>46084</v>
      </c>
      <c r="D797" t="inlineStr">
        <is>
          <t>DALARNAS LÄN</t>
        </is>
      </c>
      <c r="E797" t="inlineStr">
        <is>
          <t>MORA</t>
        </is>
      </c>
      <c r="G797" t="n">
        <v>1.8</v>
      </c>
      <c r="H797" t="n">
        <v>0</v>
      </c>
      <c r="I797" t="n">
        <v>0</v>
      </c>
      <c r="J797" t="n">
        <v>0</v>
      </c>
      <c r="K797" t="n">
        <v>0</v>
      </c>
      <c r="L797" t="n">
        <v>0</v>
      </c>
      <c r="M797" t="n">
        <v>0</v>
      </c>
      <c r="N797" t="n">
        <v>0</v>
      </c>
      <c r="O797" t="n">
        <v>0</v>
      </c>
      <c r="P797" t="n">
        <v>0</v>
      </c>
      <c r="Q797" t="n">
        <v>0</v>
      </c>
      <c r="R797" s="2" t="inlineStr"/>
    </row>
    <row r="798" ht="15" customHeight="1">
      <c r="A798" t="inlineStr">
        <is>
          <t>A 53750-2024</t>
        </is>
      </c>
      <c r="B798" s="1" t="n">
        <v>45615.48465277778</v>
      </c>
      <c r="C798" s="1" t="n">
        <v>46084</v>
      </c>
      <c r="D798" t="inlineStr">
        <is>
          <t>DALARNAS LÄN</t>
        </is>
      </c>
      <c r="E798" t="inlineStr">
        <is>
          <t>MORA</t>
        </is>
      </c>
      <c r="G798" t="n">
        <v>2.3</v>
      </c>
      <c r="H798" t="n">
        <v>0</v>
      </c>
      <c r="I798" t="n">
        <v>0</v>
      </c>
      <c r="J798" t="n">
        <v>0</v>
      </c>
      <c r="K798" t="n">
        <v>0</v>
      </c>
      <c r="L798" t="n">
        <v>0</v>
      </c>
      <c r="M798" t="n">
        <v>0</v>
      </c>
      <c r="N798" t="n">
        <v>0</v>
      </c>
      <c r="O798" t="n">
        <v>0</v>
      </c>
      <c r="P798" t="n">
        <v>0</v>
      </c>
      <c r="Q798" t="n">
        <v>0</v>
      </c>
      <c r="R798" s="2" t="inlineStr"/>
    </row>
    <row r="799" ht="15" customHeight="1">
      <c r="A799" t="inlineStr">
        <is>
          <t>A 10777-2025</t>
        </is>
      </c>
      <c r="B799" s="1" t="n">
        <v>45722.47743055555</v>
      </c>
      <c r="C799" s="1" t="n">
        <v>46084</v>
      </c>
      <c r="D799" t="inlineStr">
        <is>
          <t>DALARNAS LÄN</t>
        </is>
      </c>
      <c r="E799" t="inlineStr">
        <is>
          <t>MORA</t>
        </is>
      </c>
      <c r="G799" t="n">
        <v>9.9</v>
      </c>
      <c r="H799" t="n">
        <v>0</v>
      </c>
      <c r="I799" t="n">
        <v>0</v>
      </c>
      <c r="J799" t="n">
        <v>0</v>
      </c>
      <c r="K799" t="n">
        <v>0</v>
      </c>
      <c r="L799" t="n">
        <v>0</v>
      </c>
      <c r="M799" t="n">
        <v>0</v>
      </c>
      <c r="N799" t="n">
        <v>0</v>
      </c>
      <c r="O799" t="n">
        <v>0</v>
      </c>
      <c r="P799" t="n">
        <v>0</v>
      </c>
      <c r="Q799" t="n">
        <v>0</v>
      </c>
      <c r="R799" s="2" t="inlineStr"/>
    </row>
    <row r="800" ht="15" customHeight="1">
      <c r="A800" t="inlineStr">
        <is>
          <t>A 19842-2025</t>
        </is>
      </c>
      <c r="B800" s="1" t="n">
        <v>45771.47938657407</v>
      </c>
      <c r="C800" s="1" t="n">
        <v>46084</v>
      </c>
      <c r="D800" t="inlineStr">
        <is>
          <t>DALARNAS LÄN</t>
        </is>
      </c>
      <c r="E800" t="inlineStr">
        <is>
          <t>MORA</t>
        </is>
      </c>
      <c r="G800" t="n">
        <v>1.9</v>
      </c>
      <c r="H800" t="n">
        <v>0</v>
      </c>
      <c r="I800" t="n">
        <v>0</v>
      </c>
      <c r="J800" t="n">
        <v>0</v>
      </c>
      <c r="K800" t="n">
        <v>0</v>
      </c>
      <c r="L800" t="n">
        <v>0</v>
      </c>
      <c r="M800" t="n">
        <v>0</v>
      </c>
      <c r="N800" t="n">
        <v>0</v>
      </c>
      <c r="O800" t="n">
        <v>0</v>
      </c>
      <c r="P800" t="n">
        <v>0</v>
      </c>
      <c r="Q800" t="n">
        <v>0</v>
      </c>
      <c r="R800" s="2" t="inlineStr"/>
    </row>
    <row r="801" ht="15" customHeight="1">
      <c r="A801" t="inlineStr">
        <is>
          <t>A 44177-2023</t>
        </is>
      </c>
      <c r="B801" s="1" t="n">
        <v>45188.51439814815</v>
      </c>
      <c r="C801" s="1" t="n">
        <v>46084</v>
      </c>
      <c r="D801" t="inlineStr">
        <is>
          <t>DALARNAS LÄN</t>
        </is>
      </c>
      <c r="E801" t="inlineStr">
        <is>
          <t>MORA</t>
        </is>
      </c>
      <c r="G801" t="n">
        <v>2</v>
      </c>
      <c r="H801" t="n">
        <v>0</v>
      </c>
      <c r="I801" t="n">
        <v>0</v>
      </c>
      <c r="J801" t="n">
        <v>0</v>
      </c>
      <c r="K801" t="n">
        <v>0</v>
      </c>
      <c r="L801" t="n">
        <v>0</v>
      </c>
      <c r="M801" t="n">
        <v>0</v>
      </c>
      <c r="N801" t="n">
        <v>0</v>
      </c>
      <c r="O801" t="n">
        <v>0</v>
      </c>
      <c r="P801" t="n">
        <v>0</v>
      </c>
      <c r="Q801" t="n">
        <v>0</v>
      </c>
      <c r="R801" s="2" t="inlineStr"/>
    </row>
    <row r="802" ht="15" customHeight="1">
      <c r="A802" t="inlineStr">
        <is>
          <t>A 18134-2025</t>
        </is>
      </c>
      <c r="B802" s="1" t="n">
        <v>45761.60189814815</v>
      </c>
      <c r="C802" s="1" t="n">
        <v>46084</v>
      </c>
      <c r="D802" t="inlineStr">
        <is>
          <t>DALARNAS LÄN</t>
        </is>
      </c>
      <c r="E802" t="inlineStr">
        <is>
          <t>MORA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35327-2024</t>
        </is>
      </c>
      <c r="B803" s="1" t="n">
        <v>45530.71334490741</v>
      </c>
      <c r="C803" s="1" t="n">
        <v>46084</v>
      </c>
      <c r="D803" t="inlineStr">
        <is>
          <t>DALARNAS LÄN</t>
        </is>
      </c>
      <c r="E803" t="inlineStr">
        <is>
          <t>MORA</t>
        </is>
      </c>
      <c r="G803" t="n">
        <v>5</v>
      </c>
      <c r="H803" t="n">
        <v>0</v>
      </c>
      <c r="I803" t="n">
        <v>0</v>
      </c>
      <c r="J803" t="n">
        <v>0</v>
      </c>
      <c r="K803" t="n">
        <v>0</v>
      </c>
      <c r="L803" t="n">
        <v>0</v>
      </c>
      <c r="M803" t="n">
        <v>0</v>
      </c>
      <c r="N803" t="n">
        <v>0</v>
      </c>
      <c r="O803" t="n">
        <v>0</v>
      </c>
      <c r="P803" t="n">
        <v>0</v>
      </c>
      <c r="Q803" t="n">
        <v>0</v>
      </c>
      <c r="R803" s="2" t="inlineStr"/>
    </row>
    <row r="804" ht="15" customHeight="1">
      <c r="A804" t="inlineStr">
        <is>
          <t>A 31112-2024</t>
        </is>
      </c>
      <c r="B804" s="1" t="n">
        <v>45502.55185185185</v>
      </c>
      <c r="C804" s="1" t="n">
        <v>46084</v>
      </c>
      <c r="D804" t="inlineStr">
        <is>
          <t>DALARNAS LÄN</t>
        </is>
      </c>
      <c r="E804" t="inlineStr">
        <is>
          <t>MORA</t>
        </is>
      </c>
      <c r="G804" t="n">
        <v>0.6</v>
      </c>
      <c r="H804" t="n">
        <v>0</v>
      </c>
      <c r="I804" t="n">
        <v>0</v>
      </c>
      <c r="J804" t="n">
        <v>0</v>
      </c>
      <c r="K804" t="n">
        <v>0</v>
      </c>
      <c r="L804" t="n">
        <v>0</v>
      </c>
      <c r="M804" t="n">
        <v>0</v>
      </c>
      <c r="N804" t="n">
        <v>0</v>
      </c>
      <c r="O804" t="n">
        <v>0</v>
      </c>
      <c r="P804" t="n">
        <v>0</v>
      </c>
      <c r="Q804" t="n">
        <v>0</v>
      </c>
      <c r="R804" s="2" t="inlineStr"/>
    </row>
    <row r="805" ht="15" customHeight="1">
      <c r="A805" t="inlineStr">
        <is>
          <t>A 442-2024</t>
        </is>
      </c>
      <c r="B805" s="1" t="n">
        <v>45296.60353009259</v>
      </c>
      <c r="C805" s="1" t="n">
        <v>46084</v>
      </c>
      <c r="D805" t="inlineStr">
        <is>
          <t>DALARNAS LÄN</t>
        </is>
      </c>
      <c r="E805" t="inlineStr">
        <is>
          <t>MORA</t>
        </is>
      </c>
      <c r="G805" t="n">
        <v>0.5</v>
      </c>
      <c r="H805" t="n">
        <v>0</v>
      </c>
      <c r="I805" t="n">
        <v>0</v>
      </c>
      <c r="J805" t="n">
        <v>0</v>
      </c>
      <c r="K805" t="n">
        <v>0</v>
      </c>
      <c r="L805" t="n">
        <v>0</v>
      </c>
      <c r="M805" t="n">
        <v>0</v>
      </c>
      <c r="N805" t="n">
        <v>0</v>
      </c>
      <c r="O805" t="n">
        <v>0</v>
      </c>
      <c r="P805" t="n">
        <v>0</v>
      </c>
      <c r="Q805" t="n">
        <v>0</v>
      </c>
      <c r="R805" s="2" t="inlineStr"/>
    </row>
    <row r="806" ht="15" customHeight="1">
      <c r="A806" t="inlineStr">
        <is>
          <t>A 501-2024</t>
        </is>
      </c>
      <c r="B806" s="1" t="n">
        <v>45299</v>
      </c>
      <c r="C806" s="1" t="n">
        <v>46084</v>
      </c>
      <c r="D806" t="inlineStr">
        <is>
          <t>DALARNAS LÄN</t>
        </is>
      </c>
      <c r="E806" t="inlineStr">
        <is>
          <t>MORA</t>
        </is>
      </c>
      <c r="G806" t="n">
        <v>2.5</v>
      </c>
      <c r="H806" t="n">
        <v>0</v>
      </c>
      <c r="I806" t="n">
        <v>0</v>
      </c>
      <c r="J806" t="n">
        <v>0</v>
      </c>
      <c r="K806" t="n">
        <v>0</v>
      </c>
      <c r="L806" t="n">
        <v>0</v>
      </c>
      <c r="M806" t="n">
        <v>0</v>
      </c>
      <c r="N806" t="n">
        <v>0</v>
      </c>
      <c r="O806" t="n">
        <v>0</v>
      </c>
      <c r="P806" t="n">
        <v>0</v>
      </c>
      <c r="Q806" t="n">
        <v>0</v>
      </c>
      <c r="R806" s="2" t="inlineStr"/>
    </row>
    <row r="807" ht="15" customHeight="1">
      <c r="A807" t="inlineStr">
        <is>
          <t>A 48570-2022</t>
        </is>
      </c>
      <c r="B807" s="1" t="n">
        <v>44859</v>
      </c>
      <c r="C807" s="1" t="n">
        <v>46084</v>
      </c>
      <c r="D807" t="inlineStr">
        <is>
          <t>DALARNAS LÄN</t>
        </is>
      </c>
      <c r="E807" t="inlineStr">
        <is>
          <t>MORA</t>
        </is>
      </c>
      <c r="G807" t="n">
        <v>6.2</v>
      </c>
      <c r="H807" t="n">
        <v>0</v>
      </c>
      <c r="I807" t="n">
        <v>0</v>
      </c>
      <c r="J807" t="n">
        <v>0</v>
      </c>
      <c r="K807" t="n">
        <v>0</v>
      </c>
      <c r="L807" t="n">
        <v>0</v>
      </c>
      <c r="M807" t="n">
        <v>0</v>
      </c>
      <c r="N807" t="n">
        <v>0</v>
      </c>
      <c r="O807" t="n">
        <v>0</v>
      </c>
      <c r="P807" t="n">
        <v>0</v>
      </c>
      <c r="Q807" t="n">
        <v>0</v>
      </c>
      <c r="R807" s="2" t="inlineStr"/>
    </row>
    <row r="808">
      <c r="A808" t="inlineStr">
        <is>
          <t>A 19814-2025</t>
        </is>
      </c>
      <c r="B808" s="1" t="n">
        <v>45771.45686342593</v>
      </c>
      <c r="C808" s="1" t="n">
        <v>46084</v>
      </c>
      <c r="D808" t="inlineStr">
        <is>
          <t>DALARNAS LÄN</t>
        </is>
      </c>
      <c r="E808" t="inlineStr">
        <is>
          <t>MORA</t>
        </is>
      </c>
      <c r="G808" t="n">
        <v>2.1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2026-03-03T11:12:05Z</dcterms:created>
  <dcterms:modified xmlns:dcterms="http://purl.org/dc/terms/" xmlns:xsi="http://www.w3.org/2001/XMLSchema-instance" xsi:type="dcterms:W3CDTF">2026-03-03T11:12:06Z</dcterms:modified>
</cp:coreProperties>
</file>