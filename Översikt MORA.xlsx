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46076</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46076</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46076</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46076</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46076</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46076</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46076</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46076</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46076</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46076</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46076</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46076</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46076</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46076</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46076</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46076</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46076</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46076</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46076</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46076</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46076</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46076</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46076</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46076</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46076</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46076</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46076</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46076</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61259-2023</t>
        </is>
      </c>
      <c r="B44" s="1" t="n">
        <v>45264</v>
      </c>
      <c r="C44" s="1" t="n">
        <v>46076</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46076</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46076</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46076</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46076</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46076</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46076</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46076</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46076</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46076</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46076</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46076</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46076</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46076</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46076</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14829-2025</t>
        </is>
      </c>
      <c r="B59" s="1" t="n">
        <v>45743.36951388889</v>
      </c>
      <c r="C59" s="1" t="n">
        <v>46076</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34715-2025</t>
        </is>
      </c>
      <c r="B60" s="1" t="n">
        <v>45848</v>
      </c>
      <c r="C60" s="1" t="n">
        <v>46076</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46076</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14293-2024</t>
        </is>
      </c>
      <c r="B62" s="1" t="n">
        <v>45393.63902777778</v>
      </c>
      <c r="C62" s="1" t="n">
        <v>46076</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46076</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29392-2025</t>
        </is>
      </c>
      <c r="B64" s="1" t="n">
        <v>45824.60537037037</v>
      </c>
      <c r="C64" s="1" t="n">
        <v>46076</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39481-2025</t>
        </is>
      </c>
      <c r="B65" s="1" t="n">
        <v>45890.35545138889</v>
      </c>
      <c r="C65" s="1" t="n">
        <v>46076</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49695-2025</t>
        </is>
      </c>
      <c r="B66" s="1" t="n">
        <v>45939.67418981482</v>
      </c>
      <c r="C66" s="1" t="n">
        <v>46076</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46076</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46076</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46076</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42028-2023</t>
        </is>
      </c>
      <c r="B70" s="1" t="n">
        <v>45177.49715277777</v>
      </c>
      <c r="C70" s="1" t="n">
        <v>46076</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35068-2025</t>
        </is>
      </c>
      <c r="B71" s="1" t="n">
        <v>45852.45686342593</v>
      </c>
      <c r="C71" s="1" t="n">
        <v>46076</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46076</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2729-2026</t>
        </is>
      </c>
      <c r="B73" s="1" t="n">
        <v>46037.84224537037</v>
      </c>
      <c r="C73" s="1" t="n">
        <v>46076</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16094-2024</t>
        </is>
      </c>
      <c r="B74" s="1" t="n">
        <v>45406.41648148148</v>
      </c>
      <c r="C74" s="1" t="n">
        <v>46076</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831-2025</t>
        </is>
      </c>
      <c r="B75" s="1" t="n">
        <v>45665.58001157407</v>
      </c>
      <c r="C75" s="1" t="n">
        <v>46076</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68415-2021</t>
        </is>
      </c>
      <c r="B76" s="1" t="n">
        <v>44529</v>
      </c>
      <c r="C76" s="1" t="n">
        <v>46076</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57669-2022</t>
        </is>
      </c>
      <c r="B77" s="1" t="n">
        <v>44897</v>
      </c>
      <c r="C77" s="1" t="n">
        <v>46076</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23736-2023</t>
        </is>
      </c>
      <c r="B78" s="1" t="n">
        <v>45077</v>
      </c>
      <c r="C78" s="1" t="n">
        <v>46076</v>
      </c>
      <c r="D78" t="inlineStr">
        <is>
          <t>DALARNAS LÄN</t>
        </is>
      </c>
      <c r="E78" t="inlineStr">
        <is>
          <t>MORA</t>
        </is>
      </c>
      <c r="G78" t="n">
        <v>7.2</v>
      </c>
      <c r="H78" t="n">
        <v>0</v>
      </c>
      <c r="I78" t="n">
        <v>0</v>
      </c>
      <c r="J78" t="n">
        <v>1</v>
      </c>
      <c r="K78" t="n">
        <v>0</v>
      </c>
      <c r="L78" t="n">
        <v>0</v>
      </c>
      <c r="M78" t="n">
        <v>0</v>
      </c>
      <c r="N78" t="n">
        <v>0</v>
      </c>
      <c r="O78" t="n">
        <v>1</v>
      </c>
      <c r="P78" t="n">
        <v>0</v>
      </c>
      <c r="Q78" t="n">
        <v>1</v>
      </c>
      <c r="R78" s="2" t="inlineStr">
        <is>
          <t>Reliktbock</t>
        </is>
      </c>
      <c r="S78">
        <f>HYPERLINK("https://klasma.github.io/Logging_2062/artfynd/A 23736-2023 artfynd.xlsx", "A 23736-2023")</f>
        <v/>
      </c>
      <c r="T78">
        <f>HYPERLINK("https://klasma.github.io/Logging_2062/kartor/A 23736-2023 karta.png", "A 23736-2023")</f>
        <v/>
      </c>
      <c r="V78">
        <f>HYPERLINK("https://klasma.github.io/Logging_2062/klagomål/A 23736-2023 FSC-klagomål.docx", "A 23736-2023")</f>
        <v/>
      </c>
      <c r="W78">
        <f>HYPERLINK("https://klasma.github.io/Logging_2062/klagomålsmail/A 23736-2023 FSC-klagomål mail.docx", "A 23736-2023")</f>
        <v/>
      </c>
      <c r="X78">
        <f>HYPERLINK("https://klasma.github.io/Logging_2062/tillsyn/A 23736-2023 tillsynsbegäran.docx", "A 23736-2023")</f>
        <v/>
      </c>
      <c r="Y78">
        <f>HYPERLINK("https://klasma.github.io/Logging_2062/tillsynsmail/A 23736-2023 tillsynsbegäran mail.docx", "A 23736-2023")</f>
        <v/>
      </c>
    </row>
    <row r="79" ht="15" customHeight="1">
      <c r="A79" t="inlineStr">
        <is>
          <t>A 62096-2025</t>
        </is>
      </c>
      <c r="B79" s="1" t="n">
        <v>46006.38961805555</v>
      </c>
      <c r="C79" s="1" t="n">
        <v>46076</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Garnlav</t>
        </is>
      </c>
      <c r="S79">
        <f>HYPERLINK("https://klasma.github.io/Logging_2062/artfynd/A 62096-2025 artfynd.xlsx", "A 62096-2025")</f>
        <v/>
      </c>
      <c r="T79">
        <f>HYPERLINK("https://klasma.github.io/Logging_2062/kartor/A 62096-2025 karta.png", "A 62096-2025")</f>
        <v/>
      </c>
      <c r="V79">
        <f>HYPERLINK("https://klasma.github.io/Logging_2062/klagomål/A 62096-2025 FSC-klagomål.docx", "A 62096-2025")</f>
        <v/>
      </c>
      <c r="W79">
        <f>HYPERLINK("https://klasma.github.io/Logging_2062/klagomålsmail/A 62096-2025 FSC-klagomål mail.docx", "A 62096-2025")</f>
        <v/>
      </c>
      <c r="X79">
        <f>HYPERLINK("https://klasma.github.io/Logging_2062/tillsyn/A 62096-2025 tillsynsbegäran.docx", "A 62096-2025")</f>
        <v/>
      </c>
      <c r="Y79">
        <f>HYPERLINK("https://klasma.github.io/Logging_2062/tillsynsmail/A 62096-2025 tillsynsbegäran mail.docx", "A 62096-2025")</f>
        <v/>
      </c>
    </row>
    <row r="80" ht="15" customHeight="1">
      <c r="A80" t="inlineStr">
        <is>
          <t>A 45344-2024</t>
        </is>
      </c>
      <c r="B80" s="1" t="n">
        <v>45576</v>
      </c>
      <c r="C80" s="1" t="n">
        <v>46076</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30328-2021</t>
        </is>
      </c>
      <c r="B81" s="1" t="n">
        <v>44364</v>
      </c>
      <c r="C81" s="1" t="n">
        <v>46076</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13717-2023</t>
        </is>
      </c>
      <c r="B82" s="1" t="n">
        <v>45007</v>
      </c>
      <c r="C82" s="1" t="n">
        <v>46076</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46076</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5304-2023</t>
        </is>
      </c>
      <c r="B84" s="1" t="n">
        <v>44959.55116898148</v>
      </c>
      <c r="C84" s="1" t="n">
        <v>46076</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27113-2024</t>
        </is>
      </c>
      <c r="B85" s="1" t="n">
        <v>45471</v>
      </c>
      <c r="C85" s="1" t="n">
        <v>46076</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38769-2021</t>
        </is>
      </c>
      <c r="B86" s="1" t="n">
        <v>44410</v>
      </c>
      <c r="C86" s="1" t="n">
        <v>46076</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46076</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46076</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46076</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46076</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46076</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46076</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46076</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46076</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54239-2021</t>
        </is>
      </c>
      <c r="B95" s="1" t="n">
        <v>44470.63695601852</v>
      </c>
      <c r="C95" s="1" t="n">
        <v>46076</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29697-2021</t>
        </is>
      </c>
      <c r="B96" s="1" t="n">
        <v>44362.38358796296</v>
      </c>
      <c r="C96" s="1" t="n">
        <v>46076</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43944-2022</t>
        </is>
      </c>
      <c r="B97" s="1" t="n">
        <v>44838</v>
      </c>
      <c r="C97" s="1" t="n">
        <v>46076</v>
      </c>
      <c r="D97" t="inlineStr">
        <is>
          <t>DALARNAS LÄN</t>
        </is>
      </c>
      <c r="E97" t="inlineStr">
        <is>
          <t>MORA</t>
        </is>
      </c>
      <c r="F97" t="inlineStr">
        <is>
          <t>Bergvik skog öst AB</t>
        </is>
      </c>
      <c r="G97" t="n">
        <v>1.1</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46076</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46076</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46076</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46076</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46076</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46076</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46076</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46076</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46076</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46076</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46076</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46076</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46076</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46076</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46076</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46076</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46076</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46076</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46076</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46076</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46076</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46076</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46076</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46076</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46076</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46076</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46076</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46076</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46076</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46076</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46076</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46076</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46076</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46076</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46076</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46076</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46076</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46076</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46076</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46076</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46076</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46076</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46076</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46076</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46076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46076</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46076</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46076</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46076</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46076</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46076</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46076</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46076</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46076</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35287-2024</t>
        </is>
      </c>
      <c r="B152" s="1" t="n">
        <v>45530</v>
      </c>
      <c r="C152" s="1" t="n">
        <v>46076</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46076</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46076</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46076</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46076</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52525-2022</t>
        </is>
      </c>
      <c r="B157" s="1" t="n">
        <v>44874</v>
      </c>
      <c r="C157" s="1" t="n">
        <v>46076</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20594-2025</t>
        </is>
      </c>
      <c r="B158" s="1" t="n">
        <v>45775.74009259259</v>
      </c>
      <c r="C158" s="1" t="n">
        <v>46076</v>
      </c>
      <c r="D158" t="inlineStr">
        <is>
          <t>DALARNAS LÄN</t>
        </is>
      </c>
      <c r="E158" t="inlineStr">
        <is>
          <t>MORA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46076</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46076</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46076</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46076</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46076</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46076</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46076</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61405-2023</t>
        </is>
      </c>
      <c r="B166" s="1" t="n">
        <v>45264.65987268519</v>
      </c>
      <c r="C166" s="1" t="n">
        <v>46076</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46076</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46076</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46076</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43432-2024</t>
        </is>
      </c>
      <c r="B170" s="1" t="n">
        <v>45568.64337962963</v>
      </c>
      <c r="C170" s="1" t="n">
        <v>46076</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12490-2025</t>
        </is>
      </c>
      <c r="B171" s="1" t="n">
        <v>45730.59239583334</v>
      </c>
      <c r="C171" s="1" t="n">
        <v>46076</v>
      </c>
      <c r="D171" t="inlineStr">
        <is>
          <t>DALARNAS LÄN</t>
        </is>
      </c>
      <c r="E171" t="inlineStr">
        <is>
          <t>MORA</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18702-2025</t>
        </is>
      </c>
      <c r="B172" s="1" t="n">
        <v>45763.63166666667</v>
      </c>
      <c r="C172" s="1" t="n">
        <v>46076</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46076</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46076</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46076</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46076</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50911-2024</t>
        </is>
      </c>
      <c r="B177" s="1" t="n">
        <v>45602.7022337963</v>
      </c>
      <c r="C177" s="1" t="n">
        <v>46076</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46076</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46076</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15440-2024</t>
        </is>
      </c>
      <c r="B180" s="1" t="n">
        <v>45401.4194212963</v>
      </c>
      <c r="C180" s="1" t="n">
        <v>46076</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57475-2022</t>
        </is>
      </c>
      <c r="B181" s="1" t="n">
        <v>44896</v>
      </c>
      <c r="C181" s="1" t="n">
        <v>46076</v>
      </c>
      <c r="D181" t="inlineStr">
        <is>
          <t>DALARNAS LÄN</t>
        </is>
      </c>
      <c r="E181" t="inlineStr">
        <is>
          <t>MORA</t>
        </is>
      </c>
      <c r="G181" t="n">
        <v>5.7</v>
      </c>
      <c r="H181" t="n">
        <v>0</v>
      </c>
      <c r="I181" t="n">
        <v>0</v>
      </c>
      <c r="J181" t="n">
        <v>0</v>
      </c>
      <c r="K181" t="n">
        <v>0</v>
      </c>
      <c r="L181" t="n">
        <v>0</v>
      </c>
      <c r="M181" t="n">
        <v>0</v>
      </c>
      <c r="N181" t="n">
        <v>0</v>
      </c>
      <c r="O181" t="n">
        <v>0</v>
      </c>
      <c r="P181" t="n">
        <v>0</v>
      </c>
      <c r="Q181" t="n">
        <v>0</v>
      </c>
      <c r="R181" s="2" t="inlineStr"/>
    </row>
    <row r="182" ht="15" customHeight="1">
      <c r="A182" t="inlineStr">
        <is>
          <t>A 35363-2024</t>
        </is>
      </c>
      <c r="B182" s="1" t="n">
        <v>45531.34050925926</v>
      </c>
      <c r="C182" s="1" t="n">
        <v>46076</v>
      </c>
      <c r="D182" t="inlineStr">
        <is>
          <t>DALARNAS LÄN</t>
        </is>
      </c>
      <c r="E182" t="inlineStr">
        <is>
          <t>MORA</t>
        </is>
      </c>
      <c r="G182" t="n">
        <v>2.5</v>
      </c>
      <c r="H182" t="n">
        <v>0</v>
      </c>
      <c r="I182" t="n">
        <v>0</v>
      </c>
      <c r="J182" t="n">
        <v>0</v>
      </c>
      <c r="K182" t="n">
        <v>0</v>
      </c>
      <c r="L182" t="n">
        <v>0</v>
      </c>
      <c r="M182" t="n">
        <v>0</v>
      </c>
      <c r="N182" t="n">
        <v>0</v>
      </c>
      <c r="O182" t="n">
        <v>0</v>
      </c>
      <c r="P182" t="n">
        <v>0</v>
      </c>
      <c r="Q182" t="n">
        <v>0</v>
      </c>
      <c r="R182" s="2" t="inlineStr"/>
    </row>
    <row r="183" ht="15" customHeight="1">
      <c r="A183" t="inlineStr">
        <is>
          <t>A 44307-2021</t>
        </is>
      </c>
      <c r="B183" s="1" t="n">
        <v>44435</v>
      </c>
      <c r="C183" s="1" t="n">
        <v>46076</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5922-2025</t>
        </is>
      </c>
      <c r="B184" s="1" t="n">
        <v>45695.42762731481</v>
      </c>
      <c r="C184" s="1" t="n">
        <v>46076</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34923-2022</t>
        </is>
      </c>
      <c r="B185" s="1" t="n">
        <v>44796</v>
      </c>
      <c r="C185" s="1" t="n">
        <v>46076</v>
      </c>
      <c r="D185" t="inlineStr">
        <is>
          <t>DALARNAS LÄN</t>
        </is>
      </c>
      <c r="E185" t="inlineStr">
        <is>
          <t>MORA</t>
        </is>
      </c>
      <c r="G185" t="n">
        <v>5</v>
      </c>
      <c r="H185" t="n">
        <v>0</v>
      </c>
      <c r="I185" t="n">
        <v>0</v>
      </c>
      <c r="J185" t="n">
        <v>0</v>
      </c>
      <c r="K185" t="n">
        <v>0</v>
      </c>
      <c r="L185" t="n">
        <v>0</v>
      </c>
      <c r="M185" t="n">
        <v>0</v>
      </c>
      <c r="N185" t="n">
        <v>0</v>
      </c>
      <c r="O185" t="n">
        <v>0</v>
      </c>
      <c r="P185" t="n">
        <v>0</v>
      </c>
      <c r="Q185" t="n">
        <v>0</v>
      </c>
      <c r="R185" s="2" t="inlineStr"/>
    </row>
    <row r="186" ht="15" customHeight="1">
      <c r="A186" t="inlineStr">
        <is>
          <t>A 37774-2022</t>
        </is>
      </c>
      <c r="B186" s="1" t="n">
        <v>44810.64164351852</v>
      </c>
      <c r="C186" s="1" t="n">
        <v>46076</v>
      </c>
      <c r="D186" t="inlineStr">
        <is>
          <t>DALARNAS LÄN</t>
        </is>
      </c>
      <c r="E186" t="inlineStr">
        <is>
          <t>MORA</t>
        </is>
      </c>
      <c r="F186" t="inlineStr">
        <is>
          <t>Bergvik skog väst AB</t>
        </is>
      </c>
      <c r="G186" t="n">
        <v>8.5</v>
      </c>
      <c r="H186" t="n">
        <v>0</v>
      </c>
      <c r="I186" t="n">
        <v>0</v>
      </c>
      <c r="J186" t="n">
        <v>0</v>
      </c>
      <c r="K186" t="n">
        <v>0</v>
      </c>
      <c r="L186" t="n">
        <v>0</v>
      </c>
      <c r="M186" t="n">
        <v>0</v>
      </c>
      <c r="N186" t="n">
        <v>0</v>
      </c>
      <c r="O186" t="n">
        <v>0</v>
      </c>
      <c r="P186" t="n">
        <v>0</v>
      </c>
      <c r="Q186" t="n">
        <v>0</v>
      </c>
      <c r="R186" s="2" t="inlineStr"/>
    </row>
    <row r="187" ht="15" customHeight="1">
      <c r="A187" t="inlineStr">
        <is>
          <t>A 43533-2023</t>
        </is>
      </c>
      <c r="B187" s="1" t="n">
        <v>45184.53412037037</v>
      </c>
      <c r="C187" s="1" t="n">
        <v>46076</v>
      </c>
      <c r="D187" t="inlineStr">
        <is>
          <t>DALARNAS LÄN</t>
        </is>
      </c>
      <c r="E187" t="inlineStr">
        <is>
          <t>MORA</t>
        </is>
      </c>
      <c r="F187" t="inlineStr">
        <is>
          <t>Bergvik skog väst AB</t>
        </is>
      </c>
      <c r="G187" t="n">
        <v>10.3</v>
      </c>
      <c r="H187" t="n">
        <v>0</v>
      </c>
      <c r="I187" t="n">
        <v>0</v>
      </c>
      <c r="J187" t="n">
        <v>0</v>
      </c>
      <c r="K187" t="n">
        <v>0</v>
      </c>
      <c r="L187" t="n">
        <v>0</v>
      </c>
      <c r="M187" t="n">
        <v>0</v>
      </c>
      <c r="N187" t="n">
        <v>0</v>
      </c>
      <c r="O187" t="n">
        <v>0</v>
      </c>
      <c r="P187" t="n">
        <v>0</v>
      </c>
      <c r="Q187" t="n">
        <v>0</v>
      </c>
      <c r="R187" s="2" t="inlineStr"/>
    </row>
    <row r="188" ht="15" customHeight="1">
      <c r="A188" t="inlineStr">
        <is>
          <t>A 48728-2022</t>
        </is>
      </c>
      <c r="B188" s="1" t="n">
        <v>44859.52145833334</v>
      </c>
      <c r="C188" s="1" t="n">
        <v>46076</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64327-2023</t>
        </is>
      </c>
      <c r="B189" s="1" t="n">
        <v>45280</v>
      </c>
      <c r="C189" s="1" t="n">
        <v>46076</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32410-2024</t>
        </is>
      </c>
      <c r="B190" s="1" t="n">
        <v>45512.70077546296</v>
      </c>
      <c r="C190" s="1" t="n">
        <v>46076</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17145-2024</t>
        </is>
      </c>
      <c r="B191" s="1" t="n">
        <v>45412</v>
      </c>
      <c r="C191" s="1" t="n">
        <v>46076</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46076</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15993-2025</t>
        </is>
      </c>
      <c r="B193" s="1" t="n">
        <v>45749.58428240741</v>
      </c>
      <c r="C193" s="1" t="n">
        <v>46076</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56012-2023</t>
        </is>
      </c>
      <c r="B194" s="1" t="n">
        <v>45240</v>
      </c>
      <c r="C194" s="1" t="n">
        <v>46076</v>
      </c>
      <c r="D194" t="inlineStr">
        <is>
          <t>DALARNAS LÄN</t>
        </is>
      </c>
      <c r="E194" t="inlineStr">
        <is>
          <t>MORA</t>
        </is>
      </c>
      <c r="G194" t="n">
        <v>0.3</v>
      </c>
      <c r="H194" t="n">
        <v>0</v>
      </c>
      <c r="I194" t="n">
        <v>0</v>
      </c>
      <c r="J194" t="n">
        <v>0</v>
      </c>
      <c r="K194" t="n">
        <v>0</v>
      </c>
      <c r="L194" t="n">
        <v>0</v>
      </c>
      <c r="M194" t="n">
        <v>0</v>
      </c>
      <c r="N194" t="n">
        <v>0</v>
      </c>
      <c r="O194" t="n">
        <v>0</v>
      </c>
      <c r="P194" t="n">
        <v>0</v>
      </c>
      <c r="Q194" t="n">
        <v>0</v>
      </c>
      <c r="R194" s="2" t="inlineStr"/>
    </row>
    <row r="195" ht="15" customHeight="1">
      <c r="A195" t="inlineStr">
        <is>
          <t>A 60674-2023</t>
        </is>
      </c>
      <c r="B195" s="1" t="n">
        <v>45260.46609953704</v>
      </c>
      <c r="C195" s="1" t="n">
        <v>46076</v>
      </c>
      <c r="D195" t="inlineStr">
        <is>
          <t>DALARNAS LÄN</t>
        </is>
      </c>
      <c r="E195" t="inlineStr">
        <is>
          <t>MORA</t>
        </is>
      </c>
      <c r="G195" t="n">
        <v>2.9</v>
      </c>
      <c r="H195" t="n">
        <v>0</v>
      </c>
      <c r="I195" t="n">
        <v>0</v>
      </c>
      <c r="J195" t="n">
        <v>0</v>
      </c>
      <c r="K195" t="n">
        <v>0</v>
      </c>
      <c r="L195" t="n">
        <v>0</v>
      </c>
      <c r="M195" t="n">
        <v>0</v>
      </c>
      <c r="N195" t="n">
        <v>0</v>
      </c>
      <c r="O195" t="n">
        <v>0</v>
      </c>
      <c r="P195" t="n">
        <v>0</v>
      </c>
      <c r="Q195" t="n">
        <v>0</v>
      </c>
      <c r="R195" s="2" t="inlineStr"/>
    </row>
    <row r="196" ht="15" customHeight="1">
      <c r="A196" t="inlineStr">
        <is>
          <t>A 5298-2023</t>
        </is>
      </c>
      <c r="B196" s="1" t="n">
        <v>44959.54355324074</v>
      </c>
      <c r="C196" s="1" t="n">
        <v>46076</v>
      </c>
      <c r="D196" t="inlineStr">
        <is>
          <t>DALARNAS LÄN</t>
        </is>
      </c>
      <c r="E196" t="inlineStr">
        <is>
          <t>MORA</t>
        </is>
      </c>
      <c r="F196" t="inlineStr">
        <is>
          <t>Bergvik skog väst AB</t>
        </is>
      </c>
      <c r="G196" t="n">
        <v>6.2</v>
      </c>
      <c r="H196" t="n">
        <v>0</v>
      </c>
      <c r="I196" t="n">
        <v>0</v>
      </c>
      <c r="J196" t="n">
        <v>0</v>
      </c>
      <c r="K196" t="n">
        <v>0</v>
      </c>
      <c r="L196" t="n">
        <v>0</v>
      </c>
      <c r="M196" t="n">
        <v>0</v>
      </c>
      <c r="N196" t="n">
        <v>0</v>
      </c>
      <c r="O196" t="n">
        <v>0</v>
      </c>
      <c r="P196" t="n">
        <v>0</v>
      </c>
      <c r="Q196" t="n">
        <v>0</v>
      </c>
      <c r="R196" s="2" t="inlineStr"/>
    </row>
    <row r="197" ht="15" customHeight="1">
      <c r="A197" t="inlineStr">
        <is>
          <t>A 57859-2022</t>
        </is>
      </c>
      <c r="B197" s="1" t="n">
        <v>44898</v>
      </c>
      <c r="C197" s="1" t="n">
        <v>46076</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51253-2023</t>
        </is>
      </c>
      <c r="B198" s="1" t="n">
        <v>45219</v>
      </c>
      <c r="C198" s="1" t="n">
        <v>46076</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57110-2021</t>
        </is>
      </c>
      <c r="B199" s="1" t="n">
        <v>44482</v>
      </c>
      <c r="C199" s="1" t="n">
        <v>46076</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61249-2023</t>
        </is>
      </c>
      <c r="B200" s="1" t="n">
        <v>45264</v>
      </c>
      <c r="C200" s="1" t="n">
        <v>46076</v>
      </c>
      <c r="D200" t="inlineStr">
        <is>
          <t>DALARNAS LÄN</t>
        </is>
      </c>
      <c r="E200" t="inlineStr">
        <is>
          <t>MORA</t>
        </is>
      </c>
      <c r="F200" t="inlineStr">
        <is>
          <t>Allmännings- och besparingsskogar</t>
        </is>
      </c>
      <c r="G200" t="n">
        <v>1.7</v>
      </c>
      <c r="H200" t="n">
        <v>0</v>
      </c>
      <c r="I200" t="n">
        <v>0</v>
      </c>
      <c r="J200" t="n">
        <v>0</v>
      </c>
      <c r="K200" t="n">
        <v>0</v>
      </c>
      <c r="L200" t="n">
        <v>0</v>
      </c>
      <c r="M200" t="n">
        <v>0</v>
      </c>
      <c r="N200" t="n">
        <v>0</v>
      </c>
      <c r="O200" t="n">
        <v>0</v>
      </c>
      <c r="P200" t="n">
        <v>0</v>
      </c>
      <c r="Q200" t="n">
        <v>0</v>
      </c>
      <c r="R200" s="2" t="inlineStr"/>
    </row>
    <row r="201" ht="15" customHeight="1">
      <c r="A201" t="inlineStr">
        <is>
          <t>A 11857-2023</t>
        </is>
      </c>
      <c r="B201" s="1" t="n">
        <v>44995</v>
      </c>
      <c r="C201" s="1" t="n">
        <v>46076</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25935-2023</t>
        </is>
      </c>
      <c r="B202" s="1" t="n">
        <v>45090.68675925926</v>
      </c>
      <c r="C202" s="1" t="n">
        <v>46076</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45562-2023</t>
        </is>
      </c>
      <c r="B203" s="1" t="n">
        <v>45194.59378472222</v>
      </c>
      <c r="C203" s="1" t="n">
        <v>46076</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23057-2024</t>
        </is>
      </c>
      <c r="B204" s="1" t="n">
        <v>45450</v>
      </c>
      <c r="C204" s="1" t="n">
        <v>46076</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51570-2023</t>
        </is>
      </c>
      <c r="B205" s="1" t="n">
        <v>45222</v>
      </c>
      <c r="C205" s="1" t="n">
        <v>46076</v>
      </c>
      <c r="D205" t="inlineStr">
        <is>
          <t>DALARNAS LÄN</t>
        </is>
      </c>
      <c r="E205" t="inlineStr">
        <is>
          <t>MORA</t>
        </is>
      </c>
      <c r="G205" t="n">
        <v>10.1</v>
      </c>
      <c r="H205" t="n">
        <v>0</v>
      </c>
      <c r="I205" t="n">
        <v>0</v>
      </c>
      <c r="J205" t="n">
        <v>0</v>
      </c>
      <c r="K205" t="n">
        <v>0</v>
      </c>
      <c r="L205" t="n">
        <v>0</v>
      </c>
      <c r="M205" t="n">
        <v>0</v>
      </c>
      <c r="N205" t="n">
        <v>0</v>
      </c>
      <c r="O205" t="n">
        <v>0</v>
      </c>
      <c r="P205" t="n">
        <v>0</v>
      </c>
      <c r="Q205" t="n">
        <v>0</v>
      </c>
      <c r="R205" s="2" t="inlineStr"/>
    </row>
    <row r="206" ht="15" customHeight="1">
      <c r="A206" t="inlineStr">
        <is>
          <t>A 51168-2024</t>
        </is>
      </c>
      <c r="B206" s="1" t="n">
        <v>45603.58619212963</v>
      </c>
      <c r="C206" s="1" t="n">
        <v>46076</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59182-2023</t>
        </is>
      </c>
      <c r="B207" s="1" t="n">
        <v>45253</v>
      </c>
      <c r="C207" s="1" t="n">
        <v>46076</v>
      </c>
      <c r="D207" t="inlineStr">
        <is>
          <t>DALARNAS LÄN</t>
        </is>
      </c>
      <c r="E207" t="inlineStr">
        <is>
          <t>MORA</t>
        </is>
      </c>
      <c r="G207" t="n">
        <v>3.3</v>
      </c>
      <c r="H207" t="n">
        <v>0</v>
      </c>
      <c r="I207" t="n">
        <v>0</v>
      </c>
      <c r="J207" t="n">
        <v>0</v>
      </c>
      <c r="K207" t="n">
        <v>0</v>
      </c>
      <c r="L207" t="n">
        <v>0</v>
      </c>
      <c r="M207" t="n">
        <v>0</v>
      </c>
      <c r="N207" t="n">
        <v>0</v>
      </c>
      <c r="O207" t="n">
        <v>0</v>
      </c>
      <c r="P207" t="n">
        <v>0</v>
      </c>
      <c r="Q207" t="n">
        <v>0</v>
      </c>
      <c r="R207" s="2" t="inlineStr"/>
    </row>
    <row r="208" ht="15" customHeight="1">
      <c r="A208" t="inlineStr">
        <is>
          <t>A 36600-2023</t>
        </is>
      </c>
      <c r="B208" s="1" t="n">
        <v>45153</v>
      </c>
      <c r="C208" s="1" t="n">
        <v>46076</v>
      </c>
      <c r="D208" t="inlineStr">
        <is>
          <t>DALARNAS LÄN</t>
        </is>
      </c>
      <c r="E208" t="inlineStr">
        <is>
          <t>MORA</t>
        </is>
      </c>
      <c r="G208" t="n">
        <v>7.3</v>
      </c>
      <c r="H208" t="n">
        <v>0</v>
      </c>
      <c r="I208" t="n">
        <v>0</v>
      </c>
      <c r="J208" t="n">
        <v>0</v>
      </c>
      <c r="K208" t="n">
        <v>0</v>
      </c>
      <c r="L208" t="n">
        <v>0</v>
      </c>
      <c r="M208" t="n">
        <v>0</v>
      </c>
      <c r="N208" t="n">
        <v>0</v>
      </c>
      <c r="O208" t="n">
        <v>0</v>
      </c>
      <c r="P208" t="n">
        <v>0</v>
      </c>
      <c r="Q208" t="n">
        <v>0</v>
      </c>
      <c r="R208" s="2" t="inlineStr"/>
    </row>
    <row r="209" ht="15" customHeight="1">
      <c r="A209" t="inlineStr">
        <is>
          <t>A 35325-2024</t>
        </is>
      </c>
      <c r="B209" s="1" t="n">
        <v>45530.71158564815</v>
      </c>
      <c r="C209" s="1" t="n">
        <v>46076</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59995-2023</t>
        </is>
      </c>
      <c r="B210" s="1" t="n">
        <v>45254</v>
      </c>
      <c r="C210" s="1" t="n">
        <v>46076</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46076</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60673-2023</t>
        </is>
      </c>
      <c r="B212" s="1" t="n">
        <v>45260.46438657407</v>
      </c>
      <c r="C212" s="1" t="n">
        <v>46076</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46076</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66232-2021</t>
        </is>
      </c>
      <c r="B214" s="1" t="n">
        <v>44518.39234953704</v>
      </c>
      <c r="C214" s="1" t="n">
        <v>46076</v>
      </c>
      <c r="D214" t="inlineStr">
        <is>
          <t>DALARNAS LÄN</t>
        </is>
      </c>
      <c r="E214" t="inlineStr">
        <is>
          <t>MORA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20930-2024</t>
        </is>
      </c>
      <c r="B215" s="1" t="n">
        <v>45439.51907407407</v>
      </c>
      <c r="C215" s="1" t="n">
        <v>46076</v>
      </c>
      <c r="D215" t="inlineStr">
        <is>
          <t>DALARNAS LÄN</t>
        </is>
      </c>
      <c r="E215" t="inlineStr">
        <is>
          <t>MORA</t>
        </is>
      </c>
      <c r="F215" t="inlineStr">
        <is>
          <t>Bergvik skog väst AB</t>
        </is>
      </c>
      <c r="G215" t="n">
        <v>5.3</v>
      </c>
      <c r="H215" t="n">
        <v>0</v>
      </c>
      <c r="I215" t="n">
        <v>0</v>
      </c>
      <c r="J215" t="n">
        <v>0</v>
      </c>
      <c r="K215" t="n">
        <v>0</v>
      </c>
      <c r="L215" t="n">
        <v>0</v>
      </c>
      <c r="M215" t="n">
        <v>0</v>
      </c>
      <c r="N215" t="n">
        <v>0</v>
      </c>
      <c r="O215" t="n">
        <v>0</v>
      </c>
      <c r="P215" t="n">
        <v>0</v>
      </c>
      <c r="Q215" t="n">
        <v>0</v>
      </c>
      <c r="R215" s="2" t="inlineStr"/>
    </row>
    <row r="216" ht="15" customHeight="1">
      <c r="A216" t="inlineStr">
        <is>
          <t>A 42611-2022</t>
        </is>
      </c>
      <c r="B216" s="1" t="n">
        <v>44831.81482638889</v>
      </c>
      <c r="C216" s="1" t="n">
        <v>46076</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61270-2024</t>
        </is>
      </c>
      <c r="B217" s="1" t="n">
        <v>45645.74694444444</v>
      </c>
      <c r="C217" s="1" t="n">
        <v>46076</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17865-2025</t>
        </is>
      </c>
      <c r="B218" s="1" t="n">
        <v>45758.62951388889</v>
      </c>
      <c r="C218" s="1" t="n">
        <v>46076</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33676-2023</t>
        </is>
      </c>
      <c r="B219" s="1" t="n">
        <v>45132.6291550926</v>
      </c>
      <c r="C219" s="1" t="n">
        <v>46076</v>
      </c>
      <c r="D219" t="inlineStr">
        <is>
          <t>DALARNAS LÄN</t>
        </is>
      </c>
      <c r="E219" t="inlineStr">
        <is>
          <t>MORA</t>
        </is>
      </c>
      <c r="F219" t="inlineStr">
        <is>
          <t>Bergvik skog öst AB</t>
        </is>
      </c>
      <c r="G219" t="n">
        <v>2.7</v>
      </c>
      <c r="H219" t="n">
        <v>0</v>
      </c>
      <c r="I219" t="n">
        <v>0</v>
      </c>
      <c r="J219" t="n">
        <v>0</v>
      </c>
      <c r="K219" t="n">
        <v>0</v>
      </c>
      <c r="L219" t="n">
        <v>0</v>
      </c>
      <c r="M219" t="n">
        <v>0</v>
      </c>
      <c r="N219" t="n">
        <v>0</v>
      </c>
      <c r="O219" t="n">
        <v>0</v>
      </c>
      <c r="P219" t="n">
        <v>0</v>
      </c>
      <c r="Q219" t="n">
        <v>0</v>
      </c>
      <c r="R219" s="2" t="inlineStr"/>
    </row>
    <row r="220" ht="15" customHeight="1">
      <c r="A220" t="inlineStr">
        <is>
          <t>A 61188-2024</t>
        </is>
      </c>
      <c r="B220" s="1" t="n">
        <v>45645.62282407407</v>
      </c>
      <c r="C220" s="1" t="n">
        <v>46076</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37710-2023</t>
        </is>
      </c>
      <c r="B221" s="1" t="n">
        <v>45159.59186342593</v>
      </c>
      <c r="C221" s="1" t="n">
        <v>46076</v>
      </c>
      <c r="D221" t="inlineStr">
        <is>
          <t>DALARNAS LÄN</t>
        </is>
      </c>
      <c r="E221" t="inlineStr">
        <is>
          <t>MORA</t>
        </is>
      </c>
      <c r="G221" t="n">
        <v>1.9</v>
      </c>
      <c r="H221" t="n">
        <v>0</v>
      </c>
      <c r="I221" t="n">
        <v>0</v>
      </c>
      <c r="J221" t="n">
        <v>0</v>
      </c>
      <c r="K221" t="n">
        <v>0</v>
      </c>
      <c r="L221" t="n">
        <v>0</v>
      </c>
      <c r="M221" t="n">
        <v>0</v>
      </c>
      <c r="N221" t="n">
        <v>0</v>
      </c>
      <c r="O221" t="n">
        <v>0</v>
      </c>
      <c r="P221" t="n">
        <v>0</v>
      </c>
      <c r="Q221" t="n">
        <v>0</v>
      </c>
      <c r="R221" s="2" t="inlineStr"/>
    </row>
    <row r="222" ht="15" customHeight="1">
      <c r="A222" t="inlineStr">
        <is>
          <t>A 45355-2024</t>
        </is>
      </c>
      <c r="B222" s="1" t="n">
        <v>45576</v>
      </c>
      <c r="C222" s="1" t="n">
        <v>46076</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37695-2024</t>
        </is>
      </c>
      <c r="B223" s="1" t="n">
        <v>45541.61094907407</v>
      </c>
      <c r="C223" s="1" t="n">
        <v>46076</v>
      </c>
      <c r="D223" t="inlineStr">
        <is>
          <t>DALARNAS LÄN</t>
        </is>
      </c>
      <c r="E223" t="inlineStr">
        <is>
          <t>MORA</t>
        </is>
      </c>
      <c r="G223" t="n">
        <v>19.7</v>
      </c>
      <c r="H223" t="n">
        <v>0</v>
      </c>
      <c r="I223" t="n">
        <v>0</v>
      </c>
      <c r="J223" t="n">
        <v>0</v>
      </c>
      <c r="K223" t="n">
        <v>0</v>
      </c>
      <c r="L223" t="n">
        <v>0</v>
      </c>
      <c r="M223" t="n">
        <v>0</v>
      </c>
      <c r="N223" t="n">
        <v>0</v>
      </c>
      <c r="O223" t="n">
        <v>0</v>
      </c>
      <c r="P223" t="n">
        <v>0</v>
      </c>
      <c r="Q223" t="n">
        <v>0</v>
      </c>
      <c r="R223" s="2" t="inlineStr"/>
    </row>
    <row r="224" ht="15" customHeight="1">
      <c r="A224" t="inlineStr">
        <is>
          <t>A 28934-2023</t>
        </is>
      </c>
      <c r="B224" s="1" t="n">
        <v>45104</v>
      </c>
      <c r="C224" s="1" t="n">
        <v>46076</v>
      </c>
      <c r="D224" t="inlineStr">
        <is>
          <t>DALARNAS LÄN</t>
        </is>
      </c>
      <c r="E224" t="inlineStr">
        <is>
          <t>MORA</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15416-2023</t>
        </is>
      </c>
      <c r="B225" s="1" t="n">
        <v>45019.71342592593</v>
      </c>
      <c r="C225" s="1" t="n">
        <v>46076</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5769-2025</t>
        </is>
      </c>
      <c r="B226" s="1" t="n">
        <v>45694.59288194445</v>
      </c>
      <c r="C226" s="1" t="n">
        <v>46076</v>
      </c>
      <c r="D226" t="inlineStr">
        <is>
          <t>DALARNAS LÄN</t>
        </is>
      </c>
      <c r="E226" t="inlineStr">
        <is>
          <t>MORA</t>
        </is>
      </c>
      <c r="G226" t="n">
        <v>15.7</v>
      </c>
      <c r="H226" t="n">
        <v>0</v>
      </c>
      <c r="I226" t="n">
        <v>0</v>
      </c>
      <c r="J226" t="n">
        <v>0</v>
      </c>
      <c r="K226" t="n">
        <v>0</v>
      </c>
      <c r="L226" t="n">
        <v>0</v>
      </c>
      <c r="M226" t="n">
        <v>0</v>
      </c>
      <c r="N226" t="n">
        <v>0</v>
      </c>
      <c r="O226" t="n">
        <v>0</v>
      </c>
      <c r="P226" t="n">
        <v>0</v>
      </c>
      <c r="Q226" t="n">
        <v>0</v>
      </c>
      <c r="R226" s="2" t="inlineStr"/>
    </row>
    <row r="227" ht="15" customHeight="1">
      <c r="A227" t="inlineStr">
        <is>
          <t>A 29068-2025</t>
        </is>
      </c>
      <c r="B227" s="1" t="n">
        <v>45821.50900462963</v>
      </c>
      <c r="C227" s="1" t="n">
        <v>46076</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54253-2023</t>
        </is>
      </c>
      <c r="B228" s="1" t="n">
        <v>45232.63217592592</v>
      </c>
      <c r="C228" s="1" t="n">
        <v>46076</v>
      </c>
      <c r="D228" t="inlineStr">
        <is>
          <t>DALARNAS LÄN</t>
        </is>
      </c>
      <c r="E228" t="inlineStr">
        <is>
          <t>MORA</t>
        </is>
      </c>
      <c r="G228" t="n">
        <v>4.5</v>
      </c>
      <c r="H228" t="n">
        <v>0</v>
      </c>
      <c r="I228" t="n">
        <v>0</v>
      </c>
      <c r="J228" t="n">
        <v>0</v>
      </c>
      <c r="K228" t="n">
        <v>0</v>
      </c>
      <c r="L228" t="n">
        <v>0</v>
      </c>
      <c r="M228" t="n">
        <v>0</v>
      </c>
      <c r="N228" t="n">
        <v>0</v>
      </c>
      <c r="O228" t="n">
        <v>0</v>
      </c>
      <c r="P228" t="n">
        <v>0</v>
      </c>
      <c r="Q228" t="n">
        <v>0</v>
      </c>
      <c r="R228" s="2" t="inlineStr"/>
    </row>
    <row r="229" ht="15" customHeight="1">
      <c r="A229" t="inlineStr">
        <is>
          <t>A 28976-2025</t>
        </is>
      </c>
      <c r="B229" s="1" t="n">
        <v>45821.34855324074</v>
      </c>
      <c r="C229" s="1" t="n">
        <v>46076</v>
      </c>
      <c r="D229" t="inlineStr">
        <is>
          <t>DALARNAS LÄN</t>
        </is>
      </c>
      <c r="E229" t="inlineStr">
        <is>
          <t>MORA</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28925-2025</t>
        </is>
      </c>
      <c r="B230" s="1" t="n">
        <v>45820.67107638889</v>
      </c>
      <c r="C230" s="1" t="n">
        <v>46076</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28927-2025</t>
        </is>
      </c>
      <c r="B231" s="1" t="n">
        <v>45820.67221064815</v>
      </c>
      <c r="C231" s="1" t="n">
        <v>46076</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28924-2025</t>
        </is>
      </c>
      <c r="B232" s="1" t="n">
        <v>45820.66846064815</v>
      </c>
      <c r="C232" s="1" t="n">
        <v>46076</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57608-2021</t>
        </is>
      </c>
      <c r="B233" s="1" t="n">
        <v>44484</v>
      </c>
      <c r="C233" s="1" t="n">
        <v>46076</v>
      </c>
      <c r="D233" t="inlineStr">
        <is>
          <t>DALARNAS LÄN</t>
        </is>
      </c>
      <c r="E233" t="inlineStr">
        <is>
          <t>MORA</t>
        </is>
      </c>
      <c r="G233" t="n">
        <v>6.3</v>
      </c>
      <c r="H233" t="n">
        <v>0</v>
      </c>
      <c r="I233" t="n">
        <v>0</v>
      </c>
      <c r="J233" t="n">
        <v>0</v>
      </c>
      <c r="K233" t="n">
        <v>0</v>
      </c>
      <c r="L233" t="n">
        <v>0</v>
      </c>
      <c r="M233" t="n">
        <v>0</v>
      </c>
      <c r="N233" t="n">
        <v>0</v>
      </c>
      <c r="O233" t="n">
        <v>0</v>
      </c>
      <c r="P233" t="n">
        <v>0</v>
      </c>
      <c r="Q233" t="n">
        <v>0</v>
      </c>
      <c r="R233" s="2" t="inlineStr"/>
    </row>
    <row r="234" ht="15" customHeight="1">
      <c r="A234" t="inlineStr">
        <is>
          <t>A 28751-2025</t>
        </is>
      </c>
      <c r="B234" s="1" t="n">
        <v>45820.40034722222</v>
      </c>
      <c r="C234" s="1" t="n">
        <v>46076</v>
      </c>
      <c r="D234" t="inlineStr">
        <is>
          <t>DALARNAS LÄN</t>
        </is>
      </c>
      <c r="E234" t="inlineStr">
        <is>
          <t>MORA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17393-2025</t>
        </is>
      </c>
      <c r="B235" s="1" t="n">
        <v>45757.34350694445</v>
      </c>
      <c r="C235" s="1" t="n">
        <v>46076</v>
      </c>
      <c r="D235" t="inlineStr">
        <is>
          <t>DALARNAS LÄN</t>
        </is>
      </c>
      <c r="E235" t="inlineStr">
        <is>
          <t>MORA</t>
        </is>
      </c>
      <c r="G235" t="n">
        <v>10.1</v>
      </c>
      <c r="H235" t="n">
        <v>0</v>
      </c>
      <c r="I235" t="n">
        <v>0</v>
      </c>
      <c r="J235" t="n">
        <v>0</v>
      </c>
      <c r="K235" t="n">
        <v>0</v>
      </c>
      <c r="L235" t="n">
        <v>0</v>
      </c>
      <c r="M235" t="n">
        <v>0</v>
      </c>
      <c r="N235" t="n">
        <v>0</v>
      </c>
      <c r="O235" t="n">
        <v>0</v>
      </c>
      <c r="P235" t="n">
        <v>0</v>
      </c>
      <c r="Q235" t="n">
        <v>0</v>
      </c>
      <c r="R235" s="2" t="inlineStr"/>
    </row>
    <row r="236" ht="15" customHeight="1">
      <c r="A236" t="inlineStr">
        <is>
          <t>A 29528-2025</t>
        </is>
      </c>
      <c r="B236" s="1" t="n">
        <v>45825.34322916667</v>
      </c>
      <c r="C236" s="1" t="n">
        <v>46076</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46076</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25887-2023</t>
        </is>
      </c>
      <c r="B238" s="1" t="n">
        <v>45090.62493055555</v>
      </c>
      <c r="C238" s="1" t="n">
        <v>46076</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29425-2025</t>
        </is>
      </c>
      <c r="B239" s="1" t="n">
        <v>45824.64524305556</v>
      </c>
      <c r="C239" s="1" t="n">
        <v>46076</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39456-2025</t>
        </is>
      </c>
      <c r="B240" s="1" t="n">
        <v>45889.76200231481</v>
      </c>
      <c r="C240" s="1" t="n">
        <v>46076</v>
      </c>
      <c r="D240" t="inlineStr">
        <is>
          <t>DALARNAS LÄN</t>
        </is>
      </c>
      <c r="E240" t="inlineStr">
        <is>
          <t>MORA</t>
        </is>
      </c>
      <c r="F240" t="inlineStr">
        <is>
          <t>Bergvik skog öst AB</t>
        </is>
      </c>
      <c r="G240" t="n">
        <v>16.7</v>
      </c>
      <c r="H240" t="n">
        <v>0</v>
      </c>
      <c r="I240" t="n">
        <v>0</v>
      </c>
      <c r="J240" t="n">
        <v>0</v>
      </c>
      <c r="K240" t="n">
        <v>0</v>
      </c>
      <c r="L240" t="n">
        <v>0</v>
      </c>
      <c r="M240" t="n">
        <v>0</v>
      </c>
      <c r="N240" t="n">
        <v>0</v>
      </c>
      <c r="O240" t="n">
        <v>0</v>
      </c>
      <c r="P240" t="n">
        <v>0</v>
      </c>
      <c r="Q240" t="n">
        <v>0</v>
      </c>
      <c r="R240" s="2" t="inlineStr"/>
    </row>
    <row r="241" ht="15" customHeight="1">
      <c r="A241" t="inlineStr">
        <is>
          <t>A 39824-2025</t>
        </is>
      </c>
      <c r="B241" s="1" t="n">
        <v>45891</v>
      </c>
      <c r="C241" s="1" t="n">
        <v>46076</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64099-2023</t>
        </is>
      </c>
      <c r="B242" s="1" t="n">
        <v>45279.46009259259</v>
      </c>
      <c r="C242" s="1" t="n">
        <v>46076</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39787-2025</t>
        </is>
      </c>
      <c r="B243" s="1" t="n">
        <v>45891</v>
      </c>
      <c r="C243" s="1" t="n">
        <v>46076</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30087-2025</t>
        </is>
      </c>
      <c r="B244" s="1" t="n">
        <v>45826.6575</v>
      </c>
      <c r="C244" s="1" t="n">
        <v>46076</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40471-2025</t>
        </is>
      </c>
      <c r="B245" s="1" t="n">
        <v>45895.67356481482</v>
      </c>
      <c r="C245" s="1" t="n">
        <v>46076</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19910-2024</t>
        </is>
      </c>
      <c r="B246" s="1" t="n">
        <v>45433.5741087963</v>
      </c>
      <c r="C246" s="1" t="n">
        <v>46076</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23300-2024</t>
        </is>
      </c>
      <c r="B247" s="1" t="n">
        <v>45453.43695601852</v>
      </c>
      <c r="C247" s="1" t="n">
        <v>46076</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30166-2025</t>
        </is>
      </c>
      <c r="B248" s="1" t="n">
        <v>45827.33116898148</v>
      </c>
      <c r="C248" s="1" t="n">
        <v>46076</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29870-2025</t>
        </is>
      </c>
      <c r="B249" s="1" t="n">
        <v>45826.35716435185</v>
      </c>
      <c r="C249" s="1" t="n">
        <v>46076</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29873-2025</t>
        </is>
      </c>
      <c r="B250" s="1" t="n">
        <v>45826</v>
      </c>
      <c r="C250" s="1" t="n">
        <v>46076</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25737-2025</t>
        </is>
      </c>
      <c r="B251" s="1" t="n">
        <v>45800</v>
      </c>
      <c r="C251" s="1" t="n">
        <v>46076</v>
      </c>
      <c r="D251" t="inlineStr">
        <is>
          <t>DALARNAS LÄN</t>
        </is>
      </c>
      <c r="E251" t="inlineStr">
        <is>
          <t>MORA</t>
        </is>
      </c>
      <c r="G251" t="n">
        <v>9.6</v>
      </c>
      <c r="H251" t="n">
        <v>0</v>
      </c>
      <c r="I251" t="n">
        <v>0</v>
      </c>
      <c r="J251" t="n">
        <v>0</v>
      </c>
      <c r="K251" t="n">
        <v>0</v>
      </c>
      <c r="L251" t="n">
        <v>0</v>
      </c>
      <c r="M251" t="n">
        <v>0</v>
      </c>
      <c r="N251" t="n">
        <v>0</v>
      </c>
      <c r="O251" t="n">
        <v>0</v>
      </c>
      <c r="P251" t="n">
        <v>0</v>
      </c>
      <c r="Q251" t="n">
        <v>0</v>
      </c>
      <c r="R251" s="2" t="inlineStr"/>
    </row>
    <row r="252" ht="15" customHeight="1">
      <c r="A252" t="inlineStr">
        <is>
          <t>A 19896-2021</t>
        </is>
      </c>
      <c r="B252" s="1" t="n">
        <v>44313.54942129629</v>
      </c>
      <c r="C252" s="1" t="n">
        <v>46076</v>
      </c>
      <c r="D252" t="inlineStr">
        <is>
          <t>DALARNAS LÄN</t>
        </is>
      </c>
      <c r="E252" t="inlineStr">
        <is>
          <t>MORA</t>
        </is>
      </c>
      <c r="G252" t="n">
        <v>1.8</v>
      </c>
      <c r="H252" t="n">
        <v>0</v>
      </c>
      <c r="I252" t="n">
        <v>0</v>
      </c>
      <c r="J252" t="n">
        <v>0</v>
      </c>
      <c r="K252" t="n">
        <v>0</v>
      </c>
      <c r="L252" t="n">
        <v>0</v>
      </c>
      <c r="M252" t="n">
        <v>0</v>
      </c>
      <c r="N252" t="n">
        <v>0</v>
      </c>
      <c r="O252" t="n">
        <v>0</v>
      </c>
      <c r="P252" t="n">
        <v>0</v>
      </c>
      <c r="Q252" t="n">
        <v>0</v>
      </c>
      <c r="R252" s="2" t="inlineStr"/>
    </row>
    <row r="253" ht="15" customHeight="1">
      <c r="A253" t="inlineStr">
        <is>
          <t>A 40140-2025</t>
        </is>
      </c>
      <c r="B253" s="1" t="n">
        <v>45894.57016203704</v>
      </c>
      <c r="C253" s="1" t="n">
        <v>46076</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40142-2025</t>
        </is>
      </c>
      <c r="B254" s="1" t="n">
        <v>45894.57202546296</v>
      </c>
      <c r="C254" s="1" t="n">
        <v>46076</v>
      </c>
      <c r="D254" t="inlineStr">
        <is>
          <t>DALARNAS LÄN</t>
        </is>
      </c>
      <c r="E254" t="inlineStr">
        <is>
          <t>MORA</t>
        </is>
      </c>
      <c r="G254" t="n">
        <v>0.4</v>
      </c>
      <c r="H254" t="n">
        <v>0</v>
      </c>
      <c r="I254" t="n">
        <v>0</v>
      </c>
      <c r="J254" t="n">
        <v>0</v>
      </c>
      <c r="K254" t="n">
        <v>0</v>
      </c>
      <c r="L254" t="n">
        <v>0</v>
      </c>
      <c r="M254" t="n">
        <v>0</v>
      </c>
      <c r="N254" t="n">
        <v>0</v>
      </c>
      <c r="O254" t="n">
        <v>0</v>
      </c>
      <c r="P254" t="n">
        <v>0</v>
      </c>
      <c r="Q254" t="n">
        <v>0</v>
      </c>
      <c r="R254" s="2" t="inlineStr"/>
    </row>
    <row r="255" ht="15" customHeight="1">
      <c r="A255" t="inlineStr">
        <is>
          <t>A 9599-2022</t>
        </is>
      </c>
      <c r="B255" s="1" t="n">
        <v>44617.48909722222</v>
      </c>
      <c r="C255" s="1" t="n">
        <v>46076</v>
      </c>
      <c r="D255" t="inlineStr">
        <is>
          <t>DALARNAS LÄN</t>
        </is>
      </c>
      <c r="E255" t="inlineStr">
        <is>
          <t>MORA</t>
        </is>
      </c>
      <c r="G255" t="n">
        <v>2.1</v>
      </c>
      <c r="H255" t="n">
        <v>0</v>
      </c>
      <c r="I255" t="n">
        <v>0</v>
      </c>
      <c r="J255" t="n">
        <v>0</v>
      </c>
      <c r="K255" t="n">
        <v>0</v>
      </c>
      <c r="L255" t="n">
        <v>0</v>
      </c>
      <c r="M255" t="n">
        <v>0</v>
      </c>
      <c r="N255" t="n">
        <v>0</v>
      </c>
      <c r="O255" t="n">
        <v>0</v>
      </c>
      <c r="P255" t="n">
        <v>0</v>
      </c>
      <c r="Q255" t="n">
        <v>0</v>
      </c>
      <c r="R255" s="2" t="inlineStr"/>
    </row>
    <row r="256" ht="15" customHeight="1">
      <c r="A256" t="inlineStr">
        <is>
          <t>A 35521-2023</t>
        </is>
      </c>
      <c r="B256" s="1" t="n">
        <v>45147.33251157407</v>
      </c>
      <c r="C256" s="1" t="n">
        <v>46076</v>
      </c>
      <c r="D256" t="inlineStr">
        <is>
          <t>DALARNAS LÄN</t>
        </is>
      </c>
      <c r="E256" t="inlineStr">
        <is>
          <t>MORA</t>
        </is>
      </c>
      <c r="G256" t="n">
        <v>3.7</v>
      </c>
      <c r="H256" t="n">
        <v>0</v>
      </c>
      <c r="I256" t="n">
        <v>0</v>
      </c>
      <c r="J256" t="n">
        <v>0</v>
      </c>
      <c r="K256" t="n">
        <v>0</v>
      </c>
      <c r="L256" t="n">
        <v>0</v>
      </c>
      <c r="M256" t="n">
        <v>0</v>
      </c>
      <c r="N256" t="n">
        <v>0</v>
      </c>
      <c r="O256" t="n">
        <v>0</v>
      </c>
      <c r="P256" t="n">
        <v>0</v>
      </c>
      <c r="Q256" t="n">
        <v>0</v>
      </c>
      <c r="R256" s="2" t="inlineStr"/>
    </row>
    <row r="257" ht="15" customHeight="1">
      <c r="A257" t="inlineStr">
        <is>
          <t>A 30507-2025</t>
        </is>
      </c>
      <c r="B257" s="1" t="n">
        <v>45831.24760416667</v>
      </c>
      <c r="C257" s="1" t="n">
        <v>46076</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30509-2025</t>
        </is>
      </c>
      <c r="B258" s="1" t="n">
        <v>45831.25519675926</v>
      </c>
      <c r="C258" s="1" t="n">
        <v>46076</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40147-2025</t>
        </is>
      </c>
      <c r="B259" s="1" t="n">
        <v>45894.57918981482</v>
      </c>
      <c r="C259" s="1" t="n">
        <v>46076</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30989-2025</t>
        </is>
      </c>
      <c r="B260" s="1" t="n">
        <v>45832.48185185185</v>
      </c>
      <c r="C260" s="1" t="n">
        <v>46076</v>
      </c>
      <c r="D260" t="inlineStr">
        <is>
          <t>DALARNAS LÄN</t>
        </is>
      </c>
      <c r="E260" t="inlineStr">
        <is>
          <t>MORA</t>
        </is>
      </c>
      <c r="F260" t="inlineStr">
        <is>
          <t>Bergvik skog öst AB</t>
        </is>
      </c>
      <c r="G260" t="n">
        <v>4.1</v>
      </c>
      <c r="H260" t="n">
        <v>0</v>
      </c>
      <c r="I260" t="n">
        <v>0</v>
      </c>
      <c r="J260" t="n">
        <v>0</v>
      </c>
      <c r="K260" t="n">
        <v>0</v>
      </c>
      <c r="L260" t="n">
        <v>0</v>
      </c>
      <c r="M260" t="n">
        <v>0</v>
      </c>
      <c r="N260" t="n">
        <v>0</v>
      </c>
      <c r="O260" t="n">
        <v>0</v>
      </c>
      <c r="P260" t="n">
        <v>0</v>
      </c>
      <c r="Q260" t="n">
        <v>0</v>
      </c>
      <c r="R260" s="2" t="inlineStr"/>
    </row>
    <row r="261" ht="15" customHeight="1">
      <c r="A261" t="inlineStr">
        <is>
          <t>A 60715-2023</t>
        </is>
      </c>
      <c r="B261" s="1" t="n">
        <v>45260.52684027778</v>
      </c>
      <c r="C261" s="1" t="n">
        <v>46076</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54257-2023</t>
        </is>
      </c>
      <c r="B262" s="1" t="n">
        <v>45232.64195601852</v>
      </c>
      <c r="C262" s="1" t="n">
        <v>46076</v>
      </c>
      <c r="D262" t="inlineStr">
        <is>
          <t>DALARNAS LÄN</t>
        </is>
      </c>
      <c r="E262" t="inlineStr">
        <is>
          <t>MORA</t>
        </is>
      </c>
      <c r="G262" t="n">
        <v>4</v>
      </c>
      <c r="H262" t="n">
        <v>0</v>
      </c>
      <c r="I262" t="n">
        <v>0</v>
      </c>
      <c r="J262" t="n">
        <v>0</v>
      </c>
      <c r="K262" t="n">
        <v>0</v>
      </c>
      <c r="L262" t="n">
        <v>0</v>
      </c>
      <c r="M262" t="n">
        <v>0</v>
      </c>
      <c r="N262" t="n">
        <v>0</v>
      </c>
      <c r="O262" t="n">
        <v>0</v>
      </c>
      <c r="P262" t="n">
        <v>0</v>
      </c>
      <c r="Q262" t="n">
        <v>0</v>
      </c>
      <c r="R262" s="2" t="inlineStr"/>
    </row>
    <row r="263" ht="15" customHeight="1">
      <c r="A263" t="inlineStr">
        <is>
          <t>A 40660-2025</t>
        </is>
      </c>
      <c r="B263" s="1" t="n">
        <v>45896.64631944444</v>
      </c>
      <c r="C263" s="1" t="n">
        <v>46076</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45897.46659722222</v>
      </c>
      <c r="C264" s="1" t="n">
        <v>46076</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40661-2025</t>
        </is>
      </c>
      <c r="B265" s="1" t="n">
        <v>45896.64715277778</v>
      </c>
      <c r="C265" s="1" t="n">
        <v>46076</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25345-2025</t>
        </is>
      </c>
      <c r="B266" s="1" t="n">
        <v>45799</v>
      </c>
      <c r="C266" s="1" t="n">
        <v>46076</v>
      </c>
      <c r="D266" t="inlineStr">
        <is>
          <t>DALARNAS LÄN</t>
        </is>
      </c>
      <c r="E266" t="inlineStr">
        <is>
          <t>MORA</t>
        </is>
      </c>
      <c r="G266" t="n">
        <v>3.1</v>
      </c>
      <c r="H266" t="n">
        <v>0</v>
      </c>
      <c r="I266" t="n">
        <v>0</v>
      </c>
      <c r="J266" t="n">
        <v>0</v>
      </c>
      <c r="K266" t="n">
        <v>0</v>
      </c>
      <c r="L266" t="n">
        <v>0</v>
      </c>
      <c r="M266" t="n">
        <v>0</v>
      </c>
      <c r="N266" t="n">
        <v>0</v>
      </c>
      <c r="O266" t="n">
        <v>0</v>
      </c>
      <c r="P266" t="n">
        <v>0</v>
      </c>
      <c r="Q266" t="n">
        <v>0</v>
      </c>
      <c r="R266" s="2" t="inlineStr"/>
    </row>
    <row r="267" ht="15" customHeight="1">
      <c r="A267" t="inlineStr">
        <is>
          <t>A 5309-2023</t>
        </is>
      </c>
      <c r="B267" s="1" t="n">
        <v>44956</v>
      </c>
      <c r="C267" s="1" t="n">
        <v>46076</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41200-2025</t>
        </is>
      </c>
      <c r="B268" s="1" t="n">
        <v>45898.5738425926</v>
      </c>
      <c r="C268" s="1" t="n">
        <v>46076</v>
      </c>
      <c r="D268" t="inlineStr">
        <is>
          <t>DALARNAS LÄN</t>
        </is>
      </c>
      <c r="E268" t="inlineStr">
        <is>
          <t>MORA</t>
        </is>
      </c>
      <c r="G268" t="n">
        <v>8.9</v>
      </c>
      <c r="H268" t="n">
        <v>0</v>
      </c>
      <c r="I268" t="n">
        <v>0</v>
      </c>
      <c r="J268" t="n">
        <v>0</v>
      </c>
      <c r="K268" t="n">
        <v>0</v>
      </c>
      <c r="L268" t="n">
        <v>0</v>
      </c>
      <c r="M268" t="n">
        <v>0</v>
      </c>
      <c r="N268" t="n">
        <v>0</v>
      </c>
      <c r="O268" t="n">
        <v>0</v>
      </c>
      <c r="P268" t="n">
        <v>0</v>
      </c>
      <c r="Q268" t="n">
        <v>0</v>
      </c>
      <c r="R268" s="2" t="inlineStr"/>
    </row>
    <row r="269" ht="15" customHeight="1">
      <c r="A269" t="inlineStr">
        <is>
          <t>A 41175-2025</t>
        </is>
      </c>
      <c r="B269" s="1" t="n">
        <v>45898.55165509259</v>
      </c>
      <c r="C269" s="1" t="n">
        <v>46076</v>
      </c>
      <c r="D269" t="inlineStr">
        <is>
          <t>DALARNAS LÄN</t>
        </is>
      </c>
      <c r="E269" t="inlineStr">
        <is>
          <t>MORA</t>
        </is>
      </c>
      <c r="G269" t="n">
        <v>4.5</v>
      </c>
      <c r="H269" t="n">
        <v>0</v>
      </c>
      <c r="I269" t="n">
        <v>0</v>
      </c>
      <c r="J269" t="n">
        <v>0</v>
      </c>
      <c r="K269" t="n">
        <v>0</v>
      </c>
      <c r="L269" t="n">
        <v>0</v>
      </c>
      <c r="M269" t="n">
        <v>0</v>
      </c>
      <c r="N269" t="n">
        <v>0</v>
      </c>
      <c r="O269" t="n">
        <v>0</v>
      </c>
      <c r="P269" t="n">
        <v>0</v>
      </c>
      <c r="Q269" t="n">
        <v>0</v>
      </c>
      <c r="R269" s="2" t="inlineStr"/>
    </row>
    <row r="270" ht="15" customHeight="1">
      <c r="A270" t="inlineStr">
        <is>
          <t>A 25499-2024</t>
        </is>
      </c>
      <c r="B270" s="1" t="n">
        <v>45463</v>
      </c>
      <c r="C270" s="1" t="n">
        <v>46076</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30858-2025</t>
        </is>
      </c>
      <c r="B271" s="1" t="n">
        <v>45831.92416666666</v>
      </c>
      <c r="C271" s="1" t="n">
        <v>46076</v>
      </c>
      <c r="D271" t="inlineStr">
        <is>
          <t>DALARNAS LÄN</t>
        </is>
      </c>
      <c r="E271" t="inlineStr">
        <is>
          <t>MORA</t>
        </is>
      </c>
      <c r="G271" t="n">
        <v>2.9</v>
      </c>
      <c r="H271" t="n">
        <v>0</v>
      </c>
      <c r="I271" t="n">
        <v>0</v>
      </c>
      <c r="J271" t="n">
        <v>0</v>
      </c>
      <c r="K271" t="n">
        <v>0</v>
      </c>
      <c r="L271" t="n">
        <v>0</v>
      </c>
      <c r="M271" t="n">
        <v>0</v>
      </c>
      <c r="N271" t="n">
        <v>0</v>
      </c>
      <c r="O271" t="n">
        <v>0</v>
      </c>
      <c r="P271" t="n">
        <v>0</v>
      </c>
      <c r="Q271" t="n">
        <v>0</v>
      </c>
      <c r="R271" s="2" t="inlineStr"/>
    </row>
    <row r="272" ht="15" customHeight="1">
      <c r="A272" t="inlineStr">
        <is>
          <t>A 30859-2025</t>
        </is>
      </c>
      <c r="B272" s="1" t="n">
        <v>45831.93105324074</v>
      </c>
      <c r="C272" s="1" t="n">
        <v>46076</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41614-2025</t>
        </is>
      </c>
      <c r="B273" s="1" t="n">
        <v>45901.68267361111</v>
      </c>
      <c r="C273" s="1" t="n">
        <v>46076</v>
      </c>
      <c r="D273" t="inlineStr">
        <is>
          <t>DALARNAS LÄN</t>
        </is>
      </c>
      <c r="E273" t="inlineStr">
        <is>
          <t>MORA</t>
        </is>
      </c>
      <c r="F273" t="inlineStr">
        <is>
          <t>Bergvik skog väst AB</t>
        </is>
      </c>
      <c r="G273" t="n">
        <v>13.8</v>
      </c>
      <c r="H273" t="n">
        <v>0</v>
      </c>
      <c r="I273" t="n">
        <v>0</v>
      </c>
      <c r="J273" t="n">
        <v>0</v>
      </c>
      <c r="K273" t="n">
        <v>0</v>
      </c>
      <c r="L273" t="n">
        <v>0</v>
      </c>
      <c r="M273" t="n">
        <v>0</v>
      </c>
      <c r="N273" t="n">
        <v>0</v>
      </c>
      <c r="O273" t="n">
        <v>0</v>
      </c>
      <c r="P273" t="n">
        <v>0</v>
      </c>
      <c r="Q273" t="n">
        <v>0</v>
      </c>
      <c r="R273" s="2" t="inlineStr"/>
    </row>
    <row r="274" ht="15" customHeight="1">
      <c r="A274" t="inlineStr">
        <is>
          <t>A 58958-2022</t>
        </is>
      </c>
      <c r="B274" s="1" t="n">
        <v>44903.6605324074</v>
      </c>
      <c r="C274" s="1" t="n">
        <v>46076</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46076</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24620-2025</t>
        </is>
      </c>
      <c r="B276" s="1" t="n">
        <v>45798.59290509259</v>
      </c>
      <c r="C276" s="1" t="n">
        <v>46076</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52908-2023</t>
        </is>
      </c>
      <c r="B277" s="1" t="n">
        <v>45226.49950231481</v>
      </c>
      <c r="C277" s="1" t="n">
        <v>46076</v>
      </c>
      <c r="D277" t="inlineStr">
        <is>
          <t>DALARNAS LÄN</t>
        </is>
      </c>
      <c r="E277" t="inlineStr">
        <is>
          <t>MORA</t>
        </is>
      </c>
      <c r="G277" t="n">
        <v>3.3</v>
      </c>
      <c r="H277" t="n">
        <v>0</v>
      </c>
      <c r="I277" t="n">
        <v>0</v>
      </c>
      <c r="J277" t="n">
        <v>0</v>
      </c>
      <c r="K277" t="n">
        <v>0</v>
      </c>
      <c r="L277" t="n">
        <v>0</v>
      </c>
      <c r="M277" t="n">
        <v>0</v>
      </c>
      <c r="N277" t="n">
        <v>0</v>
      </c>
      <c r="O277" t="n">
        <v>0</v>
      </c>
      <c r="P277" t="n">
        <v>0</v>
      </c>
      <c r="Q277" t="n">
        <v>0</v>
      </c>
      <c r="R277" s="2" t="inlineStr"/>
    </row>
    <row r="278" ht="15" customHeight="1">
      <c r="A278" t="inlineStr">
        <is>
          <t>A 31846-2025</t>
        </is>
      </c>
      <c r="B278" s="1" t="n">
        <v>45834.60209490741</v>
      </c>
      <c r="C278" s="1" t="n">
        <v>46076</v>
      </c>
      <c r="D278" t="inlineStr">
        <is>
          <t>DALARNAS LÄN</t>
        </is>
      </c>
      <c r="E278" t="inlineStr">
        <is>
          <t>MORA</t>
        </is>
      </c>
      <c r="G278" t="n">
        <v>3.6</v>
      </c>
      <c r="H278" t="n">
        <v>0</v>
      </c>
      <c r="I278" t="n">
        <v>0</v>
      </c>
      <c r="J278" t="n">
        <v>0</v>
      </c>
      <c r="K278" t="n">
        <v>0</v>
      </c>
      <c r="L278" t="n">
        <v>0</v>
      </c>
      <c r="M278" t="n">
        <v>0</v>
      </c>
      <c r="N278" t="n">
        <v>0</v>
      </c>
      <c r="O278" t="n">
        <v>0</v>
      </c>
      <c r="P278" t="n">
        <v>0</v>
      </c>
      <c r="Q278" t="n">
        <v>0</v>
      </c>
      <c r="R278" s="2" t="inlineStr"/>
    </row>
    <row r="279" ht="15" customHeight="1">
      <c r="A279" t="inlineStr">
        <is>
          <t>A 31849-2025</t>
        </is>
      </c>
      <c r="B279" s="1" t="n">
        <v>45834.60525462963</v>
      </c>
      <c r="C279" s="1" t="n">
        <v>46076</v>
      </c>
      <c r="D279" t="inlineStr">
        <is>
          <t>DALARNAS LÄN</t>
        </is>
      </c>
      <c r="E279" t="inlineStr">
        <is>
          <t>MORA</t>
        </is>
      </c>
      <c r="G279" t="n">
        <v>3.9</v>
      </c>
      <c r="H279" t="n">
        <v>0</v>
      </c>
      <c r="I279" t="n">
        <v>0</v>
      </c>
      <c r="J279" t="n">
        <v>0</v>
      </c>
      <c r="K279" t="n">
        <v>0</v>
      </c>
      <c r="L279" t="n">
        <v>0</v>
      </c>
      <c r="M279" t="n">
        <v>0</v>
      </c>
      <c r="N279" t="n">
        <v>0</v>
      </c>
      <c r="O279" t="n">
        <v>0</v>
      </c>
      <c r="P279" t="n">
        <v>0</v>
      </c>
      <c r="Q279" t="n">
        <v>0</v>
      </c>
      <c r="R279" s="2" t="inlineStr"/>
    </row>
    <row r="280" ht="15" customHeight="1">
      <c r="A280" t="inlineStr">
        <is>
          <t>A 24653-2025</t>
        </is>
      </c>
      <c r="B280" s="1" t="n">
        <v>45798.63875</v>
      </c>
      <c r="C280" s="1" t="n">
        <v>46076</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18214-2024</t>
        </is>
      </c>
      <c r="B281" s="1" t="n">
        <v>45420</v>
      </c>
      <c r="C281" s="1" t="n">
        <v>46076</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41783-2025</t>
        </is>
      </c>
      <c r="B282" s="1" t="n">
        <v>45902.58721064815</v>
      </c>
      <c r="C282" s="1" t="n">
        <v>46076</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31842-2025</t>
        </is>
      </c>
      <c r="B283" s="1" t="n">
        <v>45834.59822916667</v>
      </c>
      <c r="C283" s="1" t="n">
        <v>46076</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60465-2023</t>
        </is>
      </c>
      <c r="B284" s="1" t="n">
        <v>45259.57872685185</v>
      </c>
      <c r="C284" s="1" t="n">
        <v>46076</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61654-2024</t>
        </is>
      </c>
      <c r="B285" s="1" t="n">
        <v>45646.74988425926</v>
      </c>
      <c r="C285" s="1" t="n">
        <v>46076</v>
      </c>
      <c r="D285" t="inlineStr">
        <is>
          <t>DALARNAS LÄN</t>
        </is>
      </c>
      <c r="E285" t="inlineStr">
        <is>
          <t>MORA</t>
        </is>
      </c>
      <c r="G285" t="n">
        <v>1.7</v>
      </c>
      <c r="H285" t="n">
        <v>0</v>
      </c>
      <c r="I285" t="n">
        <v>0</v>
      </c>
      <c r="J285" t="n">
        <v>0</v>
      </c>
      <c r="K285" t="n">
        <v>0</v>
      </c>
      <c r="L285" t="n">
        <v>0</v>
      </c>
      <c r="M285" t="n">
        <v>0</v>
      </c>
      <c r="N285" t="n">
        <v>0</v>
      </c>
      <c r="O285" t="n">
        <v>0</v>
      </c>
      <c r="P285" t="n">
        <v>0</v>
      </c>
      <c r="Q285" t="n">
        <v>0</v>
      </c>
      <c r="R285" s="2" t="inlineStr"/>
    </row>
    <row r="286" ht="15" customHeight="1">
      <c r="A286" t="inlineStr">
        <is>
          <t>A 41855-2025</t>
        </is>
      </c>
      <c r="B286" s="1" t="n">
        <v>45902.93693287037</v>
      </c>
      <c r="C286" s="1" t="n">
        <v>46076</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42319-2025</t>
        </is>
      </c>
      <c r="B287" s="1" t="n">
        <v>45903</v>
      </c>
      <c r="C287" s="1" t="n">
        <v>46076</v>
      </c>
      <c r="D287" t="inlineStr">
        <is>
          <t>DALARNAS LÄN</t>
        </is>
      </c>
      <c r="E287" t="inlineStr">
        <is>
          <t>MORA</t>
        </is>
      </c>
      <c r="G287" t="n">
        <v>2.3</v>
      </c>
      <c r="H287" t="n">
        <v>0</v>
      </c>
      <c r="I287" t="n">
        <v>0</v>
      </c>
      <c r="J287" t="n">
        <v>0</v>
      </c>
      <c r="K287" t="n">
        <v>0</v>
      </c>
      <c r="L287" t="n">
        <v>0</v>
      </c>
      <c r="M287" t="n">
        <v>0</v>
      </c>
      <c r="N287" t="n">
        <v>0</v>
      </c>
      <c r="O287" t="n">
        <v>0</v>
      </c>
      <c r="P287" t="n">
        <v>0</v>
      </c>
      <c r="Q287" t="n">
        <v>0</v>
      </c>
      <c r="R287" s="2" t="inlineStr"/>
    </row>
    <row r="288" ht="15" customHeight="1">
      <c r="A288" t="inlineStr">
        <is>
          <t>A 60428-2023</t>
        </is>
      </c>
      <c r="B288" s="1" t="n">
        <v>45259.50996527778</v>
      </c>
      <c r="C288" s="1" t="n">
        <v>46076</v>
      </c>
      <c r="D288" t="inlineStr">
        <is>
          <t>DALARNAS LÄN</t>
        </is>
      </c>
      <c r="E288" t="inlineStr">
        <is>
          <t>MORA</t>
        </is>
      </c>
      <c r="G288" t="n">
        <v>4.9</v>
      </c>
      <c r="H288" t="n">
        <v>0</v>
      </c>
      <c r="I288" t="n">
        <v>0</v>
      </c>
      <c r="J288" t="n">
        <v>0</v>
      </c>
      <c r="K288" t="n">
        <v>0</v>
      </c>
      <c r="L288" t="n">
        <v>0</v>
      </c>
      <c r="M288" t="n">
        <v>0</v>
      </c>
      <c r="N288" t="n">
        <v>0</v>
      </c>
      <c r="O288" t="n">
        <v>0</v>
      </c>
      <c r="P288" t="n">
        <v>0</v>
      </c>
      <c r="Q288" t="n">
        <v>0</v>
      </c>
      <c r="R288" s="2" t="inlineStr"/>
    </row>
    <row r="289" ht="15" customHeight="1">
      <c r="A289" t="inlineStr">
        <is>
          <t>A 2308-2023</t>
        </is>
      </c>
      <c r="B289" s="1" t="n">
        <v>44942.57987268519</v>
      </c>
      <c r="C289" s="1" t="n">
        <v>46076</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32852-2025</t>
        </is>
      </c>
      <c r="B290" s="1" t="n">
        <v>45839.57559027777</v>
      </c>
      <c r="C290" s="1" t="n">
        <v>46076</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46076</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53159-2024</t>
        </is>
      </c>
      <c r="B292" s="1" t="n">
        <v>45611.63849537037</v>
      </c>
      <c r="C292" s="1" t="n">
        <v>46076</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29754-2022</t>
        </is>
      </c>
      <c r="B293" s="1" t="n">
        <v>44755.59188657408</v>
      </c>
      <c r="C293" s="1" t="n">
        <v>46076</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27188-2023</t>
        </is>
      </c>
      <c r="B294" s="1" t="n">
        <v>45096</v>
      </c>
      <c r="C294" s="1" t="n">
        <v>46076</v>
      </c>
      <c r="D294" t="inlineStr">
        <is>
          <t>DALARNAS LÄN</t>
        </is>
      </c>
      <c r="E294" t="inlineStr">
        <is>
          <t>MORA</t>
        </is>
      </c>
      <c r="G294" t="n">
        <v>4.8</v>
      </c>
      <c r="H294" t="n">
        <v>0</v>
      </c>
      <c r="I294" t="n">
        <v>0</v>
      </c>
      <c r="J294" t="n">
        <v>0</v>
      </c>
      <c r="K294" t="n">
        <v>0</v>
      </c>
      <c r="L294" t="n">
        <v>0</v>
      </c>
      <c r="M294" t="n">
        <v>0</v>
      </c>
      <c r="N294" t="n">
        <v>0</v>
      </c>
      <c r="O294" t="n">
        <v>0</v>
      </c>
      <c r="P294" t="n">
        <v>0</v>
      </c>
      <c r="Q294" t="n">
        <v>0</v>
      </c>
      <c r="R294" s="2" t="inlineStr"/>
    </row>
    <row r="295" ht="15" customHeight="1">
      <c r="A295" t="inlineStr">
        <is>
          <t>A 56268-2024</t>
        </is>
      </c>
      <c r="B295" s="1" t="n">
        <v>45624.65785879629</v>
      </c>
      <c r="C295" s="1" t="n">
        <v>46076</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42813-2025</t>
        </is>
      </c>
      <c r="B296" s="1" t="n">
        <v>45908.56168981481</v>
      </c>
      <c r="C296" s="1" t="n">
        <v>46076</v>
      </c>
      <c r="D296" t="inlineStr">
        <is>
          <t>DALARNAS LÄN</t>
        </is>
      </c>
      <c r="E296" t="inlineStr">
        <is>
          <t>MORA</t>
        </is>
      </c>
      <c r="G296" t="n">
        <v>4.3</v>
      </c>
      <c r="H296" t="n">
        <v>0</v>
      </c>
      <c r="I296" t="n">
        <v>0</v>
      </c>
      <c r="J296" t="n">
        <v>0</v>
      </c>
      <c r="K296" t="n">
        <v>0</v>
      </c>
      <c r="L296" t="n">
        <v>0</v>
      </c>
      <c r="M296" t="n">
        <v>0</v>
      </c>
      <c r="N296" t="n">
        <v>0</v>
      </c>
      <c r="O296" t="n">
        <v>0</v>
      </c>
      <c r="P296" t="n">
        <v>0</v>
      </c>
      <c r="Q296" t="n">
        <v>0</v>
      </c>
      <c r="R296" s="2" t="inlineStr"/>
    </row>
    <row r="297" ht="15" customHeight="1">
      <c r="A297" t="inlineStr">
        <is>
          <t>A 42947-2025</t>
        </is>
      </c>
      <c r="B297" s="1" t="n">
        <v>45909.34799768519</v>
      </c>
      <c r="C297" s="1" t="n">
        <v>46076</v>
      </c>
      <c r="D297" t="inlineStr">
        <is>
          <t>DALARNAS LÄN</t>
        </is>
      </c>
      <c r="E297" t="inlineStr">
        <is>
          <t>MORA</t>
        </is>
      </c>
      <c r="F297" t="inlineStr">
        <is>
          <t>Allmännings- och besparingsskogar</t>
        </is>
      </c>
      <c r="G297" t="n">
        <v>6.2</v>
      </c>
      <c r="H297" t="n">
        <v>0</v>
      </c>
      <c r="I297" t="n">
        <v>0</v>
      </c>
      <c r="J297" t="n">
        <v>0</v>
      </c>
      <c r="K297" t="n">
        <v>0</v>
      </c>
      <c r="L297" t="n">
        <v>0</v>
      </c>
      <c r="M297" t="n">
        <v>0</v>
      </c>
      <c r="N297" t="n">
        <v>0</v>
      </c>
      <c r="O297" t="n">
        <v>0</v>
      </c>
      <c r="P297" t="n">
        <v>0</v>
      </c>
      <c r="Q297" t="n">
        <v>0</v>
      </c>
      <c r="R297" s="2" t="inlineStr"/>
    </row>
    <row r="298" ht="15" customHeight="1">
      <c r="A298" t="inlineStr">
        <is>
          <t>A 42960-2025</t>
        </is>
      </c>
      <c r="B298" s="1" t="n">
        <v>45909.36631944445</v>
      </c>
      <c r="C298" s="1" t="n">
        <v>46076</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14641-2023</t>
        </is>
      </c>
      <c r="B299" s="1" t="n">
        <v>45013</v>
      </c>
      <c r="C299" s="1" t="n">
        <v>46076</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42954-2025</t>
        </is>
      </c>
      <c r="B300" s="1" t="n">
        <v>45909.3578125</v>
      </c>
      <c r="C300" s="1" t="n">
        <v>46076</v>
      </c>
      <c r="D300" t="inlineStr">
        <is>
          <t>DALARNAS LÄN</t>
        </is>
      </c>
      <c r="E300" t="inlineStr">
        <is>
          <t>MORA</t>
        </is>
      </c>
      <c r="G300" t="n">
        <v>2.5</v>
      </c>
      <c r="H300" t="n">
        <v>0</v>
      </c>
      <c r="I300" t="n">
        <v>0</v>
      </c>
      <c r="J300" t="n">
        <v>0</v>
      </c>
      <c r="K300" t="n">
        <v>0</v>
      </c>
      <c r="L300" t="n">
        <v>0</v>
      </c>
      <c r="M300" t="n">
        <v>0</v>
      </c>
      <c r="N300" t="n">
        <v>0</v>
      </c>
      <c r="O300" t="n">
        <v>0</v>
      </c>
      <c r="P300" t="n">
        <v>0</v>
      </c>
      <c r="Q300" t="n">
        <v>0</v>
      </c>
      <c r="R300" s="2" t="inlineStr"/>
    </row>
    <row r="301" ht="15" customHeight="1">
      <c r="A301" t="inlineStr">
        <is>
          <t>A 42830-2025</t>
        </is>
      </c>
      <c r="B301" s="1" t="n">
        <v>45908.57753472222</v>
      </c>
      <c r="C301" s="1" t="n">
        <v>46076</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33443-2025</t>
        </is>
      </c>
      <c r="B302" s="1" t="n">
        <v>45841</v>
      </c>
      <c r="C302" s="1" t="n">
        <v>46076</v>
      </c>
      <c r="D302" t="inlineStr">
        <is>
          <t>DALARNAS LÄN</t>
        </is>
      </c>
      <c r="E302" t="inlineStr">
        <is>
          <t>MORA</t>
        </is>
      </c>
      <c r="G302" t="n">
        <v>2.7</v>
      </c>
      <c r="H302" t="n">
        <v>0</v>
      </c>
      <c r="I302" t="n">
        <v>0</v>
      </c>
      <c r="J302" t="n">
        <v>0</v>
      </c>
      <c r="K302" t="n">
        <v>0</v>
      </c>
      <c r="L302" t="n">
        <v>0</v>
      </c>
      <c r="M302" t="n">
        <v>0</v>
      </c>
      <c r="N302" t="n">
        <v>0</v>
      </c>
      <c r="O302" t="n">
        <v>0</v>
      </c>
      <c r="P302" t="n">
        <v>0</v>
      </c>
      <c r="Q302" t="n">
        <v>0</v>
      </c>
      <c r="R302" s="2" t="inlineStr"/>
    </row>
    <row r="303" ht="15" customHeight="1">
      <c r="A303" t="inlineStr">
        <is>
          <t>A 43157-2025</t>
        </is>
      </c>
      <c r="B303" s="1" t="n">
        <v>45910.34953703704</v>
      </c>
      <c r="C303" s="1" t="n">
        <v>46076</v>
      </c>
      <c r="D303" t="inlineStr">
        <is>
          <t>DALARNAS LÄN</t>
        </is>
      </c>
      <c r="E303" t="inlineStr">
        <is>
          <t>MORA</t>
        </is>
      </c>
      <c r="G303" t="n">
        <v>1.3</v>
      </c>
      <c r="H303" t="n">
        <v>0</v>
      </c>
      <c r="I303" t="n">
        <v>0</v>
      </c>
      <c r="J303" t="n">
        <v>0</v>
      </c>
      <c r="K303" t="n">
        <v>0</v>
      </c>
      <c r="L303" t="n">
        <v>0</v>
      </c>
      <c r="M303" t="n">
        <v>0</v>
      </c>
      <c r="N303" t="n">
        <v>0</v>
      </c>
      <c r="O303" t="n">
        <v>0</v>
      </c>
      <c r="P303" t="n">
        <v>0</v>
      </c>
      <c r="Q303" t="n">
        <v>0</v>
      </c>
      <c r="R303" s="2" t="inlineStr"/>
    </row>
    <row r="304" ht="15" customHeight="1">
      <c r="A304" t="inlineStr">
        <is>
          <t>A 57408-2024</t>
        </is>
      </c>
      <c r="B304" s="1" t="n">
        <v>45629</v>
      </c>
      <c r="C304" s="1" t="n">
        <v>46076</v>
      </c>
      <c r="D304" t="inlineStr">
        <is>
          <t>DALARNAS LÄN</t>
        </is>
      </c>
      <c r="E304" t="inlineStr">
        <is>
          <t>MORA</t>
        </is>
      </c>
      <c r="F304" t="inlineStr">
        <is>
          <t>Allmännings- och besparingsskogar</t>
        </is>
      </c>
      <c r="G304" t="n">
        <v>2.5</v>
      </c>
      <c r="H304" t="n">
        <v>0</v>
      </c>
      <c r="I304" t="n">
        <v>0</v>
      </c>
      <c r="J304" t="n">
        <v>0</v>
      </c>
      <c r="K304" t="n">
        <v>0</v>
      </c>
      <c r="L304" t="n">
        <v>0</v>
      </c>
      <c r="M304" t="n">
        <v>0</v>
      </c>
      <c r="N304" t="n">
        <v>0</v>
      </c>
      <c r="O304" t="n">
        <v>0</v>
      </c>
      <c r="P304" t="n">
        <v>0</v>
      </c>
      <c r="Q304" t="n">
        <v>0</v>
      </c>
      <c r="R304" s="2" t="inlineStr"/>
    </row>
    <row r="305" ht="15" customHeight="1">
      <c r="A305" t="inlineStr">
        <is>
          <t>A 43569-2025</t>
        </is>
      </c>
      <c r="B305" s="1" t="n">
        <v>45911.63363425926</v>
      </c>
      <c r="C305" s="1" t="n">
        <v>46076</v>
      </c>
      <c r="D305" t="inlineStr">
        <is>
          <t>DALARNAS LÄN</t>
        </is>
      </c>
      <c r="E305" t="inlineStr">
        <is>
          <t>MORA</t>
        </is>
      </c>
      <c r="G305" t="n">
        <v>4.7</v>
      </c>
      <c r="H305" t="n">
        <v>0</v>
      </c>
      <c r="I305" t="n">
        <v>0</v>
      </c>
      <c r="J305" t="n">
        <v>0</v>
      </c>
      <c r="K305" t="n">
        <v>0</v>
      </c>
      <c r="L305" t="n">
        <v>0</v>
      </c>
      <c r="M305" t="n">
        <v>0</v>
      </c>
      <c r="N305" t="n">
        <v>0</v>
      </c>
      <c r="O305" t="n">
        <v>0</v>
      </c>
      <c r="P305" t="n">
        <v>0</v>
      </c>
      <c r="Q305" t="n">
        <v>0</v>
      </c>
      <c r="R305" s="2" t="inlineStr"/>
    </row>
    <row r="306" ht="15" customHeight="1">
      <c r="A306" t="inlineStr">
        <is>
          <t>A 1252-2025</t>
        </is>
      </c>
      <c r="B306" s="1" t="n">
        <v>45667.46648148148</v>
      </c>
      <c r="C306" s="1" t="n">
        <v>46076</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43153-2025</t>
        </is>
      </c>
      <c r="B307" s="1" t="n">
        <v>45910.34449074074</v>
      </c>
      <c r="C307" s="1" t="n">
        <v>46076</v>
      </c>
      <c r="D307" t="inlineStr">
        <is>
          <t>DALARNAS LÄN</t>
        </is>
      </c>
      <c r="E307" t="inlineStr">
        <is>
          <t>MORA</t>
        </is>
      </c>
      <c r="G307" t="n">
        <v>3.9</v>
      </c>
      <c r="H307" t="n">
        <v>0</v>
      </c>
      <c r="I307" t="n">
        <v>0</v>
      </c>
      <c r="J307" t="n">
        <v>0</v>
      </c>
      <c r="K307" t="n">
        <v>0</v>
      </c>
      <c r="L307" t="n">
        <v>0</v>
      </c>
      <c r="M307" t="n">
        <v>0</v>
      </c>
      <c r="N307" t="n">
        <v>0</v>
      </c>
      <c r="O307" t="n">
        <v>0</v>
      </c>
      <c r="P307" t="n">
        <v>0</v>
      </c>
      <c r="Q307" t="n">
        <v>0</v>
      </c>
      <c r="R307" s="2" t="inlineStr"/>
    </row>
    <row r="308" ht="15" customHeight="1">
      <c r="A308" t="inlineStr">
        <is>
          <t>A 9554-2025</t>
        </is>
      </c>
      <c r="B308" s="1" t="n">
        <v>45715.59936342593</v>
      </c>
      <c r="C308" s="1" t="n">
        <v>46076</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43474-2025</t>
        </is>
      </c>
      <c r="B309" s="1" t="n">
        <v>45911.48967592593</v>
      </c>
      <c r="C309" s="1" t="n">
        <v>46076</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571-2024</t>
        </is>
      </c>
      <c r="B310" s="1" t="n">
        <v>45299</v>
      </c>
      <c r="C310" s="1" t="n">
        <v>46076</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34182-2025</t>
        </is>
      </c>
      <c r="B311" s="1" t="n">
        <v>45845.60520833333</v>
      </c>
      <c r="C311" s="1" t="n">
        <v>46076</v>
      </c>
      <c r="D311" t="inlineStr">
        <is>
          <t>DALARNAS LÄN</t>
        </is>
      </c>
      <c r="E311" t="inlineStr">
        <is>
          <t>MORA</t>
        </is>
      </c>
      <c r="G311" t="n">
        <v>3.4</v>
      </c>
      <c r="H311" t="n">
        <v>0</v>
      </c>
      <c r="I311" t="n">
        <v>0</v>
      </c>
      <c r="J311" t="n">
        <v>0</v>
      </c>
      <c r="K311" t="n">
        <v>0</v>
      </c>
      <c r="L311" t="n">
        <v>0</v>
      </c>
      <c r="M311" t="n">
        <v>0</v>
      </c>
      <c r="N311" t="n">
        <v>0</v>
      </c>
      <c r="O311" t="n">
        <v>0</v>
      </c>
      <c r="P311" t="n">
        <v>0</v>
      </c>
      <c r="Q311" t="n">
        <v>0</v>
      </c>
      <c r="R311" s="2" t="inlineStr"/>
    </row>
    <row r="312" ht="15" customHeight="1">
      <c r="A312" t="inlineStr">
        <is>
          <t>A 20549-2025</t>
        </is>
      </c>
      <c r="B312" s="1" t="n">
        <v>45775.63459490741</v>
      </c>
      <c r="C312" s="1" t="n">
        <v>46076</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12478-2025</t>
        </is>
      </c>
      <c r="B313" s="1" t="n">
        <v>45730.57429398148</v>
      </c>
      <c r="C313" s="1" t="n">
        <v>46076</v>
      </c>
      <c r="D313" t="inlineStr">
        <is>
          <t>DALARNAS LÄN</t>
        </is>
      </c>
      <c r="E313" t="inlineStr">
        <is>
          <t>MORA</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34005-2025</t>
        </is>
      </c>
      <c r="B314" s="1" t="n">
        <v>45844.58890046296</v>
      </c>
      <c r="C314" s="1" t="n">
        <v>46076</v>
      </c>
      <c r="D314" t="inlineStr">
        <is>
          <t>DALARNAS LÄN</t>
        </is>
      </c>
      <c r="E314" t="inlineStr">
        <is>
          <t>MORA</t>
        </is>
      </c>
      <c r="G314" t="n">
        <v>7.2</v>
      </c>
      <c r="H314" t="n">
        <v>0</v>
      </c>
      <c r="I314" t="n">
        <v>0</v>
      </c>
      <c r="J314" t="n">
        <v>0</v>
      </c>
      <c r="K314" t="n">
        <v>0</v>
      </c>
      <c r="L314" t="n">
        <v>0</v>
      </c>
      <c r="M314" t="n">
        <v>0</v>
      </c>
      <c r="N314" t="n">
        <v>0</v>
      </c>
      <c r="O314" t="n">
        <v>0</v>
      </c>
      <c r="P314" t="n">
        <v>0</v>
      </c>
      <c r="Q314" t="n">
        <v>0</v>
      </c>
      <c r="R314" s="2" t="inlineStr"/>
    </row>
    <row r="315" ht="15" customHeight="1">
      <c r="A315" t="inlineStr">
        <is>
          <t>A 34482-2025</t>
        </is>
      </c>
      <c r="B315" s="1" t="n">
        <v>45847.38469907407</v>
      </c>
      <c r="C315" s="1" t="n">
        <v>46076</v>
      </c>
      <c r="D315" t="inlineStr">
        <is>
          <t>DALARNAS LÄN</t>
        </is>
      </c>
      <c r="E315" t="inlineStr">
        <is>
          <t>MORA</t>
        </is>
      </c>
      <c r="G315" t="n">
        <v>1.5</v>
      </c>
      <c r="H315" t="n">
        <v>0</v>
      </c>
      <c r="I315" t="n">
        <v>0</v>
      </c>
      <c r="J315" t="n">
        <v>0</v>
      </c>
      <c r="K315" t="n">
        <v>0</v>
      </c>
      <c r="L315" t="n">
        <v>0</v>
      </c>
      <c r="M315" t="n">
        <v>0</v>
      </c>
      <c r="N315" t="n">
        <v>0</v>
      </c>
      <c r="O315" t="n">
        <v>0</v>
      </c>
      <c r="P315" t="n">
        <v>0</v>
      </c>
      <c r="Q315" t="n">
        <v>0</v>
      </c>
      <c r="R315" s="2" t="inlineStr"/>
    </row>
    <row r="316" ht="15" customHeight="1">
      <c r="A316" t="inlineStr">
        <is>
          <t>A 43811-2025</t>
        </is>
      </c>
      <c r="B316" s="1" t="n">
        <v>45912.58710648148</v>
      </c>
      <c r="C316" s="1" t="n">
        <v>46076</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53743-2024</t>
        </is>
      </c>
      <c r="B317" s="1" t="n">
        <v>45615.47137731482</v>
      </c>
      <c r="C317" s="1" t="n">
        <v>46076</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34382-2025</t>
        </is>
      </c>
      <c r="B318" s="1" t="n">
        <v>45846</v>
      </c>
      <c r="C318" s="1" t="n">
        <v>46076</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44384-2025</t>
        </is>
      </c>
      <c r="B319" s="1" t="n">
        <v>45916.48513888889</v>
      </c>
      <c r="C319" s="1" t="n">
        <v>46076</v>
      </c>
      <c r="D319" t="inlineStr">
        <is>
          <t>DALARNAS LÄN</t>
        </is>
      </c>
      <c r="E319" t="inlineStr">
        <is>
          <t>MORA</t>
        </is>
      </c>
      <c r="F319" t="inlineStr">
        <is>
          <t>Kyrkan</t>
        </is>
      </c>
      <c r="G319" t="n">
        <v>5.1</v>
      </c>
      <c r="H319" t="n">
        <v>0</v>
      </c>
      <c r="I319" t="n">
        <v>0</v>
      </c>
      <c r="J319" t="n">
        <v>0</v>
      </c>
      <c r="K319" t="n">
        <v>0</v>
      </c>
      <c r="L319" t="n">
        <v>0</v>
      </c>
      <c r="M319" t="n">
        <v>0</v>
      </c>
      <c r="N319" t="n">
        <v>0</v>
      </c>
      <c r="O319" t="n">
        <v>0</v>
      </c>
      <c r="P319" t="n">
        <v>0</v>
      </c>
      <c r="Q319" t="n">
        <v>0</v>
      </c>
      <c r="R319" s="2" t="inlineStr"/>
    </row>
    <row r="320" ht="15" customHeight="1">
      <c r="A320" t="inlineStr">
        <is>
          <t>A 34933-2025</t>
        </is>
      </c>
      <c r="B320" s="1" t="n">
        <v>45849.57297453703</v>
      </c>
      <c r="C320" s="1" t="n">
        <v>46076</v>
      </c>
      <c r="D320" t="inlineStr">
        <is>
          <t>DALARNAS LÄN</t>
        </is>
      </c>
      <c r="E320" t="inlineStr">
        <is>
          <t>MORA</t>
        </is>
      </c>
      <c r="F320" t="inlineStr">
        <is>
          <t>Bergvik skog väst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18806-2025</t>
        </is>
      </c>
      <c r="B321" s="1" t="n">
        <v>45764.35269675926</v>
      </c>
      <c r="C321" s="1" t="n">
        <v>46076</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44621-2025</t>
        </is>
      </c>
      <c r="B322" s="1" t="n">
        <v>45917.466875</v>
      </c>
      <c r="C322" s="1" t="n">
        <v>46076</v>
      </c>
      <c r="D322" t="inlineStr">
        <is>
          <t>DALARNAS LÄN</t>
        </is>
      </c>
      <c r="E322" t="inlineStr">
        <is>
          <t>MORA</t>
        </is>
      </c>
      <c r="G322" t="n">
        <v>0.8</v>
      </c>
      <c r="H322" t="n">
        <v>0</v>
      </c>
      <c r="I322" t="n">
        <v>0</v>
      </c>
      <c r="J322" t="n">
        <v>0</v>
      </c>
      <c r="K322" t="n">
        <v>0</v>
      </c>
      <c r="L322" t="n">
        <v>0</v>
      </c>
      <c r="M322" t="n">
        <v>0</v>
      </c>
      <c r="N322" t="n">
        <v>0</v>
      </c>
      <c r="O322" t="n">
        <v>0</v>
      </c>
      <c r="P322" t="n">
        <v>0</v>
      </c>
      <c r="Q322" t="n">
        <v>0</v>
      </c>
      <c r="R322" s="2" t="inlineStr"/>
    </row>
    <row r="323" ht="15" customHeight="1">
      <c r="A323" t="inlineStr">
        <is>
          <t>A 54628-2024</t>
        </is>
      </c>
      <c r="B323" s="1" t="n">
        <v>45617.83969907407</v>
      </c>
      <c r="C323" s="1" t="n">
        <v>46076</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45181-2025</t>
        </is>
      </c>
      <c r="B324" s="1" t="n">
        <v>45919.53329861111</v>
      </c>
      <c r="C324" s="1" t="n">
        <v>46076</v>
      </c>
      <c r="D324" t="inlineStr">
        <is>
          <t>DALARNAS LÄN</t>
        </is>
      </c>
      <c r="E324" t="inlineStr">
        <is>
          <t>MORA</t>
        </is>
      </c>
      <c r="G324" t="n">
        <v>4.5</v>
      </c>
      <c r="H324" t="n">
        <v>0</v>
      </c>
      <c r="I324" t="n">
        <v>0</v>
      </c>
      <c r="J324" t="n">
        <v>0</v>
      </c>
      <c r="K324" t="n">
        <v>0</v>
      </c>
      <c r="L324" t="n">
        <v>0</v>
      </c>
      <c r="M324" t="n">
        <v>0</v>
      </c>
      <c r="N324" t="n">
        <v>0</v>
      </c>
      <c r="O324" t="n">
        <v>0</v>
      </c>
      <c r="P324" t="n">
        <v>0</v>
      </c>
      <c r="Q324" t="n">
        <v>0</v>
      </c>
      <c r="R324" s="2" t="inlineStr"/>
    </row>
    <row r="325" ht="15" customHeight="1">
      <c r="A325" t="inlineStr">
        <is>
          <t>A 35121-2025</t>
        </is>
      </c>
      <c r="B325" s="1" t="n">
        <v>45852.60936342592</v>
      </c>
      <c r="C325" s="1" t="n">
        <v>46076</v>
      </c>
      <c r="D325" t="inlineStr">
        <is>
          <t>DALARNAS LÄN</t>
        </is>
      </c>
      <c r="E325" t="inlineStr">
        <is>
          <t>MORA</t>
        </is>
      </c>
      <c r="F325" t="inlineStr">
        <is>
          <t>Bergvik skog öst AB</t>
        </is>
      </c>
      <c r="G325" t="n">
        <v>15.9</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46076</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35407-2025</t>
        </is>
      </c>
      <c r="B327" s="1" t="n">
        <v>45855.35989583333</v>
      </c>
      <c r="C327" s="1" t="n">
        <v>46076</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9277-2024</t>
        </is>
      </c>
      <c r="B328" s="1" t="n">
        <v>45358.63265046296</v>
      </c>
      <c r="C328" s="1" t="n">
        <v>46076</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59448-2022</t>
        </is>
      </c>
      <c r="B329" s="1" t="n">
        <v>44907</v>
      </c>
      <c r="C329" s="1" t="n">
        <v>46076</v>
      </c>
      <c r="D329" t="inlineStr">
        <is>
          <t>DALARNAS LÄN</t>
        </is>
      </c>
      <c r="E329" t="inlineStr">
        <is>
          <t>MORA</t>
        </is>
      </c>
      <c r="G329" t="n">
        <v>35.7</v>
      </c>
      <c r="H329" t="n">
        <v>0</v>
      </c>
      <c r="I329" t="n">
        <v>0</v>
      </c>
      <c r="J329" t="n">
        <v>0</v>
      </c>
      <c r="K329" t="n">
        <v>0</v>
      </c>
      <c r="L329" t="n">
        <v>0</v>
      </c>
      <c r="M329" t="n">
        <v>0</v>
      </c>
      <c r="N329" t="n">
        <v>0</v>
      </c>
      <c r="O329" t="n">
        <v>0</v>
      </c>
      <c r="P329" t="n">
        <v>0</v>
      </c>
      <c r="Q329" t="n">
        <v>0</v>
      </c>
      <c r="R329" s="2" t="inlineStr"/>
    </row>
    <row r="330" ht="15" customHeight="1">
      <c r="A330" t="inlineStr">
        <is>
          <t>A 35611-2025</t>
        </is>
      </c>
      <c r="B330" s="1" t="n">
        <v>45859.35384259259</v>
      </c>
      <c r="C330" s="1" t="n">
        <v>46076</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57319-2023</t>
        </is>
      </c>
      <c r="B331" s="1" t="n">
        <v>45245.64877314815</v>
      </c>
      <c r="C331" s="1" t="n">
        <v>46076</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35734-2025</t>
        </is>
      </c>
      <c r="B332" s="1" t="n">
        <v>45860.471875</v>
      </c>
      <c r="C332" s="1" t="n">
        <v>46076</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35623-2025</t>
        </is>
      </c>
      <c r="B333" s="1" t="n">
        <v>45859</v>
      </c>
      <c r="C333" s="1" t="n">
        <v>46076</v>
      </c>
      <c r="D333" t="inlineStr">
        <is>
          <t>DALARNAS LÄN</t>
        </is>
      </c>
      <c r="E333" t="inlineStr">
        <is>
          <t>MORA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43498-2023</t>
        </is>
      </c>
      <c r="B334" s="1" t="n">
        <v>45184</v>
      </c>
      <c r="C334" s="1" t="n">
        <v>46076</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32261-2022</t>
        </is>
      </c>
      <c r="B335" s="1" t="n">
        <v>44781.5350925926</v>
      </c>
      <c r="C335" s="1" t="n">
        <v>46076</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35622-2025</t>
        </is>
      </c>
      <c r="B336" s="1" t="n">
        <v>45859</v>
      </c>
      <c r="C336" s="1" t="n">
        <v>46076</v>
      </c>
      <c r="D336" t="inlineStr">
        <is>
          <t>DALARNAS LÄN</t>
        </is>
      </c>
      <c r="E336" t="inlineStr">
        <is>
          <t>MORA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35381-2024</t>
        </is>
      </c>
      <c r="B337" s="1" t="n">
        <v>45531.38372685185</v>
      </c>
      <c r="C337" s="1" t="n">
        <v>46076</v>
      </c>
      <c r="D337" t="inlineStr">
        <is>
          <t>DALARNAS LÄN</t>
        </is>
      </c>
      <c r="E337" t="inlineStr">
        <is>
          <t>MORA</t>
        </is>
      </c>
      <c r="G337" t="n">
        <v>3.7</v>
      </c>
      <c r="H337" t="n">
        <v>0</v>
      </c>
      <c r="I337" t="n">
        <v>0</v>
      </c>
      <c r="J337" t="n">
        <v>0</v>
      </c>
      <c r="K337" t="n">
        <v>0</v>
      </c>
      <c r="L337" t="n">
        <v>0</v>
      </c>
      <c r="M337" t="n">
        <v>0</v>
      </c>
      <c r="N337" t="n">
        <v>0</v>
      </c>
      <c r="O337" t="n">
        <v>0</v>
      </c>
      <c r="P337" t="n">
        <v>0</v>
      </c>
      <c r="Q337" t="n">
        <v>0</v>
      </c>
      <c r="R337" s="2" t="inlineStr"/>
    </row>
    <row r="338" ht="15" customHeight="1">
      <c r="A338" t="inlineStr">
        <is>
          <t>A 13479-2024</t>
        </is>
      </c>
      <c r="B338" s="1" t="n">
        <v>45387.5900925926</v>
      </c>
      <c r="C338" s="1" t="n">
        <v>46076</v>
      </c>
      <c r="D338" t="inlineStr">
        <is>
          <t>DALARNAS LÄN</t>
        </is>
      </c>
      <c r="E338" t="inlineStr">
        <is>
          <t>MORA</t>
        </is>
      </c>
      <c r="G338" t="n">
        <v>1.4</v>
      </c>
      <c r="H338" t="n">
        <v>0</v>
      </c>
      <c r="I338" t="n">
        <v>0</v>
      </c>
      <c r="J338" t="n">
        <v>0</v>
      </c>
      <c r="K338" t="n">
        <v>0</v>
      </c>
      <c r="L338" t="n">
        <v>0</v>
      </c>
      <c r="M338" t="n">
        <v>0</v>
      </c>
      <c r="N338" t="n">
        <v>0</v>
      </c>
      <c r="O338" t="n">
        <v>0</v>
      </c>
      <c r="P338" t="n">
        <v>0</v>
      </c>
      <c r="Q338" t="n">
        <v>0</v>
      </c>
      <c r="R338" s="2" t="inlineStr"/>
    </row>
    <row r="339" ht="15" customHeight="1">
      <c r="A339" t="inlineStr">
        <is>
          <t>A 35624-2025</t>
        </is>
      </c>
      <c r="B339" s="1" t="n">
        <v>45859</v>
      </c>
      <c r="C339" s="1" t="n">
        <v>46076</v>
      </c>
      <c r="D339" t="inlineStr">
        <is>
          <t>DALARNAS LÄN</t>
        </is>
      </c>
      <c r="E339" t="inlineStr">
        <is>
          <t>MORA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36041-2025</t>
        </is>
      </c>
      <c r="B340" s="1" t="n">
        <v>45866.34385416667</v>
      </c>
      <c r="C340" s="1" t="n">
        <v>46076</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46090-2025</t>
        </is>
      </c>
      <c r="B341" s="1" t="n">
        <v>45924.5253125</v>
      </c>
      <c r="C341" s="1" t="n">
        <v>46076</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46091-2025</t>
        </is>
      </c>
      <c r="B342" s="1" t="n">
        <v>45924.52871527777</v>
      </c>
      <c r="C342" s="1" t="n">
        <v>46076</v>
      </c>
      <c r="D342" t="inlineStr">
        <is>
          <t>DALARNAS LÄN</t>
        </is>
      </c>
      <c r="E342" t="inlineStr">
        <is>
          <t>MORA</t>
        </is>
      </c>
      <c r="G342" t="n">
        <v>1.2</v>
      </c>
      <c r="H342" t="n">
        <v>0</v>
      </c>
      <c r="I342" t="n">
        <v>0</v>
      </c>
      <c r="J342" t="n">
        <v>0</v>
      </c>
      <c r="K342" t="n">
        <v>0</v>
      </c>
      <c r="L342" t="n">
        <v>0</v>
      </c>
      <c r="M342" t="n">
        <v>0</v>
      </c>
      <c r="N342" t="n">
        <v>0</v>
      </c>
      <c r="O342" t="n">
        <v>0</v>
      </c>
      <c r="P342" t="n">
        <v>0</v>
      </c>
      <c r="Q342" t="n">
        <v>0</v>
      </c>
      <c r="R342" s="2" t="inlineStr"/>
    </row>
    <row r="343" ht="15" customHeight="1">
      <c r="A343" t="inlineStr">
        <is>
          <t>A 16174-2025</t>
        </is>
      </c>
      <c r="B343" s="1" t="n">
        <v>45750</v>
      </c>
      <c r="C343" s="1" t="n">
        <v>46076</v>
      </c>
      <c r="D343" t="inlineStr">
        <is>
          <t>DALARNAS LÄN</t>
        </is>
      </c>
      <c r="E343" t="inlineStr">
        <is>
          <t>MORA</t>
        </is>
      </c>
      <c r="G343" t="n">
        <v>0.9</v>
      </c>
      <c r="H343" t="n">
        <v>0</v>
      </c>
      <c r="I343" t="n">
        <v>0</v>
      </c>
      <c r="J343" t="n">
        <v>0</v>
      </c>
      <c r="K343" t="n">
        <v>0</v>
      </c>
      <c r="L343" t="n">
        <v>0</v>
      </c>
      <c r="M343" t="n">
        <v>0</v>
      </c>
      <c r="N343" t="n">
        <v>0</v>
      </c>
      <c r="O343" t="n">
        <v>0</v>
      </c>
      <c r="P343" t="n">
        <v>0</v>
      </c>
      <c r="Q343" t="n">
        <v>0</v>
      </c>
      <c r="R343" s="2" t="inlineStr"/>
    </row>
    <row r="344" ht="15" customHeight="1">
      <c r="A344" t="inlineStr">
        <is>
          <t>A 46283-2025</t>
        </is>
      </c>
      <c r="B344" s="1" t="n">
        <v>45925</v>
      </c>
      <c r="C344" s="1" t="n">
        <v>46076</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36586-2025</t>
        </is>
      </c>
      <c r="B345" s="1" t="n">
        <v>45869</v>
      </c>
      <c r="C345" s="1" t="n">
        <v>46076</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20299-2023</t>
        </is>
      </c>
      <c r="B346" s="1" t="n">
        <v>45056</v>
      </c>
      <c r="C346" s="1" t="n">
        <v>46076</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36760-2025</t>
        </is>
      </c>
      <c r="B347" s="1" t="n">
        <v>45873.57319444444</v>
      </c>
      <c r="C347" s="1" t="n">
        <v>46076</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46076</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28487-2024</t>
        </is>
      </c>
      <c r="B349" s="1" t="n">
        <v>45477.75744212963</v>
      </c>
      <c r="C349" s="1" t="n">
        <v>46076</v>
      </c>
      <c r="D349" t="inlineStr">
        <is>
          <t>DALARNAS LÄN</t>
        </is>
      </c>
      <c r="E349" t="inlineStr">
        <is>
          <t>MORA</t>
        </is>
      </c>
      <c r="G349" t="n">
        <v>3.1</v>
      </c>
      <c r="H349" t="n">
        <v>0</v>
      </c>
      <c r="I349" t="n">
        <v>0</v>
      </c>
      <c r="J349" t="n">
        <v>0</v>
      </c>
      <c r="K349" t="n">
        <v>0</v>
      </c>
      <c r="L349" t="n">
        <v>0</v>
      </c>
      <c r="M349" t="n">
        <v>0</v>
      </c>
      <c r="N349" t="n">
        <v>0</v>
      </c>
      <c r="O349" t="n">
        <v>0</v>
      </c>
      <c r="P349" t="n">
        <v>0</v>
      </c>
      <c r="Q349" t="n">
        <v>0</v>
      </c>
      <c r="R349" s="2" t="inlineStr"/>
    </row>
    <row r="350" ht="15" customHeight="1">
      <c r="A350" t="inlineStr">
        <is>
          <t>A 23586-2023</t>
        </is>
      </c>
      <c r="B350" s="1" t="n">
        <v>45077</v>
      </c>
      <c r="C350" s="1" t="n">
        <v>46076</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46537-2025</t>
        </is>
      </c>
      <c r="B351" s="1" t="n">
        <v>45926.34195601852</v>
      </c>
      <c r="C351" s="1" t="n">
        <v>46076</v>
      </c>
      <c r="D351" t="inlineStr">
        <is>
          <t>DALARNAS LÄN</t>
        </is>
      </c>
      <c r="E351" t="inlineStr">
        <is>
          <t>MORA</t>
        </is>
      </c>
      <c r="G351" t="n">
        <v>10.6</v>
      </c>
      <c r="H351" t="n">
        <v>0</v>
      </c>
      <c r="I351" t="n">
        <v>0</v>
      </c>
      <c r="J351" t="n">
        <v>0</v>
      </c>
      <c r="K351" t="n">
        <v>0</v>
      </c>
      <c r="L351" t="n">
        <v>0</v>
      </c>
      <c r="M351" t="n">
        <v>0</v>
      </c>
      <c r="N351" t="n">
        <v>0</v>
      </c>
      <c r="O351" t="n">
        <v>0</v>
      </c>
      <c r="P351" t="n">
        <v>0</v>
      </c>
      <c r="Q351" t="n">
        <v>0</v>
      </c>
      <c r="R351" s="2" t="inlineStr"/>
    </row>
    <row r="352" ht="15" customHeight="1">
      <c r="A352" t="inlineStr">
        <is>
          <t>A 47140-2025</t>
        </is>
      </c>
      <c r="B352" s="1" t="n">
        <v>45929</v>
      </c>
      <c r="C352" s="1" t="n">
        <v>46076</v>
      </c>
      <c r="D352" t="inlineStr">
        <is>
          <t>DALARNAS LÄN</t>
        </is>
      </c>
      <c r="E352" t="inlineStr">
        <is>
          <t>MORA</t>
        </is>
      </c>
      <c r="G352" t="n">
        <v>6.7</v>
      </c>
      <c r="H352" t="n">
        <v>0</v>
      </c>
      <c r="I352" t="n">
        <v>0</v>
      </c>
      <c r="J352" t="n">
        <v>0</v>
      </c>
      <c r="K352" t="n">
        <v>0</v>
      </c>
      <c r="L352" t="n">
        <v>0</v>
      </c>
      <c r="M352" t="n">
        <v>0</v>
      </c>
      <c r="N352" t="n">
        <v>0</v>
      </c>
      <c r="O352" t="n">
        <v>0</v>
      </c>
      <c r="P352" t="n">
        <v>0</v>
      </c>
      <c r="Q352" t="n">
        <v>0</v>
      </c>
      <c r="R352" s="2" t="inlineStr"/>
    </row>
    <row r="353" ht="15" customHeight="1">
      <c r="A353" t="inlineStr">
        <is>
          <t>A 47055-2025</t>
        </is>
      </c>
      <c r="B353" s="1" t="n">
        <v>45929.61931712963</v>
      </c>
      <c r="C353" s="1" t="n">
        <v>46076</v>
      </c>
      <c r="D353" t="inlineStr">
        <is>
          <t>DALARNAS LÄN</t>
        </is>
      </c>
      <c r="E353" t="inlineStr">
        <is>
          <t>MORA</t>
        </is>
      </c>
      <c r="G353" t="n">
        <v>28.1</v>
      </c>
      <c r="H353" t="n">
        <v>0</v>
      </c>
      <c r="I353" t="n">
        <v>0</v>
      </c>
      <c r="J353" t="n">
        <v>0</v>
      </c>
      <c r="K353" t="n">
        <v>0</v>
      </c>
      <c r="L353" t="n">
        <v>0</v>
      </c>
      <c r="M353" t="n">
        <v>0</v>
      </c>
      <c r="N353" t="n">
        <v>0</v>
      </c>
      <c r="O353" t="n">
        <v>0</v>
      </c>
      <c r="P353" t="n">
        <v>0</v>
      </c>
      <c r="Q353" t="n">
        <v>0</v>
      </c>
      <c r="R353" s="2" t="inlineStr"/>
    </row>
    <row r="354" ht="15" customHeight="1">
      <c r="A354" t="inlineStr">
        <is>
          <t>A 47072-2025</t>
        </is>
      </c>
      <c r="B354" s="1" t="n">
        <v>45929.6365162037</v>
      </c>
      <c r="C354" s="1" t="n">
        <v>46076</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58972-2023</t>
        </is>
      </c>
      <c r="B355" s="1" t="n">
        <v>45252</v>
      </c>
      <c r="C355" s="1" t="n">
        <v>46076</v>
      </c>
      <c r="D355" t="inlineStr">
        <is>
          <t>DALARNAS LÄN</t>
        </is>
      </c>
      <c r="E355" t="inlineStr">
        <is>
          <t>MORA</t>
        </is>
      </c>
      <c r="G355" t="n">
        <v>0.5</v>
      </c>
      <c r="H355" t="n">
        <v>0</v>
      </c>
      <c r="I355" t="n">
        <v>0</v>
      </c>
      <c r="J355" t="n">
        <v>0</v>
      </c>
      <c r="K355" t="n">
        <v>0</v>
      </c>
      <c r="L355" t="n">
        <v>0</v>
      </c>
      <c r="M355" t="n">
        <v>0</v>
      </c>
      <c r="N355" t="n">
        <v>0</v>
      </c>
      <c r="O355" t="n">
        <v>0</v>
      </c>
      <c r="P355" t="n">
        <v>0</v>
      </c>
      <c r="Q355" t="n">
        <v>0</v>
      </c>
      <c r="R355" s="2" t="inlineStr"/>
    </row>
    <row r="356" ht="15" customHeight="1">
      <c r="A356" t="inlineStr">
        <is>
          <t>A 36846-2025</t>
        </is>
      </c>
      <c r="B356" s="1" t="n">
        <v>45874.38655092593</v>
      </c>
      <c r="C356" s="1" t="n">
        <v>46076</v>
      </c>
      <c r="D356" t="inlineStr">
        <is>
          <t>DALARNAS LÄN</t>
        </is>
      </c>
      <c r="E356" t="inlineStr">
        <is>
          <t>MORA</t>
        </is>
      </c>
      <c r="G356" t="n">
        <v>10.7</v>
      </c>
      <c r="H356" t="n">
        <v>0</v>
      </c>
      <c r="I356" t="n">
        <v>0</v>
      </c>
      <c r="J356" t="n">
        <v>0</v>
      </c>
      <c r="K356" t="n">
        <v>0</v>
      </c>
      <c r="L356" t="n">
        <v>0</v>
      </c>
      <c r="M356" t="n">
        <v>0</v>
      </c>
      <c r="N356" t="n">
        <v>0</v>
      </c>
      <c r="O356" t="n">
        <v>0</v>
      </c>
      <c r="P356" t="n">
        <v>0</v>
      </c>
      <c r="Q356" t="n">
        <v>0</v>
      </c>
      <c r="R356" s="2" t="inlineStr"/>
    </row>
    <row r="357" ht="15" customHeight="1">
      <c r="A357" t="inlineStr">
        <is>
          <t>A 22854-2023</t>
        </is>
      </c>
      <c r="B357" s="1" t="n">
        <v>45072</v>
      </c>
      <c r="C357" s="1" t="n">
        <v>46076</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47414-2025</t>
        </is>
      </c>
      <c r="B358" s="1" t="n">
        <v>45930.61896990741</v>
      </c>
      <c r="C358" s="1" t="n">
        <v>46076</v>
      </c>
      <c r="D358" t="inlineStr">
        <is>
          <t>DALARNAS LÄN</t>
        </is>
      </c>
      <c r="E358" t="inlineStr">
        <is>
          <t>MORA</t>
        </is>
      </c>
      <c r="G358" t="n">
        <v>6.1</v>
      </c>
      <c r="H358" t="n">
        <v>0</v>
      </c>
      <c r="I358" t="n">
        <v>0</v>
      </c>
      <c r="J358" t="n">
        <v>0</v>
      </c>
      <c r="K358" t="n">
        <v>0</v>
      </c>
      <c r="L358" t="n">
        <v>0</v>
      </c>
      <c r="M358" t="n">
        <v>0</v>
      </c>
      <c r="N358" t="n">
        <v>0</v>
      </c>
      <c r="O358" t="n">
        <v>0</v>
      </c>
      <c r="P358" t="n">
        <v>0</v>
      </c>
      <c r="Q358" t="n">
        <v>0</v>
      </c>
      <c r="R358" s="2" t="inlineStr"/>
    </row>
    <row r="359" ht="15" customHeight="1">
      <c r="A359" t="inlineStr">
        <is>
          <t>A 47765-2025</t>
        </is>
      </c>
      <c r="B359" s="1" t="n">
        <v>45931.69100694444</v>
      </c>
      <c r="C359" s="1" t="n">
        <v>46076</v>
      </c>
      <c r="D359" t="inlineStr">
        <is>
          <t>DALARNAS LÄN</t>
        </is>
      </c>
      <c r="E359" t="inlineStr">
        <is>
          <t>MORA</t>
        </is>
      </c>
      <c r="G359" t="n">
        <v>1.7</v>
      </c>
      <c r="H359" t="n">
        <v>0</v>
      </c>
      <c r="I359" t="n">
        <v>0</v>
      </c>
      <c r="J359" t="n">
        <v>0</v>
      </c>
      <c r="K359" t="n">
        <v>0</v>
      </c>
      <c r="L359" t="n">
        <v>0</v>
      </c>
      <c r="M359" t="n">
        <v>0</v>
      </c>
      <c r="N359" t="n">
        <v>0</v>
      </c>
      <c r="O359" t="n">
        <v>0</v>
      </c>
      <c r="P359" t="n">
        <v>0</v>
      </c>
      <c r="Q359" t="n">
        <v>0</v>
      </c>
      <c r="R359" s="2" t="inlineStr"/>
    </row>
    <row r="360" ht="15" customHeight="1">
      <c r="A360" t="inlineStr">
        <is>
          <t>A 47769-2025</t>
        </is>
      </c>
      <c r="B360" s="1" t="n">
        <v>45931.70715277778</v>
      </c>
      <c r="C360" s="1" t="n">
        <v>46076</v>
      </c>
      <c r="D360" t="inlineStr">
        <is>
          <t>DALARNAS LÄN</t>
        </is>
      </c>
      <c r="E360" t="inlineStr">
        <is>
          <t>MORA</t>
        </is>
      </c>
      <c r="G360" t="n">
        <v>6.7</v>
      </c>
      <c r="H360" t="n">
        <v>0</v>
      </c>
      <c r="I360" t="n">
        <v>0</v>
      </c>
      <c r="J360" t="n">
        <v>0</v>
      </c>
      <c r="K360" t="n">
        <v>0</v>
      </c>
      <c r="L360" t="n">
        <v>0</v>
      </c>
      <c r="M360" t="n">
        <v>0</v>
      </c>
      <c r="N360" t="n">
        <v>0</v>
      </c>
      <c r="O360" t="n">
        <v>0</v>
      </c>
      <c r="P360" t="n">
        <v>0</v>
      </c>
      <c r="Q360" t="n">
        <v>0</v>
      </c>
      <c r="R360" s="2" t="inlineStr"/>
    </row>
    <row r="361" ht="15" customHeight="1">
      <c r="A361" t="inlineStr">
        <is>
          <t>A 37070-2025</t>
        </is>
      </c>
      <c r="B361" s="1" t="n">
        <v>45875.39822916667</v>
      </c>
      <c r="C361" s="1" t="n">
        <v>46076</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48376-2025</t>
        </is>
      </c>
      <c r="B362" s="1" t="n">
        <v>45933.71648148148</v>
      </c>
      <c r="C362" s="1" t="n">
        <v>46076</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47860-2025</t>
        </is>
      </c>
      <c r="B363" s="1" t="n">
        <v>45932.42298611111</v>
      </c>
      <c r="C363" s="1" t="n">
        <v>46076</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37268-2025</t>
        </is>
      </c>
      <c r="B364" s="1" t="n">
        <v>45876.46681712963</v>
      </c>
      <c r="C364" s="1" t="n">
        <v>46076</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46188-2022</t>
        </is>
      </c>
      <c r="B365" s="1" t="n">
        <v>44847.518125</v>
      </c>
      <c r="C365" s="1" t="n">
        <v>46076</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42035-2022</t>
        </is>
      </c>
      <c r="B366" s="1" t="n">
        <v>44830</v>
      </c>
      <c r="C366" s="1" t="n">
        <v>46076</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48377-2025</t>
        </is>
      </c>
      <c r="B367" s="1" t="n">
        <v>45933.71896990741</v>
      </c>
      <c r="C367" s="1" t="n">
        <v>46076</v>
      </c>
      <c r="D367" t="inlineStr">
        <is>
          <t>DALARNAS LÄN</t>
        </is>
      </c>
      <c r="E367" t="inlineStr">
        <is>
          <t>MORA</t>
        </is>
      </c>
      <c r="G367" t="n">
        <v>2</v>
      </c>
      <c r="H367" t="n">
        <v>0</v>
      </c>
      <c r="I367" t="n">
        <v>0</v>
      </c>
      <c r="J367" t="n">
        <v>0</v>
      </c>
      <c r="K367" t="n">
        <v>0</v>
      </c>
      <c r="L367" t="n">
        <v>0</v>
      </c>
      <c r="M367" t="n">
        <v>0</v>
      </c>
      <c r="N367" t="n">
        <v>0</v>
      </c>
      <c r="O367" t="n">
        <v>0</v>
      </c>
      <c r="P367" t="n">
        <v>0</v>
      </c>
      <c r="Q367" t="n">
        <v>0</v>
      </c>
      <c r="R367" s="2" t="inlineStr"/>
    </row>
    <row r="368" ht="15" customHeight="1">
      <c r="A368" t="inlineStr">
        <is>
          <t>A 47716-2025</t>
        </is>
      </c>
      <c r="B368" s="1" t="n">
        <v>45931</v>
      </c>
      <c r="C368" s="1" t="n">
        <v>46076</v>
      </c>
      <c r="D368" t="inlineStr">
        <is>
          <t>DALARNAS LÄN</t>
        </is>
      </c>
      <c r="E368" t="inlineStr">
        <is>
          <t>MORA</t>
        </is>
      </c>
      <c r="G368" t="n">
        <v>8.9</v>
      </c>
      <c r="H368" t="n">
        <v>0</v>
      </c>
      <c r="I368" t="n">
        <v>0</v>
      </c>
      <c r="J368" t="n">
        <v>0</v>
      </c>
      <c r="K368" t="n">
        <v>0</v>
      </c>
      <c r="L368" t="n">
        <v>0</v>
      </c>
      <c r="M368" t="n">
        <v>0</v>
      </c>
      <c r="N368" t="n">
        <v>0</v>
      </c>
      <c r="O368" t="n">
        <v>0</v>
      </c>
      <c r="P368" t="n">
        <v>0</v>
      </c>
      <c r="Q368" t="n">
        <v>0</v>
      </c>
      <c r="R368" s="2" t="inlineStr"/>
    </row>
    <row r="369" ht="15" customHeight="1">
      <c r="A369" t="inlineStr">
        <is>
          <t>A 37879-2025</t>
        </is>
      </c>
      <c r="B369" s="1" t="n">
        <v>45881.48791666667</v>
      </c>
      <c r="C369" s="1" t="n">
        <v>46076</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38086-2025</t>
        </is>
      </c>
      <c r="B370" s="1" t="n">
        <v>45882.47625</v>
      </c>
      <c r="C370" s="1" t="n">
        <v>46076</v>
      </c>
      <c r="D370" t="inlineStr">
        <is>
          <t>DALARNAS LÄN</t>
        </is>
      </c>
      <c r="E370" t="inlineStr">
        <is>
          <t>MORA</t>
        </is>
      </c>
      <c r="G370" t="n">
        <v>2.4</v>
      </c>
      <c r="H370" t="n">
        <v>0</v>
      </c>
      <c r="I370" t="n">
        <v>0</v>
      </c>
      <c r="J370" t="n">
        <v>0</v>
      </c>
      <c r="K370" t="n">
        <v>0</v>
      </c>
      <c r="L370" t="n">
        <v>0</v>
      </c>
      <c r="M370" t="n">
        <v>0</v>
      </c>
      <c r="N370" t="n">
        <v>0</v>
      </c>
      <c r="O370" t="n">
        <v>0</v>
      </c>
      <c r="P370" t="n">
        <v>0</v>
      </c>
      <c r="Q370" t="n">
        <v>0</v>
      </c>
      <c r="R370" s="2" t="inlineStr"/>
    </row>
    <row r="371" ht="15" customHeight="1">
      <c r="A371" t="inlineStr">
        <is>
          <t>A 48927-2025</t>
        </is>
      </c>
      <c r="B371" s="1" t="n">
        <v>45931</v>
      </c>
      <c r="C371" s="1" t="n">
        <v>46076</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53527-2024</t>
        </is>
      </c>
      <c r="B372" s="1" t="n">
        <v>45614.61569444444</v>
      </c>
      <c r="C372" s="1" t="n">
        <v>46076</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15817-2024</t>
        </is>
      </c>
      <c r="B373" s="1" t="n">
        <v>45404.67387731482</v>
      </c>
      <c r="C373" s="1" t="n">
        <v>46076</v>
      </c>
      <c r="D373" t="inlineStr">
        <is>
          <t>DALARNAS LÄN</t>
        </is>
      </c>
      <c r="E373" t="inlineStr">
        <is>
          <t>MORA</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48926-2025</t>
        </is>
      </c>
      <c r="B374" s="1" t="n">
        <v>45937.50666666667</v>
      </c>
      <c r="C374" s="1" t="n">
        <v>46076</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48929-2025</t>
        </is>
      </c>
      <c r="B375" s="1" t="n">
        <v>45937.51315972222</v>
      </c>
      <c r="C375" s="1" t="n">
        <v>46076</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38073-2025</t>
        </is>
      </c>
      <c r="B376" s="1" t="n">
        <v>45882</v>
      </c>
      <c r="C376" s="1" t="n">
        <v>46076</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58116-2022</t>
        </is>
      </c>
      <c r="B377" s="1" t="n">
        <v>44900.65716435185</v>
      </c>
      <c r="C377" s="1" t="n">
        <v>46076</v>
      </c>
      <c r="D377" t="inlineStr">
        <is>
          <t>DALARNAS LÄN</t>
        </is>
      </c>
      <c r="E377" t="inlineStr">
        <is>
          <t>MORA</t>
        </is>
      </c>
      <c r="G377" t="n">
        <v>2.9</v>
      </c>
      <c r="H377" t="n">
        <v>0</v>
      </c>
      <c r="I377" t="n">
        <v>0</v>
      </c>
      <c r="J377" t="n">
        <v>0</v>
      </c>
      <c r="K377" t="n">
        <v>0</v>
      </c>
      <c r="L377" t="n">
        <v>0</v>
      </c>
      <c r="M377" t="n">
        <v>0</v>
      </c>
      <c r="N377" t="n">
        <v>0</v>
      </c>
      <c r="O377" t="n">
        <v>0</v>
      </c>
      <c r="P377" t="n">
        <v>0</v>
      </c>
      <c r="Q377" t="n">
        <v>0</v>
      </c>
      <c r="R377" s="2" t="inlineStr"/>
    </row>
    <row r="378" ht="15" customHeight="1">
      <c r="A378" t="inlineStr">
        <is>
          <t>A 49404-2025</t>
        </is>
      </c>
      <c r="B378" s="1" t="n">
        <v>45938.67662037037</v>
      </c>
      <c r="C378" s="1" t="n">
        <v>46076</v>
      </c>
      <c r="D378" t="inlineStr">
        <is>
          <t>DALARNAS LÄN</t>
        </is>
      </c>
      <c r="E378" t="inlineStr">
        <is>
          <t>MORA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16967-2025</t>
        </is>
      </c>
      <c r="B379" s="1" t="n">
        <v>45755.46106481482</v>
      </c>
      <c r="C379" s="1" t="n">
        <v>46076</v>
      </c>
      <c r="D379" t="inlineStr">
        <is>
          <t>DALARNAS LÄN</t>
        </is>
      </c>
      <c r="E379" t="inlineStr">
        <is>
          <t>MORA</t>
        </is>
      </c>
      <c r="F379" t="inlineStr">
        <is>
          <t>Bergvik skog öst AB</t>
        </is>
      </c>
      <c r="G379" t="n">
        <v>2.9</v>
      </c>
      <c r="H379" t="n">
        <v>0</v>
      </c>
      <c r="I379" t="n">
        <v>0</v>
      </c>
      <c r="J379" t="n">
        <v>0</v>
      </c>
      <c r="K379" t="n">
        <v>0</v>
      </c>
      <c r="L379" t="n">
        <v>0</v>
      </c>
      <c r="M379" t="n">
        <v>0</v>
      </c>
      <c r="N379" t="n">
        <v>0</v>
      </c>
      <c r="O379" t="n">
        <v>0</v>
      </c>
      <c r="P379" t="n">
        <v>0</v>
      </c>
      <c r="Q379" t="n">
        <v>0</v>
      </c>
      <c r="R379" s="2" t="inlineStr"/>
    </row>
    <row r="380" ht="15" customHeight="1">
      <c r="A380" t="inlineStr">
        <is>
          <t>A 18992-2024</t>
        </is>
      </c>
      <c r="B380" s="1" t="n">
        <v>45427.61516203704</v>
      </c>
      <c r="C380" s="1" t="n">
        <v>46076</v>
      </c>
      <c r="D380" t="inlineStr">
        <is>
          <t>DALARNAS LÄN</t>
        </is>
      </c>
      <c r="E380" t="inlineStr">
        <is>
          <t>MORA</t>
        </is>
      </c>
      <c r="G380" t="n">
        <v>9.9</v>
      </c>
      <c r="H380" t="n">
        <v>0</v>
      </c>
      <c r="I380" t="n">
        <v>0</v>
      </c>
      <c r="J380" t="n">
        <v>0</v>
      </c>
      <c r="K380" t="n">
        <v>0</v>
      </c>
      <c r="L380" t="n">
        <v>0</v>
      </c>
      <c r="M380" t="n">
        <v>0</v>
      </c>
      <c r="N380" t="n">
        <v>0</v>
      </c>
      <c r="O380" t="n">
        <v>0</v>
      </c>
      <c r="P380" t="n">
        <v>0</v>
      </c>
      <c r="Q380" t="n">
        <v>0</v>
      </c>
      <c r="R380" s="2" t="inlineStr"/>
    </row>
    <row r="381" ht="15" customHeight="1">
      <c r="A381" t="inlineStr">
        <is>
          <t>A 61278-2024</t>
        </is>
      </c>
      <c r="B381" s="1" t="n">
        <v>45645.76561342592</v>
      </c>
      <c r="C381" s="1" t="n">
        <v>46076</v>
      </c>
      <c r="D381" t="inlineStr">
        <is>
          <t>DALARNAS LÄN</t>
        </is>
      </c>
      <c r="E381" t="inlineStr">
        <is>
          <t>MORA</t>
        </is>
      </c>
      <c r="G381" t="n">
        <v>1.1</v>
      </c>
      <c r="H381" t="n">
        <v>0</v>
      </c>
      <c r="I381" t="n">
        <v>0</v>
      </c>
      <c r="J381" t="n">
        <v>0</v>
      </c>
      <c r="K381" t="n">
        <v>0</v>
      </c>
      <c r="L381" t="n">
        <v>0</v>
      </c>
      <c r="M381" t="n">
        <v>0</v>
      </c>
      <c r="N381" t="n">
        <v>0</v>
      </c>
      <c r="O381" t="n">
        <v>0</v>
      </c>
      <c r="P381" t="n">
        <v>0</v>
      </c>
      <c r="Q381" t="n">
        <v>0</v>
      </c>
      <c r="R381" s="2" t="inlineStr"/>
    </row>
    <row r="382" ht="15" customHeight="1">
      <c r="A382" t="inlineStr">
        <is>
          <t>A 60647-2022</t>
        </is>
      </c>
      <c r="B382" s="1" t="n">
        <v>44911</v>
      </c>
      <c r="C382" s="1" t="n">
        <v>46076</v>
      </c>
      <c r="D382" t="inlineStr">
        <is>
          <t>DALARNAS LÄN</t>
        </is>
      </c>
      <c r="E382" t="inlineStr">
        <is>
          <t>MORA</t>
        </is>
      </c>
      <c r="G382" t="n">
        <v>4.8</v>
      </c>
      <c r="H382" t="n">
        <v>0</v>
      </c>
      <c r="I382" t="n">
        <v>0</v>
      </c>
      <c r="J382" t="n">
        <v>0</v>
      </c>
      <c r="K382" t="n">
        <v>0</v>
      </c>
      <c r="L382" t="n">
        <v>0</v>
      </c>
      <c r="M382" t="n">
        <v>0</v>
      </c>
      <c r="N382" t="n">
        <v>0</v>
      </c>
      <c r="O382" t="n">
        <v>0</v>
      </c>
      <c r="P382" t="n">
        <v>0</v>
      </c>
      <c r="Q382" t="n">
        <v>0</v>
      </c>
      <c r="R382" s="2" t="inlineStr"/>
    </row>
    <row r="383" ht="15" customHeight="1">
      <c r="A383" t="inlineStr">
        <is>
          <t>A 49401-2025</t>
        </is>
      </c>
      <c r="B383" s="1" t="n">
        <v>45938.66932870371</v>
      </c>
      <c r="C383" s="1" t="n">
        <v>46076</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49574-2025</t>
        </is>
      </c>
      <c r="B384" s="1" t="n">
        <v>45939.49045138889</v>
      </c>
      <c r="C384" s="1" t="n">
        <v>46076</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49828-2025</t>
        </is>
      </c>
      <c r="B385" s="1" t="n">
        <v>45940.44993055556</v>
      </c>
      <c r="C385" s="1" t="n">
        <v>46076</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56460-2022</t>
        </is>
      </c>
      <c r="B386" s="1" t="n">
        <v>44893</v>
      </c>
      <c r="C386" s="1" t="n">
        <v>46076</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437-2024</t>
        </is>
      </c>
      <c r="B387" s="1" t="n">
        <v>45296</v>
      </c>
      <c r="C387" s="1" t="n">
        <v>46076</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47686-2025</t>
        </is>
      </c>
      <c r="B388" s="1" t="n">
        <v>45931</v>
      </c>
      <c r="C388" s="1" t="n">
        <v>46076</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31395-2024</t>
        </is>
      </c>
      <c r="B389" s="1" t="n">
        <v>45505.47716435185</v>
      </c>
      <c r="C389" s="1" t="n">
        <v>46076</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60847-2021</t>
        </is>
      </c>
      <c r="B390" s="1" t="n">
        <v>44497</v>
      </c>
      <c r="C390" s="1" t="n">
        <v>46076</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15435-2024</t>
        </is>
      </c>
      <c r="B391" s="1" t="n">
        <v>45401.40806712963</v>
      </c>
      <c r="C391" s="1" t="n">
        <v>46076</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31085-2024</t>
        </is>
      </c>
      <c r="B392" s="1" t="n">
        <v>45502.48047453703</v>
      </c>
      <c r="C392" s="1" t="n">
        <v>46076</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43863-2023</t>
        </is>
      </c>
      <c r="B393" s="1" t="n">
        <v>45187.62532407408</v>
      </c>
      <c r="C393" s="1" t="n">
        <v>46076</v>
      </c>
      <c r="D393" t="inlineStr">
        <is>
          <t>DALARNAS LÄN</t>
        </is>
      </c>
      <c r="E393" t="inlineStr">
        <is>
          <t>MORA</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60051-2022</t>
        </is>
      </c>
      <c r="B394" s="1" t="n">
        <v>44909.52385416667</v>
      </c>
      <c r="C394" s="1" t="n">
        <v>46076</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13262-2022</t>
        </is>
      </c>
      <c r="B395" s="1" t="n">
        <v>44644.70184027778</v>
      </c>
      <c r="C395" s="1" t="n">
        <v>46076</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56767-2023</t>
        </is>
      </c>
      <c r="B396" s="1" t="n">
        <v>45244</v>
      </c>
      <c r="C396" s="1" t="n">
        <v>46076</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50056-2022</t>
        </is>
      </c>
      <c r="B397" s="1" t="n">
        <v>44865</v>
      </c>
      <c r="C397" s="1" t="n">
        <v>46076</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15499-2024</t>
        </is>
      </c>
      <c r="B398" s="1" t="n">
        <v>45401.53798611111</v>
      </c>
      <c r="C398" s="1" t="n">
        <v>46076</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15643-2025</t>
        </is>
      </c>
      <c r="B399" s="1" t="n">
        <v>45748.39222222222</v>
      </c>
      <c r="C399" s="1" t="n">
        <v>46076</v>
      </c>
      <c r="D399" t="inlineStr">
        <is>
          <t>DALARNAS LÄN</t>
        </is>
      </c>
      <c r="E399" t="inlineStr">
        <is>
          <t>MORA</t>
        </is>
      </c>
      <c r="G399" t="n">
        <v>7.6</v>
      </c>
      <c r="H399" t="n">
        <v>0</v>
      </c>
      <c r="I399" t="n">
        <v>0</v>
      </c>
      <c r="J399" t="n">
        <v>0</v>
      </c>
      <c r="K399" t="n">
        <v>0</v>
      </c>
      <c r="L399" t="n">
        <v>0</v>
      </c>
      <c r="M399" t="n">
        <v>0</v>
      </c>
      <c r="N399" t="n">
        <v>0</v>
      </c>
      <c r="O399" t="n">
        <v>0</v>
      </c>
      <c r="P399" t="n">
        <v>0</v>
      </c>
      <c r="Q399" t="n">
        <v>0</v>
      </c>
      <c r="R399" s="2" t="inlineStr"/>
    </row>
    <row r="400" ht="15" customHeight="1">
      <c r="A400" t="inlineStr">
        <is>
          <t>A 51771-2025</t>
        </is>
      </c>
      <c r="B400" s="1" t="n">
        <v>45951.64653935185</v>
      </c>
      <c r="C400" s="1" t="n">
        <v>46076</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46755-2023</t>
        </is>
      </c>
      <c r="B401" s="1" t="n">
        <v>45198.61314814815</v>
      </c>
      <c r="C401" s="1" t="n">
        <v>46076</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18122-2025</t>
        </is>
      </c>
      <c r="B402" s="1" t="n">
        <v>45761.59221064814</v>
      </c>
      <c r="C402" s="1" t="n">
        <v>46076</v>
      </c>
      <c r="D402" t="inlineStr">
        <is>
          <t>DALARNAS LÄN</t>
        </is>
      </c>
      <c r="E402" t="inlineStr">
        <is>
          <t>MORA</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52110-2025</t>
        </is>
      </c>
      <c r="B403" s="1" t="n">
        <v>45952.69306712963</v>
      </c>
      <c r="C403" s="1" t="n">
        <v>46076</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44817-2023</t>
        </is>
      </c>
      <c r="B404" s="1" t="n">
        <v>45190.51887731482</v>
      </c>
      <c r="C404" s="1" t="n">
        <v>46076</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52804-2025</t>
        </is>
      </c>
      <c r="B405" s="1" t="n">
        <v>45957.44552083333</v>
      </c>
      <c r="C405" s="1" t="n">
        <v>46076</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39511-2024</t>
        </is>
      </c>
      <c r="B406" s="1" t="n">
        <v>45551.68347222222</v>
      </c>
      <c r="C406" s="1" t="n">
        <v>46076</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57797-2022</t>
        </is>
      </c>
      <c r="B407" s="1" t="n">
        <v>44897</v>
      </c>
      <c r="C407" s="1" t="n">
        <v>46076</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27125-2024</t>
        </is>
      </c>
      <c r="B408" s="1" t="n">
        <v>45471</v>
      </c>
      <c r="C408" s="1" t="n">
        <v>46076</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30822-2024</t>
        </is>
      </c>
      <c r="B409" s="1" t="n">
        <v>45497</v>
      </c>
      <c r="C409" s="1" t="n">
        <v>46076</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6371-2022</t>
        </is>
      </c>
      <c r="B410" s="1" t="n">
        <v>44600</v>
      </c>
      <c r="C410" s="1" t="n">
        <v>46076</v>
      </c>
      <c r="D410" t="inlineStr">
        <is>
          <t>DALARNAS LÄN</t>
        </is>
      </c>
      <c r="E410" t="inlineStr">
        <is>
          <t>MORA</t>
        </is>
      </c>
      <c r="G410" t="n">
        <v>4.6</v>
      </c>
      <c r="H410" t="n">
        <v>0</v>
      </c>
      <c r="I410" t="n">
        <v>0</v>
      </c>
      <c r="J410" t="n">
        <v>0</v>
      </c>
      <c r="K410" t="n">
        <v>0</v>
      </c>
      <c r="L410" t="n">
        <v>0</v>
      </c>
      <c r="M410" t="n">
        <v>0</v>
      </c>
      <c r="N410" t="n">
        <v>0</v>
      </c>
      <c r="O410" t="n">
        <v>0</v>
      </c>
      <c r="P410" t="n">
        <v>0</v>
      </c>
      <c r="Q410" t="n">
        <v>0</v>
      </c>
      <c r="R410" s="2" t="inlineStr"/>
    </row>
    <row r="411" ht="15" customHeight="1">
      <c r="A411" t="inlineStr">
        <is>
          <t>A 61350-2024</t>
        </is>
      </c>
      <c r="B411" s="1" t="n">
        <v>45646.37872685185</v>
      </c>
      <c r="C411" s="1" t="n">
        <v>46076</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53151-2025</t>
        </is>
      </c>
      <c r="B412" s="1" t="n">
        <v>45958.48611111111</v>
      </c>
      <c r="C412" s="1" t="n">
        <v>46076</v>
      </c>
      <c r="D412" t="inlineStr">
        <is>
          <t>DALARNAS LÄN</t>
        </is>
      </c>
      <c r="E412" t="inlineStr">
        <is>
          <t>MORA</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53150-2025</t>
        </is>
      </c>
      <c r="B413" s="1" t="n">
        <v>45958.48280092593</v>
      </c>
      <c r="C413" s="1" t="n">
        <v>46076</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20126-2025</t>
        </is>
      </c>
      <c r="B414" s="1" t="n">
        <v>45772.49640046297</v>
      </c>
      <c r="C414" s="1" t="n">
        <v>46076</v>
      </c>
      <c r="D414" t="inlineStr">
        <is>
          <t>DALARNAS LÄN</t>
        </is>
      </c>
      <c r="E414" t="inlineStr">
        <is>
          <t>MORA</t>
        </is>
      </c>
      <c r="G414" t="n">
        <v>12.1</v>
      </c>
      <c r="H414" t="n">
        <v>0</v>
      </c>
      <c r="I414" t="n">
        <v>0</v>
      </c>
      <c r="J414" t="n">
        <v>0</v>
      </c>
      <c r="K414" t="n">
        <v>0</v>
      </c>
      <c r="L414" t="n">
        <v>0</v>
      </c>
      <c r="M414" t="n">
        <v>0</v>
      </c>
      <c r="N414" t="n">
        <v>0</v>
      </c>
      <c r="O414" t="n">
        <v>0</v>
      </c>
      <c r="P414" t="n">
        <v>0</v>
      </c>
      <c r="Q414" t="n">
        <v>0</v>
      </c>
      <c r="R414" s="2" t="inlineStr"/>
    </row>
    <row r="415" ht="15" customHeight="1">
      <c r="A415" t="inlineStr">
        <is>
          <t>A 27420-2024</t>
        </is>
      </c>
      <c r="B415" s="1" t="n">
        <v>45474.37850694444</v>
      </c>
      <c r="C415" s="1" t="n">
        <v>46076</v>
      </c>
      <c r="D415" t="inlineStr">
        <is>
          <t>DALARNAS LÄN</t>
        </is>
      </c>
      <c r="E415" t="inlineStr">
        <is>
          <t>MORA</t>
        </is>
      </c>
      <c r="G415" t="n">
        <v>7.3</v>
      </c>
      <c r="H415" t="n">
        <v>0</v>
      </c>
      <c r="I415" t="n">
        <v>0</v>
      </c>
      <c r="J415" t="n">
        <v>0</v>
      </c>
      <c r="K415" t="n">
        <v>0</v>
      </c>
      <c r="L415" t="n">
        <v>0</v>
      </c>
      <c r="M415" t="n">
        <v>0</v>
      </c>
      <c r="N415" t="n">
        <v>0</v>
      </c>
      <c r="O415" t="n">
        <v>0</v>
      </c>
      <c r="P415" t="n">
        <v>0</v>
      </c>
      <c r="Q415" t="n">
        <v>0</v>
      </c>
      <c r="R415" s="2" t="inlineStr"/>
    </row>
    <row r="416" ht="15" customHeight="1">
      <c r="A416" t="inlineStr">
        <is>
          <t>A 53982-2025</t>
        </is>
      </c>
      <c r="B416" s="1" t="n">
        <v>45961.57019675926</v>
      </c>
      <c r="C416" s="1" t="n">
        <v>46076</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53565-2025</t>
        </is>
      </c>
      <c r="B417" s="1" t="n">
        <v>45960.40711805555</v>
      </c>
      <c r="C417" s="1" t="n">
        <v>46076</v>
      </c>
      <c r="D417" t="inlineStr">
        <is>
          <t>DALARNAS LÄN</t>
        </is>
      </c>
      <c r="E417" t="inlineStr">
        <is>
          <t>MORA</t>
        </is>
      </c>
      <c r="G417" t="n">
        <v>5.1</v>
      </c>
      <c r="H417" t="n">
        <v>0</v>
      </c>
      <c r="I417" t="n">
        <v>0</v>
      </c>
      <c r="J417" t="n">
        <v>0</v>
      </c>
      <c r="K417" t="n">
        <v>0</v>
      </c>
      <c r="L417" t="n">
        <v>0</v>
      </c>
      <c r="M417" t="n">
        <v>0</v>
      </c>
      <c r="N417" t="n">
        <v>0</v>
      </c>
      <c r="O417" t="n">
        <v>0</v>
      </c>
      <c r="P417" t="n">
        <v>0</v>
      </c>
      <c r="Q417" t="n">
        <v>0</v>
      </c>
      <c r="R417" s="2" t="inlineStr"/>
    </row>
    <row r="418" ht="15" customHeight="1">
      <c r="A418" t="inlineStr">
        <is>
          <t>A 53632-2025</t>
        </is>
      </c>
      <c r="B418" s="1" t="n">
        <v>45960.49972222222</v>
      </c>
      <c r="C418" s="1" t="n">
        <v>46076</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39344-2024</t>
        </is>
      </c>
      <c r="B419" s="1" t="n">
        <v>45551.44503472222</v>
      </c>
      <c r="C419" s="1" t="n">
        <v>46076</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24590-2024</t>
        </is>
      </c>
      <c r="B420" s="1" t="n">
        <v>45460</v>
      </c>
      <c r="C420" s="1" t="n">
        <v>46076</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53560-2025</t>
        </is>
      </c>
      <c r="B421" s="1" t="n">
        <v>45960.39960648148</v>
      </c>
      <c r="C421" s="1" t="n">
        <v>46076</v>
      </c>
      <c r="D421" t="inlineStr">
        <is>
          <t>DALARNAS LÄN</t>
        </is>
      </c>
      <c r="E421" t="inlineStr">
        <is>
          <t>MORA</t>
        </is>
      </c>
      <c r="G421" t="n">
        <v>5.2</v>
      </c>
      <c r="H421" t="n">
        <v>0</v>
      </c>
      <c r="I421" t="n">
        <v>0</v>
      </c>
      <c r="J421" t="n">
        <v>0</v>
      </c>
      <c r="K421" t="n">
        <v>0</v>
      </c>
      <c r="L421" t="n">
        <v>0</v>
      </c>
      <c r="M421" t="n">
        <v>0</v>
      </c>
      <c r="N421" t="n">
        <v>0</v>
      </c>
      <c r="O421" t="n">
        <v>0</v>
      </c>
      <c r="P421" t="n">
        <v>0</v>
      </c>
      <c r="Q421" t="n">
        <v>0</v>
      </c>
      <c r="R421" s="2" t="inlineStr"/>
    </row>
    <row r="422" ht="15" customHeight="1">
      <c r="A422" t="inlineStr">
        <is>
          <t>A 53562-2025</t>
        </is>
      </c>
      <c r="B422" s="1" t="n">
        <v>45960.40662037037</v>
      </c>
      <c r="C422" s="1" t="n">
        <v>46076</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53591-2025</t>
        </is>
      </c>
      <c r="B423" s="1" t="n">
        <v>45960.43893518519</v>
      </c>
      <c r="C423" s="1" t="n">
        <v>46076</v>
      </c>
      <c r="D423" t="inlineStr">
        <is>
          <t>DALARNAS LÄN</t>
        </is>
      </c>
      <c r="E423" t="inlineStr">
        <is>
          <t>MORA</t>
        </is>
      </c>
      <c r="G423" t="n">
        <v>3.8</v>
      </c>
      <c r="H423" t="n">
        <v>0</v>
      </c>
      <c r="I423" t="n">
        <v>0</v>
      </c>
      <c r="J423" t="n">
        <v>0</v>
      </c>
      <c r="K423" t="n">
        <v>0</v>
      </c>
      <c r="L423" t="n">
        <v>0</v>
      </c>
      <c r="M423" t="n">
        <v>0</v>
      </c>
      <c r="N423" t="n">
        <v>0</v>
      </c>
      <c r="O423" t="n">
        <v>0</v>
      </c>
      <c r="P423" t="n">
        <v>0</v>
      </c>
      <c r="Q423" t="n">
        <v>0</v>
      </c>
      <c r="R423" s="2" t="inlineStr"/>
    </row>
    <row r="424" ht="15" customHeight="1">
      <c r="A424" t="inlineStr">
        <is>
          <t>A 53418-2025</t>
        </is>
      </c>
      <c r="B424" s="1" t="n">
        <v>45959</v>
      </c>
      <c r="C424" s="1" t="n">
        <v>46076</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53556-2025</t>
        </is>
      </c>
      <c r="B425" s="1" t="n">
        <v>45960.3921875</v>
      </c>
      <c r="C425" s="1" t="n">
        <v>46076</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24169-2022</t>
        </is>
      </c>
      <c r="B426" s="1" t="n">
        <v>44725.50280092593</v>
      </c>
      <c r="C426" s="1" t="n">
        <v>46076</v>
      </c>
      <c r="D426" t="inlineStr">
        <is>
          <t>DALARNAS LÄN</t>
        </is>
      </c>
      <c r="E426" t="inlineStr">
        <is>
          <t>MORA</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54508-2025</t>
        </is>
      </c>
      <c r="B427" s="1" t="n">
        <v>45965.61844907407</v>
      </c>
      <c r="C427" s="1" t="n">
        <v>46076</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46076</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53750-2024</t>
        </is>
      </c>
      <c r="B429" s="1" t="n">
        <v>45615.48465277778</v>
      </c>
      <c r="C429" s="1" t="n">
        <v>46076</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54518-2025</t>
        </is>
      </c>
      <c r="B430" s="1" t="n">
        <v>45965.62608796296</v>
      </c>
      <c r="C430" s="1" t="n">
        <v>46076</v>
      </c>
      <c r="D430" t="inlineStr">
        <is>
          <t>DALARNAS LÄN</t>
        </is>
      </c>
      <c r="E430" t="inlineStr">
        <is>
          <t>MORA</t>
        </is>
      </c>
      <c r="G430" t="n">
        <v>7.1</v>
      </c>
      <c r="H430" t="n">
        <v>0</v>
      </c>
      <c r="I430" t="n">
        <v>0</v>
      </c>
      <c r="J430" t="n">
        <v>0</v>
      </c>
      <c r="K430" t="n">
        <v>0</v>
      </c>
      <c r="L430" t="n">
        <v>0</v>
      </c>
      <c r="M430" t="n">
        <v>0</v>
      </c>
      <c r="N430" t="n">
        <v>0</v>
      </c>
      <c r="O430" t="n">
        <v>0</v>
      </c>
      <c r="P430" t="n">
        <v>0</v>
      </c>
      <c r="Q430" t="n">
        <v>0</v>
      </c>
      <c r="R430" s="2" t="inlineStr"/>
    </row>
    <row r="431" ht="15" customHeight="1">
      <c r="A431" t="inlineStr">
        <is>
          <t>A 54099-2025</t>
        </is>
      </c>
      <c r="B431" s="1" t="n">
        <v>45964.41665509259</v>
      </c>
      <c r="C431" s="1" t="n">
        <v>46076</v>
      </c>
      <c r="D431" t="inlineStr">
        <is>
          <t>DALARNAS LÄN</t>
        </is>
      </c>
      <c r="E431" t="inlineStr">
        <is>
          <t>MORA</t>
        </is>
      </c>
      <c r="G431" t="n">
        <v>5.3</v>
      </c>
      <c r="H431" t="n">
        <v>0</v>
      </c>
      <c r="I431" t="n">
        <v>0</v>
      </c>
      <c r="J431" t="n">
        <v>0</v>
      </c>
      <c r="K431" t="n">
        <v>0</v>
      </c>
      <c r="L431" t="n">
        <v>0</v>
      </c>
      <c r="M431" t="n">
        <v>0</v>
      </c>
      <c r="N431" t="n">
        <v>0</v>
      </c>
      <c r="O431" t="n">
        <v>0</v>
      </c>
      <c r="P431" t="n">
        <v>0</v>
      </c>
      <c r="Q431" t="n">
        <v>0</v>
      </c>
      <c r="R431" s="2" t="inlineStr"/>
    </row>
    <row r="432" ht="15" customHeight="1">
      <c r="A432" t="inlineStr">
        <is>
          <t>A 54367-2025</t>
        </is>
      </c>
      <c r="B432" s="1" t="n">
        <v>45965.4031712963</v>
      </c>
      <c r="C432" s="1" t="n">
        <v>46076</v>
      </c>
      <c r="D432" t="inlineStr">
        <is>
          <t>DALARNAS LÄN</t>
        </is>
      </c>
      <c r="E432" t="inlineStr">
        <is>
          <t>MORA</t>
        </is>
      </c>
      <c r="G432" t="n">
        <v>7</v>
      </c>
      <c r="H432" t="n">
        <v>0</v>
      </c>
      <c r="I432" t="n">
        <v>0</v>
      </c>
      <c r="J432" t="n">
        <v>0</v>
      </c>
      <c r="K432" t="n">
        <v>0</v>
      </c>
      <c r="L432" t="n">
        <v>0</v>
      </c>
      <c r="M432" t="n">
        <v>0</v>
      </c>
      <c r="N432" t="n">
        <v>0</v>
      </c>
      <c r="O432" t="n">
        <v>0</v>
      </c>
      <c r="P432" t="n">
        <v>0</v>
      </c>
      <c r="Q432" t="n">
        <v>0</v>
      </c>
      <c r="R432" s="2" t="inlineStr"/>
    </row>
    <row r="433" ht="15" customHeight="1">
      <c r="A433" t="inlineStr">
        <is>
          <t>A 54504-2025</t>
        </is>
      </c>
      <c r="B433" s="1" t="n">
        <v>45965.61686342592</v>
      </c>
      <c r="C433" s="1" t="n">
        <v>46076</v>
      </c>
      <c r="D433" t="inlineStr">
        <is>
          <t>DALARNAS LÄN</t>
        </is>
      </c>
      <c r="E433" t="inlineStr">
        <is>
          <t>MORA</t>
        </is>
      </c>
      <c r="G433" t="n">
        <v>0.9</v>
      </c>
      <c r="H433" t="n">
        <v>0</v>
      </c>
      <c r="I433" t="n">
        <v>0</v>
      </c>
      <c r="J433" t="n">
        <v>0</v>
      </c>
      <c r="K433" t="n">
        <v>0</v>
      </c>
      <c r="L433" t="n">
        <v>0</v>
      </c>
      <c r="M433" t="n">
        <v>0</v>
      </c>
      <c r="N433" t="n">
        <v>0</v>
      </c>
      <c r="O433" t="n">
        <v>0</v>
      </c>
      <c r="P433" t="n">
        <v>0</v>
      </c>
      <c r="Q433" t="n">
        <v>0</v>
      </c>
      <c r="R433" s="2" t="inlineStr"/>
    </row>
    <row r="434" ht="15" customHeight="1">
      <c r="A434" t="inlineStr">
        <is>
          <t>A 10777-2025</t>
        </is>
      </c>
      <c r="B434" s="1" t="n">
        <v>45722.47743055555</v>
      </c>
      <c r="C434" s="1" t="n">
        <v>46076</v>
      </c>
      <c r="D434" t="inlineStr">
        <is>
          <t>DALARNAS LÄN</t>
        </is>
      </c>
      <c r="E434" t="inlineStr">
        <is>
          <t>MORA</t>
        </is>
      </c>
      <c r="G434" t="n">
        <v>9.9</v>
      </c>
      <c r="H434" t="n">
        <v>0</v>
      </c>
      <c r="I434" t="n">
        <v>0</v>
      </c>
      <c r="J434" t="n">
        <v>0</v>
      </c>
      <c r="K434" t="n">
        <v>0</v>
      </c>
      <c r="L434" t="n">
        <v>0</v>
      </c>
      <c r="M434" t="n">
        <v>0</v>
      </c>
      <c r="N434" t="n">
        <v>0</v>
      </c>
      <c r="O434" t="n">
        <v>0</v>
      </c>
      <c r="P434" t="n">
        <v>0</v>
      </c>
      <c r="Q434" t="n">
        <v>0</v>
      </c>
      <c r="R434" s="2" t="inlineStr"/>
    </row>
    <row r="435" ht="15" customHeight="1">
      <c r="A435" t="inlineStr">
        <is>
          <t>A 54868-2025</t>
        </is>
      </c>
      <c r="B435" s="1" t="n">
        <v>45966.85649305556</v>
      </c>
      <c r="C435" s="1" t="n">
        <v>46076</v>
      </c>
      <c r="D435" t="inlineStr">
        <is>
          <t>DALARNAS LÄN</t>
        </is>
      </c>
      <c r="E435" t="inlineStr">
        <is>
          <t>MORA</t>
        </is>
      </c>
      <c r="F435" t="inlineStr">
        <is>
          <t>Bergvik skog väst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54862-2025</t>
        </is>
      </c>
      <c r="B436" s="1" t="n">
        <v>45966.76542824074</v>
      </c>
      <c r="C436" s="1" t="n">
        <v>46076</v>
      </c>
      <c r="D436" t="inlineStr">
        <is>
          <t>DALARNAS LÄN</t>
        </is>
      </c>
      <c r="E436" t="inlineStr">
        <is>
          <t>MORA</t>
        </is>
      </c>
      <c r="G436" t="n">
        <v>1.2</v>
      </c>
      <c r="H436" t="n">
        <v>0</v>
      </c>
      <c r="I436" t="n">
        <v>0</v>
      </c>
      <c r="J436" t="n">
        <v>0</v>
      </c>
      <c r="K436" t="n">
        <v>0</v>
      </c>
      <c r="L436" t="n">
        <v>0</v>
      </c>
      <c r="M436" t="n">
        <v>0</v>
      </c>
      <c r="N436" t="n">
        <v>0</v>
      </c>
      <c r="O436" t="n">
        <v>0</v>
      </c>
      <c r="P436" t="n">
        <v>0</v>
      </c>
      <c r="Q436" t="n">
        <v>0</v>
      </c>
      <c r="R436" s="2" t="inlineStr"/>
    </row>
    <row r="437" ht="15" customHeight="1">
      <c r="A437" t="inlineStr">
        <is>
          <t>A 19842-2025</t>
        </is>
      </c>
      <c r="B437" s="1" t="n">
        <v>45771.47938657407</v>
      </c>
      <c r="C437" s="1" t="n">
        <v>46076</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44177-2023</t>
        </is>
      </c>
      <c r="B438" s="1" t="n">
        <v>45188.51439814815</v>
      </c>
      <c r="C438" s="1" t="n">
        <v>46076</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54909-2025</t>
        </is>
      </c>
      <c r="B439" s="1" t="n">
        <v>45967.374375</v>
      </c>
      <c r="C439" s="1" t="n">
        <v>46076</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54919-2025</t>
        </is>
      </c>
      <c r="B440" s="1" t="n">
        <v>45967.38884259259</v>
      </c>
      <c r="C440" s="1" t="n">
        <v>46076</v>
      </c>
      <c r="D440" t="inlineStr">
        <is>
          <t>DALARNAS LÄN</t>
        </is>
      </c>
      <c r="E440" t="inlineStr">
        <is>
          <t>MORA</t>
        </is>
      </c>
      <c r="F440" t="inlineStr">
        <is>
          <t>Bergvik skog väst AB</t>
        </is>
      </c>
      <c r="G440" t="n">
        <v>5.6</v>
      </c>
      <c r="H440" t="n">
        <v>0</v>
      </c>
      <c r="I440" t="n">
        <v>0</v>
      </c>
      <c r="J440" t="n">
        <v>0</v>
      </c>
      <c r="K440" t="n">
        <v>0</v>
      </c>
      <c r="L440" t="n">
        <v>0</v>
      </c>
      <c r="M440" t="n">
        <v>0</v>
      </c>
      <c r="N440" t="n">
        <v>0</v>
      </c>
      <c r="O440" t="n">
        <v>0</v>
      </c>
      <c r="P440" t="n">
        <v>0</v>
      </c>
      <c r="Q440" t="n">
        <v>0</v>
      </c>
      <c r="R440" s="2" t="inlineStr"/>
    </row>
    <row r="441" ht="15" customHeight="1">
      <c r="A441" t="inlineStr">
        <is>
          <t>A 54905-2025</t>
        </is>
      </c>
      <c r="B441" s="1" t="n">
        <v>45967.3700462963</v>
      </c>
      <c r="C441" s="1" t="n">
        <v>46076</v>
      </c>
      <c r="D441" t="inlineStr">
        <is>
          <t>DALARNAS LÄN</t>
        </is>
      </c>
      <c r="E441" t="inlineStr">
        <is>
          <t>MORA</t>
        </is>
      </c>
      <c r="G441" t="n">
        <v>0.4</v>
      </c>
      <c r="H441" t="n">
        <v>0</v>
      </c>
      <c r="I441" t="n">
        <v>0</v>
      </c>
      <c r="J441" t="n">
        <v>0</v>
      </c>
      <c r="K441" t="n">
        <v>0</v>
      </c>
      <c r="L441" t="n">
        <v>0</v>
      </c>
      <c r="M441" t="n">
        <v>0</v>
      </c>
      <c r="N441" t="n">
        <v>0</v>
      </c>
      <c r="O441" t="n">
        <v>0</v>
      </c>
      <c r="P441" t="n">
        <v>0</v>
      </c>
      <c r="Q441" t="n">
        <v>0</v>
      </c>
      <c r="R441" s="2" t="inlineStr"/>
    </row>
    <row r="442" ht="15" customHeight="1">
      <c r="A442" t="inlineStr">
        <is>
          <t>A 54910-2025</t>
        </is>
      </c>
      <c r="B442" s="1" t="n">
        <v>45967.37679398148</v>
      </c>
      <c r="C442" s="1" t="n">
        <v>46076</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18134-2025</t>
        </is>
      </c>
      <c r="B443" s="1" t="n">
        <v>45761.60189814815</v>
      </c>
      <c r="C443" s="1" t="n">
        <v>46076</v>
      </c>
      <c r="D443" t="inlineStr">
        <is>
          <t>DALARNAS LÄN</t>
        </is>
      </c>
      <c r="E443" t="inlineStr">
        <is>
          <t>MORA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55123-2025</t>
        </is>
      </c>
      <c r="B444" s="1" t="n">
        <v>45968.40056712963</v>
      </c>
      <c r="C444" s="1" t="n">
        <v>46076</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55262-2025</t>
        </is>
      </c>
      <c r="B445" s="1" t="n">
        <v>45968.64847222222</v>
      </c>
      <c r="C445" s="1" t="n">
        <v>46076</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55284-2025</t>
        </is>
      </c>
      <c r="B446" s="1" t="n">
        <v>45968.8227662037</v>
      </c>
      <c r="C446" s="1" t="n">
        <v>46076</v>
      </c>
      <c r="D446" t="inlineStr">
        <is>
          <t>DALARNAS LÄN</t>
        </is>
      </c>
      <c r="E446" t="inlineStr">
        <is>
          <t>MORA</t>
        </is>
      </c>
      <c r="G446" t="n">
        <v>2</v>
      </c>
      <c r="H446" t="n">
        <v>0</v>
      </c>
      <c r="I446" t="n">
        <v>0</v>
      </c>
      <c r="J446" t="n">
        <v>0</v>
      </c>
      <c r="K446" t="n">
        <v>0</v>
      </c>
      <c r="L446" t="n">
        <v>0</v>
      </c>
      <c r="M446" t="n">
        <v>0</v>
      </c>
      <c r="N446" t="n">
        <v>0</v>
      </c>
      <c r="O446" t="n">
        <v>0</v>
      </c>
      <c r="P446" t="n">
        <v>0</v>
      </c>
      <c r="Q446" t="n">
        <v>0</v>
      </c>
      <c r="R446" s="2" t="inlineStr"/>
    </row>
    <row r="447" ht="15" customHeight="1">
      <c r="A447" t="inlineStr">
        <is>
          <t>A 55124-2025</t>
        </is>
      </c>
      <c r="B447" s="1" t="n">
        <v>45968.40621527778</v>
      </c>
      <c r="C447" s="1" t="n">
        <v>46076</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35327-2024</t>
        </is>
      </c>
      <c r="B448" s="1" t="n">
        <v>45530.71334490741</v>
      </c>
      <c r="C448" s="1" t="n">
        <v>46076</v>
      </c>
      <c r="D448" t="inlineStr">
        <is>
          <t>DALARNAS LÄN</t>
        </is>
      </c>
      <c r="E448" t="inlineStr">
        <is>
          <t>MORA</t>
        </is>
      </c>
      <c r="G448" t="n">
        <v>5</v>
      </c>
      <c r="H448" t="n">
        <v>0</v>
      </c>
      <c r="I448" t="n">
        <v>0</v>
      </c>
      <c r="J448" t="n">
        <v>0</v>
      </c>
      <c r="K448" t="n">
        <v>0</v>
      </c>
      <c r="L448" t="n">
        <v>0</v>
      </c>
      <c r="M448" t="n">
        <v>0</v>
      </c>
      <c r="N448" t="n">
        <v>0</v>
      </c>
      <c r="O448" t="n">
        <v>0</v>
      </c>
      <c r="P448" t="n">
        <v>0</v>
      </c>
      <c r="Q448" t="n">
        <v>0</v>
      </c>
      <c r="R448" s="2" t="inlineStr"/>
    </row>
    <row r="449" ht="15" customHeight="1">
      <c r="A449" t="inlineStr">
        <is>
          <t>A 31112-2024</t>
        </is>
      </c>
      <c r="B449" s="1" t="n">
        <v>45502.55185185185</v>
      </c>
      <c r="C449" s="1" t="n">
        <v>46076</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442-2024</t>
        </is>
      </c>
      <c r="B450" s="1" t="n">
        <v>45296.60353009259</v>
      </c>
      <c r="C450" s="1" t="n">
        <v>46076</v>
      </c>
      <c r="D450" t="inlineStr">
        <is>
          <t>DALARNAS LÄN</t>
        </is>
      </c>
      <c r="E450" t="inlineStr">
        <is>
          <t>MORA</t>
        </is>
      </c>
      <c r="G450" t="n">
        <v>0.5</v>
      </c>
      <c r="H450" t="n">
        <v>0</v>
      </c>
      <c r="I450" t="n">
        <v>0</v>
      </c>
      <c r="J450" t="n">
        <v>0</v>
      </c>
      <c r="K450" t="n">
        <v>0</v>
      </c>
      <c r="L450" t="n">
        <v>0</v>
      </c>
      <c r="M450" t="n">
        <v>0</v>
      </c>
      <c r="N450" t="n">
        <v>0</v>
      </c>
      <c r="O450" t="n">
        <v>0</v>
      </c>
      <c r="P450" t="n">
        <v>0</v>
      </c>
      <c r="Q450" t="n">
        <v>0</v>
      </c>
      <c r="R450" s="2" t="inlineStr"/>
    </row>
    <row r="451" ht="15" customHeight="1">
      <c r="A451" t="inlineStr">
        <is>
          <t>A 501-2024</t>
        </is>
      </c>
      <c r="B451" s="1" t="n">
        <v>45299</v>
      </c>
      <c r="C451" s="1" t="n">
        <v>46076</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48570-2022</t>
        </is>
      </c>
      <c r="B452" s="1" t="n">
        <v>44859</v>
      </c>
      <c r="C452" s="1" t="n">
        <v>46076</v>
      </c>
      <c r="D452" t="inlineStr">
        <is>
          <t>DALARNAS LÄN</t>
        </is>
      </c>
      <c r="E452" t="inlineStr">
        <is>
          <t>MORA</t>
        </is>
      </c>
      <c r="G452" t="n">
        <v>6.2</v>
      </c>
      <c r="H452" t="n">
        <v>0</v>
      </c>
      <c r="I452" t="n">
        <v>0</v>
      </c>
      <c r="J452" t="n">
        <v>0</v>
      </c>
      <c r="K452" t="n">
        <v>0</v>
      </c>
      <c r="L452" t="n">
        <v>0</v>
      </c>
      <c r="M452" t="n">
        <v>0</v>
      </c>
      <c r="N452" t="n">
        <v>0</v>
      </c>
      <c r="O452" t="n">
        <v>0</v>
      </c>
      <c r="P452" t="n">
        <v>0</v>
      </c>
      <c r="Q452" t="n">
        <v>0</v>
      </c>
      <c r="R452" s="2" t="inlineStr"/>
    </row>
    <row r="453" ht="15" customHeight="1">
      <c r="A453" t="inlineStr">
        <is>
          <t>A 19814-2025</t>
        </is>
      </c>
      <c r="B453" s="1" t="n">
        <v>45771.45686342593</v>
      </c>
      <c r="C453" s="1" t="n">
        <v>46076</v>
      </c>
      <c r="D453" t="inlineStr">
        <is>
          <t>DALARNAS LÄN</t>
        </is>
      </c>
      <c r="E453" t="inlineStr">
        <is>
          <t>MORA</t>
        </is>
      </c>
      <c r="G453" t="n">
        <v>2.1</v>
      </c>
      <c r="H453" t="n">
        <v>0</v>
      </c>
      <c r="I453" t="n">
        <v>0</v>
      </c>
      <c r="J453" t="n">
        <v>0</v>
      </c>
      <c r="K453" t="n">
        <v>0</v>
      </c>
      <c r="L453" t="n">
        <v>0</v>
      </c>
      <c r="M453" t="n">
        <v>0</v>
      </c>
      <c r="N453" t="n">
        <v>0</v>
      </c>
      <c r="O453" t="n">
        <v>0</v>
      </c>
      <c r="P453" t="n">
        <v>0</v>
      </c>
      <c r="Q453" t="n">
        <v>0</v>
      </c>
      <c r="R453" s="2" t="inlineStr"/>
    </row>
    <row r="454" ht="15" customHeight="1">
      <c r="A454" t="inlineStr">
        <is>
          <t>A 60526-2023</t>
        </is>
      </c>
      <c r="B454" s="1" t="n">
        <v>45259</v>
      </c>
      <c r="C454" s="1" t="n">
        <v>46076</v>
      </c>
      <c r="D454" t="inlineStr">
        <is>
          <t>DALARNAS LÄN</t>
        </is>
      </c>
      <c r="E454" t="inlineStr">
        <is>
          <t>MORA</t>
        </is>
      </c>
      <c r="G454" t="n">
        <v>6.7</v>
      </c>
      <c r="H454" t="n">
        <v>0</v>
      </c>
      <c r="I454" t="n">
        <v>0</v>
      </c>
      <c r="J454" t="n">
        <v>0</v>
      </c>
      <c r="K454" t="n">
        <v>0</v>
      </c>
      <c r="L454" t="n">
        <v>0</v>
      </c>
      <c r="M454" t="n">
        <v>0</v>
      </c>
      <c r="N454" t="n">
        <v>0</v>
      </c>
      <c r="O454" t="n">
        <v>0</v>
      </c>
      <c r="P454" t="n">
        <v>0</v>
      </c>
      <c r="Q454" t="n">
        <v>0</v>
      </c>
      <c r="R454" s="2" t="inlineStr"/>
    </row>
    <row r="455" ht="15" customHeight="1">
      <c r="A455" t="inlineStr">
        <is>
          <t>A 53341-2023</t>
        </is>
      </c>
      <c r="B455" s="1" t="n">
        <v>45229</v>
      </c>
      <c r="C455" s="1" t="n">
        <v>46076</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12828-2023</t>
        </is>
      </c>
      <c r="B456" s="1" t="n">
        <v>45001</v>
      </c>
      <c r="C456" s="1" t="n">
        <v>46076</v>
      </c>
      <c r="D456" t="inlineStr">
        <is>
          <t>DALARNAS LÄN</t>
        </is>
      </c>
      <c r="E456" t="inlineStr">
        <is>
          <t>MORA</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56702-2025</t>
        </is>
      </c>
      <c r="B457" s="1" t="n">
        <v>45977.45586805556</v>
      </c>
      <c r="C457" s="1" t="n">
        <v>46076</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57097-2025</t>
        </is>
      </c>
      <c r="B458" s="1" t="n">
        <v>45979.43388888889</v>
      </c>
      <c r="C458" s="1" t="n">
        <v>46076</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57101-2025</t>
        </is>
      </c>
      <c r="B459" s="1" t="n">
        <v>45979.44006944444</v>
      </c>
      <c r="C459" s="1" t="n">
        <v>46076</v>
      </c>
      <c r="D459" t="inlineStr">
        <is>
          <t>DALARNAS LÄN</t>
        </is>
      </c>
      <c r="E459" t="inlineStr">
        <is>
          <t>MORA</t>
        </is>
      </c>
      <c r="G459" t="n">
        <v>7.5</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46076</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57659-2025</t>
        </is>
      </c>
      <c r="B461" s="1" t="n">
        <v>45981.41228009259</v>
      </c>
      <c r="C461" s="1" t="n">
        <v>46076</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57647-2025</t>
        </is>
      </c>
      <c r="B462" s="1" t="n">
        <v>45981.37621527778</v>
      </c>
      <c r="C462" s="1" t="n">
        <v>46076</v>
      </c>
      <c r="D462" t="inlineStr">
        <is>
          <t>DALARNAS LÄN</t>
        </is>
      </c>
      <c r="E462" t="inlineStr">
        <is>
          <t>MORA</t>
        </is>
      </c>
      <c r="G462" t="n">
        <v>3.9</v>
      </c>
      <c r="H462" t="n">
        <v>0</v>
      </c>
      <c r="I462" t="n">
        <v>0</v>
      </c>
      <c r="J462" t="n">
        <v>0</v>
      </c>
      <c r="K462" t="n">
        <v>0</v>
      </c>
      <c r="L462" t="n">
        <v>0</v>
      </c>
      <c r="M462" t="n">
        <v>0</v>
      </c>
      <c r="N462" t="n">
        <v>0</v>
      </c>
      <c r="O462" t="n">
        <v>0</v>
      </c>
      <c r="P462" t="n">
        <v>0</v>
      </c>
      <c r="Q462" t="n">
        <v>0</v>
      </c>
      <c r="R462" s="2" t="inlineStr"/>
    </row>
    <row r="463" ht="15" customHeight="1">
      <c r="A463" t="inlineStr">
        <is>
          <t>A 57843-2025</t>
        </is>
      </c>
      <c r="B463" s="1" t="n">
        <v>45981.62792824074</v>
      </c>
      <c r="C463" s="1" t="n">
        <v>46076</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3531-2024</t>
        </is>
      </c>
      <c r="B464" s="1" t="n">
        <v>45320</v>
      </c>
      <c r="C464" s="1" t="n">
        <v>46076</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c r="U464">
        <f>HYPERLINK("https://klasma.github.io/Logging_2062/knärot/A 3531-2024 karta knärot.png", "A 3531-2024")</f>
        <v/>
      </c>
      <c r="V464">
        <f>HYPERLINK("https://klasma.github.io/Logging_2062/klagomål/A 3531-2024 FSC-klagomål.docx", "A 3531-2024")</f>
        <v/>
      </c>
      <c r="W464">
        <f>HYPERLINK("https://klasma.github.io/Logging_2062/klagomålsmail/A 3531-2024 FSC-klagomål mail.docx", "A 3531-2024")</f>
        <v/>
      </c>
      <c r="X464">
        <f>HYPERLINK("https://klasma.github.io/Logging_2062/tillsyn/A 3531-2024 tillsynsbegäran.docx", "A 3531-2024")</f>
        <v/>
      </c>
      <c r="Y464">
        <f>HYPERLINK("https://klasma.github.io/Logging_2062/tillsynsmail/A 3531-2024 tillsynsbegäran mail.docx", "A 3531-2024")</f>
        <v/>
      </c>
    </row>
    <row r="465" ht="15" customHeight="1">
      <c r="A465" t="inlineStr">
        <is>
          <t>A 45475-2023</t>
        </is>
      </c>
      <c r="B465" s="1" t="n">
        <v>45188</v>
      </c>
      <c r="C465" s="1" t="n">
        <v>46076</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44071-2024</t>
        </is>
      </c>
      <c r="B466" s="1" t="n">
        <v>45572.60915509259</v>
      </c>
      <c r="C466" s="1" t="n">
        <v>46076</v>
      </c>
      <c r="D466" t="inlineStr">
        <is>
          <t>DALARNAS LÄN</t>
        </is>
      </c>
      <c r="E466" t="inlineStr">
        <is>
          <t>MORA</t>
        </is>
      </c>
      <c r="G466" t="n">
        <v>4.5</v>
      </c>
      <c r="H466" t="n">
        <v>0</v>
      </c>
      <c r="I466" t="n">
        <v>0</v>
      </c>
      <c r="J466" t="n">
        <v>0</v>
      </c>
      <c r="K466" t="n">
        <v>0</v>
      </c>
      <c r="L466" t="n">
        <v>0</v>
      </c>
      <c r="M466" t="n">
        <v>0</v>
      </c>
      <c r="N466" t="n">
        <v>0</v>
      </c>
      <c r="O466" t="n">
        <v>0</v>
      </c>
      <c r="P466" t="n">
        <v>0</v>
      </c>
      <c r="Q466" t="n">
        <v>0</v>
      </c>
      <c r="R466" s="2" t="inlineStr"/>
    </row>
    <row r="467" ht="15" customHeight="1">
      <c r="A467" t="inlineStr">
        <is>
          <t>A 11463-2024</t>
        </is>
      </c>
      <c r="B467" s="1" t="n">
        <v>45372.58969907407</v>
      </c>
      <c r="C467" s="1" t="n">
        <v>46076</v>
      </c>
      <c r="D467" t="inlineStr">
        <is>
          <t>DALARNAS LÄN</t>
        </is>
      </c>
      <c r="E467" t="inlineStr">
        <is>
          <t>MORA</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57855-2025</t>
        </is>
      </c>
      <c r="B468" s="1" t="n">
        <v>45981.63909722222</v>
      </c>
      <c r="C468" s="1" t="n">
        <v>46076</v>
      </c>
      <c r="D468" t="inlineStr">
        <is>
          <t>DALARNAS LÄN</t>
        </is>
      </c>
      <c r="E468" t="inlineStr">
        <is>
          <t>MORA</t>
        </is>
      </c>
      <c r="G468" t="n">
        <v>9.9</v>
      </c>
      <c r="H468" t="n">
        <v>0</v>
      </c>
      <c r="I468" t="n">
        <v>0</v>
      </c>
      <c r="J468" t="n">
        <v>0</v>
      </c>
      <c r="K468" t="n">
        <v>0</v>
      </c>
      <c r="L468" t="n">
        <v>0</v>
      </c>
      <c r="M468" t="n">
        <v>0</v>
      </c>
      <c r="N468" t="n">
        <v>0</v>
      </c>
      <c r="O468" t="n">
        <v>0</v>
      </c>
      <c r="P468" t="n">
        <v>0</v>
      </c>
      <c r="Q468" t="n">
        <v>0</v>
      </c>
      <c r="R468" s="2" t="inlineStr"/>
    </row>
    <row r="469" ht="15" customHeight="1">
      <c r="A469" t="inlineStr">
        <is>
          <t>A 57453-2025</t>
        </is>
      </c>
      <c r="B469" s="1" t="n">
        <v>45980.5122337963</v>
      </c>
      <c r="C469" s="1" t="n">
        <v>46076</v>
      </c>
      <c r="D469" t="inlineStr">
        <is>
          <t>DALARNAS LÄN</t>
        </is>
      </c>
      <c r="E469" t="inlineStr">
        <is>
          <t>MORA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57903-2022</t>
        </is>
      </c>
      <c r="B470" s="1" t="n">
        <v>44900.3521412037</v>
      </c>
      <c r="C470" s="1" t="n">
        <v>46076</v>
      </c>
      <c r="D470" t="inlineStr">
        <is>
          <t>DALARNAS LÄN</t>
        </is>
      </c>
      <c r="E470" t="inlineStr">
        <is>
          <t>MORA</t>
        </is>
      </c>
      <c r="G470" t="n">
        <v>4.3</v>
      </c>
      <c r="H470" t="n">
        <v>0</v>
      </c>
      <c r="I470" t="n">
        <v>0</v>
      </c>
      <c r="J470" t="n">
        <v>0</v>
      </c>
      <c r="K470" t="n">
        <v>0</v>
      </c>
      <c r="L470" t="n">
        <v>0</v>
      </c>
      <c r="M470" t="n">
        <v>0</v>
      </c>
      <c r="N470" t="n">
        <v>0</v>
      </c>
      <c r="O470" t="n">
        <v>0</v>
      </c>
      <c r="P470" t="n">
        <v>0</v>
      </c>
      <c r="Q470" t="n">
        <v>0</v>
      </c>
      <c r="R470" s="2" t="inlineStr"/>
    </row>
    <row r="471" ht="15" customHeight="1">
      <c r="A471" t="inlineStr">
        <is>
          <t>A 46129-2024</t>
        </is>
      </c>
      <c r="B471" s="1" t="n">
        <v>45581.43337962963</v>
      </c>
      <c r="C471" s="1" t="n">
        <v>46076</v>
      </c>
      <c r="D471" t="inlineStr">
        <is>
          <t>DALARNAS LÄN</t>
        </is>
      </c>
      <c r="E471" t="inlineStr">
        <is>
          <t>MORA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58473-2025</t>
        </is>
      </c>
      <c r="B472" s="1" t="n">
        <v>45985.63859953704</v>
      </c>
      <c r="C472" s="1" t="n">
        <v>46076</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58001-2025</t>
        </is>
      </c>
      <c r="B473" s="1" t="n">
        <v>45982.43615740741</v>
      </c>
      <c r="C473" s="1" t="n">
        <v>46076</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57976-2025</t>
        </is>
      </c>
      <c r="B474" s="1" t="n">
        <v>45982.39435185185</v>
      </c>
      <c r="C474" s="1" t="n">
        <v>46076</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19193-2025</t>
        </is>
      </c>
      <c r="B475" s="1" t="n">
        <v>45769.42203703704</v>
      </c>
      <c r="C475" s="1" t="n">
        <v>46076</v>
      </c>
      <c r="D475" t="inlineStr">
        <is>
          <t>DALARNAS LÄN</t>
        </is>
      </c>
      <c r="E475" t="inlineStr">
        <is>
          <t>MORA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6183-2024</t>
        </is>
      </c>
      <c r="B476" s="1" t="n">
        <v>45337.54135416666</v>
      </c>
      <c r="C476" s="1" t="n">
        <v>46076</v>
      </c>
      <c r="D476" t="inlineStr">
        <is>
          <t>DALARNAS LÄN</t>
        </is>
      </c>
      <c r="E476" t="inlineStr">
        <is>
          <t>MORA</t>
        </is>
      </c>
      <c r="G476" t="n">
        <v>7.9</v>
      </c>
      <c r="H476" t="n">
        <v>0</v>
      </c>
      <c r="I476" t="n">
        <v>0</v>
      </c>
      <c r="J476" t="n">
        <v>0</v>
      </c>
      <c r="K476" t="n">
        <v>0</v>
      </c>
      <c r="L476" t="n">
        <v>0</v>
      </c>
      <c r="M476" t="n">
        <v>0</v>
      </c>
      <c r="N476" t="n">
        <v>0</v>
      </c>
      <c r="O476" t="n">
        <v>0</v>
      </c>
      <c r="P476" t="n">
        <v>0</v>
      </c>
      <c r="Q476" t="n">
        <v>0</v>
      </c>
      <c r="R476" s="2" t="inlineStr"/>
    </row>
    <row r="477" ht="15" customHeight="1">
      <c r="A477" t="inlineStr">
        <is>
          <t>A 54548-2025</t>
        </is>
      </c>
      <c r="B477" s="1" t="n">
        <v>45965.6534837963</v>
      </c>
      <c r="C477" s="1" t="n">
        <v>46076</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55135-2025</t>
        </is>
      </c>
      <c r="B478" s="1" t="n">
        <v>45968.42591435185</v>
      </c>
      <c r="C478" s="1" t="n">
        <v>46076</v>
      </c>
      <c r="D478" t="inlineStr">
        <is>
          <t>DALARNAS LÄN</t>
        </is>
      </c>
      <c r="E478" t="inlineStr">
        <is>
          <t>MORA</t>
        </is>
      </c>
      <c r="G478" t="n">
        <v>5.1</v>
      </c>
      <c r="H478" t="n">
        <v>0</v>
      </c>
      <c r="I478" t="n">
        <v>0</v>
      </c>
      <c r="J478" t="n">
        <v>0</v>
      </c>
      <c r="K478" t="n">
        <v>0</v>
      </c>
      <c r="L478" t="n">
        <v>0</v>
      </c>
      <c r="M478" t="n">
        <v>0</v>
      </c>
      <c r="N478" t="n">
        <v>0</v>
      </c>
      <c r="O478" t="n">
        <v>0</v>
      </c>
      <c r="P478" t="n">
        <v>0</v>
      </c>
      <c r="Q478" t="n">
        <v>0</v>
      </c>
      <c r="R478" s="2" t="inlineStr"/>
    </row>
    <row r="479" ht="15" customHeight="1">
      <c r="A479" t="inlineStr">
        <is>
          <t>A 46152-2023</t>
        </is>
      </c>
      <c r="B479" s="1" t="n">
        <v>45196.58278935185</v>
      </c>
      <c r="C479" s="1" t="n">
        <v>46076</v>
      </c>
      <c r="D479" t="inlineStr">
        <is>
          <t>DALARNAS LÄN</t>
        </is>
      </c>
      <c r="E479" t="inlineStr">
        <is>
          <t>MORA</t>
        </is>
      </c>
      <c r="G479" t="n">
        <v>2</v>
      </c>
      <c r="H479" t="n">
        <v>0</v>
      </c>
      <c r="I479" t="n">
        <v>0</v>
      </c>
      <c r="J479" t="n">
        <v>0</v>
      </c>
      <c r="K479" t="n">
        <v>0</v>
      </c>
      <c r="L479" t="n">
        <v>0</v>
      </c>
      <c r="M479" t="n">
        <v>0</v>
      </c>
      <c r="N479" t="n">
        <v>0</v>
      </c>
      <c r="O479" t="n">
        <v>0</v>
      </c>
      <c r="P479" t="n">
        <v>0</v>
      </c>
      <c r="Q479" t="n">
        <v>0</v>
      </c>
      <c r="R479" s="2" t="inlineStr"/>
    </row>
    <row r="480" ht="15" customHeight="1">
      <c r="A480" t="inlineStr">
        <is>
          <t>A 59094-2025</t>
        </is>
      </c>
      <c r="B480" s="1" t="n">
        <v>45988.45105324074</v>
      </c>
      <c r="C480" s="1" t="n">
        <v>46076</v>
      </c>
      <c r="D480" t="inlineStr">
        <is>
          <t>DALARNAS LÄN</t>
        </is>
      </c>
      <c r="E480" t="inlineStr">
        <is>
          <t>MORA</t>
        </is>
      </c>
      <c r="G480" t="n">
        <v>10</v>
      </c>
      <c r="H480" t="n">
        <v>0</v>
      </c>
      <c r="I480" t="n">
        <v>0</v>
      </c>
      <c r="J480" t="n">
        <v>0</v>
      </c>
      <c r="K480" t="n">
        <v>0</v>
      </c>
      <c r="L480" t="n">
        <v>0</v>
      </c>
      <c r="M480" t="n">
        <v>0</v>
      </c>
      <c r="N480" t="n">
        <v>0</v>
      </c>
      <c r="O480" t="n">
        <v>0</v>
      </c>
      <c r="P480" t="n">
        <v>0</v>
      </c>
      <c r="Q480" t="n">
        <v>0</v>
      </c>
      <c r="R480" s="2" t="inlineStr"/>
    </row>
    <row r="481" ht="15" customHeight="1">
      <c r="A481" t="inlineStr">
        <is>
          <t>A 28832-2023</t>
        </is>
      </c>
      <c r="B481" s="1" t="n">
        <v>45104.40493055555</v>
      </c>
      <c r="C481" s="1" t="n">
        <v>46076</v>
      </c>
      <c r="D481" t="inlineStr">
        <is>
          <t>DALARNAS LÄN</t>
        </is>
      </c>
      <c r="E481" t="inlineStr">
        <is>
          <t>MORA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59805-2025</t>
        </is>
      </c>
      <c r="B482" s="1" t="n">
        <v>45992.62635416666</v>
      </c>
      <c r="C482" s="1" t="n">
        <v>46076</v>
      </c>
      <c r="D482" t="inlineStr">
        <is>
          <t>DALARNAS LÄN</t>
        </is>
      </c>
      <c r="E482" t="inlineStr">
        <is>
          <t>MORA</t>
        </is>
      </c>
      <c r="G482" t="n">
        <v>4.2</v>
      </c>
      <c r="H482" t="n">
        <v>0</v>
      </c>
      <c r="I482" t="n">
        <v>0</v>
      </c>
      <c r="J482" t="n">
        <v>0</v>
      </c>
      <c r="K482" t="n">
        <v>0</v>
      </c>
      <c r="L482" t="n">
        <v>0</v>
      </c>
      <c r="M482" t="n">
        <v>0</v>
      </c>
      <c r="N482" t="n">
        <v>0</v>
      </c>
      <c r="O482" t="n">
        <v>0</v>
      </c>
      <c r="P482" t="n">
        <v>0</v>
      </c>
      <c r="Q482" t="n">
        <v>0</v>
      </c>
      <c r="R482" s="2" t="inlineStr"/>
    </row>
    <row r="483" ht="15" customHeight="1">
      <c r="A483" t="inlineStr">
        <is>
          <t>A 1881-2026</t>
        </is>
      </c>
      <c r="B483" s="1" t="n">
        <v>46035.4731712963</v>
      </c>
      <c r="C483" s="1" t="n">
        <v>46076</v>
      </c>
      <c r="D483" t="inlineStr">
        <is>
          <t>DALARNAS LÄN</t>
        </is>
      </c>
      <c r="E483" t="inlineStr">
        <is>
          <t>MORA</t>
        </is>
      </c>
      <c r="G483" t="n">
        <v>5.2</v>
      </c>
      <c r="H483" t="n">
        <v>0</v>
      </c>
      <c r="I483" t="n">
        <v>0</v>
      </c>
      <c r="J483" t="n">
        <v>0</v>
      </c>
      <c r="K483" t="n">
        <v>0</v>
      </c>
      <c r="L483" t="n">
        <v>0</v>
      </c>
      <c r="M483" t="n">
        <v>0</v>
      </c>
      <c r="N483" t="n">
        <v>0</v>
      </c>
      <c r="O483" t="n">
        <v>0</v>
      </c>
      <c r="P483" t="n">
        <v>0</v>
      </c>
      <c r="Q483" t="n">
        <v>0</v>
      </c>
      <c r="R483" s="2" t="inlineStr"/>
    </row>
    <row r="484" ht="15" customHeight="1">
      <c r="A484" t="inlineStr">
        <is>
          <t>A 59768-2025</t>
        </is>
      </c>
      <c r="B484" s="1" t="n">
        <v>45992</v>
      </c>
      <c r="C484" s="1" t="n">
        <v>46076</v>
      </c>
      <c r="D484" t="inlineStr">
        <is>
          <t>DALARNAS LÄN</t>
        </is>
      </c>
      <c r="E484" t="inlineStr">
        <is>
          <t>MORA</t>
        </is>
      </c>
      <c r="G484" t="n">
        <v>4</v>
      </c>
      <c r="H484" t="n">
        <v>0</v>
      </c>
      <c r="I484" t="n">
        <v>0</v>
      </c>
      <c r="J484" t="n">
        <v>0</v>
      </c>
      <c r="K484" t="n">
        <v>0</v>
      </c>
      <c r="L484" t="n">
        <v>0</v>
      </c>
      <c r="M484" t="n">
        <v>0</v>
      </c>
      <c r="N484" t="n">
        <v>0</v>
      </c>
      <c r="O484" t="n">
        <v>0</v>
      </c>
      <c r="P484" t="n">
        <v>0</v>
      </c>
      <c r="Q484" t="n">
        <v>0</v>
      </c>
      <c r="R484" s="2" t="inlineStr"/>
    </row>
    <row r="485" ht="15" customHeight="1">
      <c r="A485" t="inlineStr">
        <is>
          <t>A 48824-2023</t>
        </is>
      </c>
      <c r="B485" s="1" t="n">
        <v>45203</v>
      </c>
      <c r="C485" s="1" t="n">
        <v>46076</v>
      </c>
      <c r="D485" t="inlineStr">
        <is>
          <t>DALARNAS LÄN</t>
        </is>
      </c>
      <c r="E485" t="inlineStr">
        <is>
          <t>MORA</t>
        </is>
      </c>
      <c r="G485" t="n">
        <v>3.3</v>
      </c>
      <c r="H485" t="n">
        <v>0</v>
      </c>
      <c r="I485" t="n">
        <v>0</v>
      </c>
      <c r="J485" t="n">
        <v>0</v>
      </c>
      <c r="K485" t="n">
        <v>0</v>
      </c>
      <c r="L485" t="n">
        <v>0</v>
      </c>
      <c r="M485" t="n">
        <v>0</v>
      </c>
      <c r="N485" t="n">
        <v>0</v>
      </c>
      <c r="O485" t="n">
        <v>0</v>
      </c>
      <c r="P485" t="n">
        <v>0</v>
      </c>
      <c r="Q485" t="n">
        <v>0</v>
      </c>
      <c r="R485" s="2" t="inlineStr"/>
    </row>
    <row r="486" ht="15" customHeight="1">
      <c r="A486" t="inlineStr">
        <is>
          <t>A 59669-2025</t>
        </is>
      </c>
      <c r="B486" s="1" t="n">
        <v>45992.45640046296</v>
      </c>
      <c r="C486" s="1" t="n">
        <v>46076</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8343-2025</t>
        </is>
      </c>
      <c r="B487" s="1" t="n">
        <v>45708.67253472222</v>
      </c>
      <c r="C487" s="1" t="n">
        <v>46076</v>
      </c>
      <c r="D487" t="inlineStr">
        <is>
          <t>DALARNAS LÄN</t>
        </is>
      </c>
      <c r="E487" t="inlineStr">
        <is>
          <t>MORA</t>
        </is>
      </c>
      <c r="G487" t="n">
        <v>3.4</v>
      </c>
      <c r="H487" t="n">
        <v>0</v>
      </c>
      <c r="I487" t="n">
        <v>0</v>
      </c>
      <c r="J487" t="n">
        <v>0</v>
      </c>
      <c r="K487" t="n">
        <v>0</v>
      </c>
      <c r="L487" t="n">
        <v>0</v>
      </c>
      <c r="M487" t="n">
        <v>0</v>
      </c>
      <c r="N487" t="n">
        <v>0</v>
      </c>
      <c r="O487" t="n">
        <v>0</v>
      </c>
      <c r="P487" t="n">
        <v>0</v>
      </c>
      <c r="Q487" t="n">
        <v>0</v>
      </c>
      <c r="R487" s="2" t="inlineStr"/>
    </row>
    <row r="488" ht="15" customHeight="1">
      <c r="A488" t="inlineStr">
        <is>
          <t>A 17163-2025</t>
        </is>
      </c>
      <c r="B488" s="1" t="n">
        <v>45756.35998842592</v>
      </c>
      <c r="C488" s="1" t="n">
        <v>46076</v>
      </c>
      <c r="D488" t="inlineStr">
        <is>
          <t>DALARNAS LÄN</t>
        </is>
      </c>
      <c r="E488" t="inlineStr">
        <is>
          <t>MORA</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34272-2024</t>
        </is>
      </c>
      <c r="B489" s="1" t="n">
        <v>45524.61752314815</v>
      </c>
      <c r="C489" s="1" t="n">
        <v>46076</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2110-2026</t>
        </is>
      </c>
      <c r="B490" s="1" t="n">
        <v>46036.37797453703</v>
      </c>
      <c r="C490" s="1" t="n">
        <v>46076</v>
      </c>
      <c r="D490" t="inlineStr">
        <is>
          <t>DALARNAS LÄN</t>
        </is>
      </c>
      <c r="E490" t="inlineStr">
        <is>
          <t>MORA</t>
        </is>
      </c>
      <c r="G490" t="n">
        <v>7.2</v>
      </c>
      <c r="H490" t="n">
        <v>0</v>
      </c>
      <c r="I490" t="n">
        <v>0</v>
      </c>
      <c r="J490" t="n">
        <v>0</v>
      </c>
      <c r="K490" t="n">
        <v>0</v>
      </c>
      <c r="L490" t="n">
        <v>0</v>
      </c>
      <c r="M490" t="n">
        <v>0</v>
      </c>
      <c r="N490" t="n">
        <v>0</v>
      </c>
      <c r="O490" t="n">
        <v>0</v>
      </c>
      <c r="P490" t="n">
        <v>0</v>
      </c>
      <c r="Q490" t="n">
        <v>0</v>
      </c>
      <c r="R490" s="2" t="inlineStr"/>
    </row>
    <row r="491" ht="15" customHeight="1">
      <c r="A491" t="inlineStr">
        <is>
          <t>A 36579-2022</t>
        </is>
      </c>
      <c r="B491" s="1" t="n">
        <v>44804.61636574074</v>
      </c>
      <c r="C491" s="1" t="n">
        <v>46076</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30030-2021</t>
        </is>
      </c>
      <c r="B492" s="1" t="n">
        <v>44363</v>
      </c>
      <c r="C492" s="1" t="n">
        <v>46076</v>
      </c>
      <c r="D492" t="inlineStr">
        <is>
          <t>DALARNAS LÄN</t>
        </is>
      </c>
      <c r="E492" t="inlineStr">
        <is>
          <t>MORA</t>
        </is>
      </c>
      <c r="G492" t="n">
        <v>7.1</v>
      </c>
      <c r="H492" t="n">
        <v>0</v>
      </c>
      <c r="I492" t="n">
        <v>0</v>
      </c>
      <c r="J492" t="n">
        <v>0</v>
      </c>
      <c r="K492" t="n">
        <v>0</v>
      </c>
      <c r="L492" t="n">
        <v>0</v>
      </c>
      <c r="M492" t="n">
        <v>0</v>
      </c>
      <c r="N492" t="n">
        <v>0</v>
      </c>
      <c r="O492" t="n">
        <v>0</v>
      </c>
      <c r="P492" t="n">
        <v>0</v>
      </c>
      <c r="Q492" t="n">
        <v>0</v>
      </c>
      <c r="R492" s="2" t="inlineStr"/>
    </row>
    <row r="493" ht="15" customHeight="1">
      <c r="A493" t="inlineStr">
        <is>
          <t>A 2521-2026</t>
        </is>
      </c>
      <c r="B493" s="1" t="n">
        <v>46037.42600694444</v>
      </c>
      <c r="C493" s="1" t="n">
        <v>46076</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2637-2026</t>
        </is>
      </c>
      <c r="B494" s="1" t="n">
        <v>46037.61490740741</v>
      </c>
      <c r="C494" s="1" t="n">
        <v>46076</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33531-2024</t>
        </is>
      </c>
      <c r="B495" s="1" t="n">
        <v>45519.67503472222</v>
      </c>
      <c r="C495" s="1" t="n">
        <v>46076</v>
      </c>
      <c r="D495" t="inlineStr">
        <is>
          <t>DALARNAS LÄN</t>
        </is>
      </c>
      <c r="E495" t="inlineStr">
        <is>
          <t>MORA</t>
        </is>
      </c>
      <c r="G495" t="n">
        <v>14.8</v>
      </c>
      <c r="H495" t="n">
        <v>0</v>
      </c>
      <c r="I495" t="n">
        <v>0</v>
      </c>
      <c r="J495" t="n">
        <v>0</v>
      </c>
      <c r="K495" t="n">
        <v>0</v>
      </c>
      <c r="L495" t="n">
        <v>0</v>
      </c>
      <c r="M495" t="n">
        <v>0</v>
      </c>
      <c r="N495" t="n">
        <v>0</v>
      </c>
      <c r="O495" t="n">
        <v>0</v>
      </c>
      <c r="P495" t="n">
        <v>0</v>
      </c>
      <c r="Q495" t="n">
        <v>0</v>
      </c>
      <c r="R495" s="2" t="inlineStr"/>
    </row>
    <row r="496" ht="15" customHeight="1">
      <c r="A496" t="inlineStr">
        <is>
          <t>A 48522-2024</t>
        </is>
      </c>
      <c r="B496" s="1" t="n">
        <v>45593.32924768519</v>
      </c>
      <c r="C496" s="1" t="n">
        <v>46076</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48342-2023</t>
        </is>
      </c>
      <c r="B497" s="1" t="n">
        <v>45205</v>
      </c>
      <c r="C497" s="1" t="n">
        <v>46076</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60957-2025</t>
        </is>
      </c>
      <c r="B498" s="1" t="n">
        <v>45999.65799768519</v>
      </c>
      <c r="C498" s="1" t="n">
        <v>46076</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55691-2023</t>
        </is>
      </c>
      <c r="B499" s="1" t="n">
        <v>45239.36509259259</v>
      </c>
      <c r="C499" s="1" t="n">
        <v>46076</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63958-2023</t>
        </is>
      </c>
      <c r="B500" s="1" t="n">
        <v>45278</v>
      </c>
      <c r="C500" s="1" t="n">
        <v>46076</v>
      </c>
      <c r="D500" t="inlineStr">
        <is>
          <t>DALARNAS LÄN</t>
        </is>
      </c>
      <c r="E500" t="inlineStr">
        <is>
          <t>MORA</t>
        </is>
      </c>
      <c r="G500" t="n">
        <v>1.9</v>
      </c>
      <c r="H500" t="n">
        <v>0</v>
      </c>
      <c r="I500" t="n">
        <v>0</v>
      </c>
      <c r="J500" t="n">
        <v>0</v>
      </c>
      <c r="K500" t="n">
        <v>0</v>
      </c>
      <c r="L500" t="n">
        <v>0</v>
      </c>
      <c r="M500" t="n">
        <v>0</v>
      </c>
      <c r="N500" t="n">
        <v>0</v>
      </c>
      <c r="O500" t="n">
        <v>0</v>
      </c>
      <c r="P500" t="n">
        <v>0</v>
      </c>
      <c r="Q500" t="n">
        <v>0</v>
      </c>
      <c r="R500" s="2" t="inlineStr"/>
    </row>
    <row r="501" ht="15" customHeight="1">
      <c r="A501" t="inlineStr">
        <is>
          <t>A 3145-2026</t>
        </is>
      </c>
      <c r="B501" s="1" t="n">
        <v>46041.41971064815</v>
      </c>
      <c r="C501" s="1" t="n">
        <v>46076</v>
      </c>
      <c r="D501" t="inlineStr">
        <is>
          <t>DALARNAS LÄN</t>
        </is>
      </c>
      <c r="E501" t="inlineStr">
        <is>
          <t>MORA</t>
        </is>
      </c>
      <c r="G501" t="n">
        <v>4.3</v>
      </c>
      <c r="H501" t="n">
        <v>0</v>
      </c>
      <c r="I501" t="n">
        <v>0</v>
      </c>
      <c r="J501" t="n">
        <v>0</v>
      </c>
      <c r="K501" t="n">
        <v>0</v>
      </c>
      <c r="L501" t="n">
        <v>0</v>
      </c>
      <c r="M501" t="n">
        <v>0</v>
      </c>
      <c r="N501" t="n">
        <v>0</v>
      </c>
      <c r="O501" t="n">
        <v>0</v>
      </c>
      <c r="P501" t="n">
        <v>0</v>
      </c>
      <c r="Q501" t="n">
        <v>0</v>
      </c>
      <c r="R501" s="2" t="inlineStr"/>
    </row>
    <row r="502" ht="15" customHeight="1">
      <c r="A502" t="inlineStr">
        <is>
          <t>A 2995-2026</t>
        </is>
      </c>
      <c r="B502" s="1" t="n">
        <v>46038</v>
      </c>
      <c r="C502" s="1" t="n">
        <v>46076</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3149-2026</t>
        </is>
      </c>
      <c r="B503" s="1" t="n">
        <v>46041.42416666666</v>
      </c>
      <c r="C503" s="1" t="n">
        <v>46076</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25494-2024</t>
        </is>
      </c>
      <c r="B504" s="1" t="n">
        <v>45463</v>
      </c>
      <c r="C504" s="1" t="n">
        <v>46076</v>
      </c>
      <c r="D504" t="inlineStr">
        <is>
          <t>DALARNAS LÄN</t>
        </is>
      </c>
      <c r="E504" t="inlineStr">
        <is>
          <t>MORA</t>
        </is>
      </c>
      <c r="G504" t="n">
        <v>4.9</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46076</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15818-2024</t>
        </is>
      </c>
      <c r="B506" s="1" t="n">
        <v>45404.67442129629</v>
      </c>
      <c r="C506" s="1" t="n">
        <v>46076</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2786-2026</t>
        </is>
      </c>
      <c r="B507" s="1" t="n">
        <v>46038.39023148148</v>
      </c>
      <c r="C507" s="1" t="n">
        <v>46076</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3247-2026</t>
        </is>
      </c>
      <c r="B508" s="1" t="n">
        <v>46041</v>
      </c>
      <c r="C508" s="1" t="n">
        <v>46076</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46076</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46076</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3669-2026</t>
        </is>
      </c>
      <c r="B511" s="1" t="n">
        <v>46043.41603009259</v>
      </c>
      <c r="C511" s="1" t="n">
        <v>46076</v>
      </c>
      <c r="D511" t="inlineStr">
        <is>
          <t>DALARNAS LÄN</t>
        </is>
      </c>
      <c r="E511" t="inlineStr">
        <is>
          <t>MORA</t>
        </is>
      </c>
      <c r="G511" t="n">
        <v>4.6</v>
      </c>
      <c r="H511" t="n">
        <v>0</v>
      </c>
      <c r="I511" t="n">
        <v>0</v>
      </c>
      <c r="J511" t="n">
        <v>0</v>
      </c>
      <c r="K511" t="n">
        <v>0</v>
      </c>
      <c r="L511" t="n">
        <v>0</v>
      </c>
      <c r="M511" t="n">
        <v>0</v>
      </c>
      <c r="N511" t="n">
        <v>0</v>
      </c>
      <c r="O511" t="n">
        <v>0</v>
      </c>
      <c r="P511" t="n">
        <v>0</v>
      </c>
      <c r="Q511" t="n">
        <v>0</v>
      </c>
      <c r="R511" s="2" t="inlineStr"/>
    </row>
    <row r="512" ht="15" customHeight="1">
      <c r="A512" t="inlineStr">
        <is>
          <t>A 61412-2025</t>
        </is>
      </c>
      <c r="B512" s="1" t="n">
        <v>46001.5266087963</v>
      </c>
      <c r="C512" s="1" t="n">
        <v>46076</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3440-2026</t>
        </is>
      </c>
      <c r="B513" s="1" t="n">
        <v>46042.475625</v>
      </c>
      <c r="C513" s="1" t="n">
        <v>46076</v>
      </c>
      <c r="D513" t="inlineStr">
        <is>
          <t>DALARNAS LÄN</t>
        </is>
      </c>
      <c r="E513" t="inlineStr">
        <is>
          <t>MORA</t>
        </is>
      </c>
      <c r="G513" t="n">
        <v>6.7</v>
      </c>
      <c r="H513" t="n">
        <v>0</v>
      </c>
      <c r="I513" t="n">
        <v>0</v>
      </c>
      <c r="J513" t="n">
        <v>0</v>
      </c>
      <c r="K513" t="n">
        <v>0</v>
      </c>
      <c r="L513" t="n">
        <v>0</v>
      </c>
      <c r="M513" t="n">
        <v>0</v>
      </c>
      <c r="N513" t="n">
        <v>0</v>
      </c>
      <c r="O513" t="n">
        <v>0</v>
      </c>
      <c r="P513" t="n">
        <v>0</v>
      </c>
      <c r="Q513" t="n">
        <v>0</v>
      </c>
      <c r="R513" s="2" t="inlineStr"/>
    </row>
    <row r="514" ht="15" customHeight="1">
      <c r="A514" t="inlineStr">
        <is>
          <t>A 3876-2026</t>
        </is>
      </c>
      <c r="B514" s="1" t="n">
        <v>46043.64811342592</v>
      </c>
      <c r="C514" s="1" t="n">
        <v>46076</v>
      </c>
      <c r="D514" t="inlineStr">
        <is>
          <t>DALARNAS LÄN</t>
        </is>
      </c>
      <c r="E514" t="inlineStr">
        <is>
          <t>MORA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44595-2024</t>
        </is>
      </c>
      <c r="B515" s="1" t="n">
        <v>45574.51053240741</v>
      </c>
      <c r="C515" s="1" t="n">
        <v>46076</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61455-2025</t>
        </is>
      </c>
      <c r="B516" s="1" t="n">
        <v>46001.58590277778</v>
      </c>
      <c r="C516" s="1" t="n">
        <v>46076</v>
      </c>
      <c r="D516" t="inlineStr">
        <is>
          <t>DALARNAS LÄN</t>
        </is>
      </c>
      <c r="E516" t="inlineStr">
        <is>
          <t>MORA</t>
        </is>
      </c>
      <c r="G516" t="n">
        <v>3.4</v>
      </c>
      <c r="H516" t="n">
        <v>0</v>
      </c>
      <c r="I516" t="n">
        <v>0</v>
      </c>
      <c r="J516" t="n">
        <v>0</v>
      </c>
      <c r="K516" t="n">
        <v>0</v>
      </c>
      <c r="L516" t="n">
        <v>0</v>
      </c>
      <c r="M516" t="n">
        <v>0</v>
      </c>
      <c r="N516" t="n">
        <v>0</v>
      </c>
      <c r="O516" t="n">
        <v>0</v>
      </c>
      <c r="P516" t="n">
        <v>0</v>
      </c>
      <c r="Q516" t="n">
        <v>0</v>
      </c>
      <c r="R516" s="2" t="inlineStr"/>
    </row>
    <row r="517" ht="15" customHeight="1">
      <c r="A517" t="inlineStr">
        <is>
          <t>A 61293-2022</t>
        </is>
      </c>
      <c r="B517" s="1" t="n">
        <v>44915.62751157407</v>
      </c>
      <c r="C517" s="1" t="n">
        <v>46076</v>
      </c>
      <c r="D517" t="inlineStr">
        <is>
          <t>DALARNAS LÄN</t>
        </is>
      </c>
      <c r="E517" t="inlineStr">
        <is>
          <t>MORA</t>
        </is>
      </c>
      <c r="G517" t="n">
        <v>0.3</v>
      </c>
      <c r="H517" t="n">
        <v>0</v>
      </c>
      <c r="I517" t="n">
        <v>0</v>
      </c>
      <c r="J517" t="n">
        <v>0</v>
      </c>
      <c r="K517" t="n">
        <v>0</v>
      </c>
      <c r="L517" t="n">
        <v>0</v>
      </c>
      <c r="M517" t="n">
        <v>0</v>
      </c>
      <c r="N517" t="n">
        <v>0</v>
      </c>
      <c r="O517" t="n">
        <v>0</v>
      </c>
      <c r="P517" t="n">
        <v>0</v>
      </c>
      <c r="Q517" t="n">
        <v>0</v>
      </c>
      <c r="R517" s="2" t="inlineStr"/>
    </row>
    <row r="518" ht="15" customHeight="1">
      <c r="A518" t="inlineStr">
        <is>
          <t>A 46412-2024</t>
        </is>
      </c>
      <c r="B518" s="1" t="n">
        <v>45582.44894675926</v>
      </c>
      <c r="C518" s="1" t="n">
        <v>46076</v>
      </c>
      <c r="D518" t="inlineStr">
        <is>
          <t>DALARNAS LÄN</t>
        </is>
      </c>
      <c r="E518" t="inlineStr">
        <is>
          <t>MORA</t>
        </is>
      </c>
      <c r="G518" t="n">
        <v>4.1</v>
      </c>
      <c r="H518" t="n">
        <v>0</v>
      </c>
      <c r="I518" t="n">
        <v>0</v>
      </c>
      <c r="J518" t="n">
        <v>0</v>
      </c>
      <c r="K518" t="n">
        <v>0</v>
      </c>
      <c r="L518" t="n">
        <v>0</v>
      </c>
      <c r="M518" t="n">
        <v>0</v>
      </c>
      <c r="N518" t="n">
        <v>0</v>
      </c>
      <c r="O518" t="n">
        <v>0</v>
      </c>
      <c r="P518" t="n">
        <v>0</v>
      </c>
      <c r="Q518" t="n">
        <v>0</v>
      </c>
      <c r="R518" s="2" t="inlineStr"/>
    </row>
    <row r="519" ht="15" customHeight="1">
      <c r="A519" t="inlineStr">
        <is>
          <t>A 57091-2021</t>
        </is>
      </c>
      <c r="B519" s="1" t="n">
        <v>44482</v>
      </c>
      <c r="C519" s="1" t="n">
        <v>46076</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50685-2023</t>
        </is>
      </c>
      <c r="B520" s="1" t="n">
        <v>45210</v>
      </c>
      <c r="C520" s="1" t="n">
        <v>46076</v>
      </c>
      <c r="D520" t="inlineStr">
        <is>
          <t>DALARNAS LÄN</t>
        </is>
      </c>
      <c r="E520" t="inlineStr">
        <is>
          <t>MORA</t>
        </is>
      </c>
      <c r="G520" t="n">
        <v>1.7</v>
      </c>
      <c r="H520" t="n">
        <v>0</v>
      </c>
      <c r="I520" t="n">
        <v>0</v>
      </c>
      <c r="J520" t="n">
        <v>0</v>
      </c>
      <c r="K520" t="n">
        <v>0</v>
      </c>
      <c r="L520" t="n">
        <v>0</v>
      </c>
      <c r="M520" t="n">
        <v>0</v>
      </c>
      <c r="N520" t="n">
        <v>0</v>
      </c>
      <c r="O520" t="n">
        <v>0</v>
      </c>
      <c r="P520" t="n">
        <v>0</v>
      </c>
      <c r="Q520" t="n">
        <v>0</v>
      </c>
      <c r="R520" s="2" t="inlineStr"/>
    </row>
    <row r="521" ht="15" customHeight="1">
      <c r="A521" t="inlineStr">
        <is>
          <t>A 36740-2023</t>
        </is>
      </c>
      <c r="B521" s="1" t="n">
        <v>45153</v>
      </c>
      <c r="C521" s="1" t="n">
        <v>46076</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4155-2026</t>
        </is>
      </c>
      <c r="B522" s="1" t="n">
        <v>46044.6533449074</v>
      </c>
      <c r="C522" s="1" t="n">
        <v>46076</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31177-2021</t>
        </is>
      </c>
      <c r="B523" s="1" t="n">
        <v>44368</v>
      </c>
      <c r="C523" s="1" t="n">
        <v>46076</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65186-2021</t>
        </is>
      </c>
      <c r="B524" s="1" t="n">
        <v>44515</v>
      </c>
      <c r="C524" s="1" t="n">
        <v>46076</v>
      </c>
      <c r="D524" t="inlineStr">
        <is>
          <t>DALARNAS LÄN</t>
        </is>
      </c>
      <c r="E524" t="inlineStr">
        <is>
          <t>MORA</t>
        </is>
      </c>
      <c r="G524" t="n">
        <v>1.4</v>
      </c>
      <c r="H524" t="n">
        <v>0</v>
      </c>
      <c r="I524" t="n">
        <v>0</v>
      </c>
      <c r="J524" t="n">
        <v>0</v>
      </c>
      <c r="K524" t="n">
        <v>0</v>
      </c>
      <c r="L524" t="n">
        <v>0</v>
      </c>
      <c r="M524" t="n">
        <v>0</v>
      </c>
      <c r="N524" t="n">
        <v>0</v>
      </c>
      <c r="O524" t="n">
        <v>0</v>
      </c>
      <c r="P524" t="n">
        <v>0</v>
      </c>
      <c r="Q524" t="n">
        <v>0</v>
      </c>
      <c r="R524" s="2" t="inlineStr"/>
    </row>
    <row r="525" ht="15" customHeight="1">
      <c r="A525" t="inlineStr">
        <is>
          <t>A 61606-2025</t>
        </is>
      </c>
      <c r="B525" s="1" t="n">
        <v>46002.37662037037</v>
      </c>
      <c r="C525" s="1" t="n">
        <v>46076</v>
      </c>
      <c r="D525" t="inlineStr">
        <is>
          <t>DALARNAS LÄN</t>
        </is>
      </c>
      <c r="E525" t="inlineStr">
        <is>
          <t>MORA</t>
        </is>
      </c>
      <c r="G525" t="n">
        <v>6.1</v>
      </c>
      <c r="H525" t="n">
        <v>0</v>
      </c>
      <c r="I525" t="n">
        <v>0</v>
      </c>
      <c r="J525" t="n">
        <v>0</v>
      </c>
      <c r="K525" t="n">
        <v>0</v>
      </c>
      <c r="L525" t="n">
        <v>0</v>
      </c>
      <c r="M525" t="n">
        <v>0</v>
      </c>
      <c r="N525" t="n">
        <v>0</v>
      </c>
      <c r="O525" t="n">
        <v>0</v>
      </c>
      <c r="P525" t="n">
        <v>0</v>
      </c>
      <c r="Q525" t="n">
        <v>0</v>
      </c>
      <c r="R525" s="2" t="inlineStr"/>
    </row>
    <row r="526" ht="15" customHeight="1">
      <c r="A526" t="inlineStr">
        <is>
          <t>A 61624-2025</t>
        </is>
      </c>
      <c r="B526" s="1" t="n">
        <v>46002.39755787037</v>
      </c>
      <c r="C526" s="1" t="n">
        <v>46076</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61620-2025</t>
        </is>
      </c>
      <c r="B527" s="1" t="n">
        <v>46002.39347222223</v>
      </c>
      <c r="C527" s="1" t="n">
        <v>46076</v>
      </c>
      <c r="D527" t="inlineStr">
        <is>
          <t>DALARNAS LÄN</t>
        </is>
      </c>
      <c r="E527" t="inlineStr">
        <is>
          <t>MORA</t>
        </is>
      </c>
      <c r="G527" t="n">
        <v>3</v>
      </c>
      <c r="H527" t="n">
        <v>0</v>
      </c>
      <c r="I527" t="n">
        <v>0</v>
      </c>
      <c r="J527" t="n">
        <v>0</v>
      </c>
      <c r="K527" t="n">
        <v>0</v>
      </c>
      <c r="L527" t="n">
        <v>0</v>
      </c>
      <c r="M527" t="n">
        <v>0</v>
      </c>
      <c r="N527" t="n">
        <v>0</v>
      </c>
      <c r="O527" t="n">
        <v>0</v>
      </c>
      <c r="P527" t="n">
        <v>0</v>
      </c>
      <c r="Q527" t="n">
        <v>0</v>
      </c>
      <c r="R527" s="2" t="inlineStr"/>
    </row>
    <row r="528" ht="15" customHeight="1">
      <c r="A528" t="inlineStr">
        <is>
          <t>A 61995-2025</t>
        </is>
      </c>
      <c r="B528" s="1" t="n">
        <v>46003.63954861111</v>
      </c>
      <c r="C528" s="1" t="n">
        <v>46076</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58171-2024</t>
        </is>
      </c>
      <c r="B529" s="1" t="n">
        <v>45632.46545138889</v>
      </c>
      <c r="C529" s="1" t="n">
        <v>46076</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17167-2025</t>
        </is>
      </c>
      <c r="B530" s="1" t="n">
        <v>45756.36844907407</v>
      </c>
      <c r="C530" s="1" t="n">
        <v>46076</v>
      </c>
      <c r="D530" t="inlineStr">
        <is>
          <t>DALARNAS LÄN</t>
        </is>
      </c>
      <c r="E530" t="inlineStr">
        <is>
          <t>MORA</t>
        </is>
      </c>
      <c r="F530" t="inlineStr">
        <is>
          <t>Bergvik skog öst AB</t>
        </is>
      </c>
      <c r="G530" t="n">
        <v>1.7</v>
      </c>
      <c r="H530" t="n">
        <v>0</v>
      </c>
      <c r="I530" t="n">
        <v>0</v>
      </c>
      <c r="J530" t="n">
        <v>0</v>
      </c>
      <c r="K530" t="n">
        <v>0</v>
      </c>
      <c r="L530" t="n">
        <v>0</v>
      </c>
      <c r="M530" t="n">
        <v>0</v>
      </c>
      <c r="N530" t="n">
        <v>0</v>
      </c>
      <c r="O530" t="n">
        <v>0</v>
      </c>
      <c r="P530" t="n">
        <v>0</v>
      </c>
      <c r="Q530" t="n">
        <v>0</v>
      </c>
      <c r="R530" s="2" t="inlineStr"/>
    </row>
    <row r="531" ht="15" customHeight="1">
      <c r="A531" t="inlineStr">
        <is>
          <t>A 62055-2025</t>
        </is>
      </c>
      <c r="B531" s="1" t="n">
        <v>46006.3365625</v>
      </c>
      <c r="C531" s="1" t="n">
        <v>46076</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5116-2026</t>
        </is>
      </c>
      <c r="B532" s="1" t="n">
        <v>46049.57591435185</v>
      </c>
      <c r="C532" s="1" t="n">
        <v>46076</v>
      </c>
      <c r="D532" t="inlineStr">
        <is>
          <t>DALARNAS LÄN</t>
        </is>
      </c>
      <c r="E532" t="inlineStr">
        <is>
          <t>MORA</t>
        </is>
      </c>
      <c r="F532" t="inlineStr">
        <is>
          <t>Bergvik skog öst AB</t>
        </is>
      </c>
      <c r="G532" t="n">
        <v>2.9</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46076</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62054-2025</t>
        </is>
      </c>
      <c r="B534" s="1" t="n">
        <v>46006.33462962963</v>
      </c>
      <c r="C534" s="1" t="n">
        <v>46076</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36184-2021</t>
        </is>
      </c>
      <c r="B535" s="1" t="n">
        <v>44389</v>
      </c>
      <c r="C535" s="1" t="n">
        <v>46076</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4906-2026</t>
        </is>
      </c>
      <c r="B536" s="1" t="n">
        <v>46048.70013888889</v>
      </c>
      <c r="C536" s="1" t="n">
        <v>46076</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45036.46804398148</v>
      </c>
      <c r="C537" s="1" t="n">
        <v>46076</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44201-2023</t>
        </is>
      </c>
      <c r="B538" s="1" t="n">
        <v>45188</v>
      </c>
      <c r="C538" s="1" t="n">
        <v>46076</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16522-2024</t>
        </is>
      </c>
      <c r="B539" s="1" t="n">
        <v>45408.41166666667</v>
      </c>
      <c r="C539" s="1" t="n">
        <v>46076</v>
      </c>
      <c r="D539" t="inlineStr">
        <is>
          <t>DALARNAS LÄN</t>
        </is>
      </c>
      <c r="E539" t="inlineStr">
        <is>
          <t>MORA</t>
        </is>
      </c>
      <c r="G539" t="n">
        <v>11.2</v>
      </c>
      <c r="H539" t="n">
        <v>0</v>
      </c>
      <c r="I539" t="n">
        <v>0</v>
      </c>
      <c r="J539" t="n">
        <v>0</v>
      </c>
      <c r="K539" t="n">
        <v>0</v>
      </c>
      <c r="L539" t="n">
        <v>0</v>
      </c>
      <c r="M539" t="n">
        <v>0</v>
      </c>
      <c r="N539" t="n">
        <v>0</v>
      </c>
      <c r="O539" t="n">
        <v>0</v>
      </c>
      <c r="P539" t="n">
        <v>0</v>
      </c>
      <c r="Q539" t="n">
        <v>0</v>
      </c>
      <c r="R539" s="2" t="inlineStr"/>
    </row>
    <row r="540" ht="15" customHeight="1">
      <c r="A540" t="inlineStr">
        <is>
          <t>A 36038-2024</t>
        </is>
      </c>
      <c r="B540" s="1" t="n">
        <v>45533</v>
      </c>
      <c r="C540" s="1" t="n">
        <v>46076</v>
      </c>
      <c r="D540" t="inlineStr">
        <is>
          <t>DALARNAS LÄN</t>
        </is>
      </c>
      <c r="E540" t="inlineStr">
        <is>
          <t>MORA</t>
        </is>
      </c>
      <c r="G540" t="n">
        <v>5.1</v>
      </c>
      <c r="H540" t="n">
        <v>0</v>
      </c>
      <c r="I540" t="n">
        <v>0</v>
      </c>
      <c r="J540" t="n">
        <v>0</v>
      </c>
      <c r="K540" t="n">
        <v>0</v>
      </c>
      <c r="L540" t="n">
        <v>0</v>
      </c>
      <c r="M540" t="n">
        <v>0</v>
      </c>
      <c r="N540" t="n">
        <v>0</v>
      </c>
      <c r="O540" t="n">
        <v>0</v>
      </c>
      <c r="P540" t="n">
        <v>0</v>
      </c>
      <c r="Q540" t="n">
        <v>0</v>
      </c>
      <c r="R540" s="2" t="inlineStr"/>
    </row>
    <row r="541" ht="15" customHeight="1">
      <c r="A541" t="inlineStr">
        <is>
          <t>A 2865-2022</t>
        </is>
      </c>
      <c r="B541" s="1" t="n">
        <v>44581</v>
      </c>
      <c r="C541" s="1" t="n">
        <v>46076</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62548-2025</t>
        </is>
      </c>
      <c r="B542" s="1" t="n">
        <v>46007.66275462963</v>
      </c>
      <c r="C542" s="1" t="n">
        <v>46076</v>
      </c>
      <c r="D542" t="inlineStr">
        <is>
          <t>DALARNAS LÄN</t>
        </is>
      </c>
      <c r="E542" t="inlineStr">
        <is>
          <t>MORA</t>
        </is>
      </c>
      <c r="G542" t="n">
        <v>0.8</v>
      </c>
      <c r="H542" t="n">
        <v>0</v>
      </c>
      <c r="I542" t="n">
        <v>0</v>
      </c>
      <c r="J542" t="n">
        <v>0</v>
      </c>
      <c r="K542" t="n">
        <v>0</v>
      </c>
      <c r="L542" t="n">
        <v>0</v>
      </c>
      <c r="M542" t="n">
        <v>0</v>
      </c>
      <c r="N542" t="n">
        <v>0</v>
      </c>
      <c r="O542" t="n">
        <v>0</v>
      </c>
      <c r="P542" t="n">
        <v>0</v>
      </c>
      <c r="Q542" t="n">
        <v>0</v>
      </c>
      <c r="R542" s="2" t="inlineStr"/>
    </row>
    <row r="543" ht="15" customHeight="1">
      <c r="A543" t="inlineStr">
        <is>
          <t>A 56834-2024</t>
        </is>
      </c>
      <c r="B543" s="1" t="n">
        <v>45628.49931712963</v>
      </c>
      <c r="C543" s="1" t="n">
        <v>46076</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47036-2023</t>
        </is>
      </c>
      <c r="B544" s="1" t="n">
        <v>45196</v>
      </c>
      <c r="C544" s="1" t="n">
        <v>46076</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20544-2025</t>
        </is>
      </c>
      <c r="B545" s="1" t="n">
        <v>45775.63119212963</v>
      </c>
      <c r="C545" s="1" t="n">
        <v>46076</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5709-2026</t>
        </is>
      </c>
      <c r="B546" s="1" t="n">
        <v>46051.51640046296</v>
      </c>
      <c r="C546" s="1" t="n">
        <v>46076</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62959-2025</t>
        </is>
      </c>
      <c r="B547" s="1" t="n">
        <v>46009.45792824074</v>
      </c>
      <c r="C547" s="1" t="n">
        <v>46076</v>
      </c>
      <c r="D547" t="inlineStr">
        <is>
          <t>DALARNAS LÄN</t>
        </is>
      </c>
      <c r="E547" t="inlineStr">
        <is>
          <t>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62965-2025</t>
        </is>
      </c>
      <c r="B548" s="1" t="n">
        <v>46009.46129629629</v>
      </c>
      <c r="C548" s="1" t="n">
        <v>46076</v>
      </c>
      <c r="D548" t="inlineStr">
        <is>
          <t>DALARNAS LÄN</t>
        </is>
      </c>
      <c r="E548" t="inlineStr">
        <is>
          <t>MORA</t>
        </is>
      </c>
      <c r="G548" t="n">
        <v>9.1</v>
      </c>
      <c r="H548" t="n">
        <v>0</v>
      </c>
      <c r="I548" t="n">
        <v>0</v>
      </c>
      <c r="J548" t="n">
        <v>0</v>
      </c>
      <c r="K548" t="n">
        <v>0</v>
      </c>
      <c r="L548" t="n">
        <v>0</v>
      </c>
      <c r="M548" t="n">
        <v>0</v>
      </c>
      <c r="N548" t="n">
        <v>0</v>
      </c>
      <c r="O548" t="n">
        <v>0</v>
      </c>
      <c r="P548" t="n">
        <v>0</v>
      </c>
      <c r="Q548" t="n">
        <v>0</v>
      </c>
      <c r="R548" s="2" t="inlineStr"/>
    </row>
    <row r="549" ht="15" customHeight="1">
      <c r="A549" t="inlineStr">
        <is>
          <t>A 63030-2025</t>
        </is>
      </c>
      <c r="B549" s="1" t="n">
        <v>46009.60133101852</v>
      </c>
      <c r="C549" s="1" t="n">
        <v>46076</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5763-2026</t>
        </is>
      </c>
      <c r="B550" s="1" t="n">
        <v>46051.63380787037</v>
      </c>
      <c r="C550" s="1" t="n">
        <v>46076</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51965-2024</t>
        </is>
      </c>
      <c r="B551" s="1" t="n">
        <v>45607.65123842593</v>
      </c>
      <c r="C551" s="1" t="n">
        <v>46076</v>
      </c>
      <c r="D551" t="inlineStr">
        <is>
          <t>DALARNAS LÄN</t>
        </is>
      </c>
      <c r="E551" t="inlineStr">
        <is>
          <t>MORA</t>
        </is>
      </c>
      <c r="G551" t="n">
        <v>1.3</v>
      </c>
      <c r="H551" t="n">
        <v>0</v>
      </c>
      <c r="I551" t="n">
        <v>0</v>
      </c>
      <c r="J551" t="n">
        <v>0</v>
      </c>
      <c r="K551" t="n">
        <v>0</v>
      </c>
      <c r="L551" t="n">
        <v>0</v>
      </c>
      <c r="M551" t="n">
        <v>0</v>
      </c>
      <c r="N551" t="n">
        <v>0</v>
      </c>
      <c r="O551" t="n">
        <v>0</v>
      </c>
      <c r="P551" t="n">
        <v>0</v>
      </c>
      <c r="Q551" t="n">
        <v>0</v>
      </c>
      <c r="R551" s="2" t="inlineStr"/>
    </row>
    <row r="552" ht="15" customHeight="1">
      <c r="A552" t="inlineStr">
        <is>
          <t>A 62619-2025</t>
        </is>
      </c>
      <c r="B552" s="1" t="n">
        <v>46008.33967592593</v>
      </c>
      <c r="C552" s="1" t="n">
        <v>46076</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62853-2025</t>
        </is>
      </c>
      <c r="B553" s="1" t="n">
        <v>46008.72493055555</v>
      </c>
      <c r="C553" s="1" t="n">
        <v>46076</v>
      </c>
      <c r="D553" t="inlineStr">
        <is>
          <t>DALARNAS LÄN</t>
        </is>
      </c>
      <c r="E553" t="inlineStr">
        <is>
          <t>MORA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62628-2025</t>
        </is>
      </c>
      <c r="B554" s="1" t="n">
        <v>46008.35011574074</v>
      </c>
      <c r="C554" s="1" t="n">
        <v>46076</v>
      </c>
      <c r="D554" t="inlineStr">
        <is>
          <t>DALARNAS LÄN</t>
        </is>
      </c>
      <c r="E554" t="inlineStr">
        <is>
          <t>MORA</t>
        </is>
      </c>
      <c r="G554" t="n">
        <v>5.7</v>
      </c>
      <c r="H554" t="n">
        <v>0</v>
      </c>
      <c r="I554" t="n">
        <v>0</v>
      </c>
      <c r="J554" t="n">
        <v>0</v>
      </c>
      <c r="K554" t="n">
        <v>0</v>
      </c>
      <c r="L554" t="n">
        <v>0</v>
      </c>
      <c r="M554" t="n">
        <v>0</v>
      </c>
      <c r="N554" t="n">
        <v>0</v>
      </c>
      <c r="O554" t="n">
        <v>0</v>
      </c>
      <c r="P554" t="n">
        <v>0</v>
      </c>
      <c r="Q554" t="n">
        <v>0</v>
      </c>
      <c r="R554" s="2" t="inlineStr"/>
    </row>
    <row r="555" ht="15" customHeight="1">
      <c r="A555" t="inlineStr">
        <is>
          <t>A 62626-2025</t>
        </is>
      </c>
      <c r="B555" s="1" t="n">
        <v>46008.34541666666</v>
      </c>
      <c r="C555" s="1" t="n">
        <v>46076</v>
      </c>
      <c r="D555" t="inlineStr">
        <is>
          <t>DALARNAS LÄN</t>
        </is>
      </c>
      <c r="E555" t="inlineStr">
        <is>
          <t>MORA</t>
        </is>
      </c>
      <c r="G555" t="n">
        <v>6.7</v>
      </c>
      <c r="H555" t="n">
        <v>0</v>
      </c>
      <c r="I555" t="n">
        <v>0</v>
      </c>
      <c r="J555" t="n">
        <v>0</v>
      </c>
      <c r="K555" t="n">
        <v>0</v>
      </c>
      <c r="L555" t="n">
        <v>0</v>
      </c>
      <c r="M555" t="n">
        <v>0</v>
      </c>
      <c r="N555" t="n">
        <v>0</v>
      </c>
      <c r="O555" t="n">
        <v>0</v>
      </c>
      <c r="P555" t="n">
        <v>0</v>
      </c>
      <c r="Q555" t="n">
        <v>0</v>
      </c>
      <c r="R555" s="2" t="inlineStr"/>
    </row>
    <row r="556" ht="15" customHeight="1">
      <c r="A556" t="inlineStr">
        <is>
          <t>A 20401-2022</t>
        </is>
      </c>
      <c r="B556" s="1" t="n">
        <v>44699</v>
      </c>
      <c r="C556" s="1" t="n">
        <v>46076</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5836-2026</t>
        </is>
      </c>
      <c r="B557" s="1" t="n">
        <v>46052.33809027778</v>
      </c>
      <c r="C557" s="1" t="n">
        <v>46076</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26546-2025</t>
        </is>
      </c>
      <c r="B558" s="1" t="n">
        <v>45807</v>
      </c>
      <c r="C558" s="1" t="n">
        <v>46076</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26573-2025</t>
        </is>
      </c>
      <c r="B559" s="1" t="n">
        <v>45807</v>
      </c>
      <c r="C559" s="1" t="n">
        <v>46076</v>
      </c>
      <c r="D559" t="inlineStr">
        <is>
          <t>DALARNAS LÄN</t>
        </is>
      </c>
      <c r="E559" t="inlineStr">
        <is>
          <t>MORA</t>
        </is>
      </c>
      <c r="G559" t="n">
        <v>4.3</v>
      </c>
      <c r="H559" t="n">
        <v>0</v>
      </c>
      <c r="I559" t="n">
        <v>0</v>
      </c>
      <c r="J559" t="n">
        <v>0</v>
      </c>
      <c r="K559" t="n">
        <v>0</v>
      </c>
      <c r="L559" t="n">
        <v>0</v>
      </c>
      <c r="M559" t="n">
        <v>0</v>
      </c>
      <c r="N559" t="n">
        <v>0</v>
      </c>
      <c r="O559" t="n">
        <v>0</v>
      </c>
      <c r="P559" t="n">
        <v>0</v>
      </c>
      <c r="Q559" t="n">
        <v>0</v>
      </c>
      <c r="R559" s="2" t="inlineStr"/>
    </row>
    <row r="560" ht="15" customHeight="1">
      <c r="A560" t="inlineStr">
        <is>
          <t>A 26577-2025</t>
        </is>
      </c>
      <c r="B560" s="1" t="n">
        <v>45807</v>
      </c>
      <c r="C560" s="1" t="n">
        <v>46076</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26545-2025</t>
        </is>
      </c>
      <c r="B561" s="1" t="n">
        <v>45807</v>
      </c>
      <c r="C561" s="1" t="n">
        <v>46076</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63434-2025</t>
        </is>
      </c>
      <c r="B562" s="1" t="n">
        <v>46013.36556712963</v>
      </c>
      <c r="C562" s="1" t="n">
        <v>46076</v>
      </c>
      <c r="D562" t="inlineStr">
        <is>
          <t>DALARNAS LÄN</t>
        </is>
      </c>
      <c r="E562" t="inlineStr">
        <is>
          <t>MORA</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6182-2026</t>
        </is>
      </c>
      <c r="B563" s="1" t="n">
        <v>46055.36231481482</v>
      </c>
      <c r="C563" s="1" t="n">
        <v>46076</v>
      </c>
      <c r="D563" t="inlineStr">
        <is>
          <t>DALARNAS LÄN</t>
        </is>
      </c>
      <c r="E563" t="inlineStr">
        <is>
          <t>MORA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5959-2026</t>
        </is>
      </c>
      <c r="B564" s="1" t="n">
        <v>46052.50533564815</v>
      </c>
      <c r="C564" s="1" t="n">
        <v>46076</v>
      </c>
      <c r="D564" t="inlineStr">
        <is>
          <t>DALARNAS LÄN</t>
        </is>
      </c>
      <c r="E564" t="inlineStr">
        <is>
          <t>MORA</t>
        </is>
      </c>
      <c r="G564" t="n">
        <v>9.5</v>
      </c>
      <c r="H564" t="n">
        <v>0</v>
      </c>
      <c r="I564" t="n">
        <v>0</v>
      </c>
      <c r="J564" t="n">
        <v>0</v>
      </c>
      <c r="K564" t="n">
        <v>0</v>
      </c>
      <c r="L564" t="n">
        <v>0</v>
      </c>
      <c r="M564" t="n">
        <v>0</v>
      </c>
      <c r="N564" t="n">
        <v>0</v>
      </c>
      <c r="O564" t="n">
        <v>0</v>
      </c>
      <c r="P564" t="n">
        <v>0</v>
      </c>
      <c r="Q564" t="n">
        <v>0</v>
      </c>
      <c r="R564" s="2" t="inlineStr"/>
    </row>
    <row r="565" ht="15" customHeight="1">
      <c r="A565" t="inlineStr">
        <is>
          <t>A 63431-2025</t>
        </is>
      </c>
      <c r="B565" s="1" t="n">
        <v>46013.36268518519</v>
      </c>
      <c r="C565" s="1" t="n">
        <v>46076</v>
      </c>
      <c r="D565" t="inlineStr">
        <is>
          <t>DALARNAS LÄN</t>
        </is>
      </c>
      <c r="E565" t="inlineStr">
        <is>
          <t>MORA</t>
        </is>
      </c>
      <c r="F565" t="inlineStr">
        <is>
          <t>Allmännings- och besparingsskogar</t>
        </is>
      </c>
      <c r="G565" t="n">
        <v>5.7</v>
      </c>
      <c r="H565" t="n">
        <v>0</v>
      </c>
      <c r="I565" t="n">
        <v>0</v>
      </c>
      <c r="J565" t="n">
        <v>0</v>
      </c>
      <c r="K565" t="n">
        <v>0</v>
      </c>
      <c r="L565" t="n">
        <v>0</v>
      </c>
      <c r="M565" t="n">
        <v>0</v>
      </c>
      <c r="N565" t="n">
        <v>0</v>
      </c>
      <c r="O565" t="n">
        <v>0</v>
      </c>
      <c r="P565" t="n">
        <v>0</v>
      </c>
      <c r="Q565" t="n">
        <v>0</v>
      </c>
      <c r="R565" s="2" t="inlineStr"/>
    </row>
    <row r="566" ht="15" customHeight="1">
      <c r="A566" t="inlineStr">
        <is>
          <t>A 63457-2025</t>
        </is>
      </c>
      <c r="B566" s="1" t="n">
        <v>46013.42269675926</v>
      </c>
      <c r="C566" s="1" t="n">
        <v>46076</v>
      </c>
      <c r="D566" t="inlineStr">
        <is>
          <t>DALARNAS LÄN</t>
        </is>
      </c>
      <c r="E566" t="inlineStr">
        <is>
          <t>MORA</t>
        </is>
      </c>
      <c r="F566" t="inlineStr">
        <is>
          <t>Allmännings- och besparingsskogar</t>
        </is>
      </c>
      <c r="G566" t="n">
        <v>34.4</v>
      </c>
      <c r="H566" t="n">
        <v>0</v>
      </c>
      <c r="I566" t="n">
        <v>0</v>
      </c>
      <c r="J566" t="n">
        <v>0</v>
      </c>
      <c r="K566" t="n">
        <v>0</v>
      </c>
      <c r="L566" t="n">
        <v>0</v>
      </c>
      <c r="M566" t="n">
        <v>0</v>
      </c>
      <c r="N566" t="n">
        <v>0</v>
      </c>
      <c r="O566" t="n">
        <v>0</v>
      </c>
      <c r="P566" t="n">
        <v>0</v>
      </c>
      <c r="Q566" t="n">
        <v>0</v>
      </c>
      <c r="R566" s="2" t="inlineStr"/>
    </row>
    <row r="567" ht="15" customHeight="1">
      <c r="A567" t="inlineStr">
        <is>
          <t>A 38627-2023</t>
        </is>
      </c>
      <c r="B567" s="1" t="n">
        <v>45162.68787037037</v>
      </c>
      <c r="C567" s="1" t="n">
        <v>46076</v>
      </c>
      <c r="D567" t="inlineStr">
        <is>
          <t>DALARNAS LÄN</t>
        </is>
      </c>
      <c r="E567" t="inlineStr">
        <is>
          <t>MORA</t>
        </is>
      </c>
      <c r="G567" t="n">
        <v>6.5</v>
      </c>
      <c r="H567" t="n">
        <v>0</v>
      </c>
      <c r="I567" t="n">
        <v>0</v>
      </c>
      <c r="J567" t="n">
        <v>0</v>
      </c>
      <c r="K567" t="n">
        <v>0</v>
      </c>
      <c r="L567" t="n">
        <v>0</v>
      </c>
      <c r="M567" t="n">
        <v>0</v>
      </c>
      <c r="N567" t="n">
        <v>0</v>
      </c>
      <c r="O567" t="n">
        <v>0</v>
      </c>
      <c r="P567" t="n">
        <v>0</v>
      </c>
      <c r="Q567" t="n">
        <v>0</v>
      </c>
      <c r="R567" s="2" t="inlineStr"/>
    </row>
    <row r="568" ht="15" customHeight="1">
      <c r="A568" t="inlineStr">
        <is>
          <t>A 64088-2023</t>
        </is>
      </c>
      <c r="B568" s="1" t="n">
        <v>45279.43570601852</v>
      </c>
      <c r="C568" s="1" t="n">
        <v>46076</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6947-2026</t>
        </is>
      </c>
      <c r="B569" s="1" t="n">
        <v>46057.56855324074</v>
      </c>
      <c r="C569" s="1" t="n">
        <v>46076</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6802-2026</t>
        </is>
      </c>
      <c r="B570" s="1" t="n">
        <v>46057.35288194445</v>
      </c>
      <c r="C570" s="1" t="n">
        <v>46076</v>
      </c>
      <c r="D570" t="inlineStr">
        <is>
          <t>DALARNAS LÄN</t>
        </is>
      </c>
      <c r="E570" t="inlineStr">
        <is>
          <t>MORA</t>
        </is>
      </c>
      <c r="G570" t="n">
        <v>5.8</v>
      </c>
      <c r="H570" t="n">
        <v>0</v>
      </c>
      <c r="I570" t="n">
        <v>0</v>
      </c>
      <c r="J570" t="n">
        <v>0</v>
      </c>
      <c r="K570" t="n">
        <v>0</v>
      </c>
      <c r="L570" t="n">
        <v>0</v>
      </c>
      <c r="M570" t="n">
        <v>0</v>
      </c>
      <c r="N570" t="n">
        <v>0</v>
      </c>
      <c r="O570" t="n">
        <v>0</v>
      </c>
      <c r="P570" t="n">
        <v>0</v>
      </c>
      <c r="Q570" t="n">
        <v>0</v>
      </c>
      <c r="R570" s="2" t="inlineStr"/>
    </row>
    <row r="571" ht="15" customHeight="1">
      <c r="A571" t="inlineStr">
        <is>
          <t>A 6967-2026</t>
        </is>
      </c>
      <c r="B571" s="1" t="n">
        <v>46057.58777777778</v>
      </c>
      <c r="C571" s="1" t="n">
        <v>46076</v>
      </c>
      <c r="D571" t="inlineStr">
        <is>
          <t>DALARNAS LÄN</t>
        </is>
      </c>
      <c r="E571" t="inlineStr">
        <is>
          <t>MORA</t>
        </is>
      </c>
      <c r="G571" t="n">
        <v>5</v>
      </c>
      <c r="H571" t="n">
        <v>0</v>
      </c>
      <c r="I571" t="n">
        <v>0</v>
      </c>
      <c r="J571" t="n">
        <v>0</v>
      </c>
      <c r="K571" t="n">
        <v>0</v>
      </c>
      <c r="L571" t="n">
        <v>0</v>
      </c>
      <c r="M571" t="n">
        <v>0</v>
      </c>
      <c r="N571" t="n">
        <v>0</v>
      </c>
      <c r="O571" t="n">
        <v>0</v>
      </c>
      <c r="P571" t="n">
        <v>0</v>
      </c>
      <c r="Q571" t="n">
        <v>0</v>
      </c>
      <c r="R571" s="2" t="inlineStr"/>
    </row>
    <row r="572" ht="15" customHeight="1">
      <c r="A572" t="inlineStr">
        <is>
          <t>A 52599-2025</t>
        </is>
      </c>
      <c r="B572" s="1" t="n">
        <v>45954.65564814815</v>
      </c>
      <c r="C572" s="1" t="n">
        <v>46076</v>
      </c>
      <c r="D572" t="inlineStr">
        <is>
          <t>DALARNAS LÄN</t>
        </is>
      </c>
      <c r="E572" t="inlineStr">
        <is>
          <t>MORA</t>
        </is>
      </c>
      <c r="G572" t="n">
        <v>10.8</v>
      </c>
      <c r="H572" t="n">
        <v>0</v>
      </c>
      <c r="I572" t="n">
        <v>0</v>
      </c>
      <c r="J572" t="n">
        <v>0</v>
      </c>
      <c r="K572" t="n">
        <v>0</v>
      </c>
      <c r="L572" t="n">
        <v>0</v>
      </c>
      <c r="M572" t="n">
        <v>0</v>
      </c>
      <c r="N572" t="n">
        <v>0</v>
      </c>
      <c r="O572" t="n">
        <v>0</v>
      </c>
      <c r="P572" t="n">
        <v>0</v>
      </c>
      <c r="Q572" t="n">
        <v>0</v>
      </c>
      <c r="R572" s="2" t="inlineStr"/>
    </row>
    <row r="573" ht="15" customHeight="1">
      <c r="A573" t="inlineStr">
        <is>
          <t>A 63596-2025</t>
        </is>
      </c>
      <c r="B573" s="1" t="n">
        <v>46013.96362268519</v>
      </c>
      <c r="C573" s="1" t="n">
        <v>46076</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63692-2025</t>
        </is>
      </c>
      <c r="B574" s="1" t="n">
        <v>46014.54496527778</v>
      </c>
      <c r="C574" s="1" t="n">
        <v>46076</v>
      </c>
      <c r="D574" t="inlineStr">
        <is>
          <t>DALARNAS LÄN</t>
        </is>
      </c>
      <c r="E574" t="inlineStr">
        <is>
          <t>MORA</t>
        </is>
      </c>
      <c r="G574" t="n">
        <v>1.4</v>
      </c>
      <c r="H574" t="n">
        <v>0</v>
      </c>
      <c r="I574" t="n">
        <v>0</v>
      </c>
      <c r="J574" t="n">
        <v>0</v>
      </c>
      <c r="K574" t="n">
        <v>0</v>
      </c>
      <c r="L574" t="n">
        <v>0</v>
      </c>
      <c r="M574" t="n">
        <v>0</v>
      </c>
      <c r="N574" t="n">
        <v>0</v>
      </c>
      <c r="O574" t="n">
        <v>0</v>
      </c>
      <c r="P574" t="n">
        <v>0</v>
      </c>
      <c r="Q574" t="n">
        <v>0</v>
      </c>
      <c r="R574" s="2" t="inlineStr"/>
    </row>
    <row r="575" ht="15" customHeight="1">
      <c r="A575" t="inlineStr">
        <is>
          <t>A 6892-2026</t>
        </is>
      </c>
      <c r="B575" s="1" t="n">
        <v>46057.47490740741</v>
      </c>
      <c r="C575" s="1" t="n">
        <v>46076</v>
      </c>
      <c r="D575" t="inlineStr">
        <is>
          <t>DALARNAS LÄN</t>
        </is>
      </c>
      <c r="E575" t="inlineStr">
        <is>
          <t>MORA</t>
        </is>
      </c>
      <c r="G575" t="n">
        <v>9</v>
      </c>
      <c r="H575" t="n">
        <v>0</v>
      </c>
      <c r="I575" t="n">
        <v>0</v>
      </c>
      <c r="J575" t="n">
        <v>0</v>
      </c>
      <c r="K575" t="n">
        <v>0</v>
      </c>
      <c r="L575" t="n">
        <v>0</v>
      </c>
      <c r="M575" t="n">
        <v>0</v>
      </c>
      <c r="N575" t="n">
        <v>0</v>
      </c>
      <c r="O575" t="n">
        <v>0</v>
      </c>
      <c r="P575" t="n">
        <v>0</v>
      </c>
      <c r="Q575" t="n">
        <v>0</v>
      </c>
      <c r="R575" s="2" t="inlineStr"/>
    </row>
    <row r="576" ht="15" customHeight="1">
      <c r="A576" t="inlineStr">
        <is>
          <t>A 6690-2026</t>
        </is>
      </c>
      <c r="B576" s="1" t="n">
        <v>46056.6352662037</v>
      </c>
      <c r="C576" s="1" t="n">
        <v>46076</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6619-2026</t>
        </is>
      </c>
      <c r="B577" s="1" t="n">
        <v>46056.49622685185</v>
      </c>
      <c r="C577" s="1" t="n">
        <v>46076</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6674-2026</t>
        </is>
      </c>
      <c r="B578" s="1" t="n">
        <v>46056.60297453704</v>
      </c>
      <c r="C578" s="1" t="n">
        <v>46076</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6719-2026</t>
        </is>
      </c>
      <c r="B579" s="1" t="n">
        <v>46056.66945601852</v>
      </c>
      <c r="C579" s="1" t="n">
        <v>46076</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63689-2025</t>
        </is>
      </c>
      <c r="B580" s="1" t="n">
        <v>46014.539375</v>
      </c>
      <c r="C580" s="1" t="n">
        <v>46076</v>
      </c>
      <c r="D580" t="inlineStr">
        <is>
          <t>DALARNAS LÄN</t>
        </is>
      </c>
      <c r="E580" t="inlineStr">
        <is>
          <t>MORA</t>
        </is>
      </c>
      <c r="G580" t="n">
        <v>2.2</v>
      </c>
      <c r="H580" t="n">
        <v>0</v>
      </c>
      <c r="I580" t="n">
        <v>0</v>
      </c>
      <c r="J580" t="n">
        <v>0</v>
      </c>
      <c r="K580" t="n">
        <v>0</v>
      </c>
      <c r="L580" t="n">
        <v>0</v>
      </c>
      <c r="M580" t="n">
        <v>0</v>
      </c>
      <c r="N580" t="n">
        <v>0</v>
      </c>
      <c r="O580" t="n">
        <v>0</v>
      </c>
      <c r="P580" t="n">
        <v>0</v>
      </c>
      <c r="Q580" t="n">
        <v>0</v>
      </c>
      <c r="R580" s="2" t="inlineStr"/>
    </row>
    <row r="581" ht="15" customHeight="1">
      <c r="A581" t="inlineStr">
        <is>
          <t>A 2830-2023</t>
        </is>
      </c>
      <c r="B581" s="1" t="n">
        <v>44945.32997685186</v>
      </c>
      <c r="C581" s="1" t="n">
        <v>46076</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6923-2026</t>
        </is>
      </c>
      <c r="B582" s="1" t="n">
        <v>46057.53868055555</v>
      </c>
      <c r="C582" s="1" t="n">
        <v>46076</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6971-2026</t>
        </is>
      </c>
      <c r="B583" s="1" t="n">
        <v>46057.59153935185</v>
      </c>
      <c r="C583" s="1" t="n">
        <v>46076</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39882-2024</t>
        </is>
      </c>
      <c r="B584" s="1" t="n">
        <v>45553</v>
      </c>
      <c r="C584" s="1" t="n">
        <v>46076</v>
      </c>
      <c r="D584" t="inlineStr">
        <is>
          <t>DALARNAS LÄN</t>
        </is>
      </c>
      <c r="E584" t="inlineStr">
        <is>
          <t>MORA</t>
        </is>
      </c>
      <c r="G584" t="n">
        <v>14.6</v>
      </c>
      <c r="H584" t="n">
        <v>0</v>
      </c>
      <c r="I584" t="n">
        <v>0</v>
      </c>
      <c r="J584" t="n">
        <v>0</v>
      </c>
      <c r="K584" t="n">
        <v>0</v>
      </c>
      <c r="L584" t="n">
        <v>0</v>
      </c>
      <c r="M584" t="n">
        <v>0</v>
      </c>
      <c r="N584" t="n">
        <v>0</v>
      </c>
      <c r="O584" t="n">
        <v>0</v>
      </c>
      <c r="P584" t="n">
        <v>0</v>
      </c>
      <c r="Q584" t="n">
        <v>0</v>
      </c>
      <c r="R584" s="2" t="inlineStr"/>
    </row>
    <row r="585" ht="15" customHeight="1">
      <c r="A585" t="inlineStr">
        <is>
          <t>A 43566-2023</t>
        </is>
      </c>
      <c r="B585" s="1" t="n">
        <v>45184.58199074074</v>
      </c>
      <c r="C585" s="1" t="n">
        <v>46076</v>
      </c>
      <c r="D585" t="inlineStr">
        <is>
          <t>DALARNAS LÄN</t>
        </is>
      </c>
      <c r="E585" t="inlineStr">
        <is>
          <t>MORA</t>
        </is>
      </c>
      <c r="F585" t="inlineStr">
        <is>
          <t>Bergvik skog väst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6595-2026</t>
        </is>
      </c>
      <c r="B586" s="1" t="n">
        <v>46056.4644675926</v>
      </c>
      <c r="C586" s="1" t="n">
        <v>46076</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3260-2026</t>
        </is>
      </c>
      <c r="B587" s="1" t="n">
        <v>46041</v>
      </c>
      <c r="C587" s="1" t="n">
        <v>46076</v>
      </c>
      <c r="D587" t="inlineStr">
        <is>
          <t>DALARNAS LÄN</t>
        </is>
      </c>
      <c r="E587" t="inlineStr">
        <is>
          <t>MORA</t>
        </is>
      </c>
      <c r="G587" t="n">
        <v>27.1</v>
      </c>
      <c r="H587" t="n">
        <v>0</v>
      </c>
      <c r="I587" t="n">
        <v>0</v>
      </c>
      <c r="J587" t="n">
        <v>0</v>
      </c>
      <c r="K587" t="n">
        <v>0</v>
      </c>
      <c r="L587" t="n">
        <v>0</v>
      </c>
      <c r="M587" t="n">
        <v>0</v>
      </c>
      <c r="N587" t="n">
        <v>0</v>
      </c>
      <c r="O587" t="n">
        <v>0</v>
      </c>
      <c r="P587" t="n">
        <v>0</v>
      </c>
      <c r="Q587" t="n">
        <v>0</v>
      </c>
      <c r="R587" s="2" t="inlineStr"/>
    </row>
    <row r="588" ht="15" customHeight="1">
      <c r="A588" t="inlineStr">
        <is>
          <t>A 7418-2026</t>
        </is>
      </c>
      <c r="B588" s="1" t="n">
        <v>46059.42018518518</v>
      </c>
      <c r="C588" s="1" t="n">
        <v>46076</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46414-2024</t>
        </is>
      </c>
      <c r="B589" s="1" t="n">
        <v>45582.45226851852</v>
      </c>
      <c r="C589" s="1" t="n">
        <v>46076</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46417-2024</t>
        </is>
      </c>
      <c r="B590" s="1" t="n">
        <v>45582.45449074074</v>
      </c>
      <c r="C590" s="1" t="n">
        <v>46076</v>
      </c>
      <c r="D590" t="inlineStr">
        <is>
          <t>DALARNAS LÄN</t>
        </is>
      </c>
      <c r="E590" t="inlineStr">
        <is>
          <t>MORA</t>
        </is>
      </c>
      <c r="G590" t="n">
        <v>0.8</v>
      </c>
      <c r="H590" t="n">
        <v>0</v>
      </c>
      <c r="I590" t="n">
        <v>0</v>
      </c>
      <c r="J590" t="n">
        <v>0</v>
      </c>
      <c r="K590" t="n">
        <v>0</v>
      </c>
      <c r="L590" t="n">
        <v>0</v>
      </c>
      <c r="M590" t="n">
        <v>0</v>
      </c>
      <c r="N590" t="n">
        <v>0</v>
      </c>
      <c r="O590" t="n">
        <v>0</v>
      </c>
      <c r="P590" t="n">
        <v>0</v>
      </c>
      <c r="Q590" t="n">
        <v>0</v>
      </c>
      <c r="R590" s="2" t="inlineStr"/>
    </row>
    <row r="591" ht="15" customHeight="1">
      <c r="A591" t="inlineStr">
        <is>
          <t>A 5491-2023</t>
        </is>
      </c>
      <c r="B591" s="1" t="n">
        <v>44957</v>
      </c>
      <c r="C591" s="1" t="n">
        <v>46076</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5493-2023</t>
        </is>
      </c>
      <c r="B592" s="1" t="n">
        <v>44957</v>
      </c>
      <c r="C592" s="1" t="n">
        <v>46076</v>
      </c>
      <c r="D592" t="inlineStr">
        <is>
          <t>DALARNAS LÄN</t>
        </is>
      </c>
      <c r="E592" t="inlineStr">
        <is>
          <t>MORA</t>
        </is>
      </c>
      <c r="F592" t="inlineStr">
        <is>
          <t>Allmännings- och besparingsskogar</t>
        </is>
      </c>
      <c r="G592" t="n">
        <v>14.9</v>
      </c>
      <c r="H592" t="n">
        <v>0</v>
      </c>
      <c r="I592" t="n">
        <v>0</v>
      </c>
      <c r="J592" t="n">
        <v>0</v>
      </c>
      <c r="K592" t="n">
        <v>0</v>
      </c>
      <c r="L592" t="n">
        <v>0</v>
      </c>
      <c r="M592" t="n">
        <v>0</v>
      </c>
      <c r="N592" t="n">
        <v>0</v>
      </c>
      <c r="O592" t="n">
        <v>0</v>
      </c>
      <c r="P592" t="n">
        <v>0</v>
      </c>
      <c r="Q592" t="n">
        <v>0</v>
      </c>
      <c r="R592" s="2" t="inlineStr"/>
    </row>
    <row r="593" ht="15" customHeight="1">
      <c r="A593" t="inlineStr">
        <is>
          <t>A 48825-2023</t>
        </is>
      </c>
      <c r="B593" s="1" t="n">
        <v>45203</v>
      </c>
      <c r="C593" s="1" t="n">
        <v>46076</v>
      </c>
      <c r="D593" t="inlineStr">
        <is>
          <t>DALARNAS LÄN</t>
        </is>
      </c>
      <c r="E593" t="inlineStr">
        <is>
          <t>MORA</t>
        </is>
      </c>
      <c r="G593" t="n">
        <v>7.9</v>
      </c>
      <c r="H593" t="n">
        <v>0</v>
      </c>
      <c r="I593" t="n">
        <v>0</v>
      </c>
      <c r="J593" t="n">
        <v>0</v>
      </c>
      <c r="K593" t="n">
        <v>0</v>
      </c>
      <c r="L593" t="n">
        <v>0</v>
      </c>
      <c r="M593" t="n">
        <v>0</v>
      </c>
      <c r="N593" t="n">
        <v>0</v>
      </c>
      <c r="O593" t="n">
        <v>0</v>
      </c>
      <c r="P593" t="n">
        <v>0</v>
      </c>
      <c r="Q593" t="n">
        <v>0</v>
      </c>
      <c r="R593" s="2" t="inlineStr"/>
    </row>
    <row r="594" ht="15" customHeight="1">
      <c r="A594" t="inlineStr">
        <is>
          <t>A 8007-2026</t>
        </is>
      </c>
      <c r="B594" s="1" t="n">
        <v>46063.52565972223</v>
      </c>
      <c r="C594" s="1" t="n">
        <v>46076</v>
      </c>
      <c r="D594" t="inlineStr">
        <is>
          <t>DALARNAS LÄN</t>
        </is>
      </c>
      <c r="E594" t="inlineStr">
        <is>
          <t>MORA</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7951-2026</t>
        </is>
      </c>
      <c r="B595" s="1" t="n">
        <v>46063.42481481482</v>
      </c>
      <c r="C595" s="1" t="n">
        <v>46076</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45105.54791666667</v>
      </c>
      <c r="C596" s="1" t="n">
        <v>46076</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18444-2024</t>
        </is>
      </c>
      <c r="B597" s="1" t="n">
        <v>45425.45568287037</v>
      </c>
      <c r="C597" s="1" t="n">
        <v>46076</v>
      </c>
      <c r="D597" t="inlineStr">
        <is>
          <t>DALARNAS LÄN</t>
        </is>
      </c>
      <c r="E597" t="inlineStr">
        <is>
          <t>MORA</t>
        </is>
      </c>
      <c r="G597" t="n">
        <v>5</v>
      </c>
      <c r="H597" t="n">
        <v>0</v>
      </c>
      <c r="I597" t="n">
        <v>0</v>
      </c>
      <c r="J597" t="n">
        <v>0</v>
      </c>
      <c r="K597" t="n">
        <v>0</v>
      </c>
      <c r="L597" t="n">
        <v>0</v>
      </c>
      <c r="M597" t="n">
        <v>0</v>
      </c>
      <c r="N597" t="n">
        <v>0</v>
      </c>
      <c r="O597" t="n">
        <v>0</v>
      </c>
      <c r="P597" t="n">
        <v>0</v>
      </c>
      <c r="Q597" t="n">
        <v>0</v>
      </c>
      <c r="R597" s="2" t="inlineStr"/>
    </row>
    <row r="598" ht="15" customHeight="1">
      <c r="A598" t="inlineStr">
        <is>
          <t>A 63964-2025</t>
        </is>
      </c>
      <c r="B598" s="1" t="n">
        <v>46020</v>
      </c>
      <c r="C598" s="1" t="n">
        <v>46076</v>
      </c>
      <c r="D598" t="inlineStr">
        <is>
          <t>DALARNAS LÄN</t>
        </is>
      </c>
      <c r="E598" t="inlineStr">
        <is>
          <t>MORA</t>
        </is>
      </c>
      <c r="G598" t="n">
        <v>6.1</v>
      </c>
      <c r="H598" t="n">
        <v>0</v>
      </c>
      <c r="I598" t="n">
        <v>0</v>
      </c>
      <c r="J598" t="n">
        <v>0</v>
      </c>
      <c r="K598" t="n">
        <v>0</v>
      </c>
      <c r="L598" t="n">
        <v>0</v>
      </c>
      <c r="M598" t="n">
        <v>0</v>
      </c>
      <c r="N598" t="n">
        <v>0</v>
      </c>
      <c r="O598" t="n">
        <v>0</v>
      </c>
      <c r="P598" t="n">
        <v>0</v>
      </c>
      <c r="Q598" t="n">
        <v>0</v>
      </c>
      <c r="R598" s="2" t="inlineStr"/>
    </row>
    <row r="599" ht="15" customHeight="1">
      <c r="A599" t="inlineStr">
        <is>
          <t>A 47784-2024</t>
        </is>
      </c>
      <c r="B599" s="1" t="n">
        <v>45588.59290509259</v>
      </c>
      <c r="C599" s="1" t="n">
        <v>46076</v>
      </c>
      <c r="D599" t="inlineStr">
        <is>
          <t>DALARNAS LÄN</t>
        </is>
      </c>
      <c r="E599" t="inlineStr">
        <is>
          <t>MORA</t>
        </is>
      </c>
      <c r="G599" t="n">
        <v>15.3</v>
      </c>
      <c r="H599" t="n">
        <v>0</v>
      </c>
      <c r="I599" t="n">
        <v>0</v>
      </c>
      <c r="J599" t="n">
        <v>0</v>
      </c>
      <c r="K599" t="n">
        <v>0</v>
      </c>
      <c r="L599" t="n">
        <v>0</v>
      </c>
      <c r="M599" t="n">
        <v>0</v>
      </c>
      <c r="N599" t="n">
        <v>0</v>
      </c>
      <c r="O599" t="n">
        <v>0</v>
      </c>
      <c r="P599" t="n">
        <v>0</v>
      </c>
      <c r="Q599" t="n">
        <v>0</v>
      </c>
      <c r="R599" s="2" t="inlineStr"/>
    </row>
    <row r="600" ht="15" customHeight="1">
      <c r="A600" t="inlineStr">
        <is>
          <t>A 8075-2026</t>
        </is>
      </c>
      <c r="B600" s="1" t="n">
        <v>46063.65672453704</v>
      </c>
      <c r="C600" s="1" t="n">
        <v>46076</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45147.3934837963</v>
      </c>
      <c r="C601" s="1" t="n">
        <v>46076</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3854-2026</t>
        </is>
      </c>
      <c r="B602" s="1" t="n">
        <v>46043</v>
      </c>
      <c r="C602" s="1" t="n">
        <v>46076</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59174-2023</t>
        </is>
      </c>
      <c r="B603" s="1" t="n">
        <v>45253.43202546296</v>
      </c>
      <c r="C603" s="1" t="n">
        <v>46076</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4213-2026</t>
        </is>
      </c>
      <c r="B604" s="1" t="n">
        <v>46044.741875</v>
      </c>
      <c r="C604" s="1" t="n">
        <v>46076</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3742-2026</t>
        </is>
      </c>
      <c r="B605" s="1" t="n">
        <v>46043</v>
      </c>
      <c r="C605" s="1" t="n">
        <v>46076</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8361-2026</t>
        </is>
      </c>
      <c r="B606" s="1" t="n">
        <v>46064.6643287037</v>
      </c>
      <c r="C606" s="1" t="n">
        <v>46076</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55331-2022</t>
        </is>
      </c>
      <c r="B607" s="1" t="n">
        <v>44887.43714120371</v>
      </c>
      <c r="C607" s="1" t="n">
        <v>46076</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42085-2024</t>
        </is>
      </c>
      <c r="B608" s="1" t="n">
        <v>45562.33179398148</v>
      </c>
      <c r="C608" s="1" t="n">
        <v>46076</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8470-2026</t>
        </is>
      </c>
      <c r="B609" s="1" t="n">
        <v>46065.4490162037</v>
      </c>
      <c r="C609" s="1" t="n">
        <v>46076</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60187-2024</t>
        </is>
      </c>
      <c r="B610" s="1" t="n">
        <v>45642.64803240741</v>
      </c>
      <c r="C610" s="1" t="n">
        <v>46076</v>
      </c>
      <c r="D610" t="inlineStr">
        <is>
          <t>DALARNAS LÄN</t>
        </is>
      </c>
      <c r="E610" t="inlineStr">
        <is>
          <t>MORA</t>
        </is>
      </c>
      <c r="F610" t="inlineStr">
        <is>
          <t>Allmännings- och besparingsskogar</t>
        </is>
      </c>
      <c r="G610" t="n">
        <v>24.6</v>
      </c>
      <c r="H610" t="n">
        <v>0</v>
      </c>
      <c r="I610" t="n">
        <v>0</v>
      </c>
      <c r="J610" t="n">
        <v>0</v>
      </c>
      <c r="K610" t="n">
        <v>0</v>
      </c>
      <c r="L610" t="n">
        <v>0</v>
      </c>
      <c r="M610" t="n">
        <v>0</v>
      </c>
      <c r="N610" t="n">
        <v>0</v>
      </c>
      <c r="O610" t="n">
        <v>0</v>
      </c>
      <c r="P610" t="n">
        <v>0</v>
      </c>
      <c r="Q610" t="n">
        <v>0</v>
      </c>
      <c r="R610" s="2" t="inlineStr"/>
    </row>
    <row r="611" ht="15" customHeight="1">
      <c r="A611" t="inlineStr">
        <is>
          <t>A 5936-2026</t>
        </is>
      </c>
      <c r="B611" s="1" t="n">
        <v>46052.47197916666</v>
      </c>
      <c r="C611" s="1" t="n">
        <v>46076</v>
      </c>
      <c r="D611" t="inlineStr">
        <is>
          <t>DALARNAS LÄN</t>
        </is>
      </c>
      <c r="E611" t="inlineStr">
        <is>
          <t>MORA</t>
        </is>
      </c>
      <c r="G611" t="n">
        <v>11.1</v>
      </c>
      <c r="H611" t="n">
        <v>0</v>
      </c>
      <c r="I611" t="n">
        <v>0</v>
      </c>
      <c r="J611" t="n">
        <v>0</v>
      </c>
      <c r="K611" t="n">
        <v>0</v>
      </c>
      <c r="L611" t="n">
        <v>0</v>
      </c>
      <c r="M611" t="n">
        <v>0</v>
      </c>
      <c r="N611" t="n">
        <v>0</v>
      </c>
      <c r="O611" t="n">
        <v>0</v>
      </c>
      <c r="P611" t="n">
        <v>0</v>
      </c>
      <c r="Q611" t="n">
        <v>0</v>
      </c>
      <c r="R611" s="2" t="inlineStr"/>
    </row>
    <row r="612" ht="15" customHeight="1">
      <c r="A612" t="inlineStr">
        <is>
          <t>A 8474-2026</t>
        </is>
      </c>
      <c r="B612" s="1" t="n">
        <v>46065.45336805555</v>
      </c>
      <c r="C612" s="1" t="n">
        <v>46076</v>
      </c>
      <c r="D612" t="inlineStr">
        <is>
          <t>DALARNAS LÄN</t>
        </is>
      </c>
      <c r="E612" t="inlineStr">
        <is>
          <t>MORA</t>
        </is>
      </c>
      <c r="G612" t="n">
        <v>4.7</v>
      </c>
      <c r="H612" t="n">
        <v>0</v>
      </c>
      <c r="I612" t="n">
        <v>0</v>
      </c>
      <c r="J612" t="n">
        <v>0</v>
      </c>
      <c r="K612" t="n">
        <v>0</v>
      </c>
      <c r="L612" t="n">
        <v>0</v>
      </c>
      <c r="M612" t="n">
        <v>0</v>
      </c>
      <c r="N612" t="n">
        <v>0</v>
      </c>
      <c r="O612" t="n">
        <v>0</v>
      </c>
      <c r="P612" t="n">
        <v>0</v>
      </c>
      <c r="Q612" t="n">
        <v>0</v>
      </c>
      <c r="R612" s="2" t="inlineStr"/>
    </row>
    <row r="613" ht="15" customHeight="1">
      <c r="A613" t="inlineStr">
        <is>
          <t>A 8549-2026</t>
        </is>
      </c>
      <c r="B613" s="1" t="n">
        <v>46065.61790509259</v>
      </c>
      <c r="C613" s="1" t="n">
        <v>46076</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61222-2023</t>
        </is>
      </c>
      <c r="B614" s="1" t="n">
        <v>45264</v>
      </c>
      <c r="C614" s="1" t="n">
        <v>46076</v>
      </c>
      <c r="D614" t="inlineStr">
        <is>
          <t>DALARNAS LÄN</t>
        </is>
      </c>
      <c r="E614" t="inlineStr">
        <is>
          <t>MORA</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40949-2023</t>
        </is>
      </c>
      <c r="B615" s="1" t="n">
        <v>45173</v>
      </c>
      <c r="C615" s="1" t="n">
        <v>46076</v>
      </c>
      <c r="D615" t="inlineStr">
        <is>
          <t>DALARNAS LÄN</t>
        </is>
      </c>
      <c r="E615" t="inlineStr">
        <is>
          <t>MORA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56767-2024</t>
        </is>
      </c>
      <c r="B616" s="1" t="n">
        <v>45628.41274305555</v>
      </c>
      <c r="C616" s="1" t="n">
        <v>46076</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5216-2025</t>
        </is>
      </c>
      <c r="B617" s="1" t="n">
        <v>45691.69671296296</v>
      </c>
      <c r="C617" s="1" t="n">
        <v>46076</v>
      </c>
      <c r="D617" t="inlineStr">
        <is>
          <t>DALARNAS LÄN</t>
        </is>
      </c>
      <c r="E617" t="inlineStr">
        <is>
          <t>MORA</t>
        </is>
      </c>
      <c r="G617" t="n">
        <v>2.5</v>
      </c>
      <c r="H617" t="n">
        <v>0</v>
      </c>
      <c r="I617" t="n">
        <v>0</v>
      </c>
      <c r="J617" t="n">
        <v>0</v>
      </c>
      <c r="K617" t="n">
        <v>0</v>
      </c>
      <c r="L617" t="n">
        <v>0</v>
      </c>
      <c r="M617" t="n">
        <v>0</v>
      </c>
      <c r="N617" t="n">
        <v>0</v>
      </c>
      <c r="O617" t="n">
        <v>0</v>
      </c>
      <c r="P617" t="n">
        <v>0</v>
      </c>
      <c r="Q617" t="n">
        <v>0</v>
      </c>
      <c r="R617" s="2" t="inlineStr"/>
    </row>
    <row r="618" ht="15" customHeight="1">
      <c r="A618" t="inlineStr">
        <is>
          <t>A 8762-2026</t>
        </is>
      </c>
      <c r="B618" s="1" t="n">
        <v>46066.55876157407</v>
      </c>
      <c r="C618" s="1" t="n">
        <v>46076</v>
      </c>
      <c r="D618" t="inlineStr">
        <is>
          <t>DALARNAS LÄN</t>
        </is>
      </c>
      <c r="E618" t="inlineStr">
        <is>
          <t>MORA</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239-2026</t>
        </is>
      </c>
      <c r="B619" s="1" t="n">
        <v>46027</v>
      </c>
      <c r="C619" s="1" t="n">
        <v>46076</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141-2026</t>
        </is>
      </c>
      <c r="B620" s="1" t="n">
        <v>46024.62364583334</v>
      </c>
      <c r="C620" s="1" t="n">
        <v>46076</v>
      </c>
      <c r="D620" t="inlineStr">
        <is>
          <t>DALARNAS LÄN</t>
        </is>
      </c>
      <c r="E620" t="inlineStr">
        <is>
          <t>MORA</t>
        </is>
      </c>
      <c r="G620" t="n">
        <v>4.4</v>
      </c>
      <c r="H620" t="n">
        <v>0</v>
      </c>
      <c r="I620" t="n">
        <v>0</v>
      </c>
      <c r="J620" t="n">
        <v>0</v>
      </c>
      <c r="K620" t="n">
        <v>0</v>
      </c>
      <c r="L620" t="n">
        <v>0</v>
      </c>
      <c r="M620" t="n">
        <v>0</v>
      </c>
      <c r="N620" t="n">
        <v>0</v>
      </c>
      <c r="O620" t="n">
        <v>0</v>
      </c>
      <c r="P620" t="n">
        <v>0</v>
      </c>
      <c r="Q620" t="n">
        <v>0</v>
      </c>
      <c r="R620" s="2" t="inlineStr"/>
    </row>
    <row r="621" ht="15" customHeight="1">
      <c r="A621" t="inlineStr">
        <is>
          <t>A 45674-2024</t>
        </is>
      </c>
      <c r="B621" s="1" t="n">
        <v>45573</v>
      </c>
      <c r="C621" s="1" t="n">
        <v>46076</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8983-2026</t>
        </is>
      </c>
      <c r="B622" s="1" t="n">
        <v>46069</v>
      </c>
      <c r="C622" s="1" t="n">
        <v>46076</v>
      </c>
      <c r="D622" t="inlineStr">
        <is>
          <t>DALARNAS LÄN</t>
        </is>
      </c>
      <c r="E622" t="inlineStr">
        <is>
          <t>MORA</t>
        </is>
      </c>
      <c r="G622" t="n">
        <v>4.8</v>
      </c>
      <c r="H622" t="n">
        <v>0</v>
      </c>
      <c r="I622" t="n">
        <v>0</v>
      </c>
      <c r="J622" t="n">
        <v>0</v>
      </c>
      <c r="K622" t="n">
        <v>0</v>
      </c>
      <c r="L622" t="n">
        <v>0</v>
      </c>
      <c r="M622" t="n">
        <v>0</v>
      </c>
      <c r="N622" t="n">
        <v>0</v>
      </c>
      <c r="O622" t="n">
        <v>0</v>
      </c>
      <c r="P622" t="n">
        <v>0</v>
      </c>
      <c r="Q622" t="n">
        <v>0</v>
      </c>
      <c r="R622" s="2" t="inlineStr"/>
    </row>
    <row r="623" ht="15" customHeight="1">
      <c r="A623" t="inlineStr">
        <is>
          <t>A 4744-2026</t>
        </is>
      </c>
      <c r="B623" s="1" t="n">
        <v>46048</v>
      </c>
      <c r="C623" s="1" t="n">
        <v>46076</v>
      </c>
      <c r="D623" t="inlineStr">
        <is>
          <t>DALARNAS LÄN</t>
        </is>
      </c>
      <c r="E623" t="inlineStr">
        <is>
          <t>MORA</t>
        </is>
      </c>
      <c r="G623" t="n">
        <v>15.8</v>
      </c>
      <c r="H623" t="n">
        <v>0</v>
      </c>
      <c r="I623" t="n">
        <v>0</v>
      </c>
      <c r="J623" t="n">
        <v>0</v>
      </c>
      <c r="K623" t="n">
        <v>0</v>
      </c>
      <c r="L623" t="n">
        <v>0</v>
      </c>
      <c r="M623" t="n">
        <v>0</v>
      </c>
      <c r="N623" t="n">
        <v>0</v>
      </c>
      <c r="O623" t="n">
        <v>0</v>
      </c>
      <c r="P623" t="n">
        <v>0</v>
      </c>
      <c r="Q623" t="n">
        <v>0</v>
      </c>
      <c r="R623" s="2" t="inlineStr"/>
    </row>
    <row r="624" ht="15" customHeight="1">
      <c r="A624" t="inlineStr">
        <is>
          <t>A 9083-2026</t>
        </is>
      </c>
      <c r="B624" s="1" t="n">
        <v>46069</v>
      </c>
      <c r="C624" s="1" t="n">
        <v>46076</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18139-2025</t>
        </is>
      </c>
      <c r="B625" s="1" t="n">
        <v>45761.60459490741</v>
      </c>
      <c r="C625" s="1" t="n">
        <v>46076</v>
      </c>
      <c r="D625" t="inlineStr">
        <is>
          <t>DALARNAS LÄN</t>
        </is>
      </c>
      <c r="E625" t="inlineStr">
        <is>
          <t>MORA</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9412-2026</t>
        </is>
      </c>
      <c r="B626" s="1" t="n">
        <v>46071.42309027778</v>
      </c>
      <c r="C626" s="1" t="n">
        <v>46076</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7849-2026</t>
        </is>
      </c>
      <c r="B627" s="1" t="n">
        <v>46062</v>
      </c>
      <c r="C627" s="1" t="n">
        <v>46076</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57999-2023</t>
        </is>
      </c>
      <c r="B628" s="1" t="n">
        <v>45247</v>
      </c>
      <c r="C628" s="1" t="n">
        <v>46076</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24335-2022</t>
        </is>
      </c>
      <c r="B629" s="1" t="n">
        <v>44725</v>
      </c>
      <c r="C629" s="1" t="n">
        <v>46076</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60962-2025</t>
        </is>
      </c>
      <c r="B630" s="1" t="n">
        <v>45999.66488425926</v>
      </c>
      <c r="C630" s="1" t="n">
        <v>46076</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7446-2026</t>
        </is>
      </c>
      <c r="B631" s="1" t="n">
        <v>46059</v>
      </c>
      <c r="C631" s="1" t="n">
        <v>46076</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46076</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46076</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4752-2026</t>
        </is>
      </c>
      <c r="B634" s="1" t="n">
        <v>46048</v>
      </c>
      <c r="C634" s="1" t="n">
        <v>46076</v>
      </c>
      <c r="D634" t="inlineStr">
        <is>
          <t>DALARNAS LÄN</t>
        </is>
      </c>
      <c r="E634" t="inlineStr">
        <is>
          <t>MORA</t>
        </is>
      </c>
      <c r="G634" t="n">
        <v>1.7</v>
      </c>
      <c r="H634" t="n">
        <v>0</v>
      </c>
      <c r="I634" t="n">
        <v>0</v>
      </c>
      <c r="J634" t="n">
        <v>0</v>
      </c>
      <c r="K634" t="n">
        <v>0</v>
      </c>
      <c r="L634" t="n">
        <v>0</v>
      </c>
      <c r="M634" t="n">
        <v>0</v>
      </c>
      <c r="N634" t="n">
        <v>0</v>
      </c>
      <c r="O634" t="n">
        <v>0</v>
      </c>
      <c r="P634" t="n">
        <v>0</v>
      </c>
      <c r="Q634" t="n">
        <v>0</v>
      </c>
      <c r="R634" s="2" t="inlineStr"/>
    </row>
    <row r="635" ht="15" customHeight="1">
      <c r="A635" t="inlineStr">
        <is>
          <t>A 5803-2026</t>
        </is>
      </c>
      <c r="B635" s="1" t="n">
        <v>46051.78189814815</v>
      </c>
      <c r="C635" s="1" t="n">
        <v>46076</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42934-2024</t>
        </is>
      </c>
      <c r="B636" s="1" t="n">
        <v>45567.33655092592</v>
      </c>
      <c r="C636" s="1" t="n">
        <v>46076</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17516-2024</t>
        </is>
      </c>
      <c r="B637" s="1" t="n">
        <v>45415.58502314815</v>
      </c>
      <c r="C637" s="1" t="n">
        <v>46076</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316-2026</t>
        </is>
      </c>
      <c r="B638" s="1" t="n">
        <v>46027</v>
      </c>
      <c r="C638" s="1" t="n">
        <v>46076</v>
      </c>
      <c r="D638" t="inlineStr">
        <is>
          <t>DALARNAS LÄN</t>
        </is>
      </c>
      <c r="E638" t="inlineStr">
        <is>
          <t>MORA</t>
        </is>
      </c>
      <c r="G638" t="n">
        <v>2.8</v>
      </c>
      <c r="H638" t="n">
        <v>0</v>
      </c>
      <c r="I638" t="n">
        <v>0</v>
      </c>
      <c r="J638" t="n">
        <v>0</v>
      </c>
      <c r="K638" t="n">
        <v>0</v>
      </c>
      <c r="L638" t="n">
        <v>0</v>
      </c>
      <c r="M638" t="n">
        <v>0</v>
      </c>
      <c r="N638" t="n">
        <v>0</v>
      </c>
      <c r="O638" t="n">
        <v>0</v>
      </c>
      <c r="P638" t="n">
        <v>0</v>
      </c>
      <c r="Q638" t="n">
        <v>0</v>
      </c>
      <c r="R638" s="2" t="inlineStr"/>
    </row>
    <row r="639" ht="15" customHeight="1">
      <c r="A639" t="inlineStr">
        <is>
          <t>A 49159-2023</t>
        </is>
      </c>
      <c r="B639" s="1" t="n">
        <v>45210</v>
      </c>
      <c r="C639" s="1" t="n">
        <v>46076</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665-2026</t>
        </is>
      </c>
      <c r="B640" s="1" t="n">
        <v>46029</v>
      </c>
      <c r="C640" s="1" t="n">
        <v>46076</v>
      </c>
      <c r="D640" t="inlineStr">
        <is>
          <t>DALARNAS LÄN</t>
        </is>
      </c>
      <c r="E640" t="inlineStr">
        <is>
          <t>MORA</t>
        </is>
      </c>
      <c r="F640" t="inlineStr">
        <is>
          <t>Kommuner</t>
        </is>
      </c>
      <c r="G640" t="n">
        <v>20.9</v>
      </c>
      <c r="H640" t="n">
        <v>0</v>
      </c>
      <c r="I640" t="n">
        <v>0</v>
      </c>
      <c r="J640" t="n">
        <v>0</v>
      </c>
      <c r="K640" t="n">
        <v>0</v>
      </c>
      <c r="L640" t="n">
        <v>0</v>
      </c>
      <c r="M640" t="n">
        <v>0</v>
      </c>
      <c r="N640" t="n">
        <v>0</v>
      </c>
      <c r="O640" t="n">
        <v>0</v>
      </c>
      <c r="P640" t="n">
        <v>0</v>
      </c>
      <c r="Q640" t="n">
        <v>0</v>
      </c>
      <c r="R640" s="2" t="inlineStr"/>
    </row>
    <row r="641" ht="15" customHeight="1">
      <c r="A641" t="inlineStr">
        <is>
          <t>A 29188-2023</t>
        </is>
      </c>
      <c r="B641" s="1" t="n">
        <v>45105.54270833333</v>
      </c>
      <c r="C641" s="1" t="n">
        <v>46076</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673-2026</t>
        </is>
      </c>
      <c r="B642" s="1" t="n">
        <v>46029</v>
      </c>
      <c r="C642" s="1" t="n">
        <v>46076</v>
      </c>
      <c r="D642" t="inlineStr">
        <is>
          <t>DALARNAS LÄN</t>
        </is>
      </c>
      <c r="E642" t="inlineStr">
        <is>
          <t>MORA</t>
        </is>
      </c>
      <c r="F642" t="inlineStr">
        <is>
          <t>Kommuner</t>
        </is>
      </c>
      <c r="G642" t="n">
        <v>25.8</v>
      </c>
      <c r="H642" t="n">
        <v>0</v>
      </c>
      <c r="I642" t="n">
        <v>0</v>
      </c>
      <c r="J642" t="n">
        <v>0</v>
      </c>
      <c r="K642" t="n">
        <v>0</v>
      </c>
      <c r="L642" t="n">
        <v>0</v>
      </c>
      <c r="M642" t="n">
        <v>0</v>
      </c>
      <c r="N642" t="n">
        <v>0</v>
      </c>
      <c r="O642" t="n">
        <v>0</v>
      </c>
      <c r="P642" t="n">
        <v>0</v>
      </c>
      <c r="Q642" t="n">
        <v>0</v>
      </c>
      <c r="R642" s="2" t="inlineStr"/>
    </row>
    <row r="643" ht="15" customHeight="1">
      <c r="A643" t="inlineStr">
        <is>
          <t>A 12151-2021</t>
        </is>
      </c>
      <c r="B643" s="1" t="n">
        <v>44266</v>
      </c>
      <c r="C643" s="1" t="n">
        <v>46076</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1174-2026</t>
        </is>
      </c>
      <c r="B644" s="1" t="n">
        <v>46031</v>
      </c>
      <c r="C644" s="1" t="n">
        <v>46076</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9536-2026</t>
        </is>
      </c>
      <c r="B645" s="1" t="n">
        <v>46071.615</v>
      </c>
      <c r="C645" s="1" t="n">
        <v>46076</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46076</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30985-2024</t>
        </is>
      </c>
      <c r="B647" s="1" t="n">
        <v>45499.51721064815</v>
      </c>
      <c r="C647" s="1" t="n">
        <v>46076</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18202-2024</t>
        </is>
      </c>
      <c r="B648" s="1" t="n">
        <v>45420.68172453704</v>
      </c>
      <c r="C648" s="1" t="n">
        <v>46076</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40286-2024</t>
        </is>
      </c>
      <c r="B649" s="1" t="n">
        <v>45554.6687037037</v>
      </c>
      <c r="C649" s="1" t="n">
        <v>46076</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902-2026</t>
        </is>
      </c>
      <c r="B650" s="1" t="n">
        <v>46030.46954861111</v>
      </c>
      <c r="C650" s="1" t="n">
        <v>46076</v>
      </c>
      <c r="D650" t="inlineStr">
        <is>
          <t>DALARNAS LÄN</t>
        </is>
      </c>
      <c r="E650" t="inlineStr">
        <is>
          <t>MORA</t>
        </is>
      </c>
      <c r="G650" t="n">
        <v>4.2</v>
      </c>
      <c r="H650" t="n">
        <v>0</v>
      </c>
      <c r="I650" t="n">
        <v>0</v>
      </c>
      <c r="J650" t="n">
        <v>0</v>
      </c>
      <c r="K650" t="n">
        <v>0</v>
      </c>
      <c r="L650" t="n">
        <v>0</v>
      </c>
      <c r="M650" t="n">
        <v>0</v>
      </c>
      <c r="N650" t="n">
        <v>0</v>
      </c>
      <c r="O650" t="n">
        <v>0</v>
      </c>
      <c r="P650" t="n">
        <v>0</v>
      </c>
      <c r="Q650" t="n">
        <v>0</v>
      </c>
      <c r="R650" s="2" t="inlineStr"/>
    </row>
    <row r="651" ht="15" customHeight="1">
      <c r="A651" t="inlineStr">
        <is>
          <t>A 9740-2026</t>
        </is>
      </c>
      <c r="B651" s="1" t="n">
        <v>46072.50745370371</v>
      </c>
      <c r="C651" s="1" t="n">
        <v>46076</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41169-2023</t>
        </is>
      </c>
      <c r="B652" s="1" t="n">
        <v>45174.34662037037</v>
      </c>
      <c r="C652" s="1" t="n">
        <v>46076</v>
      </c>
      <c r="D652" t="inlineStr">
        <is>
          <t>DALARNAS LÄN</t>
        </is>
      </c>
      <c r="E652" t="inlineStr">
        <is>
          <t>MORA</t>
        </is>
      </c>
      <c r="G652" t="n">
        <v>3</v>
      </c>
      <c r="H652" t="n">
        <v>0</v>
      </c>
      <c r="I652" t="n">
        <v>0</v>
      </c>
      <c r="J652" t="n">
        <v>0</v>
      </c>
      <c r="K652" t="n">
        <v>0</v>
      </c>
      <c r="L652" t="n">
        <v>0</v>
      </c>
      <c r="M652" t="n">
        <v>0</v>
      </c>
      <c r="N652" t="n">
        <v>0</v>
      </c>
      <c r="O652" t="n">
        <v>0</v>
      </c>
      <c r="P652" t="n">
        <v>0</v>
      </c>
      <c r="Q652" t="n">
        <v>0</v>
      </c>
      <c r="R652" s="2" t="inlineStr"/>
    </row>
    <row r="653" ht="15" customHeight="1">
      <c r="A653" t="inlineStr">
        <is>
          <t>A 9421-2026</t>
        </is>
      </c>
      <c r="B653" s="1" t="n">
        <v>46071.44172453704</v>
      </c>
      <c r="C653" s="1" t="n">
        <v>46076</v>
      </c>
      <c r="D653" t="inlineStr">
        <is>
          <t>DALARNAS LÄN</t>
        </is>
      </c>
      <c r="E653" t="inlineStr">
        <is>
          <t>MORA</t>
        </is>
      </c>
      <c r="G653" t="n">
        <v>8.1</v>
      </c>
      <c r="H653" t="n">
        <v>0</v>
      </c>
      <c r="I653" t="n">
        <v>0</v>
      </c>
      <c r="J653" t="n">
        <v>0</v>
      </c>
      <c r="K653" t="n">
        <v>0</v>
      </c>
      <c r="L653" t="n">
        <v>0</v>
      </c>
      <c r="M653" t="n">
        <v>0</v>
      </c>
      <c r="N653" t="n">
        <v>0</v>
      </c>
      <c r="O653" t="n">
        <v>0</v>
      </c>
      <c r="P653" t="n">
        <v>0</v>
      </c>
      <c r="Q653" t="n">
        <v>0</v>
      </c>
      <c r="R653" s="2" t="inlineStr"/>
    </row>
    <row r="654" ht="15" customHeight="1">
      <c r="A654" t="inlineStr">
        <is>
          <t>A 9350-2026</t>
        </is>
      </c>
      <c r="B654" s="1" t="n">
        <v>46070.69221064815</v>
      </c>
      <c r="C654" s="1" t="n">
        <v>46076</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43826-2022</t>
        </is>
      </c>
      <c r="B655" s="1" t="n">
        <v>44838</v>
      </c>
      <c r="C655" s="1" t="n">
        <v>46076</v>
      </c>
      <c r="D655" t="inlineStr">
        <is>
          <t>DALARNAS LÄN</t>
        </is>
      </c>
      <c r="E655" t="inlineStr">
        <is>
          <t>MORA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5473-2026</t>
        </is>
      </c>
      <c r="B656" s="1" t="n">
        <v>46050</v>
      </c>
      <c r="C656" s="1" t="n">
        <v>46076</v>
      </c>
      <c r="D656" t="inlineStr">
        <is>
          <t>DALARNAS LÄN</t>
        </is>
      </c>
      <c r="E656" t="inlineStr">
        <is>
          <t>MORA</t>
        </is>
      </c>
      <c r="G656" t="n">
        <v>10.2</v>
      </c>
      <c r="H656" t="n">
        <v>0</v>
      </c>
      <c r="I656" t="n">
        <v>0</v>
      </c>
      <c r="J656" t="n">
        <v>0</v>
      </c>
      <c r="K656" t="n">
        <v>0</v>
      </c>
      <c r="L656" t="n">
        <v>0</v>
      </c>
      <c r="M656" t="n">
        <v>0</v>
      </c>
      <c r="N656" t="n">
        <v>0</v>
      </c>
      <c r="O656" t="n">
        <v>0</v>
      </c>
      <c r="P656" t="n">
        <v>0</v>
      </c>
      <c r="Q656" t="n">
        <v>0</v>
      </c>
      <c r="R656" s="2" t="inlineStr"/>
    </row>
    <row r="657" ht="15" customHeight="1">
      <c r="A657" t="inlineStr">
        <is>
          <t>A 1068-2026</t>
        </is>
      </c>
      <c r="B657" s="1" t="n">
        <v>46030</v>
      </c>
      <c r="C657" s="1" t="n">
        <v>46076</v>
      </c>
      <c r="D657" t="inlineStr">
        <is>
          <t>DALARNAS LÄN</t>
        </is>
      </c>
      <c r="E657" t="inlineStr">
        <is>
          <t>MORA</t>
        </is>
      </c>
      <c r="G657" t="n">
        <v>1.4</v>
      </c>
      <c r="H657" t="n">
        <v>0</v>
      </c>
      <c r="I657" t="n">
        <v>0</v>
      </c>
      <c r="J657" t="n">
        <v>0</v>
      </c>
      <c r="K657" t="n">
        <v>0</v>
      </c>
      <c r="L657" t="n">
        <v>0</v>
      </c>
      <c r="M657" t="n">
        <v>0</v>
      </c>
      <c r="N657" t="n">
        <v>0</v>
      </c>
      <c r="O657" t="n">
        <v>0</v>
      </c>
      <c r="P657" t="n">
        <v>0</v>
      </c>
      <c r="Q657" t="n">
        <v>0</v>
      </c>
      <c r="R657" s="2" t="inlineStr"/>
    </row>
    <row r="658" ht="15" customHeight="1">
      <c r="A658" t="inlineStr">
        <is>
          <t>A 9788-2026</t>
        </is>
      </c>
      <c r="B658" s="1" t="n">
        <v>46072.5968287037</v>
      </c>
      <c r="C658" s="1" t="n">
        <v>46076</v>
      </c>
      <c r="D658" t="inlineStr">
        <is>
          <t>DALARNAS LÄN</t>
        </is>
      </c>
      <c r="E658" t="inlineStr">
        <is>
          <t>MORA</t>
        </is>
      </c>
      <c r="G658" t="n">
        <v>12</v>
      </c>
      <c r="H658" t="n">
        <v>0</v>
      </c>
      <c r="I658" t="n">
        <v>0</v>
      </c>
      <c r="J658" t="n">
        <v>0</v>
      </c>
      <c r="K658" t="n">
        <v>0</v>
      </c>
      <c r="L658" t="n">
        <v>0</v>
      </c>
      <c r="M658" t="n">
        <v>0</v>
      </c>
      <c r="N658" t="n">
        <v>0</v>
      </c>
      <c r="O658" t="n">
        <v>0</v>
      </c>
      <c r="P658" t="n">
        <v>0</v>
      </c>
      <c r="Q658" t="n">
        <v>0</v>
      </c>
      <c r="R658" s="2" t="inlineStr"/>
    </row>
    <row r="659" ht="15" customHeight="1">
      <c r="A659" t="inlineStr">
        <is>
          <t>A 9733-2026</t>
        </is>
      </c>
      <c r="B659" s="1" t="n">
        <v>46072.48162037037</v>
      </c>
      <c r="C659" s="1" t="n">
        <v>46076</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44106-2023</t>
        </is>
      </c>
      <c r="B660" s="1" t="n">
        <v>45188</v>
      </c>
      <c r="C660" s="1" t="n">
        <v>46076</v>
      </c>
      <c r="D660" t="inlineStr">
        <is>
          <t>DALARNAS LÄN</t>
        </is>
      </c>
      <c r="E660" t="inlineStr">
        <is>
          <t>MORA</t>
        </is>
      </c>
      <c r="G660" t="n">
        <v>10.1</v>
      </c>
      <c r="H660" t="n">
        <v>0</v>
      </c>
      <c r="I660" t="n">
        <v>0</v>
      </c>
      <c r="J660" t="n">
        <v>0</v>
      </c>
      <c r="K660" t="n">
        <v>0</v>
      </c>
      <c r="L660" t="n">
        <v>0</v>
      </c>
      <c r="M660" t="n">
        <v>0</v>
      </c>
      <c r="N660" t="n">
        <v>0</v>
      </c>
      <c r="O660" t="n">
        <v>0</v>
      </c>
      <c r="P660" t="n">
        <v>0</v>
      </c>
      <c r="Q660" t="n">
        <v>0</v>
      </c>
      <c r="R660" s="2" t="inlineStr"/>
    </row>
    <row r="661" ht="15" customHeight="1">
      <c r="A661" t="inlineStr">
        <is>
          <t>A 1102-2026</t>
        </is>
      </c>
      <c r="B661" s="1" t="n">
        <v>46030.66743055556</v>
      </c>
      <c r="C661" s="1" t="n">
        <v>46076</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59002-2024</t>
        </is>
      </c>
      <c r="B662" s="1" t="n">
        <v>45636</v>
      </c>
      <c r="C662" s="1" t="n">
        <v>46076</v>
      </c>
      <c r="D662" t="inlineStr">
        <is>
          <t>DALARNAS LÄN</t>
        </is>
      </c>
      <c r="E662" t="inlineStr">
        <is>
          <t>MORA</t>
        </is>
      </c>
      <c r="F662" t="inlineStr">
        <is>
          <t>Bergvik skog väst AB</t>
        </is>
      </c>
      <c r="G662" t="n">
        <v>24.8</v>
      </c>
      <c r="H662" t="n">
        <v>0</v>
      </c>
      <c r="I662" t="n">
        <v>0</v>
      </c>
      <c r="J662" t="n">
        <v>0</v>
      </c>
      <c r="K662" t="n">
        <v>0</v>
      </c>
      <c r="L662" t="n">
        <v>0</v>
      </c>
      <c r="M662" t="n">
        <v>0</v>
      </c>
      <c r="N662" t="n">
        <v>0</v>
      </c>
      <c r="O662" t="n">
        <v>0</v>
      </c>
      <c r="P662" t="n">
        <v>0</v>
      </c>
      <c r="Q662" t="n">
        <v>0</v>
      </c>
      <c r="R662" s="2" t="inlineStr"/>
    </row>
    <row r="663" ht="15" customHeight="1">
      <c r="A663" t="inlineStr">
        <is>
          <t>A 5980-2025</t>
        </is>
      </c>
      <c r="B663" s="1" t="n">
        <v>45695.54651620371</v>
      </c>
      <c r="C663" s="1" t="n">
        <v>46076</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5527-2024</t>
        </is>
      </c>
      <c r="B664" s="1" t="n">
        <v>45334.38981481481</v>
      </c>
      <c r="C664" s="1" t="n">
        <v>46076</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39856-2024</t>
        </is>
      </c>
      <c r="B665" s="1" t="n">
        <v>45553.44084490741</v>
      </c>
      <c r="C665" s="1" t="n">
        <v>46076</v>
      </c>
      <c r="D665" t="inlineStr">
        <is>
          <t>DALARNAS LÄN</t>
        </is>
      </c>
      <c r="E665" t="inlineStr">
        <is>
          <t>MORA</t>
        </is>
      </c>
      <c r="G665" t="n">
        <v>4.8</v>
      </c>
      <c r="H665" t="n">
        <v>0</v>
      </c>
      <c r="I665" t="n">
        <v>0</v>
      </c>
      <c r="J665" t="n">
        <v>0</v>
      </c>
      <c r="K665" t="n">
        <v>0</v>
      </c>
      <c r="L665" t="n">
        <v>0</v>
      </c>
      <c r="M665" t="n">
        <v>0</v>
      </c>
      <c r="N665" t="n">
        <v>0</v>
      </c>
      <c r="O665" t="n">
        <v>0</v>
      </c>
      <c r="P665" t="n">
        <v>0</v>
      </c>
      <c r="Q665" t="n">
        <v>0</v>
      </c>
      <c r="R665" s="2" t="inlineStr"/>
    </row>
    <row r="666" ht="15" customHeight="1">
      <c r="A666" t="inlineStr">
        <is>
          <t>A 52288-2024</t>
        </is>
      </c>
      <c r="B666" s="1" t="n">
        <v>45608.69395833334</v>
      </c>
      <c r="C666" s="1" t="n">
        <v>46076</v>
      </c>
      <c r="D666" t="inlineStr">
        <is>
          <t>DALARNAS LÄN</t>
        </is>
      </c>
      <c r="E666" t="inlineStr">
        <is>
          <t>MORA</t>
        </is>
      </c>
      <c r="G666" t="n">
        <v>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46076</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12920-2022</t>
        </is>
      </c>
      <c r="B668" s="1" t="n">
        <v>44642.65418981481</v>
      </c>
      <c r="C668" s="1" t="n">
        <v>46076</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17280-2025</t>
        </is>
      </c>
      <c r="B669" s="1" t="n">
        <v>45756</v>
      </c>
      <c r="C669" s="1" t="n">
        <v>46076</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34282-2024</t>
        </is>
      </c>
      <c r="B670" s="1" t="n">
        <v>45524.62600694445</v>
      </c>
      <c r="C670" s="1" t="n">
        <v>46076</v>
      </c>
      <c r="D670" t="inlineStr">
        <is>
          <t>DALARNAS LÄN</t>
        </is>
      </c>
      <c r="E670" t="inlineStr">
        <is>
          <t>MORA</t>
        </is>
      </c>
      <c r="G670" t="n">
        <v>0.5</v>
      </c>
      <c r="H670" t="n">
        <v>0</v>
      </c>
      <c r="I670" t="n">
        <v>0</v>
      </c>
      <c r="J670" t="n">
        <v>0</v>
      </c>
      <c r="K670" t="n">
        <v>0</v>
      </c>
      <c r="L670" t="n">
        <v>0</v>
      </c>
      <c r="M670" t="n">
        <v>0</v>
      </c>
      <c r="N670" t="n">
        <v>0</v>
      </c>
      <c r="O670" t="n">
        <v>0</v>
      </c>
      <c r="P670" t="n">
        <v>0</v>
      </c>
      <c r="Q670" t="n">
        <v>0</v>
      </c>
      <c r="R670" s="2" t="inlineStr"/>
    </row>
    <row r="671" ht="15" customHeight="1">
      <c r="A671" t="inlineStr">
        <is>
          <t>A 38055-2024</t>
        </is>
      </c>
      <c r="B671" s="1" t="n">
        <v>45544</v>
      </c>
      <c r="C671" s="1" t="n">
        <v>46076</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7116-2024</t>
        </is>
      </c>
      <c r="B672" s="1" t="n">
        <v>45343.95445601852</v>
      </c>
      <c r="C672" s="1" t="n">
        <v>46076</v>
      </c>
      <c r="D672" t="inlineStr">
        <is>
          <t>DALARNAS LÄN</t>
        </is>
      </c>
      <c r="E672" t="inlineStr">
        <is>
          <t>MORA</t>
        </is>
      </c>
      <c r="G672" t="n">
        <v>0.3</v>
      </c>
      <c r="H672" t="n">
        <v>0</v>
      </c>
      <c r="I672" t="n">
        <v>0</v>
      </c>
      <c r="J672" t="n">
        <v>0</v>
      </c>
      <c r="K672" t="n">
        <v>0</v>
      </c>
      <c r="L672" t="n">
        <v>0</v>
      </c>
      <c r="M672" t="n">
        <v>0</v>
      </c>
      <c r="N672" t="n">
        <v>0</v>
      </c>
      <c r="O672" t="n">
        <v>0</v>
      </c>
      <c r="P672" t="n">
        <v>0</v>
      </c>
      <c r="Q672" t="n">
        <v>0</v>
      </c>
      <c r="R672" s="2" t="inlineStr"/>
    </row>
    <row r="673" ht="15" customHeight="1">
      <c r="A673" t="inlineStr">
        <is>
          <t>A 22785-2023</t>
        </is>
      </c>
      <c r="B673" s="1" t="n">
        <v>45072.34796296297</v>
      </c>
      <c r="C673" s="1" t="n">
        <v>46076</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60718-2023</t>
        </is>
      </c>
      <c r="B674" s="1" t="n">
        <v>45260.5284375</v>
      </c>
      <c r="C674" s="1" t="n">
        <v>46076</v>
      </c>
      <c r="D674" t="inlineStr">
        <is>
          <t>DALARNAS LÄN</t>
        </is>
      </c>
      <c r="E674" t="inlineStr">
        <is>
          <t>MORA</t>
        </is>
      </c>
      <c r="G674" t="n">
        <v>2.6</v>
      </c>
      <c r="H674" t="n">
        <v>0</v>
      </c>
      <c r="I674" t="n">
        <v>0</v>
      </c>
      <c r="J674" t="n">
        <v>0</v>
      </c>
      <c r="K674" t="n">
        <v>0</v>
      </c>
      <c r="L674" t="n">
        <v>0</v>
      </c>
      <c r="M674" t="n">
        <v>0</v>
      </c>
      <c r="N674" t="n">
        <v>0</v>
      </c>
      <c r="O674" t="n">
        <v>0</v>
      </c>
      <c r="P674" t="n">
        <v>0</v>
      </c>
      <c r="Q674" t="n">
        <v>0</v>
      </c>
      <c r="R674" s="2" t="inlineStr"/>
    </row>
    <row r="675" ht="15" customHeight="1">
      <c r="A675" t="inlineStr">
        <is>
          <t>A 7972-2024</t>
        </is>
      </c>
      <c r="B675" s="1" t="n">
        <v>45350</v>
      </c>
      <c r="C675" s="1" t="n">
        <v>46076</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16637-2025</t>
        </is>
      </c>
      <c r="B676" s="1" t="n">
        <v>45754.36738425926</v>
      </c>
      <c r="C676" s="1" t="n">
        <v>46076</v>
      </c>
      <c r="D676" t="inlineStr">
        <is>
          <t>DALARNAS LÄN</t>
        </is>
      </c>
      <c r="E676" t="inlineStr">
        <is>
          <t>MORA</t>
        </is>
      </c>
      <c r="G676" t="n">
        <v>1.1</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45215.43879629629</v>
      </c>
      <c r="C677" s="1" t="n">
        <v>46076</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28131-2024</t>
        </is>
      </c>
      <c r="B678" s="1" t="n">
        <v>45476.68435185185</v>
      </c>
      <c r="C678" s="1" t="n">
        <v>46076</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28132-2024</t>
        </is>
      </c>
      <c r="B679" s="1" t="n">
        <v>45476.68616898148</v>
      </c>
      <c r="C679" s="1" t="n">
        <v>46076</v>
      </c>
      <c r="D679" t="inlineStr">
        <is>
          <t>DALARNAS LÄN</t>
        </is>
      </c>
      <c r="E679" t="inlineStr">
        <is>
          <t>MORA</t>
        </is>
      </c>
      <c r="G679" t="n">
        <v>0.2</v>
      </c>
      <c r="H679" t="n">
        <v>0</v>
      </c>
      <c r="I679" t="n">
        <v>0</v>
      </c>
      <c r="J679" t="n">
        <v>0</v>
      </c>
      <c r="K679" t="n">
        <v>0</v>
      </c>
      <c r="L679" t="n">
        <v>0</v>
      </c>
      <c r="M679" t="n">
        <v>0</v>
      </c>
      <c r="N679" t="n">
        <v>0</v>
      </c>
      <c r="O679" t="n">
        <v>0</v>
      </c>
      <c r="P679" t="n">
        <v>0</v>
      </c>
      <c r="Q679" t="n">
        <v>0</v>
      </c>
      <c r="R679" s="2" t="inlineStr"/>
    </row>
    <row r="680" ht="15" customHeight="1">
      <c r="A680" t="inlineStr">
        <is>
          <t>A 12987-2024</t>
        </is>
      </c>
      <c r="B680" s="1" t="n">
        <v>45385.55375</v>
      </c>
      <c r="C680" s="1" t="n">
        <v>46076</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48170-2024</t>
        </is>
      </c>
      <c r="B681" s="1" t="n">
        <v>45589.76975694444</v>
      </c>
      <c r="C681" s="1" t="n">
        <v>46076</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46076</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27975-2023</t>
        </is>
      </c>
      <c r="B683" s="1" t="n">
        <v>45098</v>
      </c>
      <c r="C683" s="1" t="n">
        <v>46076</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55222-2023</t>
        </is>
      </c>
      <c r="B684" s="1" t="n">
        <v>45237.60775462963</v>
      </c>
      <c r="C684" s="1" t="n">
        <v>46076</v>
      </c>
      <c r="D684" t="inlineStr">
        <is>
          <t>DALARNAS LÄN</t>
        </is>
      </c>
      <c r="E684" t="inlineStr">
        <is>
          <t>MORA</t>
        </is>
      </c>
      <c r="F684" t="inlineStr">
        <is>
          <t>Allmännings- och besparingsskogar</t>
        </is>
      </c>
      <c r="G684" t="n">
        <v>19.8</v>
      </c>
      <c r="H684" t="n">
        <v>0</v>
      </c>
      <c r="I684" t="n">
        <v>0</v>
      </c>
      <c r="J684" t="n">
        <v>0</v>
      </c>
      <c r="K684" t="n">
        <v>0</v>
      </c>
      <c r="L684" t="n">
        <v>0</v>
      </c>
      <c r="M684" t="n">
        <v>0</v>
      </c>
      <c r="N684" t="n">
        <v>0</v>
      </c>
      <c r="O684" t="n">
        <v>0</v>
      </c>
      <c r="P684" t="n">
        <v>0</v>
      </c>
      <c r="Q684" t="n">
        <v>0</v>
      </c>
      <c r="R684" s="2" t="inlineStr"/>
    </row>
    <row r="685" ht="15" customHeight="1">
      <c r="A685" t="inlineStr">
        <is>
          <t>A 24772-2024</t>
        </is>
      </c>
      <c r="B685" s="1" t="n">
        <v>45460.70204861111</v>
      </c>
      <c r="C685" s="1" t="n">
        <v>46076</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5486-2023</t>
        </is>
      </c>
      <c r="B686" s="1" t="n">
        <v>44957</v>
      </c>
      <c r="C686" s="1" t="n">
        <v>46076</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42943-2024</t>
        </is>
      </c>
      <c r="B687" s="1" t="n">
        <v>45567.35359953704</v>
      </c>
      <c r="C687" s="1" t="n">
        <v>46076</v>
      </c>
      <c r="D687" t="inlineStr">
        <is>
          <t>DALARNAS LÄN</t>
        </is>
      </c>
      <c r="E687" t="inlineStr">
        <is>
          <t>MORA</t>
        </is>
      </c>
      <c r="G687" t="n">
        <v>0.5</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46076</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21244-2024</t>
        </is>
      </c>
      <c r="B689" s="1" t="n">
        <v>45440.59936342593</v>
      </c>
      <c r="C689" s="1" t="n">
        <v>46076</v>
      </c>
      <c r="D689" t="inlineStr">
        <is>
          <t>DALARNAS LÄN</t>
        </is>
      </c>
      <c r="E689" t="inlineStr">
        <is>
          <t>MORA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28964-2024</t>
        </is>
      </c>
      <c r="B690" s="1" t="n">
        <v>45481.42923611111</v>
      </c>
      <c r="C690" s="1" t="n">
        <v>46076</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30194-2024</t>
        </is>
      </c>
      <c r="B691" s="1" t="n">
        <v>45490.33387731481</v>
      </c>
      <c r="C691" s="1" t="n">
        <v>46076</v>
      </c>
      <c r="D691" t="inlineStr">
        <is>
          <t>DALARNAS LÄN</t>
        </is>
      </c>
      <c r="E691" t="inlineStr">
        <is>
          <t>MORA</t>
        </is>
      </c>
      <c r="G691" t="n">
        <v>3.1</v>
      </c>
      <c r="H691" t="n">
        <v>0</v>
      </c>
      <c r="I691" t="n">
        <v>0</v>
      </c>
      <c r="J691" t="n">
        <v>0</v>
      </c>
      <c r="K691" t="n">
        <v>0</v>
      </c>
      <c r="L691" t="n">
        <v>0</v>
      </c>
      <c r="M691" t="n">
        <v>0</v>
      </c>
      <c r="N691" t="n">
        <v>0</v>
      </c>
      <c r="O691" t="n">
        <v>0</v>
      </c>
      <c r="P691" t="n">
        <v>0</v>
      </c>
      <c r="Q691" t="n">
        <v>0</v>
      </c>
      <c r="R691" s="2" t="inlineStr"/>
    </row>
    <row r="692" ht="15" customHeight="1">
      <c r="A692" t="inlineStr">
        <is>
          <t>A 58177-2024</t>
        </is>
      </c>
      <c r="B692" s="1" t="n">
        <v>45632.46821759259</v>
      </c>
      <c r="C692" s="1" t="n">
        <v>46076</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45390-2024</t>
        </is>
      </c>
      <c r="B693" s="1" t="n">
        <v>45576.54820601852</v>
      </c>
      <c r="C693" s="1" t="n">
        <v>46076</v>
      </c>
      <c r="D693" t="inlineStr">
        <is>
          <t>DALARNAS LÄN</t>
        </is>
      </c>
      <c r="E693" t="inlineStr">
        <is>
          <t>MORA</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58089-2024</t>
        </is>
      </c>
      <c r="B694" s="1" t="n">
        <v>45632.34984953704</v>
      </c>
      <c r="C694" s="1" t="n">
        <v>46076</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4208-2023</t>
        </is>
      </c>
      <c r="B695" s="1" t="n">
        <v>44953</v>
      </c>
      <c r="C695" s="1" t="n">
        <v>46076</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4210-2023</t>
        </is>
      </c>
      <c r="B696" s="1" t="n">
        <v>44953.44965277778</v>
      </c>
      <c r="C696" s="1" t="n">
        <v>46076</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44769-2021</t>
        </is>
      </c>
      <c r="B697" s="1" t="n">
        <v>44438</v>
      </c>
      <c r="C697" s="1" t="n">
        <v>46076</v>
      </c>
      <c r="D697" t="inlineStr">
        <is>
          <t>DALARNAS LÄN</t>
        </is>
      </c>
      <c r="E697" t="inlineStr">
        <is>
          <t>MORA</t>
        </is>
      </c>
      <c r="G697" t="n">
        <v>0.9</v>
      </c>
      <c r="H697" t="n">
        <v>0</v>
      </c>
      <c r="I697" t="n">
        <v>0</v>
      </c>
      <c r="J697" t="n">
        <v>0</v>
      </c>
      <c r="K697" t="n">
        <v>0</v>
      </c>
      <c r="L697" t="n">
        <v>0</v>
      </c>
      <c r="M697" t="n">
        <v>0</v>
      </c>
      <c r="N697" t="n">
        <v>0</v>
      </c>
      <c r="O697" t="n">
        <v>0</v>
      </c>
      <c r="P697" t="n">
        <v>0</v>
      </c>
      <c r="Q697" t="n">
        <v>0</v>
      </c>
      <c r="R697" s="2" t="inlineStr"/>
    </row>
    <row r="698" ht="15" customHeight="1">
      <c r="A698" t="inlineStr">
        <is>
          <t>A 58036-2024</t>
        </is>
      </c>
      <c r="B698" s="1" t="n">
        <v>45631.71893518518</v>
      </c>
      <c r="C698" s="1" t="n">
        <v>46076</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3430-2023</t>
        </is>
      </c>
      <c r="B699" s="1" t="n">
        <v>44949.57856481482</v>
      </c>
      <c r="C699" s="1" t="n">
        <v>46076</v>
      </c>
      <c r="D699" t="inlineStr">
        <is>
          <t>DALARNAS LÄN</t>
        </is>
      </c>
      <c r="E699" t="inlineStr">
        <is>
          <t>MORA</t>
        </is>
      </c>
      <c r="G699" t="n">
        <v>2.6</v>
      </c>
      <c r="H699" t="n">
        <v>0</v>
      </c>
      <c r="I699" t="n">
        <v>0</v>
      </c>
      <c r="J699" t="n">
        <v>0</v>
      </c>
      <c r="K699" t="n">
        <v>0</v>
      </c>
      <c r="L699" t="n">
        <v>0</v>
      </c>
      <c r="M699" t="n">
        <v>0</v>
      </c>
      <c r="N699" t="n">
        <v>0</v>
      </c>
      <c r="O699" t="n">
        <v>0</v>
      </c>
      <c r="P699" t="n">
        <v>0</v>
      </c>
      <c r="Q699" t="n">
        <v>0</v>
      </c>
      <c r="R699" s="2" t="inlineStr"/>
    </row>
    <row r="700" ht="15" customHeight="1">
      <c r="A700" t="inlineStr">
        <is>
          <t>A 15172-2025</t>
        </is>
      </c>
      <c r="B700" s="1" t="n">
        <v>45744.50722222222</v>
      </c>
      <c r="C700" s="1" t="n">
        <v>46076</v>
      </c>
      <c r="D700" t="inlineStr">
        <is>
          <t>DALARNAS LÄN</t>
        </is>
      </c>
      <c r="E700" t="inlineStr">
        <is>
          <t>MORA</t>
        </is>
      </c>
      <c r="G700" t="n">
        <v>3.2</v>
      </c>
      <c r="H700" t="n">
        <v>0</v>
      </c>
      <c r="I700" t="n">
        <v>0</v>
      </c>
      <c r="J700" t="n">
        <v>0</v>
      </c>
      <c r="K700" t="n">
        <v>0</v>
      </c>
      <c r="L700" t="n">
        <v>0</v>
      </c>
      <c r="M700" t="n">
        <v>0</v>
      </c>
      <c r="N700" t="n">
        <v>0</v>
      </c>
      <c r="O700" t="n">
        <v>0</v>
      </c>
      <c r="P700" t="n">
        <v>0</v>
      </c>
      <c r="Q700" t="n">
        <v>0</v>
      </c>
      <c r="R700" s="2" t="inlineStr"/>
    </row>
    <row r="701" ht="15" customHeight="1">
      <c r="A701" t="inlineStr">
        <is>
          <t>A 39897-2022</t>
        </is>
      </c>
      <c r="B701" s="1" t="n">
        <v>44819.66083333334</v>
      </c>
      <c r="C701" s="1" t="n">
        <v>46076</v>
      </c>
      <c r="D701" t="inlineStr">
        <is>
          <t>DALARNAS LÄN</t>
        </is>
      </c>
      <c r="E701" t="inlineStr">
        <is>
          <t>MORA</t>
        </is>
      </c>
      <c r="G701" t="n">
        <v>15.8</v>
      </c>
      <c r="H701" t="n">
        <v>0</v>
      </c>
      <c r="I701" t="n">
        <v>0</v>
      </c>
      <c r="J701" t="n">
        <v>0</v>
      </c>
      <c r="K701" t="n">
        <v>0</v>
      </c>
      <c r="L701" t="n">
        <v>0</v>
      </c>
      <c r="M701" t="n">
        <v>0</v>
      </c>
      <c r="N701" t="n">
        <v>0</v>
      </c>
      <c r="O701" t="n">
        <v>0</v>
      </c>
      <c r="P701" t="n">
        <v>0</v>
      </c>
      <c r="Q701" t="n">
        <v>0</v>
      </c>
      <c r="R701" s="2" t="inlineStr"/>
    </row>
    <row r="702" ht="15" customHeight="1">
      <c r="A702" t="inlineStr">
        <is>
          <t>A 62853-2023</t>
        </is>
      </c>
      <c r="B702" s="1" t="n">
        <v>45272</v>
      </c>
      <c r="C702" s="1" t="n">
        <v>46076</v>
      </c>
      <c r="D702" t="inlineStr">
        <is>
          <t>DALARNAS LÄN</t>
        </is>
      </c>
      <c r="E702" t="inlineStr">
        <is>
          <t>MORA</t>
        </is>
      </c>
      <c r="G702" t="n">
        <v>13.6</v>
      </c>
      <c r="H702" t="n">
        <v>0</v>
      </c>
      <c r="I702" t="n">
        <v>0</v>
      </c>
      <c r="J702" t="n">
        <v>0</v>
      </c>
      <c r="K702" t="n">
        <v>0</v>
      </c>
      <c r="L702" t="n">
        <v>0</v>
      </c>
      <c r="M702" t="n">
        <v>0</v>
      </c>
      <c r="N702" t="n">
        <v>0</v>
      </c>
      <c r="O702" t="n">
        <v>0</v>
      </c>
      <c r="P702" t="n">
        <v>0</v>
      </c>
      <c r="Q702" t="n">
        <v>0</v>
      </c>
      <c r="R702" s="2" t="inlineStr"/>
    </row>
    <row r="703" ht="15" customHeight="1">
      <c r="A703" t="inlineStr">
        <is>
          <t>A 11919-2024</t>
        </is>
      </c>
      <c r="B703" s="1" t="n">
        <v>45376.61019675926</v>
      </c>
      <c r="C703" s="1" t="n">
        <v>46076</v>
      </c>
      <c r="D703" t="inlineStr">
        <is>
          <t>DALARNAS LÄN</t>
        </is>
      </c>
      <c r="E703" t="inlineStr">
        <is>
          <t>MORA</t>
        </is>
      </c>
      <c r="G703" t="n">
        <v>3.5</v>
      </c>
      <c r="H703" t="n">
        <v>0</v>
      </c>
      <c r="I703" t="n">
        <v>0</v>
      </c>
      <c r="J703" t="n">
        <v>0</v>
      </c>
      <c r="K703" t="n">
        <v>0</v>
      </c>
      <c r="L703" t="n">
        <v>0</v>
      </c>
      <c r="M703" t="n">
        <v>0</v>
      </c>
      <c r="N703" t="n">
        <v>0</v>
      </c>
      <c r="O703" t="n">
        <v>0</v>
      </c>
      <c r="P703" t="n">
        <v>0</v>
      </c>
      <c r="Q703" t="n">
        <v>0</v>
      </c>
      <c r="R703" s="2" t="inlineStr"/>
    </row>
    <row r="704" ht="15" customHeight="1">
      <c r="A704" t="inlineStr">
        <is>
          <t>A 1897-2023</t>
        </is>
      </c>
      <c r="B704" s="1" t="n">
        <v>44937</v>
      </c>
      <c r="C704" s="1" t="n">
        <v>46076</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37385-2022</t>
        </is>
      </c>
      <c r="B705" s="1" t="n">
        <v>44806</v>
      </c>
      <c r="C705" s="1" t="n">
        <v>46076</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42391-2023</t>
        </is>
      </c>
      <c r="B706" s="1" t="n">
        <v>45180</v>
      </c>
      <c r="C706" s="1" t="n">
        <v>46076</v>
      </c>
      <c r="D706" t="inlineStr">
        <is>
          <t>DALARNAS LÄN</t>
        </is>
      </c>
      <c r="E706" t="inlineStr">
        <is>
          <t>MORA</t>
        </is>
      </c>
      <c r="F706" t="inlineStr">
        <is>
          <t>Kommuner</t>
        </is>
      </c>
      <c r="G706" t="n">
        <v>0.3</v>
      </c>
      <c r="H706" t="n">
        <v>0</v>
      </c>
      <c r="I706" t="n">
        <v>0</v>
      </c>
      <c r="J706" t="n">
        <v>0</v>
      </c>
      <c r="K706" t="n">
        <v>0</v>
      </c>
      <c r="L706" t="n">
        <v>0</v>
      </c>
      <c r="M706" t="n">
        <v>0</v>
      </c>
      <c r="N706" t="n">
        <v>0</v>
      </c>
      <c r="O706" t="n">
        <v>0</v>
      </c>
      <c r="P706" t="n">
        <v>0</v>
      </c>
      <c r="Q706" t="n">
        <v>0</v>
      </c>
      <c r="R706" s="2" t="inlineStr"/>
    </row>
    <row r="707" ht="15" customHeight="1">
      <c r="A707" t="inlineStr">
        <is>
          <t>A 70141-2021</t>
        </is>
      </c>
      <c r="B707" s="1" t="n">
        <v>44533</v>
      </c>
      <c r="C707" s="1" t="n">
        <v>46076</v>
      </c>
      <c r="D707" t="inlineStr">
        <is>
          <t>DALARNAS LÄN</t>
        </is>
      </c>
      <c r="E707" t="inlineStr">
        <is>
          <t>MORA</t>
        </is>
      </c>
      <c r="G707" t="n">
        <v>4.1</v>
      </c>
      <c r="H707" t="n">
        <v>0</v>
      </c>
      <c r="I707" t="n">
        <v>0</v>
      </c>
      <c r="J707" t="n">
        <v>0</v>
      </c>
      <c r="K707" t="n">
        <v>0</v>
      </c>
      <c r="L707" t="n">
        <v>0</v>
      </c>
      <c r="M707" t="n">
        <v>0</v>
      </c>
      <c r="N707" t="n">
        <v>0</v>
      </c>
      <c r="O707" t="n">
        <v>0</v>
      </c>
      <c r="P707" t="n">
        <v>0</v>
      </c>
      <c r="Q707" t="n">
        <v>0</v>
      </c>
      <c r="R707" s="2" t="inlineStr"/>
    </row>
    <row r="708" ht="15" customHeight="1">
      <c r="A708" t="inlineStr">
        <is>
          <t>A 64093-2023</t>
        </is>
      </c>
      <c r="B708" s="1" t="n">
        <v>45279</v>
      </c>
      <c r="C708" s="1" t="n">
        <v>46076</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37471-2024</t>
        </is>
      </c>
      <c r="B709" s="1" t="n">
        <v>45540.85054398148</v>
      </c>
      <c r="C709" s="1" t="n">
        <v>46076</v>
      </c>
      <c r="D709" t="inlineStr">
        <is>
          <t>DALARNAS LÄN</t>
        </is>
      </c>
      <c r="E709" t="inlineStr">
        <is>
          <t>MORA</t>
        </is>
      </c>
      <c r="G709" t="n">
        <v>3.5</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46076</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53344-2023</t>
        </is>
      </c>
      <c r="B711" s="1" t="n">
        <v>45229</v>
      </c>
      <c r="C711" s="1" t="n">
        <v>46076</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53754-2024</t>
        </is>
      </c>
      <c r="B712" s="1" t="n">
        <v>45615.49371527778</v>
      </c>
      <c r="C712" s="1" t="n">
        <v>46076</v>
      </c>
      <c r="D712" t="inlineStr">
        <is>
          <t>DALARNAS LÄN</t>
        </is>
      </c>
      <c r="E712" t="inlineStr">
        <is>
          <t>MORA</t>
        </is>
      </c>
      <c r="G712" t="n">
        <v>4.8</v>
      </c>
      <c r="H712" t="n">
        <v>0</v>
      </c>
      <c r="I712" t="n">
        <v>0</v>
      </c>
      <c r="J712" t="n">
        <v>0</v>
      </c>
      <c r="K712" t="n">
        <v>0</v>
      </c>
      <c r="L712" t="n">
        <v>0</v>
      </c>
      <c r="M712" t="n">
        <v>0</v>
      </c>
      <c r="N712" t="n">
        <v>0</v>
      </c>
      <c r="O712" t="n">
        <v>0</v>
      </c>
      <c r="P712" t="n">
        <v>0</v>
      </c>
      <c r="Q712" t="n">
        <v>0</v>
      </c>
      <c r="R712" s="2" t="inlineStr"/>
    </row>
    <row r="713" ht="15" customHeight="1">
      <c r="A713" t="inlineStr">
        <is>
          <t>A 14040-2023</t>
        </is>
      </c>
      <c r="B713" s="1" t="n">
        <v>45008.64575231481</v>
      </c>
      <c r="C713" s="1" t="n">
        <v>46076</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56770-2024</t>
        </is>
      </c>
      <c r="B714" s="1" t="n">
        <v>45628.41587962963</v>
      </c>
      <c r="C714" s="1" t="n">
        <v>46076</v>
      </c>
      <c r="D714" t="inlineStr">
        <is>
          <t>DALARNAS LÄN</t>
        </is>
      </c>
      <c r="E714" t="inlineStr">
        <is>
          <t>MORA</t>
        </is>
      </c>
      <c r="G714" t="n">
        <v>1.1</v>
      </c>
      <c r="H714" t="n">
        <v>0</v>
      </c>
      <c r="I714" t="n">
        <v>0</v>
      </c>
      <c r="J714" t="n">
        <v>0</v>
      </c>
      <c r="K714" t="n">
        <v>0</v>
      </c>
      <c r="L714" t="n">
        <v>0</v>
      </c>
      <c r="M714" t="n">
        <v>0</v>
      </c>
      <c r="N714" t="n">
        <v>0</v>
      </c>
      <c r="O714" t="n">
        <v>0</v>
      </c>
      <c r="P714" t="n">
        <v>0</v>
      </c>
      <c r="Q714" t="n">
        <v>0</v>
      </c>
      <c r="R714" s="2" t="inlineStr"/>
    </row>
    <row r="715" ht="15" customHeight="1">
      <c r="A715" t="inlineStr">
        <is>
          <t>A 18120-2025</t>
        </is>
      </c>
      <c r="B715" s="1" t="n">
        <v>45761</v>
      </c>
      <c r="C715" s="1" t="n">
        <v>46076</v>
      </c>
      <c r="D715" t="inlineStr">
        <is>
          <t>DALARNAS LÄN</t>
        </is>
      </c>
      <c r="E715" t="inlineStr">
        <is>
          <t>MORA</t>
        </is>
      </c>
      <c r="F715" t="inlineStr">
        <is>
          <t>Bergvik skog väst AB</t>
        </is>
      </c>
      <c r="G715" t="n">
        <v>6.4</v>
      </c>
      <c r="H715" t="n">
        <v>0</v>
      </c>
      <c r="I715" t="n">
        <v>0</v>
      </c>
      <c r="J715" t="n">
        <v>0</v>
      </c>
      <c r="K715" t="n">
        <v>0</v>
      </c>
      <c r="L715" t="n">
        <v>0</v>
      </c>
      <c r="M715" t="n">
        <v>0</v>
      </c>
      <c r="N715" t="n">
        <v>0</v>
      </c>
      <c r="O715" t="n">
        <v>0</v>
      </c>
      <c r="P715" t="n">
        <v>0</v>
      </c>
      <c r="Q715" t="n">
        <v>0</v>
      </c>
      <c r="R715" s="2" t="inlineStr"/>
    </row>
    <row r="716" ht="15" customHeight="1">
      <c r="A716" t="inlineStr">
        <is>
          <t>A 18127-2025</t>
        </is>
      </c>
      <c r="B716" s="1" t="n">
        <v>45761.59523148148</v>
      </c>
      <c r="C716" s="1" t="n">
        <v>46076</v>
      </c>
      <c r="D716" t="inlineStr">
        <is>
          <t>DALARNAS LÄN</t>
        </is>
      </c>
      <c r="E716" t="inlineStr">
        <is>
          <t>MORA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4489-2022</t>
        </is>
      </c>
      <c r="B717" s="1" t="n">
        <v>44589</v>
      </c>
      <c r="C717" s="1" t="n">
        <v>46076</v>
      </c>
      <c r="D717" t="inlineStr">
        <is>
          <t>DALARNAS LÄN</t>
        </is>
      </c>
      <c r="E717" t="inlineStr">
        <is>
          <t>MORA</t>
        </is>
      </c>
      <c r="G717" t="n">
        <v>0.7</v>
      </c>
      <c r="H717" t="n">
        <v>0</v>
      </c>
      <c r="I717" t="n">
        <v>0</v>
      </c>
      <c r="J717" t="n">
        <v>0</v>
      </c>
      <c r="K717" t="n">
        <v>0</v>
      </c>
      <c r="L717" t="n">
        <v>0</v>
      </c>
      <c r="M717" t="n">
        <v>0</v>
      </c>
      <c r="N717" t="n">
        <v>0</v>
      </c>
      <c r="O717" t="n">
        <v>0</v>
      </c>
      <c r="P717" t="n">
        <v>0</v>
      </c>
      <c r="Q717" t="n">
        <v>0</v>
      </c>
      <c r="R717" s="2" t="inlineStr"/>
    </row>
    <row r="718" ht="15" customHeight="1">
      <c r="A718" t="inlineStr">
        <is>
          <t>A 45574-2023</t>
        </is>
      </c>
      <c r="B718" s="1" t="n">
        <v>45194</v>
      </c>
      <c r="C718" s="1" t="n">
        <v>46076</v>
      </c>
      <c r="D718" t="inlineStr">
        <is>
          <t>DALARNAS LÄN</t>
        </is>
      </c>
      <c r="E718" t="inlineStr">
        <is>
          <t>MORA</t>
        </is>
      </c>
      <c r="G718" t="n">
        <v>6.3</v>
      </c>
      <c r="H718" t="n">
        <v>0</v>
      </c>
      <c r="I718" t="n">
        <v>0</v>
      </c>
      <c r="J718" t="n">
        <v>0</v>
      </c>
      <c r="K718" t="n">
        <v>0</v>
      </c>
      <c r="L718" t="n">
        <v>0</v>
      </c>
      <c r="M718" t="n">
        <v>0</v>
      </c>
      <c r="N718" t="n">
        <v>0</v>
      </c>
      <c r="O718" t="n">
        <v>0</v>
      </c>
      <c r="P718" t="n">
        <v>0</v>
      </c>
      <c r="Q718" t="n">
        <v>0</v>
      </c>
      <c r="R718" s="2" t="inlineStr"/>
    </row>
    <row r="719" ht="15" customHeight="1">
      <c r="A719" t="inlineStr">
        <is>
          <t>A 45315-2024</t>
        </is>
      </c>
      <c r="B719" s="1" t="n">
        <v>45576.43782407408</v>
      </c>
      <c r="C719" s="1" t="n">
        <v>46076</v>
      </c>
      <c r="D719" t="inlineStr">
        <is>
          <t>DALARNAS LÄN</t>
        </is>
      </c>
      <c r="E719" t="inlineStr">
        <is>
          <t>MORA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17172-2025</t>
        </is>
      </c>
      <c r="B720" s="1" t="n">
        <v>45756.37201388889</v>
      </c>
      <c r="C720" s="1" t="n">
        <v>46076</v>
      </c>
      <c r="D720" t="inlineStr">
        <is>
          <t>DALARNAS LÄN</t>
        </is>
      </c>
      <c r="E720" t="inlineStr">
        <is>
          <t>MORA</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39009-2023</t>
        </is>
      </c>
      <c r="B721" s="1" t="n">
        <v>45162</v>
      </c>
      <c r="C721" s="1" t="n">
        <v>46076</v>
      </c>
      <c r="D721" t="inlineStr">
        <is>
          <t>DALARNAS LÄN</t>
        </is>
      </c>
      <c r="E721" t="inlineStr">
        <is>
          <t>MORA</t>
        </is>
      </c>
      <c r="G721" t="n">
        <v>1.9</v>
      </c>
      <c r="H721" t="n">
        <v>0</v>
      </c>
      <c r="I721" t="n">
        <v>0</v>
      </c>
      <c r="J721" t="n">
        <v>0</v>
      </c>
      <c r="K721" t="n">
        <v>0</v>
      </c>
      <c r="L721" t="n">
        <v>0</v>
      </c>
      <c r="M721" t="n">
        <v>0</v>
      </c>
      <c r="N721" t="n">
        <v>0</v>
      </c>
      <c r="O721" t="n">
        <v>0</v>
      </c>
      <c r="P721" t="n">
        <v>0</v>
      </c>
      <c r="Q721" t="n">
        <v>0</v>
      </c>
      <c r="R721" s="2" t="inlineStr"/>
    </row>
    <row r="722" ht="15" customHeight="1">
      <c r="A722" t="inlineStr">
        <is>
          <t>A 56532-2024</t>
        </is>
      </c>
      <c r="B722" s="1" t="n">
        <v>45625.55440972222</v>
      </c>
      <c r="C722" s="1" t="n">
        <v>46076</v>
      </c>
      <c r="D722" t="inlineStr">
        <is>
          <t>DALARNAS LÄN</t>
        </is>
      </c>
      <c r="E722" t="inlineStr">
        <is>
          <t>MORA</t>
        </is>
      </c>
      <c r="G722" t="n">
        <v>6.9</v>
      </c>
      <c r="H722" t="n">
        <v>0</v>
      </c>
      <c r="I722" t="n">
        <v>0</v>
      </c>
      <c r="J722" t="n">
        <v>0</v>
      </c>
      <c r="K722" t="n">
        <v>0</v>
      </c>
      <c r="L722" t="n">
        <v>0</v>
      </c>
      <c r="M722" t="n">
        <v>0</v>
      </c>
      <c r="N722" t="n">
        <v>0</v>
      </c>
      <c r="O722" t="n">
        <v>0</v>
      </c>
      <c r="P722" t="n">
        <v>0</v>
      </c>
      <c r="Q722" t="n">
        <v>0</v>
      </c>
      <c r="R722" s="2" t="inlineStr"/>
    </row>
    <row r="723" ht="15" customHeight="1">
      <c r="A723" t="inlineStr">
        <is>
          <t>A 5001-2025</t>
        </is>
      </c>
      <c r="B723" s="1" t="n">
        <v>45691.36403935185</v>
      </c>
      <c r="C723" s="1" t="n">
        <v>46076</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60360-2023</t>
        </is>
      </c>
      <c r="B724" s="1" t="n">
        <v>45259</v>
      </c>
      <c r="C724" s="1" t="n">
        <v>46076</v>
      </c>
      <c r="D724" t="inlineStr">
        <is>
          <t>DALARNAS LÄN</t>
        </is>
      </c>
      <c r="E724" t="inlineStr">
        <is>
          <t>MORA</t>
        </is>
      </c>
      <c r="G724" t="n">
        <v>2.9</v>
      </c>
      <c r="H724" t="n">
        <v>0</v>
      </c>
      <c r="I724" t="n">
        <v>0</v>
      </c>
      <c r="J724" t="n">
        <v>0</v>
      </c>
      <c r="K724" t="n">
        <v>0</v>
      </c>
      <c r="L724" t="n">
        <v>0</v>
      </c>
      <c r="M724" t="n">
        <v>0</v>
      </c>
      <c r="N724" t="n">
        <v>0</v>
      </c>
      <c r="O724" t="n">
        <v>0</v>
      </c>
      <c r="P724" t="n">
        <v>0</v>
      </c>
      <c r="Q724" t="n">
        <v>0</v>
      </c>
      <c r="R724" s="2" t="inlineStr"/>
    </row>
    <row r="725" ht="15" customHeight="1">
      <c r="A725" t="inlineStr">
        <is>
          <t>A 17164-2025</t>
        </is>
      </c>
      <c r="B725" s="1" t="n">
        <v>45756.36403935185</v>
      </c>
      <c r="C725" s="1" t="n">
        <v>46076</v>
      </c>
      <c r="D725" t="inlineStr">
        <is>
          <t>DALARNAS LÄN</t>
        </is>
      </c>
      <c r="E725" t="inlineStr">
        <is>
          <t>MORA</t>
        </is>
      </c>
      <c r="F725" t="inlineStr">
        <is>
          <t>Bergvik skog öst AB</t>
        </is>
      </c>
      <c r="G725" t="n">
        <v>0.3</v>
      </c>
      <c r="H725" t="n">
        <v>0</v>
      </c>
      <c r="I725" t="n">
        <v>0</v>
      </c>
      <c r="J725" t="n">
        <v>0</v>
      </c>
      <c r="K725" t="n">
        <v>0</v>
      </c>
      <c r="L725" t="n">
        <v>0</v>
      </c>
      <c r="M725" t="n">
        <v>0</v>
      </c>
      <c r="N725" t="n">
        <v>0</v>
      </c>
      <c r="O725" t="n">
        <v>0</v>
      </c>
      <c r="P725" t="n">
        <v>0</v>
      </c>
      <c r="Q725" t="n">
        <v>0</v>
      </c>
      <c r="R725" s="2" t="inlineStr"/>
    </row>
    <row r="726" ht="15" customHeight="1">
      <c r="A726" t="inlineStr">
        <is>
          <t>A 24768-2024</t>
        </is>
      </c>
      <c r="B726" s="1" t="n">
        <v>45460.69545138889</v>
      </c>
      <c r="C726" s="1" t="n">
        <v>46076</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17278-2025</t>
        </is>
      </c>
      <c r="B727" s="1" t="n">
        <v>45756.56131944444</v>
      </c>
      <c r="C727" s="1" t="n">
        <v>46076</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4209-2023</t>
        </is>
      </c>
      <c r="B728" s="1" t="n">
        <v>44953</v>
      </c>
      <c r="C728" s="1" t="n">
        <v>46076</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44205-2023</t>
        </is>
      </c>
      <c r="B729" s="1" t="n">
        <v>45188</v>
      </c>
      <c r="C729" s="1" t="n">
        <v>46076</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22732-2024</t>
        </is>
      </c>
      <c r="B730" s="1" t="n">
        <v>45448.38677083333</v>
      </c>
      <c r="C730" s="1" t="n">
        <v>46076</v>
      </c>
      <c r="D730" t="inlineStr">
        <is>
          <t>DALARNAS LÄN</t>
        </is>
      </c>
      <c r="E730" t="inlineStr">
        <is>
          <t>MORA</t>
        </is>
      </c>
      <c r="G730" t="n">
        <v>3.6</v>
      </c>
      <c r="H730" t="n">
        <v>0</v>
      </c>
      <c r="I730" t="n">
        <v>0</v>
      </c>
      <c r="J730" t="n">
        <v>0</v>
      </c>
      <c r="K730" t="n">
        <v>0</v>
      </c>
      <c r="L730" t="n">
        <v>0</v>
      </c>
      <c r="M730" t="n">
        <v>0</v>
      </c>
      <c r="N730" t="n">
        <v>0</v>
      </c>
      <c r="O730" t="n">
        <v>0</v>
      </c>
      <c r="P730" t="n">
        <v>0</v>
      </c>
      <c r="Q730" t="n">
        <v>0</v>
      </c>
      <c r="R730" s="2" t="inlineStr"/>
    </row>
    <row r="731" ht="15" customHeight="1">
      <c r="A731" t="inlineStr">
        <is>
          <t>A 19756-2022</t>
        </is>
      </c>
      <c r="B731" s="1" t="n">
        <v>44694.62913194444</v>
      </c>
      <c r="C731" s="1" t="n">
        <v>46076</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46801-2022</t>
        </is>
      </c>
      <c r="B732" s="1" t="n">
        <v>44851</v>
      </c>
      <c r="C732" s="1" t="n">
        <v>46076</v>
      </c>
      <c r="D732" t="inlineStr">
        <is>
          <t>DALARNAS LÄN</t>
        </is>
      </c>
      <c r="E732" t="inlineStr">
        <is>
          <t>MORA</t>
        </is>
      </c>
      <c r="G732" t="n">
        <v>1.5</v>
      </c>
      <c r="H732" t="n">
        <v>0</v>
      </c>
      <c r="I732" t="n">
        <v>0</v>
      </c>
      <c r="J732" t="n">
        <v>0</v>
      </c>
      <c r="K732" t="n">
        <v>0</v>
      </c>
      <c r="L732" t="n">
        <v>0</v>
      </c>
      <c r="M732" t="n">
        <v>0</v>
      </c>
      <c r="N732" t="n">
        <v>0</v>
      </c>
      <c r="O732" t="n">
        <v>0</v>
      </c>
      <c r="P732" t="n">
        <v>0</v>
      </c>
      <c r="Q732" t="n">
        <v>0</v>
      </c>
      <c r="R732" s="2" t="inlineStr"/>
    </row>
    <row r="733" ht="15" customHeight="1">
      <c r="A733" t="inlineStr">
        <is>
          <t>A 5644-2024</t>
        </is>
      </c>
      <c r="B733" s="1" t="n">
        <v>45334</v>
      </c>
      <c r="C733" s="1" t="n">
        <v>46076</v>
      </c>
      <c r="D733" t="inlineStr">
        <is>
          <t>DALARNAS LÄN</t>
        </is>
      </c>
      <c r="E733" t="inlineStr">
        <is>
          <t>MORA</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33627-2024</t>
        </is>
      </c>
      <c r="B734" s="1" t="n">
        <v>45520</v>
      </c>
      <c r="C734" s="1" t="n">
        <v>46076</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46923-2024</t>
        </is>
      </c>
      <c r="B735" s="1" t="n">
        <v>45584.42887731481</v>
      </c>
      <c r="C735" s="1" t="n">
        <v>46076</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39888-2024</t>
        </is>
      </c>
      <c r="B736" s="1" t="n">
        <v>45553.47538194444</v>
      </c>
      <c r="C736" s="1" t="n">
        <v>46076</v>
      </c>
      <c r="D736" t="inlineStr">
        <is>
          <t>DALARNAS LÄN</t>
        </is>
      </c>
      <c r="E736" t="inlineStr">
        <is>
          <t>MORA</t>
        </is>
      </c>
      <c r="G736" t="n">
        <v>5.4</v>
      </c>
      <c r="H736" t="n">
        <v>0</v>
      </c>
      <c r="I736" t="n">
        <v>0</v>
      </c>
      <c r="J736" t="n">
        <v>0</v>
      </c>
      <c r="K736" t="n">
        <v>0</v>
      </c>
      <c r="L736" t="n">
        <v>0</v>
      </c>
      <c r="M736" t="n">
        <v>0</v>
      </c>
      <c r="N736" t="n">
        <v>0</v>
      </c>
      <c r="O736" t="n">
        <v>0</v>
      </c>
      <c r="P736" t="n">
        <v>0</v>
      </c>
      <c r="Q736" t="n">
        <v>0</v>
      </c>
      <c r="R736" s="2" t="inlineStr"/>
    </row>
    <row r="737" ht="15" customHeight="1">
      <c r="A737" t="inlineStr">
        <is>
          <t>A 33666-2024</t>
        </is>
      </c>
      <c r="B737" s="1" t="n">
        <v>45520.48304398148</v>
      </c>
      <c r="C737" s="1" t="n">
        <v>46076</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20989-2024</t>
        </is>
      </c>
      <c r="B738" s="1" t="n">
        <v>45439</v>
      </c>
      <c r="C738" s="1" t="n">
        <v>46076</v>
      </c>
      <c r="D738" t="inlineStr">
        <is>
          <t>DALARNAS LÄN</t>
        </is>
      </c>
      <c r="E738" t="inlineStr">
        <is>
          <t>MORA</t>
        </is>
      </c>
      <c r="F738" t="inlineStr">
        <is>
          <t>Bergvik skog öst AB</t>
        </is>
      </c>
      <c r="G738" t="n">
        <v>14.7</v>
      </c>
      <c r="H738" t="n">
        <v>0</v>
      </c>
      <c r="I738" t="n">
        <v>0</v>
      </c>
      <c r="J738" t="n">
        <v>0</v>
      </c>
      <c r="K738" t="n">
        <v>0</v>
      </c>
      <c r="L738" t="n">
        <v>0</v>
      </c>
      <c r="M738" t="n">
        <v>0</v>
      </c>
      <c r="N738" t="n">
        <v>0</v>
      </c>
      <c r="O738" t="n">
        <v>0</v>
      </c>
      <c r="P738" t="n">
        <v>0</v>
      </c>
      <c r="Q738" t="n">
        <v>0</v>
      </c>
      <c r="R738" s="2" t="inlineStr"/>
    </row>
    <row r="739" ht="15" customHeight="1">
      <c r="A739" t="inlineStr">
        <is>
          <t>A 41812-2024</t>
        </is>
      </c>
      <c r="B739" s="1" t="n">
        <v>45561.3771412037</v>
      </c>
      <c r="C739" s="1" t="n">
        <v>46076</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51888-2024</t>
        </is>
      </c>
      <c r="B740" s="1" t="n">
        <v>45607.57142361111</v>
      </c>
      <c r="C740" s="1" t="n">
        <v>46076</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32721-2024</t>
        </is>
      </c>
      <c r="B741" s="1" t="n">
        <v>45516.40261574074</v>
      </c>
      <c r="C741" s="1" t="n">
        <v>46076</v>
      </c>
      <c r="D741" t="inlineStr">
        <is>
          <t>DALARNAS LÄN</t>
        </is>
      </c>
      <c r="E741" t="inlineStr">
        <is>
          <t>MORA</t>
        </is>
      </c>
      <c r="G741" t="n">
        <v>4.2</v>
      </c>
      <c r="H741" t="n">
        <v>0</v>
      </c>
      <c r="I741" t="n">
        <v>0</v>
      </c>
      <c r="J741" t="n">
        <v>0</v>
      </c>
      <c r="K741" t="n">
        <v>0</v>
      </c>
      <c r="L741" t="n">
        <v>0</v>
      </c>
      <c r="M741" t="n">
        <v>0</v>
      </c>
      <c r="N741" t="n">
        <v>0</v>
      </c>
      <c r="O741" t="n">
        <v>0</v>
      </c>
      <c r="P741" t="n">
        <v>0</v>
      </c>
      <c r="Q741" t="n">
        <v>0</v>
      </c>
      <c r="R741" s="2" t="inlineStr"/>
    </row>
    <row r="742" ht="15" customHeight="1">
      <c r="A742" t="inlineStr">
        <is>
          <t>A 25749-2023</t>
        </is>
      </c>
      <c r="B742" s="1" t="n">
        <v>45090</v>
      </c>
      <c r="C742" s="1" t="n">
        <v>46076</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40325-2024</t>
        </is>
      </c>
      <c r="B743" s="1" t="n">
        <v>45554.88538194444</v>
      </c>
      <c r="C743" s="1" t="n">
        <v>46076</v>
      </c>
      <c r="D743" t="inlineStr">
        <is>
          <t>DALARNAS LÄN</t>
        </is>
      </c>
      <c r="E743" t="inlineStr">
        <is>
          <t>MORA</t>
        </is>
      </c>
      <c r="G743" t="n">
        <v>2.8</v>
      </c>
      <c r="H743" t="n">
        <v>0</v>
      </c>
      <c r="I743" t="n">
        <v>0</v>
      </c>
      <c r="J743" t="n">
        <v>0</v>
      </c>
      <c r="K743" t="n">
        <v>0</v>
      </c>
      <c r="L743" t="n">
        <v>0</v>
      </c>
      <c r="M743" t="n">
        <v>0</v>
      </c>
      <c r="N743" t="n">
        <v>0</v>
      </c>
      <c r="O743" t="n">
        <v>0</v>
      </c>
      <c r="P743" t="n">
        <v>0</v>
      </c>
      <c r="Q743" t="n">
        <v>0</v>
      </c>
      <c r="R743" s="2" t="inlineStr"/>
    </row>
    <row r="744" ht="15" customHeight="1">
      <c r="A744" t="inlineStr">
        <is>
          <t>A 43964-2024</t>
        </is>
      </c>
      <c r="B744" s="1" t="n">
        <v>45572.48407407408</v>
      </c>
      <c r="C744" s="1" t="n">
        <v>46076</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51883-2024</t>
        </is>
      </c>
      <c r="B745" s="1" t="n">
        <v>45607</v>
      </c>
      <c r="C745" s="1" t="n">
        <v>46076</v>
      </c>
      <c r="D745" t="inlineStr">
        <is>
          <t>DALARNAS LÄN</t>
        </is>
      </c>
      <c r="E745" t="inlineStr">
        <is>
          <t>MORA</t>
        </is>
      </c>
      <c r="G745" t="n">
        <v>0.2</v>
      </c>
      <c r="H745" t="n">
        <v>0</v>
      </c>
      <c r="I745" t="n">
        <v>0</v>
      </c>
      <c r="J745" t="n">
        <v>0</v>
      </c>
      <c r="K745" t="n">
        <v>0</v>
      </c>
      <c r="L745" t="n">
        <v>0</v>
      </c>
      <c r="M745" t="n">
        <v>0</v>
      </c>
      <c r="N745" t="n">
        <v>0</v>
      </c>
      <c r="O745" t="n">
        <v>0</v>
      </c>
      <c r="P745" t="n">
        <v>0</v>
      </c>
      <c r="Q745" t="n">
        <v>0</v>
      </c>
      <c r="R745" s="2" t="inlineStr"/>
    </row>
    <row r="746" ht="15" customHeight="1">
      <c r="A746" t="inlineStr">
        <is>
          <t>A 42941-2024</t>
        </is>
      </c>
      <c r="B746" s="1" t="n">
        <v>45567.3515162037</v>
      </c>
      <c r="C746" s="1" t="n">
        <v>46076</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43873-2024</t>
        </is>
      </c>
      <c r="B747" s="1" t="n">
        <v>45572.38429398148</v>
      </c>
      <c r="C747" s="1" t="n">
        <v>46076</v>
      </c>
      <c r="D747" t="inlineStr">
        <is>
          <t>DALARNAS LÄN</t>
        </is>
      </c>
      <c r="E747" t="inlineStr">
        <is>
          <t>MORA</t>
        </is>
      </c>
      <c r="G747" t="n">
        <v>4.1</v>
      </c>
      <c r="H747" t="n">
        <v>0</v>
      </c>
      <c r="I747" t="n">
        <v>0</v>
      </c>
      <c r="J747" t="n">
        <v>0</v>
      </c>
      <c r="K747" t="n">
        <v>0</v>
      </c>
      <c r="L747" t="n">
        <v>0</v>
      </c>
      <c r="M747" t="n">
        <v>0</v>
      </c>
      <c r="N747" t="n">
        <v>0</v>
      </c>
      <c r="O747" t="n">
        <v>0</v>
      </c>
      <c r="P747" t="n">
        <v>0</v>
      </c>
      <c r="Q747" t="n">
        <v>0</v>
      </c>
      <c r="R747" s="2" t="inlineStr"/>
    </row>
    <row r="748" ht="15" customHeight="1">
      <c r="A748" t="inlineStr">
        <is>
          <t>A 14372-2025</t>
        </is>
      </c>
      <c r="B748" s="1" t="n">
        <v>45741.4050462963</v>
      </c>
      <c r="C748" s="1" t="n">
        <v>46076</v>
      </c>
      <c r="D748" t="inlineStr">
        <is>
          <t>DALARNAS LÄN</t>
        </is>
      </c>
      <c r="E748" t="inlineStr">
        <is>
          <t>MORA</t>
        </is>
      </c>
      <c r="G748" t="n">
        <v>5.1</v>
      </c>
      <c r="H748" t="n">
        <v>0</v>
      </c>
      <c r="I748" t="n">
        <v>0</v>
      </c>
      <c r="J748" t="n">
        <v>0</v>
      </c>
      <c r="K748" t="n">
        <v>0</v>
      </c>
      <c r="L748" t="n">
        <v>0</v>
      </c>
      <c r="M748" t="n">
        <v>0</v>
      </c>
      <c r="N748" t="n">
        <v>0</v>
      </c>
      <c r="O748" t="n">
        <v>0</v>
      </c>
      <c r="P748" t="n">
        <v>0</v>
      </c>
      <c r="Q748" t="n">
        <v>0</v>
      </c>
      <c r="R748" s="2" t="inlineStr"/>
    </row>
    <row r="749" ht="15" customHeight="1">
      <c r="A749" t="inlineStr">
        <is>
          <t>A 14378-2025</t>
        </is>
      </c>
      <c r="B749" s="1" t="n">
        <v>45741</v>
      </c>
      <c r="C749" s="1" t="n">
        <v>46076</v>
      </c>
      <c r="D749" t="inlineStr">
        <is>
          <t>DALARNAS LÄN</t>
        </is>
      </c>
      <c r="E749" t="inlineStr">
        <is>
          <t>MORA</t>
        </is>
      </c>
      <c r="G749" t="n">
        <v>5.2</v>
      </c>
      <c r="H749" t="n">
        <v>0</v>
      </c>
      <c r="I749" t="n">
        <v>0</v>
      </c>
      <c r="J749" t="n">
        <v>0</v>
      </c>
      <c r="K749" t="n">
        <v>0</v>
      </c>
      <c r="L749" t="n">
        <v>0</v>
      </c>
      <c r="M749" t="n">
        <v>0</v>
      </c>
      <c r="N749" t="n">
        <v>0</v>
      </c>
      <c r="O749" t="n">
        <v>0</v>
      </c>
      <c r="P749" t="n">
        <v>0</v>
      </c>
      <c r="Q749" t="n">
        <v>0</v>
      </c>
      <c r="R749" s="2" t="inlineStr"/>
    </row>
    <row r="750" ht="15" customHeight="1">
      <c r="A750" t="inlineStr">
        <is>
          <t>A 16733-2024</t>
        </is>
      </c>
      <c r="B750" s="1" t="n">
        <v>45410.78502314815</v>
      </c>
      <c r="C750" s="1" t="n">
        <v>46076</v>
      </c>
      <c r="D750" t="inlineStr">
        <is>
          <t>DALARNAS LÄN</t>
        </is>
      </c>
      <c r="E750" t="inlineStr">
        <is>
          <t>MORA</t>
        </is>
      </c>
      <c r="G750" t="n">
        <v>6.3</v>
      </c>
      <c r="H750" t="n">
        <v>0</v>
      </c>
      <c r="I750" t="n">
        <v>0</v>
      </c>
      <c r="J750" t="n">
        <v>0</v>
      </c>
      <c r="K750" t="n">
        <v>0</v>
      </c>
      <c r="L750" t="n">
        <v>0</v>
      </c>
      <c r="M750" t="n">
        <v>0</v>
      </c>
      <c r="N750" t="n">
        <v>0</v>
      </c>
      <c r="O750" t="n">
        <v>0</v>
      </c>
      <c r="P750" t="n">
        <v>0</v>
      </c>
      <c r="Q750" t="n">
        <v>0</v>
      </c>
      <c r="R750" s="2" t="inlineStr"/>
    </row>
    <row r="751" ht="15" customHeight="1">
      <c r="A751" t="inlineStr">
        <is>
          <t>A 61217-2023</t>
        </is>
      </c>
      <c r="B751" s="1" t="n">
        <v>45264.43802083333</v>
      </c>
      <c r="C751" s="1" t="n">
        <v>46076</v>
      </c>
      <c r="D751" t="inlineStr">
        <is>
          <t>DALARNAS LÄN</t>
        </is>
      </c>
      <c r="E751" t="inlineStr">
        <is>
          <t>MORA</t>
        </is>
      </c>
      <c r="F751" t="inlineStr">
        <is>
          <t>Allmännings- och besparingsskogar</t>
        </is>
      </c>
      <c r="G751" t="n">
        <v>2</v>
      </c>
      <c r="H751" t="n">
        <v>0</v>
      </c>
      <c r="I751" t="n">
        <v>0</v>
      </c>
      <c r="J751" t="n">
        <v>0</v>
      </c>
      <c r="K751" t="n">
        <v>0</v>
      </c>
      <c r="L751" t="n">
        <v>0</v>
      </c>
      <c r="M751" t="n">
        <v>0</v>
      </c>
      <c r="N751" t="n">
        <v>0</v>
      </c>
      <c r="O751" t="n">
        <v>0</v>
      </c>
      <c r="P751" t="n">
        <v>0</v>
      </c>
      <c r="Q751" t="n">
        <v>0</v>
      </c>
      <c r="R751" s="2" t="inlineStr"/>
    </row>
    <row r="752" ht="15" customHeight="1">
      <c r="A752" t="inlineStr">
        <is>
          <t>A 61218-2023</t>
        </is>
      </c>
      <c r="B752" s="1" t="n">
        <v>45264</v>
      </c>
      <c r="C752" s="1" t="n">
        <v>46076</v>
      </c>
      <c r="D752" t="inlineStr">
        <is>
          <t>DALARNAS LÄN</t>
        </is>
      </c>
      <c r="E752" t="inlineStr">
        <is>
          <t>MORA</t>
        </is>
      </c>
      <c r="F752" t="inlineStr">
        <is>
          <t>Allmännings- och besparingsskogar</t>
        </is>
      </c>
      <c r="G752" t="n">
        <v>2.6</v>
      </c>
      <c r="H752" t="n">
        <v>0</v>
      </c>
      <c r="I752" t="n">
        <v>0</v>
      </c>
      <c r="J752" t="n">
        <v>0</v>
      </c>
      <c r="K752" t="n">
        <v>0</v>
      </c>
      <c r="L752" t="n">
        <v>0</v>
      </c>
      <c r="M752" t="n">
        <v>0</v>
      </c>
      <c r="N752" t="n">
        <v>0</v>
      </c>
      <c r="O752" t="n">
        <v>0</v>
      </c>
      <c r="P752" t="n">
        <v>0</v>
      </c>
      <c r="Q752" t="n">
        <v>0</v>
      </c>
      <c r="R752" s="2" t="inlineStr"/>
    </row>
    <row r="753" ht="15" customHeight="1">
      <c r="A753" t="inlineStr">
        <is>
          <t>A 39348-2024</t>
        </is>
      </c>
      <c r="B753" s="1" t="n">
        <v>45551.45322916667</v>
      </c>
      <c r="C753" s="1" t="n">
        <v>46076</v>
      </c>
      <c r="D753" t="inlineStr">
        <is>
          <t>DALARNAS LÄN</t>
        </is>
      </c>
      <c r="E753" t="inlineStr">
        <is>
          <t>MORA</t>
        </is>
      </c>
      <c r="G753" t="n">
        <v>0.5</v>
      </c>
      <c r="H753" t="n">
        <v>0</v>
      </c>
      <c r="I753" t="n">
        <v>0</v>
      </c>
      <c r="J753" t="n">
        <v>0</v>
      </c>
      <c r="K753" t="n">
        <v>0</v>
      </c>
      <c r="L753" t="n">
        <v>0</v>
      </c>
      <c r="M753" t="n">
        <v>0</v>
      </c>
      <c r="N753" t="n">
        <v>0</v>
      </c>
      <c r="O753" t="n">
        <v>0</v>
      </c>
      <c r="P753" t="n">
        <v>0</v>
      </c>
      <c r="Q753" t="n">
        <v>0</v>
      </c>
      <c r="R753" s="2" t="inlineStr"/>
    </row>
    <row r="754" ht="15" customHeight="1">
      <c r="A754" t="inlineStr">
        <is>
          <t>A 54903-2024</t>
        </is>
      </c>
      <c r="B754" s="1" t="n">
        <v>45618</v>
      </c>
      <c r="C754" s="1" t="n">
        <v>46076</v>
      </c>
      <c r="D754" t="inlineStr">
        <is>
          <t>DALARNAS LÄN</t>
        </is>
      </c>
      <c r="E754" t="inlineStr">
        <is>
          <t>MORA</t>
        </is>
      </c>
      <c r="G754" t="n">
        <v>28.2</v>
      </c>
      <c r="H754" t="n">
        <v>0</v>
      </c>
      <c r="I754" t="n">
        <v>0</v>
      </c>
      <c r="J754" t="n">
        <v>0</v>
      </c>
      <c r="K754" t="n">
        <v>0</v>
      </c>
      <c r="L754" t="n">
        <v>0</v>
      </c>
      <c r="M754" t="n">
        <v>0</v>
      </c>
      <c r="N754" t="n">
        <v>0</v>
      </c>
      <c r="O754" t="n">
        <v>0</v>
      </c>
      <c r="P754" t="n">
        <v>0</v>
      </c>
      <c r="Q754" t="n">
        <v>0</v>
      </c>
      <c r="R754" s="2" t="inlineStr"/>
    </row>
    <row r="755" ht="15" customHeight="1">
      <c r="A755" t="inlineStr">
        <is>
          <t>A 23302-2024</t>
        </is>
      </c>
      <c r="B755" s="1" t="n">
        <v>45453.44091435185</v>
      </c>
      <c r="C755" s="1" t="n">
        <v>46076</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16573-2024</t>
        </is>
      </c>
      <c r="B756" s="1" t="n">
        <v>45408.46980324074</v>
      </c>
      <c r="C756" s="1" t="n">
        <v>46076</v>
      </c>
      <c r="D756" t="inlineStr">
        <is>
          <t>DALARNAS LÄN</t>
        </is>
      </c>
      <c r="E756" t="inlineStr">
        <is>
          <t>MORA</t>
        </is>
      </c>
      <c r="G756" t="n">
        <v>4.5</v>
      </c>
      <c r="H756" t="n">
        <v>0</v>
      </c>
      <c r="I756" t="n">
        <v>0</v>
      </c>
      <c r="J756" t="n">
        <v>0</v>
      </c>
      <c r="K756" t="n">
        <v>0</v>
      </c>
      <c r="L756" t="n">
        <v>0</v>
      </c>
      <c r="M756" t="n">
        <v>0</v>
      </c>
      <c r="N756" t="n">
        <v>0</v>
      </c>
      <c r="O756" t="n">
        <v>0</v>
      </c>
      <c r="P756" t="n">
        <v>0</v>
      </c>
      <c r="Q756" t="n">
        <v>0</v>
      </c>
      <c r="R756" s="2" t="inlineStr"/>
    </row>
    <row r="757" ht="15" customHeight="1">
      <c r="A757" t="inlineStr">
        <is>
          <t>A 21894-2025</t>
        </is>
      </c>
      <c r="B757" s="1" t="n">
        <v>45784.45060185185</v>
      </c>
      <c r="C757" s="1" t="n">
        <v>46076</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21890-2025</t>
        </is>
      </c>
      <c r="B758" s="1" t="n">
        <v>45784.44481481481</v>
      </c>
      <c r="C758" s="1" t="n">
        <v>46076</v>
      </c>
      <c r="D758" t="inlineStr">
        <is>
          <t>DALARNAS LÄN</t>
        </is>
      </c>
      <c r="E758" t="inlineStr">
        <is>
          <t>MORA</t>
        </is>
      </c>
      <c r="G758" t="n">
        <v>3.8</v>
      </c>
      <c r="H758" t="n">
        <v>0</v>
      </c>
      <c r="I758" t="n">
        <v>0</v>
      </c>
      <c r="J758" t="n">
        <v>0</v>
      </c>
      <c r="K758" t="n">
        <v>0</v>
      </c>
      <c r="L758" t="n">
        <v>0</v>
      </c>
      <c r="M758" t="n">
        <v>0</v>
      </c>
      <c r="N758" t="n">
        <v>0</v>
      </c>
      <c r="O758" t="n">
        <v>0</v>
      </c>
      <c r="P758" t="n">
        <v>0</v>
      </c>
      <c r="Q758" t="n">
        <v>0</v>
      </c>
      <c r="R758" s="2" t="inlineStr"/>
    </row>
    <row r="759" ht="15" customHeight="1">
      <c r="A759" t="inlineStr">
        <is>
          <t>A 21895-2025</t>
        </is>
      </c>
      <c r="B759" s="1" t="n">
        <v>45784.45273148148</v>
      </c>
      <c r="C759" s="1" t="n">
        <v>46076</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22354-2025</t>
        </is>
      </c>
      <c r="B760" s="1" t="n">
        <v>45786.45721064815</v>
      </c>
      <c r="C760" s="1" t="n">
        <v>46076</v>
      </c>
      <c r="D760" t="inlineStr">
        <is>
          <t>DALARNAS LÄN</t>
        </is>
      </c>
      <c r="E760" t="inlineStr">
        <is>
          <t>MORA</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22409-2025</t>
        </is>
      </c>
      <c r="B761" s="1" t="n">
        <v>45786.54940972223</v>
      </c>
      <c r="C761" s="1" t="n">
        <v>46076</v>
      </c>
      <c r="D761" t="inlineStr">
        <is>
          <t>DALARNAS LÄN</t>
        </is>
      </c>
      <c r="E761" t="inlineStr">
        <is>
          <t>MORA</t>
        </is>
      </c>
      <c r="F761" t="inlineStr">
        <is>
          <t>Bergvik skog öst AB</t>
        </is>
      </c>
      <c r="G761" t="n">
        <v>5</v>
      </c>
      <c r="H761" t="n">
        <v>0</v>
      </c>
      <c r="I761" t="n">
        <v>0</v>
      </c>
      <c r="J761" t="n">
        <v>0</v>
      </c>
      <c r="K761" t="n">
        <v>0</v>
      </c>
      <c r="L761" t="n">
        <v>0</v>
      </c>
      <c r="M761" t="n">
        <v>0</v>
      </c>
      <c r="N761" t="n">
        <v>0</v>
      </c>
      <c r="O761" t="n">
        <v>0</v>
      </c>
      <c r="P761" t="n">
        <v>0</v>
      </c>
      <c r="Q761" t="n">
        <v>0</v>
      </c>
      <c r="R761" s="2" t="inlineStr"/>
    </row>
    <row r="762" ht="15" customHeight="1">
      <c r="A762" t="inlineStr">
        <is>
          <t>A 23368-2025</t>
        </is>
      </c>
      <c r="B762" s="1" t="n">
        <v>45791.70299768518</v>
      </c>
      <c r="C762" s="1" t="n">
        <v>46076</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56935-2024</t>
        </is>
      </c>
      <c r="B763" s="1" t="n">
        <v>45625</v>
      </c>
      <c r="C763" s="1" t="n">
        <v>46076</v>
      </c>
      <c r="D763" t="inlineStr">
        <is>
          <t>DALARNAS LÄN</t>
        </is>
      </c>
      <c r="E763" t="inlineStr">
        <is>
          <t>MORA</t>
        </is>
      </c>
      <c r="G763" t="n">
        <v>1.1</v>
      </c>
      <c r="H763" t="n">
        <v>0</v>
      </c>
      <c r="I763" t="n">
        <v>0</v>
      </c>
      <c r="J763" t="n">
        <v>0</v>
      </c>
      <c r="K763" t="n">
        <v>0</v>
      </c>
      <c r="L763" t="n">
        <v>0</v>
      </c>
      <c r="M763" t="n">
        <v>0</v>
      </c>
      <c r="N763" t="n">
        <v>0</v>
      </c>
      <c r="O763" t="n">
        <v>0</v>
      </c>
      <c r="P763" t="n">
        <v>0</v>
      </c>
      <c r="Q763" t="n">
        <v>0</v>
      </c>
      <c r="R763" s="2" t="inlineStr"/>
    </row>
    <row r="764" ht="15" customHeight="1">
      <c r="A764" t="inlineStr">
        <is>
          <t>A 56927-2024</t>
        </is>
      </c>
      <c r="B764" s="1" t="n">
        <v>45625</v>
      </c>
      <c r="C764" s="1" t="n">
        <v>46076</v>
      </c>
      <c r="D764" t="inlineStr">
        <is>
          <t>DALARNAS LÄN</t>
        </is>
      </c>
      <c r="E764" t="inlineStr">
        <is>
          <t>MORA</t>
        </is>
      </c>
      <c r="G764" t="n">
        <v>2.8</v>
      </c>
      <c r="H764" t="n">
        <v>0</v>
      </c>
      <c r="I764" t="n">
        <v>0</v>
      </c>
      <c r="J764" t="n">
        <v>0</v>
      </c>
      <c r="K764" t="n">
        <v>0</v>
      </c>
      <c r="L764" t="n">
        <v>0</v>
      </c>
      <c r="M764" t="n">
        <v>0</v>
      </c>
      <c r="N764" t="n">
        <v>0</v>
      </c>
      <c r="O764" t="n">
        <v>0</v>
      </c>
      <c r="P764" t="n">
        <v>0</v>
      </c>
      <c r="Q764" t="n">
        <v>0</v>
      </c>
      <c r="R764" s="2" t="inlineStr"/>
    </row>
    <row r="765" ht="15" customHeight="1">
      <c r="A765" t="inlineStr">
        <is>
          <t>A 22185-2025</t>
        </is>
      </c>
      <c r="B765" s="1" t="n">
        <v>45785</v>
      </c>
      <c r="C765" s="1" t="n">
        <v>46076</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59404-2024</t>
        </is>
      </c>
      <c r="B766" s="1" t="n">
        <v>45638</v>
      </c>
      <c r="C766" s="1" t="n">
        <v>46076</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11193-2025</t>
        </is>
      </c>
      <c r="B767" s="1" t="n">
        <v>45725</v>
      </c>
      <c r="C767" s="1" t="n">
        <v>46076</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56900-2024</t>
        </is>
      </c>
      <c r="B768" s="1" t="n">
        <v>45625</v>
      </c>
      <c r="C768" s="1" t="n">
        <v>46076</v>
      </c>
      <c r="D768" t="inlineStr">
        <is>
          <t>DALARNAS LÄN</t>
        </is>
      </c>
      <c r="E768" t="inlineStr">
        <is>
          <t>MORA</t>
        </is>
      </c>
      <c r="G768" t="n">
        <v>2.7</v>
      </c>
      <c r="H768" t="n">
        <v>0</v>
      </c>
      <c r="I768" t="n">
        <v>0</v>
      </c>
      <c r="J768" t="n">
        <v>0</v>
      </c>
      <c r="K768" t="n">
        <v>0</v>
      </c>
      <c r="L768" t="n">
        <v>0</v>
      </c>
      <c r="M768" t="n">
        <v>0</v>
      </c>
      <c r="N768" t="n">
        <v>0</v>
      </c>
      <c r="O768" t="n">
        <v>0</v>
      </c>
      <c r="P768" t="n">
        <v>0</v>
      </c>
      <c r="Q768" t="n">
        <v>0</v>
      </c>
      <c r="R768" s="2" t="inlineStr"/>
    </row>
    <row r="769" ht="15" customHeight="1">
      <c r="A769" t="inlineStr">
        <is>
          <t>A 23354-2022</t>
        </is>
      </c>
      <c r="B769" s="1" t="n">
        <v>44720</v>
      </c>
      <c r="C769" s="1" t="n">
        <v>46076</v>
      </c>
      <c r="D769" t="inlineStr">
        <is>
          <t>DALARNAS LÄN</t>
        </is>
      </c>
      <c r="E769" t="inlineStr">
        <is>
          <t>MORA</t>
        </is>
      </c>
      <c r="G769" t="n">
        <v>5.2</v>
      </c>
      <c r="H769" t="n">
        <v>0</v>
      </c>
      <c r="I769" t="n">
        <v>0</v>
      </c>
      <c r="J769" t="n">
        <v>0</v>
      </c>
      <c r="K769" t="n">
        <v>0</v>
      </c>
      <c r="L769" t="n">
        <v>0</v>
      </c>
      <c r="M769" t="n">
        <v>0</v>
      </c>
      <c r="N769" t="n">
        <v>0</v>
      </c>
      <c r="O769" t="n">
        <v>0</v>
      </c>
      <c r="P769" t="n">
        <v>0</v>
      </c>
      <c r="Q769" t="n">
        <v>0</v>
      </c>
      <c r="R769" s="2" t="inlineStr"/>
    </row>
    <row r="770" ht="15" customHeight="1">
      <c r="A770" t="inlineStr">
        <is>
          <t>A 54192-2023</t>
        </is>
      </c>
      <c r="B770" s="1" t="n">
        <v>45232.53052083333</v>
      </c>
      <c r="C770" s="1" t="n">
        <v>46076</v>
      </c>
      <c r="D770" t="inlineStr">
        <is>
          <t>DALARNAS LÄN</t>
        </is>
      </c>
      <c r="E770" t="inlineStr">
        <is>
          <t>MORA</t>
        </is>
      </c>
      <c r="G770" t="n">
        <v>3.4</v>
      </c>
      <c r="H770" t="n">
        <v>0</v>
      </c>
      <c r="I770" t="n">
        <v>0</v>
      </c>
      <c r="J770" t="n">
        <v>0</v>
      </c>
      <c r="K770" t="n">
        <v>0</v>
      </c>
      <c r="L770" t="n">
        <v>0</v>
      </c>
      <c r="M770" t="n">
        <v>0</v>
      </c>
      <c r="N770" t="n">
        <v>0</v>
      </c>
      <c r="O770" t="n">
        <v>0</v>
      </c>
      <c r="P770" t="n">
        <v>0</v>
      </c>
      <c r="Q770" t="n">
        <v>0</v>
      </c>
      <c r="R770" s="2" t="inlineStr"/>
    </row>
    <row r="771" ht="15" customHeight="1">
      <c r="A771" t="inlineStr">
        <is>
          <t>A 23229-2025</t>
        </is>
      </c>
      <c r="B771" s="1" t="n">
        <v>45791</v>
      </c>
      <c r="C771" s="1" t="n">
        <v>46076</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62854-2023</t>
        </is>
      </c>
      <c r="B772" s="1" t="n">
        <v>45272</v>
      </c>
      <c r="C772" s="1" t="n">
        <v>46076</v>
      </c>
      <c r="D772" t="inlineStr">
        <is>
          <t>DALARNAS LÄN</t>
        </is>
      </c>
      <c r="E772" t="inlineStr">
        <is>
          <t>MORA</t>
        </is>
      </c>
      <c r="G772" t="n">
        <v>11.3</v>
      </c>
      <c r="H772" t="n">
        <v>0</v>
      </c>
      <c r="I772" t="n">
        <v>0</v>
      </c>
      <c r="J772" t="n">
        <v>0</v>
      </c>
      <c r="K772" t="n">
        <v>0</v>
      </c>
      <c r="L772" t="n">
        <v>0</v>
      </c>
      <c r="M772" t="n">
        <v>0</v>
      </c>
      <c r="N772" t="n">
        <v>0</v>
      </c>
      <c r="O772" t="n">
        <v>0</v>
      </c>
      <c r="P772" t="n">
        <v>0</v>
      </c>
      <c r="Q772" t="n">
        <v>0</v>
      </c>
      <c r="R772" s="2" t="inlineStr"/>
    </row>
    <row r="773" ht="15" customHeight="1">
      <c r="A773" t="inlineStr">
        <is>
          <t>A 24127-2025</t>
        </is>
      </c>
      <c r="B773" s="1" t="n">
        <v>45796.63137731481</v>
      </c>
      <c r="C773" s="1" t="n">
        <v>46076</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24249-2025</t>
        </is>
      </c>
      <c r="B774" s="1" t="n">
        <v>45797.40260416667</v>
      </c>
      <c r="C774" s="1" t="n">
        <v>46076</v>
      </c>
      <c r="D774" t="inlineStr">
        <is>
          <t>DALARNAS LÄN</t>
        </is>
      </c>
      <c r="E774" t="inlineStr">
        <is>
          <t>MORA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9461-2025</t>
        </is>
      </c>
      <c r="B775" s="1" t="n">
        <v>45715.45341435185</v>
      </c>
      <c r="C775" s="1" t="n">
        <v>46076</v>
      </c>
      <c r="D775" t="inlineStr">
        <is>
          <t>DALARNAS LÄN</t>
        </is>
      </c>
      <c r="E775" t="inlineStr">
        <is>
          <t>MORA</t>
        </is>
      </c>
      <c r="G775" t="n">
        <v>1.8</v>
      </c>
      <c r="H775" t="n">
        <v>0</v>
      </c>
      <c r="I775" t="n">
        <v>0</v>
      </c>
      <c r="J775" t="n">
        <v>0</v>
      </c>
      <c r="K775" t="n">
        <v>0</v>
      </c>
      <c r="L775" t="n">
        <v>0</v>
      </c>
      <c r="M775" t="n">
        <v>0</v>
      </c>
      <c r="N775" t="n">
        <v>0</v>
      </c>
      <c r="O775" t="n">
        <v>0</v>
      </c>
      <c r="P775" t="n">
        <v>0</v>
      </c>
      <c r="Q775" t="n">
        <v>0</v>
      </c>
      <c r="R775" s="2" t="inlineStr"/>
    </row>
    <row r="776" ht="15" customHeight="1">
      <c r="A776" t="inlineStr">
        <is>
          <t>A 34928-2022</t>
        </is>
      </c>
      <c r="B776" s="1" t="n">
        <v>44796.60479166666</v>
      </c>
      <c r="C776" s="1" t="n">
        <v>46076</v>
      </c>
      <c r="D776" t="inlineStr">
        <is>
          <t>DALARNAS LÄN</t>
        </is>
      </c>
      <c r="E776" t="inlineStr">
        <is>
          <t>MORA</t>
        </is>
      </c>
      <c r="G776" t="n">
        <v>1.2</v>
      </c>
      <c r="H776" t="n">
        <v>0</v>
      </c>
      <c r="I776" t="n">
        <v>0</v>
      </c>
      <c r="J776" t="n">
        <v>0</v>
      </c>
      <c r="K776" t="n">
        <v>0</v>
      </c>
      <c r="L776" t="n">
        <v>0</v>
      </c>
      <c r="M776" t="n">
        <v>0</v>
      </c>
      <c r="N776" t="n">
        <v>0</v>
      </c>
      <c r="O776" t="n">
        <v>0</v>
      </c>
      <c r="P776" t="n">
        <v>0</v>
      </c>
      <c r="Q776" t="n">
        <v>0</v>
      </c>
      <c r="R776" s="2" t="inlineStr"/>
    </row>
    <row r="777" ht="15" customHeight="1">
      <c r="A777" t="inlineStr">
        <is>
          <t>A 19286-2023</t>
        </is>
      </c>
      <c r="B777" s="1" t="n">
        <v>45049</v>
      </c>
      <c r="C777" s="1" t="n">
        <v>46076</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24230-2025</t>
        </is>
      </c>
      <c r="B778" s="1" t="n">
        <v>45797.37607638889</v>
      </c>
      <c r="C778" s="1" t="n">
        <v>46076</v>
      </c>
      <c r="D778" t="inlineStr">
        <is>
          <t>DALARNAS LÄN</t>
        </is>
      </c>
      <c r="E778" t="inlineStr">
        <is>
          <t>MORA</t>
        </is>
      </c>
      <c r="G778" t="n">
        <v>6.8</v>
      </c>
      <c r="H778" t="n">
        <v>0</v>
      </c>
      <c r="I778" t="n">
        <v>0</v>
      </c>
      <c r="J778" t="n">
        <v>0</v>
      </c>
      <c r="K778" t="n">
        <v>0</v>
      </c>
      <c r="L778" t="n">
        <v>0</v>
      </c>
      <c r="M778" t="n">
        <v>0</v>
      </c>
      <c r="N778" t="n">
        <v>0</v>
      </c>
      <c r="O778" t="n">
        <v>0</v>
      </c>
      <c r="P778" t="n">
        <v>0</v>
      </c>
      <c r="Q778" t="n">
        <v>0</v>
      </c>
      <c r="R778" s="2" t="inlineStr"/>
    </row>
    <row r="779" ht="15" customHeight="1">
      <c r="A779" t="inlineStr">
        <is>
          <t>A 24280-2025</t>
        </is>
      </c>
      <c r="B779" s="1" t="n">
        <v>45797.45581018519</v>
      </c>
      <c r="C779" s="1" t="n">
        <v>46076</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19183-2025</t>
        </is>
      </c>
      <c r="B780" s="1" t="n">
        <v>45769</v>
      </c>
      <c r="C780" s="1" t="n">
        <v>46076</v>
      </c>
      <c r="D780" t="inlineStr">
        <is>
          <t>DALARNAS LÄN</t>
        </is>
      </c>
      <c r="E780" t="inlineStr">
        <is>
          <t>MORA</t>
        </is>
      </c>
      <c r="G780" t="n">
        <v>0.5</v>
      </c>
      <c r="H780" t="n">
        <v>0</v>
      </c>
      <c r="I780" t="n">
        <v>0</v>
      </c>
      <c r="J780" t="n">
        <v>0</v>
      </c>
      <c r="K780" t="n">
        <v>0</v>
      </c>
      <c r="L780" t="n">
        <v>0</v>
      </c>
      <c r="M780" t="n">
        <v>0</v>
      </c>
      <c r="N780" t="n">
        <v>0</v>
      </c>
      <c r="O780" t="n">
        <v>0</v>
      </c>
      <c r="P780" t="n">
        <v>0</v>
      </c>
      <c r="Q780" t="n">
        <v>0</v>
      </c>
      <c r="R780" s="2" t="inlineStr"/>
    </row>
    <row r="781" ht="15" customHeight="1">
      <c r="A781" t="inlineStr">
        <is>
          <t>A 24640-2025</t>
        </is>
      </c>
      <c r="B781" s="1" t="n">
        <v>45798.62243055556</v>
      </c>
      <c r="C781" s="1" t="n">
        <v>46076</v>
      </c>
      <c r="D781" t="inlineStr">
        <is>
          <t>DALARNAS LÄN</t>
        </is>
      </c>
      <c r="E781" t="inlineStr">
        <is>
          <t>MORA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24947-2025</t>
        </is>
      </c>
      <c r="B782" s="1" t="n">
        <v>45799.56524305556</v>
      </c>
      <c r="C782" s="1" t="n">
        <v>46076</v>
      </c>
      <c r="D782" t="inlineStr">
        <is>
          <t>DALARNAS LÄN</t>
        </is>
      </c>
      <c r="E782" t="inlineStr">
        <is>
          <t>MORA</t>
        </is>
      </c>
      <c r="G782" t="n">
        <v>2</v>
      </c>
      <c r="H782" t="n">
        <v>0</v>
      </c>
      <c r="I782" t="n">
        <v>0</v>
      </c>
      <c r="J782" t="n">
        <v>0</v>
      </c>
      <c r="K782" t="n">
        <v>0</v>
      </c>
      <c r="L782" t="n">
        <v>0</v>
      </c>
      <c r="M782" t="n">
        <v>0</v>
      </c>
      <c r="N782" t="n">
        <v>0</v>
      </c>
      <c r="O782" t="n">
        <v>0</v>
      </c>
      <c r="P782" t="n">
        <v>0</v>
      </c>
      <c r="Q782" t="n">
        <v>0</v>
      </c>
      <c r="R782" s="2" t="inlineStr"/>
    </row>
    <row r="783" ht="15" customHeight="1">
      <c r="A783" t="inlineStr">
        <is>
          <t>A 24630-2025</t>
        </is>
      </c>
      <c r="B783" s="1" t="n">
        <v>45798.6003587963</v>
      </c>
      <c r="C783" s="1" t="n">
        <v>46076</v>
      </c>
      <c r="D783" t="inlineStr">
        <is>
          <t>DALARNAS LÄN</t>
        </is>
      </c>
      <c r="E783" t="inlineStr">
        <is>
          <t>MORA</t>
        </is>
      </c>
      <c r="F783" t="inlineStr">
        <is>
          <t>Bergvik skog väst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24960-2025</t>
        </is>
      </c>
      <c r="B784" s="1" t="n">
        <v>45799.57666666667</v>
      </c>
      <c r="C784" s="1" t="n">
        <v>46076</v>
      </c>
      <c r="D784" t="inlineStr">
        <is>
          <t>DALARNAS LÄN</t>
        </is>
      </c>
      <c r="E784" t="inlineStr">
        <is>
          <t>MORA</t>
        </is>
      </c>
      <c r="G784" t="n">
        <v>3.2</v>
      </c>
      <c r="H784" t="n">
        <v>0</v>
      </c>
      <c r="I784" t="n">
        <v>0</v>
      </c>
      <c r="J784" t="n">
        <v>0</v>
      </c>
      <c r="K784" t="n">
        <v>0</v>
      </c>
      <c r="L784" t="n">
        <v>0</v>
      </c>
      <c r="M784" t="n">
        <v>0</v>
      </c>
      <c r="N784" t="n">
        <v>0</v>
      </c>
      <c r="O784" t="n">
        <v>0</v>
      </c>
      <c r="P784" t="n">
        <v>0</v>
      </c>
      <c r="Q784" t="n">
        <v>0</v>
      </c>
      <c r="R784" s="2" t="inlineStr"/>
    </row>
    <row r="785" ht="15" customHeight="1">
      <c r="A785" t="inlineStr">
        <is>
          <t>A 24642-2025</t>
        </is>
      </c>
      <c r="B785" s="1" t="n">
        <v>45798.62894675926</v>
      </c>
      <c r="C785" s="1" t="n">
        <v>46076</v>
      </c>
      <c r="D785" t="inlineStr">
        <is>
          <t>DALARNAS LÄN</t>
        </is>
      </c>
      <c r="E785" t="inlineStr">
        <is>
          <t>MORA</t>
        </is>
      </c>
      <c r="F785" t="inlineStr">
        <is>
          <t>Bergvik skog väst AB</t>
        </is>
      </c>
      <c r="G785" t="n">
        <v>1.7</v>
      </c>
      <c r="H785" t="n">
        <v>0</v>
      </c>
      <c r="I785" t="n">
        <v>0</v>
      </c>
      <c r="J785" t="n">
        <v>0</v>
      </c>
      <c r="K785" t="n">
        <v>0</v>
      </c>
      <c r="L785" t="n">
        <v>0</v>
      </c>
      <c r="M785" t="n">
        <v>0</v>
      </c>
      <c r="N785" t="n">
        <v>0</v>
      </c>
      <c r="O785" t="n">
        <v>0</v>
      </c>
      <c r="P785" t="n">
        <v>0</v>
      </c>
      <c r="Q785" t="n">
        <v>0</v>
      </c>
      <c r="R785" s="2" t="inlineStr"/>
    </row>
    <row r="786" ht="15" customHeight="1">
      <c r="A786" t="inlineStr">
        <is>
          <t>A 54398-2021</t>
        </is>
      </c>
      <c r="B786" s="1" t="n">
        <v>44473.39252314815</v>
      </c>
      <c r="C786" s="1" t="n">
        <v>46076</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26532-2025</t>
        </is>
      </c>
      <c r="B787" s="1" t="n">
        <v>45807</v>
      </c>
      <c r="C787" s="1" t="n">
        <v>46076</v>
      </c>
      <c r="D787" t="inlineStr">
        <is>
          <t>DALARNAS LÄN</t>
        </is>
      </c>
      <c r="E787" t="inlineStr">
        <is>
          <t>MORA</t>
        </is>
      </c>
      <c r="G787" t="n">
        <v>4.4</v>
      </c>
      <c r="H787" t="n">
        <v>0</v>
      </c>
      <c r="I787" t="n">
        <v>0</v>
      </c>
      <c r="J787" t="n">
        <v>0</v>
      </c>
      <c r="K787" t="n">
        <v>0</v>
      </c>
      <c r="L787" t="n">
        <v>0</v>
      </c>
      <c r="M787" t="n">
        <v>0</v>
      </c>
      <c r="N787" t="n">
        <v>0</v>
      </c>
      <c r="O787" t="n">
        <v>0</v>
      </c>
      <c r="P787" t="n">
        <v>0</v>
      </c>
      <c r="Q787" t="n">
        <v>0</v>
      </c>
      <c r="R787" s="2" t="inlineStr"/>
    </row>
    <row r="788" ht="15" customHeight="1">
      <c r="A788" t="inlineStr">
        <is>
          <t>A 30819-2024</t>
        </is>
      </c>
      <c r="B788" s="1" t="n">
        <v>45497</v>
      </c>
      <c r="C788" s="1" t="n">
        <v>46076</v>
      </c>
      <c r="D788" t="inlineStr">
        <is>
          <t>DALARNAS LÄN</t>
        </is>
      </c>
      <c r="E788" t="inlineStr">
        <is>
          <t>MORA</t>
        </is>
      </c>
      <c r="G788" t="n">
        <v>2.2</v>
      </c>
      <c r="H788" t="n">
        <v>0</v>
      </c>
      <c r="I788" t="n">
        <v>0</v>
      </c>
      <c r="J788" t="n">
        <v>0</v>
      </c>
      <c r="K788" t="n">
        <v>0</v>
      </c>
      <c r="L788" t="n">
        <v>0</v>
      </c>
      <c r="M788" t="n">
        <v>0</v>
      </c>
      <c r="N788" t="n">
        <v>0</v>
      </c>
      <c r="O788" t="n">
        <v>0</v>
      </c>
      <c r="P788" t="n">
        <v>0</v>
      </c>
      <c r="Q788" t="n">
        <v>0</v>
      </c>
      <c r="R788" s="2" t="inlineStr"/>
    </row>
    <row r="789" ht="15" customHeight="1">
      <c r="A789" t="inlineStr">
        <is>
          <t>A 26731-2025</t>
        </is>
      </c>
      <c r="B789" s="1" t="n">
        <v>45810.50702546296</v>
      </c>
      <c r="C789" s="1" t="n">
        <v>46076</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20885-2024</t>
        </is>
      </c>
      <c r="B790" s="1" t="n">
        <v>45439.45527777778</v>
      </c>
      <c r="C790" s="1" t="n">
        <v>46076</v>
      </c>
      <c r="D790" t="inlineStr">
        <is>
          <t>DALARNAS LÄN</t>
        </is>
      </c>
      <c r="E790" t="inlineStr">
        <is>
          <t>MORA</t>
        </is>
      </c>
      <c r="G790" t="n">
        <v>5</v>
      </c>
      <c r="H790" t="n">
        <v>0</v>
      </c>
      <c r="I790" t="n">
        <v>0</v>
      </c>
      <c r="J790" t="n">
        <v>0</v>
      </c>
      <c r="K790" t="n">
        <v>0</v>
      </c>
      <c r="L790" t="n">
        <v>0</v>
      </c>
      <c r="M790" t="n">
        <v>0</v>
      </c>
      <c r="N790" t="n">
        <v>0</v>
      </c>
      <c r="O790" t="n">
        <v>0</v>
      </c>
      <c r="P790" t="n">
        <v>0</v>
      </c>
      <c r="Q790" t="n">
        <v>0</v>
      </c>
      <c r="R790" s="2" t="inlineStr"/>
    </row>
    <row r="791" ht="15" customHeight="1">
      <c r="A791" t="inlineStr">
        <is>
          <t>A 56425-2024</t>
        </is>
      </c>
      <c r="B791" s="1" t="n">
        <v>45625.38677083333</v>
      </c>
      <c r="C791" s="1" t="n">
        <v>46076</v>
      </c>
      <c r="D791" t="inlineStr">
        <is>
          <t>DALARNAS LÄN</t>
        </is>
      </c>
      <c r="E791" t="inlineStr">
        <is>
          <t>MORA</t>
        </is>
      </c>
      <c r="G791" t="n">
        <v>2.1</v>
      </c>
      <c r="H791" t="n">
        <v>0</v>
      </c>
      <c r="I791" t="n">
        <v>0</v>
      </c>
      <c r="J791" t="n">
        <v>0</v>
      </c>
      <c r="K791" t="n">
        <v>0</v>
      </c>
      <c r="L791" t="n">
        <v>0</v>
      </c>
      <c r="M791" t="n">
        <v>0</v>
      </c>
      <c r="N791" t="n">
        <v>0</v>
      </c>
      <c r="O791" t="n">
        <v>0</v>
      </c>
      <c r="P791" t="n">
        <v>0</v>
      </c>
      <c r="Q791" t="n">
        <v>0</v>
      </c>
      <c r="R791" s="2" t="inlineStr"/>
    </row>
    <row r="792" ht="15" customHeight="1">
      <c r="A792" t="inlineStr">
        <is>
          <t>A 26711-2025</t>
        </is>
      </c>
      <c r="B792" s="1" t="n">
        <v>45810.46144675926</v>
      </c>
      <c r="C792" s="1" t="n">
        <v>46076</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7565-2025</t>
        </is>
      </c>
      <c r="B793" s="1" t="n">
        <v>45705.59269675926</v>
      </c>
      <c r="C793" s="1" t="n">
        <v>46076</v>
      </c>
      <c r="D793" t="inlineStr">
        <is>
          <t>DALARNAS LÄN</t>
        </is>
      </c>
      <c r="E793" t="inlineStr">
        <is>
          <t>MORA</t>
        </is>
      </c>
      <c r="G793" t="n">
        <v>3</v>
      </c>
      <c r="H793" t="n">
        <v>0</v>
      </c>
      <c r="I793" t="n">
        <v>0</v>
      </c>
      <c r="J793" t="n">
        <v>0</v>
      </c>
      <c r="K793" t="n">
        <v>0</v>
      </c>
      <c r="L793" t="n">
        <v>0</v>
      </c>
      <c r="M793" t="n">
        <v>0</v>
      </c>
      <c r="N793" t="n">
        <v>0</v>
      </c>
      <c r="O793" t="n">
        <v>0</v>
      </c>
      <c r="P793" t="n">
        <v>0</v>
      </c>
      <c r="Q793" t="n">
        <v>0</v>
      </c>
      <c r="R793" s="2" t="inlineStr"/>
    </row>
    <row r="794" ht="15" customHeight="1">
      <c r="A794" t="inlineStr">
        <is>
          <t>A 26854-2025</t>
        </is>
      </c>
      <c r="B794" s="1" t="n">
        <v>45810.67462962963</v>
      </c>
      <c r="C794" s="1" t="n">
        <v>46076</v>
      </c>
      <c r="D794" t="inlineStr">
        <is>
          <t>DALARNAS LÄN</t>
        </is>
      </c>
      <c r="E794" t="inlineStr">
        <is>
          <t>MORA</t>
        </is>
      </c>
      <c r="G794" t="n">
        <v>4.4</v>
      </c>
      <c r="H794" t="n">
        <v>0</v>
      </c>
      <c r="I794" t="n">
        <v>0</v>
      </c>
      <c r="J794" t="n">
        <v>0</v>
      </c>
      <c r="K794" t="n">
        <v>0</v>
      </c>
      <c r="L794" t="n">
        <v>0</v>
      </c>
      <c r="M794" t="n">
        <v>0</v>
      </c>
      <c r="N794" t="n">
        <v>0</v>
      </c>
      <c r="O794" t="n">
        <v>0</v>
      </c>
      <c r="P794" t="n">
        <v>0</v>
      </c>
      <c r="Q794" t="n">
        <v>0</v>
      </c>
      <c r="R794" s="2" t="inlineStr"/>
    </row>
    <row r="795" ht="15" customHeight="1">
      <c r="A795" t="inlineStr">
        <is>
          <t>A 26647-2025</t>
        </is>
      </c>
      <c r="B795" s="1" t="n">
        <v>45810.38439814815</v>
      </c>
      <c r="C795" s="1" t="n">
        <v>46076</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26630-2025</t>
        </is>
      </c>
      <c r="B796" s="1" t="n">
        <v>45809</v>
      </c>
      <c r="C796" s="1" t="n">
        <v>46076</v>
      </c>
      <c r="D796" t="inlineStr">
        <is>
          <t>DALARNAS LÄN</t>
        </is>
      </c>
      <c r="E796" t="inlineStr">
        <is>
          <t>MORA</t>
        </is>
      </c>
      <c r="G796" t="n">
        <v>32.1</v>
      </c>
      <c r="H796" t="n">
        <v>0</v>
      </c>
      <c r="I796" t="n">
        <v>0</v>
      </c>
      <c r="J796" t="n">
        <v>0</v>
      </c>
      <c r="K796" t="n">
        <v>0</v>
      </c>
      <c r="L796" t="n">
        <v>0</v>
      </c>
      <c r="M796" t="n">
        <v>0</v>
      </c>
      <c r="N796" t="n">
        <v>0</v>
      </c>
      <c r="O796" t="n">
        <v>0</v>
      </c>
      <c r="P796" t="n">
        <v>0</v>
      </c>
      <c r="Q796" t="n">
        <v>0</v>
      </c>
      <c r="R796" s="2" t="inlineStr"/>
    </row>
    <row r="797" ht="15" customHeight="1">
      <c r="A797" t="inlineStr">
        <is>
          <t>A 27194-2025</t>
        </is>
      </c>
      <c r="B797" s="1" t="n">
        <v>45812.37965277778</v>
      </c>
      <c r="C797" s="1" t="n">
        <v>46076</v>
      </c>
      <c r="D797" t="inlineStr">
        <is>
          <t>DALARNAS LÄN</t>
        </is>
      </c>
      <c r="E797" t="inlineStr">
        <is>
          <t>MORA</t>
        </is>
      </c>
      <c r="G797" t="n">
        <v>2.4</v>
      </c>
      <c r="H797" t="n">
        <v>0</v>
      </c>
      <c r="I797" t="n">
        <v>0</v>
      </c>
      <c r="J797" t="n">
        <v>0</v>
      </c>
      <c r="K797" t="n">
        <v>0</v>
      </c>
      <c r="L797" t="n">
        <v>0</v>
      </c>
      <c r="M797" t="n">
        <v>0</v>
      </c>
      <c r="N797" t="n">
        <v>0</v>
      </c>
      <c r="O797" t="n">
        <v>0</v>
      </c>
      <c r="P797" t="n">
        <v>0</v>
      </c>
      <c r="Q797" t="n">
        <v>0</v>
      </c>
      <c r="R797" s="2" t="inlineStr"/>
    </row>
    <row r="798" ht="15" customHeight="1">
      <c r="A798" t="inlineStr">
        <is>
          <t>A 17268-2025</t>
        </is>
      </c>
      <c r="B798" s="1" t="n">
        <v>45756</v>
      </c>
      <c r="C798" s="1" t="n">
        <v>46076</v>
      </c>
      <c r="D798" t="inlineStr">
        <is>
          <t>DALARNAS LÄN</t>
        </is>
      </c>
      <c r="E798" t="inlineStr">
        <is>
          <t>MORA</t>
        </is>
      </c>
      <c r="G798" t="n">
        <v>6.8</v>
      </c>
      <c r="H798" t="n">
        <v>0</v>
      </c>
      <c r="I798" t="n">
        <v>0</v>
      </c>
      <c r="J798" t="n">
        <v>0</v>
      </c>
      <c r="K798" t="n">
        <v>0</v>
      </c>
      <c r="L798" t="n">
        <v>0</v>
      </c>
      <c r="M798" t="n">
        <v>0</v>
      </c>
      <c r="N798" t="n">
        <v>0</v>
      </c>
      <c r="O798" t="n">
        <v>0</v>
      </c>
      <c r="P798" t="n">
        <v>0</v>
      </c>
      <c r="Q798" t="n">
        <v>0</v>
      </c>
      <c r="R798" s="2" t="inlineStr"/>
    </row>
    <row r="799" ht="15" customHeight="1">
      <c r="A799" t="inlineStr">
        <is>
          <t>A 27642-2025</t>
        </is>
      </c>
      <c r="B799" s="1" t="n">
        <v>45813.59405092592</v>
      </c>
      <c r="C799" s="1" t="n">
        <v>46076</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27184-2025</t>
        </is>
      </c>
      <c r="B800" s="1" t="n">
        <v>45812.36133101852</v>
      </c>
      <c r="C800" s="1" t="n">
        <v>46076</v>
      </c>
      <c r="D800" t="inlineStr">
        <is>
          <t>DALARNAS LÄN</t>
        </is>
      </c>
      <c r="E800" t="inlineStr">
        <is>
          <t>MORA</t>
        </is>
      </c>
      <c r="G800" t="n">
        <v>1.2</v>
      </c>
      <c r="H800" t="n">
        <v>0</v>
      </c>
      <c r="I800" t="n">
        <v>0</v>
      </c>
      <c r="J800" t="n">
        <v>0</v>
      </c>
      <c r="K800" t="n">
        <v>0</v>
      </c>
      <c r="L800" t="n">
        <v>0</v>
      </c>
      <c r="M800" t="n">
        <v>0</v>
      </c>
      <c r="N800" t="n">
        <v>0</v>
      </c>
      <c r="O800" t="n">
        <v>0</v>
      </c>
      <c r="P800" t="n">
        <v>0</v>
      </c>
      <c r="Q800" t="n">
        <v>0</v>
      </c>
      <c r="R800" s="2" t="inlineStr"/>
    </row>
    <row r="801" ht="15" customHeight="1">
      <c r="A801" t="inlineStr">
        <is>
          <t>A 27177-2025</t>
        </is>
      </c>
      <c r="B801" s="1" t="n">
        <v>45812.3533912037</v>
      </c>
      <c r="C801" s="1" t="n">
        <v>46076</v>
      </c>
      <c r="D801" t="inlineStr">
        <is>
          <t>DALARNAS LÄN</t>
        </is>
      </c>
      <c r="E801" t="inlineStr">
        <is>
          <t>MORA</t>
        </is>
      </c>
      <c r="F801" t="inlineStr">
        <is>
          <t>Bergvik skog öst AB</t>
        </is>
      </c>
      <c r="G801" t="n">
        <v>2.5</v>
      </c>
      <c r="H801" t="n">
        <v>0</v>
      </c>
      <c r="I801" t="n">
        <v>0</v>
      </c>
      <c r="J801" t="n">
        <v>0</v>
      </c>
      <c r="K801" t="n">
        <v>0</v>
      </c>
      <c r="L801" t="n">
        <v>0</v>
      </c>
      <c r="M801" t="n">
        <v>0</v>
      </c>
      <c r="N801" t="n">
        <v>0</v>
      </c>
      <c r="O801" t="n">
        <v>0</v>
      </c>
      <c r="P801" t="n">
        <v>0</v>
      </c>
      <c r="Q801" t="n">
        <v>0</v>
      </c>
      <c r="R801" s="2" t="inlineStr"/>
    </row>
    <row r="802" ht="15" customHeight="1">
      <c r="A802" t="inlineStr">
        <is>
          <t>A 14611-2025</t>
        </is>
      </c>
      <c r="B802" s="1" t="n">
        <v>45742.38511574074</v>
      </c>
      <c r="C802" s="1" t="n">
        <v>46076</v>
      </c>
      <c r="D802" t="inlineStr">
        <is>
          <t>DALARNAS LÄN</t>
        </is>
      </c>
      <c r="E802" t="inlineStr">
        <is>
          <t>MORA</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27175-2025</t>
        </is>
      </c>
      <c r="B803" s="1" t="n">
        <v>45812.35072916667</v>
      </c>
      <c r="C803" s="1" t="n">
        <v>46076</v>
      </c>
      <c r="D803" t="inlineStr">
        <is>
          <t>DALARNAS LÄN</t>
        </is>
      </c>
      <c r="E803" t="inlineStr">
        <is>
          <t>MORA</t>
        </is>
      </c>
      <c r="F803" t="inlineStr">
        <is>
          <t>Bergvik skog öst AB</t>
        </is>
      </c>
      <c r="G803" t="n">
        <v>4</v>
      </c>
      <c r="H803" t="n">
        <v>0</v>
      </c>
      <c r="I803" t="n">
        <v>0</v>
      </c>
      <c r="J803" t="n">
        <v>0</v>
      </c>
      <c r="K803" t="n">
        <v>0</v>
      </c>
      <c r="L803" t="n">
        <v>0</v>
      </c>
      <c r="M803" t="n">
        <v>0</v>
      </c>
      <c r="N803" t="n">
        <v>0</v>
      </c>
      <c r="O803" t="n">
        <v>0</v>
      </c>
      <c r="P803" t="n">
        <v>0</v>
      </c>
      <c r="Q803" t="n">
        <v>0</v>
      </c>
      <c r="R803" s="2" t="inlineStr"/>
    </row>
    <row r="804">
      <c r="A804" t="inlineStr">
        <is>
          <t>A 28033-2025</t>
        </is>
      </c>
      <c r="B804" s="1" t="n">
        <v>45817.6325462963</v>
      </c>
      <c r="C804" s="1" t="n">
        <v>46076</v>
      </c>
      <c r="D804" t="inlineStr">
        <is>
          <t>DALARNAS LÄN</t>
        </is>
      </c>
      <c r="E804" t="inlineStr">
        <is>
          <t>MORA</t>
        </is>
      </c>
      <c r="F804" t="inlineStr">
        <is>
          <t>Bergvik skog öst AB</t>
        </is>
      </c>
      <c r="G804" t="n">
        <v>12.8</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2026-02-23T11:04:26Z</dcterms:created>
  <dcterms:modified xmlns:dcterms="http://purl.org/dc/terms/" xmlns:xsi="http://www.w3.org/2001/XMLSchema-instance" xsi:type="dcterms:W3CDTF">2026-02-23T11:04:26Z</dcterms:modified>
</cp:coreProperties>
</file>