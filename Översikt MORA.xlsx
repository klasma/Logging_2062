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45985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45985</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45985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45985</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43504-2025</t>
        </is>
      </c>
      <c r="B11" s="1" t="n">
        <v>45911</v>
      </c>
      <c r="C11" s="1" t="n">
        <v>45985</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45985</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34018-2021</t>
        </is>
      </c>
      <c r="B13" s="1" t="n">
        <v>44379.34289351852</v>
      </c>
      <c r="C13" s="1" t="n">
        <v>45985</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45199-2025</t>
        </is>
      </c>
      <c r="B14" s="1" t="n">
        <v>45919.56107638889</v>
      </c>
      <c r="C14" s="1" t="n">
        <v>45985</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45985</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45985</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45985</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45985</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45985</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45985</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45985</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35944-2024</t>
        </is>
      </c>
      <c r="B26" s="1" t="n">
        <v>45533.45853009259</v>
      </c>
      <c r="C26" s="1" t="n">
        <v>45985</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45985</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45985</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5064-2023</t>
        </is>
      </c>
      <c r="B29" s="1" t="n">
        <v>44958.60337962963</v>
      </c>
      <c r="C29" s="1" t="n">
        <v>45985</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41794-2025</t>
        </is>
      </c>
      <c r="B30" s="1" t="n">
        <v>45902.60008101852</v>
      </c>
      <c r="C30" s="1" t="n">
        <v>45985</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45985</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45985</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57661-2025</t>
        </is>
      </c>
      <c r="B33" s="1" t="n">
        <v>45981.41530092592</v>
      </c>
      <c r="C33" s="1" t="n">
        <v>45985</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45985</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45985</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45985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45985</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45985</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45832.36327546297</v>
      </c>
      <c r="C40" s="1" t="n">
        <v>45985</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29380-2025</t>
        </is>
      </c>
      <c r="B41" s="1" t="n">
        <v>45824.59025462963</v>
      </c>
      <c r="C41" s="1" t="n">
        <v>45985</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45985</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45985</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34447-2024</t>
        </is>
      </c>
      <c r="B44" s="1" t="n">
        <v>45525</v>
      </c>
      <c r="C44" s="1" t="n">
        <v>45985</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45985</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53426-2025</t>
        </is>
      </c>
      <c r="B46" s="1" t="n">
        <v>45959.6131712963</v>
      </c>
      <c r="C46" s="1" t="n">
        <v>45985</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45985</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45985</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45985</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45985</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14293-2024</t>
        </is>
      </c>
      <c r="B51" s="1" t="n">
        <v>45393.63902777778</v>
      </c>
      <c r="C51" s="1" t="n">
        <v>45985</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45985</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39478-2025</t>
        </is>
      </c>
      <c r="B53" s="1" t="n">
        <v>45890.3469212963</v>
      </c>
      <c r="C53" s="1" t="n">
        <v>45985</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45985</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14829-2025</t>
        </is>
      </c>
      <c r="B55" s="1" t="n">
        <v>45743.36951388889</v>
      </c>
      <c r="C55" s="1" t="n">
        <v>45985</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32222-2025</t>
        </is>
      </c>
      <c r="B56" s="1" t="n">
        <v>45835.59140046296</v>
      </c>
      <c r="C56" s="1" t="n">
        <v>45985</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45848.52225694444</v>
      </c>
      <c r="C57" s="1" t="n">
        <v>45985</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23163-2025</t>
        </is>
      </c>
      <c r="B58" s="1" t="n">
        <v>45791.41832175926</v>
      </c>
      <c r="C58" s="1" t="n">
        <v>45985</v>
      </c>
      <c r="D58" t="inlineStr">
        <is>
          <t>DALARNAS LÄN</t>
        </is>
      </c>
      <c r="E58" t="inlineStr">
        <is>
          <t>MORA</t>
        </is>
      </c>
      <c r="G58" t="n">
        <v>4.2</v>
      </c>
      <c r="H58" t="n">
        <v>2</v>
      </c>
      <c r="I58" t="n">
        <v>0</v>
      </c>
      <c r="J58" t="n">
        <v>3</v>
      </c>
      <c r="K58" t="n">
        <v>0</v>
      </c>
      <c r="L58" t="n">
        <v>0</v>
      </c>
      <c r="M58" t="n">
        <v>0</v>
      </c>
      <c r="N58" t="n">
        <v>0</v>
      </c>
      <c r="O58" t="n">
        <v>3</v>
      </c>
      <c r="P58" t="n">
        <v>0</v>
      </c>
      <c r="Q58" t="n">
        <v>3</v>
      </c>
      <c r="R58" s="2" t="inlineStr">
        <is>
          <t>Garnlav
Spillkråka
Talltita</t>
        </is>
      </c>
      <c r="S58">
        <f>HYPERLINK("https://klasma.github.io/Logging_2062/artfynd/A 23163-2025 artfynd.xlsx", "A 23163-2025")</f>
        <v/>
      </c>
      <c r="T58">
        <f>HYPERLINK("https://klasma.github.io/Logging_2062/kartor/A 23163-2025 karta.png", "A 23163-2025")</f>
        <v/>
      </c>
      <c r="U58">
        <f>HYPERLINK("https://klasma.github.io/Logging_2062/knärot/A 23163-2025 karta knärot.png",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39481-2025</t>
        </is>
      </c>
      <c r="B59" s="1" t="n">
        <v>45890.35545138889</v>
      </c>
      <c r="C59" s="1" t="n">
        <v>45985</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45985</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45985</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62286-2020</t>
        </is>
      </c>
      <c r="B62" s="1" t="n">
        <v>44160</v>
      </c>
      <c r="C62" s="1" t="n">
        <v>45985</v>
      </c>
      <c r="D62" t="inlineStr">
        <is>
          <t>DALARNAS LÄN</t>
        </is>
      </c>
      <c r="E62" t="inlineStr">
        <is>
          <t>MORA</t>
        </is>
      </c>
      <c r="G62" t="n">
        <v>0.6</v>
      </c>
      <c r="H62" t="n">
        <v>1</v>
      </c>
      <c r="I62" t="n">
        <v>1</v>
      </c>
      <c r="J62" t="n">
        <v>1</v>
      </c>
      <c r="K62" t="n">
        <v>0</v>
      </c>
      <c r="L62" t="n">
        <v>0</v>
      </c>
      <c r="M62" t="n">
        <v>0</v>
      </c>
      <c r="N62" t="n">
        <v>0</v>
      </c>
      <c r="O62" t="n">
        <v>1</v>
      </c>
      <c r="P62" t="n">
        <v>0</v>
      </c>
      <c r="Q62" t="n">
        <v>2</v>
      </c>
      <c r="R62" s="2" t="inlineStr">
        <is>
          <t>Brun gräsfjäril
Traslav</t>
        </is>
      </c>
      <c r="S62">
        <f>HYPERLINK("https://klasma.github.io/Logging_2062/artfynd/A 62286-2020 artfynd.xlsx", "A 62286-2020")</f>
        <v/>
      </c>
      <c r="T62">
        <f>HYPERLINK("https://klasma.github.io/Logging_2062/kartor/A 62286-2020 karta.png", "A 62286-2020")</f>
        <v/>
      </c>
      <c r="V62">
        <f>HYPERLINK("https://klasma.github.io/Logging_2062/klagomål/A 62286-2020 FSC-klagomål.docx", "A 62286-2020")</f>
        <v/>
      </c>
      <c r="W62">
        <f>HYPERLINK("https://klasma.github.io/Logging_2062/klagomålsmail/A 62286-2020 FSC-klagomål mail.docx", "A 62286-2020")</f>
        <v/>
      </c>
      <c r="X62">
        <f>HYPERLINK("https://klasma.github.io/Logging_2062/tillsyn/A 62286-2020 tillsynsbegäran.docx", "A 62286-2020")</f>
        <v/>
      </c>
      <c r="Y62">
        <f>HYPERLINK("https://klasma.github.io/Logging_2062/tillsynsmail/A 62286-2020 tillsynsbegäran mail.docx", "A 62286-2020")</f>
        <v/>
      </c>
    </row>
    <row r="63" ht="15" customHeight="1">
      <c r="A63" t="inlineStr">
        <is>
          <t>A 35068-2025</t>
        </is>
      </c>
      <c r="B63" s="1" t="n">
        <v>45852.45686342593</v>
      </c>
      <c r="C63" s="1" t="n">
        <v>45985</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45985</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45985</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45985</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45985</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45985</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45985</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45985</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45985</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45985</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45985</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45985</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45985</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45985</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45985</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45985</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45985</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45985</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45985</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45985</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45985</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45985</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45985</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45985</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45985</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45985</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45985</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45985</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45985</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45985</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45985</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45985</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45985</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45985</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45985</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45985</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45985</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45985</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45985</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45985</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45985</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45985</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45985</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45985</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45985</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45985</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45985</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45985</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45985</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45985</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45985</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45985</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45985</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45985</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45985</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45985</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45985</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45985</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45985</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45985</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45985</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45985</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45985</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45985</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45985</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45985</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45985</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45985</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45985</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45985</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45985</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45985</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45985</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45985</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45985</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45985</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45985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45985</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45985</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45985</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45985</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45985</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45985</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45985</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45985</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45985</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45985</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45985</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45985</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45985</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45985</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45985</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45985</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17145-2024</t>
        </is>
      </c>
      <c r="B156" s="1" t="n">
        <v>45412</v>
      </c>
      <c r="C156" s="1" t="n">
        <v>45985</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51780-2023</t>
        </is>
      </c>
      <c r="B157" s="1" t="n">
        <v>45222</v>
      </c>
      <c r="C157" s="1" t="n">
        <v>45985</v>
      </c>
      <c r="D157" t="inlineStr">
        <is>
          <t>DALARNAS LÄN</t>
        </is>
      </c>
      <c r="E157" t="inlineStr">
        <is>
          <t>MORA</t>
        </is>
      </c>
      <c r="G157" t="n">
        <v>9.9</v>
      </c>
      <c r="H157" t="n">
        <v>0</v>
      </c>
      <c r="I157" t="n">
        <v>0</v>
      </c>
      <c r="J157" t="n">
        <v>0</v>
      </c>
      <c r="K157" t="n">
        <v>0</v>
      </c>
      <c r="L157" t="n">
        <v>0</v>
      </c>
      <c r="M157" t="n">
        <v>0</v>
      </c>
      <c r="N157" t="n">
        <v>0</v>
      </c>
      <c r="O157" t="n">
        <v>0</v>
      </c>
      <c r="P157" t="n">
        <v>0</v>
      </c>
      <c r="Q157" t="n">
        <v>0</v>
      </c>
      <c r="R157" s="2" t="inlineStr"/>
    </row>
    <row r="158" ht="15" customHeight="1">
      <c r="A158" t="inlineStr">
        <is>
          <t>A 46188-2022</t>
        </is>
      </c>
      <c r="B158" s="1" t="n">
        <v>44847.518125</v>
      </c>
      <c r="C158" s="1" t="n">
        <v>45985</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17516-2024</t>
        </is>
      </c>
      <c r="B159" s="1" t="n">
        <v>45415.58502314815</v>
      </c>
      <c r="C159" s="1" t="n">
        <v>45985</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16573-2024</t>
        </is>
      </c>
      <c r="B160" s="1" t="n">
        <v>45408.46980324074</v>
      </c>
      <c r="C160" s="1" t="n">
        <v>45985</v>
      </c>
      <c r="D160" t="inlineStr">
        <is>
          <t>DALARNAS LÄN</t>
        </is>
      </c>
      <c r="E160" t="inlineStr">
        <is>
          <t>MORA</t>
        </is>
      </c>
      <c r="G160" t="n">
        <v>4.5</v>
      </c>
      <c r="H160" t="n">
        <v>0</v>
      </c>
      <c r="I160" t="n">
        <v>0</v>
      </c>
      <c r="J160" t="n">
        <v>0</v>
      </c>
      <c r="K160" t="n">
        <v>0</v>
      </c>
      <c r="L160" t="n">
        <v>0</v>
      </c>
      <c r="M160" t="n">
        <v>0</v>
      </c>
      <c r="N160" t="n">
        <v>0</v>
      </c>
      <c r="O160" t="n">
        <v>0</v>
      </c>
      <c r="P160" t="n">
        <v>0</v>
      </c>
      <c r="Q160" t="n">
        <v>0</v>
      </c>
      <c r="R160" s="2" t="inlineStr"/>
    </row>
    <row r="161" ht="15" customHeight="1">
      <c r="A161" t="inlineStr">
        <is>
          <t>A 22409-2025</t>
        </is>
      </c>
      <c r="B161" s="1" t="n">
        <v>45786.54940972223</v>
      </c>
      <c r="C161" s="1" t="n">
        <v>45985</v>
      </c>
      <c r="D161" t="inlineStr">
        <is>
          <t>DALARNAS LÄN</t>
        </is>
      </c>
      <c r="E161" t="inlineStr">
        <is>
          <t>MORA</t>
        </is>
      </c>
      <c r="F161" t="inlineStr">
        <is>
          <t>Bergvik skog öst AB</t>
        </is>
      </c>
      <c r="G161" t="n">
        <v>5</v>
      </c>
      <c r="H161" t="n">
        <v>0</v>
      </c>
      <c r="I161" t="n">
        <v>0</v>
      </c>
      <c r="J161" t="n">
        <v>0</v>
      </c>
      <c r="K161" t="n">
        <v>0</v>
      </c>
      <c r="L161" t="n">
        <v>0</v>
      </c>
      <c r="M161" t="n">
        <v>0</v>
      </c>
      <c r="N161" t="n">
        <v>0</v>
      </c>
      <c r="O161" t="n">
        <v>0</v>
      </c>
      <c r="P161" t="n">
        <v>0</v>
      </c>
      <c r="Q161" t="n">
        <v>0</v>
      </c>
      <c r="R161" s="2" t="inlineStr"/>
    </row>
    <row r="162" ht="15" customHeight="1">
      <c r="A162" t="inlineStr">
        <is>
          <t>A 24772-2024</t>
        </is>
      </c>
      <c r="B162" s="1" t="n">
        <v>45460.70204861111</v>
      </c>
      <c r="C162" s="1" t="n">
        <v>45985</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11193-2025</t>
        </is>
      </c>
      <c r="B163" s="1" t="n">
        <v>45725</v>
      </c>
      <c r="C163" s="1" t="n">
        <v>45985</v>
      </c>
      <c r="D163" t="inlineStr">
        <is>
          <t>DALARNAS LÄN</t>
        </is>
      </c>
      <c r="E163" t="inlineStr">
        <is>
          <t>MORA</t>
        </is>
      </c>
      <c r="G163" t="n">
        <v>4.1</v>
      </c>
      <c r="H163" t="n">
        <v>0</v>
      </c>
      <c r="I163" t="n">
        <v>0</v>
      </c>
      <c r="J163" t="n">
        <v>0</v>
      </c>
      <c r="K163" t="n">
        <v>0</v>
      </c>
      <c r="L163" t="n">
        <v>0</v>
      </c>
      <c r="M163" t="n">
        <v>0</v>
      </c>
      <c r="N163" t="n">
        <v>0</v>
      </c>
      <c r="O163" t="n">
        <v>0</v>
      </c>
      <c r="P163" t="n">
        <v>0</v>
      </c>
      <c r="Q163" t="n">
        <v>0</v>
      </c>
      <c r="R163" s="2" t="inlineStr"/>
    </row>
    <row r="164" ht="15" customHeight="1">
      <c r="A164" t="inlineStr">
        <is>
          <t>A 22354-2025</t>
        </is>
      </c>
      <c r="B164" s="1" t="n">
        <v>45786.45721064815</v>
      </c>
      <c r="C164" s="1" t="n">
        <v>45985</v>
      </c>
      <c r="D164" t="inlineStr">
        <is>
          <t>DALARNAS LÄN</t>
        </is>
      </c>
      <c r="E164" t="inlineStr">
        <is>
          <t>MORA</t>
        </is>
      </c>
      <c r="F164" t="inlineStr">
        <is>
          <t>Bergvik skog öst AB</t>
        </is>
      </c>
      <c r="G164" t="n">
        <v>2</v>
      </c>
      <c r="H164" t="n">
        <v>0</v>
      </c>
      <c r="I164" t="n">
        <v>0</v>
      </c>
      <c r="J164" t="n">
        <v>0</v>
      </c>
      <c r="K164" t="n">
        <v>0</v>
      </c>
      <c r="L164" t="n">
        <v>0</v>
      </c>
      <c r="M164" t="n">
        <v>0</v>
      </c>
      <c r="N164" t="n">
        <v>0</v>
      </c>
      <c r="O164" t="n">
        <v>0</v>
      </c>
      <c r="P164" t="n">
        <v>0</v>
      </c>
      <c r="Q164" t="n">
        <v>0</v>
      </c>
      <c r="R164" s="2" t="inlineStr"/>
    </row>
    <row r="165" ht="15" customHeight="1">
      <c r="A165" t="inlineStr">
        <is>
          <t>A 34923-2022</t>
        </is>
      </c>
      <c r="B165" s="1" t="n">
        <v>44796</v>
      </c>
      <c r="C165" s="1" t="n">
        <v>45985</v>
      </c>
      <c r="D165" t="inlineStr">
        <is>
          <t>DALARNAS LÄN</t>
        </is>
      </c>
      <c r="E165" t="inlineStr">
        <is>
          <t>MORA</t>
        </is>
      </c>
      <c r="G165" t="n">
        <v>5</v>
      </c>
      <c r="H165" t="n">
        <v>0</v>
      </c>
      <c r="I165" t="n">
        <v>0</v>
      </c>
      <c r="J165" t="n">
        <v>0</v>
      </c>
      <c r="K165" t="n">
        <v>0</v>
      </c>
      <c r="L165" t="n">
        <v>0</v>
      </c>
      <c r="M165" t="n">
        <v>0</v>
      </c>
      <c r="N165" t="n">
        <v>0</v>
      </c>
      <c r="O165" t="n">
        <v>0</v>
      </c>
      <c r="P165" t="n">
        <v>0</v>
      </c>
      <c r="Q165" t="n">
        <v>0</v>
      </c>
      <c r="R165" s="2" t="inlineStr"/>
    </row>
    <row r="166" ht="15" customHeight="1">
      <c r="A166" t="inlineStr">
        <is>
          <t>A 59174-2023</t>
        </is>
      </c>
      <c r="B166" s="1" t="n">
        <v>45253.43202546296</v>
      </c>
      <c r="C166" s="1" t="n">
        <v>45985</v>
      </c>
      <c r="D166" t="inlineStr">
        <is>
          <t>DALARNAS LÄN</t>
        </is>
      </c>
      <c r="E166" t="inlineStr">
        <is>
          <t>MORA</t>
        </is>
      </c>
      <c r="G166" t="n">
        <v>2.5</v>
      </c>
      <c r="H166" t="n">
        <v>0</v>
      </c>
      <c r="I166" t="n">
        <v>0</v>
      </c>
      <c r="J166" t="n">
        <v>0</v>
      </c>
      <c r="K166" t="n">
        <v>0</v>
      </c>
      <c r="L166" t="n">
        <v>0</v>
      </c>
      <c r="M166" t="n">
        <v>0</v>
      </c>
      <c r="N166" t="n">
        <v>0</v>
      </c>
      <c r="O166" t="n">
        <v>0</v>
      </c>
      <c r="P166" t="n">
        <v>0</v>
      </c>
      <c r="Q166" t="n">
        <v>0</v>
      </c>
      <c r="R166" s="2" t="inlineStr"/>
    </row>
    <row r="167" ht="15" customHeight="1">
      <c r="A167" t="inlineStr">
        <is>
          <t>A 36184-2021</t>
        </is>
      </c>
      <c r="B167" s="1" t="n">
        <v>44389</v>
      </c>
      <c r="C167" s="1" t="n">
        <v>45985</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18202-2024</t>
        </is>
      </c>
      <c r="B168" s="1" t="n">
        <v>45420.68172453704</v>
      </c>
      <c r="C168" s="1" t="n">
        <v>45985</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23057-2024</t>
        </is>
      </c>
      <c r="B169" s="1" t="n">
        <v>45450</v>
      </c>
      <c r="C169" s="1" t="n">
        <v>45985</v>
      </c>
      <c r="D169" t="inlineStr">
        <is>
          <t>DALARNAS LÄN</t>
        </is>
      </c>
      <c r="E169" t="inlineStr">
        <is>
          <t>MORA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25494-2024</t>
        </is>
      </c>
      <c r="B170" s="1" t="n">
        <v>45463</v>
      </c>
      <c r="C170" s="1" t="n">
        <v>45985</v>
      </c>
      <c r="D170" t="inlineStr">
        <is>
          <t>DALARNAS LÄN</t>
        </is>
      </c>
      <c r="E170" t="inlineStr">
        <is>
          <t>MORA</t>
        </is>
      </c>
      <c r="G170" t="n">
        <v>4.9</v>
      </c>
      <c r="H170" t="n">
        <v>0</v>
      </c>
      <c r="I170" t="n">
        <v>0</v>
      </c>
      <c r="J170" t="n">
        <v>0</v>
      </c>
      <c r="K170" t="n">
        <v>0</v>
      </c>
      <c r="L170" t="n">
        <v>0</v>
      </c>
      <c r="M170" t="n">
        <v>0</v>
      </c>
      <c r="N170" t="n">
        <v>0</v>
      </c>
      <c r="O170" t="n">
        <v>0</v>
      </c>
      <c r="P170" t="n">
        <v>0</v>
      </c>
      <c r="Q170" t="n">
        <v>0</v>
      </c>
      <c r="R170" s="2" t="inlineStr"/>
    </row>
    <row r="171" ht="15" customHeight="1">
      <c r="A171" t="inlineStr">
        <is>
          <t>A 49159-2023</t>
        </is>
      </c>
      <c r="B171" s="1" t="n">
        <v>45210</v>
      </c>
      <c r="C171" s="1" t="n">
        <v>45985</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16967-2025</t>
        </is>
      </c>
      <c r="B172" s="1" t="n">
        <v>45755.46106481482</v>
      </c>
      <c r="C172" s="1" t="n">
        <v>45985</v>
      </c>
      <c r="D172" t="inlineStr">
        <is>
          <t>DALARNAS LÄN</t>
        </is>
      </c>
      <c r="E172" t="inlineStr">
        <is>
          <t>MORA</t>
        </is>
      </c>
      <c r="F172" t="inlineStr">
        <is>
          <t>Bergvik skog öst AB</t>
        </is>
      </c>
      <c r="G172" t="n">
        <v>2.9</v>
      </c>
      <c r="H172" t="n">
        <v>0</v>
      </c>
      <c r="I172" t="n">
        <v>0</v>
      </c>
      <c r="J172" t="n">
        <v>0</v>
      </c>
      <c r="K172" t="n">
        <v>0</v>
      </c>
      <c r="L172" t="n">
        <v>0</v>
      </c>
      <c r="M172" t="n">
        <v>0</v>
      </c>
      <c r="N172" t="n">
        <v>0</v>
      </c>
      <c r="O172" t="n">
        <v>0</v>
      </c>
      <c r="P172" t="n">
        <v>0</v>
      </c>
      <c r="Q172" t="n">
        <v>0</v>
      </c>
      <c r="R172" s="2" t="inlineStr"/>
    </row>
    <row r="173" ht="15" customHeight="1">
      <c r="A173" t="inlineStr">
        <is>
          <t>A 56900-2024</t>
        </is>
      </c>
      <c r="B173" s="1" t="n">
        <v>45625</v>
      </c>
      <c r="C173" s="1" t="n">
        <v>45985</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18444-2024</t>
        </is>
      </c>
      <c r="B174" s="1" t="n">
        <v>45425.45568287037</v>
      </c>
      <c r="C174" s="1" t="n">
        <v>45985</v>
      </c>
      <c r="D174" t="inlineStr">
        <is>
          <t>DALARNAS LÄN</t>
        </is>
      </c>
      <c r="E174" t="inlineStr">
        <is>
          <t>MORA</t>
        </is>
      </c>
      <c r="G174" t="n">
        <v>5</v>
      </c>
      <c r="H174" t="n">
        <v>0</v>
      </c>
      <c r="I174" t="n">
        <v>0</v>
      </c>
      <c r="J174" t="n">
        <v>0</v>
      </c>
      <c r="K174" t="n">
        <v>0</v>
      </c>
      <c r="L174" t="n">
        <v>0</v>
      </c>
      <c r="M174" t="n">
        <v>0</v>
      </c>
      <c r="N174" t="n">
        <v>0</v>
      </c>
      <c r="O174" t="n">
        <v>0</v>
      </c>
      <c r="P174" t="n">
        <v>0</v>
      </c>
      <c r="Q174" t="n">
        <v>0</v>
      </c>
      <c r="R174" s="2" t="inlineStr"/>
    </row>
    <row r="175" ht="15" customHeight="1">
      <c r="A175" t="inlineStr">
        <is>
          <t>A 56927-2024</t>
        </is>
      </c>
      <c r="B175" s="1" t="n">
        <v>45625</v>
      </c>
      <c r="C175" s="1" t="n">
        <v>45985</v>
      </c>
      <c r="D175" t="inlineStr">
        <is>
          <t>DALARNAS LÄN</t>
        </is>
      </c>
      <c r="E175" t="inlineStr">
        <is>
          <t>MORA</t>
        </is>
      </c>
      <c r="G175" t="n">
        <v>2.8</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45985</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18992-2024</t>
        </is>
      </c>
      <c r="B177" s="1" t="n">
        <v>45427.61516203704</v>
      </c>
      <c r="C177" s="1" t="n">
        <v>45985</v>
      </c>
      <c r="D177" t="inlineStr">
        <is>
          <t>DALARNAS LÄN</t>
        </is>
      </c>
      <c r="E177" t="inlineStr">
        <is>
          <t>MORA</t>
        </is>
      </c>
      <c r="G177" t="n">
        <v>9.9</v>
      </c>
      <c r="H177" t="n">
        <v>0</v>
      </c>
      <c r="I177" t="n">
        <v>0</v>
      </c>
      <c r="J177" t="n">
        <v>0</v>
      </c>
      <c r="K177" t="n">
        <v>0</v>
      </c>
      <c r="L177" t="n">
        <v>0</v>
      </c>
      <c r="M177" t="n">
        <v>0</v>
      </c>
      <c r="N177" t="n">
        <v>0</v>
      </c>
      <c r="O177" t="n">
        <v>0</v>
      </c>
      <c r="P177" t="n">
        <v>0</v>
      </c>
      <c r="Q177" t="n">
        <v>0</v>
      </c>
      <c r="R177" s="2" t="inlineStr"/>
    </row>
    <row r="178" ht="15" customHeight="1">
      <c r="A178" t="inlineStr">
        <is>
          <t>A 54192-2023</t>
        </is>
      </c>
      <c r="B178" s="1" t="n">
        <v>45232.53052083333</v>
      </c>
      <c r="C178" s="1" t="n">
        <v>45985</v>
      </c>
      <c r="D178" t="inlineStr">
        <is>
          <t>DALARNAS LÄN</t>
        </is>
      </c>
      <c r="E178" t="inlineStr">
        <is>
          <t>MORA</t>
        </is>
      </c>
      <c r="G178" t="n">
        <v>3.4</v>
      </c>
      <c r="H178" t="n">
        <v>0</v>
      </c>
      <c r="I178" t="n">
        <v>0</v>
      </c>
      <c r="J178" t="n">
        <v>0</v>
      </c>
      <c r="K178" t="n">
        <v>0</v>
      </c>
      <c r="L178" t="n">
        <v>0</v>
      </c>
      <c r="M178" t="n">
        <v>0</v>
      </c>
      <c r="N178" t="n">
        <v>0</v>
      </c>
      <c r="O178" t="n">
        <v>0</v>
      </c>
      <c r="P178" t="n">
        <v>0</v>
      </c>
      <c r="Q178" t="n">
        <v>0</v>
      </c>
      <c r="R178" s="2" t="inlineStr"/>
    </row>
    <row r="179" ht="15" customHeight="1">
      <c r="A179" t="inlineStr">
        <is>
          <t>A 59404-2024</t>
        </is>
      </c>
      <c r="B179" s="1" t="n">
        <v>45638</v>
      </c>
      <c r="C179" s="1" t="n">
        <v>45985</v>
      </c>
      <c r="D179" t="inlineStr">
        <is>
          <t>DALARNAS LÄN</t>
        </is>
      </c>
      <c r="E179" t="inlineStr">
        <is>
          <t>MORA</t>
        </is>
      </c>
      <c r="G179" t="n">
        <v>2.6</v>
      </c>
      <c r="H179" t="n">
        <v>0</v>
      </c>
      <c r="I179" t="n">
        <v>0</v>
      </c>
      <c r="J179" t="n">
        <v>0</v>
      </c>
      <c r="K179" t="n">
        <v>0</v>
      </c>
      <c r="L179" t="n">
        <v>0</v>
      </c>
      <c r="M179" t="n">
        <v>0</v>
      </c>
      <c r="N179" t="n">
        <v>0</v>
      </c>
      <c r="O179" t="n">
        <v>0</v>
      </c>
      <c r="P179" t="n">
        <v>0</v>
      </c>
      <c r="Q179" t="n">
        <v>0</v>
      </c>
      <c r="R179" s="2" t="inlineStr"/>
    </row>
    <row r="180" ht="15" customHeight="1">
      <c r="A180" t="inlineStr">
        <is>
          <t>A 22185-2025</t>
        </is>
      </c>
      <c r="B180" s="1" t="n">
        <v>45785</v>
      </c>
      <c r="C180" s="1" t="n">
        <v>45985</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60673-2023</t>
        </is>
      </c>
      <c r="B181" s="1" t="n">
        <v>45260.46438657407</v>
      </c>
      <c r="C181" s="1" t="n">
        <v>45985</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23368-2025</t>
        </is>
      </c>
      <c r="B182" s="1" t="n">
        <v>45791.70299768518</v>
      </c>
      <c r="C182" s="1" t="n">
        <v>45985</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56935-2024</t>
        </is>
      </c>
      <c r="B183" s="1" t="n">
        <v>45625</v>
      </c>
      <c r="C183" s="1" t="n">
        <v>45985</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60847-2021</t>
        </is>
      </c>
      <c r="B184" s="1" t="n">
        <v>44497</v>
      </c>
      <c r="C184" s="1" t="n">
        <v>45985</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23354-2022</t>
        </is>
      </c>
      <c r="B185" s="1" t="n">
        <v>44720</v>
      </c>
      <c r="C185" s="1" t="n">
        <v>45985</v>
      </c>
      <c r="D185" t="inlineStr">
        <is>
          <t>DALARNAS LÄN</t>
        </is>
      </c>
      <c r="E185" t="inlineStr">
        <is>
          <t>MORA</t>
        </is>
      </c>
      <c r="G185" t="n">
        <v>5.2</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44796.60479166666</v>
      </c>
      <c r="C186" s="1" t="n">
        <v>45985</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32410-2024</t>
        </is>
      </c>
      <c r="B187" s="1" t="n">
        <v>45512.70077546296</v>
      </c>
      <c r="C187" s="1" t="n">
        <v>45985</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9461-2025</t>
        </is>
      </c>
      <c r="B188" s="1" t="n">
        <v>45715.45341435185</v>
      </c>
      <c r="C188" s="1" t="n">
        <v>45985</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24127-2025</t>
        </is>
      </c>
      <c r="B189" s="1" t="n">
        <v>45796.63137731481</v>
      </c>
      <c r="C189" s="1" t="n">
        <v>45985</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32721-2024</t>
        </is>
      </c>
      <c r="B190" s="1" t="n">
        <v>45516.40261574074</v>
      </c>
      <c r="C190" s="1" t="n">
        <v>45985</v>
      </c>
      <c r="D190" t="inlineStr">
        <is>
          <t>DALARNAS LÄN</t>
        </is>
      </c>
      <c r="E190" t="inlineStr">
        <is>
          <t>MORA</t>
        </is>
      </c>
      <c r="G190" t="n">
        <v>4.2</v>
      </c>
      <c r="H190" t="n">
        <v>0</v>
      </c>
      <c r="I190" t="n">
        <v>0</v>
      </c>
      <c r="J190" t="n">
        <v>0</v>
      </c>
      <c r="K190" t="n">
        <v>0</v>
      </c>
      <c r="L190" t="n">
        <v>0</v>
      </c>
      <c r="M190" t="n">
        <v>0</v>
      </c>
      <c r="N190" t="n">
        <v>0</v>
      </c>
      <c r="O190" t="n">
        <v>0</v>
      </c>
      <c r="P190" t="n">
        <v>0</v>
      </c>
      <c r="Q190" t="n">
        <v>0</v>
      </c>
      <c r="R190" s="2" t="inlineStr"/>
    </row>
    <row r="191" ht="15" customHeight="1">
      <c r="A191" t="inlineStr">
        <is>
          <t>A 39456-2025</t>
        </is>
      </c>
      <c r="B191" s="1" t="n">
        <v>45889.76200231481</v>
      </c>
      <c r="C191" s="1" t="n">
        <v>45985</v>
      </c>
      <c r="D191" t="inlineStr">
        <is>
          <t>DALARNAS LÄN</t>
        </is>
      </c>
      <c r="E191" t="inlineStr">
        <is>
          <t>MORA</t>
        </is>
      </c>
      <c r="F191" t="inlineStr">
        <is>
          <t>Bergvik skog öst AB</t>
        </is>
      </c>
      <c r="G191" t="n">
        <v>16.7</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45985</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62854-2023</t>
        </is>
      </c>
      <c r="B193" s="1" t="n">
        <v>45272</v>
      </c>
      <c r="C193" s="1" t="n">
        <v>45985</v>
      </c>
      <c r="D193" t="inlineStr">
        <is>
          <t>DALARNAS LÄN</t>
        </is>
      </c>
      <c r="E193" t="inlineStr">
        <is>
          <t>MORA</t>
        </is>
      </c>
      <c r="G193" t="n">
        <v>11.3</v>
      </c>
      <c r="H193" t="n">
        <v>0</v>
      </c>
      <c r="I193" t="n">
        <v>0</v>
      </c>
      <c r="J193" t="n">
        <v>0</v>
      </c>
      <c r="K193" t="n">
        <v>0</v>
      </c>
      <c r="L193" t="n">
        <v>0</v>
      </c>
      <c r="M193" t="n">
        <v>0</v>
      </c>
      <c r="N193" t="n">
        <v>0</v>
      </c>
      <c r="O193" t="n">
        <v>0</v>
      </c>
      <c r="P193" t="n">
        <v>0</v>
      </c>
      <c r="Q193" t="n">
        <v>0</v>
      </c>
      <c r="R193" s="2" t="inlineStr"/>
    </row>
    <row r="194" ht="15" customHeight="1">
      <c r="A194" t="inlineStr">
        <is>
          <t>A 19286-2023</t>
        </is>
      </c>
      <c r="B194" s="1" t="n">
        <v>45049</v>
      </c>
      <c r="C194" s="1" t="n">
        <v>45985</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40147-2025</t>
        </is>
      </c>
      <c r="B195" s="1" t="n">
        <v>45894.57918981482</v>
      </c>
      <c r="C195" s="1" t="n">
        <v>45985</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23229-2025</t>
        </is>
      </c>
      <c r="B196" s="1" t="n">
        <v>45791</v>
      </c>
      <c r="C196" s="1" t="n">
        <v>45985</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30194-2024</t>
        </is>
      </c>
      <c r="B197" s="1" t="n">
        <v>45490.33387731481</v>
      </c>
      <c r="C197" s="1" t="n">
        <v>45985</v>
      </c>
      <c r="D197" t="inlineStr">
        <is>
          <t>DALARNAS LÄN</t>
        </is>
      </c>
      <c r="E197" t="inlineStr">
        <is>
          <t>MORA</t>
        </is>
      </c>
      <c r="G197" t="n">
        <v>3.1</v>
      </c>
      <c r="H197" t="n">
        <v>0</v>
      </c>
      <c r="I197" t="n">
        <v>0</v>
      </c>
      <c r="J197" t="n">
        <v>0</v>
      </c>
      <c r="K197" t="n">
        <v>0</v>
      </c>
      <c r="L197" t="n">
        <v>0</v>
      </c>
      <c r="M197" t="n">
        <v>0</v>
      </c>
      <c r="N197" t="n">
        <v>0</v>
      </c>
      <c r="O197" t="n">
        <v>0</v>
      </c>
      <c r="P197" t="n">
        <v>0</v>
      </c>
      <c r="Q197" t="n">
        <v>0</v>
      </c>
      <c r="R197" s="2" t="inlineStr"/>
    </row>
    <row r="198" ht="15" customHeight="1">
      <c r="A198" t="inlineStr">
        <is>
          <t>A 39824-2025</t>
        </is>
      </c>
      <c r="B198" s="1" t="n">
        <v>45891</v>
      </c>
      <c r="C198" s="1" t="n">
        <v>45985</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45985</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45985</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24280-2025</t>
        </is>
      </c>
      <c r="B201" s="1" t="n">
        <v>45797.45581018519</v>
      </c>
      <c r="C201" s="1" t="n">
        <v>45985</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24630-2025</t>
        </is>
      </c>
      <c r="B202" s="1" t="n">
        <v>45798.6003587963</v>
      </c>
      <c r="C202" s="1" t="n">
        <v>45985</v>
      </c>
      <c r="D202" t="inlineStr">
        <is>
          <t>DALARNAS LÄN</t>
        </is>
      </c>
      <c r="E202" t="inlineStr">
        <is>
          <t>MORA</t>
        </is>
      </c>
      <c r="F202" t="inlineStr">
        <is>
          <t>Bergvik skog väst AB</t>
        </is>
      </c>
      <c r="G202" t="n">
        <v>10.4</v>
      </c>
      <c r="H202" t="n">
        <v>0</v>
      </c>
      <c r="I202" t="n">
        <v>0</v>
      </c>
      <c r="J202" t="n">
        <v>0</v>
      </c>
      <c r="K202" t="n">
        <v>0</v>
      </c>
      <c r="L202" t="n">
        <v>0</v>
      </c>
      <c r="M202" t="n">
        <v>0</v>
      </c>
      <c r="N202" t="n">
        <v>0</v>
      </c>
      <c r="O202" t="n">
        <v>0</v>
      </c>
      <c r="P202" t="n">
        <v>0</v>
      </c>
      <c r="Q202" t="n">
        <v>0</v>
      </c>
      <c r="R202" s="2" t="inlineStr"/>
    </row>
    <row r="203" ht="15" customHeight="1">
      <c r="A203" t="inlineStr">
        <is>
          <t>A 19183-2025</t>
        </is>
      </c>
      <c r="B203" s="1" t="n">
        <v>45769</v>
      </c>
      <c r="C203" s="1" t="n">
        <v>45985</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45985</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24642-2025</t>
        </is>
      </c>
      <c r="B205" s="1" t="n">
        <v>45798.62894675926</v>
      </c>
      <c r="C205" s="1" t="n">
        <v>45985</v>
      </c>
      <c r="D205" t="inlineStr">
        <is>
          <t>DALARNAS LÄN</t>
        </is>
      </c>
      <c r="E205" t="inlineStr">
        <is>
          <t>MORA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45985</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40140-2025</t>
        </is>
      </c>
      <c r="B207" s="1" t="n">
        <v>45894.57016203704</v>
      </c>
      <c r="C207" s="1" t="n">
        <v>45985</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40142-2025</t>
        </is>
      </c>
      <c r="B208" s="1" t="n">
        <v>45894.57202546296</v>
      </c>
      <c r="C208" s="1" t="n">
        <v>45985</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40471-2025</t>
        </is>
      </c>
      <c r="B209" s="1" t="n">
        <v>45895.67356481482</v>
      </c>
      <c r="C209" s="1" t="n">
        <v>45985</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24249-2025</t>
        </is>
      </c>
      <c r="B210" s="1" t="n">
        <v>45797.40260416667</v>
      </c>
      <c r="C210" s="1" t="n">
        <v>45985</v>
      </c>
      <c r="D210" t="inlineStr">
        <is>
          <t>DALARNAS LÄN</t>
        </is>
      </c>
      <c r="E210" t="inlineStr">
        <is>
          <t>MORA</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24640-2025</t>
        </is>
      </c>
      <c r="B211" s="1" t="n">
        <v>45798.62243055556</v>
      </c>
      <c r="C211" s="1" t="n">
        <v>45985</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24230-2025</t>
        </is>
      </c>
      <c r="B212" s="1" t="n">
        <v>45797.37607638889</v>
      </c>
      <c r="C212" s="1" t="n">
        <v>45985</v>
      </c>
      <c r="D212" t="inlineStr">
        <is>
          <t>DALARNAS LÄN</t>
        </is>
      </c>
      <c r="E212" t="inlineStr">
        <is>
          <t>MORA</t>
        </is>
      </c>
      <c r="G212" t="n">
        <v>6.8</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45985</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34282-2024</t>
        </is>
      </c>
      <c r="B214" s="1" t="n">
        <v>45524.62600694445</v>
      </c>
      <c r="C214" s="1" t="n">
        <v>45985</v>
      </c>
      <c r="D214" t="inlineStr">
        <is>
          <t>DALARNAS LÄN</t>
        </is>
      </c>
      <c r="E214" t="inlineStr">
        <is>
          <t>MORA</t>
        </is>
      </c>
      <c r="G214" t="n">
        <v>0.5</v>
      </c>
      <c r="H214" t="n">
        <v>0</v>
      </c>
      <c r="I214" t="n">
        <v>0</v>
      </c>
      <c r="J214" t="n">
        <v>0</v>
      </c>
      <c r="K214" t="n">
        <v>0</v>
      </c>
      <c r="L214" t="n">
        <v>0</v>
      </c>
      <c r="M214" t="n">
        <v>0</v>
      </c>
      <c r="N214" t="n">
        <v>0</v>
      </c>
      <c r="O214" t="n">
        <v>0</v>
      </c>
      <c r="P214" t="n">
        <v>0</v>
      </c>
      <c r="Q214" t="n">
        <v>0</v>
      </c>
      <c r="R214" s="2" t="inlineStr"/>
    </row>
    <row r="215" ht="15" customHeight="1">
      <c r="A215" t="inlineStr">
        <is>
          <t>A 54398-2021</t>
        </is>
      </c>
      <c r="B215" s="1" t="n">
        <v>44473.39252314815</v>
      </c>
      <c r="C215" s="1" t="n">
        <v>45985</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40660-2025</t>
        </is>
      </c>
      <c r="B216" s="1" t="n">
        <v>45896.64631944444</v>
      </c>
      <c r="C216" s="1" t="n">
        <v>45985</v>
      </c>
      <c r="D216" t="inlineStr">
        <is>
          <t>DALARNAS LÄN</t>
        </is>
      </c>
      <c r="E216" t="inlineStr">
        <is>
          <t>MORA</t>
        </is>
      </c>
      <c r="F216" t="inlineStr">
        <is>
          <t>Bergvik skog väst AB</t>
        </is>
      </c>
      <c r="G216" t="n">
        <v>5.4</v>
      </c>
      <c r="H216" t="n">
        <v>0</v>
      </c>
      <c r="I216" t="n">
        <v>0</v>
      </c>
      <c r="J216" t="n">
        <v>0</v>
      </c>
      <c r="K216" t="n">
        <v>0</v>
      </c>
      <c r="L216" t="n">
        <v>0</v>
      </c>
      <c r="M216" t="n">
        <v>0</v>
      </c>
      <c r="N216" t="n">
        <v>0</v>
      </c>
      <c r="O216" t="n">
        <v>0</v>
      </c>
      <c r="P216" t="n">
        <v>0</v>
      </c>
      <c r="Q216" t="n">
        <v>0</v>
      </c>
      <c r="R216" s="2" t="inlineStr"/>
    </row>
    <row r="217" ht="15" customHeight="1">
      <c r="A217" t="inlineStr">
        <is>
          <t>A 25345-2025</t>
        </is>
      </c>
      <c r="B217" s="1" t="n">
        <v>45799</v>
      </c>
      <c r="C217" s="1" t="n">
        <v>45985</v>
      </c>
      <c r="D217" t="inlineStr">
        <is>
          <t>DALARNAS LÄN</t>
        </is>
      </c>
      <c r="E217" t="inlineStr">
        <is>
          <t>MORA</t>
        </is>
      </c>
      <c r="G217" t="n">
        <v>3.1</v>
      </c>
      <c r="H217" t="n">
        <v>0</v>
      </c>
      <c r="I217" t="n">
        <v>0</v>
      </c>
      <c r="J217" t="n">
        <v>0</v>
      </c>
      <c r="K217" t="n">
        <v>0</v>
      </c>
      <c r="L217" t="n">
        <v>0</v>
      </c>
      <c r="M217" t="n">
        <v>0</v>
      </c>
      <c r="N217" t="n">
        <v>0</v>
      </c>
      <c r="O217" t="n">
        <v>0</v>
      </c>
      <c r="P217" t="n">
        <v>0</v>
      </c>
      <c r="Q217" t="n">
        <v>0</v>
      </c>
      <c r="R217" s="2" t="inlineStr"/>
    </row>
    <row r="218" ht="15" customHeight="1">
      <c r="A218" t="inlineStr">
        <is>
          <t>A 40805-2025</t>
        </is>
      </c>
      <c r="B218" s="1" t="n">
        <v>45897.46659722222</v>
      </c>
      <c r="C218" s="1" t="n">
        <v>45985</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24960-2025</t>
        </is>
      </c>
      <c r="B219" s="1" t="n">
        <v>45799.57666666667</v>
      </c>
      <c r="C219" s="1" t="n">
        <v>45985</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52525-2022</t>
        </is>
      </c>
      <c r="B220" s="1" t="n">
        <v>44874</v>
      </c>
      <c r="C220" s="1" t="n">
        <v>45985</v>
      </c>
      <c r="D220" t="inlineStr">
        <is>
          <t>DALARNAS LÄN</t>
        </is>
      </c>
      <c r="E220" t="inlineStr">
        <is>
          <t>MORA</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41175-2025</t>
        </is>
      </c>
      <c r="B221" s="1" t="n">
        <v>45898.55165509259</v>
      </c>
      <c r="C221" s="1" t="n">
        <v>45985</v>
      </c>
      <c r="D221" t="inlineStr">
        <is>
          <t>DALARNAS LÄN</t>
        </is>
      </c>
      <c r="E221" t="inlineStr">
        <is>
          <t>MORA</t>
        </is>
      </c>
      <c r="G221" t="n">
        <v>4.5</v>
      </c>
      <c r="H221" t="n">
        <v>0</v>
      </c>
      <c r="I221" t="n">
        <v>0</v>
      </c>
      <c r="J221" t="n">
        <v>0</v>
      </c>
      <c r="K221" t="n">
        <v>0</v>
      </c>
      <c r="L221" t="n">
        <v>0</v>
      </c>
      <c r="M221" t="n">
        <v>0</v>
      </c>
      <c r="N221" t="n">
        <v>0</v>
      </c>
      <c r="O221" t="n">
        <v>0</v>
      </c>
      <c r="P221" t="n">
        <v>0</v>
      </c>
      <c r="Q221" t="n">
        <v>0</v>
      </c>
      <c r="R221" s="2" t="inlineStr"/>
    </row>
    <row r="222" ht="15" customHeight="1">
      <c r="A222" t="inlineStr">
        <is>
          <t>A 24620-2025</t>
        </is>
      </c>
      <c r="B222" s="1" t="n">
        <v>45798.59290509259</v>
      </c>
      <c r="C222" s="1" t="n">
        <v>45985</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24653-2025</t>
        </is>
      </c>
      <c r="B223" s="1" t="n">
        <v>45798.63875</v>
      </c>
      <c r="C223" s="1" t="n">
        <v>45985</v>
      </c>
      <c r="D223" t="inlineStr">
        <is>
          <t>DALARNAS LÄN</t>
        </is>
      </c>
      <c r="E223" t="inlineStr">
        <is>
          <t>MORA</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41169-2023</t>
        </is>
      </c>
      <c r="B224" s="1" t="n">
        <v>45174.34662037037</v>
      </c>
      <c r="C224" s="1" t="n">
        <v>45985</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24947-2025</t>
        </is>
      </c>
      <c r="B225" s="1" t="n">
        <v>45799.56524305556</v>
      </c>
      <c r="C225" s="1" t="n">
        <v>45985</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45985</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41200-2025</t>
        </is>
      </c>
      <c r="B227" s="1" t="n">
        <v>45898.5738425926</v>
      </c>
      <c r="C227" s="1" t="n">
        <v>45985</v>
      </c>
      <c r="D227" t="inlineStr">
        <is>
          <t>DALARNAS LÄN</t>
        </is>
      </c>
      <c r="E227" t="inlineStr">
        <is>
          <t>MORA</t>
        </is>
      </c>
      <c r="G227" t="n">
        <v>8.9</v>
      </c>
      <c r="H227" t="n">
        <v>0</v>
      </c>
      <c r="I227" t="n">
        <v>0</v>
      </c>
      <c r="J227" t="n">
        <v>0</v>
      </c>
      <c r="K227" t="n">
        <v>0</v>
      </c>
      <c r="L227" t="n">
        <v>0</v>
      </c>
      <c r="M227" t="n">
        <v>0</v>
      </c>
      <c r="N227" t="n">
        <v>0</v>
      </c>
      <c r="O227" t="n">
        <v>0</v>
      </c>
      <c r="P227" t="n">
        <v>0</v>
      </c>
      <c r="Q227" t="n">
        <v>0</v>
      </c>
      <c r="R227" s="2" t="inlineStr"/>
    </row>
    <row r="228" ht="15" customHeight="1">
      <c r="A228" t="inlineStr">
        <is>
          <t>A 69483-2021</t>
        </is>
      </c>
      <c r="B228" s="1" t="n">
        <v>44531</v>
      </c>
      <c r="C228" s="1" t="n">
        <v>45985</v>
      </c>
      <c r="D228" t="inlineStr">
        <is>
          <t>DALARNAS LÄN</t>
        </is>
      </c>
      <c r="E228" t="inlineStr">
        <is>
          <t>MORA</t>
        </is>
      </c>
      <c r="G228" t="n">
        <v>1.5</v>
      </c>
      <c r="H228" t="n">
        <v>0</v>
      </c>
      <c r="I228" t="n">
        <v>0</v>
      </c>
      <c r="J228" t="n">
        <v>0</v>
      </c>
      <c r="K228" t="n">
        <v>0</v>
      </c>
      <c r="L228" t="n">
        <v>0</v>
      </c>
      <c r="M228" t="n">
        <v>0</v>
      </c>
      <c r="N228" t="n">
        <v>0</v>
      </c>
      <c r="O228" t="n">
        <v>0</v>
      </c>
      <c r="P228" t="n">
        <v>0</v>
      </c>
      <c r="Q228" t="n">
        <v>0</v>
      </c>
      <c r="R228" s="2" t="inlineStr"/>
    </row>
    <row r="229" ht="15" customHeight="1">
      <c r="A229" t="inlineStr">
        <is>
          <t>A 56460-2022</t>
        </is>
      </c>
      <c r="B229" s="1" t="n">
        <v>44893</v>
      </c>
      <c r="C229" s="1" t="n">
        <v>45985</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57110-2021</t>
        </is>
      </c>
      <c r="B230" s="1" t="n">
        <v>44482</v>
      </c>
      <c r="C230" s="1" t="n">
        <v>45985</v>
      </c>
      <c r="D230" t="inlineStr">
        <is>
          <t>DALARNAS LÄN</t>
        </is>
      </c>
      <c r="E230" t="inlineStr">
        <is>
          <t>MORA</t>
        </is>
      </c>
      <c r="G230" t="n">
        <v>5.4</v>
      </c>
      <c r="H230" t="n">
        <v>0</v>
      </c>
      <c r="I230" t="n">
        <v>0</v>
      </c>
      <c r="J230" t="n">
        <v>0</v>
      </c>
      <c r="K230" t="n">
        <v>0</v>
      </c>
      <c r="L230" t="n">
        <v>0</v>
      </c>
      <c r="M230" t="n">
        <v>0</v>
      </c>
      <c r="N230" t="n">
        <v>0</v>
      </c>
      <c r="O230" t="n">
        <v>0</v>
      </c>
      <c r="P230" t="n">
        <v>0</v>
      </c>
      <c r="Q230" t="n">
        <v>0</v>
      </c>
      <c r="R230" s="2" t="inlineStr"/>
    </row>
    <row r="231" ht="15" customHeight="1">
      <c r="A231" t="inlineStr">
        <is>
          <t>A 39882-2024</t>
        </is>
      </c>
      <c r="B231" s="1" t="n">
        <v>45553</v>
      </c>
      <c r="C231" s="1" t="n">
        <v>45985</v>
      </c>
      <c r="D231" t="inlineStr">
        <is>
          <t>DALARNAS LÄN</t>
        </is>
      </c>
      <c r="E231" t="inlineStr">
        <is>
          <t>MORA</t>
        </is>
      </c>
      <c r="G231" t="n">
        <v>14.6</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45985</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41614-2025</t>
        </is>
      </c>
      <c r="B233" s="1" t="n">
        <v>45901.68267361111</v>
      </c>
      <c r="C233" s="1" t="n">
        <v>45985</v>
      </c>
      <c r="D233" t="inlineStr">
        <is>
          <t>DALARNAS LÄN</t>
        </is>
      </c>
      <c r="E233" t="inlineStr">
        <is>
          <t>MORA</t>
        </is>
      </c>
      <c r="F233" t="inlineStr">
        <is>
          <t>Bergvik skog väst AB</t>
        </is>
      </c>
      <c r="G233" t="n">
        <v>13.8</v>
      </c>
      <c r="H233" t="n">
        <v>0</v>
      </c>
      <c r="I233" t="n">
        <v>0</v>
      </c>
      <c r="J233" t="n">
        <v>0</v>
      </c>
      <c r="K233" t="n">
        <v>0</v>
      </c>
      <c r="L233" t="n">
        <v>0</v>
      </c>
      <c r="M233" t="n">
        <v>0</v>
      </c>
      <c r="N233" t="n">
        <v>0</v>
      </c>
      <c r="O233" t="n">
        <v>0</v>
      </c>
      <c r="P233" t="n">
        <v>0</v>
      </c>
      <c r="Q233" t="n">
        <v>0</v>
      </c>
      <c r="R233" s="2" t="inlineStr"/>
    </row>
    <row r="234" ht="15" customHeight="1">
      <c r="A234" t="inlineStr">
        <is>
          <t>A 39897-2022</t>
        </is>
      </c>
      <c r="B234" s="1" t="n">
        <v>44819.66083333334</v>
      </c>
      <c r="C234" s="1" t="n">
        <v>45985</v>
      </c>
      <c r="D234" t="inlineStr">
        <is>
          <t>DALARNAS LÄN</t>
        </is>
      </c>
      <c r="E234" t="inlineStr">
        <is>
          <t>MORA</t>
        </is>
      </c>
      <c r="G234" t="n">
        <v>15.8</v>
      </c>
      <c r="H234" t="n">
        <v>0</v>
      </c>
      <c r="I234" t="n">
        <v>0</v>
      </c>
      <c r="J234" t="n">
        <v>0</v>
      </c>
      <c r="K234" t="n">
        <v>0</v>
      </c>
      <c r="L234" t="n">
        <v>0</v>
      </c>
      <c r="M234" t="n">
        <v>0</v>
      </c>
      <c r="N234" t="n">
        <v>0</v>
      </c>
      <c r="O234" t="n">
        <v>0</v>
      </c>
      <c r="P234" t="n">
        <v>0</v>
      </c>
      <c r="Q234" t="n">
        <v>0</v>
      </c>
      <c r="R234" s="2" t="inlineStr"/>
    </row>
    <row r="235" ht="15" customHeight="1">
      <c r="A235" t="inlineStr">
        <is>
          <t>A 47686-2025</t>
        </is>
      </c>
      <c r="B235" s="1" t="n">
        <v>45931</v>
      </c>
      <c r="C235" s="1" t="n">
        <v>45985</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5309-2023</t>
        </is>
      </c>
      <c r="B236" s="1" t="n">
        <v>44956</v>
      </c>
      <c r="C236" s="1" t="n">
        <v>45985</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26647-2025</t>
        </is>
      </c>
      <c r="B237" s="1" t="n">
        <v>45810.38439814815</v>
      </c>
      <c r="C237" s="1" t="n">
        <v>45985</v>
      </c>
      <c r="D237" t="inlineStr">
        <is>
          <t>DALARNAS LÄN</t>
        </is>
      </c>
      <c r="E237" t="inlineStr">
        <is>
          <t>MORA</t>
        </is>
      </c>
      <c r="G237" t="n">
        <v>7.9</v>
      </c>
      <c r="H237" t="n">
        <v>0</v>
      </c>
      <c r="I237" t="n">
        <v>0</v>
      </c>
      <c r="J237" t="n">
        <v>0</v>
      </c>
      <c r="K237" t="n">
        <v>0</v>
      </c>
      <c r="L237" t="n">
        <v>0</v>
      </c>
      <c r="M237" t="n">
        <v>0</v>
      </c>
      <c r="N237" t="n">
        <v>0</v>
      </c>
      <c r="O237" t="n">
        <v>0</v>
      </c>
      <c r="P237" t="n">
        <v>0</v>
      </c>
      <c r="Q237" t="n">
        <v>0</v>
      </c>
      <c r="R237" s="2" t="inlineStr"/>
    </row>
    <row r="238" ht="15" customHeight="1">
      <c r="A238" t="inlineStr">
        <is>
          <t>A 56425-2024</t>
        </is>
      </c>
      <c r="B238" s="1" t="n">
        <v>45625.38677083333</v>
      </c>
      <c r="C238" s="1" t="n">
        <v>45985</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30819-2024</t>
        </is>
      </c>
      <c r="B239" s="1" t="n">
        <v>45497</v>
      </c>
      <c r="C239" s="1" t="n">
        <v>45985</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23302-2024</t>
        </is>
      </c>
      <c r="B240" s="1" t="n">
        <v>45453.44091435185</v>
      </c>
      <c r="C240" s="1" t="n">
        <v>45985</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30985-2024</t>
        </is>
      </c>
      <c r="B241" s="1" t="n">
        <v>45499.51721064815</v>
      </c>
      <c r="C241" s="1" t="n">
        <v>45985</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57859-2022</t>
        </is>
      </c>
      <c r="B242" s="1" t="n">
        <v>44898</v>
      </c>
      <c r="C242" s="1" t="n">
        <v>45985</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60647-2022</t>
        </is>
      </c>
      <c r="B243" s="1" t="n">
        <v>44911</v>
      </c>
      <c r="C243" s="1" t="n">
        <v>45985</v>
      </c>
      <c r="D243" t="inlineStr">
        <is>
          <t>DALARNAS LÄN</t>
        </is>
      </c>
      <c r="E243" t="inlineStr">
        <is>
          <t>MORA</t>
        </is>
      </c>
      <c r="G243" t="n">
        <v>4.8</v>
      </c>
      <c r="H243" t="n">
        <v>0</v>
      </c>
      <c r="I243" t="n">
        <v>0</v>
      </c>
      <c r="J243" t="n">
        <v>0</v>
      </c>
      <c r="K243" t="n">
        <v>0</v>
      </c>
      <c r="L243" t="n">
        <v>0</v>
      </c>
      <c r="M243" t="n">
        <v>0</v>
      </c>
      <c r="N243" t="n">
        <v>0</v>
      </c>
      <c r="O243" t="n">
        <v>0</v>
      </c>
      <c r="P243" t="n">
        <v>0</v>
      </c>
      <c r="Q243" t="n">
        <v>0</v>
      </c>
      <c r="R243" s="2" t="inlineStr"/>
    </row>
    <row r="244" ht="15" customHeight="1">
      <c r="A244" t="inlineStr">
        <is>
          <t>A 42319-2025</t>
        </is>
      </c>
      <c r="B244" s="1" t="n">
        <v>45903</v>
      </c>
      <c r="C244" s="1" t="n">
        <v>45985</v>
      </c>
      <c r="D244" t="inlineStr">
        <is>
          <t>DALARNAS LÄN</t>
        </is>
      </c>
      <c r="E244" t="inlineStr">
        <is>
          <t>MORA</t>
        </is>
      </c>
      <c r="G244" t="n">
        <v>2.3</v>
      </c>
      <c r="H244" t="n">
        <v>0</v>
      </c>
      <c r="I244" t="n">
        <v>0</v>
      </c>
      <c r="J244" t="n">
        <v>0</v>
      </c>
      <c r="K244" t="n">
        <v>0</v>
      </c>
      <c r="L244" t="n">
        <v>0</v>
      </c>
      <c r="M244" t="n">
        <v>0</v>
      </c>
      <c r="N244" t="n">
        <v>0</v>
      </c>
      <c r="O244" t="n">
        <v>0</v>
      </c>
      <c r="P244" t="n">
        <v>0</v>
      </c>
      <c r="Q244" t="n">
        <v>0</v>
      </c>
      <c r="R244" s="2" t="inlineStr"/>
    </row>
    <row r="245" ht="15" customHeight="1">
      <c r="A245" t="inlineStr">
        <is>
          <t>A 26546-2025</t>
        </is>
      </c>
      <c r="B245" s="1" t="n">
        <v>45807</v>
      </c>
      <c r="C245" s="1" t="n">
        <v>45985</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26573-2025</t>
        </is>
      </c>
      <c r="B246" s="1" t="n">
        <v>45807</v>
      </c>
      <c r="C246" s="1" t="n">
        <v>45985</v>
      </c>
      <c r="D246" t="inlineStr">
        <is>
          <t>DALARNAS LÄN</t>
        </is>
      </c>
      <c r="E246" t="inlineStr">
        <is>
          <t>MORA</t>
        </is>
      </c>
      <c r="G246" t="n">
        <v>4.3</v>
      </c>
      <c r="H246" t="n">
        <v>0</v>
      </c>
      <c r="I246" t="n">
        <v>0</v>
      </c>
      <c r="J246" t="n">
        <v>0</v>
      </c>
      <c r="K246" t="n">
        <v>0</v>
      </c>
      <c r="L246" t="n">
        <v>0</v>
      </c>
      <c r="M246" t="n">
        <v>0</v>
      </c>
      <c r="N246" t="n">
        <v>0</v>
      </c>
      <c r="O246" t="n">
        <v>0</v>
      </c>
      <c r="P246" t="n">
        <v>0</v>
      </c>
      <c r="Q246" t="n">
        <v>0</v>
      </c>
      <c r="R246" s="2" t="inlineStr"/>
    </row>
    <row r="247" ht="15" customHeight="1">
      <c r="A247" t="inlineStr">
        <is>
          <t>A 26532-2025</t>
        </is>
      </c>
      <c r="B247" s="1" t="n">
        <v>45807</v>
      </c>
      <c r="C247" s="1" t="n">
        <v>45985</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26545-2025</t>
        </is>
      </c>
      <c r="B248" s="1" t="n">
        <v>45807</v>
      </c>
      <c r="C248" s="1" t="n">
        <v>45985</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20885-2024</t>
        </is>
      </c>
      <c r="B249" s="1" t="n">
        <v>45439.45527777778</v>
      </c>
      <c r="C249" s="1" t="n">
        <v>45985</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26630-2025</t>
        </is>
      </c>
      <c r="B250" s="1" t="n">
        <v>45809</v>
      </c>
      <c r="C250" s="1" t="n">
        <v>45985</v>
      </c>
      <c r="D250" t="inlineStr">
        <is>
          <t>DALARNAS LÄN</t>
        </is>
      </c>
      <c r="E250" t="inlineStr">
        <is>
          <t>MORA</t>
        </is>
      </c>
      <c r="G250" t="n">
        <v>32.1</v>
      </c>
      <c r="H250" t="n">
        <v>0</v>
      </c>
      <c r="I250" t="n">
        <v>0</v>
      </c>
      <c r="J250" t="n">
        <v>0</v>
      </c>
      <c r="K250" t="n">
        <v>0</v>
      </c>
      <c r="L250" t="n">
        <v>0</v>
      </c>
      <c r="M250" t="n">
        <v>0</v>
      </c>
      <c r="N250" t="n">
        <v>0</v>
      </c>
      <c r="O250" t="n">
        <v>0</v>
      </c>
      <c r="P250" t="n">
        <v>0</v>
      </c>
      <c r="Q250" t="n">
        <v>0</v>
      </c>
      <c r="R250" s="2" t="inlineStr"/>
    </row>
    <row r="251" ht="15" customHeight="1">
      <c r="A251" t="inlineStr">
        <is>
          <t>A 26577-2025</t>
        </is>
      </c>
      <c r="B251" s="1" t="n">
        <v>45807</v>
      </c>
      <c r="C251" s="1" t="n">
        <v>45985</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26854-2025</t>
        </is>
      </c>
      <c r="B252" s="1" t="n">
        <v>45810.67462962963</v>
      </c>
      <c r="C252" s="1" t="n">
        <v>45985</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24590-2024</t>
        </is>
      </c>
      <c r="B253" s="1" t="n">
        <v>45460</v>
      </c>
      <c r="C253" s="1" t="n">
        <v>45985</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26731-2025</t>
        </is>
      </c>
      <c r="B254" s="1" t="n">
        <v>45810.50702546296</v>
      </c>
      <c r="C254" s="1" t="n">
        <v>45985</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41855-2025</t>
        </is>
      </c>
      <c r="B255" s="1" t="n">
        <v>45902.93693287037</v>
      </c>
      <c r="C255" s="1" t="n">
        <v>45985</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26711-2025</t>
        </is>
      </c>
      <c r="B256" s="1" t="n">
        <v>45810.46144675926</v>
      </c>
      <c r="C256" s="1" t="n">
        <v>45985</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42112-2025</t>
        </is>
      </c>
      <c r="B257" s="1" t="n">
        <v>45904.32134259259</v>
      </c>
      <c r="C257" s="1" t="n">
        <v>45985</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42934-2024</t>
        </is>
      </c>
      <c r="B258" s="1" t="n">
        <v>45567.33655092592</v>
      </c>
      <c r="C258" s="1" t="n">
        <v>45985</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27177-2025</t>
        </is>
      </c>
      <c r="B259" s="1" t="n">
        <v>45812.3533912037</v>
      </c>
      <c r="C259" s="1" t="n">
        <v>45985</v>
      </c>
      <c r="D259" t="inlineStr">
        <is>
          <t>DALARNAS LÄN</t>
        </is>
      </c>
      <c r="E259" t="inlineStr">
        <is>
          <t>MORA</t>
        </is>
      </c>
      <c r="F259" t="inlineStr">
        <is>
          <t>Bergvik skog öst AB</t>
        </is>
      </c>
      <c r="G259" t="n">
        <v>2.5</v>
      </c>
      <c r="H259" t="n">
        <v>0</v>
      </c>
      <c r="I259" t="n">
        <v>0</v>
      </c>
      <c r="J259" t="n">
        <v>0</v>
      </c>
      <c r="K259" t="n">
        <v>0</v>
      </c>
      <c r="L259" t="n">
        <v>0</v>
      </c>
      <c r="M259" t="n">
        <v>0</v>
      </c>
      <c r="N259" t="n">
        <v>0</v>
      </c>
      <c r="O259" t="n">
        <v>0</v>
      </c>
      <c r="P259" t="n">
        <v>0</v>
      </c>
      <c r="Q259" t="n">
        <v>0</v>
      </c>
      <c r="R259" s="2" t="inlineStr"/>
    </row>
    <row r="260" ht="15" customHeight="1">
      <c r="A260" t="inlineStr">
        <is>
          <t>A 27194-2025</t>
        </is>
      </c>
      <c r="B260" s="1" t="n">
        <v>45812.37965277778</v>
      </c>
      <c r="C260" s="1" t="n">
        <v>45985</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14611-2025</t>
        </is>
      </c>
      <c r="B261" s="1" t="n">
        <v>45742.38511574074</v>
      </c>
      <c r="C261" s="1" t="n">
        <v>45985</v>
      </c>
      <c r="D261" t="inlineStr">
        <is>
          <t>DALARNAS LÄN</t>
        </is>
      </c>
      <c r="E261" t="inlineStr">
        <is>
          <t>MORA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27175-2025</t>
        </is>
      </c>
      <c r="B262" s="1" t="n">
        <v>45812.35072916667</v>
      </c>
      <c r="C262" s="1" t="n">
        <v>45985</v>
      </c>
      <c r="D262" t="inlineStr">
        <is>
          <t>DALARNAS LÄN</t>
        </is>
      </c>
      <c r="E262" t="inlineStr">
        <is>
          <t>MORA</t>
        </is>
      </c>
      <c r="F262" t="inlineStr">
        <is>
          <t>Bergvik skog öst AB</t>
        </is>
      </c>
      <c r="G262" t="n">
        <v>4</v>
      </c>
      <c r="H262" t="n">
        <v>0</v>
      </c>
      <c r="I262" t="n">
        <v>0</v>
      </c>
      <c r="J262" t="n">
        <v>0</v>
      </c>
      <c r="K262" t="n">
        <v>0</v>
      </c>
      <c r="L262" t="n">
        <v>0</v>
      </c>
      <c r="M262" t="n">
        <v>0</v>
      </c>
      <c r="N262" t="n">
        <v>0</v>
      </c>
      <c r="O262" t="n">
        <v>0</v>
      </c>
      <c r="P262" t="n">
        <v>0</v>
      </c>
      <c r="Q262" t="n">
        <v>0</v>
      </c>
      <c r="R262" s="2" t="inlineStr"/>
    </row>
    <row r="263" ht="15" customHeight="1">
      <c r="A263" t="inlineStr">
        <is>
          <t>A 7565-2025</t>
        </is>
      </c>
      <c r="B263" s="1" t="n">
        <v>45705.59269675926</v>
      </c>
      <c r="C263" s="1" t="n">
        <v>45985</v>
      </c>
      <c r="D263" t="inlineStr">
        <is>
          <t>DALARNAS LÄN</t>
        </is>
      </c>
      <c r="E263" t="inlineStr">
        <is>
          <t>MORA</t>
        </is>
      </c>
      <c r="G263" t="n">
        <v>3</v>
      </c>
      <c r="H263" t="n">
        <v>0</v>
      </c>
      <c r="I263" t="n">
        <v>0</v>
      </c>
      <c r="J263" t="n">
        <v>0</v>
      </c>
      <c r="K263" t="n">
        <v>0</v>
      </c>
      <c r="L263" t="n">
        <v>0</v>
      </c>
      <c r="M263" t="n">
        <v>0</v>
      </c>
      <c r="N263" t="n">
        <v>0</v>
      </c>
      <c r="O263" t="n">
        <v>0</v>
      </c>
      <c r="P263" t="n">
        <v>0</v>
      </c>
      <c r="Q263" t="n">
        <v>0</v>
      </c>
      <c r="R263" s="2" t="inlineStr"/>
    </row>
    <row r="264" ht="15" customHeight="1">
      <c r="A264" t="inlineStr">
        <is>
          <t>A 61654-2024</t>
        </is>
      </c>
      <c r="B264" s="1" t="n">
        <v>45646.74988425926</v>
      </c>
      <c r="C264" s="1" t="n">
        <v>45985</v>
      </c>
      <c r="D264" t="inlineStr">
        <is>
          <t>DALARNAS LÄN</t>
        </is>
      </c>
      <c r="E264" t="inlineStr">
        <is>
          <t>MORA</t>
        </is>
      </c>
      <c r="G264" t="n">
        <v>1.7</v>
      </c>
      <c r="H264" t="n">
        <v>0</v>
      </c>
      <c r="I264" t="n">
        <v>0</v>
      </c>
      <c r="J264" t="n">
        <v>0</v>
      </c>
      <c r="K264" t="n">
        <v>0</v>
      </c>
      <c r="L264" t="n">
        <v>0</v>
      </c>
      <c r="M264" t="n">
        <v>0</v>
      </c>
      <c r="N264" t="n">
        <v>0</v>
      </c>
      <c r="O264" t="n">
        <v>0</v>
      </c>
      <c r="P264" t="n">
        <v>0</v>
      </c>
      <c r="Q264" t="n">
        <v>0</v>
      </c>
      <c r="R264" s="2" t="inlineStr"/>
    </row>
    <row r="265" ht="15" customHeight="1">
      <c r="A265" t="inlineStr">
        <is>
          <t>A 27184-2025</t>
        </is>
      </c>
      <c r="B265" s="1" t="n">
        <v>45812.36133101852</v>
      </c>
      <c r="C265" s="1" t="n">
        <v>45985</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17268-2025</t>
        </is>
      </c>
      <c r="B266" s="1" t="n">
        <v>45756</v>
      </c>
      <c r="C266" s="1" t="n">
        <v>45985</v>
      </c>
      <c r="D266" t="inlineStr">
        <is>
          <t>DALARNAS LÄN</t>
        </is>
      </c>
      <c r="E266" t="inlineStr">
        <is>
          <t>MORA</t>
        </is>
      </c>
      <c r="G266" t="n">
        <v>6.8</v>
      </c>
      <c r="H266" t="n">
        <v>0</v>
      </c>
      <c r="I266" t="n">
        <v>0</v>
      </c>
      <c r="J266" t="n">
        <v>0</v>
      </c>
      <c r="K266" t="n">
        <v>0</v>
      </c>
      <c r="L266" t="n">
        <v>0</v>
      </c>
      <c r="M266" t="n">
        <v>0</v>
      </c>
      <c r="N266" t="n">
        <v>0</v>
      </c>
      <c r="O266" t="n">
        <v>0</v>
      </c>
      <c r="P266" t="n">
        <v>0</v>
      </c>
      <c r="Q266" t="n">
        <v>0</v>
      </c>
      <c r="R266" s="2" t="inlineStr"/>
    </row>
    <row r="267" ht="15" customHeight="1">
      <c r="A267" t="inlineStr">
        <is>
          <t>A 42813-2025</t>
        </is>
      </c>
      <c r="B267" s="1" t="n">
        <v>45908.56168981481</v>
      </c>
      <c r="C267" s="1" t="n">
        <v>45985</v>
      </c>
      <c r="D267" t="inlineStr">
        <is>
          <t>DALARNAS LÄN</t>
        </is>
      </c>
      <c r="E267" t="inlineStr">
        <is>
          <t>MORA</t>
        </is>
      </c>
      <c r="G267" t="n">
        <v>4.3</v>
      </c>
      <c r="H267" t="n">
        <v>0</v>
      </c>
      <c r="I267" t="n">
        <v>0</v>
      </c>
      <c r="J267" t="n">
        <v>0</v>
      </c>
      <c r="K267" t="n">
        <v>0</v>
      </c>
      <c r="L267" t="n">
        <v>0</v>
      </c>
      <c r="M267" t="n">
        <v>0</v>
      </c>
      <c r="N267" t="n">
        <v>0</v>
      </c>
      <c r="O267" t="n">
        <v>0</v>
      </c>
      <c r="P267" t="n">
        <v>0</v>
      </c>
      <c r="Q267" t="n">
        <v>0</v>
      </c>
      <c r="R267" s="2" t="inlineStr"/>
    </row>
    <row r="268" ht="15" customHeight="1">
      <c r="A268" t="inlineStr">
        <is>
          <t>A 27642-2025</t>
        </is>
      </c>
      <c r="B268" s="1" t="n">
        <v>45813.59405092592</v>
      </c>
      <c r="C268" s="1" t="n">
        <v>45985</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28033-2025</t>
        </is>
      </c>
      <c r="B269" s="1" t="n">
        <v>45817.6325462963</v>
      </c>
      <c r="C269" s="1" t="n">
        <v>45985</v>
      </c>
      <c r="D269" t="inlineStr">
        <is>
          <t>DALARNAS LÄN</t>
        </is>
      </c>
      <c r="E269" t="inlineStr">
        <is>
          <t>MORA</t>
        </is>
      </c>
      <c r="F269" t="inlineStr">
        <is>
          <t>Bergvik skog öst AB</t>
        </is>
      </c>
      <c r="G269" t="n">
        <v>12.8</v>
      </c>
      <c r="H269" t="n">
        <v>0</v>
      </c>
      <c r="I269" t="n">
        <v>0</v>
      </c>
      <c r="J269" t="n">
        <v>0</v>
      </c>
      <c r="K269" t="n">
        <v>0</v>
      </c>
      <c r="L269" t="n">
        <v>0</v>
      </c>
      <c r="M269" t="n">
        <v>0</v>
      </c>
      <c r="N269" t="n">
        <v>0</v>
      </c>
      <c r="O269" t="n">
        <v>0</v>
      </c>
      <c r="P269" t="n">
        <v>0</v>
      </c>
      <c r="Q269" t="n">
        <v>0</v>
      </c>
      <c r="R269" s="2" t="inlineStr"/>
    </row>
    <row r="270" ht="15" customHeight="1">
      <c r="A270" t="inlineStr">
        <is>
          <t>A 54628-2024</t>
        </is>
      </c>
      <c r="B270" s="1" t="n">
        <v>45617.83969907407</v>
      </c>
      <c r="C270" s="1" t="n">
        <v>45985</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1252-2025</t>
        </is>
      </c>
      <c r="B271" s="1" t="n">
        <v>45667.46648148148</v>
      </c>
      <c r="C271" s="1" t="n">
        <v>45985</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42830-2025</t>
        </is>
      </c>
      <c r="B272" s="1" t="n">
        <v>45908.57753472222</v>
      </c>
      <c r="C272" s="1" t="n">
        <v>45985</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39348-2024</t>
        </is>
      </c>
      <c r="B273" s="1" t="n">
        <v>45551.45322916667</v>
      </c>
      <c r="C273" s="1" t="n">
        <v>45985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42947-2025</t>
        </is>
      </c>
      <c r="B274" s="1" t="n">
        <v>45909.34799768519</v>
      </c>
      <c r="C274" s="1" t="n">
        <v>45985</v>
      </c>
      <c r="D274" t="inlineStr">
        <is>
          <t>DALARNAS LÄN</t>
        </is>
      </c>
      <c r="E274" t="inlineStr">
        <is>
          <t>MORA</t>
        </is>
      </c>
      <c r="F274" t="inlineStr">
        <is>
          <t>Allmännings- och besparingsskogar</t>
        </is>
      </c>
      <c r="G274" t="n">
        <v>6.2</v>
      </c>
      <c r="H274" t="n">
        <v>0</v>
      </c>
      <c r="I274" t="n">
        <v>0</v>
      </c>
      <c r="J274" t="n">
        <v>0</v>
      </c>
      <c r="K274" t="n">
        <v>0</v>
      </c>
      <c r="L274" t="n">
        <v>0</v>
      </c>
      <c r="M274" t="n">
        <v>0</v>
      </c>
      <c r="N274" t="n">
        <v>0</v>
      </c>
      <c r="O274" t="n">
        <v>0</v>
      </c>
      <c r="P274" t="n">
        <v>0</v>
      </c>
      <c r="Q274" t="n">
        <v>0</v>
      </c>
      <c r="R274" s="2" t="inlineStr"/>
    </row>
    <row r="275" ht="15" customHeight="1">
      <c r="A275" t="inlineStr">
        <is>
          <t>A 42954-2025</t>
        </is>
      </c>
      <c r="B275" s="1" t="n">
        <v>45909.3578125</v>
      </c>
      <c r="C275" s="1" t="n">
        <v>45985</v>
      </c>
      <c r="D275" t="inlineStr">
        <is>
          <t>DALARNAS LÄN</t>
        </is>
      </c>
      <c r="E275" t="inlineStr">
        <is>
          <t>MORA</t>
        </is>
      </c>
      <c r="G275" t="n">
        <v>2.5</v>
      </c>
      <c r="H275" t="n">
        <v>0</v>
      </c>
      <c r="I275" t="n">
        <v>0</v>
      </c>
      <c r="J275" t="n">
        <v>0</v>
      </c>
      <c r="K275" t="n">
        <v>0</v>
      </c>
      <c r="L275" t="n">
        <v>0</v>
      </c>
      <c r="M275" t="n">
        <v>0</v>
      </c>
      <c r="N275" t="n">
        <v>0</v>
      </c>
      <c r="O275" t="n">
        <v>0</v>
      </c>
      <c r="P275" t="n">
        <v>0</v>
      </c>
      <c r="Q275" t="n">
        <v>0</v>
      </c>
      <c r="R275" s="2" t="inlineStr"/>
    </row>
    <row r="276" ht="15" customHeight="1">
      <c r="A276" t="inlineStr">
        <is>
          <t>A 42960-2025</t>
        </is>
      </c>
      <c r="B276" s="1" t="n">
        <v>45909.36631944445</v>
      </c>
      <c r="C276" s="1" t="n">
        <v>45985</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45985</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2830-2023</t>
        </is>
      </c>
      <c r="B278" s="1" t="n">
        <v>44945.32997685186</v>
      </c>
      <c r="C278" s="1" t="n">
        <v>45985</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51771-2025</t>
        </is>
      </c>
      <c r="B279" s="1" t="n">
        <v>45951.64653935185</v>
      </c>
      <c r="C279" s="1" t="n">
        <v>45985</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28925-2025</t>
        </is>
      </c>
      <c r="B280" s="1" t="n">
        <v>45820.67107638889</v>
      </c>
      <c r="C280" s="1" t="n">
        <v>45985</v>
      </c>
      <c r="D280" t="inlineStr">
        <is>
          <t>DALARNAS LÄN</t>
        </is>
      </c>
      <c r="E280" t="inlineStr">
        <is>
          <t>MORA</t>
        </is>
      </c>
      <c r="G280" t="n">
        <v>3.7</v>
      </c>
      <c r="H280" t="n">
        <v>0</v>
      </c>
      <c r="I280" t="n">
        <v>0</v>
      </c>
      <c r="J280" t="n">
        <v>0</v>
      </c>
      <c r="K280" t="n">
        <v>0</v>
      </c>
      <c r="L280" t="n">
        <v>0</v>
      </c>
      <c r="M280" t="n">
        <v>0</v>
      </c>
      <c r="N280" t="n">
        <v>0</v>
      </c>
      <c r="O280" t="n">
        <v>0</v>
      </c>
      <c r="P280" t="n">
        <v>0</v>
      </c>
      <c r="Q280" t="n">
        <v>0</v>
      </c>
      <c r="R280" s="2" t="inlineStr"/>
    </row>
    <row r="281" ht="15" customHeight="1">
      <c r="A281" t="inlineStr">
        <is>
          <t>A 28927-2025</t>
        </is>
      </c>
      <c r="B281" s="1" t="n">
        <v>45820.67221064815</v>
      </c>
      <c r="C281" s="1" t="n">
        <v>45985</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28924-2025</t>
        </is>
      </c>
      <c r="B282" s="1" t="n">
        <v>45820.66846064815</v>
      </c>
      <c r="C282" s="1" t="n">
        <v>45985</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52110-2025</t>
        </is>
      </c>
      <c r="B283" s="1" t="n">
        <v>45952.69306712963</v>
      </c>
      <c r="C283" s="1" t="n">
        <v>45985</v>
      </c>
      <c r="D283" t="inlineStr">
        <is>
          <t>DALARNAS LÄN</t>
        </is>
      </c>
      <c r="E283" t="inlineStr">
        <is>
          <t>MORA</t>
        </is>
      </c>
      <c r="G283" t="n">
        <v>2.2</v>
      </c>
      <c r="H283" t="n">
        <v>0</v>
      </c>
      <c r="I283" t="n">
        <v>0</v>
      </c>
      <c r="J283" t="n">
        <v>0</v>
      </c>
      <c r="K283" t="n">
        <v>0</v>
      </c>
      <c r="L283" t="n">
        <v>0</v>
      </c>
      <c r="M283" t="n">
        <v>0</v>
      </c>
      <c r="N283" t="n">
        <v>0</v>
      </c>
      <c r="O283" t="n">
        <v>0</v>
      </c>
      <c r="P283" t="n">
        <v>0</v>
      </c>
      <c r="Q283" t="n">
        <v>0</v>
      </c>
      <c r="R283" s="2" t="inlineStr"/>
    </row>
    <row r="284" ht="15" customHeight="1">
      <c r="A284" t="inlineStr">
        <is>
          <t>A 29425-2025</t>
        </is>
      </c>
      <c r="B284" s="1" t="n">
        <v>45824.64524305556</v>
      </c>
      <c r="C284" s="1" t="n">
        <v>45985</v>
      </c>
      <c r="D284" t="inlineStr">
        <is>
          <t>DALARNAS LÄN</t>
        </is>
      </c>
      <c r="E284" t="inlineStr">
        <is>
          <t>MORA</t>
        </is>
      </c>
      <c r="G284" t="n">
        <v>4.4</v>
      </c>
      <c r="H284" t="n">
        <v>0</v>
      </c>
      <c r="I284" t="n">
        <v>0</v>
      </c>
      <c r="J284" t="n">
        <v>0</v>
      </c>
      <c r="K284" t="n">
        <v>0</v>
      </c>
      <c r="L284" t="n">
        <v>0</v>
      </c>
      <c r="M284" t="n">
        <v>0</v>
      </c>
      <c r="N284" t="n">
        <v>0</v>
      </c>
      <c r="O284" t="n">
        <v>0</v>
      </c>
      <c r="P284" t="n">
        <v>0</v>
      </c>
      <c r="Q284" t="n">
        <v>0</v>
      </c>
      <c r="R284" s="2" t="inlineStr"/>
    </row>
    <row r="285" ht="15" customHeight="1">
      <c r="A285" t="inlineStr">
        <is>
          <t>A 43153-2025</t>
        </is>
      </c>
      <c r="B285" s="1" t="n">
        <v>45910.34449074074</v>
      </c>
      <c r="C285" s="1" t="n">
        <v>45985</v>
      </c>
      <c r="D285" t="inlineStr">
        <is>
          <t>DALARNAS LÄN</t>
        </is>
      </c>
      <c r="E285" t="inlineStr">
        <is>
          <t>MORA</t>
        </is>
      </c>
      <c r="G285" t="n">
        <v>3.9</v>
      </c>
      <c r="H285" t="n">
        <v>0</v>
      </c>
      <c r="I285" t="n">
        <v>0</v>
      </c>
      <c r="J285" t="n">
        <v>0</v>
      </c>
      <c r="K285" t="n">
        <v>0</v>
      </c>
      <c r="L285" t="n">
        <v>0</v>
      </c>
      <c r="M285" t="n">
        <v>0</v>
      </c>
      <c r="N285" t="n">
        <v>0</v>
      </c>
      <c r="O285" t="n">
        <v>0</v>
      </c>
      <c r="P285" t="n">
        <v>0</v>
      </c>
      <c r="Q285" t="n">
        <v>0</v>
      </c>
      <c r="R285" s="2" t="inlineStr"/>
    </row>
    <row r="286" ht="15" customHeight="1">
      <c r="A286" t="inlineStr">
        <is>
          <t>A 43157-2025</t>
        </is>
      </c>
      <c r="B286" s="1" t="n">
        <v>45910.34953703704</v>
      </c>
      <c r="C286" s="1" t="n">
        <v>45985</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28976-2025</t>
        </is>
      </c>
      <c r="B287" s="1" t="n">
        <v>45821.34855324074</v>
      </c>
      <c r="C287" s="1" t="n">
        <v>45985</v>
      </c>
      <c r="D287" t="inlineStr">
        <is>
          <t>DALARNAS LÄN</t>
        </is>
      </c>
      <c r="E287" t="inlineStr">
        <is>
          <t>MORA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29440-2025</t>
        </is>
      </c>
      <c r="B288" s="1" t="n">
        <v>45824.65862268519</v>
      </c>
      <c r="C288" s="1" t="n">
        <v>45985</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29068-2025</t>
        </is>
      </c>
      <c r="B289" s="1" t="n">
        <v>45821.50900462963</v>
      </c>
      <c r="C289" s="1" t="n">
        <v>45985</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43474-2025</t>
        </is>
      </c>
      <c r="B290" s="1" t="n">
        <v>45911.48967592593</v>
      </c>
      <c r="C290" s="1" t="n">
        <v>45985</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34660-2021</t>
        </is>
      </c>
      <c r="B291" s="1" t="n">
        <v>44382.57981481482</v>
      </c>
      <c r="C291" s="1" t="n">
        <v>45985</v>
      </c>
      <c r="D291" t="inlineStr">
        <is>
          <t>DALARNAS LÄN</t>
        </is>
      </c>
      <c r="E291" t="inlineStr">
        <is>
          <t>MORA</t>
        </is>
      </c>
      <c r="G291" t="n">
        <v>7.5</v>
      </c>
      <c r="H291" t="n">
        <v>0</v>
      </c>
      <c r="I291" t="n">
        <v>0</v>
      </c>
      <c r="J291" t="n">
        <v>0</v>
      </c>
      <c r="K291" t="n">
        <v>0</v>
      </c>
      <c r="L291" t="n">
        <v>0</v>
      </c>
      <c r="M291" t="n">
        <v>0</v>
      </c>
      <c r="N291" t="n">
        <v>0</v>
      </c>
      <c r="O291" t="n">
        <v>0</v>
      </c>
      <c r="P291" t="n">
        <v>0</v>
      </c>
      <c r="Q291" t="n">
        <v>0</v>
      </c>
      <c r="R291" s="2" t="inlineStr"/>
    </row>
    <row r="292" ht="15" customHeight="1">
      <c r="A292" t="inlineStr">
        <is>
          <t>A 29870-2025</t>
        </is>
      </c>
      <c r="B292" s="1" t="n">
        <v>45826.35716435185</v>
      </c>
      <c r="C292" s="1" t="n">
        <v>45985</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29873-2025</t>
        </is>
      </c>
      <c r="B293" s="1" t="n">
        <v>45826</v>
      </c>
      <c r="C293" s="1" t="n">
        <v>45985</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2308-2023</t>
        </is>
      </c>
      <c r="B294" s="1" t="n">
        <v>44942.57987268519</v>
      </c>
      <c r="C294" s="1" t="n">
        <v>45985</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56012-2023</t>
        </is>
      </c>
      <c r="B295" s="1" t="n">
        <v>45240</v>
      </c>
      <c r="C295" s="1" t="n">
        <v>45985</v>
      </c>
      <c r="D295" t="inlineStr">
        <is>
          <t>DALARNAS LÄN</t>
        </is>
      </c>
      <c r="E295" t="inlineStr">
        <is>
          <t>MORA</t>
        </is>
      </c>
      <c r="G295" t="n">
        <v>0.3</v>
      </c>
      <c r="H295" t="n">
        <v>0</v>
      </c>
      <c r="I295" t="n">
        <v>0</v>
      </c>
      <c r="J295" t="n">
        <v>0</v>
      </c>
      <c r="K295" t="n">
        <v>0</v>
      </c>
      <c r="L295" t="n">
        <v>0</v>
      </c>
      <c r="M295" t="n">
        <v>0</v>
      </c>
      <c r="N295" t="n">
        <v>0</v>
      </c>
      <c r="O295" t="n">
        <v>0</v>
      </c>
      <c r="P295" t="n">
        <v>0</v>
      </c>
      <c r="Q295" t="n">
        <v>0</v>
      </c>
      <c r="R295" s="2" t="inlineStr"/>
    </row>
    <row r="296" ht="15" customHeight="1">
      <c r="A296" t="inlineStr">
        <is>
          <t>A 29528-2025</t>
        </is>
      </c>
      <c r="B296" s="1" t="n">
        <v>45825.34322916667</v>
      </c>
      <c r="C296" s="1" t="n">
        <v>45985</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43569-2025</t>
        </is>
      </c>
      <c r="B297" s="1" t="n">
        <v>45911.63363425926</v>
      </c>
      <c r="C297" s="1" t="n">
        <v>45985</v>
      </c>
      <c r="D297" t="inlineStr">
        <is>
          <t>DALARNAS LÄN</t>
        </is>
      </c>
      <c r="E297" t="inlineStr">
        <is>
          <t>MORA</t>
        </is>
      </c>
      <c r="G297" t="n">
        <v>4.7</v>
      </c>
      <c r="H297" t="n">
        <v>0</v>
      </c>
      <c r="I297" t="n">
        <v>0</v>
      </c>
      <c r="J297" t="n">
        <v>0</v>
      </c>
      <c r="K297" t="n">
        <v>0</v>
      </c>
      <c r="L297" t="n">
        <v>0</v>
      </c>
      <c r="M297" t="n">
        <v>0</v>
      </c>
      <c r="N297" t="n">
        <v>0</v>
      </c>
      <c r="O297" t="n">
        <v>0</v>
      </c>
      <c r="P297" t="n">
        <v>0</v>
      </c>
      <c r="Q297" t="n">
        <v>0</v>
      </c>
      <c r="R297" s="2" t="inlineStr"/>
    </row>
    <row r="298" ht="15" customHeight="1">
      <c r="A298" t="inlineStr">
        <is>
          <t>A 30087-2025</t>
        </is>
      </c>
      <c r="B298" s="1" t="n">
        <v>45826.6575</v>
      </c>
      <c r="C298" s="1" t="n">
        <v>45985</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52599-2025</t>
        </is>
      </c>
      <c r="B299" s="1" t="n">
        <v>45954.65564814815</v>
      </c>
      <c r="C299" s="1" t="n">
        <v>45985</v>
      </c>
      <c r="D299" t="inlineStr">
        <is>
          <t>DALARNAS LÄN</t>
        </is>
      </c>
      <c r="E299" t="inlineStr">
        <is>
          <t>MORA</t>
        </is>
      </c>
      <c r="G299" t="n">
        <v>10.8</v>
      </c>
      <c r="H299" t="n">
        <v>0</v>
      </c>
      <c r="I299" t="n">
        <v>0</v>
      </c>
      <c r="J299" t="n">
        <v>0</v>
      </c>
      <c r="K299" t="n">
        <v>0</v>
      </c>
      <c r="L299" t="n">
        <v>0</v>
      </c>
      <c r="M299" t="n">
        <v>0</v>
      </c>
      <c r="N299" t="n">
        <v>0</v>
      </c>
      <c r="O299" t="n">
        <v>0</v>
      </c>
      <c r="P299" t="n">
        <v>0</v>
      </c>
      <c r="Q299" t="n">
        <v>0</v>
      </c>
      <c r="R299" s="2" t="inlineStr"/>
    </row>
    <row r="300" ht="15" customHeight="1">
      <c r="A300" t="inlineStr">
        <is>
          <t>A 43811-2025</t>
        </is>
      </c>
      <c r="B300" s="1" t="n">
        <v>45912.58710648148</v>
      </c>
      <c r="C300" s="1" t="n">
        <v>45985</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40325-2024</t>
        </is>
      </c>
      <c r="B301" s="1" t="n">
        <v>45554.88538194444</v>
      </c>
      <c r="C301" s="1" t="n">
        <v>45985</v>
      </c>
      <c r="D301" t="inlineStr">
        <is>
          <t>DALARNAS LÄN</t>
        </is>
      </c>
      <c r="E301" t="inlineStr">
        <is>
          <t>MORA</t>
        </is>
      </c>
      <c r="G301" t="n">
        <v>2.8</v>
      </c>
      <c r="H301" t="n">
        <v>0</v>
      </c>
      <c r="I301" t="n">
        <v>0</v>
      </c>
      <c r="J301" t="n">
        <v>0</v>
      </c>
      <c r="K301" t="n">
        <v>0</v>
      </c>
      <c r="L301" t="n">
        <v>0</v>
      </c>
      <c r="M301" t="n">
        <v>0</v>
      </c>
      <c r="N301" t="n">
        <v>0</v>
      </c>
      <c r="O301" t="n">
        <v>0</v>
      </c>
      <c r="P301" t="n">
        <v>0</v>
      </c>
      <c r="Q301" t="n">
        <v>0</v>
      </c>
      <c r="R301" s="2" t="inlineStr"/>
    </row>
    <row r="302" ht="15" customHeight="1">
      <c r="A302" t="inlineStr">
        <is>
          <t>A 30166-2025</t>
        </is>
      </c>
      <c r="B302" s="1" t="n">
        <v>45827.33116898148</v>
      </c>
      <c r="C302" s="1" t="n">
        <v>45985</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24335-2022</t>
        </is>
      </c>
      <c r="B303" s="1" t="n">
        <v>44725</v>
      </c>
      <c r="C303" s="1" t="n">
        <v>45985</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30507-2025</t>
        </is>
      </c>
      <c r="B304" s="1" t="n">
        <v>45831.24760416667</v>
      </c>
      <c r="C304" s="1" t="n">
        <v>45985</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15440-2024</t>
        </is>
      </c>
      <c r="B305" s="1" t="n">
        <v>45401.4194212963</v>
      </c>
      <c r="C305" s="1" t="n">
        <v>45985</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11857-2023</t>
        </is>
      </c>
      <c r="B306" s="1" t="n">
        <v>44995</v>
      </c>
      <c r="C306" s="1" t="n">
        <v>45985</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15818-2024</t>
        </is>
      </c>
      <c r="B307" s="1" t="n">
        <v>45404.67442129629</v>
      </c>
      <c r="C307" s="1" t="n">
        <v>45985</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45674-2024</t>
        </is>
      </c>
      <c r="B308" s="1" t="n">
        <v>45573</v>
      </c>
      <c r="C308" s="1" t="n">
        <v>45985</v>
      </c>
      <c r="D308" t="inlineStr">
        <is>
          <t>DALARNAS LÄN</t>
        </is>
      </c>
      <c r="E308" t="inlineStr">
        <is>
          <t>MORA</t>
        </is>
      </c>
      <c r="G308" t="n">
        <v>3.2</v>
      </c>
      <c r="H308" t="n">
        <v>0</v>
      </c>
      <c r="I308" t="n">
        <v>0</v>
      </c>
      <c r="J308" t="n">
        <v>0</v>
      </c>
      <c r="K308" t="n">
        <v>0</v>
      </c>
      <c r="L308" t="n">
        <v>0</v>
      </c>
      <c r="M308" t="n">
        <v>0</v>
      </c>
      <c r="N308" t="n">
        <v>0</v>
      </c>
      <c r="O308" t="n">
        <v>0</v>
      </c>
      <c r="P308" t="n">
        <v>0</v>
      </c>
      <c r="Q308" t="n">
        <v>0</v>
      </c>
      <c r="R308" s="2" t="inlineStr"/>
    </row>
    <row r="309" ht="15" customHeight="1">
      <c r="A309" t="inlineStr">
        <is>
          <t>A 30858-2025</t>
        </is>
      </c>
      <c r="B309" s="1" t="n">
        <v>45831.92416666666</v>
      </c>
      <c r="C309" s="1" t="n">
        <v>45985</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30859-2025</t>
        </is>
      </c>
      <c r="B310" s="1" t="n">
        <v>45831.93105324074</v>
      </c>
      <c r="C310" s="1" t="n">
        <v>45985</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30989-2025</t>
        </is>
      </c>
      <c r="B311" s="1" t="n">
        <v>45832.48185185185</v>
      </c>
      <c r="C311" s="1" t="n">
        <v>45985</v>
      </c>
      <c r="D311" t="inlineStr">
        <is>
          <t>DALARNAS LÄN</t>
        </is>
      </c>
      <c r="E311" t="inlineStr">
        <is>
          <t>MORA</t>
        </is>
      </c>
      <c r="F311" t="inlineStr">
        <is>
          <t>Bergvik skog öst AB</t>
        </is>
      </c>
      <c r="G311" t="n">
        <v>4.1</v>
      </c>
      <c r="H311" t="n">
        <v>0</v>
      </c>
      <c r="I311" t="n">
        <v>0</v>
      </c>
      <c r="J311" t="n">
        <v>0</v>
      </c>
      <c r="K311" t="n">
        <v>0</v>
      </c>
      <c r="L311" t="n">
        <v>0</v>
      </c>
      <c r="M311" t="n">
        <v>0</v>
      </c>
      <c r="N311" t="n">
        <v>0</v>
      </c>
      <c r="O311" t="n">
        <v>0</v>
      </c>
      <c r="P311" t="n">
        <v>0</v>
      </c>
      <c r="Q311" t="n">
        <v>0</v>
      </c>
      <c r="R311" s="2" t="inlineStr"/>
    </row>
    <row r="312" ht="15" customHeight="1">
      <c r="A312" t="inlineStr">
        <is>
          <t>A 30509-2025</t>
        </is>
      </c>
      <c r="B312" s="1" t="n">
        <v>45831.25519675926</v>
      </c>
      <c r="C312" s="1" t="n">
        <v>45985</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52804-2025</t>
        </is>
      </c>
      <c r="B313" s="1" t="n">
        <v>45957.44552083333</v>
      </c>
      <c r="C313" s="1" t="n">
        <v>45985</v>
      </c>
      <c r="D313" t="inlineStr">
        <is>
          <t>DALARNAS LÄN</t>
        </is>
      </c>
      <c r="E313" t="inlineStr">
        <is>
          <t>MORA</t>
        </is>
      </c>
      <c r="G313" t="n">
        <v>2.9</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45985</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31849-2025</t>
        </is>
      </c>
      <c r="B315" s="1" t="n">
        <v>45834.60525462963</v>
      </c>
      <c r="C315" s="1" t="n">
        <v>45985</v>
      </c>
      <c r="D315" t="inlineStr">
        <is>
          <t>DALARNAS LÄN</t>
        </is>
      </c>
      <c r="E315" t="inlineStr">
        <is>
          <t>MORA</t>
        </is>
      </c>
      <c r="G315" t="n">
        <v>3.9</v>
      </c>
      <c r="H315" t="n">
        <v>0</v>
      </c>
      <c r="I315" t="n">
        <v>0</v>
      </c>
      <c r="J315" t="n">
        <v>0</v>
      </c>
      <c r="K315" t="n">
        <v>0</v>
      </c>
      <c r="L315" t="n">
        <v>0</v>
      </c>
      <c r="M315" t="n">
        <v>0</v>
      </c>
      <c r="N315" t="n">
        <v>0</v>
      </c>
      <c r="O315" t="n">
        <v>0</v>
      </c>
      <c r="P315" t="n">
        <v>0</v>
      </c>
      <c r="Q315" t="n">
        <v>0</v>
      </c>
      <c r="R315" s="2" t="inlineStr"/>
    </row>
    <row r="316" ht="15" customHeight="1">
      <c r="A316" t="inlineStr">
        <is>
          <t>A 45390-2024</t>
        </is>
      </c>
      <c r="B316" s="1" t="n">
        <v>45576.54820601852</v>
      </c>
      <c r="C316" s="1" t="n">
        <v>45985</v>
      </c>
      <c r="D316" t="inlineStr">
        <is>
          <t>DALARNAS LÄN</t>
        </is>
      </c>
      <c r="E316" t="inlineStr">
        <is>
          <t>MORA</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53150-2025</t>
        </is>
      </c>
      <c r="B317" s="1" t="n">
        <v>45958.48280092593</v>
      </c>
      <c r="C317" s="1" t="n">
        <v>45985</v>
      </c>
      <c r="D317" t="inlineStr">
        <is>
          <t>DALARNAS LÄN</t>
        </is>
      </c>
      <c r="E317" t="inlineStr">
        <is>
          <t>MORA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53151-2025</t>
        </is>
      </c>
      <c r="B318" s="1" t="n">
        <v>45958.48611111111</v>
      </c>
      <c r="C318" s="1" t="n">
        <v>45985</v>
      </c>
      <c r="D318" t="inlineStr">
        <is>
          <t>DALARNAS LÄN</t>
        </is>
      </c>
      <c r="E318" t="inlineStr">
        <is>
          <t>MORA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19756-2022</t>
        </is>
      </c>
      <c r="B319" s="1" t="n">
        <v>44694.62913194444</v>
      </c>
      <c r="C319" s="1" t="n">
        <v>45985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31846-2025</t>
        </is>
      </c>
      <c r="B320" s="1" t="n">
        <v>45834.60209490741</v>
      </c>
      <c r="C320" s="1" t="n">
        <v>45985</v>
      </c>
      <c r="D320" t="inlineStr">
        <is>
          <t>DALARNAS LÄN</t>
        </is>
      </c>
      <c r="E320" t="inlineStr">
        <is>
          <t>MORA</t>
        </is>
      </c>
      <c r="G320" t="n">
        <v>3.6</v>
      </c>
      <c r="H320" t="n">
        <v>0</v>
      </c>
      <c r="I320" t="n">
        <v>0</v>
      </c>
      <c r="J320" t="n">
        <v>0</v>
      </c>
      <c r="K320" t="n">
        <v>0</v>
      </c>
      <c r="L320" t="n">
        <v>0</v>
      </c>
      <c r="M320" t="n">
        <v>0</v>
      </c>
      <c r="N320" t="n">
        <v>0</v>
      </c>
      <c r="O320" t="n">
        <v>0</v>
      </c>
      <c r="P320" t="n">
        <v>0</v>
      </c>
      <c r="Q320" t="n">
        <v>0</v>
      </c>
      <c r="R320" s="2" t="inlineStr"/>
    </row>
    <row r="321" ht="15" customHeight="1">
      <c r="A321" t="inlineStr">
        <is>
          <t>A 5216-2025</t>
        </is>
      </c>
      <c r="B321" s="1" t="n">
        <v>45691.69671296296</v>
      </c>
      <c r="C321" s="1" t="n">
        <v>45985</v>
      </c>
      <c r="D321" t="inlineStr">
        <is>
          <t>DALARNAS LÄN</t>
        </is>
      </c>
      <c r="E321" t="inlineStr">
        <is>
          <t>MORA</t>
        </is>
      </c>
      <c r="G321" t="n">
        <v>2.5</v>
      </c>
      <c r="H321" t="n">
        <v>0</v>
      </c>
      <c r="I321" t="n">
        <v>0</v>
      </c>
      <c r="J321" t="n">
        <v>0</v>
      </c>
      <c r="K321" t="n">
        <v>0</v>
      </c>
      <c r="L321" t="n">
        <v>0</v>
      </c>
      <c r="M321" t="n">
        <v>0</v>
      </c>
      <c r="N321" t="n">
        <v>0</v>
      </c>
      <c r="O321" t="n">
        <v>0</v>
      </c>
      <c r="P321" t="n">
        <v>0</v>
      </c>
      <c r="Q321" t="n">
        <v>0</v>
      </c>
      <c r="R321" s="2" t="inlineStr"/>
    </row>
    <row r="322" ht="15" customHeight="1">
      <c r="A322" t="inlineStr">
        <is>
          <t>A 53344-2023</t>
        </is>
      </c>
      <c r="B322" s="1" t="n">
        <v>45229</v>
      </c>
      <c r="C322" s="1" t="n">
        <v>45985</v>
      </c>
      <c r="D322" t="inlineStr">
        <is>
          <t>DALARNAS LÄN</t>
        </is>
      </c>
      <c r="E322" t="inlineStr">
        <is>
          <t>MORA</t>
        </is>
      </c>
      <c r="G322" t="n">
        <v>2.4</v>
      </c>
      <c r="H322" t="n">
        <v>0</v>
      </c>
      <c r="I322" t="n">
        <v>0</v>
      </c>
      <c r="J322" t="n">
        <v>0</v>
      </c>
      <c r="K322" t="n">
        <v>0</v>
      </c>
      <c r="L322" t="n">
        <v>0</v>
      </c>
      <c r="M322" t="n">
        <v>0</v>
      </c>
      <c r="N322" t="n">
        <v>0</v>
      </c>
      <c r="O322" t="n">
        <v>0</v>
      </c>
      <c r="P322" t="n">
        <v>0</v>
      </c>
      <c r="Q322" t="n">
        <v>0</v>
      </c>
      <c r="R322" s="2" t="inlineStr"/>
    </row>
    <row r="323" ht="15" customHeight="1">
      <c r="A323" t="inlineStr">
        <is>
          <t>A 59448-2022</t>
        </is>
      </c>
      <c r="B323" s="1" t="n">
        <v>44907</v>
      </c>
      <c r="C323" s="1" t="n">
        <v>45985</v>
      </c>
      <c r="D323" t="inlineStr">
        <is>
          <t>DALARNAS LÄN</t>
        </is>
      </c>
      <c r="E323" t="inlineStr">
        <is>
          <t>MORA</t>
        </is>
      </c>
      <c r="G323" t="n">
        <v>35.7</v>
      </c>
      <c r="H323" t="n">
        <v>0</v>
      </c>
      <c r="I323" t="n">
        <v>0</v>
      </c>
      <c r="J323" t="n">
        <v>0</v>
      </c>
      <c r="K323" t="n">
        <v>0</v>
      </c>
      <c r="L323" t="n">
        <v>0</v>
      </c>
      <c r="M323" t="n">
        <v>0</v>
      </c>
      <c r="N323" t="n">
        <v>0</v>
      </c>
      <c r="O323" t="n">
        <v>0</v>
      </c>
      <c r="P323" t="n">
        <v>0</v>
      </c>
      <c r="Q323" t="n">
        <v>0</v>
      </c>
      <c r="R323" s="2" t="inlineStr"/>
    </row>
    <row r="324" ht="15" customHeight="1">
      <c r="A324" t="inlineStr">
        <is>
          <t>A 31842-2025</t>
        </is>
      </c>
      <c r="B324" s="1" t="n">
        <v>45834.59822916667</v>
      </c>
      <c r="C324" s="1" t="n">
        <v>45985</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57797-2022</t>
        </is>
      </c>
      <c r="B325" s="1" t="n">
        <v>44897</v>
      </c>
      <c r="C325" s="1" t="n">
        <v>45985</v>
      </c>
      <c r="D325" t="inlineStr">
        <is>
          <t>DALARNAS LÄN</t>
        </is>
      </c>
      <c r="E325" t="inlineStr">
        <is>
          <t>MORA</t>
        </is>
      </c>
      <c r="G325" t="n">
        <v>3.1</v>
      </c>
      <c r="H325" t="n">
        <v>0</v>
      </c>
      <c r="I325" t="n">
        <v>0</v>
      </c>
      <c r="J325" t="n">
        <v>0</v>
      </c>
      <c r="K325" t="n">
        <v>0</v>
      </c>
      <c r="L325" t="n">
        <v>0</v>
      </c>
      <c r="M325" t="n">
        <v>0</v>
      </c>
      <c r="N325" t="n">
        <v>0</v>
      </c>
      <c r="O325" t="n">
        <v>0</v>
      </c>
      <c r="P325" t="n">
        <v>0</v>
      </c>
      <c r="Q325" t="n">
        <v>0</v>
      </c>
      <c r="R325" s="2" t="inlineStr"/>
    </row>
    <row r="326" ht="15" customHeight="1">
      <c r="A326" t="inlineStr">
        <is>
          <t>A 53556-2025</t>
        </is>
      </c>
      <c r="B326" s="1" t="n">
        <v>45960.3921875</v>
      </c>
      <c r="C326" s="1" t="n">
        <v>45985</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40286-2024</t>
        </is>
      </c>
      <c r="B327" s="1" t="n">
        <v>45554.6687037037</v>
      </c>
      <c r="C327" s="1" t="n">
        <v>45985</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53632-2025</t>
        </is>
      </c>
      <c r="B328" s="1" t="n">
        <v>45960.49972222222</v>
      </c>
      <c r="C328" s="1" t="n">
        <v>45985</v>
      </c>
      <c r="D328" t="inlineStr">
        <is>
          <t>DALARNAS LÄN</t>
        </is>
      </c>
      <c r="E328" t="inlineStr">
        <is>
          <t>MORA</t>
        </is>
      </c>
      <c r="G328" t="n">
        <v>3.1</v>
      </c>
      <c r="H328" t="n">
        <v>0</v>
      </c>
      <c r="I328" t="n">
        <v>0</v>
      </c>
      <c r="J328" t="n">
        <v>0</v>
      </c>
      <c r="K328" t="n">
        <v>0</v>
      </c>
      <c r="L328" t="n">
        <v>0</v>
      </c>
      <c r="M328" t="n">
        <v>0</v>
      </c>
      <c r="N328" t="n">
        <v>0</v>
      </c>
      <c r="O328" t="n">
        <v>0</v>
      </c>
      <c r="P328" t="n">
        <v>0</v>
      </c>
      <c r="Q328" t="n">
        <v>0</v>
      </c>
      <c r="R328" s="2" t="inlineStr"/>
    </row>
    <row r="329" ht="15" customHeight="1">
      <c r="A329" t="inlineStr">
        <is>
          <t>A 48824-2023</t>
        </is>
      </c>
      <c r="B329" s="1" t="n">
        <v>45203</v>
      </c>
      <c r="C329" s="1" t="n">
        <v>45985</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53591-2025</t>
        </is>
      </c>
      <c r="B330" s="1" t="n">
        <v>45960.43893518519</v>
      </c>
      <c r="C330" s="1" t="n">
        <v>45985</v>
      </c>
      <c r="D330" t="inlineStr">
        <is>
          <t>DALARNAS LÄN</t>
        </is>
      </c>
      <c r="E330" t="inlineStr">
        <is>
          <t>MORA</t>
        </is>
      </c>
      <c r="G330" t="n">
        <v>3.8</v>
      </c>
      <c r="H330" t="n">
        <v>0</v>
      </c>
      <c r="I330" t="n">
        <v>0</v>
      </c>
      <c r="J330" t="n">
        <v>0</v>
      </c>
      <c r="K330" t="n">
        <v>0</v>
      </c>
      <c r="L330" t="n">
        <v>0</v>
      </c>
      <c r="M330" t="n">
        <v>0</v>
      </c>
      <c r="N330" t="n">
        <v>0</v>
      </c>
      <c r="O330" t="n">
        <v>0</v>
      </c>
      <c r="P330" t="n">
        <v>0</v>
      </c>
      <c r="Q330" t="n">
        <v>0</v>
      </c>
      <c r="R330" s="2" t="inlineStr"/>
    </row>
    <row r="331" ht="15" customHeight="1">
      <c r="A331" t="inlineStr">
        <is>
          <t>A 45355-2024</t>
        </is>
      </c>
      <c r="B331" s="1" t="n">
        <v>45576</v>
      </c>
      <c r="C331" s="1" t="n">
        <v>45985</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20504-2023</t>
        </is>
      </c>
      <c r="B332" s="1" t="n">
        <v>45057</v>
      </c>
      <c r="C332" s="1" t="n">
        <v>45985</v>
      </c>
      <c r="D332" t="inlineStr">
        <is>
          <t>DALARNAS LÄN</t>
        </is>
      </c>
      <c r="E332" t="inlineStr">
        <is>
          <t>MORA</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44595-2024</t>
        </is>
      </c>
      <c r="B333" s="1" t="n">
        <v>45574.51053240741</v>
      </c>
      <c r="C333" s="1" t="n">
        <v>45985</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44621-2025</t>
        </is>
      </c>
      <c r="B334" s="1" t="n">
        <v>45917.466875</v>
      </c>
      <c r="C334" s="1" t="n">
        <v>45985</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53418-2025</t>
        </is>
      </c>
      <c r="B335" s="1" t="n">
        <v>45959.58747685186</v>
      </c>
      <c r="C335" s="1" t="n">
        <v>45985</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53560-2025</t>
        </is>
      </c>
      <c r="B336" s="1" t="n">
        <v>45960.39960648148</v>
      </c>
      <c r="C336" s="1" t="n">
        <v>45985</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43566-2023</t>
        </is>
      </c>
      <c r="B337" s="1" t="n">
        <v>45184.58199074074</v>
      </c>
      <c r="C337" s="1" t="n">
        <v>45985</v>
      </c>
      <c r="D337" t="inlineStr">
        <is>
          <t>DALARNAS LÄN</t>
        </is>
      </c>
      <c r="E337" t="inlineStr">
        <is>
          <t>MORA</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53565-2025</t>
        </is>
      </c>
      <c r="B338" s="1" t="n">
        <v>45960.40711805555</v>
      </c>
      <c r="C338" s="1" t="n">
        <v>45985</v>
      </c>
      <c r="D338" t="inlineStr">
        <is>
          <t>DALARNAS LÄN</t>
        </is>
      </c>
      <c r="E338" t="inlineStr">
        <is>
          <t>MORA</t>
        </is>
      </c>
      <c r="G338" t="n">
        <v>5.1</v>
      </c>
      <c r="H338" t="n">
        <v>0</v>
      </c>
      <c r="I338" t="n">
        <v>0</v>
      </c>
      <c r="J338" t="n">
        <v>0</v>
      </c>
      <c r="K338" t="n">
        <v>0</v>
      </c>
      <c r="L338" t="n">
        <v>0</v>
      </c>
      <c r="M338" t="n">
        <v>0</v>
      </c>
      <c r="N338" t="n">
        <v>0</v>
      </c>
      <c r="O338" t="n">
        <v>0</v>
      </c>
      <c r="P338" t="n">
        <v>0</v>
      </c>
      <c r="Q338" t="n">
        <v>0</v>
      </c>
      <c r="R338" s="2" t="inlineStr"/>
    </row>
    <row r="339" ht="15" customHeight="1">
      <c r="A339" t="inlineStr">
        <is>
          <t>A 53562-2025</t>
        </is>
      </c>
      <c r="B339" s="1" t="n">
        <v>45960.40662037037</v>
      </c>
      <c r="C339" s="1" t="n">
        <v>45985</v>
      </c>
      <c r="D339" t="inlineStr">
        <is>
          <t>DALARNAS LÄN</t>
        </is>
      </c>
      <c r="E339" t="inlineStr">
        <is>
          <t>MORA</t>
        </is>
      </c>
      <c r="G339" t="n">
        <v>5.1</v>
      </c>
      <c r="H339" t="n">
        <v>0</v>
      </c>
      <c r="I339" t="n">
        <v>0</v>
      </c>
      <c r="J339" t="n">
        <v>0</v>
      </c>
      <c r="K339" t="n">
        <v>0</v>
      </c>
      <c r="L339" t="n">
        <v>0</v>
      </c>
      <c r="M339" t="n">
        <v>0</v>
      </c>
      <c r="N339" t="n">
        <v>0</v>
      </c>
      <c r="O339" t="n">
        <v>0</v>
      </c>
      <c r="P339" t="n">
        <v>0</v>
      </c>
      <c r="Q339" t="n">
        <v>0</v>
      </c>
      <c r="R339" s="2" t="inlineStr"/>
    </row>
    <row r="340" ht="15" customHeight="1">
      <c r="A340" t="inlineStr">
        <is>
          <t>A 8153-2021</t>
        </is>
      </c>
      <c r="B340" s="1" t="n">
        <v>44244</v>
      </c>
      <c r="C340" s="1" t="n">
        <v>45985</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53743-2024</t>
        </is>
      </c>
      <c r="B341" s="1" t="n">
        <v>45615.47137731482</v>
      </c>
      <c r="C341" s="1" t="n">
        <v>45985</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48170-2024</t>
        </is>
      </c>
      <c r="B342" s="1" t="n">
        <v>45589.76975694444</v>
      </c>
      <c r="C342" s="1" t="n">
        <v>45985</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32852-2025</t>
        </is>
      </c>
      <c r="B343" s="1" t="n">
        <v>45839.57559027777</v>
      </c>
      <c r="C343" s="1" t="n">
        <v>45985</v>
      </c>
      <c r="D343" t="inlineStr">
        <is>
          <t>DALARNAS LÄN</t>
        </is>
      </c>
      <c r="E343" t="inlineStr">
        <is>
          <t>MORA</t>
        </is>
      </c>
      <c r="G343" t="n">
        <v>1.7</v>
      </c>
      <c r="H343" t="n">
        <v>0</v>
      </c>
      <c r="I343" t="n">
        <v>0</v>
      </c>
      <c r="J343" t="n">
        <v>0</v>
      </c>
      <c r="K343" t="n">
        <v>0</v>
      </c>
      <c r="L343" t="n">
        <v>0</v>
      </c>
      <c r="M343" t="n">
        <v>0</v>
      </c>
      <c r="N343" t="n">
        <v>0</v>
      </c>
      <c r="O343" t="n">
        <v>0</v>
      </c>
      <c r="P343" t="n">
        <v>0</v>
      </c>
      <c r="Q343" t="n">
        <v>0</v>
      </c>
      <c r="R343" s="2" t="inlineStr"/>
    </row>
    <row r="344" ht="15" customHeight="1">
      <c r="A344" t="inlineStr">
        <is>
          <t>A 53982-2025</t>
        </is>
      </c>
      <c r="B344" s="1" t="n">
        <v>45961.57019675926</v>
      </c>
      <c r="C344" s="1" t="n">
        <v>45985</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33443-2025</t>
        </is>
      </c>
      <c r="B345" s="1" t="n">
        <v>45841</v>
      </c>
      <c r="C345" s="1" t="n">
        <v>45985</v>
      </c>
      <c r="D345" t="inlineStr">
        <is>
          <t>DALARNAS LÄN</t>
        </is>
      </c>
      <c r="E345" t="inlineStr">
        <is>
          <t>MORA</t>
        </is>
      </c>
      <c r="G345" t="n">
        <v>2.7</v>
      </c>
      <c r="H345" t="n">
        <v>0</v>
      </c>
      <c r="I345" t="n">
        <v>0</v>
      </c>
      <c r="J345" t="n">
        <v>0</v>
      </c>
      <c r="K345" t="n">
        <v>0</v>
      </c>
      <c r="L345" t="n">
        <v>0</v>
      </c>
      <c r="M345" t="n">
        <v>0</v>
      </c>
      <c r="N345" t="n">
        <v>0</v>
      </c>
      <c r="O345" t="n">
        <v>0</v>
      </c>
      <c r="P345" t="n">
        <v>0</v>
      </c>
      <c r="Q345" t="n">
        <v>0</v>
      </c>
      <c r="R345" s="2" t="inlineStr"/>
    </row>
    <row r="346" ht="15" customHeight="1">
      <c r="A346" t="inlineStr">
        <is>
          <t>A 45191-2025</t>
        </is>
      </c>
      <c r="B346" s="1" t="n">
        <v>45919.54811342592</v>
      </c>
      <c r="C346" s="1" t="n">
        <v>45985</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20594-2025</t>
        </is>
      </c>
      <c r="B347" s="1" t="n">
        <v>45775.74009259259</v>
      </c>
      <c r="C347" s="1" t="n">
        <v>45985</v>
      </c>
      <c r="D347" t="inlineStr">
        <is>
          <t>DALARNAS LÄN</t>
        </is>
      </c>
      <c r="E347" t="inlineStr">
        <is>
          <t>MORA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45181-2025</t>
        </is>
      </c>
      <c r="B348" s="1" t="n">
        <v>45919.53329861111</v>
      </c>
      <c r="C348" s="1" t="n">
        <v>45985</v>
      </c>
      <c r="D348" t="inlineStr">
        <is>
          <t>DALARNAS LÄN</t>
        </is>
      </c>
      <c r="E348" t="inlineStr">
        <is>
          <t>MORA</t>
        </is>
      </c>
      <c r="G348" t="n">
        <v>4.5</v>
      </c>
      <c r="H348" t="n">
        <v>0</v>
      </c>
      <c r="I348" t="n">
        <v>0</v>
      </c>
      <c r="J348" t="n">
        <v>0</v>
      </c>
      <c r="K348" t="n">
        <v>0</v>
      </c>
      <c r="L348" t="n">
        <v>0</v>
      </c>
      <c r="M348" t="n">
        <v>0</v>
      </c>
      <c r="N348" t="n">
        <v>0</v>
      </c>
      <c r="O348" t="n">
        <v>0</v>
      </c>
      <c r="P348" t="n">
        <v>0</v>
      </c>
      <c r="Q348" t="n">
        <v>0</v>
      </c>
      <c r="R348" s="2" t="inlineStr"/>
    </row>
    <row r="349" ht="15" customHeight="1">
      <c r="A349" t="inlineStr">
        <is>
          <t>A 54099-2025</t>
        </is>
      </c>
      <c r="B349" s="1" t="n">
        <v>45964.41665509259</v>
      </c>
      <c r="C349" s="1" t="n">
        <v>45985</v>
      </c>
      <c r="D349" t="inlineStr">
        <is>
          <t>DALARNAS LÄN</t>
        </is>
      </c>
      <c r="E349" t="inlineStr">
        <is>
          <t>MORA</t>
        </is>
      </c>
      <c r="G349" t="n">
        <v>5.3</v>
      </c>
      <c r="H349" t="n">
        <v>0</v>
      </c>
      <c r="I349" t="n">
        <v>0</v>
      </c>
      <c r="J349" t="n">
        <v>0</v>
      </c>
      <c r="K349" t="n">
        <v>0</v>
      </c>
      <c r="L349" t="n">
        <v>0</v>
      </c>
      <c r="M349" t="n">
        <v>0</v>
      </c>
      <c r="N349" t="n">
        <v>0</v>
      </c>
      <c r="O349" t="n">
        <v>0</v>
      </c>
      <c r="P349" t="n">
        <v>0</v>
      </c>
      <c r="Q349" t="n">
        <v>0</v>
      </c>
      <c r="R349" s="2" t="inlineStr"/>
    </row>
    <row r="350" ht="15" customHeight="1">
      <c r="A350" t="inlineStr">
        <is>
          <t>A 34005-2025</t>
        </is>
      </c>
      <c r="B350" s="1" t="n">
        <v>45844.58890046296</v>
      </c>
      <c r="C350" s="1" t="n">
        <v>45985</v>
      </c>
      <c r="D350" t="inlineStr">
        <is>
          <t>DALARNAS LÄN</t>
        </is>
      </c>
      <c r="E350" t="inlineStr">
        <is>
          <t>MORA</t>
        </is>
      </c>
      <c r="G350" t="n">
        <v>7.2</v>
      </c>
      <c r="H350" t="n">
        <v>0</v>
      </c>
      <c r="I350" t="n">
        <v>0</v>
      </c>
      <c r="J350" t="n">
        <v>0</v>
      </c>
      <c r="K350" t="n">
        <v>0</v>
      </c>
      <c r="L350" t="n">
        <v>0</v>
      </c>
      <c r="M350" t="n">
        <v>0</v>
      </c>
      <c r="N350" t="n">
        <v>0</v>
      </c>
      <c r="O350" t="n">
        <v>0</v>
      </c>
      <c r="P350" t="n">
        <v>0</v>
      </c>
      <c r="Q350" t="n">
        <v>0</v>
      </c>
      <c r="R350" s="2" t="inlineStr"/>
    </row>
    <row r="351" ht="15" customHeight="1">
      <c r="A351" t="inlineStr">
        <is>
          <t>A 64088-2023</t>
        </is>
      </c>
      <c r="B351" s="1" t="n">
        <v>45279.43570601852</v>
      </c>
      <c r="C351" s="1" t="n">
        <v>45985</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46090-2025</t>
        </is>
      </c>
      <c r="B352" s="1" t="n">
        <v>45924.5253125</v>
      </c>
      <c r="C352" s="1" t="n">
        <v>45985</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34382-2025</t>
        </is>
      </c>
      <c r="B353" s="1" t="n">
        <v>45846</v>
      </c>
      <c r="C353" s="1" t="n">
        <v>45985</v>
      </c>
      <c r="D353" t="inlineStr">
        <is>
          <t>DALARNAS LÄN</t>
        </is>
      </c>
      <c r="E353" t="inlineStr">
        <is>
          <t>MORA</t>
        </is>
      </c>
      <c r="G353" t="n">
        <v>0.7</v>
      </c>
      <c r="H353" t="n">
        <v>0</v>
      </c>
      <c r="I353" t="n">
        <v>0</v>
      </c>
      <c r="J353" t="n">
        <v>0</v>
      </c>
      <c r="K353" t="n">
        <v>0</v>
      </c>
      <c r="L353" t="n">
        <v>0</v>
      </c>
      <c r="M353" t="n">
        <v>0</v>
      </c>
      <c r="N353" t="n">
        <v>0</v>
      </c>
      <c r="O353" t="n">
        <v>0</v>
      </c>
      <c r="P353" t="n">
        <v>0</v>
      </c>
      <c r="Q353" t="n">
        <v>0</v>
      </c>
      <c r="R353" s="2" t="inlineStr"/>
    </row>
    <row r="354" ht="15" customHeight="1">
      <c r="A354" t="inlineStr">
        <is>
          <t>A 34182-2025</t>
        </is>
      </c>
      <c r="B354" s="1" t="n">
        <v>45845.60520833333</v>
      </c>
      <c r="C354" s="1" t="n">
        <v>45985</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34482-2025</t>
        </is>
      </c>
      <c r="B355" s="1" t="n">
        <v>45847.38469907407</v>
      </c>
      <c r="C355" s="1" t="n">
        <v>45985</v>
      </c>
      <c r="D355" t="inlineStr">
        <is>
          <t>DALARNAS LÄN</t>
        </is>
      </c>
      <c r="E355" t="inlineStr">
        <is>
          <t>MORA</t>
        </is>
      </c>
      <c r="G355" t="n">
        <v>1.5</v>
      </c>
      <c r="H355" t="n">
        <v>0</v>
      </c>
      <c r="I355" t="n">
        <v>0</v>
      </c>
      <c r="J355" t="n">
        <v>0</v>
      </c>
      <c r="K355" t="n">
        <v>0</v>
      </c>
      <c r="L355" t="n">
        <v>0</v>
      </c>
      <c r="M355" t="n">
        <v>0</v>
      </c>
      <c r="N355" t="n">
        <v>0</v>
      </c>
      <c r="O355" t="n">
        <v>0</v>
      </c>
      <c r="P355" t="n">
        <v>0</v>
      </c>
      <c r="Q355" t="n">
        <v>0</v>
      </c>
      <c r="R355" s="2" t="inlineStr"/>
    </row>
    <row r="356" ht="15" customHeight="1">
      <c r="A356" t="inlineStr">
        <is>
          <t>A 60718-2023</t>
        </is>
      </c>
      <c r="B356" s="1" t="n">
        <v>45260.5284375</v>
      </c>
      <c r="C356" s="1" t="n">
        <v>45985</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46091-2025</t>
        </is>
      </c>
      <c r="B357" s="1" t="n">
        <v>45924.52871527777</v>
      </c>
      <c r="C357" s="1" t="n">
        <v>45985</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14641-2023</t>
        </is>
      </c>
      <c r="B358" s="1" t="n">
        <v>45013</v>
      </c>
      <c r="C358" s="1" t="n">
        <v>45985</v>
      </c>
      <c r="D358" t="inlineStr">
        <is>
          <t>DALARNAS LÄN</t>
        </is>
      </c>
      <c r="E358" t="inlineStr">
        <is>
          <t>MORA</t>
        </is>
      </c>
      <c r="G358" t="n">
        <v>1.5</v>
      </c>
      <c r="H358" t="n">
        <v>0</v>
      </c>
      <c r="I358" t="n">
        <v>0</v>
      </c>
      <c r="J358" t="n">
        <v>0</v>
      </c>
      <c r="K358" t="n">
        <v>0</v>
      </c>
      <c r="L358" t="n">
        <v>0</v>
      </c>
      <c r="M358" t="n">
        <v>0</v>
      </c>
      <c r="N358" t="n">
        <v>0</v>
      </c>
      <c r="O358" t="n">
        <v>0</v>
      </c>
      <c r="P358" t="n">
        <v>0</v>
      </c>
      <c r="Q358" t="n">
        <v>0</v>
      </c>
      <c r="R358" s="2" t="inlineStr"/>
    </row>
    <row r="359" ht="15" customHeight="1">
      <c r="A359" t="inlineStr">
        <is>
          <t>A 12151-2021</t>
        </is>
      </c>
      <c r="B359" s="1" t="n">
        <v>44266</v>
      </c>
      <c r="C359" s="1" t="n">
        <v>45985</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54862-2025</t>
        </is>
      </c>
      <c r="B360" s="1" t="n">
        <v>45966.76542824074</v>
      </c>
      <c r="C360" s="1" t="n">
        <v>45985</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34933-2025</t>
        </is>
      </c>
      <c r="B361" s="1" t="n">
        <v>45849.57297453703</v>
      </c>
      <c r="C361" s="1" t="n">
        <v>45985</v>
      </c>
      <c r="D361" t="inlineStr">
        <is>
          <t>DALARNAS LÄN</t>
        </is>
      </c>
      <c r="E361" t="inlineStr">
        <is>
          <t>MORA</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54508-2025</t>
        </is>
      </c>
      <c r="B362" s="1" t="n">
        <v>45965.61844907407</v>
      </c>
      <c r="C362" s="1" t="n">
        <v>45985</v>
      </c>
      <c r="D362" t="inlineStr">
        <is>
          <t>DALARNAS LÄN</t>
        </is>
      </c>
      <c r="E362" t="inlineStr">
        <is>
          <t>MORA</t>
        </is>
      </c>
      <c r="G362" t="n">
        <v>0.9</v>
      </c>
      <c r="H362" t="n">
        <v>0</v>
      </c>
      <c r="I362" t="n">
        <v>0</v>
      </c>
      <c r="J362" t="n">
        <v>0</v>
      </c>
      <c r="K362" t="n">
        <v>0</v>
      </c>
      <c r="L362" t="n">
        <v>0</v>
      </c>
      <c r="M362" t="n">
        <v>0</v>
      </c>
      <c r="N362" t="n">
        <v>0</v>
      </c>
      <c r="O362" t="n">
        <v>0</v>
      </c>
      <c r="P362" t="n">
        <v>0</v>
      </c>
      <c r="Q362" t="n">
        <v>0</v>
      </c>
      <c r="R362" s="2" t="inlineStr"/>
    </row>
    <row r="363" ht="15" customHeight="1">
      <c r="A363" t="inlineStr">
        <is>
          <t>A 54504-2025</t>
        </is>
      </c>
      <c r="B363" s="1" t="n">
        <v>45965.61686342592</v>
      </c>
      <c r="C363" s="1" t="n">
        <v>45985</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54367-2025</t>
        </is>
      </c>
      <c r="B364" s="1" t="n">
        <v>45965.4031712963</v>
      </c>
      <c r="C364" s="1" t="n">
        <v>45985</v>
      </c>
      <c r="D364" t="inlineStr">
        <is>
          <t>DALARNAS LÄN</t>
        </is>
      </c>
      <c r="E364" t="inlineStr">
        <is>
          <t>MORA</t>
        </is>
      </c>
      <c r="G364" t="n">
        <v>7</v>
      </c>
      <c r="H364" t="n">
        <v>0</v>
      </c>
      <c r="I364" t="n">
        <v>0</v>
      </c>
      <c r="J364" t="n">
        <v>0</v>
      </c>
      <c r="K364" t="n">
        <v>0</v>
      </c>
      <c r="L364" t="n">
        <v>0</v>
      </c>
      <c r="M364" t="n">
        <v>0</v>
      </c>
      <c r="N364" t="n">
        <v>0</v>
      </c>
      <c r="O364" t="n">
        <v>0</v>
      </c>
      <c r="P364" t="n">
        <v>0</v>
      </c>
      <c r="Q364" t="n">
        <v>0</v>
      </c>
      <c r="R364" s="2" t="inlineStr"/>
    </row>
    <row r="365" ht="15" customHeight="1">
      <c r="A365" t="inlineStr">
        <is>
          <t>A 35121-2025</t>
        </is>
      </c>
      <c r="B365" s="1" t="n">
        <v>45852.60936342592</v>
      </c>
      <c r="C365" s="1" t="n">
        <v>45985</v>
      </c>
      <c r="D365" t="inlineStr">
        <is>
          <t>DALARNAS LÄN</t>
        </is>
      </c>
      <c r="E365" t="inlineStr">
        <is>
          <t>MORA</t>
        </is>
      </c>
      <c r="F365" t="inlineStr">
        <is>
          <t>Bergvik skog öst AB</t>
        </is>
      </c>
      <c r="G365" t="n">
        <v>15.9</v>
      </c>
      <c r="H365" t="n">
        <v>0</v>
      </c>
      <c r="I365" t="n">
        <v>0</v>
      </c>
      <c r="J365" t="n">
        <v>0</v>
      </c>
      <c r="K365" t="n">
        <v>0</v>
      </c>
      <c r="L365" t="n">
        <v>0</v>
      </c>
      <c r="M365" t="n">
        <v>0</v>
      </c>
      <c r="N365" t="n">
        <v>0</v>
      </c>
      <c r="O365" t="n">
        <v>0</v>
      </c>
      <c r="P365" t="n">
        <v>0</v>
      </c>
      <c r="Q365" t="n">
        <v>0</v>
      </c>
      <c r="R365" s="2" t="inlineStr"/>
    </row>
    <row r="366" ht="15" customHeight="1">
      <c r="A366" t="inlineStr">
        <is>
          <t>A 54518-2025</t>
        </is>
      </c>
      <c r="B366" s="1" t="n">
        <v>45965.62608796296</v>
      </c>
      <c r="C366" s="1" t="n">
        <v>45985</v>
      </c>
      <c r="D366" t="inlineStr">
        <is>
          <t>DALARNAS LÄN</t>
        </is>
      </c>
      <c r="E366" t="inlineStr">
        <is>
          <t>MORA</t>
        </is>
      </c>
      <c r="G366" t="n">
        <v>7.1</v>
      </c>
      <c r="H366" t="n">
        <v>0</v>
      </c>
      <c r="I366" t="n">
        <v>0</v>
      </c>
      <c r="J366" t="n">
        <v>0</v>
      </c>
      <c r="K366" t="n">
        <v>0</v>
      </c>
      <c r="L366" t="n">
        <v>0</v>
      </c>
      <c r="M366" t="n">
        <v>0</v>
      </c>
      <c r="N366" t="n">
        <v>0</v>
      </c>
      <c r="O366" t="n">
        <v>0</v>
      </c>
      <c r="P366" t="n">
        <v>0</v>
      </c>
      <c r="Q366" t="n">
        <v>0</v>
      </c>
      <c r="R366" s="2" t="inlineStr"/>
    </row>
    <row r="367" ht="15" customHeight="1">
      <c r="A367" t="inlineStr">
        <is>
          <t>A 42611-2022</t>
        </is>
      </c>
      <c r="B367" s="1" t="n">
        <v>44831.81482638889</v>
      </c>
      <c r="C367" s="1" t="n">
        <v>45985</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54868-2025</t>
        </is>
      </c>
      <c r="B368" s="1" t="n">
        <v>45966.85649305556</v>
      </c>
      <c r="C368" s="1" t="n">
        <v>45985</v>
      </c>
      <c r="D368" t="inlineStr">
        <is>
          <t>DALARNAS LÄN</t>
        </is>
      </c>
      <c r="E368" t="inlineStr">
        <is>
          <t>MORA</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54919-2025</t>
        </is>
      </c>
      <c r="B369" s="1" t="n">
        <v>45967.38884259259</v>
      </c>
      <c r="C369" s="1" t="n">
        <v>45985</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55284-2025</t>
        </is>
      </c>
      <c r="B370" s="1" t="n">
        <v>45968.8227662037</v>
      </c>
      <c r="C370" s="1" t="n">
        <v>45985</v>
      </c>
      <c r="D370" t="inlineStr">
        <is>
          <t>DALARNAS LÄN</t>
        </is>
      </c>
      <c r="E370" t="inlineStr">
        <is>
          <t>MORA</t>
        </is>
      </c>
      <c r="G370" t="n">
        <v>2</v>
      </c>
      <c r="H370" t="n">
        <v>0</v>
      </c>
      <c r="I370" t="n">
        <v>0</v>
      </c>
      <c r="J370" t="n">
        <v>0</v>
      </c>
      <c r="K370" t="n">
        <v>0</v>
      </c>
      <c r="L370" t="n">
        <v>0</v>
      </c>
      <c r="M370" t="n">
        <v>0</v>
      </c>
      <c r="N370" t="n">
        <v>0</v>
      </c>
      <c r="O370" t="n">
        <v>0</v>
      </c>
      <c r="P370" t="n">
        <v>0</v>
      </c>
      <c r="Q370" t="n">
        <v>0</v>
      </c>
      <c r="R370" s="2" t="inlineStr"/>
    </row>
    <row r="371" ht="15" customHeight="1">
      <c r="A371" t="inlineStr">
        <is>
          <t>A 54905-2025</t>
        </is>
      </c>
      <c r="B371" s="1" t="n">
        <v>45967.3700462963</v>
      </c>
      <c r="C371" s="1" t="n">
        <v>45985</v>
      </c>
      <c r="D371" t="inlineStr">
        <is>
          <t>DALARNAS LÄN</t>
        </is>
      </c>
      <c r="E371" t="inlineStr">
        <is>
          <t>MORA</t>
        </is>
      </c>
      <c r="G371" t="n">
        <v>0.4</v>
      </c>
      <c r="H371" t="n">
        <v>0</v>
      </c>
      <c r="I371" t="n">
        <v>0</v>
      </c>
      <c r="J371" t="n">
        <v>0</v>
      </c>
      <c r="K371" t="n">
        <v>0</v>
      </c>
      <c r="L371" t="n">
        <v>0</v>
      </c>
      <c r="M371" t="n">
        <v>0</v>
      </c>
      <c r="N371" t="n">
        <v>0</v>
      </c>
      <c r="O371" t="n">
        <v>0</v>
      </c>
      <c r="P371" t="n">
        <v>0</v>
      </c>
      <c r="Q371" t="n">
        <v>0</v>
      </c>
      <c r="R371" s="2" t="inlineStr"/>
    </row>
    <row r="372" ht="15" customHeight="1">
      <c r="A372" t="inlineStr">
        <is>
          <t>A 15416-2023</t>
        </is>
      </c>
      <c r="B372" s="1" t="n">
        <v>45019.71342592593</v>
      </c>
      <c r="C372" s="1" t="n">
        <v>45985</v>
      </c>
      <c r="D372" t="inlineStr">
        <is>
          <t>DALARNAS LÄN</t>
        </is>
      </c>
      <c r="E372" t="inlineStr">
        <is>
          <t>MORA</t>
        </is>
      </c>
      <c r="G372" t="n">
        <v>2</v>
      </c>
      <c r="H372" t="n">
        <v>0</v>
      </c>
      <c r="I372" t="n">
        <v>0</v>
      </c>
      <c r="J372" t="n">
        <v>0</v>
      </c>
      <c r="K372" t="n">
        <v>0</v>
      </c>
      <c r="L372" t="n">
        <v>0</v>
      </c>
      <c r="M372" t="n">
        <v>0</v>
      </c>
      <c r="N372" t="n">
        <v>0</v>
      </c>
      <c r="O372" t="n">
        <v>0</v>
      </c>
      <c r="P372" t="n">
        <v>0</v>
      </c>
      <c r="Q372" t="n">
        <v>0</v>
      </c>
      <c r="R372" s="2" t="inlineStr"/>
    </row>
    <row r="373" ht="15" customHeight="1">
      <c r="A373" t="inlineStr">
        <is>
          <t>A 35407-2025</t>
        </is>
      </c>
      <c r="B373" s="1" t="n">
        <v>45855.35989583333</v>
      </c>
      <c r="C373" s="1" t="n">
        <v>45985</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52288-2024</t>
        </is>
      </c>
      <c r="B374" s="1" t="n">
        <v>45608.69395833334</v>
      </c>
      <c r="C374" s="1" t="n">
        <v>45985</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54909-2025</t>
        </is>
      </c>
      <c r="B375" s="1" t="n">
        <v>45967.374375</v>
      </c>
      <c r="C375" s="1" t="n">
        <v>45985</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35611-2025</t>
        </is>
      </c>
      <c r="B376" s="1" t="n">
        <v>45859.35384259259</v>
      </c>
      <c r="C376" s="1" t="n">
        <v>45985</v>
      </c>
      <c r="D376" t="inlineStr">
        <is>
          <t>DALARNAS LÄN</t>
        </is>
      </c>
      <c r="E376" t="inlineStr">
        <is>
          <t>MORA</t>
        </is>
      </c>
      <c r="G376" t="n">
        <v>2.5</v>
      </c>
      <c r="H376" t="n">
        <v>0</v>
      </c>
      <c r="I376" t="n">
        <v>0</v>
      </c>
      <c r="J376" t="n">
        <v>0</v>
      </c>
      <c r="K376" t="n">
        <v>0</v>
      </c>
      <c r="L376" t="n">
        <v>0</v>
      </c>
      <c r="M376" t="n">
        <v>0</v>
      </c>
      <c r="N376" t="n">
        <v>0</v>
      </c>
      <c r="O376" t="n">
        <v>0</v>
      </c>
      <c r="P376" t="n">
        <v>0</v>
      </c>
      <c r="Q376" t="n">
        <v>0</v>
      </c>
      <c r="R376" s="2" t="inlineStr"/>
    </row>
    <row r="377" ht="15" customHeight="1">
      <c r="A377" t="inlineStr">
        <is>
          <t>A 46525-2025</t>
        </is>
      </c>
      <c r="B377" s="1" t="n">
        <v>45926.3312962963</v>
      </c>
      <c r="C377" s="1" t="n">
        <v>45985</v>
      </c>
      <c r="D377" t="inlineStr">
        <is>
          <t>DALARNAS LÄN</t>
        </is>
      </c>
      <c r="E377" t="inlineStr">
        <is>
          <t>MORA</t>
        </is>
      </c>
      <c r="G377" t="n">
        <v>6.3</v>
      </c>
      <c r="H377" t="n">
        <v>0</v>
      </c>
      <c r="I377" t="n">
        <v>0</v>
      </c>
      <c r="J377" t="n">
        <v>0</v>
      </c>
      <c r="K377" t="n">
        <v>0</v>
      </c>
      <c r="L377" t="n">
        <v>0</v>
      </c>
      <c r="M377" t="n">
        <v>0</v>
      </c>
      <c r="N377" t="n">
        <v>0</v>
      </c>
      <c r="O377" t="n">
        <v>0</v>
      </c>
      <c r="P377" t="n">
        <v>0</v>
      </c>
      <c r="Q377" t="n">
        <v>0</v>
      </c>
      <c r="R377" s="2" t="inlineStr"/>
    </row>
    <row r="378" ht="15" customHeight="1">
      <c r="A378" t="inlineStr">
        <is>
          <t>A 46283-2025</t>
        </is>
      </c>
      <c r="B378" s="1" t="n">
        <v>45925</v>
      </c>
      <c r="C378" s="1" t="n">
        <v>45985</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25935-2023</t>
        </is>
      </c>
      <c r="B379" s="1" t="n">
        <v>45090.68675925926</v>
      </c>
      <c r="C379" s="1" t="n">
        <v>45985</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35622-2025</t>
        </is>
      </c>
      <c r="B380" s="1" t="n">
        <v>45859</v>
      </c>
      <c r="C380" s="1" t="n">
        <v>45985</v>
      </c>
      <c r="D380" t="inlineStr">
        <is>
          <t>DALARNAS LÄN</t>
        </is>
      </c>
      <c r="E380" t="inlineStr">
        <is>
          <t>MORA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35734-2025</t>
        </is>
      </c>
      <c r="B381" s="1" t="n">
        <v>45860.471875</v>
      </c>
      <c r="C381" s="1" t="n">
        <v>45985</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9277-2024</t>
        </is>
      </c>
      <c r="B382" s="1" t="n">
        <v>45358.63265046296</v>
      </c>
      <c r="C382" s="1" t="n">
        <v>45985</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55262-2025</t>
        </is>
      </c>
      <c r="B383" s="1" t="n">
        <v>45968.64847222222</v>
      </c>
      <c r="C383" s="1" t="n">
        <v>45985</v>
      </c>
      <c r="D383" t="inlineStr">
        <is>
          <t>DALARNAS LÄN</t>
        </is>
      </c>
      <c r="E383" t="inlineStr">
        <is>
          <t>MORA</t>
        </is>
      </c>
      <c r="G383" t="n">
        <v>1.2</v>
      </c>
      <c r="H383" t="n">
        <v>0</v>
      </c>
      <c r="I383" t="n">
        <v>0</v>
      </c>
      <c r="J383" t="n">
        <v>0</v>
      </c>
      <c r="K383" t="n">
        <v>0</v>
      </c>
      <c r="L383" t="n">
        <v>0</v>
      </c>
      <c r="M383" t="n">
        <v>0</v>
      </c>
      <c r="N383" t="n">
        <v>0</v>
      </c>
      <c r="O383" t="n">
        <v>0</v>
      </c>
      <c r="P383" t="n">
        <v>0</v>
      </c>
      <c r="Q383" t="n">
        <v>0</v>
      </c>
      <c r="R383" s="2" t="inlineStr"/>
    </row>
    <row r="384" ht="15" customHeight="1">
      <c r="A384" t="inlineStr">
        <is>
          <t>A 35623-2025</t>
        </is>
      </c>
      <c r="B384" s="1" t="n">
        <v>45859</v>
      </c>
      <c r="C384" s="1" t="n">
        <v>45985</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55124-2025</t>
        </is>
      </c>
      <c r="B385" s="1" t="n">
        <v>45968.40621527778</v>
      </c>
      <c r="C385" s="1" t="n">
        <v>45985</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35624-2025</t>
        </is>
      </c>
      <c r="B386" s="1" t="n">
        <v>45859</v>
      </c>
      <c r="C386" s="1" t="n">
        <v>45985</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24768-2024</t>
        </is>
      </c>
      <c r="B387" s="1" t="n">
        <v>45460.69545138889</v>
      </c>
      <c r="C387" s="1" t="n">
        <v>45985</v>
      </c>
      <c r="D387" t="inlineStr">
        <is>
          <t>DALARNAS LÄN</t>
        </is>
      </c>
      <c r="E387" t="inlineStr">
        <is>
          <t>MORA</t>
        </is>
      </c>
      <c r="G387" t="n">
        <v>2.4</v>
      </c>
      <c r="H387" t="n">
        <v>0</v>
      </c>
      <c r="I387" t="n">
        <v>0</v>
      </c>
      <c r="J387" t="n">
        <v>0</v>
      </c>
      <c r="K387" t="n">
        <v>0</v>
      </c>
      <c r="L387" t="n">
        <v>0</v>
      </c>
      <c r="M387" t="n">
        <v>0</v>
      </c>
      <c r="N387" t="n">
        <v>0</v>
      </c>
      <c r="O387" t="n">
        <v>0</v>
      </c>
      <c r="P387" t="n">
        <v>0</v>
      </c>
      <c r="Q387" t="n">
        <v>0</v>
      </c>
      <c r="R387" s="2" t="inlineStr"/>
    </row>
    <row r="388" ht="15" customHeight="1">
      <c r="A388" t="inlineStr">
        <is>
          <t>A 55135-2025</t>
        </is>
      </c>
      <c r="B388" s="1" t="n">
        <v>45968.42591435185</v>
      </c>
      <c r="C388" s="1" t="n">
        <v>45985</v>
      </c>
      <c r="D388" t="inlineStr">
        <is>
          <t>DALARNAS LÄN</t>
        </is>
      </c>
      <c r="E388" t="inlineStr">
        <is>
          <t>MORA</t>
        </is>
      </c>
      <c r="G388" t="n">
        <v>5.1</v>
      </c>
      <c r="H388" t="n">
        <v>0</v>
      </c>
      <c r="I388" t="n">
        <v>0</v>
      </c>
      <c r="J388" t="n">
        <v>0</v>
      </c>
      <c r="K388" t="n">
        <v>0</v>
      </c>
      <c r="L388" t="n">
        <v>0</v>
      </c>
      <c r="M388" t="n">
        <v>0</v>
      </c>
      <c r="N388" t="n">
        <v>0</v>
      </c>
      <c r="O388" t="n">
        <v>0</v>
      </c>
      <c r="P388" t="n">
        <v>0</v>
      </c>
      <c r="Q388" t="n">
        <v>0</v>
      </c>
      <c r="R388" s="2" t="inlineStr"/>
    </row>
    <row r="389" ht="15" customHeight="1">
      <c r="A389" t="inlineStr">
        <is>
          <t>A 55123-2025</t>
        </is>
      </c>
      <c r="B389" s="1" t="n">
        <v>45968.40056712963</v>
      </c>
      <c r="C389" s="1" t="n">
        <v>45985</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46537-2025</t>
        </is>
      </c>
      <c r="B390" s="1" t="n">
        <v>45926.34195601852</v>
      </c>
      <c r="C390" s="1" t="n">
        <v>45985</v>
      </c>
      <c r="D390" t="inlineStr">
        <is>
          <t>DALARNAS LÄN</t>
        </is>
      </c>
      <c r="E390" t="inlineStr">
        <is>
          <t>MORA</t>
        </is>
      </c>
      <c r="G390" t="n">
        <v>10.6</v>
      </c>
      <c r="H390" t="n">
        <v>0</v>
      </c>
      <c r="I390" t="n">
        <v>0</v>
      </c>
      <c r="J390" t="n">
        <v>0</v>
      </c>
      <c r="K390" t="n">
        <v>0</v>
      </c>
      <c r="L390" t="n">
        <v>0</v>
      </c>
      <c r="M390" t="n">
        <v>0</v>
      </c>
      <c r="N390" t="n">
        <v>0</v>
      </c>
      <c r="O390" t="n">
        <v>0</v>
      </c>
      <c r="P390" t="n">
        <v>0</v>
      </c>
      <c r="Q390" t="n">
        <v>0</v>
      </c>
      <c r="R390" s="2" t="inlineStr"/>
    </row>
    <row r="391" ht="15" customHeight="1">
      <c r="A391" t="inlineStr">
        <is>
          <t>A 54910-2025</t>
        </is>
      </c>
      <c r="B391" s="1" t="n">
        <v>45967.37679398148</v>
      </c>
      <c r="C391" s="1" t="n">
        <v>45985</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50911-2024</t>
        </is>
      </c>
      <c r="B392" s="1" t="n">
        <v>45602.7022337963</v>
      </c>
      <c r="C392" s="1" t="n">
        <v>45985</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35040-2023</t>
        </is>
      </c>
      <c r="B393" s="1" t="n">
        <v>45145.36853009259</v>
      </c>
      <c r="C393" s="1" t="n">
        <v>45985</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58036-2024</t>
        </is>
      </c>
      <c r="B394" s="1" t="n">
        <v>45631.71893518518</v>
      </c>
      <c r="C394" s="1" t="n">
        <v>45985</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47055-2025</t>
        </is>
      </c>
      <c r="B395" s="1" t="n">
        <v>45929.61931712963</v>
      </c>
      <c r="C395" s="1" t="n">
        <v>45985</v>
      </c>
      <c r="D395" t="inlineStr">
        <is>
          <t>DALARNAS LÄN</t>
        </is>
      </c>
      <c r="E395" t="inlineStr">
        <is>
          <t>MORA</t>
        </is>
      </c>
      <c r="G395" t="n">
        <v>28.1</v>
      </c>
      <c r="H395" t="n">
        <v>0</v>
      </c>
      <c r="I395" t="n">
        <v>0</v>
      </c>
      <c r="J395" t="n">
        <v>0</v>
      </c>
      <c r="K395" t="n">
        <v>0</v>
      </c>
      <c r="L395" t="n">
        <v>0</v>
      </c>
      <c r="M395" t="n">
        <v>0</v>
      </c>
      <c r="N395" t="n">
        <v>0</v>
      </c>
      <c r="O395" t="n">
        <v>0</v>
      </c>
      <c r="P395" t="n">
        <v>0</v>
      </c>
      <c r="Q395" t="n">
        <v>0</v>
      </c>
      <c r="R395" s="2" t="inlineStr"/>
    </row>
    <row r="396" ht="15" customHeight="1">
      <c r="A396" t="inlineStr">
        <is>
          <t>A 36041-2025</t>
        </is>
      </c>
      <c r="B396" s="1" t="n">
        <v>45866.34385416667</v>
      </c>
      <c r="C396" s="1" t="n">
        <v>45985</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28964-2024</t>
        </is>
      </c>
      <c r="B397" s="1" t="n">
        <v>45481.42923611111</v>
      </c>
      <c r="C397" s="1" t="n">
        <v>45985</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27420-2024</t>
        </is>
      </c>
      <c r="B398" s="1" t="n">
        <v>45474.37850694444</v>
      </c>
      <c r="C398" s="1" t="n">
        <v>45985</v>
      </c>
      <c r="D398" t="inlineStr">
        <is>
          <t>DALARNAS LÄN</t>
        </is>
      </c>
      <c r="E398" t="inlineStr">
        <is>
          <t>MORA</t>
        </is>
      </c>
      <c r="G398" t="n">
        <v>7.3</v>
      </c>
      <c r="H398" t="n">
        <v>0</v>
      </c>
      <c r="I398" t="n">
        <v>0</v>
      </c>
      <c r="J398" t="n">
        <v>0</v>
      </c>
      <c r="K398" t="n">
        <v>0</v>
      </c>
      <c r="L398" t="n">
        <v>0</v>
      </c>
      <c r="M398" t="n">
        <v>0</v>
      </c>
      <c r="N398" t="n">
        <v>0</v>
      </c>
      <c r="O398" t="n">
        <v>0</v>
      </c>
      <c r="P398" t="n">
        <v>0</v>
      </c>
      <c r="Q398" t="n">
        <v>0</v>
      </c>
      <c r="R398" s="2" t="inlineStr"/>
    </row>
    <row r="399" ht="15" customHeight="1">
      <c r="A399" t="inlineStr">
        <is>
          <t>A 16174-2025</t>
        </is>
      </c>
      <c r="B399" s="1" t="n">
        <v>45750</v>
      </c>
      <c r="C399" s="1" t="n">
        <v>45985</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47414-2025</t>
        </is>
      </c>
      <c r="B400" s="1" t="n">
        <v>45930.61896990741</v>
      </c>
      <c r="C400" s="1" t="n">
        <v>45985</v>
      </c>
      <c r="D400" t="inlineStr">
        <is>
          <t>DALARNAS LÄN</t>
        </is>
      </c>
      <c r="E400" t="inlineStr">
        <is>
          <t>MORA</t>
        </is>
      </c>
      <c r="G400" t="n">
        <v>6.1</v>
      </c>
      <c r="H400" t="n">
        <v>0</v>
      </c>
      <c r="I400" t="n">
        <v>0</v>
      </c>
      <c r="J400" t="n">
        <v>0</v>
      </c>
      <c r="K400" t="n">
        <v>0</v>
      </c>
      <c r="L400" t="n">
        <v>0</v>
      </c>
      <c r="M400" t="n">
        <v>0</v>
      </c>
      <c r="N400" t="n">
        <v>0</v>
      </c>
      <c r="O400" t="n">
        <v>0</v>
      </c>
      <c r="P400" t="n">
        <v>0</v>
      </c>
      <c r="Q400" t="n">
        <v>0</v>
      </c>
      <c r="R400" s="2" t="inlineStr"/>
    </row>
    <row r="401" ht="15" customHeight="1">
      <c r="A401" t="inlineStr">
        <is>
          <t>A 54548-2025</t>
        </is>
      </c>
      <c r="B401" s="1" t="n">
        <v>45965.6534837963</v>
      </c>
      <c r="C401" s="1" t="n">
        <v>45985</v>
      </c>
      <c r="D401" t="inlineStr">
        <is>
          <t>DALARNAS LÄN</t>
        </is>
      </c>
      <c r="E401" t="inlineStr">
        <is>
          <t>MORA</t>
        </is>
      </c>
      <c r="G401" t="n">
        <v>2.3</v>
      </c>
      <c r="H401" t="n">
        <v>0</v>
      </c>
      <c r="I401" t="n">
        <v>0</v>
      </c>
      <c r="J401" t="n">
        <v>0</v>
      </c>
      <c r="K401" t="n">
        <v>0</v>
      </c>
      <c r="L401" t="n">
        <v>0</v>
      </c>
      <c r="M401" t="n">
        <v>0</v>
      </c>
      <c r="N401" t="n">
        <v>0</v>
      </c>
      <c r="O401" t="n">
        <v>0</v>
      </c>
      <c r="P401" t="n">
        <v>0</v>
      </c>
      <c r="Q401" t="n">
        <v>0</v>
      </c>
      <c r="R401" s="2" t="inlineStr"/>
    </row>
    <row r="402" ht="15" customHeight="1">
      <c r="A402" t="inlineStr">
        <is>
          <t>A 36586-2025</t>
        </is>
      </c>
      <c r="B402" s="1" t="n">
        <v>45869</v>
      </c>
      <c r="C402" s="1" t="n">
        <v>45985</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47072-2025</t>
        </is>
      </c>
      <c r="B403" s="1" t="n">
        <v>45929.6365162037</v>
      </c>
      <c r="C403" s="1" t="n">
        <v>45985</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47140-2025</t>
        </is>
      </c>
      <c r="B404" s="1" t="n">
        <v>45929</v>
      </c>
      <c r="C404" s="1" t="n">
        <v>45985</v>
      </c>
      <c r="D404" t="inlineStr">
        <is>
          <t>DALARNAS LÄN</t>
        </is>
      </c>
      <c r="E404" t="inlineStr">
        <is>
          <t>MORA</t>
        </is>
      </c>
      <c r="G404" t="n">
        <v>6.7</v>
      </c>
      <c r="H404" t="n">
        <v>0</v>
      </c>
      <c r="I404" t="n">
        <v>0</v>
      </c>
      <c r="J404" t="n">
        <v>0</v>
      </c>
      <c r="K404" t="n">
        <v>0</v>
      </c>
      <c r="L404" t="n">
        <v>0</v>
      </c>
      <c r="M404" t="n">
        <v>0</v>
      </c>
      <c r="N404" t="n">
        <v>0</v>
      </c>
      <c r="O404" t="n">
        <v>0</v>
      </c>
      <c r="P404" t="n">
        <v>0</v>
      </c>
      <c r="Q404" t="n">
        <v>0</v>
      </c>
      <c r="R404" s="2" t="inlineStr"/>
    </row>
    <row r="405" ht="15" customHeight="1">
      <c r="A405" t="inlineStr">
        <is>
          <t>A 12920-2022</t>
        </is>
      </c>
      <c r="B405" s="1" t="n">
        <v>44642.65418981481</v>
      </c>
      <c r="C405" s="1" t="n">
        <v>45985</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61188-2024</t>
        </is>
      </c>
      <c r="B406" s="1" t="n">
        <v>45645.62282407407</v>
      </c>
      <c r="C406" s="1" t="n">
        <v>45985</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36760-2025</t>
        </is>
      </c>
      <c r="B407" s="1" t="n">
        <v>45873.57319444444</v>
      </c>
      <c r="C407" s="1" t="n">
        <v>45985</v>
      </c>
      <c r="D407" t="inlineStr">
        <is>
          <t>DALARNAS LÄN</t>
        </is>
      </c>
      <c r="E407" t="inlineStr">
        <is>
          <t>MORA</t>
        </is>
      </c>
      <c r="G407" t="n">
        <v>4.6</v>
      </c>
      <c r="H407" t="n">
        <v>0</v>
      </c>
      <c r="I407" t="n">
        <v>0</v>
      </c>
      <c r="J407" t="n">
        <v>0</v>
      </c>
      <c r="K407" t="n">
        <v>0</v>
      </c>
      <c r="L407" t="n">
        <v>0</v>
      </c>
      <c r="M407" t="n">
        <v>0</v>
      </c>
      <c r="N407" t="n">
        <v>0</v>
      </c>
      <c r="O407" t="n">
        <v>0</v>
      </c>
      <c r="P407" t="n">
        <v>0</v>
      </c>
      <c r="Q407" t="n">
        <v>0</v>
      </c>
      <c r="R407" s="2" t="inlineStr"/>
    </row>
    <row r="408" ht="15" customHeight="1">
      <c r="A408" t="inlineStr">
        <is>
          <t>A 47769-2025</t>
        </is>
      </c>
      <c r="B408" s="1" t="n">
        <v>45931.70715277778</v>
      </c>
      <c r="C408" s="1" t="n">
        <v>45985</v>
      </c>
      <c r="D408" t="inlineStr">
        <is>
          <t>DALARNAS LÄN</t>
        </is>
      </c>
      <c r="E408" t="inlineStr">
        <is>
          <t>MORA</t>
        </is>
      </c>
      <c r="G408" t="n">
        <v>6.7</v>
      </c>
      <c r="H408" t="n">
        <v>0</v>
      </c>
      <c r="I408" t="n">
        <v>0</v>
      </c>
      <c r="J408" t="n">
        <v>0</v>
      </c>
      <c r="K408" t="n">
        <v>0</v>
      </c>
      <c r="L408" t="n">
        <v>0</v>
      </c>
      <c r="M408" t="n">
        <v>0</v>
      </c>
      <c r="N408" t="n">
        <v>0</v>
      </c>
      <c r="O408" t="n">
        <v>0</v>
      </c>
      <c r="P408" t="n">
        <v>0</v>
      </c>
      <c r="Q408" t="n">
        <v>0</v>
      </c>
      <c r="R408" s="2" t="inlineStr"/>
    </row>
    <row r="409" ht="15" customHeight="1">
      <c r="A409" t="inlineStr">
        <is>
          <t>A 58089-2024</t>
        </is>
      </c>
      <c r="B409" s="1" t="n">
        <v>45632.34984953704</v>
      </c>
      <c r="C409" s="1" t="n">
        <v>45985</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61350-2024</t>
        </is>
      </c>
      <c r="B410" s="1" t="n">
        <v>45646.37872685185</v>
      </c>
      <c r="C410" s="1" t="n">
        <v>45985</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22854-2023</t>
        </is>
      </c>
      <c r="B411" s="1" t="n">
        <v>45072</v>
      </c>
      <c r="C411" s="1" t="n">
        <v>45985</v>
      </c>
      <c r="D411" t="inlineStr">
        <is>
          <t>DALARNAS LÄN</t>
        </is>
      </c>
      <c r="E411" t="inlineStr">
        <is>
          <t>MORA</t>
        </is>
      </c>
      <c r="G411" t="n">
        <v>3.3</v>
      </c>
      <c r="H411" t="n">
        <v>0</v>
      </c>
      <c r="I411" t="n">
        <v>0</v>
      </c>
      <c r="J411" t="n">
        <v>0</v>
      </c>
      <c r="K411" t="n">
        <v>0</v>
      </c>
      <c r="L411" t="n">
        <v>0</v>
      </c>
      <c r="M411" t="n">
        <v>0</v>
      </c>
      <c r="N411" t="n">
        <v>0</v>
      </c>
      <c r="O411" t="n">
        <v>0</v>
      </c>
      <c r="P411" t="n">
        <v>0</v>
      </c>
      <c r="Q411" t="n">
        <v>0</v>
      </c>
      <c r="R411" s="2" t="inlineStr"/>
    </row>
    <row r="412" ht="15" customHeight="1">
      <c r="A412" t="inlineStr">
        <is>
          <t>A 62266-2020</t>
        </is>
      </c>
      <c r="B412" s="1" t="n">
        <v>44160.35008101852</v>
      </c>
      <c r="C412" s="1" t="n">
        <v>45985</v>
      </c>
      <c r="D412" t="inlineStr">
        <is>
          <t>DALARNAS LÄN</t>
        </is>
      </c>
      <c r="E412" t="inlineStr">
        <is>
          <t>MORA</t>
        </is>
      </c>
      <c r="F412" t="inlineStr">
        <is>
          <t>Bergvik skog väst AB</t>
        </is>
      </c>
      <c r="G412" t="n">
        <v>5.9</v>
      </c>
      <c r="H412" t="n">
        <v>0</v>
      </c>
      <c r="I412" t="n">
        <v>0</v>
      </c>
      <c r="J412" t="n">
        <v>0</v>
      </c>
      <c r="K412" t="n">
        <v>0</v>
      </c>
      <c r="L412" t="n">
        <v>0</v>
      </c>
      <c r="M412" t="n">
        <v>0</v>
      </c>
      <c r="N412" t="n">
        <v>0</v>
      </c>
      <c r="O412" t="n">
        <v>0</v>
      </c>
      <c r="P412" t="n">
        <v>0</v>
      </c>
      <c r="Q412" t="n">
        <v>0</v>
      </c>
      <c r="R412" s="2" t="inlineStr"/>
    </row>
    <row r="413" ht="15" customHeight="1">
      <c r="A413" t="inlineStr">
        <is>
          <t>A 36846-2025</t>
        </is>
      </c>
      <c r="B413" s="1" t="n">
        <v>45874.38655092593</v>
      </c>
      <c r="C413" s="1" t="n">
        <v>45985</v>
      </c>
      <c r="D413" t="inlineStr">
        <is>
          <t>DALARNAS LÄN</t>
        </is>
      </c>
      <c r="E413" t="inlineStr">
        <is>
          <t>MORA</t>
        </is>
      </c>
      <c r="G413" t="n">
        <v>10.7</v>
      </c>
      <c r="H413" t="n">
        <v>0</v>
      </c>
      <c r="I413" t="n">
        <v>0</v>
      </c>
      <c r="J413" t="n">
        <v>0</v>
      </c>
      <c r="K413" t="n">
        <v>0</v>
      </c>
      <c r="L413" t="n">
        <v>0</v>
      </c>
      <c r="M413" t="n">
        <v>0</v>
      </c>
      <c r="N413" t="n">
        <v>0</v>
      </c>
      <c r="O413" t="n">
        <v>0</v>
      </c>
      <c r="P413" t="n">
        <v>0</v>
      </c>
      <c r="Q413" t="n">
        <v>0</v>
      </c>
      <c r="R413" s="2" t="inlineStr"/>
    </row>
    <row r="414" ht="15" customHeight="1">
      <c r="A414" t="inlineStr">
        <is>
          <t>A 43533-2023</t>
        </is>
      </c>
      <c r="B414" s="1" t="n">
        <v>45184.53412037037</v>
      </c>
      <c r="C414" s="1" t="n">
        <v>45985</v>
      </c>
      <c r="D414" t="inlineStr">
        <is>
          <t>DALARNAS LÄN</t>
        </is>
      </c>
      <c r="E414" t="inlineStr">
        <is>
          <t>MORA</t>
        </is>
      </c>
      <c r="F414" t="inlineStr">
        <is>
          <t>Bergvik skog väst AB</t>
        </is>
      </c>
      <c r="G414" t="n">
        <v>10.3</v>
      </c>
      <c r="H414" t="n">
        <v>0</v>
      </c>
      <c r="I414" t="n">
        <v>0</v>
      </c>
      <c r="J414" t="n">
        <v>0</v>
      </c>
      <c r="K414" t="n">
        <v>0</v>
      </c>
      <c r="L414" t="n">
        <v>0</v>
      </c>
      <c r="M414" t="n">
        <v>0</v>
      </c>
      <c r="N414" t="n">
        <v>0</v>
      </c>
      <c r="O414" t="n">
        <v>0</v>
      </c>
      <c r="P414" t="n">
        <v>0</v>
      </c>
      <c r="Q414" t="n">
        <v>0</v>
      </c>
      <c r="R414" s="2" t="inlineStr"/>
    </row>
    <row r="415" ht="15" customHeight="1">
      <c r="A415" t="inlineStr">
        <is>
          <t>A 47765-2025</t>
        </is>
      </c>
      <c r="B415" s="1" t="n">
        <v>45931.69100694444</v>
      </c>
      <c r="C415" s="1" t="n">
        <v>45985</v>
      </c>
      <c r="D415" t="inlineStr">
        <is>
          <t>DALARNAS LÄN</t>
        </is>
      </c>
      <c r="E415" t="inlineStr">
        <is>
          <t>MORA</t>
        </is>
      </c>
      <c r="G415" t="n">
        <v>1.7</v>
      </c>
      <c r="H415" t="n">
        <v>0</v>
      </c>
      <c r="I415" t="n">
        <v>0</v>
      </c>
      <c r="J415" t="n">
        <v>0</v>
      </c>
      <c r="K415" t="n">
        <v>0</v>
      </c>
      <c r="L415" t="n">
        <v>0</v>
      </c>
      <c r="M415" t="n">
        <v>0</v>
      </c>
      <c r="N415" t="n">
        <v>0</v>
      </c>
      <c r="O415" t="n">
        <v>0</v>
      </c>
      <c r="P415" t="n">
        <v>0</v>
      </c>
      <c r="Q415" t="n">
        <v>0</v>
      </c>
      <c r="R415" s="2" t="inlineStr"/>
    </row>
    <row r="416" ht="15" customHeight="1">
      <c r="A416" t="inlineStr">
        <is>
          <t>A 30998-2022</t>
        </is>
      </c>
      <c r="B416" s="1" t="n">
        <v>44768</v>
      </c>
      <c r="C416" s="1" t="n">
        <v>45985</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37268-2025</t>
        </is>
      </c>
      <c r="B417" s="1" t="n">
        <v>45876.46681712963</v>
      </c>
      <c r="C417" s="1" t="n">
        <v>45985</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37070-2025</t>
        </is>
      </c>
      <c r="B418" s="1" t="n">
        <v>45875.39822916667</v>
      </c>
      <c r="C418" s="1" t="n">
        <v>45985</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8343-2025</t>
        </is>
      </c>
      <c r="B419" s="1" t="n">
        <v>45708.67253472222</v>
      </c>
      <c r="C419" s="1" t="n">
        <v>45985</v>
      </c>
      <c r="D419" t="inlineStr">
        <is>
          <t>DALARNAS LÄN</t>
        </is>
      </c>
      <c r="E419" t="inlineStr">
        <is>
          <t>MORA</t>
        </is>
      </c>
      <c r="G419" t="n">
        <v>3.4</v>
      </c>
      <c r="H419" t="n">
        <v>0</v>
      </c>
      <c r="I419" t="n">
        <v>0</v>
      </c>
      <c r="J419" t="n">
        <v>0</v>
      </c>
      <c r="K419" t="n">
        <v>0</v>
      </c>
      <c r="L419" t="n">
        <v>0</v>
      </c>
      <c r="M419" t="n">
        <v>0</v>
      </c>
      <c r="N419" t="n">
        <v>0</v>
      </c>
      <c r="O419" t="n">
        <v>0</v>
      </c>
      <c r="P419" t="n">
        <v>0</v>
      </c>
      <c r="Q419" t="n">
        <v>0</v>
      </c>
      <c r="R419" s="2" t="inlineStr"/>
    </row>
    <row r="420" ht="15" customHeight="1">
      <c r="A420" t="inlineStr">
        <is>
          <t>A 47860-2025</t>
        </is>
      </c>
      <c r="B420" s="1" t="n">
        <v>45932.42298611111</v>
      </c>
      <c r="C420" s="1" t="n">
        <v>45985</v>
      </c>
      <c r="D420" t="inlineStr">
        <is>
          <t>DALARNAS LÄN</t>
        </is>
      </c>
      <c r="E420" t="inlineStr">
        <is>
          <t>MORA</t>
        </is>
      </c>
      <c r="G420" t="n">
        <v>2.1</v>
      </c>
      <c r="H420" t="n">
        <v>0</v>
      </c>
      <c r="I420" t="n">
        <v>0</v>
      </c>
      <c r="J420" t="n">
        <v>0</v>
      </c>
      <c r="K420" t="n">
        <v>0</v>
      </c>
      <c r="L420" t="n">
        <v>0</v>
      </c>
      <c r="M420" t="n">
        <v>0</v>
      </c>
      <c r="N420" t="n">
        <v>0</v>
      </c>
      <c r="O420" t="n">
        <v>0</v>
      </c>
      <c r="P420" t="n">
        <v>0</v>
      </c>
      <c r="Q420" t="n">
        <v>0</v>
      </c>
      <c r="R420" s="2" t="inlineStr"/>
    </row>
    <row r="421" ht="15" customHeight="1">
      <c r="A421" t="inlineStr">
        <is>
          <t>A 48376-2025</t>
        </is>
      </c>
      <c r="B421" s="1" t="n">
        <v>45933.71648148148</v>
      </c>
      <c r="C421" s="1" t="n">
        <v>45985</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48377-2025</t>
        </is>
      </c>
      <c r="B422" s="1" t="n">
        <v>45933.71896990741</v>
      </c>
      <c r="C422" s="1" t="n">
        <v>45985</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47716-2025</t>
        </is>
      </c>
      <c r="B423" s="1" t="n">
        <v>45931</v>
      </c>
      <c r="C423" s="1" t="n">
        <v>45985</v>
      </c>
      <c r="D423" t="inlineStr">
        <is>
          <t>DALARNAS LÄN</t>
        </is>
      </c>
      <c r="E423" t="inlineStr">
        <is>
          <t>MORA</t>
        </is>
      </c>
      <c r="G423" t="n">
        <v>8.9</v>
      </c>
      <c r="H423" t="n">
        <v>0</v>
      </c>
      <c r="I423" t="n">
        <v>0</v>
      </c>
      <c r="J423" t="n">
        <v>0</v>
      </c>
      <c r="K423" t="n">
        <v>0</v>
      </c>
      <c r="L423" t="n">
        <v>0</v>
      </c>
      <c r="M423" t="n">
        <v>0</v>
      </c>
      <c r="N423" t="n">
        <v>0</v>
      </c>
      <c r="O423" t="n">
        <v>0</v>
      </c>
      <c r="P423" t="n">
        <v>0</v>
      </c>
      <c r="Q423" t="n">
        <v>0</v>
      </c>
      <c r="R423" s="2" t="inlineStr"/>
    </row>
    <row r="424" ht="15" customHeight="1">
      <c r="A424" t="inlineStr">
        <is>
          <t>A 17164-2025</t>
        </is>
      </c>
      <c r="B424" s="1" t="n">
        <v>45756.36403935185</v>
      </c>
      <c r="C424" s="1" t="n">
        <v>45985</v>
      </c>
      <c r="D424" t="inlineStr">
        <is>
          <t>DALARNAS LÄN</t>
        </is>
      </c>
      <c r="E424" t="inlineStr">
        <is>
          <t>MORA</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37774-2022</t>
        </is>
      </c>
      <c r="B425" s="1" t="n">
        <v>44810.64164351852</v>
      </c>
      <c r="C425" s="1" t="n">
        <v>45985</v>
      </c>
      <c r="D425" t="inlineStr">
        <is>
          <t>DALARNAS LÄN</t>
        </is>
      </c>
      <c r="E425" t="inlineStr">
        <is>
          <t>MORA</t>
        </is>
      </c>
      <c r="F425" t="inlineStr">
        <is>
          <t>Bergvik skog väst AB</t>
        </is>
      </c>
      <c r="G425" t="n">
        <v>8.5</v>
      </c>
      <c r="H425" t="n">
        <v>0</v>
      </c>
      <c r="I425" t="n">
        <v>0</v>
      </c>
      <c r="J425" t="n">
        <v>0</v>
      </c>
      <c r="K425" t="n">
        <v>0</v>
      </c>
      <c r="L425" t="n">
        <v>0</v>
      </c>
      <c r="M425" t="n">
        <v>0</v>
      </c>
      <c r="N425" t="n">
        <v>0</v>
      </c>
      <c r="O425" t="n">
        <v>0</v>
      </c>
      <c r="P425" t="n">
        <v>0</v>
      </c>
      <c r="Q425" t="n">
        <v>0</v>
      </c>
      <c r="R425" s="2" t="inlineStr"/>
    </row>
    <row r="426" ht="15" customHeight="1">
      <c r="A426" t="inlineStr">
        <is>
          <t>A 56940-2025</t>
        </is>
      </c>
      <c r="B426" s="1" t="n">
        <v>45978.62241898148</v>
      </c>
      <c r="C426" s="1" t="n">
        <v>45985</v>
      </c>
      <c r="D426" t="inlineStr">
        <is>
          <t>DALARNAS LÄN</t>
        </is>
      </c>
      <c r="E426" t="inlineStr">
        <is>
          <t>MORA</t>
        </is>
      </c>
      <c r="G426" t="n">
        <v>18.1</v>
      </c>
      <c r="H426" t="n">
        <v>0</v>
      </c>
      <c r="I426" t="n">
        <v>0</v>
      </c>
      <c r="J426" t="n">
        <v>0</v>
      </c>
      <c r="K426" t="n">
        <v>0</v>
      </c>
      <c r="L426" t="n">
        <v>0</v>
      </c>
      <c r="M426" t="n">
        <v>0</v>
      </c>
      <c r="N426" t="n">
        <v>0</v>
      </c>
      <c r="O426" t="n">
        <v>0</v>
      </c>
      <c r="P426" t="n">
        <v>0</v>
      </c>
      <c r="Q426" t="n">
        <v>0</v>
      </c>
      <c r="R426" s="2" t="inlineStr"/>
    </row>
    <row r="427" ht="15" customHeight="1">
      <c r="A427" t="inlineStr">
        <is>
          <t>A 38073-2025</t>
        </is>
      </c>
      <c r="B427" s="1" t="n">
        <v>45882</v>
      </c>
      <c r="C427" s="1" t="n">
        <v>45985</v>
      </c>
      <c r="D427" t="inlineStr">
        <is>
          <t>DALARNAS LÄN</t>
        </is>
      </c>
      <c r="E427" t="inlineStr">
        <is>
          <t>MORA</t>
        </is>
      </c>
      <c r="G427" t="n">
        <v>2.5</v>
      </c>
      <c r="H427" t="n">
        <v>0</v>
      </c>
      <c r="I427" t="n">
        <v>0</v>
      </c>
      <c r="J427" t="n">
        <v>0</v>
      </c>
      <c r="K427" t="n">
        <v>0</v>
      </c>
      <c r="L427" t="n">
        <v>0</v>
      </c>
      <c r="M427" t="n">
        <v>0</v>
      </c>
      <c r="N427" t="n">
        <v>0</v>
      </c>
      <c r="O427" t="n">
        <v>0</v>
      </c>
      <c r="P427" t="n">
        <v>0</v>
      </c>
      <c r="Q427" t="n">
        <v>0</v>
      </c>
      <c r="R427" s="2" t="inlineStr"/>
    </row>
    <row r="428" ht="15" customHeight="1">
      <c r="A428" t="inlineStr">
        <is>
          <t>A 38086-2025</t>
        </is>
      </c>
      <c r="B428" s="1" t="n">
        <v>45882.47625</v>
      </c>
      <c r="C428" s="1" t="n">
        <v>45985</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37879-2025</t>
        </is>
      </c>
      <c r="B429" s="1" t="n">
        <v>45881.48791666667</v>
      </c>
      <c r="C429" s="1" t="n">
        <v>45985</v>
      </c>
      <c r="D429" t="inlineStr">
        <is>
          <t>DALARNAS LÄN</t>
        </is>
      </c>
      <c r="E429" t="inlineStr">
        <is>
          <t>MORA</t>
        </is>
      </c>
      <c r="G429" t="n">
        <v>1.4</v>
      </c>
      <c r="H429" t="n">
        <v>0</v>
      </c>
      <c r="I429" t="n">
        <v>0</v>
      </c>
      <c r="J429" t="n">
        <v>0</v>
      </c>
      <c r="K429" t="n">
        <v>0</v>
      </c>
      <c r="L429" t="n">
        <v>0</v>
      </c>
      <c r="M429" t="n">
        <v>0</v>
      </c>
      <c r="N429" t="n">
        <v>0</v>
      </c>
      <c r="O429" t="n">
        <v>0</v>
      </c>
      <c r="P429" t="n">
        <v>0</v>
      </c>
      <c r="Q429" t="n">
        <v>0</v>
      </c>
      <c r="R429" s="2" t="inlineStr"/>
    </row>
    <row r="430" ht="15" customHeight="1">
      <c r="A430" t="inlineStr">
        <is>
          <t>A 53527-2024</t>
        </is>
      </c>
      <c r="B430" s="1" t="n">
        <v>45614.61569444444</v>
      </c>
      <c r="C430" s="1" t="n">
        <v>45985</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48927-2025</t>
        </is>
      </c>
      <c r="B431" s="1" t="n">
        <v>45931</v>
      </c>
      <c r="C431" s="1" t="n">
        <v>45985</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61278-2024</t>
        </is>
      </c>
      <c r="B432" s="1" t="n">
        <v>45645.76561342592</v>
      </c>
      <c r="C432" s="1" t="n">
        <v>45985</v>
      </c>
      <c r="D432" t="inlineStr">
        <is>
          <t>DALARNAS LÄN</t>
        </is>
      </c>
      <c r="E432" t="inlineStr">
        <is>
          <t>MORA</t>
        </is>
      </c>
      <c r="G432" t="n">
        <v>1.1</v>
      </c>
      <c r="H432" t="n">
        <v>0</v>
      </c>
      <c r="I432" t="n">
        <v>0</v>
      </c>
      <c r="J432" t="n">
        <v>0</v>
      </c>
      <c r="K432" t="n">
        <v>0</v>
      </c>
      <c r="L432" t="n">
        <v>0</v>
      </c>
      <c r="M432" t="n">
        <v>0</v>
      </c>
      <c r="N432" t="n">
        <v>0</v>
      </c>
      <c r="O432" t="n">
        <v>0</v>
      </c>
      <c r="P432" t="n">
        <v>0</v>
      </c>
      <c r="Q432" t="n">
        <v>0</v>
      </c>
      <c r="R432" s="2" t="inlineStr"/>
    </row>
    <row r="433" ht="15" customHeight="1">
      <c r="A433" t="inlineStr">
        <is>
          <t>A 56532-2024</t>
        </is>
      </c>
      <c r="B433" s="1" t="n">
        <v>45625.55440972222</v>
      </c>
      <c r="C433" s="1" t="n">
        <v>45985</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56702-2025</t>
        </is>
      </c>
      <c r="B434" s="1" t="n">
        <v>45977.45586805556</v>
      </c>
      <c r="C434" s="1" t="n">
        <v>45985</v>
      </c>
      <c r="D434" t="inlineStr">
        <is>
          <t>DALARNAS LÄN</t>
        </is>
      </c>
      <c r="E434" t="inlineStr">
        <is>
          <t>MORA</t>
        </is>
      </c>
      <c r="G434" t="n">
        <v>2.2</v>
      </c>
      <c r="H434" t="n">
        <v>0</v>
      </c>
      <c r="I434" t="n">
        <v>0</v>
      </c>
      <c r="J434" t="n">
        <v>0</v>
      </c>
      <c r="K434" t="n">
        <v>0</v>
      </c>
      <c r="L434" t="n">
        <v>0</v>
      </c>
      <c r="M434" t="n">
        <v>0</v>
      </c>
      <c r="N434" t="n">
        <v>0</v>
      </c>
      <c r="O434" t="n">
        <v>0</v>
      </c>
      <c r="P434" t="n">
        <v>0</v>
      </c>
      <c r="Q434" t="n">
        <v>0</v>
      </c>
      <c r="R434" s="2" t="inlineStr"/>
    </row>
    <row r="435" ht="15" customHeight="1">
      <c r="A435" t="inlineStr">
        <is>
          <t>A 24465-2021</t>
        </is>
      </c>
      <c r="B435" s="1" t="n">
        <v>44337</v>
      </c>
      <c r="C435" s="1" t="n">
        <v>45985</v>
      </c>
      <c r="D435" t="inlineStr">
        <is>
          <t>DALARNAS LÄN</t>
        </is>
      </c>
      <c r="E435" t="inlineStr">
        <is>
          <t>MORA</t>
        </is>
      </c>
      <c r="G435" t="n">
        <v>2.6</v>
      </c>
      <c r="H435" t="n">
        <v>0</v>
      </c>
      <c r="I435" t="n">
        <v>0</v>
      </c>
      <c r="J435" t="n">
        <v>0</v>
      </c>
      <c r="K435" t="n">
        <v>0</v>
      </c>
      <c r="L435" t="n">
        <v>0</v>
      </c>
      <c r="M435" t="n">
        <v>0</v>
      </c>
      <c r="N435" t="n">
        <v>0</v>
      </c>
      <c r="O435" t="n">
        <v>0</v>
      </c>
      <c r="P435" t="n">
        <v>0</v>
      </c>
      <c r="Q435" t="n">
        <v>0</v>
      </c>
      <c r="R435" s="2" t="inlineStr"/>
    </row>
    <row r="436" ht="15" customHeight="1">
      <c r="A436" t="inlineStr">
        <is>
          <t>A 5298-2023</t>
        </is>
      </c>
      <c r="B436" s="1" t="n">
        <v>44959.54355324074</v>
      </c>
      <c r="C436" s="1" t="n">
        <v>45985</v>
      </c>
      <c r="D436" t="inlineStr">
        <is>
          <t>DALARNAS LÄN</t>
        </is>
      </c>
      <c r="E436" t="inlineStr">
        <is>
          <t>MORA</t>
        </is>
      </c>
      <c r="F436" t="inlineStr">
        <is>
          <t>Bergvik skog väst AB</t>
        </is>
      </c>
      <c r="G436" t="n">
        <v>6.2</v>
      </c>
      <c r="H436" t="n">
        <v>0</v>
      </c>
      <c r="I436" t="n">
        <v>0</v>
      </c>
      <c r="J436" t="n">
        <v>0</v>
      </c>
      <c r="K436" t="n">
        <v>0</v>
      </c>
      <c r="L436" t="n">
        <v>0</v>
      </c>
      <c r="M436" t="n">
        <v>0</v>
      </c>
      <c r="N436" t="n">
        <v>0</v>
      </c>
      <c r="O436" t="n">
        <v>0</v>
      </c>
      <c r="P436" t="n">
        <v>0</v>
      </c>
      <c r="Q436" t="n">
        <v>0</v>
      </c>
      <c r="R436" s="2" t="inlineStr"/>
    </row>
    <row r="437" ht="15" customHeight="1">
      <c r="A437" t="inlineStr">
        <is>
          <t>A 49404-2025</t>
        </is>
      </c>
      <c r="B437" s="1" t="n">
        <v>45938.67662037037</v>
      </c>
      <c r="C437" s="1" t="n">
        <v>45985</v>
      </c>
      <c r="D437" t="inlineStr">
        <is>
          <t>DALARNAS LÄN</t>
        </is>
      </c>
      <c r="E437" t="inlineStr">
        <is>
          <t>MORA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45985</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57453-2025</t>
        </is>
      </c>
      <c r="B439" s="1" t="n">
        <v>45980.5122337963</v>
      </c>
      <c r="C439" s="1" t="n">
        <v>45985</v>
      </c>
      <c r="D439" t="inlineStr">
        <is>
          <t>DALARNAS LÄN</t>
        </is>
      </c>
      <c r="E439" t="inlineStr">
        <is>
          <t>MORA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48929-2025</t>
        </is>
      </c>
      <c r="B440" s="1" t="n">
        <v>45937.51315972222</v>
      </c>
      <c r="C440" s="1" t="n">
        <v>45985</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44106-2023</t>
        </is>
      </c>
      <c r="B441" s="1" t="n">
        <v>45188</v>
      </c>
      <c r="C441" s="1" t="n">
        <v>45985</v>
      </c>
      <c r="D441" t="inlineStr">
        <is>
          <t>DALARNAS LÄN</t>
        </is>
      </c>
      <c r="E441" t="inlineStr">
        <is>
          <t>MORA</t>
        </is>
      </c>
      <c r="G441" t="n">
        <v>10.1</v>
      </c>
      <c r="H441" t="n">
        <v>0</v>
      </c>
      <c r="I441" t="n">
        <v>0</v>
      </c>
      <c r="J441" t="n">
        <v>0</v>
      </c>
      <c r="K441" t="n">
        <v>0</v>
      </c>
      <c r="L441" t="n">
        <v>0</v>
      </c>
      <c r="M441" t="n">
        <v>0</v>
      </c>
      <c r="N441" t="n">
        <v>0</v>
      </c>
      <c r="O441" t="n">
        <v>0</v>
      </c>
      <c r="P441" t="n">
        <v>0</v>
      </c>
      <c r="Q441" t="n">
        <v>0</v>
      </c>
      <c r="R441" s="2" t="inlineStr"/>
    </row>
    <row r="442" ht="15" customHeight="1">
      <c r="A442" t="inlineStr">
        <is>
          <t>A 57091-2021</t>
        </is>
      </c>
      <c r="B442" s="1" t="n">
        <v>44482</v>
      </c>
      <c r="C442" s="1" t="n">
        <v>45985</v>
      </c>
      <c r="D442" t="inlineStr">
        <is>
          <t>DALARNAS LÄN</t>
        </is>
      </c>
      <c r="E442" t="inlineStr">
        <is>
          <t>MORA</t>
        </is>
      </c>
      <c r="G442" t="n">
        <v>1</v>
      </c>
      <c r="H442" t="n">
        <v>0</v>
      </c>
      <c r="I442" t="n">
        <v>0</v>
      </c>
      <c r="J442" t="n">
        <v>0</v>
      </c>
      <c r="K442" t="n">
        <v>0</v>
      </c>
      <c r="L442" t="n">
        <v>0</v>
      </c>
      <c r="M442" t="n">
        <v>0</v>
      </c>
      <c r="N442" t="n">
        <v>0</v>
      </c>
      <c r="O442" t="n">
        <v>0</v>
      </c>
      <c r="P442" t="n">
        <v>0</v>
      </c>
      <c r="Q442" t="n">
        <v>0</v>
      </c>
      <c r="R442" s="2" t="inlineStr"/>
    </row>
    <row r="443" ht="15" customHeight="1">
      <c r="A443" t="inlineStr">
        <is>
          <t>A 57097-2025</t>
        </is>
      </c>
      <c r="B443" s="1" t="n">
        <v>45979.43388888889</v>
      </c>
      <c r="C443" s="1" t="n">
        <v>45985</v>
      </c>
      <c r="D443" t="inlineStr">
        <is>
          <t>DALARNAS LÄN</t>
        </is>
      </c>
      <c r="E443" t="inlineStr">
        <is>
          <t>MORA</t>
        </is>
      </c>
      <c r="G443" t="n">
        <v>7.5</v>
      </c>
      <c r="H443" t="n">
        <v>0</v>
      </c>
      <c r="I443" t="n">
        <v>0</v>
      </c>
      <c r="J443" t="n">
        <v>0</v>
      </c>
      <c r="K443" t="n">
        <v>0</v>
      </c>
      <c r="L443" t="n">
        <v>0</v>
      </c>
      <c r="M443" t="n">
        <v>0</v>
      </c>
      <c r="N443" t="n">
        <v>0</v>
      </c>
      <c r="O443" t="n">
        <v>0</v>
      </c>
      <c r="P443" t="n">
        <v>0</v>
      </c>
      <c r="Q443" t="n">
        <v>0</v>
      </c>
      <c r="R443" s="2" t="inlineStr"/>
    </row>
    <row r="444" ht="15" customHeight="1">
      <c r="A444" t="inlineStr">
        <is>
          <t>A 4994-2025</t>
        </is>
      </c>
      <c r="B444" s="1" t="n">
        <v>45691.35427083333</v>
      </c>
      <c r="C444" s="1" t="n">
        <v>45985</v>
      </c>
      <c r="D444" t="inlineStr">
        <is>
          <t>DALARNAS LÄN</t>
        </is>
      </c>
      <c r="E444" t="inlineStr">
        <is>
          <t>MORA</t>
        </is>
      </c>
      <c r="G444" t="n">
        <v>4.6</v>
      </c>
      <c r="H444" t="n">
        <v>0</v>
      </c>
      <c r="I444" t="n">
        <v>0</v>
      </c>
      <c r="J444" t="n">
        <v>0</v>
      </c>
      <c r="K444" t="n">
        <v>0</v>
      </c>
      <c r="L444" t="n">
        <v>0</v>
      </c>
      <c r="M444" t="n">
        <v>0</v>
      </c>
      <c r="N444" t="n">
        <v>0</v>
      </c>
      <c r="O444" t="n">
        <v>0</v>
      </c>
      <c r="P444" t="n">
        <v>0</v>
      </c>
      <c r="Q444" t="n">
        <v>0</v>
      </c>
      <c r="R444" s="2" t="inlineStr"/>
    </row>
    <row r="445" ht="15" customHeight="1">
      <c r="A445" t="inlineStr">
        <is>
          <t>A 35287-2024</t>
        </is>
      </c>
      <c r="B445" s="1" t="n">
        <v>45530</v>
      </c>
      <c r="C445" s="1" t="n">
        <v>45985</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18702-2025</t>
        </is>
      </c>
      <c r="B446" s="1" t="n">
        <v>45763.63166666667</v>
      </c>
      <c r="C446" s="1" t="n">
        <v>45985</v>
      </c>
      <c r="D446" t="inlineStr">
        <is>
          <t>DALARNAS LÄN</t>
        </is>
      </c>
      <c r="E446" t="inlineStr">
        <is>
          <t>MORA</t>
        </is>
      </c>
      <c r="G446" t="n">
        <v>3.6</v>
      </c>
      <c r="H446" t="n">
        <v>0</v>
      </c>
      <c r="I446" t="n">
        <v>0</v>
      </c>
      <c r="J446" t="n">
        <v>0</v>
      </c>
      <c r="K446" t="n">
        <v>0</v>
      </c>
      <c r="L446" t="n">
        <v>0</v>
      </c>
      <c r="M446" t="n">
        <v>0</v>
      </c>
      <c r="N446" t="n">
        <v>0</v>
      </c>
      <c r="O446" t="n">
        <v>0</v>
      </c>
      <c r="P446" t="n">
        <v>0</v>
      </c>
      <c r="Q446" t="n">
        <v>0</v>
      </c>
      <c r="R446" s="2" t="inlineStr"/>
    </row>
    <row r="447" ht="15" customHeight="1">
      <c r="A447" t="inlineStr">
        <is>
          <t>A 49401-2025</t>
        </is>
      </c>
      <c r="B447" s="1" t="n">
        <v>45938.66932870371</v>
      </c>
      <c r="C447" s="1" t="n">
        <v>45985</v>
      </c>
      <c r="D447" t="inlineStr">
        <is>
          <t>DALARNAS LÄN</t>
        </is>
      </c>
      <c r="E447" t="inlineStr">
        <is>
          <t>MORA</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57101-2025</t>
        </is>
      </c>
      <c r="B448" s="1" t="n">
        <v>45979.44006944444</v>
      </c>
      <c r="C448" s="1" t="n">
        <v>45985</v>
      </c>
      <c r="D448" t="inlineStr">
        <is>
          <t>DALARNAS LÄN</t>
        </is>
      </c>
      <c r="E448" t="inlineStr">
        <is>
          <t>MORA</t>
        </is>
      </c>
      <c r="G448" t="n">
        <v>7.5</v>
      </c>
      <c r="H448" t="n">
        <v>0</v>
      </c>
      <c r="I448" t="n">
        <v>0</v>
      </c>
      <c r="J448" t="n">
        <v>0</v>
      </c>
      <c r="K448" t="n">
        <v>0</v>
      </c>
      <c r="L448" t="n">
        <v>0</v>
      </c>
      <c r="M448" t="n">
        <v>0</v>
      </c>
      <c r="N448" t="n">
        <v>0</v>
      </c>
      <c r="O448" t="n">
        <v>0</v>
      </c>
      <c r="P448" t="n">
        <v>0</v>
      </c>
      <c r="Q448" t="n">
        <v>0</v>
      </c>
      <c r="R448" s="2" t="inlineStr"/>
    </row>
    <row r="449" ht="15" customHeight="1">
      <c r="A449" t="inlineStr">
        <is>
          <t>A 12478-2025</t>
        </is>
      </c>
      <c r="B449" s="1" t="n">
        <v>45730.57429398148</v>
      </c>
      <c r="C449" s="1" t="n">
        <v>45985</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48926-2025</t>
        </is>
      </c>
      <c r="B450" s="1" t="n">
        <v>45937.50666666667</v>
      </c>
      <c r="C450" s="1" t="n">
        <v>45985</v>
      </c>
      <c r="D450" t="inlineStr">
        <is>
          <t>DALARNAS LÄN</t>
        </is>
      </c>
      <c r="E450" t="inlineStr">
        <is>
          <t>MORA</t>
        </is>
      </c>
      <c r="G450" t="n">
        <v>0.6</v>
      </c>
      <c r="H450" t="n">
        <v>0</v>
      </c>
      <c r="I450" t="n">
        <v>0</v>
      </c>
      <c r="J450" t="n">
        <v>0</v>
      </c>
      <c r="K450" t="n">
        <v>0</v>
      </c>
      <c r="L450" t="n">
        <v>0</v>
      </c>
      <c r="M450" t="n">
        <v>0</v>
      </c>
      <c r="N450" t="n">
        <v>0</v>
      </c>
      <c r="O450" t="n">
        <v>0</v>
      </c>
      <c r="P450" t="n">
        <v>0</v>
      </c>
      <c r="Q450" t="n">
        <v>0</v>
      </c>
      <c r="R450" s="2" t="inlineStr"/>
    </row>
    <row r="451" ht="15" customHeight="1">
      <c r="A451" t="inlineStr">
        <is>
          <t>A 30030-2021</t>
        </is>
      </c>
      <c r="B451" s="1" t="n">
        <v>44363</v>
      </c>
      <c r="C451" s="1" t="n">
        <v>45985</v>
      </c>
      <c r="D451" t="inlineStr">
        <is>
          <t>DALARNAS LÄN</t>
        </is>
      </c>
      <c r="E451" t="inlineStr">
        <is>
          <t>MORA</t>
        </is>
      </c>
      <c r="G451" t="n">
        <v>7.1</v>
      </c>
      <c r="H451" t="n">
        <v>0</v>
      </c>
      <c r="I451" t="n">
        <v>0</v>
      </c>
      <c r="J451" t="n">
        <v>0</v>
      </c>
      <c r="K451" t="n">
        <v>0</v>
      </c>
      <c r="L451" t="n">
        <v>0</v>
      </c>
      <c r="M451" t="n">
        <v>0</v>
      </c>
      <c r="N451" t="n">
        <v>0</v>
      </c>
      <c r="O451" t="n">
        <v>0</v>
      </c>
      <c r="P451" t="n">
        <v>0</v>
      </c>
      <c r="Q451" t="n">
        <v>0</v>
      </c>
      <c r="R451" s="2" t="inlineStr"/>
    </row>
    <row r="452" ht="15" customHeight="1">
      <c r="A452" t="inlineStr">
        <is>
          <t>A 31085-2024</t>
        </is>
      </c>
      <c r="B452" s="1" t="n">
        <v>45502.48047453703</v>
      </c>
      <c r="C452" s="1" t="n">
        <v>45985</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58003-2025</t>
        </is>
      </c>
      <c r="B453" s="1" t="n">
        <v>45982.44465277778</v>
      </c>
      <c r="C453" s="1" t="n">
        <v>45985</v>
      </c>
      <c r="D453" t="inlineStr">
        <is>
          <t>DALARNAS LÄN</t>
        </is>
      </c>
      <c r="E453" t="inlineStr">
        <is>
          <t>MORA</t>
        </is>
      </c>
      <c r="F453" t="inlineStr">
        <is>
          <t>Allmännings- och besparingsskogar</t>
        </is>
      </c>
      <c r="G453" t="n">
        <v>12.3</v>
      </c>
      <c r="H453" t="n">
        <v>0</v>
      </c>
      <c r="I453" t="n">
        <v>0</v>
      </c>
      <c r="J453" t="n">
        <v>0</v>
      </c>
      <c r="K453" t="n">
        <v>0</v>
      </c>
      <c r="L453" t="n">
        <v>0</v>
      </c>
      <c r="M453" t="n">
        <v>0</v>
      </c>
      <c r="N453" t="n">
        <v>0</v>
      </c>
      <c r="O453" t="n">
        <v>0</v>
      </c>
      <c r="P453" t="n">
        <v>0</v>
      </c>
      <c r="Q453" t="n">
        <v>0</v>
      </c>
      <c r="R453" s="2" t="inlineStr"/>
    </row>
    <row r="454" ht="15" customHeight="1">
      <c r="A454" t="inlineStr">
        <is>
          <t>A 57647-2025</t>
        </is>
      </c>
      <c r="B454" s="1" t="n">
        <v>45981.37621527778</v>
      </c>
      <c r="C454" s="1" t="n">
        <v>45985</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44071-2024</t>
        </is>
      </c>
      <c r="B455" s="1" t="n">
        <v>45572.60915509259</v>
      </c>
      <c r="C455" s="1" t="n">
        <v>45985</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58001-2025</t>
        </is>
      </c>
      <c r="B456" s="1" t="n">
        <v>45982.43615740741</v>
      </c>
      <c r="C456" s="1" t="n">
        <v>45985</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12490-2025</t>
        </is>
      </c>
      <c r="B457" s="1" t="n">
        <v>45730.59239583334</v>
      </c>
      <c r="C457" s="1" t="n">
        <v>45985</v>
      </c>
      <c r="D457" t="inlineStr">
        <is>
          <t>DALARNAS LÄN</t>
        </is>
      </c>
      <c r="E457" t="inlineStr">
        <is>
          <t>MORA</t>
        </is>
      </c>
      <c r="F457" t="inlineStr">
        <is>
          <t>Bergvik skog öst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57843-2025</t>
        </is>
      </c>
      <c r="B458" s="1" t="n">
        <v>45981.62792824074</v>
      </c>
      <c r="C458" s="1" t="n">
        <v>45985</v>
      </c>
      <c r="D458" t="inlineStr">
        <is>
          <t>DALARNAS LÄN</t>
        </is>
      </c>
      <c r="E458" t="inlineStr">
        <is>
          <t>MORA</t>
        </is>
      </c>
      <c r="G458" t="n">
        <v>4.5</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45985</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57659-2025</t>
        </is>
      </c>
      <c r="B460" s="1" t="n">
        <v>45981.41228009259</v>
      </c>
      <c r="C460" s="1" t="n">
        <v>45985</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49828-2025</t>
        </is>
      </c>
      <c r="B461" s="1" t="n">
        <v>45940.44993055556</v>
      </c>
      <c r="C461" s="1" t="n">
        <v>45985</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21410-2023</t>
        </is>
      </c>
      <c r="B462" s="1" t="n">
        <v>45063</v>
      </c>
      <c r="C462" s="1" t="n">
        <v>45985</v>
      </c>
      <c r="D462" t="inlineStr">
        <is>
          <t>DALARNAS LÄN</t>
        </is>
      </c>
      <c r="E462" t="inlineStr">
        <is>
          <t>MORA</t>
        </is>
      </c>
      <c r="G462" t="n">
        <v>7</v>
      </c>
      <c r="H462" t="n">
        <v>0</v>
      </c>
      <c r="I462" t="n">
        <v>0</v>
      </c>
      <c r="J462" t="n">
        <v>0</v>
      </c>
      <c r="K462" t="n">
        <v>0</v>
      </c>
      <c r="L462" t="n">
        <v>0</v>
      </c>
      <c r="M462" t="n">
        <v>0</v>
      </c>
      <c r="N462" t="n">
        <v>0</v>
      </c>
      <c r="O462" t="n">
        <v>0</v>
      </c>
      <c r="P462" t="n">
        <v>0</v>
      </c>
      <c r="Q462" t="n">
        <v>0</v>
      </c>
      <c r="R462" s="2" t="inlineStr"/>
    </row>
    <row r="463" ht="15" customHeight="1">
      <c r="A463" t="inlineStr">
        <is>
          <t>A 57855-2025</t>
        </is>
      </c>
      <c r="B463" s="1" t="n">
        <v>45981.63909722222</v>
      </c>
      <c r="C463" s="1" t="n">
        <v>45985</v>
      </c>
      <c r="D463" t="inlineStr">
        <is>
          <t>DALARNAS LÄN</t>
        </is>
      </c>
      <c r="E463" t="inlineStr">
        <is>
          <t>MORA</t>
        </is>
      </c>
      <c r="G463" t="n">
        <v>9.9</v>
      </c>
      <c r="H463" t="n">
        <v>0</v>
      </c>
      <c r="I463" t="n">
        <v>0</v>
      </c>
      <c r="J463" t="n">
        <v>0</v>
      </c>
      <c r="K463" t="n">
        <v>0</v>
      </c>
      <c r="L463" t="n">
        <v>0</v>
      </c>
      <c r="M463" t="n">
        <v>0</v>
      </c>
      <c r="N463" t="n">
        <v>0</v>
      </c>
      <c r="O463" t="n">
        <v>0</v>
      </c>
      <c r="P463" t="n">
        <v>0</v>
      </c>
      <c r="Q463" t="n">
        <v>0</v>
      </c>
      <c r="R463" s="2" t="inlineStr"/>
    </row>
    <row r="464" ht="15" customHeight="1">
      <c r="A464" t="inlineStr">
        <is>
          <t>A 46801-2022</t>
        </is>
      </c>
      <c r="B464" s="1" t="n">
        <v>44851</v>
      </c>
      <c r="C464" s="1" t="n">
        <v>45985</v>
      </c>
      <c r="D464" t="inlineStr">
        <is>
          <t>DALARNAS LÄN</t>
        </is>
      </c>
      <c r="E464" t="inlineStr">
        <is>
          <t>MORA</t>
        </is>
      </c>
      <c r="G464" t="n">
        <v>1.5</v>
      </c>
      <c r="H464" t="n">
        <v>0</v>
      </c>
      <c r="I464" t="n">
        <v>0</v>
      </c>
      <c r="J464" t="n">
        <v>0</v>
      </c>
      <c r="K464" t="n">
        <v>0</v>
      </c>
      <c r="L464" t="n">
        <v>0</v>
      </c>
      <c r="M464" t="n">
        <v>0</v>
      </c>
      <c r="N464" t="n">
        <v>0</v>
      </c>
      <c r="O464" t="n">
        <v>0</v>
      </c>
      <c r="P464" t="n">
        <v>0</v>
      </c>
      <c r="Q464" t="n">
        <v>0</v>
      </c>
      <c r="R464" s="2" t="inlineStr"/>
    </row>
    <row r="465" ht="15" customHeight="1">
      <c r="A465" t="inlineStr">
        <is>
          <t>A 70141-2021</t>
        </is>
      </c>
      <c r="B465" s="1" t="n">
        <v>44533</v>
      </c>
      <c r="C465" s="1" t="n">
        <v>45985</v>
      </c>
      <c r="D465" t="inlineStr">
        <is>
          <t>DALARNAS LÄN</t>
        </is>
      </c>
      <c r="E465" t="inlineStr">
        <is>
          <t>MORA</t>
        </is>
      </c>
      <c r="G465" t="n">
        <v>4.1</v>
      </c>
      <c r="H465" t="n">
        <v>0</v>
      </c>
      <c r="I465" t="n">
        <v>0</v>
      </c>
      <c r="J465" t="n">
        <v>0</v>
      </c>
      <c r="K465" t="n">
        <v>0</v>
      </c>
      <c r="L465" t="n">
        <v>0</v>
      </c>
      <c r="M465" t="n">
        <v>0</v>
      </c>
      <c r="N465" t="n">
        <v>0</v>
      </c>
      <c r="O465" t="n">
        <v>0</v>
      </c>
      <c r="P465" t="n">
        <v>0</v>
      </c>
      <c r="Q465" t="n">
        <v>0</v>
      </c>
      <c r="R465" s="2" t="inlineStr"/>
    </row>
    <row r="466" ht="15" customHeight="1">
      <c r="A466" t="inlineStr">
        <is>
          <t>A 56767-2023</t>
        </is>
      </c>
      <c r="B466" s="1" t="n">
        <v>45244</v>
      </c>
      <c r="C466" s="1" t="n">
        <v>45985</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40949-2023</t>
        </is>
      </c>
      <c r="B467" s="1" t="n">
        <v>45173</v>
      </c>
      <c r="C467" s="1" t="n">
        <v>45985</v>
      </c>
      <c r="D467" t="inlineStr">
        <is>
          <t>DALARNAS LÄN</t>
        </is>
      </c>
      <c r="E467" t="inlineStr">
        <is>
          <t>MORA</t>
        </is>
      </c>
      <c r="F467" t="inlineStr">
        <is>
          <t>Kyrkan</t>
        </is>
      </c>
      <c r="G467" t="n">
        <v>0.5</v>
      </c>
      <c r="H467" t="n">
        <v>0</v>
      </c>
      <c r="I467" t="n">
        <v>0</v>
      </c>
      <c r="J467" t="n">
        <v>0</v>
      </c>
      <c r="K467" t="n">
        <v>0</v>
      </c>
      <c r="L467" t="n">
        <v>0</v>
      </c>
      <c r="M467" t="n">
        <v>0</v>
      </c>
      <c r="N467" t="n">
        <v>0</v>
      </c>
      <c r="O467" t="n">
        <v>0</v>
      </c>
      <c r="P467" t="n">
        <v>0</v>
      </c>
      <c r="Q467" t="n">
        <v>0</v>
      </c>
      <c r="R467" s="2" t="inlineStr"/>
    </row>
    <row r="468" ht="15" customHeight="1">
      <c r="A468" t="inlineStr">
        <is>
          <t>A 66232-2021</t>
        </is>
      </c>
      <c r="B468" s="1" t="n">
        <v>44518.39234953704</v>
      </c>
      <c r="C468" s="1" t="n">
        <v>45985</v>
      </c>
      <c r="D468" t="inlineStr">
        <is>
          <t>DALARNAS LÄN</t>
        </is>
      </c>
      <c r="E468" t="inlineStr">
        <is>
          <t>MORA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58169-2025</t>
        </is>
      </c>
      <c r="B469" s="1" t="n">
        <v>45982.72690972222</v>
      </c>
      <c r="C469" s="1" t="n">
        <v>45985</v>
      </c>
      <c r="D469" t="inlineStr">
        <is>
          <t>DALARNAS LÄN</t>
        </is>
      </c>
      <c r="E469" t="inlineStr">
        <is>
          <t>MORA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57976-2025</t>
        </is>
      </c>
      <c r="B470" s="1" t="n">
        <v>45982.39435185185</v>
      </c>
      <c r="C470" s="1" t="n">
        <v>45985</v>
      </c>
      <c r="D470" t="inlineStr">
        <is>
          <t>DALARNAS LÄN</t>
        </is>
      </c>
      <c r="E470" t="inlineStr">
        <is>
          <t>MORA</t>
        </is>
      </c>
      <c r="G470" t="n">
        <v>7.4</v>
      </c>
      <c r="H470" t="n">
        <v>0</v>
      </c>
      <c r="I470" t="n">
        <v>0</v>
      </c>
      <c r="J470" t="n">
        <v>0</v>
      </c>
      <c r="K470" t="n">
        <v>0</v>
      </c>
      <c r="L470" t="n">
        <v>0</v>
      </c>
      <c r="M470" t="n">
        <v>0</v>
      </c>
      <c r="N470" t="n">
        <v>0</v>
      </c>
      <c r="O470" t="n">
        <v>0</v>
      </c>
      <c r="P470" t="n">
        <v>0</v>
      </c>
      <c r="Q470" t="n">
        <v>0</v>
      </c>
      <c r="R470" s="2" t="inlineStr"/>
    </row>
    <row r="471" ht="15" customHeight="1">
      <c r="A471" t="inlineStr">
        <is>
          <t>A 44307-2021</t>
        </is>
      </c>
      <c r="B471" s="1" t="n">
        <v>44435</v>
      </c>
      <c r="C471" s="1" t="n">
        <v>45985</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34272-2024</t>
        </is>
      </c>
      <c r="B472" s="1" t="n">
        <v>45524.61752314815</v>
      </c>
      <c r="C472" s="1" t="n">
        <v>45985</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28131-2024</t>
        </is>
      </c>
      <c r="B473" s="1" t="n">
        <v>45476.68435185185</v>
      </c>
      <c r="C473" s="1" t="n">
        <v>45985</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28132-2024</t>
        </is>
      </c>
      <c r="B474" s="1" t="n">
        <v>45476.68616898148</v>
      </c>
      <c r="C474" s="1" t="n">
        <v>45985</v>
      </c>
      <c r="D474" t="inlineStr">
        <is>
          <t>DALARNAS LÄN</t>
        </is>
      </c>
      <c r="E474" t="inlineStr">
        <is>
          <t>MORA</t>
        </is>
      </c>
      <c r="G474" t="n">
        <v>0.2</v>
      </c>
      <c r="H474" t="n">
        <v>0</v>
      </c>
      <c r="I474" t="n">
        <v>0</v>
      </c>
      <c r="J474" t="n">
        <v>0</v>
      </c>
      <c r="K474" t="n">
        <v>0</v>
      </c>
      <c r="L474" t="n">
        <v>0</v>
      </c>
      <c r="M474" t="n">
        <v>0</v>
      </c>
      <c r="N474" t="n">
        <v>0</v>
      </c>
      <c r="O474" t="n">
        <v>0</v>
      </c>
      <c r="P474" t="n">
        <v>0</v>
      </c>
      <c r="Q474" t="n">
        <v>0</v>
      </c>
      <c r="R474" s="2" t="inlineStr"/>
    </row>
    <row r="475" ht="15" customHeight="1">
      <c r="A475" t="inlineStr">
        <is>
          <t>A 57608-2021</t>
        </is>
      </c>
      <c r="B475" s="1" t="n">
        <v>44484</v>
      </c>
      <c r="C475" s="1" t="n">
        <v>45985</v>
      </c>
      <c r="D475" t="inlineStr">
        <is>
          <t>DALARNAS LÄN</t>
        </is>
      </c>
      <c r="E475" t="inlineStr">
        <is>
          <t>MORA</t>
        </is>
      </c>
      <c r="G475" t="n">
        <v>6.3</v>
      </c>
      <c r="H475" t="n">
        <v>0</v>
      </c>
      <c r="I475" t="n">
        <v>0</v>
      </c>
      <c r="J475" t="n">
        <v>0</v>
      </c>
      <c r="K475" t="n">
        <v>0</v>
      </c>
      <c r="L475" t="n">
        <v>0</v>
      </c>
      <c r="M475" t="n">
        <v>0</v>
      </c>
      <c r="N475" t="n">
        <v>0</v>
      </c>
      <c r="O475" t="n">
        <v>0</v>
      </c>
      <c r="P475" t="n">
        <v>0</v>
      </c>
      <c r="Q475" t="n">
        <v>0</v>
      </c>
      <c r="R475" s="2" t="inlineStr"/>
    </row>
    <row r="476" ht="15" customHeight="1">
      <c r="A476" t="inlineStr">
        <is>
          <t>A 23586-2023</t>
        </is>
      </c>
      <c r="B476" s="1" t="n">
        <v>45077</v>
      </c>
      <c r="C476" s="1" t="n">
        <v>45985</v>
      </c>
      <c r="D476" t="inlineStr">
        <is>
          <t>DALARNAS LÄN</t>
        </is>
      </c>
      <c r="E476" t="inlineStr">
        <is>
          <t>MORA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5644-2024</t>
        </is>
      </c>
      <c r="B477" s="1" t="n">
        <v>45334</v>
      </c>
      <c r="C477" s="1" t="n">
        <v>45985</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54257-2023</t>
        </is>
      </c>
      <c r="B478" s="1" t="n">
        <v>45232.64195601852</v>
      </c>
      <c r="C478" s="1" t="n">
        <v>45985</v>
      </c>
      <c r="D478" t="inlineStr">
        <is>
          <t>DALARNAS LÄN</t>
        </is>
      </c>
      <c r="E478" t="inlineStr">
        <is>
          <t>MORA</t>
        </is>
      </c>
      <c r="G478" t="n">
        <v>4</v>
      </c>
      <c r="H478" t="n">
        <v>0</v>
      </c>
      <c r="I478" t="n">
        <v>0</v>
      </c>
      <c r="J478" t="n">
        <v>0</v>
      </c>
      <c r="K478" t="n">
        <v>0</v>
      </c>
      <c r="L478" t="n">
        <v>0</v>
      </c>
      <c r="M478" t="n">
        <v>0</v>
      </c>
      <c r="N478" t="n">
        <v>0</v>
      </c>
      <c r="O478" t="n">
        <v>0</v>
      </c>
      <c r="P478" t="n">
        <v>0</v>
      </c>
      <c r="Q478" t="n">
        <v>0</v>
      </c>
      <c r="R478" s="2" t="inlineStr"/>
    </row>
    <row r="479" ht="15" customHeight="1">
      <c r="A479" t="inlineStr">
        <is>
          <t>A 37385-2022</t>
        </is>
      </c>
      <c r="B479" s="1" t="n">
        <v>44806</v>
      </c>
      <c r="C479" s="1" t="n">
        <v>45985</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61217-2023</t>
        </is>
      </c>
      <c r="B480" s="1" t="n">
        <v>45264.43802083333</v>
      </c>
      <c r="C480" s="1" t="n">
        <v>45985</v>
      </c>
      <c r="D480" t="inlineStr">
        <is>
          <t>DALARNAS LÄN</t>
        </is>
      </c>
      <c r="E480" t="inlineStr">
        <is>
          <t>MORA</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61218-2023</t>
        </is>
      </c>
      <c r="B481" s="1" t="n">
        <v>45264</v>
      </c>
      <c r="C481" s="1" t="n">
        <v>45985</v>
      </c>
      <c r="D481" t="inlineStr">
        <is>
          <t>DALARNAS LÄN</t>
        </is>
      </c>
      <c r="E481" t="inlineStr">
        <is>
          <t>MORA</t>
        </is>
      </c>
      <c r="F481" t="inlineStr">
        <is>
          <t>Allmännings- och besparingsskogar</t>
        </is>
      </c>
      <c r="G481" t="n">
        <v>2.6</v>
      </c>
      <c r="H481" t="n">
        <v>0</v>
      </c>
      <c r="I481" t="n">
        <v>0</v>
      </c>
      <c r="J481" t="n">
        <v>0</v>
      </c>
      <c r="K481" t="n">
        <v>0</v>
      </c>
      <c r="L481" t="n">
        <v>0</v>
      </c>
      <c r="M481" t="n">
        <v>0</v>
      </c>
      <c r="N481" t="n">
        <v>0</v>
      </c>
      <c r="O481" t="n">
        <v>0</v>
      </c>
      <c r="P481" t="n">
        <v>0</v>
      </c>
      <c r="Q481" t="n">
        <v>0</v>
      </c>
      <c r="R481" s="2" t="inlineStr"/>
    </row>
    <row r="482" ht="15" customHeight="1">
      <c r="A482" t="inlineStr">
        <is>
          <t>A 43641-2022</t>
        </is>
      </c>
      <c r="B482" s="1" t="n">
        <v>44837</v>
      </c>
      <c r="C482" s="1" t="n">
        <v>45985</v>
      </c>
      <c r="D482" t="inlineStr">
        <is>
          <t>DALARNAS LÄN</t>
        </is>
      </c>
      <c r="E482" t="inlineStr">
        <is>
          <t>MORA</t>
        </is>
      </c>
      <c r="G482" t="n">
        <v>1.8</v>
      </c>
      <c r="H482" t="n">
        <v>0</v>
      </c>
      <c r="I482" t="n">
        <v>0</v>
      </c>
      <c r="J482" t="n">
        <v>0</v>
      </c>
      <c r="K482" t="n">
        <v>0</v>
      </c>
      <c r="L482" t="n">
        <v>0</v>
      </c>
      <c r="M482" t="n">
        <v>0</v>
      </c>
      <c r="N482" t="n">
        <v>0</v>
      </c>
      <c r="O482" t="n">
        <v>0</v>
      </c>
      <c r="P482" t="n">
        <v>0</v>
      </c>
      <c r="Q482" t="n">
        <v>0</v>
      </c>
      <c r="R482" s="2" t="inlineStr"/>
    </row>
    <row r="483" ht="15" customHeight="1">
      <c r="A483" t="inlineStr">
        <is>
          <t>A 25749-2023</t>
        </is>
      </c>
      <c r="B483" s="1" t="n">
        <v>45090</v>
      </c>
      <c r="C483" s="1" t="n">
        <v>45985</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35363-2024</t>
        </is>
      </c>
      <c r="B484" s="1" t="n">
        <v>45531.34050925926</v>
      </c>
      <c r="C484" s="1" t="n">
        <v>45985</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58972-2023</t>
        </is>
      </c>
      <c r="B485" s="1" t="n">
        <v>45252</v>
      </c>
      <c r="C485" s="1" t="n">
        <v>45985</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58171-2024</t>
        </is>
      </c>
      <c r="B486" s="1" t="n">
        <v>45632.46545138889</v>
      </c>
      <c r="C486" s="1" t="n">
        <v>45985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33513-2024</t>
        </is>
      </c>
      <c r="B487" s="1" t="n">
        <v>45519.644375</v>
      </c>
      <c r="C487" s="1" t="n">
        <v>45985</v>
      </c>
      <c r="D487" t="inlineStr">
        <is>
          <t>DALARNAS LÄN</t>
        </is>
      </c>
      <c r="E487" t="inlineStr">
        <is>
          <t>MORA</t>
        </is>
      </c>
      <c r="G487" t="n">
        <v>5.9</v>
      </c>
      <c r="H487" t="n">
        <v>0</v>
      </c>
      <c r="I487" t="n">
        <v>0</v>
      </c>
      <c r="J487" t="n">
        <v>0</v>
      </c>
      <c r="K487" t="n">
        <v>0</v>
      </c>
      <c r="L487" t="n">
        <v>0</v>
      </c>
      <c r="M487" t="n">
        <v>0</v>
      </c>
      <c r="N487" t="n">
        <v>0</v>
      </c>
      <c r="O487" t="n">
        <v>0</v>
      </c>
      <c r="P487" t="n">
        <v>0</v>
      </c>
      <c r="Q487" t="n">
        <v>0</v>
      </c>
      <c r="R487" s="2" t="inlineStr"/>
    </row>
    <row r="488" ht="15" customHeight="1">
      <c r="A488" t="inlineStr">
        <is>
          <t>A 39856-2024</t>
        </is>
      </c>
      <c r="B488" s="1" t="n">
        <v>45553.44084490741</v>
      </c>
      <c r="C488" s="1" t="n">
        <v>45985</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59182-2023</t>
        </is>
      </c>
      <c r="B489" s="1" t="n">
        <v>45253</v>
      </c>
      <c r="C489" s="1" t="n">
        <v>45985</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501-2024</t>
        </is>
      </c>
      <c r="B490" s="1" t="n">
        <v>45299</v>
      </c>
      <c r="C490" s="1" t="n">
        <v>45985</v>
      </c>
      <c r="D490" t="inlineStr">
        <is>
          <t>DALARNAS LÄN</t>
        </is>
      </c>
      <c r="E490" t="inlineStr">
        <is>
          <t>MORA</t>
        </is>
      </c>
      <c r="G490" t="n">
        <v>2.5</v>
      </c>
      <c r="H490" t="n">
        <v>0</v>
      </c>
      <c r="I490" t="n">
        <v>0</v>
      </c>
      <c r="J490" t="n">
        <v>0</v>
      </c>
      <c r="K490" t="n">
        <v>0</v>
      </c>
      <c r="L490" t="n">
        <v>0</v>
      </c>
      <c r="M490" t="n">
        <v>0</v>
      </c>
      <c r="N490" t="n">
        <v>0</v>
      </c>
      <c r="O490" t="n">
        <v>0</v>
      </c>
      <c r="P490" t="n">
        <v>0</v>
      </c>
      <c r="Q490" t="n">
        <v>0</v>
      </c>
      <c r="R490" s="2" t="inlineStr"/>
    </row>
    <row r="491" ht="15" customHeight="1">
      <c r="A491" t="inlineStr">
        <is>
          <t>A 64327-2023</t>
        </is>
      </c>
      <c r="B491" s="1" t="n">
        <v>45280</v>
      </c>
      <c r="C491" s="1" t="n">
        <v>45985</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17494-2025</t>
        </is>
      </c>
      <c r="B492" s="1" t="n">
        <v>45757.52033564815</v>
      </c>
      <c r="C492" s="1" t="n">
        <v>45985</v>
      </c>
      <c r="D492" t="inlineStr">
        <is>
          <t>DALARNAS LÄN</t>
        </is>
      </c>
      <c r="E492" t="inlineStr">
        <is>
          <t>MORA</t>
        </is>
      </c>
      <c r="G492" t="n">
        <v>5.3</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44903.6605324074</v>
      </c>
      <c r="C493" s="1" t="n">
        <v>45985</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12987-2024</t>
        </is>
      </c>
      <c r="B494" s="1" t="n">
        <v>45385.55375</v>
      </c>
      <c r="C494" s="1" t="n">
        <v>45985</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29188-2023</t>
        </is>
      </c>
      <c r="B495" s="1" t="n">
        <v>45105.54270833333</v>
      </c>
      <c r="C495" s="1" t="n">
        <v>45985</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442-2024</t>
        </is>
      </c>
      <c r="B496" s="1" t="n">
        <v>45296.60353009259</v>
      </c>
      <c r="C496" s="1" t="n">
        <v>45985</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15172-2025</t>
        </is>
      </c>
      <c r="B497" s="1" t="n">
        <v>45744.50722222222</v>
      </c>
      <c r="C497" s="1" t="n">
        <v>45985</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17278-2025</t>
        </is>
      </c>
      <c r="B498" s="1" t="n">
        <v>45756.56131944444</v>
      </c>
      <c r="C498" s="1" t="n">
        <v>45985</v>
      </c>
      <c r="D498" t="inlineStr">
        <is>
          <t>DALARNAS LÄN</t>
        </is>
      </c>
      <c r="E498" t="inlineStr">
        <is>
          <t>MORA</t>
        </is>
      </c>
      <c r="G498" t="n">
        <v>3</v>
      </c>
      <c r="H498" t="n">
        <v>0</v>
      </c>
      <c r="I498" t="n">
        <v>0</v>
      </c>
      <c r="J498" t="n">
        <v>0</v>
      </c>
      <c r="K498" t="n">
        <v>0</v>
      </c>
      <c r="L498" t="n">
        <v>0</v>
      </c>
      <c r="M498" t="n">
        <v>0</v>
      </c>
      <c r="N498" t="n">
        <v>0</v>
      </c>
      <c r="O498" t="n">
        <v>0</v>
      </c>
      <c r="P498" t="n">
        <v>0</v>
      </c>
      <c r="Q498" t="n">
        <v>0</v>
      </c>
      <c r="R498" s="2" t="inlineStr"/>
    </row>
    <row r="499" ht="15" customHeight="1">
      <c r="A499" t="inlineStr">
        <is>
          <t>A 33627-2024</t>
        </is>
      </c>
      <c r="B499" s="1" t="n">
        <v>45520</v>
      </c>
      <c r="C499" s="1" t="n">
        <v>45985</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60674-2023</t>
        </is>
      </c>
      <c r="B500" s="1" t="n">
        <v>45260.46609953704</v>
      </c>
      <c r="C500" s="1" t="n">
        <v>45985</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61293-2022</t>
        </is>
      </c>
      <c r="B501" s="1" t="n">
        <v>44915.62751157407</v>
      </c>
      <c r="C501" s="1" t="n">
        <v>45985</v>
      </c>
      <c r="D501" t="inlineStr">
        <is>
          <t>DALARNAS LÄN</t>
        </is>
      </c>
      <c r="E501" t="inlineStr">
        <is>
          <t>MORA</t>
        </is>
      </c>
      <c r="G501" t="n">
        <v>0.3</v>
      </c>
      <c r="H501" t="n">
        <v>0</v>
      </c>
      <c r="I501" t="n">
        <v>0</v>
      </c>
      <c r="J501" t="n">
        <v>0</v>
      </c>
      <c r="K501" t="n">
        <v>0</v>
      </c>
      <c r="L501" t="n">
        <v>0</v>
      </c>
      <c r="M501" t="n">
        <v>0</v>
      </c>
      <c r="N501" t="n">
        <v>0</v>
      </c>
      <c r="O501" t="n">
        <v>0</v>
      </c>
      <c r="P501" t="n">
        <v>0</v>
      </c>
      <c r="Q501" t="n">
        <v>0</v>
      </c>
      <c r="R501" s="2" t="inlineStr"/>
    </row>
    <row r="502" ht="15" customHeight="1">
      <c r="A502" t="inlineStr">
        <is>
          <t>A 60360-2023</t>
        </is>
      </c>
      <c r="B502" s="1" t="n">
        <v>45259</v>
      </c>
      <c r="C502" s="1" t="n">
        <v>45985</v>
      </c>
      <c r="D502" t="inlineStr">
        <is>
          <t>DALARNAS LÄN</t>
        </is>
      </c>
      <c r="E502" t="inlineStr">
        <is>
          <t>MORA</t>
        </is>
      </c>
      <c r="G502" t="n">
        <v>2.9</v>
      </c>
      <c r="H502" t="n">
        <v>0</v>
      </c>
      <c r="I502" t="n">
        <v>0</v>
      </c>
      <c r="J502" t="n">
        <v>0</v>
      </c>
      <c r="K502" t="n">
        <v>0</v>
      </c>
      <c r="L502" t="n">
        <v>0</v>
      </c>
      <c r="M502" t="n">
        <v>0</v>
      </c>
      <c r="N502" t="n">
        <v>0</v>
      </c>
      <c r="O502" t="n">
        <v>0</v>
      </c>
      <c r="P502" t="n">
        <v>0</v>
      </c>
      <c r="Q502" t="n">
        <v>0</v>
      </c>
      <c r="R502" s="2" t="inlineStr"/>
    </row>
    <row r="503" ht="15" customHeight="1">
      <c r="A503" t="inlineStr">
        <is>
          <t>A 18139-2025</t>
        </is>
      </c>
      <c r="B503" s="1" t="n">
        <v>45761.60459490741</v>
      </c>
      <c r="C503" s="1" t="n">
        <v>45985</v>
      </c>
      <c r="D503" t="inlineStr">
        <is>
          <t>DALARNAS LÄN</t>
        </is>
      </c>
      <c r="E503" t="inlineStr">
        <is>
          <t>MORA</t>
        </is>
      </c>
      <c r="F503" t="inlineStr">
        <is>
          <t>Bergvik skog öst AB</t>
        </is>
      </c>
      <c r="G503" t="n">
        <v>3</v>
      </c>
      <c r="H503" t="n">
        <v>0</v>
      </c>
      <c r="I503" t="n">
        <v>0</v>
      </c>
      <c r="J503" t="n">
        <v>0</v>
      </c>
      <c r="K503" t="n">
        <v>0</v>
      </c>
      <c r="L503" t="n">
        <v>0</v>
      </c>
      <c r="M503" t="n">
        <v>0</v>
      </c>
      <c r="N503" t="n">
        <v>0</v>
      </c>
      <c r="O503" t="n">
        <v>0</v>
      </c>
      <c r="P503" t="n">
        <v>0</v>
      </c>
      <c r="Q503" t="n">
        <v>0</v>
      </c>
      <c r="R503" s="2" t="inlineStr"/>
    </row>
    <row r="504" ht="15" customHeight="1">
      <c r="A504" t="inlineStr">
        <is>
          <t>A 25499-2024</t>
        </is>
      </c>
      <c r="B504" s="1" t="n">
        <v>45463</v>
      </c>
      <c r="C504" s="1" t="n">
        <v>45985</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61405-2023</t>
        </is>
      </c>
      <c r="B505" s="1" t="n">
        <v>45264.65987268519</v>
      </c>
      <c r="C505" s="1" t="n">
        <v>45985</v>
      </c>
      <c r="D505" t="inlineStr">
        <is>
          <t>DALARNAS LÄN</t>
        </is>
      </c>
      <c r="E505" t="inlineStr">
        <is>
          <t>MORA</t>
        </is>
      </c>
      <c r="G505" t="n">
        <v>0.4</v>
      </c>
      <c r="H505" t="n">
        <v>0</v>
      </c>
      <c r="I505" t="n">
        <v>0</v>
      </c>
      <c r="J505" t="n">
        <v>0</v>
      </c>
      <c r="K505" t="n">
        <v>0</v>
      </c>
      <c r="L505" t="n">
        <v>0</v>
      </c>
      <c r="M505" t="n">
        <v>0</v>
      </c>
      <c r="N505" t="n">
        <v>0</v>
      </c>
      <c r="O505" t="n">
        <v>0</v>
      </c>
      <c r="P505" t="n">
        <v>0</v>
      </c>
      <c r="Q505" t="n">
        <v>0</v>
      </c>
      <c r="R505" s="2" t="inlineStr"/>
    </row>
    <row r="506" ht="15" customHeight="1">
      <c r="A506" t="inlineStr">
        <is>
          <t>A 57475-2022</t>
        </is>
      </c>
      <c r="B506" s="1" t="n">
        <v>44896</v>
      </c>
      <c r="C506" s="1" t="n">
        <v>45985</v>
      </c>
      <c r="D506" t="inlineStr">
        <is>
          <t>DALARNAS LÄN</t>
        </is>
      </c>
      <c r="E506" t="inlineStr">
        <is>
          <t>MORA</t>
        </is>
      </c>
      <c r="G506" t="n">
        <v>5.7</v>
      </c>
      <c r="H506" t="n">
        <v>0</v>
      </c>
      <c r="I506" t="n">
        <v>0</v>
      </c>
      <c r="J506" t="n">
        <v>0</v>
      </c>
      <c r="K506" t="n">
        <v>0</v>
      </c>
      <c r="L506" t="n">
        <v>0</v>
      </c>
      <c r="M506" t="n">
        <v>0</v>
      </c>
      <c r="N506" t="n">
        <v>0</v>
      </c>
      <c r="O506" t="n">
        <v>0</v>
      </c>
      <c r="P506" t="n">
        <v>0</v>
      </c>
      <c r="Q506" t="n">
        <v>0</v>
      </c>
      <c r="R506" s="2" t="inlineStr"/>
    </row>
    <row r="507" ht="15" customHeight="1">
      <c r="A507" t="inlineStr">
        <is>
          <t>A 46414-2024</t>
        </is>
      </c>
      <c r="B507" s="1" t="n">
        <v>45582.45226851852</v>
      </c>
      <c r="C507" s="1" t="n">
        <v>45985</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46417-2024</t>
        </is>
      </c>
      <c r="B508" s="1" t="n">
        <v>45582.45449074074</v>
      </c>
      <c r="C508" s="1" t="n">
        <v>45985</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17280-2025</t>
        </is>
      </c>
      <c r="B509" s="1" t="n">
        <v>45756</v>
      </c>
      <c r="C509" s="1" t="n">
        <v>45985</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61270-2024</t>
        </is>
      </c>
      <c r="B510" s="1" t="n">
        <v>45645.74694444444</v>
      </c>
      <c r="C510" s="1" t="n">
        <v>45985</v>
      </c>
      <c r="D510" t="inlineStr">
        <is>
          <t>DALARNAS LÄN</t>
        </is>
      </c>
      <c r="E510" t="inlineStr">
        <is>
          <t>MORA</t>
        </is>
      </c>
      <c r="G510" t="n">
        <v>5.1</v>
      </c>
      <c r="H510" t="n">
        <v>0</v>
      </c>
      <c r="I510" t="n">
        <v>0</v>
      </c>
      <c r="J510" t="n">
        <v>0</v>
      </c>
      <c r="K510" t="n">
        <v>0</v>
      </c>
      <c r="L510" t="n">
        <v>0</v>
      </c>
      <c r="M510" t="n">
        <v>0</v>
      </c>
      <c r="N510" t="n">
        <v>0</v>
      </c>
      <c r="O510" t="n">
        <v>0</v>
      </c>
      <c r="P510" t="n">
        <v>0</v>
      </c>
      <c r="Q510" t="n">
        <v>0</v>
      </c>
      <c r="R510" s="2" t="inlineStr"/>
    </row>
    <row r="511" ht="15" customHeight="1">
      <c r="A511" t="inlineStr">
        <is>
          <t>A 7116-2024</t>
        </is>
      </c>
      <c r="B511" s="1" t="n">
        <v>45343.95445601852</v>
      </c>
      <c r="C511" s="1" t="n">
        <v>45985</v>
      </c>
      <c r="D511" t="inlineStr">
        <is>
          <t>DALARNAS LÄN</t>
        </is>
      </c>
      <c r="E511" t="inlineStr">
        <is>
          <t>MORA</t>
        </is>
      </c>
      <c r="G511" t="n">
        <v>0.3</v>
      </c>
      <c r="H511" t="n">
        <v>0</v>
      </c>
      <c r="I511" t="n">
        <v>0</v>
      </c>
      <c r="J511" t="n">
        <v>0</v>
      </c>
      <c r="K511" t="n">
        <v>0</v>
      </c>
      <c r="L511" t="n">
        <v>0</v>
      </c>
      <c r="M511" t="n">
        <v>0</v>
      </c>
      <c r="N511" t="n">
        <v>0</v>
      </c>
      <c r="O511" t="n">
        <v>0</v>
      </c>
      <c r="P511" t="n">
        <v>0</v>
      </c>
      <c r="Q511" t="n">
        <v>0</v>
      </c>
      <c r="R511" s="2" t="inlineStr"/>
    </row>
    <row r="512" ht="15" customHeight="1">
      <c r="A512" t="inlineStr">
        <is>
          <t>A 59995-2023</t>
        </is>
      </c>
      <c r="B512" s="1" t="n">
        <v>45254</v>
      </c>
      <c r="C512" s="1" t="n">
        <v>45985</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13479-2024</t>
        </is>
      </c>
      <c r="B513" s="1" t="n">
        <v>45387.5900925926</v>
      </c>
      <c r="C513" s="1" t="n">
        <v>45985</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41812-2024</t>
        </is>
      </c>
      <c r="B514" s="1" t="n">
        <v>45561.3771412037</v>
      </c>
      <c r="C514" s="1" t="n">
        <v>45985</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42085-2024</t>
        </is>
      </c>
      <c r="B515" s="1" t="n">
        <v>45562.33179398148</v>
      </c>
      <c r="C515" s="1" t="n">
        <v>45985</v>
      </c>
      <c r="D515" t="inlineStr">
        <is>
          <t>DALARNAS LÄN</t>
        </is>
      </c>
      <c r="E515" t="inlineStr">
        <is>
          <t>MORA</t>
        </is>
      </c>
      <c r="G515" t="n">
        <v>4.9</v>
      </c>
      <c r="H515" t="n">
        <v>0</v>
      </c>
      <c r="I515" t="n">
        <v>0</v>
      </c>
      <c r="J515" t="n">
        <v>0</v>
      </c>
      <c r="K515" t="n">
        <v>0</v>
      </c>
      <c r="L515" t="n">
        <v>0</v>
      </c>
      <c r="M515" t="n">
        <v>0</v>
      </c>
      <c r="N515" t="n">
        <v>0</v>
      </c>
      <c r="O515" t="n">
        <v>0</v>
      </c>
      <c r="P515" t="n">
        <v>0</v>
      </c>
      <c r="Q515" t="n">
        <v>0</v>
      </c>
      <c r="R515" s="2" t="inlineStr"/>
    </row>
    <row r="516" ht="15" customHeight="1">
      <c r="A516" t="inlineStr">
        <is>
          <t>A 60465-2023</t>
        </is>
      </c>
      <c r="B516" s="1" t="n">
        <v>45259.57872685185</v>
      </c>
      <c r="C516" s="1" t="n">
        <v>45985</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33676-2023</t>
        </is>
      </c>
      <c r="B517" s="1" t="n">
        <v>45132.6291550926</v>
      </c>
      <c r="C517" s="1" t="n">
        <v>45985</v>
      </c>
      <c r="D517" t="inlineStr">
        <is>
          <t>DALARNAS LÄN</t>
        </is>
      </c>
      <c r="E517" t="inlineStr">
        <is>
          <t>MORA</t>
        </is>
      </c>
      <c r="F517" t="inlineStr">
        <is>
          <t>Bergvik skog öst AB</t>
        </is>
      </c>
      <c r="G517" t="n">
        <v>2.7</v>
      </c>
      <c r="H517" t="n">
        <v>0</v>
      </c>
      <c r="I517" t="n">
        <v>0</v>
      </c>
      <c r="J517" t="n">
        <v>0</v>
      </c>
      <c r="K517" t="n">
        <v>0</v>
      </c>
      <c r="L517" t="n">
        <v>0</v>
      </c>
      <c r="M517" t="n">
        <v>0</v>
      </c>
      <c r="N517" t="n">
        <v>0</v>
      </c>
      <c r="O517" t="n">
        <v>0</v>
      </c>
      <c r="P517" t="n">
        <v>0</v>
      </c>
      <c r="Q517" t="n">
        <v>0</v>
      </c>
      <c r="R517" s="2" t="inlineStr"/>
    </row>
    <row r="518" ht="15" customHeight="1">
      <c r="A518" t="inlineStr">
        <is>
          <t>A 29193-2023</t>
        </is>
      </c>
      <c r="B518" s="1" t="n">
        <v>45105.54791666667</v>
      </c>
      <c r="C518" s="1" t="n">
        <v>45985</v>
      </c>
      <c r="D518" t="inlineStr">
        <is>
          <t>DALARNAS LÄN</t>
        </is>
      </c>
      <c r="E518" t="inlineStr">
        <is>
          <t>MORA</t>
        </is>
      </c>
      <c r="G518" t="n">
        <v>0.4</v>
      </c>
      <c r="H518" t="n">
        <v>0</v>
      </c>
      <c r="I518" t="n">
        <v>0</v>
      </c>
      <c r="J518" t="n">
        <v>0</v>
      </c>
      <c r="K518" t="n">
        <v>0</v>
      </c>
      <c r="L518" t="n">
        <v>0</v>
      </c>
      <c r="M518" t="n">
        <v>0</v>
      </c>
      <c r="N518" t="n">
        <v>0</v>
      </c>
      <c r="O518" t="n">
        <v>0</v>
      </c>
      <c r="P518" t="n">
        <v>0</v>
      </c>
      <c r="Q518" t="n">
        <v>0</v>
      </c>
      <c r="R518" s="2" t="inlineStr"/>
    </row>
    <row r="519" ht="15" customHeight="1">
      <c r="A519" t="inlineStr">
        <is>
          <t>A 35325-2024</t>
        </is>
      </c>
      <c r="B519" s="1" t="n">
        <v>45530.71158564815</v>
      </c>
      <c r="C519" s="1" t="n">
        <v>45985</v>
      </c>
      <c r="D519" t="inlineStr">
        <is>
          <t>DALARNAS LÄN</t>
        </is>
      </c>
      <c r="E519" t="inlineStr">
        <is>
          <t>MORA</t>
        </is>
      </c>
      <c r="G519" t="n">
        <v>5</v>
      </c>
      <c r="H519" t="n">
        <v>0</v>
      </c>
      <c r="I519" t="n">
        <v>0</v>
      </c>
      <c r="J519" t="n">
        <v>0</v>
      </c>
      <c r="K519" t="n">
        <v>0</v>
      </c>
      <c r="L519" t="n">
        <v>0</v>
      </c>
      <c r="M519" t="n">
        <v>0</v>
      </c>
      <c r="N519" t="n">
        <v>0</v>
      </c>
      <c r="O519" t="n">
        <v>0</v>
      </c>
      <c r="P519" t="n">
        <v>0</v>
      </c>
      <c r="Q519" t="n">
        <v>0</v>
      </c>
      <c r="R519" s="2" t="inlineStr"/>
    </row>
    <row r="520" ht="15" customHeight="1">
      <c r="A520" t="inlineStr">
        <is>
          <t>A 6371-2022</t>
        </is>
      </c>
      <c r="B520" s="1" t="n">
        <v>44600</v>
      </c>
      <c r="C520" s="1" t="n">
        <v>45985</v>
      </c>
      <c r="D520" t="inlineStr">
        <is>
          <t>DALARNAS LÄN</t>
        </is>
      </c>
      <c r="E520" t="inlineStr">
        <is>
          <t>MORA</t>
        </is>
      </c>
      <c r="G520" t="n">
        <v>4.6</v>
      </c>
      <c r="H520" t="n">
        <v>0</v>
      </c>
      <c r="I520" t="n">
        <v>0</v>
      </c>
      <c r="J520" t="n">
        <v>0</v>
      </c>
      <c r="K520" t="n">
        <v>0</v>
      </c>
      <c r="L520" t="n">
        <v>0</v>
      </c>
      <c r="M520" t="n">
        <v>0</v>
      </c>
      <c r="N520" t="n">
        <v>0</v>
      </c>
      <c r="O520" t="n">
        <v>0</v>
      </c>
      <c r="P520" t="n">
        <v>0</v>
      </c>
      <c r="Q520" t="n">
        <v>0</v>
      </c>
      <c r="R520" s="2" t="inlineStr"/>
    </row>
    <row r="521" ht="15" customHeight="1">
      <c r="A521" t="inlineStr">
        <is>
          <t>A 69519-2020</t>
        </is>
      </c>
      <c r="B521" s="1" t="n">
        <v>44194</v>
      </c>
      <c r="C521" s="1" t="n">
        <v>45985</v>
      </c>
      <c r="D521" t="inlineStr">
        <is>
          <t>DALARNAS LÄN</t>
        </is>
      </c>
      <c r="E521" t="inlineStr">
        <is>
          <t>MORA</t>
        </is>
      </c>
      <c r="G521" t="n">
        <v>0.4</v>
      </c>
      <c r="H521" t="n">
        <v>0</v>
      </c>
      <c r="I521" t="n">
        <v>0</v>
      </c>
      <c r="J521" t="n">
        <v>0</v>
      </c>
      <c r="K521" t="n">
        <v>0</v>
      </c>
      <c r="L521" t="n">
        <v>0</v>
      </c>
      <c r="M521" t="n">
        <v>0</v>
      </c>
      <c r="N521" t="n">
        <v>0</v>
      </c>
      <c r="O521" t="n">
        <v>0</v>
      </c>
      <c r="P521" t="n">
        <v>0</v>
      </c>
      <c r="Q521" t="n">
        <v>0</v>
      </c>
      <c r="R521" s="2" t="inlineStr"/>
    </row>
    <row r="522" ht="15" customHeight="1">
      <c r="A522" t="inlineStr">
        <is>
          <t>A 64093-2023</t>
        </is>
      </c>
      <c r="B522" s="1" t="n">
        <v>45279</v>
      </c>
      <c r="C522" s="1" t="n">
        <v>45985</v>
      </c>
      <c r="D522" t="inlineStr">
        <is>
          <t>DALARNAS LÄN</t>
        </is>
      </c>
      <c r="E522" t="inlineStr">
        <is>
          <t>MORA</t>
        </is>
      </c>
      <c r="G522" t="n">
        <v>0.9</v>
      </c>
      <c r="H522" t="n">
        <v>0</v>
      </c>
      <c r="I522" t="n">
        <v>0</v>
      </c>
      <c r="J522" t="n">
        <v>0</v>
      </c>
      <c r="K522" t="n">
        <v>0</v>
      </c>
      <c r="L522" t="n">
        <v>0</v>
      </c>
      <c r="M522" t="n">
        <v>0</v>
      </c>
      <c r="N522" t="n">
        <v>0</v>
      </c>
      <c r="O522" t="n">
        <v>0</v>
      </c>
      <c r="P522" t="n">
        <v>0</v>
      </c>
      <c r="Q522" t="n">
        <v>0</v>
      </c>
      <c r="R522" s="2" t="inlineStr"/>
    </row>
    <row r="523" ht="15" customHeight="1">
      <c r="A523" t="inlineStr">
        <is>
          <t>A 28832-2023</t>
        </is>
      </c>
      <c r="B523" s="1" t="n">
        <v>45104.40493055555</v>
      </c>
      <c r="C523" s="1" t="n">
        <v>45985</v>
      </c>
      <c r="D523" t="inlineStr">
        <is>
          <t>DALARNAS LÄN</t>
        </is>
      </c>
      <c r="E523" t="inlineStr">
        <is>
          <t>MORA</t>
        </is>
      </c>
      <c r="F523" t="inlineStr">
        <is>
          <t>Bergvik skog öst AB</t>
        </is>
      </c>
      <c r="G523" t="n">
        <v>2</v>
      </c>
      <c r="H523" t="n">
        <v>0</v>
      </c>
      <c r="I523" t="n">
        <v>0</v>
      </c>
      <c r="J523" t="n">
        <v>0</v>
      </c>
      <c r="K523" t="n">
        <v>0</v>
      </c>
      <c r="L523" t="n">
        <v>0</v>
      </c>
      <c r="M523" t="n">
        <v>0</v>
      </c>
      <c r="N523" t="n">
        <v>0</v>
      </c>
      <c r="O523" t="n">
        <v>0</v>
      </c>
      <c r="P523" t="n">
        <v>0</v>
      </c>
      <c r="Q523" t="n">
        <v>0</v>
      </c>
      <c r="R523" s="2" t="inlineStr"/>
    </row>
    <row r="524" ht="15" customHeight="1">
      <c r="A524" t="inlineStr">
        <is>
          <t>A 37710-2023</t>
        </is>
      </c>
      <c r="B524" s="1" t="n">
        <v>45159.59186342593</v>
      </c>
      <c r="C524" s="1" t="n">
        <v>45985</v>
      </c>
      <c r="D524" t="inlineStr">
        <is>
          <t>DALARNAS LÄN</t>
        </is>
      </c>
      <c r="E524" t="inlineStr">
        <is>
          <t>MORA</t>
        </is>
      </c>
      <c r="G524" t="n">
        <v>1.9</v>
      </c>
      <c r="H524" t="n">
        <v>0</v>
      </c>
      <c r="I524" t="n">
        <v>0</v>
      </c>
      <c r="J524" t="n">
        <v>0</v>
      </c>
      <c r="K524" t="n">
        <v>0</v>
      </c>
      <c r="L524" t="n">
        <v>0</v>
      </c>
      <c r="M524" t="n">
        <v>0</v>
      </c>
      <c r="N524" t="n">
        <v>0</v>
      </c>
      <c r="O524" t="n">
        <v>0</v>
      </c>
      <c r="P524" t="n">
        <v>0</v>
      </c>
      <c r="Q524" t="n">
        <v>0</v>
      </c>
      <c r="R524" s="2" t="inlineStr"/>
    </row>
    <row r="525" ht="15" customHeight="1">
      <c r="A525" t="inlineStr">
        <is>
          <t>A 27188-2023</t>
        </is>
      </c>
      <c r="B525" s="1" t="n">
        <v>45096</v>
      </c>
      <c r="C525" s="1" t="n">
        <v>45985</v>
      </c>
      <c r="D525" t="inlineStr">
        <is>
          <t>DALARNAS LÄN</t>
        </is>
      </c>
      <c r="E525" t="inlineStr">
        <is>
          <t>MORA</t>
        </is>
      </c>
      <c r="G525" t="n">
        <v>4.8</v>
      </c>
      <c r="H525" t="n">
        <v>0</v>
      </c>
      <c r="I525" t="n">
        <v>0</v>
      </c>
      <c r="J525" t="n">
        <v>0</v>
      </c>
      <c r="K525" t="n">
        <v>0</v>
      </c>
      <c r="L525" t="n">
        <v>0</v>
      </c>
      <c r="M525" t="n">
        <v>0</v>
      </c>
      <c r="N525" t="n">
        <v>0</v>
      </c>
      <c r="O525" t="n">
        <v>0</v>
      </c>
      <c r="P525" t="n">
        <v>0</v>
      </c>
      <c r="Q525" t="n">
        <v>0</v>
      </c>
      <c r="R525" s="2" t="inlineStr"/>
    </row>
    <row r="526" ht="15" customHeight="1">
      <c r="A526" t="inlineStr">
        <is>
          <t>A 31395-2024</t>
        </is>
      </c>
      <c r="B526" s="1" t="n">
        <v>45505.47716435185</v>
      </c>
      <c r="C526" s="1" t="n">
        <v>45985</v>
      </c>
      <c r="D526" t="inlineStr">
        <is>
          <t>DALARNAS LÄN</t>
        </is>
      </c>
      <c r="E526" t="inlineStr">
        <is>
          <t>MORA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38055-2024</t>
        </is>
      </c>
      <c r="B527" s="1" t="n">
        <v>45544</v>
      </c>
      <c r="C527" s="1" t="n">
        <v>45985</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35327-2024</t>
        </is>
      </c>
      <c r="B528" s="1" t="n">
        <v>45530.71334490741</v>
      </c>
      <c r="C528" s="1" t="n">
        <v>45985</v>
      </c>
      <c r="D528" t="inlineStr">
        <is>
          <t>DALARNAS LÄN</t>
        </is>
      </c>
      <c r="E528" t="inlineStr">
        <is>
          <t>MORA</t>
        </is>
      </c>
      <c r="G528" t="n">
        <v>5</v>
      </c>
      <c r="H528" t="n">
        <v>0</v>
      </c>
      <c r="I528" t="n">
        <v>0</v>
      </c>
      <c r="J528" t="n">
        <v>0</v>
      </c>
      <c r="K528" t="n">
        <v>0</v>
      </c>
      <c r="L528" t="n">
        <v>0</v>
      </c>
      <c r="M528" t="n">
        <v>0</v>
      </c>
      <c r="N528" t="n">
        <v>0</v>
      </c>
      <c r="O528" t="n">
        <v>0</v>
      </c>
      <c r="P528" t="n">
        <v>0</v>
      </c>
      <c r="Q528" t="n">
        <v>0</v>
      </c>
      <c r="R528" s="2" t="inlineStr"/>
    </row>
    <row r="529" ht="15" customHeight="1">
      <c r="A529" t="inlineStr">
        <is>
          <t>A 5486-2023</t>
        </is>
      </c>
      <c r="B529" s="1" t="n">
        <v>44957</v>
      </c>
      <c r="C529" s="1" t="n">
        <v>45985</v>
      </c>
      <c r="D529" t="inlineStr">
        <is>
          <t>DALARNAS LÄN</t>
        </is>
      </c>
      <c r="E529" t="inlineStr">
        <is>
          <t>MORA</t>
        </is>
      </c>
      <c r="G529" t="n">
        <v>3.2</v>
      </c>
      <c r="H529" t="n">
        <v>0</v>
      </c>
      <c r="I529" t="n">
        <v>0</v>
      </c>
      <c r="J529" t="n">
        <v>0</v>
      </c>
      <c r="K529" t="n">
        <v>0</v>
      </c>
      <c r="L529" t="n">
        <v>0</v>
      </c>
      <c r="M529" t="n">
        <v>0</v>
      </c>
      <c r="N529" t="n">
        <v>0</v>
      </c>
      <c r="O529" t="n">
        <v>0</v>
      </c>
      <c r="P529" t="n">
        <v>0</v>
      </c>
      <c r="Q529" t="n">
        <v>0</v>
      </c>
      <c r="R529" s="2" t="inlineStr"/>
    </row>
    <row r="530" ht="15" customHeight="1">
      <c r="A530" t="inlineStr">
        <is>
          <t>A 46129-2024</t>
        </is>
      </c>
      <c r="B530" s="1" t="n">
        <v>45581.43337962963</v>
      </c>
      <c r="C530" s="1" t="n">
        <v>45985</v>
      </c>
      <c r="D530" t="inlineStr">
        <is>
          <t>DALARNAS LÄN</t>
        </is>
      </c>
      <c r="E530" t="inlineStr">
        <is>
          <t>MORA</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28934-2023</t>
        </is>
      </c>
      <c r="B531" s="1" t="n">
        <v>45104</v>
      </c>
      <c r="C531" s="1" t="n">
        <v>45985</v>
      </c>
      <c r="D531" t="inlineStr">
        <is>
          <t>DALARNAS LÄN</t>
        </is>
      </c>
      <c r="E531" t="inlineStr">
        <is>
          <t>MORA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31929-2024</t>
        </is>
      </c>
      <c r="B532" s="1" t="n">
        <v>45510.40587962963</v>
      </c>
      <c r="C532" s="1" t="n">
        <v>45985</v>
      </c>
      <c r="D532" t="inlineStr">
        <is>
          <t>DALARNAS LÄN</t>
        </is>
      </c>
      <c r="E532" t="inlineStr">
        <is>
          <t>MORA</t>
        </is>
      </c>
      <c r="G532" t="n">
        <v>10.8</v>
      </c>
      <c r="H532" t="n">
        <v>0</v>
      </c>
      <c r="I532" t="n">
        <v>0</v>
      </c>
      <c r="J532" t="n">
        <v>0</v>
      </c>
      <c r="K532" t="n">
        <v>0</v>
      </c>
      <c r="L532" t="n">
        <v>0</v>
      </c>
      <c r="M532" t="n">
        <v>0</v>
      </c>
      <c r="N532" t="n">
        <v>0</v>
      </c>
      <c r="O532" t="n">
        <v>0</v>
      </c>
      <c r="P532" t="n">
        <v>0</v>
      </c>
      <c r="Q532" t="n">
        <v>0</v>
      </c>
      <c r="R532" s="2" t="inlineStr"/>
    </row>
    <row r="533" ht="15" customHeight="1">
      <c r="A533" t="inlineStr">
        <is>
          <t>A 36600-2023</t>
        </is>
      </c>
      <c r="B533" s="1" t="n">
        <v>45153</v>
      </c>
      <c r="C533" s="1" t="n">
        <v>45985</v>
      </c>
      <c r="D533" t="inlineStr">
        <is>
          <t>DALARNAS LÄN</t>
        </is>
      </c>
      <c r="E533" t="inlineStr">
        <is>
          <t>MORA</t>
        </is>
      </c>
      <c r="G533" t="n">
        <v>7.3</v>
      </c>
      <c r="H533" t="n">
        <v>0</v>
      </c>
      <c r="I533" t="n">
        <v>0</v>
      </c>
      <c r="J533" t="n">
        <v>0</v>
      </c>
      <c r="K533" t="n">
        <v>0</v>
      </c>
      <c r="L533" t="n">
        <v>0</v>
      </c>
      <c r="M533" t="n">
        <v>0</v>
      </c>
      <c r="N533" t="n">
        <v>0</v>
      </c>
      <c r="O533" t="n">
        <v>0</v>
      </c>
      <c r="P533" t="n">
        <v>0</v>
      </c>
      <c r="Q533" t="n">
        <v>0</v>
      </c>
      <c r="R533" s="2" t="inlineStr"/>
    </row>
    <row r="534" ht="15" customHeight="1">
      <c r="A534" t="inlineStr">
        <is>
          <t>A 42943-2024</t>
        </is>
      </c>
      <c r="B534" s="1" t="n">
        <v>45567.35359953704</v>
      </c>
      <c r="C534" s="1" t="n">
        <v>45985</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4489-2022</t>
        </is>
      </c>
      <c r="B535" s="1" t="n">
        <v>44589</v>
      </c>
      <c r="C535" s="1" t="n">
        <v>45985</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5418-2025</t>
        </is>
      </c>
      <c r="B536" s="1" t="n">
        <v>45692.68561342593</v>
      </c>
      <c r="C536" s="1" t="n">
        <v>45985</v>
      </c>
      <c r="D536" t="inlineStr">
        <is>
          <t>DALARNAS LÄN</t>
        </is>
      </c>
      <c r="E536" t="inlineStr">
        <is>
          <t>MORA</t>
        </is>
      </c>
      <c r="G536" t="n">
        <v>0.9</v>
      </c>
      <c r="H536" t="n">
        <v>0</v>
      </c>
      <c r="I536" t="n">
        <v>0</v>
      </c>
      <c r="J536" t="n">
        <v>0</v>
      </c>
      <c r="K536" t="n">
        <v>0</v>
      </c>
      <c r="L536" t="n">
        <v>0</v>
      </c>
      <c r="M536" t="n">
        <v>0</v>
      </c>
      <c r="N536" t="n">
        <v>0</v>
      </c>
      <c r="O536" t="n">
        <v>0</v>
      </c>
      <c r="P536" t="n">
        <v>0</v>
      </c>
      <c r="Q536" t="n">
        <v>0</v>
      </c>
      <c r="R536" s="2" t="inlineStr"/>
    </row>
    <row r="537" ht="15" customHeight="1">
      <c r="A537" t="inlineStr">
        <is>
          <t>A 19842-2025</t>
        </is>
      </c>
      <c r="B537" s="1" t="n">
        <v>45771.47938657407</v>
      </c>
      <c r="C537" s="1" t="n">
        <v>45985</v>
      </c>
      <c r="D537" t="inlineStr">
        <is>
          <t>DALARNAS LÄN</t>
        </is>
      </c>
      <c r="E537" t="inlineStr">
        <is>
          <t>MORA</t>
        </is>
      </c>
      <c r="G537" t="n">
        <v>1.9</v>
      </c>
      <c r="H537" t="n">
        <v>0</v>
      </c>
      <c r="I537" t="n">
        <v>0</v>
      </c>
      <c r="J537" t="n">
        <v>0</v>
      </c>
      <c r="K537" t="n">
        <v>0</v>
      </c>
      <c r="L537" t="n">
        <v>0</v>
      </c>
      <c r="M537" t="n">
        <v>0</v>
      </c>
      <c r="N537" t="n">
        <v>0</v>
      </c>
      <c r="O537" t="n">
        <v>0</v>
      </c>
      <c r="P537" t="n">
        <v>0</v>
      </c>
      <c r="Q537" t="n">
        <v>0</v>
      </c>
      <c r="R537" s="2" t="inlineStr"/>
    </row>
    <row r="538" ht="15" customHeight="1">
      <c r="A538" t="inlineStr">
        <is>
          <t>A 18134-2025</t>
        </is>
      </c>
      <c r="B538" s="1" t="n">
        <v>45761.60189814815</v>
      </c>
      <c r="C538" s="1" t="n">
        <v>45985</v>
      </c>
      <c r="D538" t="inlineStr">
        <is>
          <t>DALARNAS LÄN</t>
        </is>
      </c>
      <c r="E538" t="inlineStr">
        <is>
          <t>MORA</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61249-2023</t>
        </is>
      </c>
      <c r="B539" s="1" t="n">
        <v>45264</v>
      </c>
      <c r="C539" s="1" t="n">
        <v>45985</v>
      </c>
      <c r="D539" t="inlineStr">
        <is>
          <t>DALARNAS LÄN</t>
        </is>
      </c>
      <c r="E539" t="inlineStr">
        <is>
          <t>MORA</t>
        </is>
      </c>
      <c r="F539" t="inlineStr">
        <is>
          <t>Allmännings- och besparingsskogar</t>
        </is>
      </c>
      <c r="G539" t="n">
        <v>1.7</v>
      </c>
      <c r="H539" t="n">
        <v>0</v>
      </c>
      <c r="I539" t="n">
        <v>0</v>
      </c>
      <c r="J539" t="n">
        <v>0</v>
      </c>
      <c r="K539" t="n">
        <v>0</v>
      </c>
      <c r="L539" t="n">
        <v>0</v>
      </c>
      <c r="M539" t="n">
        <v>0</v>
      </c>
      <c r="N539" t="n">
        <v>0</v>
      </c>
      <c r="O539" t="n">
        <v>0</v>
      </c>
      <c r="P539" t="n">
        <v>0</v>
      </c>
      <c r="Q539" t="n">
        <v>0</v>
      </c>
      <c r="R539" s="2" t="inlineStr"/>
    </row>
    <row r="540" ht="15" customHeight="1">
      <c r="A540" t="inlineStr">
        <is>
          <t>A 48522-2024</t>
        </is>
      </c>
      <c r="B540" s="1" t="n">
        <v>45593.32924768519</v>
      </c>
      <c r="C540" s="1" t="n">
        <v>45985</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16733-2024</t>
        </is>
      </c>
      <c r="B541" s="1" t="n">
        <v>45410.78502314815</v>
      </c>
      <c r="C541" s="1" t="n">
        <v>45985</v>
      </c>
      <c r="D541" t="inlineStr">
        <is>
          <t>DALARNAS LÄN</t>
        </is>
      </c>
      <c r="E541" t="inlineStr">
        <is>
          <t>MORA</t>
        </is>
      </c>
      <c r="G541" t="n">
        <v>6.3</v>
      </c>
      <c r="H541" t="n">
        <v>0</v>
      </c>
      <c r="I541" t="n">
        <v>0</v>
      </c>
      <c r="J541" t="n">
        <v>0</v>
      </c>
      <c r="K541" t="n">
        <v>0</v>
      </c>
      <c r="L541" t="n">
        <v>0</v>
      </c>
      <c r="M541" t="n">
        <v>0</v>
      </c>
      <c r="N541" t="n">
        <v>0</v>
      </c>
      <c r="O541" t="n">
        <v>0</v>
      </c>
      <c r="P541" t="n">
        <v>0</v>
      </c>
      <c r="Q541" t="n">
        <v>0</v>
      </c>
      <c r="R541" s="2" t="inlineStr"/>
    </row>
    <row r="542" ht="15" customHeight="1">
      <c r="A542" t="inlineStr">
        <is>
          <t>A 53159-2024</t>
        </is>
      </c>
      <c r="B542" s="1" t="n">
        <v>45611.63849537037</v>
      </c>
      <c r="C542" s="1" t="n">
        <v>45985</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68415-2021</t>
        </is>
      </c>
      <c r="B543" s="1" t="n">
        <v>44529</v>
      </c>
      <c r="C543" s="1" t="n">
        <v>45985</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60187-2024</t>
        </is>
      </c>
      <c r="B544" s="1" t="n">
        <v>45642.64803240741</v>
      </c>
      <c r="C544" s="1" t="n">
        <v>45985</v>
      </c>
      <c r="D544" t="inlineStr">
        <is>
          <t>DALARNAS LÄN</t>
        </is>
      </c>
      <c r="E544" t="inlineStr">
        <is>
          <t>MORA</t>
        </is>
      </c>
      <c r="F544" t="inlineStr">
        <is>
          <t>Allmännings- och besparingsskogar</t>
        </is>
      </c>
      <c r="G544" t="n">
        <v>24.6</v>
      </c>
      <c r="H544" t="n">
        <v>0</v>
      </c>
      <c r="I544" t="n">
        <v>0</v>
      </c>
      <c r="J544" t="n">
        <v>0</v>
      </c>
      <c r="K544" t="n">
        <v>0</v>
      </c>
      <c r="L544" t="n">
        <v>0</v>
      </c>
      <c r="M544" t="n">
        <v>0</v>
      </c>
      <c r="N544" t="n">
        <v>0</v>
      </c>
      <c r="O544" t="n">
        <v>0</v>
      </c>
      <c r="P544" t="n">
        <v>0</v>
      </c>
      <c r="Q544" t="n">
        <v>0</v>
      </c>
      <c r="R544" s="2" t="inlineStr"/>
    </row>
    <row r="545" ht="15" customHeight="1">
      <c r="A545" t="inlineStr">
        <is>
          <t>A 15435-2024</t>
        </is>
      </c>
      <c r="B545" s="1" t="n">
        <v>45401.40806712963</v>
      </c>
      <c r="C545" s="1" t="n">
        <v>45985</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51965-2024</t>
        </is>
      </c>
      <c r="B546" s="1" t="n">
        <v>45607.65123842593</v>
      </c>
      <c r="C546" s="1" t="n">
        <v>45985</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42391-2023</t>
        </is>
      </c>
      <c r="B547" s="1" t="n">
        <v>45180</v>
      </c>
      <c r="C547" s="1" t="n">
        <v>45985</v>
      </c>
      <c r="D547" t="inlineStr">
        <is>
          <t>DALARNAS LÄN</t>
        </is>
      </c>
      <c r="E547" t="inlineStr">
        <is>
          <t>MORA</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2865-2022</t>
        </is>
      </c>
      <c r="B548" s="1" t="n">
        <v>44581</v>
      </c>
      <c r="C548" s="1" t="n">
        <v>45985</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45349-2024</t>
        </is>
      </c>
      <c r="B549" s="1" t="n">
        <v>45576</v>
      </c>
      <c r="C549" s="1" t="n">
        <v>45985</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57408-2024</t>
        </is>
      </c>
      <c r="B550" s="1" t="n">
        <v>45629</v>
      </c>
      <c r="C550" s="1" t="n">
        <v>45985</v>
      </c>
      <c r="D550" t="inlineStr">
        <is>
          <t>DALARNAS LÄN</t>
        </is>
      </c>
      <c r="E550" t="inlineStr">
        <is>
          <t>MORA</t>
        </is>
      </c>
      <c r="F550" t="inlineStr">
        <is>
          <t>Allmännings- och besparingsskogar</t>
        </is>
      </c>
      <c r="G550" t="n">
        <v>2.5</v>
      </c>
      <c r="H550" t="n">
        <v>0</v>
      </c>
      <c r="I550" t="n">
        <v>0</v>
      </c>
      <c r="J550" t="n">
        <v>0</v>
      </c>
      <c r="K550" t="n">
        <v>0</v>
      </c>
      <c r="L550" t="n">
        <v>0</v>
      </c>
      <c r="M550" t="n">
        <v>0</v>
      </c>
      <c r="N550" t="n">
        <v>0</v>
      </c>
      <c r="O550" t="n">
        <v>0</v>
      </c>
      <c r="P550" t="n">
        <v>0</v>
      </c>
      <c r="Q550" t="n">
        <v>0</v>
      </c>
      <c r="R550" s="2" t="inlineStr"/>
    </row>
    <row r="551" ht="15" customHeight="1">
      <c r="A551" t="inlineStr">
        <is>
          <t>A 46412-2024</t>
        </is>
      </c>
      <c r="B551" s="1" t="n">
        <v>45582.44894675926</v>
      </c>
      <c r="C551" s="1" t="n">
        <v>45985</v>
      </c>
      <c r="D551" t="inlineStr">
        <is>
          <t>DALARNAS LÄN</t>
        </is>
      </c>
      <c r="E551" t="inlineStr">
        <is>
          <t>MORA</t>
        </is>
      </c>
      <c r="G551" t="n">
        <v>4.1</v>
      </c>
      <c r="H551" t="n">
        <v>0</v>
      </c>
      <c r="I551" t="n">
        <v>0</v>
      </c>
      <c r="J551" t="n">
        <v>0</v>
      </c>
      <c r="K551" t="n">
        <v>0</v>
      </c>
      <c r="L551" t="n">
        <v>0</v>
      </c>
      <c r="M551" t="n">
        <v>0</v>
      </c>
      <c r="N551" t="n">
        <v>0</v>
      </c>
      <c r="O551" t="n">
        <v>0</v>
      </c>
      <c r="P551" t="n">
        <v>0</v>
      </c>
      <c r="Q551" t="n">
        <v>0</v>
      </c>
      <c r="R551" s="2" t="inlineStr"/>
    </row>
    <row r="552" ht="15" customHeight="1">
      <c r="A552" t="inlineStr">
        <is>
          <t>A 50685-2023</t>
        </is>
      </c>
      <c r="B552" s="1" t="n">
        <v>45210</v>
      </c>
      <c r="C552" s="1" t="n">
        <v>45985</v>
      </c>
      <c r="D552" t="inlineStr">
        <is>
          <t>DALARNAS LÄN</t>
        </is>
      </c>
      <c r="E552" t="inlineStr">
        <is>
          <t>MORA</t>
        </is>
      </c>
      <c r="G552" t="n">
        <v>1.7</v>
      </c>
      <c r="H552" t="n">
        <v>0</v>
      </c>
      <c r="I552" t="n">
        <v>0</v>
      </c>
      <c r="J552" t="n">
        <v>0</v>
      </c>
      <c r="K552" t="n">
        <v>0</v>
      </c>
      <c r="L552" t="n">
        <v>0</v>
      </c>
      <c r="M552" t="n">
        <v>0</v>
      </c>
      <c r="N552" t="n">
        <v>0</v>
      </c>
      <c r="O552" t="n">
        <v>0</v>
      </c>
      <c r="P552" t="n">
        <v>0</v>
      </c>
      <c r="Q552" t="n">
        <v>0</v>
      </c>
      <c r="R552" s="2" t="inlineStr"/>
    </row>
    <row r="553" ht="15" customHeight="1">
      <c r="A553" t="inlineStr">
        <is>
          <t>A 43964-2024</t>
        </is>
      </c>
      <c r="B553" s="1" t="n">
        <v>45572.48407407408</v>
      </c>
      <c r="C553" s="1" t="n">
        <v>45985</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39511-2024</t>
        </is>
      </c>
      <c r="B554" s="1" t="n">
        <v>45551.68347222222</v>
      </c>
      <c r="C554" s="1" t="n">
        <v>45985</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37695-2024</t>
        </is>
      </c>
      <c r="B555" s="1" t="n">
        <v>45541.61094907407</v>
      </c>
      <c r="C555" s="1" t="n">
        <v>45985</v>
      </c>
      <c r="D555" t="inlineStr">
        <is>
          <t>DALARNAS LÄN</t>
        </is>
      </c>
      <c r="E555" t="inlineStr">
        <is>
          <t>MORA</t>
        </is>
      </c>
      <c r="G555" t="n">
        <v>19.7</v>
      </c>
      <c r="H555" t="n">
        <v>0</v>
      </c>
      <c r="I555" t="n">
        <v>0</v>
      </c>
      <c r="J555" t="n">
        <v>0</v>
      </c>
      <c r="K555" t="n">
        <v>0</v>
      </c>
      <c r="L555" t="n">
        <v>0</v>
      </c>
      <c r="M555" t="n">
        <v>0</v>
      </c>
      <c r="N555" t="n">
        <v>0</v>
      </c>
      <c r="O555" t="n">
        <v>0</v>
      </c>
      <c r="P555" t="n">
        <v>0</v>
      </c>
      <c r="Q555" t="n">
        <v>0</v>
      </c>
      <c r="R555" s="2" t="inlineStr"/>
    </row>
    <row r="556" ht="15" customHeight="1">
      <c r="A556" t="inlineStr">
        <is>
          <t>A 56834-2024</t>
        </is>
      </c>
      <c r="B556" s="1" t="n">
        <v>45628.49931712963</v>
      </c>
      <c r="C556" s="1" t="n">
        <v>45985</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8068-2024</t>
        </is>
      </c>
      <c r="B557" s="1" t="n">
        <v>45351.41524305556</v>
      </c>
      <c r="C557" s="1" t="n">
        <v>45985</v>
      </c>
      <c r="D557" t="inlineStr">
        <is>
          <t>DALARNAS LÄN</t>
        </is>
      </c>
      <c r="E557" t="inlineStr">
        <is>
          <t>MORA</t>
        </is>
      </c>
      <c r="G557" t="n">
        <v>6.4</v>
      </c>
      <c r="H557" t="n">
        <v>0</v>
      </c>
      <c r="I557" t="n">
        <v>0</v>
      </c>
      <c r="J557" t="n">
        <v>0</v>
      </c>
      <c r="K557" t="n">
        <v>0</v>
      </c>
      <c r="L557" t="n">
        <v>0</v>
      </c>
      <c r="M557" t="n">
        <v>0</v>
      </c>
      <c r="N557" t="n">
        <v>0</v>
      </c>
      <c r="O557" t="n">
        <v>0</v>
      </c>
      <c r="P557" t="n">
        <v>0</v>
      </c>
      <c r="Q557" t="n">
        <v>0</v>
      </c>
      <c r="R557" s="2" t="inlineStr"/>
    </row>
    <row r="558" ht="15" customHeight="1">
      <c r="A558" t="inlineStr">
        <is>
          <t>A 43863-2023</t>
        </is>
      </c>
      <c r="B558" s="1" t="n">
        <v>45187.62532407408</v>
      </c>
      <c r="C558" s="1" t="n">
        <v>45985</v>
      </c>
      <c r="D558" t="inlineStr">
        <is>
          <t>DALARNAS LÄN</t>
        </is>
      </c>
      <c r="E558" t="inlineStr">
        <is>
          <t>MORA</t>
        </is>
      </c>
      <c r="F558" t="inlineStr">
        <is>
          <t>Bergvik skog väst AB</t>
        </is>
      </c>
      <c r="G558" t="n">
        <v>3.9</v>
      </c>
      <c r="H558" t="n">
        <v>0</v>
      </c>
      <c r="I558" t="n">
        <v>0</v>
      </c>
      <c r="J558" t="n">
        <v>0</v>
      </c>
      <c r="K558" t="n">
        <v>0</v>
      </c>
      <c r="L558" t="n">
        <v>0</v>
      </c>
      <c r="M558" t="n">
        <v>0</v>
      </c>
      <c r="N558" t="n">
        <v>0</v>
      </c>
      <c r="O558" t="n">
        <v>0</v>
      </c>
      <c r="P558" t="n">
        <v>0</v>
      </c>
      <c r="Q558" t="n">
        <v>0</v>
      </c>
      <c r="R558" s="2" t="inlineStr"/>
    </row>
    <row r="559" ht="15" customHeight="1">
      <c r="A559" t="inlineStr">
        <is>
          <t>A 35521-2023</t>
        </is>
      </c>
      <c r="B559" s="1" t="n">
        <v>45147.33251157407</v>
      </c>
      <c r="C559" s="1" t="n">
        <v>45985</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31112-2024</t>
        </is>
      </c>
      <c r="B560" s="1" t="n">
        <v>45502.55185185185</v>
      </c>
      <c r="C560" s="1" t="n">
        <v>45985</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44205-2023</t>
        </is>
      </c>
      <c r="B561" s="1" t="n">
        <v>45188</v>
      </c>
      <c r="C561" s="1" t="n">
        <v>45985</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51168-2024</t>
        </is>
      </c>
      <c r="B562" s="1" t="n">
        <v>45603.58619212963</v>
      </c>
      <c r="C562" s="1" t="n">
        <v>45985</v>
      </c>
      <c r="D562" t="inlineStr">
        <is>
          <t>DALARNAS LÄN</t>
        </is>
      </c>
      <c r="E562" t="inlineStr">
        <is>
          <t>MORA</t>
        </is>
      </c>
      <c r="G562" t="n">
        <v>3</v>
      </c>
      <c r="H562" t="n">
        <v>0</v>
      </c>
      <c r="I562" t="n">
        <v>0</v>
      </c>
      <c r="J562" t="n">
        <v>0</v>
      </c>
      <c r="K562" t="n">
        <v>0</v>
      </c>
      <c r="L562" t="n">
        <v>0</v>
      </c>
      <c r="M562" t="n">
        <v>0</v>
      </c>
      <c r="N562" t="n">
        <v>0</v>
      </c>
      <c r="O562" t="n">
        <v>0</v>
      </c>
      <c r="P562" t="n">
        <v>0</v>
      </c>
      <c r="Q562" t="n">
        <v>0</v>
      </c>
      <c r="R562" s="2" t="inlineStr"/>
    </row>
    <row r="563" ht="15" customHeight="1">
      <c r="A563" t="inlineStr">
        <is>
          <t>A 18214-2024</t>
        </is>
      </c>
      <c r="B563" s="1" t="n">
        <v>45420</v>
      </c>
      <c r="C563" s="1" t="n">
        <v>45985</v>
      </c>
      <c r="D563" t="inlineStr">
        <is>
          <t>DALARNAS LÄN</t>
        </is>
      </c>
      <c r="E563" t="inlineStr">
        <is>
          <t>MORA</t>
        </is>
      </c>
      <c r="G563" t="n">
        <v>1</v>
      </c>
      <c r="H563" t="n">
        <v>0</v>
      </c>
      <c r="I563" t="n">
        <v>0</v>
      </c>
      <c r="J563" t="n">
        <v>0</v>
      </c>
      <c r="K563" t="n">
        <v>0</v>
      </c>
      <c r="L563" t="n">
        <v>0</v>
      </c>
      <c r="M563" t="n">
        <v>0</v>
      </c>
      <c r="N563" t="n">
        <v>0</v>
      </c>
      <c r="O563" t="n">
        <v>0</v>
      </c>
      <c r="P563" t="n">
        <v>0</v>
      </c>
      <c r="Q563" t="n">
        <v>0</v>
      </c>
      <c r="R563" s="2" t="inlineStr"/>
    </row>
    <row r="564" ht="15" customHeight="1">
      <c r="A564" t="inlineStr">
        <is>
          <t>A 16522-2024</t>
        </is>
      </c>
      <c r="B564" s="1" t="n">
        <v>45408.41166666667</v>
      </c>
      <c r="C564" s="1" t="n">
        <v>45985</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55120-2024</t>
        </is>
      </c>
      <c r="B565" s="1" t="n">
        <v>45621.45765046297</v>
      </c>
      <c r="C565" s="1" t="n">
        <v>45985</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43873-2024</t>
        </is>
      </c>
      <c r="B566" s="1" t="n">
        <v>45572.38429398148</v>
      </c>
      <c r="C566" s="1" t="n">
        <v>45985</v>
      </c>
      <c r="D566" t="inlineStr">
        <is>
          <t>DALARNAS LÄN</t>
        </is>
      </c>
      <c r="E566" t="inlineStr">
        <is>
          <t>MORA</t>
        </is>
      </c>
      <c r="G566" t="n">
        <v>4.1</v>
      </c>
      <c r="H566" t="n">
        <v>0</v>
      </c>
      <c r="I566" t="n">
        <v>0</v>
      </c>
      <c r="J566" t="n">
        <v>0</v>
      </c>
      <c r="K566" t="n">
        <v>0</v>
      </c>
      <c r="L566" t="n">
        <v>0</v>
      </c>
      <c r="M566" t="n">
        <v>0</v>
      </c>
      <c r="N566" t="n">
        <v>0</v>
      </c>
      <c r="O566" t="n">
        <v>0</v>
      </c>
      <c r="P566" t="n">
        <v>0</v>
      </c>
      <c r="Q566" t="n">
        <v>0</v>
      </c>
      <c r="R566" s="2" t="inlineStr"/>
    </row>
    <row r="567" ht="15" customHeight="1">
      <c r="A567" t="inlineStr">
        <is>
          <t>A 46152-2023</t>
        </is>
      </c>
      <c r="B567" s="1" t="n">
        <v>45196.58278935185</v>
      </c>
      <c r="C567" s="1" t="n">
        <v>45985</v>
      </c>
      <c r="D567" t="inlineStr">
        <is>
          <t>DALARNAS LÄN</t>
        </is>
      </c>
      <c r="E567" t="inlineStr">
        <is>
          <t>MORA</t>
        </is>
      </c>
      <c r="G567" t="n">
        <v>2</v>
      </c>
      <c r="H567" t="n">
        <v>0</v>
      </c>
      <c r="I567" t="n">
        <v>0</v>
      </c>
      <c r="J567" t="n">
        <v>0</v>
      </c>
      <c r="K567" t="n">
        <v>0</v>
      </c>
      <c r="L567" t="n">
        <v>0</v>
      </c>
      <c r="M567" t="n">
        <v>0</v>
      </c>
      <c r="N567" t="n">
        <v>0</v>
      </c>
      <c r="O567" t="n">
        <v>0</v>
      </c>
      <c r="P567" t="n">
        <v>0</v>
      </c>
      <c r="Q567" t="n">
        <v>0</v>
      </c>
      <c r="R567" s="2" t="inlineStr"/>
    </row>
    <row r="568" ht="15" customHeight="1">
      <c r="A568" t="inlineStr">
        <is>
          <t>A 42035-2022</t>
        </is>
      </c>
      <c r="B568" s="1" t="n">
        <v>44830</v>
      </c>
      <c r="C568" s="1" t="n">
        <v>45985</v>
      </c>
      <c r="D568" t="inlineStr">
        <is>
          <t>DALARNAS LÄN</t>
        </is>
      </c>
      <c r="E568" t="inlineStr">
        <is>
          <t>MORA</t>
        </is>
      </c>
      <c r="G568" t="n">
        <v>2.7</v>
      </c>
      <c r="H568" t="n">
        <v>0</v>
      </c>
      <c r="I568" t="n">
        <v>0</v>
      </c>
      <c r="J568" t="n">
        <v>0</v>
      </c>
      <c r="K568" t="n">
        <v>0</v>
      </c>
      <c r="L568" t="n">
        <v>0</v>
      </c>
      <c r="M568" t="n">
        <v>0</v>
      </c>
      <c r="N568" t="n">
        <v>0</v>
      </c>
      <c r="O568" t="n">
        <v>0</v>
      </c>
      <c r="P568" t="n">
        <v>0</v>
      </c>
      <c r="Q568" t="n">
        <v>0</v>
      </c>
      <c r="R568" s="2" t="inlineStr"/>
    </row>
    <row r="569" ht="15" customHeight="1">
      <c r="A569" t="inlineStr">
        <is>
          <t>A 5980-2025</t>
        </is>
      </c>
      <c r="B569" s="1" t="n">
        <v>45695.54651620371</v>
      </c>
      <c r="C569" s="1" t="n">
        <v>45985</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9599-2022</t>
        </is>
      </c>
      <c r="B570" s="1" t="n">
        <v>44617.48909722222</v>
      </c>
      <c r="C570" s="1" t="n">
        <v>45985</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51883-2024</t>
        </is>
      </c>
      <c r="B571" s="1" t="n">
        <v>45607</v>
      </c>
      <c r="C571" s="1" t="n">
        <v>45985</v>
      </c>
      <c r="D571" t="inlineStr">
        <is>
          <t>DALARNAS LÄN</t>
        </is>
      </c>
      <c r="E571" t="inlineStr">
        <is>
          <t>MORA</t>
        </is>
      </c>
      <c r="G571" t="n">
        <v>0.2</v>
      </c>
      <c r="H571" t="n">
        <v>0</v>
      </c>
      <c r="I571" t="n">
        <v>0</v>
      </c>
      <c r="J571" t="n">
        <v>0</v>
      </c>
      <c r="K571" t="n">
        <v>0</v>
      </c>
      <c r="L571" t="n">
        <v>0</v>
      </c>
      <c r="M571" t="n">
        <v>0</v>
      </c>
      <c r="N571" t="n">
        <v>0</v>
      </c>
      <c r="O571" t="n">
        <v>0</v>
      </c>
      <c r="P571" t="n">
        <v>0</v>
      </c>
      <c r="Q571" t="n">
        <v>0</v>
      </c>
      <c r="R571" s="2" t="inlineStr"/>
    </row>
    <row r="572" ht="15" customHeight="1">
      <c r="A572" t="inlineStr">
        <is>
          <t>A 51888-2024</t>
        </is>
      </c>
      <c r="B572" s="1" t="n">
        <v>45607.57142361111</v>
      </c>
      <c r="C572" s="1" t="n">
        <v>45985</v>
      </c>
      <c r="D572" t="inlineStr">
        <is>
          <t>DALARNAS LÄN</t>
        </is>
      </c>
      <c r="E572" t="inlineStr">
        <is>
          <t>MORA</t>
        </is>
      </c>
      <c r="G572" t="n">
        <v>0.9</v>
      </c>
      <c r="H572" t="n">
        <v>0</v>
      </c>
      <c r="I572" t="n">
        <v>0</v>
      </c>
      <c r="J572" t="n">
        <v>0</v>
      </c>
      <c r="K572" t="n">
        <v>0</v>
      </c>
      <c r="L572" t="n">
        <v>0</v>
      </c>
      <c r="M572" t="n">
        <v>0</v>
      </c>
      <c r="N572" t="n">
        <v>0</v>
      </c>
      <c r="O572" t="n">
        <v>0</v>
      </c>
      <c r="P572" t="n">
        <v>0</v>
      </c>
      <c r="Q572" t="n">
        <v>0</v>
      </c>
      <c r="R572" s="2" t="inlineStr"/>
    </row>
    <row r="573" ht="15" customHeight="1">
      <c r="A573" t="inlineStr">
        <is>
          <t>A 38627-2023</t>
        </is>
      </c>
      <c r="B573" s="1" t="n">
        <v>45162.68787037037</v>
      </c>
      <c r="C573" s="1" t="n">
        <v>45985</v>
      </c>
      <c r="D573" t="inlineStr">
        <is>
          <t>DALARNAS LÄN</t>
        </is>
      </c>
      <c r="E573" t="inlineStr">
        <is>
          <t>MORA</t>
        </is>
      </c>
      <c r="G573" t="n">
        <v>6.5</v>
      </c>
      <c r="H573" t="n">
        <v>0</v>
      </c>
      <c r="I573" t="n">
        <v>0</v>
      </c>
      <c r="J573" t="n">
        <v>0</v>
      </c>
      <c r="K573" t="n">
        <v>0</v>
      </c>
      <c r="L573" t="n">
        <v>0</v>
      </c>
      <c r="M573" t="n">
        <v>0</v>
      </c>
      <c r="N573" t="n">
        <v>0</v>
      </c>
      <c r="O573" t="n">
        <v>0</v>
      </c>
      <c r="P573" t="n">
        <v>0</v>
      </c>
      <c r="Q573" t="n">
        <v>0</v>
      </c>
      <c r="R573" s="2" t="inlineStr"/>
    </row>
    <row r="574" ht="15" customHeight="1">
      <c r="A574" t="inlineStr">
        <is>
          <t>A 16637-2025</t>
        </is>
      </c>
      <c r="B574" s="1" t="n">
        <v>45754.36738425926</v>
      </c>
      <c r="C574" s="1" t="n">
        <v>45985</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48570-2022</t>
        </is>
      </c>
      <c r="B575" s="1" t="n">
        <v>44859</v>
      </c>
      <c r="C575" s="1" t="n">
        <v>45985</v>
      </c>
      <c r="D575" t="inlineStr">
        <is>
          <t>DALARNAS LÄN</t>
        </is>
      </c>
      <c r="E575" t="inlineStr">
        <is>
          <t>MORA</t>
        </is>
      </c>
      <c r="G575" t="n">
        <v>6.2</v>
      </c>
      <c r="H575" t="n">
        <v>0</v>
      </c>
      <c r="I575" t="n">
        <v>0</v>
      </c>
      <c r="J575" t="n">
        <v>0</v>
      </c>
      <c r="K575" t="n">
        <v>0</v>
      </c>
      <c r="L575" t="n">
        <v>0</v>
      </c>
      <c r="M575" t="n">
        <v>0</v>
      </c>
      <c r="N575" t="n">
        <v>0</v>
      </c>
      <c r="O575" t="n">
        <v>0</v>
      </c>
      <c r="P575" t="n">
        <v>0</v>
      </c>
      <c r="Q575" t="n">
        <v>0</v>
      </c>
      <c r="R575" s="2" t="inlineStr"/>
    </row>
    <row r="576" ht="15" customHeight="1">
      <c r="A576" t="inlineStr">
        <is>
          <t>A 49991-2023</t>
        </is>
      </c>
      <c r="B576" s="1" t="n">
        <v>45215.43879629629</v>
      </c>
      <c r="C576" s="1" t="n">
        <v>45985</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62268-2020</t>
        </is>
      </c>
      <c r="B577" s="1" t="n">
        <v>44160</v>
      </c>
      <c r="C577" s="1" t="n">
        <v>45985</v>
      </c>
      <c r="D577" t="inlineStr">
        <is>
          <t>DALARNAS LÄN</t>
        </is>
      </c>
      <c r="E577" t="inlineStr">
        <is>
          <t>MORA</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20401-2022</t>
        </is>
      </c>
      <c r="B578" s="1" t="n">
        <v>44699</v>
      </c>
      <c r="C578" s="1" t="n">
        <v>45985</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18120-2025</t>
        </is>
      </c>
      <c r="B579" s="1" t="n">
        <v>45761</v>
      </c>
      <c r="C579" s="1" t="n">
        <v>45985</v>
      </c>
      <c r="D579" t="inlineStr">
        <is>
          <t>DALARNAS LÄN</t>
        </is>
      </c>
      <c r="E579" t="inlineStr">
        <is>
          <t>MORA</t>
        </is>
      </c>
      <c r="F579" t="inlineStr">
        <is>
          <t>Bergvik skog väst AB</t>
        </is>
      </c>
      <c r="G579" t="n">
        <v>6.4</v>
      </c>
      <c r="H579" t="n">
        <v>0</v>
      </c>
      <c r="I579" t="n">
        <v>0</v>
      </c>
      <c r="J579" t="n">
        <v>0</v>
      </c>
      <c r="K579" t="n">
        <v>0</v>
      </c>
      <c r="L579" t="n">
        <v>0</v>
      </c>
      <c r="M579" t="n">
        <v>0</v>
      </c>
      <c r="N579" t="n">
        <v>0</v>
      </c>
      <c r="O579" t="n">
        <v>0</v>
      </c>
      <c r="P579" t="n">
        <v>0</v>
      </c>
      <c r="Q579" t="n">
        <v>0</v>
      </c>
      <c r="R579" s="2" t="inlineStr"/>
    </row>
    <row r="580" ht="15" customHeight="1">
      <c r="A580" t="inlineStr">
        <is>
          <t>A 18127-2025</t>
        </is>
      </c>
      <c r="B580" s="1" t="n">
        <v>45761.59523148148</v>
      </c>
      <c r="C580" s="1" t="n">
        <v>45985</v>
      </c>
      <c r="D580" t="inlineStr">
        <is>
          <t>DALARNAS LÄN</t>
        </is>
      </c>
      <c r="E580" t="inlineStr">
        <is>
          <t>MORA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45090.62493055555</v>
      </c>
      <c r="C581" s="1" t="n">
        <v>45985</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20544-2025</t>
        </is>
      </c>
      <c r="B582" s="1" t="n">
        <v>45775.63119212963</v>
      </c>
      <c r="C582" s="1" t="n">
        <v>45985</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36740-2023</t>
        </is>
      </c>
      <c r="B583" s="1" t="n">
        <v>45153</v>
      </c>
      <c r="C583" s="1" t="n">
        <v>45985</v>
      </c>
      <c r="D583" t="inlineStr">
        <is>
          <t>DALARNAS LÄN</t>
        </is>
      </c>
      <c r="E583" t="inlineStr">
        <is>
          <t>MORA</t>
        </is>
      </c>
      <c r="G583" t="n">
        <v>0.2</v>
      </c>
      <c r="H583" t="n">
        <v>0</v>
      </c>
      <c r="I583" t="n">
        <v>0</v>
      </c>
      <c r="J583" t="n">
        <v>0</v>
      </c>
      <c r="K583" t="n">
        <v>0</v>
      </c>
      <c r="L583" t="n">
        <v>0</v>
      </c>
      <c r="M583" t="n">
        <v>0</v>
      </c>
      <c r="N583" t="n">
        <v>0</v>
      </c>
      <c r="O583" t="n">
        <v>0</v>
      </c>
      <c r="P583" t="n">
        <v>0</v>
      </c>
      <c r="Q583" t="n">
        <v>0</v>
      </c>
      <c r="R583" s="2" t="inlineStr"/>
    </row>
    <row r="584" ht="15" customHeight="1">
      <c r="A584" t="inlineStr">
        <is>
          <t>A 48342-2023</t>
        </is>
      </c>
      <c r="B584" s="1" t="n">
        <v>45205</v>
      </c>
      <c r="C584" s="1" t="n">
        <v>45985</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17393-2025</t>
        </is>
      </c>
      <c r="B585" s="1" t="n">
        <v>45757.34350694445</v>
      </c>
      <c r="C585" s="1" t="n">
        <v>45985</v>
      </c>
      <c r="D585" t="inlineStr">
        <is>
          <t>DALARNAS LÄN</t>
        </is>
      </c>
      <c r="E585" t="inlineStr">
        <is>
          <t>MORA</t>
        </is>
      </c>
      <c r="G585" t="n">
        <v>10.1</v>
      </c>
      <c r="H585" t="n">
        <v>0</v>
      </c>
      <c r="I585" t="n">
        <v>0</v>
      </c>
      <c r="J585" t="n">
        <v>0</v>
      </c>
      <c r="K585" t="n">
        <v>0</v>
      </c>
      <c r="L585" t="n">
        <v>0</v>
      </c>
      <c r="M585" t="n">
        <v>0</v>
      </c>
      <c r="N585" t="n">
        <v>0</v>
      </c>
      <c r="O585" t="n">
        <v>0</v>
      </c>
      <c r="P585" t="n">
        <v>0</v>
      </c>
      <c r="Q585" t="n">
        <v>0</v>
      </c>
      <c r="R585" s="2" t="inlineStr"/>
    </row>
    <row r="586" ht="15" customHeight="1">
      <c r="A586" t="inlineStr">
        <is>
          <t>A 14936-2025</t>
        </is>
      </c>
      <c r="B586" s="1" t="n">
        <v>45743.55756944444</v>
      </c>
      <c r="C586" s="1" t="n">
        <v>45985</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35381-2024</t>
        </is>
      </c>
      <c r="B587" s="1" t="n">
        <v>45531.38372685185</v>
      </c>
      <c r="C587" s="1" t="n">
        <v>45985</v>
      </c>
      <c r="D587" t="inlineStr">
        <is>
          <t>DALARNAS LÄN</t>
        </is>
      </c>
      <c r="E587" t="inlineStr">
        <is>
          <t>MORA</t>
        </is>
      </c>
      <c r="G587" t="n">
        <v>3.7</v>
      </c>
      <c r="H587" t="n">
        <v>0</v>
      </c>
      <c r="I587" t="n">
        <v>0</v>
      </c>
      <c r="J587" t="n">
        <v>0</v>
      </c>
      <c r="K587" t="n">
        <v>0</v>
      </c>
      <c r="L587" t="n">
        <v>0</v>
      </c>
      <c r="M587" t="n">
        <v>0</v>
      </c>
      <c r="N587" t="n">
        <v>0</v>
      </c>
      <c r="O587" t="n">
        <v>0</v>
      </c>
      <c r="P587" t="n">
        <v>0</v>
      </c>
      <c r="Q587" t="n">
        <v>0</v>
      </c>
      <c r="R587" s="2" t="inlineStr"/>
    </row>
    <row r="588" ht="15" customHeight="1">
      <c r="A588" t="inlineStr">
        <is>
          <t>A 15817-2024</t>
        </is>
      </c>
      <c r="B588" s="1" t="n">
        <v>45404.67387731482</v>
      </c>
      <c r="C588" s="1" t="n">
        <v>45985</v>
      </c>
      <c r="D588" t="inlineStr">
        <is>
          <t>DALARNAS LÄN</t>
        </is>
      </c>
      <c r="E588" t="inlineStr">
        <is>
          <t>MORA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46755-2023</t>
        </is>
      </c>
      <c r="B589" s="1" t="n">
        <v>45198.61314814815</v>
      </c>
      <c r="C589" s="1" t="n">
        <v>45985</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14372-2025</t>
        </is>
      </c>
      <c r="B590" s="1" t="n">
        <v>45741.4050462963</v>
      </c>
      <c r="C590" s="1" t="n">
        <v>45985</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14378-2025</t>
        </is>
      </c>
      <c r="B591" s="1" t="n">
        <v>45741</v>
      </c>
      <c r="C591" s="1" t="n">
        <v>45985</v>
      </c>
      <c r="D591" t="inlineStr">
        <is>
          <t>DALARNAS LÄN</t>
        </is>
      </c>
      <c r="E591" t="inlineStr">
        <is>
          <t>MORA</t>
        </is>
      </c>
      <c r="G591" t="n">
        <v>5.2</v>
      </c>
      <c r="H591" t="n">
        <v>0</v>
      </c>
      <c r="I591" t="n">
        <v>0</v>
      </c>
      <c r="J591" t="n">
        <v>0</v>
      </c>
      <c r="K591" t="n">
        <v>0</v>
      </c>
      <c r="L591" t="n">
        <v>0</v>
      </c>
      <c r="M591" t="n">
        <v>0</v>
      </c>
      <c r="N591" t="n">
        <v>0</v>
      </c>
      <c r="O591" t="n">
        <v>0</v>
      </c>
      <c r="P591" t="n">
        <v>0</v>
      </c>
      <c r="Q591" t="n">
        <v>0</v>
      </c>
      <c r="R591" s="2" t="inlineStr"/>
    </row>
    <row r="592" ht="15" customHeight="1">
      <c r="A592" t="inlineStr">
        <is>
          <t>A 44177-2023</t>
        </is>
      </c>
      <c r="B592" s="1" t="n">
        <v>45188.51439814815</v>
      </c>
      <c r="C592" s="1" t="n">
        <v>45985</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44201-2023</t>
        </is>
      </c>
      <c r="B593" s="1" t="n">
        <v>45188</v>
      </c>
      <c r="C593" s="1" t="n">
        <v>45985</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55222-2023</t>
        </is>
      </c>
      <c r="B594" s="1" t="n">
        <v>45237.60775462963</v>
      </c>
      <c r="C594" s="1" t="n">
        <v>45985</v>
      </c>
      <c r="D594" t="inlineStr">
        <is>
          <t>DALARNAS LÄN</t>
        </is>
      </c>
      <c r="E594" t="inlineStr">
        <is>
          <t>MORA</t>
        </is>
      </c>
      <c r="F594" t="inlineStr">
        <is>
          <t>Allmännings- och besparingsskogar</t>
        </is>
      </c>
      <c r="G594" t="n">
        <v>19.8</v>
      </c>
      <c r="H594" t="n">
        <v>0</v>
      </c>
      <c r="I594" t="n">
        <v>0</v>
      </c>
      <c r="J594" t="n">
        <v>0</v>
      </c>
      <c r="K594" t="n">
        <v>0</v>
      </c>
      <c r="L594" t="n">
        <v>0</v>
      </c>
      <c r="M594" t="n">
        <v>0</v>
      </c>
      <c r="N594" t="n">
        <v>0</v>
      </c>
      <c r="O594" t="n">
        <v>0</v>
      </c>
      <c r="P594" t="n">
        <v>0</v>
      </c>
      <c r="Q594" t="n">
        <v>0</v>
      </c>
      <c r="R594" s="2" t="inlineStr"/>
    </row>
    <row r="595" ht="15" customHeight="1">
      <c r="A595" t="inlineStr">
        <is>
          <t>A 31177-2021</t>
        </is>
      </c>
      <c r="B595" s="1" t="n">
        <v>44368</v>
      </c>
      <c r="C595" s="1" t="n">
        <v>45985</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51570-2023</t>
        </is>
      </c>
      <c r="B596" s="1" t="n">
        <v>45222</v>
      </c>
      <c r="C596" s="1" t="n">
        <v>45985</v>
      </c>
      <c r="D596" t="inlineStr">
        <is>
          <t>DALARNAS LÄN</t>
        </is>
      </c>
      <c r="E596" t="inlineStr">
        <is>
          <t>MORA</t>
        </is>
      </c>
      <c r="G596" t="n">
        <v>10.1</v>
      </c>
      <c r="H596" t="n">
        <v>0</v>
      </c>
      <c r="I596" t="n">
        <v>0</v>
      </c>
      <c r="J596" t="n">
        <v>0</v>
      </c>
      <c r="K596" t="n">
        <v>0</v>
      </c>
      <c r="L596" t="n">
        <v>0</v>
      </c>
      <c r="M596" t="n">
        <v>0</v>
      </c>
      <c r="N596" t="n">
        <v>0</v>
      </c>
      <c r="O596" t="n">
        <v>0</v>
      </c>
      <c r="P596" t="n">
        <v>0</v>
      </c>
      <c r="Q596" t="n">
        <v>0</v>
      </c>
      <c r="R596" s="2" t="inlineStr"/>
    </row>
    <row r="597" ht="15" customHeight="1">
      <c r="A597" t="inlineStr">
        <is>
          <t>A 32261-2022</t>
        </is>
      </c>
      <c r="B597" s="1" t="n">
        <v>44781.5350925926</v>
      </c>
      <c r="C597" s="1" t="n">
        <v>45985</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48825-2023</t>
        </is>
      </c>
      <c r="B598" s="1" t="n">
        <v>45203</v>
      </c>
      <c r="C598" s="1" t="n">
        <v>45985</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18806-2025</t>
        </is>
      </c>
      <c r="B599" s="1" t="n">
        <v>45764.35269675926</v>
      </c>
      <c r="C599" s="1" t="n">
        <v>45985</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17163-2025</t>
        </is>
      </c>
      <c r="B600" s="1" t="n">
        <v>45756.35998842592</v>
      </c>
      <c r="C600" s="1" t="n">
        <v>45985</v>
      </c>
      <c r="D600" t="inlineStr">
        <is>
          <t>DALARNAS LÄN</t>
        </is>
      </c>
      <c r="E600" t="inlineStr">
        <is>
          <t>MORA</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45985</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54253-2023</t>
        </is>
      </c>
      <c r="B602" s="1" t="n">
        <v>45232.63217592592</v>
      </c>
      <c r="C602" s="1" t="n">
        <v>45985</v>
      </c>
      <c r="D602" t="inlineStr">
        <is>
          <t>DALARNAS LÄN</t>
        </is>
      </c>
      <c r="E602" t="inlineStr">
        <is>
          <t>MORA</t>
        </is>
      </c>
      <c r="G602" t="n">
        <v>4.5</v>
      </c>
      <c r="H602" t="n">
        <v>0</v>
      </c>
      <c r="I602" t="n">
        <v>0</v>
      </c>
      <c r="J602" t="n">
        <v>0</v>
      </c>
      <c r="K602" t="n">
        <v>0</v>
      </c>
      <c r="L602" t="n">
        <v>0</v>
      </c>
      <c r="M602" t="n">
        <v>0</v>
      </c>
      <c r="N602" t="n">
        <v>0</v>
      </c>
      <c r="O602" t="n">
        <v>0</v>
      </c>
      <c r="P602" t="n">
        <v>0</v>
      </c>
      <c r="Q602" t="n">
        <v>0</v>
      </c>
      <c r="R602" s="2" t="inlineStr"/>
    </row>
    <row r="603" ht="15" customHeight="1">
      <c r="A603" t="inlineStr">
        <is>
          <t>A 44817-2023</t>
        </is>
      </c>
      <c r="B603" s="1" t="n">
        <v>45190.51887731482</v>
      </c>
      <c r="C603" s="1" t="n">
        <v>45985</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17865-2025</t>
        </is>
      </c>
      <c r="B604" s="1" t="n">
        <v>45758.62951388889</v>
      </c>
      <c r="C604" s="1" t="n">
        <v>45985</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17167-2025</t>
        </is>
      </c>
      <c r="B605" s="1" t="n">
        <v>45756.36844907407</v>
      </c>
      <c r="C605" s="1" t="n">
        <v>45985</v>
      </c>
      <c r="D605" t="inlineStr">
        <is>
          <t>DALARNAS LÄN</t>
        </is>
      </c>
      <c r="E605" t="inlineStr">
        <is>
          <t>MORA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17176-2025</t>
        </is>
      </c>
      <c r="B606" s="1" t="n">
        <v>45756.37520833333</v>
      </c>
      <c r="C606" s="1" t="n">
        <v>45985</v>
      </c>
      <c r="D606" t="inlineStr">
        <is>
          <t>DALARNAS LÄN</t>
        </is>
      </c>
      <c r="E606" t="inlineStr">
        <is>
          <t>MORA</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57999-2023</t>
        </is>
      </c>
      <c r="B607" s="1" t="n">
        <v>45247</v>
      </c>
      <c r="C607" s="1" t="n">
        <v>45985</v>
      </c>
      <c r="D607" t="inlineStr">
        <is>
          <t>DALARNAS LÄN</t>
        </is>
      </c>
      <c r="E607" t="inlineStr">
        <is>
          <t>MORA</t>
        </is>
      </c>
      <c r="G607" t="n">
        <v>0.4</v>
      </c>
      <c r="H607" t="n">
        <v>0</v>
      </c>
      <c r="I607" t="n">
        <v>0</v>
      </c>
      <c r="J607" t="n">
        <v>0</v>
      </c>
      <c r="K607" t="n">
        <v>0</v>
      </c>
      <c r="L607" t="n">
        <v>0</v>
      </c>
      <c r="M607" t="n">
        <v>0</v>
      </c>
      <c r="N607" t="n">
        <v>0</v>
      </c>
      <c r="O607" t="n">
        <v>0</v>
      </c>
      <c r="P607" t="n">
        <v>0</v>
      </c>
      <c r="Q607" t="n">
        <v>0</v>
      </c>
      <c r="R607" s="2" t="inlineStr"/>
    </row>
    <row r="608" ht="15" customHeight="1">
      <c r="A608" t="inlineStr">
        <is>
          <t>A 57319-2023</t>
        </is>
      </c>
      <c r="B608" s="1" t="n">
        <v>45245.64877314815</v>
      </c>
      <c r="C608" s="1" t="n">
        <v>45985</v>
      </c>
      <c r="D608" t="inlineStr">
        <is>
          <t>DALARNAS LÄN</t>
        </is>
      </c>
      <c r="E608" t="inlineStr">
        <is>
          <t>MORA</t>
        </is>
      </c>
      <c r="G608" t="n">
        <v>2</v>
      </c>
      <c r="H608" t="n">
        <v>0</v>
      </c>
      <c r="I608" t="n">
        <v>0</v>
      </c>
      <c r="J608" t="n">
        <v>0</v>
      </c>
      <c r="K608" t="n">
        <v>0</v>
      </c>
      <c r="L608" t="n">
        <v>0</v>
      </c>
      <c r="M608" t="n">
        <v>0</v>
      </c>
      <c r="N608" t="n">
        <v>0</v>
      </c>
      <c r="O608" t="n">
        <v>0</v>
      </c>
      <c r="P608" t="n">
        <v>0</v>
      </c>
      <c r="Q608" t="n">
        <v>0</v>
      </c>
      <c r="R608" s="2" t="inlineStr"/>
    </row>
    <row r="609" ht="15" customHeight="1">
      <c r="A609" t="inlineStr">
        <is>
          <t>A 62853-2023</t>
        </is>
      </c>
      <c r="B609" s="1" t="n">
        <v>45272</v>
      </c>
      <c r="C609" s="1" t="n">
        <v>45985</v>
      </c>
      <c r="D609" t="inlineStr">
        <is>
          <t>DALARNAS LÄN</t>
        </is>
      </c>
      <c r="E609" t="inlineStr">
        <is>
          <t>MORA</t>
        </is>
      </c>
      <c r="G609" t="n">
        <v>13.6</v>
      </c>
      <c r="H609" t="n">
        <v>0</v>
      </c>
      <c r="I609" t="n">
        <v>0</v>
      </c>
      <c r="J609" t="n">
        <v>0</v>
      </c>
      <c r="K609" t="n">
        <v>0</v>
      </c>
      <c r="L609" t="n">
        <v>0</v>
      </c>
      <c r="M609" t="n">
        <v>0</v>
      </c>
      <c r="N609" t="n">
        <v>0</v>
      </c>
      <c r="O609" t="n">
        <v>0</v>
      </c>
      <c r="P609" t="n">
        <v>0</v>
      </c>
      <c r="Q609" t="n">
        <v>0</v>
      </c>
      <c r="R609" s="2" t="inlineStr"/>
    </row>
    <row r="610" ht="15" customHeight="1">
      <c r="A610" t="inlineStr">
        <is>
          <t>A 43826-2022</t>
        </is>
      </c>
      <c r="B610" s="1" t="n">
        <v>44838</v>
      </c>
      <c r="C610" s="1" t="n">
        <v>45985</v>
      </c>
      <c r="D610" t="inlineStr">
        <is>
          <t>DALARNAS LÄN</t>
        </is>
      </c>
      <c r="E610" t="inlineStr">
        <is>
          <t>MORA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29754-2022</t>
        </is>
      </c>
      <c r="B611" s="1" t="n">
        <v>44755.59188657408</v>
      </c>
      <c r="C611" s="1" t="n">
        <v>45985</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36579-2022</t>
        </is>
      </c>
      <c r="B612" s="1" t="n">
        <v>44804.61636574074</v>
      </c>
      <c r="C612" s="1" t="n">
        <v>45985</v>
      </c>
      <c r="D612" t="inlineStr">
        <is>
          <t>DALARNAS LÄN</t>
        </is>
      </c>
      <c r="E612" t="inlineStr">
        <is>
          <t>MORA</t>
        </is>
      </c>
      <c r="G612" t="n">
        <v>2.3</v>
      </c>
      <c r="H612" t="n">
        <v>0</v>
      </c>
      <c r="I612" t="n">
        <v>0</v>
      </c>
      <c r="J612" t="n">
        <v>0</v>
      </c>
      <c r="K612" t="n">
        <v>0</v>
      </c>
      <c r="L612" t="n">
        <v>0</v>
      </c>
      <c r="M612" t="n">
        <v>0</v>
      </c>
      <c r="N612" t="n">
        <v>0</v>
      </c>
      <c r="O612" t="n">
        <v>0</v>
      </c>
      <c r="P612" t="n">
        <v>0</v>
      </c>
      <c r="Q612" t="n">
        <v>0</v>
      </c>
      <c r="R612" s="2" t="inlineStr"/>
    </row>
    <row r="613" ht="15" customHeight="1">
      <c r="A613" t="inlineStr">
        <is>
          <t>A 3531-2024</t>
        </is>
      </c>
      <c r="B613" s="1" t="n">
        <v>45320</v>
      </c>
      <c r="C613" s="1" t="n">
        <v>45985</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c r="U613">
        <f>HYPERLINK("https://klasma.github.io/Logging_2062/knärot/A 3531-2024 karta knärot.png", "A 3531-2024")</f>
        <v/>
      </c>
      <c r="V613">
        <f>HYPERLINK("https://klasma.github.io/Logging_2062/klagomål/A 3531-2024 FSC-klagomål.docx", "A 3531-2024")</f>
        <v/>
      </c>
      <c r="W613">
        <f>HYPERLINK("https://klasma.github.io/Logging_2062/klagomålsmail/A 3531-2024 FSC-klagomål mail.docx", "A 3531-2024")</f>
        <v/>
      </c>
      <c r="X613">
        <f>HYPERLINK("https://klasma.github.io/Logging_2062/tillsyn/A 3531-2024 tillsynsbegäran.docx", "A 3531-2024")</f>
        <v/>
      </c>
      <c r="Y613">
        <f>HYPERLINK("https://klasma.github.io/Logging_2062/tillsynsmail/A 3531-2024 tillsynsbegäran mail.docx", "A 3531-2024")</f>
        <v/>
      </c>
    </row>
    <row r="614" ht="15" customHeight="1">
      <c r="A614" t="inlineStr">
        <is>
          <t>A 39009-2023</t>
        </is>
      </c>
      <c r="B614" s="1" t="n">
        <v>45162</v>
      </c>
      <c r="C614" s="1" t="n">
        <v>45985</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44769-2021</t>
        </is>
      </c>
      <c r="B615" s="1" t="n">
        <v>44438</v>
      </c>
      <c r="C615" s="1" t="n">
        <v>45985</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28487-2024</t>
        </is>
      </c>
      <c r="B616" s="1" t="n">
        <v>45477.75744212963</v>
      </c>
      <c r="C616" s="1" t="n">
        <v>45985</v>
      </c>
      <c r="D616" t="inlineStr">
        <is>
          <t>DALARNAS LÄN</t>
        </is>
      </c>
      <c r="E616" t="inlineStr">
        <is>
          <t>MORA</t>
        </is>
      </c>
      <c r="G616" t="n">
        <v>3.1</v>
      </c>
      <c r="H616" t="n">
        <v>0</v>
      </c>
      <c r="I616" t="n">
        <v>0</v>
      </c>
      <c r="J616" t="n">
        <v>0</v>
      </c>
      <c r="K616" t="n">
        <v>0</v>
      </c>
      <c r="L616" t="n">
        <v>0</v>
      </c>
      <c r="M616" t="n">
        <v>0</v>
      </c>
      <c r="N616" t="n">
        <v>0</v>
      </c>
      <c r="O616" t="n">
        <v>0</v>
      </c>
      <c r="P616" t="n">
        <v>0</v>
      </c>
      <c r="Q616" t="n">
        <v>0</v>
      </c>
      <c r="R616" s="2" t="inlineStr"/>
    </row>
    <row r="617" ht="15" customHeight="1">
      <c r="A617" t="inlineStr">
        <is>
          <t>A 48728-2022</t>
        </is>
      </c>
      <c r="B617" s="1" t="n">
        <v>44859.52145833334</v>
      </c>
      <c r="C617" s="1" t="n">
        <v>45985</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61222-2023</t>
        </is>
      </c>
      <c r="B618" s="1" t="n">
        <v>45264</v>
      </c>
      <c r="C618" s="1" t="n">
        <v>45985</v>
      </c>
      <c r="D618" t="inlineStr">
        <is>
          <t>DALARNAS LÄN</t>
        </is>
      </c>
      <c r="E618" t="inlineStr">
        <is>
          <t>MORA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60526-2023</t>
        </is>
      </c>
      <c r="B619" s="1" t="n">
        <v>45259</v>
      </c>
      <c r="C619" s="1" t="n">
        <v>45985</v>
      </c>
      <c r="D619" t="inlineStr">
        <is>
          <t>DALARNAS LÄN</t>
        </is>
      </c>
      <c r="E619" t="inlineStr">
        <is>
          <t>MORA</t>
        </is>
      </c>
      <c r="G619" t="n">
        <v>6.7</v>
      </c>
      <c r="H619" t="n">
        <v>0</v>
      </c>
      <c r="I619" t="n">
        <v>0</v>
      </c>
      <c r="J619" t="n">
        <v>0</v>
      </c>
      <c r="K619" t="n">
        <v>0</v>
      </c>
      <c r="L619" t="n">
        <v>0</v>
      </c>
      <c r="M619" t="n">
        <v>0</v>
      </c>
      <c r="N619" t="n">
        <v>0</v>
      </c>
      <c r="O619" t="n">
        <v>0</v>
      </c>
      <c r="P619" t="n">
        <v>0</v>
      </c>
      <c r="Q619" t="n">
        <v>0</v>
      </c>
      <c r="R619" s="2" t="inlineStr"/>
    </row>
    <row r="620" ht="15" customHeight="1">
      <c r="A620" t="inlineStr">
        <is>
          <t>A 63958-2023</t>
        </is>
      </c>
      <c r="B620" s="1" t="n">
        <v>45278</v>
      </c>
      <c r="C620" s="1" t="n">
        <v>45985</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52908-2023</t>
        </is>
      </c>
      <c r="B621" s="1" t="n">
        <v>45226.49950231481</v>
      </c>
      <c r="C621" s="1" t="n">
        <v>45985</v>
      </c>
      <c r="D621" t="inlineStr">
        <is>
          <t>DALARNAS LÄN</t>
        </is>
      </c>
      <c r="E621" t="inlineStr">
        <is>
          <t>MORA</t>
        </is>
      </c>
      <c r="G621" t="n">
        <v>3.3</v>
      </c>
      <c r="H621" t="n">
        <v>0</v>
      </c>
      <c r="I621" t="n">
        <v>0</v>
      </c>
      <c r="J621" t="n">
        <v>0</v>
      </c>
      <c r="K621" t="n">
        <v>0</v>
      </c>
      <c r="L621" t="n">
        <v>0</v>
      </c>
      <c r="M621" t="n">
        <v>0</v>
      </c>
      <c r="N621" t="n">
        <v>0</v>
      </c>
      <c r="O621" t="n">
        <v>0</v>
      </c>
      <c r="P621" t="n">
        <v>0</v>
      </c>
      <c r="Q621" t="n">
        <v>0</v>
      </c>
      <c r="R621" s="2" t="inlineStr"/>
    </row>
    <row r="622" ht="15" customHeight="1">
      <c r="A622" t="inlineStr">
        <is>
          <t>A 19896-2021</t>
        </is>
      </c>
      <c r="B622" s="1" t="n">
        <v>44313.54942129629</v>
      </c>
      <c r="C622" s="1" t="n">
        <v>45985</v>
      </c>
      <c r="D622" t="inlineStr">
        <is>
          <t>DALARNAS LÄN</t>
        </is>
      </c>
      <c r="E622" t="inlineStr">
        <is>
          <t>MORA</t>
        </is>
      </c>
      <c r="G622" t="n">
        <v>1.8</v>
      </c>
      <c r="H622" t="n">
        <v>0</v>
      </c>
      <c r="I622" t="n">
        <v>0</v>
      </c>
      <c r="J622" t="n">
        <v>0</v>
      </c>
      <c r="K622" t="n">
        <v>0</v>
      </c>
      <c r="L622" t="n">
        <v>0</v>
      </c>
      <c r="M622" t="n">
        <v>0</v>
      </c>
      <c r="N622" t="n">
        <v>0</v>
      </c>
      <c r="O622" t="n">
        <v>0</v>
      </c>
      <c r="P622" t="n">
        <v>0</v>
      </c>
      <c r="Q622" t="n">
        <v>0</v>
      </c>
      <c r="R622" s="2" t="inlineStr"/>
    </row>
    <row r="623" ht="15" customHeight="1">
      <c r="A623" t="inlineStr">
        <is>
          <t>A 51253-2023</t>
        </is>
      </c>
      <c r="B623" s="1" t="n">
        <v>45219</v>
      </c>
      <c r="C623" s="1" t="n">
        <v>45985</v>
      </c>
      <c r="D623" t="inlineStr">
        <is>
          <t>DALARNAS LÄN</t>
        </is>
      </c>
      <c r="E623" t="inlineStr">
        <is>
          <t>MORA</t>
        </is>
      </c>
      <c r="G623" t="n">
        <v>5</v>
      </c>
      <c r="H623" t="n">
        <v>0</v>
      </c>
      <c r="I623" t="n">
        <v>0</v>
      </c>
      <c r="J623" t="n">
        <v>0</v>
      </c>
      <c r="K623" t="n">
        <v>0</v>
      </c>
      <c r="L623" t="n">
        <v>0</v>
      </c>
      <c r="M623" t="n">
        <v>0</v>
      </c>
      <c r="N623" t="n">
        <v>0</v>
      </c>
      <c r="O623" t="n">
        <v>0</v>
      </c>
      <c r="P623" t="n">
        <v>0</v>
      </c>
      <c r="Q623" t="n">
        <v>0</v>
      </c>
      <c r="R623" s="2" t="inlineStr"/>
    </row>
    <row r="624" ht="15" customHeight="1">
      <c r="A624" t="inlineStr">
        <is>
          <t>A 58116-2022</t>
        </is>
      </c>
      <c r="B624" s="1" t="n">
        <v>44900.65716435185</v>
      </c>
      <c r="C624" s="1" t="n">
        <v>45985</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33666-2024</t>
        </is>
      </c>
      <c r="B625" s="1" t="n">
        <v>45520.48304398148</v>
      </c>
      <c r="C625" s="1" t="n">
        <v>45985</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42941-2024</t>
        </is>
      </c>
      <c r="B626" s="1" t="n">
        <v>45567.3515162037</v>
      </c>
      <c r="C626" s="1" t="n">
        <v>45985</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45985</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53341-2023</t>
        </is>
      </c>
      <c r="B628" s="1" t="n">
        <v>45229</v>
      </c>
      <c r="C628" s="1" t="n">
        <v>45985</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5001-2025</t>
        </is>
      </c>
      <c r="B629" s="1" t="n">
        <v>45691.36403935185</v>
      </c>
      <c r="C629" s="1" t="n">
        <v>45985</v>
      </c>
      <c r="D629" t="inlineStr">
        <is>
          <t>DALARNAS LÄN</t>
        </is>
      </c>
      <c r="E629" t="inlineStr">
        <is>
          <t>MORA</t>
        </is>
      </c>
      <c r="G629" t="n">
        <v>1.3</v>
      </c>
      <c r="H629" t="n">
        <v>0</v>
      </c>
      <c r="I629" t="n">
        <v>0</v>
      </c>
      <c r="J629" t="n">
        <v>0</v>
      </c>
      <c r="K629" t="n">
        <v>0</v>
      </c>
      <c r="L629" t="n">
        <v>0</v>
      </c>
      <c r="M629" t="n">
        <v>0</v>
      </c>
      <c r="N629" t="n">
        <v>0</v>
      </c>
      <c r="O629" t="n">
        <v>0</v>
      </c>
      <c r="P629" t="n">
        <v>0</v>
      </c>
      <c r="Q629" t="n">
        <v>0</v>
      </c>
      <c r="R629" s="2" t="inlineStr"/>
    </row>
    <row r="630" ht="15" customHeight="1">
      <c r="A630" t="inlineStr">
        <is>
          <t>A 54903-2024</t>
        </is>
      </c>
      <c r="B630" s="1" t="n">
        <v>45618</v>
      </c>
      <c r="C630" s="1" t="n">
        <v>45985</v>
      </c>
      <c r="D630" t="inlineStr">
        <is>
          <t>DALARNAS LÄN</t>
        </is>
      </c>
      <c r="E630" t="inlineStr">
        <is>
          <t>MORA</t>
        </is>
      </c>
      <c r="G630" t="n">
        <v>28.2</v>
      </c>
      <c r="H630" t="n">
        <v>0</v>
      </c>
      <c r="I630" t="n">
        <v>0</v>
      </c>
      <c r="J630" t="n">
        <v>0</v>
      </c>
      <c r="K630" t="n">
        <v>0</v>
      </c>
      <c r="L630" t="n">
        <v>0</v>
      </c>
      <c r="M630" t="n">
        <v>0</v>
      </c>
      <c r="N630" t="n">
        <v>0</v>
      </c>
      <c r="O630" t="n">
        <v>0</v>
      </c>
      <c r="P630" t="n">
        <v>0</v>
      </c>
      <c r="Q630" t="n">
        <v>0</v>
      </c>
      <c r="R630" s="2" t="inlineStr"/>
    </row>
    <row r="631" ht="15" customHeight="1">
      <c r="A631" t="inlineStr">
        <is>
          <t>A 14040-2023</t>
        </is>
      </c>
      <c r="B631" s="1" t="n">
        <v>45008.64575231481</v>
      </c>
      <c r="C631" s="1" t="n">
        <v>45985</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55331-2022</t>
        </is>
      </c>
      <c r="B632" s="1" t="n">
        <v>44887.43714120371</v>
      </c>
      <c r="C632" s="1" t="n">
        <v>45985</v>
      </c>
      <c r="D632" t="inlineStr">
        <is>
          <t>DALARNAS LÄN</t>
        </is>
      </c>
      <c r="E632" t="inlineStr">
        <is>
          <t>MORA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45475-2023</t>
        </is>
      </c>
      <c r="B633" s="1" t="n">
        <v>45188</v>
      </c>
      <c r="C633" s="1" t="n">
        <v>45985</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11919-2024</t>
        </is>
      </c>
      <c r="B634" s="1" t="n">
        <v>45376.61019675926</v>
      </c>
      <c r="C634" s="1" t="n">
        <v>45985</v>
      </c>
      <c r="D634" t="inlineStr">
        <is>
          <t>DALARNAS LÄN</t>
        </is>
      </c>
      <c r="E634" t="inlineStr">
        <is>
          <t>MORA</t>
        </is>
      </c>
      <c r="G634" t="n">
        <v>3.5</v>
      </c>
      <c r="H634" t="n">
        <v>0</v>
      </c>
      <c r="I634" t="n">
        <v>0</v>
      </c>
      <c r="J634" t="n">
        <v>0</v>
      </c>
      <c r="K634" t="n">
        <v>0</v>
      </c>
      <c r="L634" t="n">
        <v>0</v>
      </c>
      <c r="M634" t="n">
        <v>0</v>
      </c>
      <c r="N634" t="n">
        <v>0</v>
      </c>
      <c r="O634" t="n">
        <v>0</v>
      </c>
      <c r="P634" t="n">
        <v>0</v>
      </c>
      <c r="Q634" t="n">
        <v>0</v>
      </c>
      <c r="R634" s="2" t="inlineStr"/>
    </row>
    <row r="635" ht="15" customHeight="1">
      <c r="A635" t="inlineStr">
        <is>
          <t>A 45315-2024</t>
        </is>
      </c>
      <c r="B635" s="1" t="n">
        <v>45576.43782407408</v>
      </c>
      <c r="C635" s="1" t="n">
        <v>45985</v>
      </c>
      <c r="D635" t="inlineStr">
        <is>
          <t>DALARNAS LÄN</t>
        </is>
      </c>
      <c r="E635" t="inlineStr">
        <is>
          <t>MORA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17529-2023</t>
        </is>
      </c>
      <c r="B636" s="1" t="n">
        <v>45036.46804398148</v>
      </c>
      <c r="C636" s="1" t="n">
        <v>45985</v>
      </c>
      <c r="D636" t="inlineStr">
        <is>
          <t>DALARNAS LÄN</t>
        </is>
      </c>
      <c r="E636" t="inlineStr">
        <is>
          <t>MORA</t>
        </is>
      </c>
      <c r="G636" t="n">
        <v>6</v>
      </c>
      <c r="H636" t="n">
        <v>0</v>
      </c>
      <c r="I636" t="n">
        <v>0</v>
      </c>
      <c r="J636" t="n">
        <v>0</v>
      </c>
      <c r="K636" t="n">
        <v>0</v>
      </c>
      <c r="L636" t="n">
        <v>0</v>
      </c>
      <c r="M636" t="n">
        <v>0</v>
      </c>
      <c r="N636" t="n">
        <v>0</v>
      </c>
      <c r="O636" t="n">
        <v>0</v>
      </c>
      <c r="P636" t="n">
        <v>0</v>
      </c>
      <c r="Q636" t="n">
        <v>0</v>
      </c>
      <c r="R636" s="2" t="inlineStr"/>
    </row>
    <row r="637" ht="15" customHeight="1">
      <c r="A637" t="inlineStr">
        <is>
          <t>A 4209-2023</t>
        </is>
      </c>
      <c r="B637" s="1" t="n">
        <v>44953</v>
      </c>
      <c r="C637" s="1" t="n">
        <v>45985</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8146-2021</t>
        </is>
      </c>
      <c r="B638" s="1" t="n">
        <v>44244</v>
      </c>
      <c r="C638" s="1" t="n">
        <v>45985</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39344-2024</t>
        </is>
      </c>
      <c r="B639" s="1" t="n">
        <v>45551.44503472222</v>
      </c>
      <c r="C639" s="1" t="n">
        <v>45985</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26314-2021</t>
        </is>
      </c>
      <c r="B640" s="1" t="n">
        <v>44347</v>
      </c>
      <c r="C640" s="1" t="n">
        <v>45985</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60051-2022</t>
        </is>
      </c>
      <c r="B641" s="1" t="n">
        <v>44909.52385416667</v>
      </c>
      <c r="C641" s="1" t="n">
        <v>45985</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48390-2024</t>
        </is>
      </c>
      <c r="B642" s="1" t="n">
        <v>45590.60216435185</v>
      </c>
      <c r="C642" s="1" t="n">
        <v>45985</v>
      </c>
      <c r="D642" t="inlineStr">
        <is>
          <t>DALARNAS LÄN</t>
        </is>
      </c>
      <c r="E642" t="inlineStr">
        <is>
          <t>MORA</t>
        </is>
      </c>
      <c r="G642" t="n">
        <v>5</v>
      </c>
      <c r="H642" t="n">
        <v>0</v>
      </c>
      <c r="I642" t="n">
        <v>0</v>
      </c>
      <c r="J642" t="n">
        <v>0</v>
      </c>
      <c r="K642" t="n">
        <v>0</v>
      </c>
      <c r="L642" t="n">
        <v>0</v>
      </c>
      <c r="M642" t="n">
        <v>0</v>
      </c>
      <c r="N642" t="n">
        <v>0</v>
      </c>
      <c r="O642" t="n">
        <v>0</v>
      </c>
      <c r="P642" t="n">
        <v>0</v>
      </c>
      <c r="Q642" t="n">
        <v>0</v>
      </c>
      <c r="R642" s="2" t="inlineStr"/>
    </row>
    <row r="643" ht="15" customHeight="1">
      <c r="A643" t="inlineStr">
        <is>
          <t>A 55671-2024</t>
        </is>
      </c>
      <c r="B643" s="1" t="n">
        <v>45622.65269675926</v>
      </c>
      <c r="C643" s="1" t="n">
        <v>45985</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4208-2023</t>
        </is>
      </c>
      <c r="B644" s="1" t="n">
        <v>44953</v>
      </c>
      <c r="C644" s="1" t="n">
        <v>45985</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4210-2023</t>
        </is>
      </c>
      <c r="B645" s="1" t="n">
        <v>44953.44965277778</v>
      </c>
      <c r="C645" s="1" t="n">
        <v>45985</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5491-2023</t>
        </is>
      </c>
      <c r="B646" s="1" t="n">
        <v>44957</v>
      </c>
      <c r="C646" s="1" t="n">
        <v>45985</v>
      </c>
      <c r="D646" t="inlineStr">
        <is>
          <t>DALARNAS LÄN</t>
        </is>
      </c>
      <c r="E646" t="inlineStr">
        <is>
          <t>MORA</t>
        </is>
      </c>
      <c r="G646" t="n">
        <v>3.5</v>
      </c>
      <c r="H646" t="n">
        <v>0</v>
      </c>
      <c r="I646" t="n">
        <v>0</v>
      </c>
      <c r="J646" t="n">
        <v>0</v>
      </c>
      <c r="K646" t="n">
        <v>0</v>
      </c>
      <c r="L646" t="n">
        <v>0</v>
      </c>
      <c r="M646" t="n">
        <v>0</v>
      </c>
      <c r="N646" t="n">
        <v>0</v>
      </c>
      <c r="O646" t="n">
        <v>0</v>
      </c>
      <c r="P646" t="n">
        <v>0</v>
      </c>
      <c r="Q646" t="n">
        <v>0</v>
      </c>
      <c r="R646" s="2" t="inlineStr"/>
    </row>
    <row r="647" ht="15" customHeight="1">
      <c r="A647" t="inlineStr">
        <is>
          <t>A 5493-2023</t>
        </is>
      </c>
      <c r="B647" s="1" t="n">
        <v>44957</v>
      </c>
      <c r="C647" s="1" t="n">
        <v>45985</v>
      </c>
      <c r="D647" t="inlineStr">
        <is>
          <t>DALARNAS LÄN</t>
        </is>
      </c>
      <c r="E647" t="inlineStr">
        <is>
          <t>MORA</t>
        </is>
      </c>
      <c r="F647" t="inlineStr">
        <is>
          <t>Allmännings- och besparingsskogar</t>
        </is>
      </c>
      <c r="G647" t="n">
        <v>14.9</v>
      </c>
      <c r="H647" t="n">
        <v>0</v>
      </c>
      <c r="I647" t="n">
        <v>0</v>
      </c>
      <c r="J647" t="n">
        <v>0</v>
      </c>
      <c r="K647" t="n">
        <v>0</v>
      </c>
      <c r="L647" t="n">
        <v>0</v>
      </c>
      <c r="M647" t="n">
        <v>0</v>
      </c>
      <c r="N647" t="n">
        <v>0</v>
      </c>
      <c r="O647" t="n">
        <v>0</v>
      </c>
      <c r="P647" t="n">
        <v>0</v>
      </c>
      <c r="Q647" t="n">
        <v>0</v>
      </c>
      <c r="R647" s="2" t="inlineStr"/>
    </row>
    <row r="648" ht="15" customHeight="1">
      <c r="A648" t="inlineStr">
        <is>
          <t>A 9554-2025</t>
        </is>
      </c>
      <c r="B648" s="1" t="n">
        <v>45715.59936342593</v>
      </c>
      <c r="C648" s="1" t="n">
        <v>45985</v>
      </c>
      <c r="D648" t="inlineStr">
        <is>
          <t>DALARNAS LÄN</t>
        </is>
      </c>
      <c r="E648" t="inlineStr">
        <is>
          <t>MORA</t>
        </is>
      </c>
      <c r="G648" t="n">
        <v>0.9</v>
      </c>
      <c r="H648" t="n">
        <v>0</v>
      </c>
      <c r="I648" t="n">
        <v>0</v>
      </c>
      <c r="J648" t="n">
        <v>0</v>
      </c>
      <c r="K648" t="n">
        <v>0</v>
      </c>
      <c r="L648" t="n">
        <v>0</v>
      </c>
      <c r="M648" t="n">
        <v>0</v>
      </c>
      <c r="N648" t="n">
        <v>0</v>
      </c>
      <c r="O648" t="n">
        <v>0</v>
      </c>
      <c r="P648" t="n">
        <v>0</v>
      </c>
      <c r="Q648" t="n">
        <v>0</v>
      </c>
      <c r="R648" s="2" t="inlineStr"/>
    </row>
    <row r="649" ht="15" customHeight="1">
      <c r="A649" t="inlineStr">
        <is>
          <t>A 11463-2024</t>
        </is>
      </c>
      <c r="B649" s="1" t="n">
        <v>45372.58969907407</v>
      </c>
      <c r="C649" s="1" t="n">
        <v>45985</v>
      </c>
      <c r="D649" t="inlineStr">
        <is>
          <t>DALARNAS LÄN</t>
        </is>
      </c>
      <c r="E649" t="inlineStr">
        <is>
          <t>MORA</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27975-2023</t>
        </is>
      </c>
      <c r="B650" s="1" t="n">
        <v>45098</v>
      </c>
      <c r="C650" s="1" t="n">
        <v>45985</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5769-2025</t>
        </is>
      </c>
      <c r="B651" s="1" t="n">
        <v>45694.59288194445</v>
      </c>
      <c r="C651" s="1" t="n">
        <v>45985</v>
      </c>
      <c r="D651" t="inlineStr">
        <is>
          <t>DALARNAS LÄN</t>
        </is>
      </c>
      <c r="E651" t="inlineStr">
        <is>
          <t>MORA</t>
        </is>
      </c>
      <c r="G651" t="n">
        <v>15.7</v>
      </c>
      <c r="H651" t="n">
        <v>0</v>
      </c>
      <c r="I651" t="n">
        <v>0</v>
      </c>
      <c r="J651" t="n">
        <v>0</v>
      </c>
      <c r="K651" t="n">
        <v>0</v>
      </c>
      <c r="L651" t="n">
        <v>0</v>
      </c>
      <c r="M651" t="n">
        <v>0</v>
      </c>
      <c r="N651" t="n">
        <v>0</v>
      </c>
      <c r="O651" t="n">
        <v>0</v>
      </c>
      <c r="P651" t="n">
        <v>0</v>
      </c>
      <c r="Q651" t="n">
        <v>0</v>
      </c>
      <c r="R651" s="2" t="inlineStr"/>
    </row>
    <row r="652" ht="15" customHeight="1">
      <c r="A652" t="inlineStr">
        <is>
          <t>A 59101-2024</t>
        </is>
      </c>
      <c r="B652" s="1" t="n">
        <v>45637.34074074074</v>
      </c>
      <c r="C652" s="1" t="n">
        <v>45985</v>
      </c>
      <c r="D652" t="inlineStr">
        <is>
          <t>DALARNAS LÄN</t>
        </is>
      </c>
      <c r="E652" t="inlineStr">
        <is>
          <t>MORA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43874-2024</t>
        </is>
      </c>
      <c r="B653" s="1" t="n">
        <v>45572.38476851852</v>
      </c>
      <c r="C653" s="1" t="n">
        <v>45985</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57903-2022</t>
        </is>
      </c>
      <c r="B654" s="1" t="n">
        <v>44900.3521412037</v>
      </c>
      <c r="C654" s="1" t="n">
        <v>45985</v>
      </c>
      <c r="D654" t="inlineStr">
        <is>
          <t>DALARNAS LÄN</t>
        </is>
      </c>
      <c r="E654" t="inlineStr">
        <is>
          <t>MORA</t>
        </is>
      </c>
      <c r="G654" t="n">
        <v>4.3</v>
      </c>
      <c r="H654" t="n">
        <v>0</v>
      </c>
      <c r="I654" t="n">
        <v>0</v>
      </c>
      <c r="J654" t="n">
        <v>0</v>
      </c>
      <c r="K654" t="n">
        <v>0</v>
      </c>
      <c r="L654" t="n">
        <v>0</v>
      </c>
      <c r="M654" t="n">
        <v>0</v>
      </c>
      <c r="N654" t="n">
        <v>0</v>
      </c>
      <c r="O654" t="n">
        <v>0</v>
      </c>
      <c r="P654" t="n">
        <v>0</v>
      </c>
      <c r="Q654" t="n">
        <v>0</v>
      </c>
      <c r="R654" s="2" t="inlineStr"/>
    </row>
    <row r="655" ht="15" customHeight="1">
      <c r="A655" t="inlineStr">
        <is>
          <t>A 24169-2022</t>
        </is>
      </c>
      <c r="B655" s="1" t="n">
        <v>44725.50280092593</v>
      </c>
      <c r="C655" s="1" t="n">
        <v>45985</v>
      </c>
      <c r="D655" t="inlineStr">
        <is>
          <t>DALARNAS LÄN</t>
        </is>
      </c>
      <c r="E655" t="inlineStr">
        <is>
          <t>MORA</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65186-2021</t>
        </is>
      </c>
      <c r="B656" s="1" t="n">
        <v>44515</v>
      </c>
      <c r="C656" s="1" t="n">
        <v>45985</v>
      </c>
      <c r="D656" t="inlineStr">
        <is>
          <t>DALARNAS LÄN</t>
        </is>
      </c>
      <c r="E656" t="inlineStr">
        <is>
          <t>MORA</t>
        </is>
      </c>
      <c r="G656" t="n">
        <v>1.4</v>
      </c>
      <c r="H656" t="n">
        <v>0</v>
      </c>
      <c r="I656" t="n">
        <v>0</v>
      </c>
      <c r="J656" t="n">
        <v>0</v>
      </c>
      <c r="K656" t="n">
        <v>0</v>
      </c>
      <c r="L656" t="n">
        <v>0</v>
      </c>
      <c r="M656" t="n">
        <v>0</v>
      </c>
      <c r="N656" t="n">
        <v>0</v>
      </c>
      <c r="O656" t="n">
        <v>0</v>
      </c>
      <c r="P656" t="n">
        <v>0</v>
      </c>
      <c r="Q656" t="n">
        <v>0</v>
      </c>
      <c r="R656" s="2" t="inlineStr"/>
    </row>
    <row r="657" ht="15" customHeight="1">
      <c r="A657" t="inlineStr">
        <is>
          <t>A 58892-2023</t>
        </is>
      </c>
      <c r="B657" s="1" t="n">
        <v>45252.48592592592</v>
      </c>
      <c r="C657" s="1" t="n">
        <v>45985</v>
      </c>
      <c r="D657" t="inlineStr">
        <is>
          <t>DALARNAS LÄN</t>
        </is>
      </c>
      <c r="E657" t="inlineStr">
        <is>
          <t>MORA</t>
        </is>
      </c>
      <c r="G657" t="n">
        <v>2.2</v>
      </c>
      <c r="H657" t="n">
        <v>0</v>
      </c>
      <c r="I657" t="n">
        <v>0</v>
      </c>
      <c r="J657" t="n">
        <v>0</v>
      </c>
      <c r="K657" t="n">
        <v>0</v>
      </c>
      <c r="L657" t="n">
        <v>0</v>
      </c>
      <c r="M657" t="n">
        <v>0</v>
      </c>
      <c r="N657" t="n">
        <v>0</v>
      </c>
      <c r="O657" t="n">
        <v>0</v>
      </c>
      <c r="P657" t="n">
        <v>0</v>
      </c>
      <c r="Q657" t="n">
        <v>0</v>
      </c>
      <c r="R657" s="2" t="inlineStr"/>
    </row>
    <row r="658" ht="15" customHeight="1">
      <c r="A658" t="inlineStr">
        <is>
          <t>A 11442-2022</t>
        </is>
      </c>
      <c r="B658" s="1" t="n">
        <v>44630.62788194444</v>
      </c>
      <c r="C658" s="1" t="n">
        <v>45985</v>
      </c>
      <c r="D658" t="inlineStr">
        <is>
          <t>DALARNAS LÄN</t>
        </is>
      </c>
      <c r="E658" t="inlineStr">
        <is>
          <t>MORA</t>
        </is>
      </c>
      <c r="G658" t="n">
        <v>0.5</v>
      </c>
      <c r="H658" t="n">
        <v>0</v>
      </c>
      <c r="I658" t="n">
        <v>0</v>
      </c>
      <c r="J658" t="n">
        <v>0</v>
      </c>
      <c r="K658" t="n">
        <v>0</v>
      </c>
      <c r="L658" t="n">
        <v>0</v>
      </c>
      <c r="M658" t="n">
        <v>0</v>
      </c>
      <c r="N658" t="n">
        <v>0</v>
      </c>
      <c r="O658" t="n">
        <v>0</v>
      </c>
      <c r="P658" t="n">
        <v>0</v>
      </c>
      <c r="Q658" t="n">
        <v>0</v>
      </c>
      <c r="R658" s="2" t="inlineStr"/>
    </row>
    <row r="659" ht="15" customHeight="1">
      <c r="A659" t="inlineStr">
        <is>
          <t>A 6183-2024</t>
        </is>
      </c>
      <c r="B659" s="1" t="n">
        <v>45337.54135416666</v>
      </c>
      <c r="C659" s="1" t="n">
        <v>45985</v>
      </c>
      <c r="D659" t="inlineStr">
        <is>
          <t>DALARNAS LÄN</t>
        </is>
      </c>
      <c r="E659" t="inlineStr">
        <is>
          <t>MORA</t>
        </is>
      </c>
      <c r="G659" t="n">
        <v>7.9</v>
      </c>
      <c r="H659" t="n">
        <v>0</v>
      </c>
      <c r="I659" t="n">
        <v>0</v>
      </c>
      <c r="J659" t="n">
        <v>0</v>
      </c>
      <c r="K659" t="n">
        <v>0</v>
      </c>
      <c r="L659" t="n">
        <v>0</v>
      </c>
      <c r="M659" t="n">
        <v>0</v>
      </c>
      <c r="N659" t="n">
        <v>0</v>
      </c>
      <c r="O659" t="n">
        <v>0</v>
      </c>
      <c r="P659" t="n">
        <v>0</v>
      </c>
      <c r="Q659" t="n">
        <v>0</v>
      </c>
      <c r="R659" s="2" t="inlineStr"/>
    </row>
    <row r="660" ht="15" customHeight="1">
      <c r="A660" t="inlineStr">
        <is>
          <t>A 45562-2023</t>
        </is>
      </c>
      <c r="B660" s="1" t="n">
        <v>45194.59378472222</v>
      </c>
      <c r="C660" s="1" t="n">
        <v>45985</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35551-2023</t>
        </is>
      </c>
      <c r="B661" s="1" t="n">
        <v>45147.3934837963</v>
      </c>
      <c r="C661" s="1" t="n">
        <v>45985</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23300-2024</t>
        </is>
      </c>
      <c r="B662" s="1" t="n">
        <v>45453.43695601852</v>
      </c>
      <c r="C662" s="1" t="n">
        <v>45985</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56268-2024</t>
        </is>
      </c>
      <c r="B663" s="1" t="n">
        <v>45624.65785879629</v>
      </c>
      <c r="C663" s="1" t="n">
        <v>45985</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571-2024</t>
        </is>
      </c>
      <c r="B664" s="1" t="n">
        <v>45299</v>
      </c>
      <c r="C664" s="1" t="n">
        <v>45985</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50056-2022</t>
        </is>
      </c>
      <c r="B665" s="1" t="n">
        <v>44865</v>
      </c>
      <c r="C665" s="1" t="n">
        <v>45985</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15499-2024</t>
        </is>
      </c>
      <c r="B666" s="1" t="n">
        <v>45401.53798611111</v>
      </c>
      <c r="C666" s="1" t="n">
        <v>45985</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45985</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39888-2024</t>
        </is>
      </c>
      <c r="B668" s="1" t="n">
        <v>45553.47538194444</v>
      </c>
      <c r="C668" s="1" t="n">
        <v>45985</v>
      </c>
      <c r="D668" t="inlineStr">
        <is>
          <t>DALARNAS LÄN</t>
        </is>
      </c>
      <c r="E668" t="inlineStr">
        <is>
          <t>MORA</t>
        </is>
      </c>
      <c r="G668" t="n">
        <v>5.4</v>
      </c>
      <c r="H668" t="n">
        <v>0</v>
      </c>
      <c r="I668" t="n">
        <v>0</v>
      </c>
      <c r="J668" t="n">
        <v>0</v>
      </c>
      <c r="K668" t="n">
        <v>0</v>
      </c>
      <c r="L668" t="n">
        <v>0</v>
      </c>
      <c r="M668" t="n">
        <v>0</v>
      </c>
      <c r="N668" t="n">
        <v>0</v>
      </c>
      <c r="O668" t="n">
        <v>0</v>
      </c>
      <c r="P668" t="n">
        <v>0</v>
      </c>
      <c r="Q668" t="n">
        <v>0</v>
      </c>
      <c r="R668" s="2" t="inlineStr"/>
    </row>
    <row r="669" ht="15" customHeight="1">
      <c r="A669" t="inlineStr">
        <is>
          <t>A 12828-2023</t>
        </is>
      </c>
      <c r="B669" s="1" t="n">
        <v>45001</v>
      </c>
      <c r="C669" s="1" t="n">
        <v>45985</v>
      </c>
      <c r="D669" t="inlineStr">
        <is>
          <t>DALARNAS LÄN</t>
        </is>
      </c>
      <c r="E669" t="inlineStr">
        <is>
          <t>MORA</t>
        </is>
      </c>
      <c r="F669" t="inlineStr">
        <is>
          <t>Bergvik skog väst AB</t>
        </is>
      </c>
      <c r="G669" t="n">
        <v>5.4</v>
      </c>
      <c r="H669" t="n">
        <v>0</v>
      </c>
      <c r="I669" t="n">
        <v>0</v>
      </c>
      <c r="J669" t="n">
        <v>0</v>
      </c>
      <c r="K669" t="n">
        <v>0</v>
      </c>
      <c r="L669" t="n">
        <v>0</v>
      </c>
      <c r="M669" t="n">
        <v>0</v>
      </c>
      <c r="N669" t="n">
        <v>0</v>
      </c>
      <c r="O669" t="n">
        <v>0</v>
      </c>
      <c r="P669" t="n">
        <v>0</v>
      </c>
      <c r="Q669" t="n">
        <v>0</v>
      </c>
      <c r="R669" s="2" t="inlineStr"/>
    </row>
    <row r="670" ht="15" customHeight="1">
      <c r="A670" t="inlineStr">
        <is>
          <t>A 60099-2024</t>
        </is>
      </c>
      <c r="B670" s="1" t="n">
        <v>45642.55645833333</v>
      </c>
      <c r="C670" s="1" t="n">
        <v>45985</v>
      </c>
      <c r="D670" t="inlineStr">
        <is>
          <t>DALARNAS LÄN</t>
        </is>
      </c>
      <c r="E670" t="inlineStr">
        <is>
          <t>MORA</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53750-2024</t>
        </is>
      </c>
      <c r="B671" s="1" t="n">
        <v>45615.48465277778</v>
      </c>
      <c r="C671" s="1" t="n">
        <v>45985</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37971-2024</t>
        </is>
      </c>
      <c r="B672" s="1" t="n">
        <v>45544</v>
      </c>
      <c r="C672" s="1" t="n">
        <v>45985</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18122-2025</t>
        </is>
      </c>
      <c r="B673" s="1" t="n">
        <v>45761.59221064814</v>
      </c>
      <c r="C673" s="1" t="n">
        <v>45985</v>
      </c>
      <c r="D673" t="inlineStr">
        <is>
          <t>DALARNAS LÄN</t>
        </is>
      </c>
      <c r="E673" t="inlineStr">
        <is>
          <t>MORA</t>
        </is>
      </c>
      <c r="F673" t="inlineStr">
        <is>
          <t>Bergvik skog öst AB</t>
        </is>
      </c>
      <c r="G673" t="n">
        <v>1.1</v>
      </c>
      <c r="H673" t="n">
        <v>0</v>
      </c>
      <c r="I673" t="n">
        <v>0</v>
      </c>
      <c r="J673" t="n">
        <v>0</v>
      </c>
      <c r="K673" t="n">
        <v>0</v>
      </c>
      <c r="L673" t="n">
        <v>0</v>
      </c>
      <c r="M673" t="n">
        <v>0</v>
      </c>
      <c r="N673" t="n">
        <v>0</v>
      </c>
      <c r="O673" t="n">
        <v>0</v>
      </c>
      <c r="P673" t="n">
        <v>0</v>
      </c>
      <c r="Q673" t="n">
        <v>0</v>
      </c>
      <c r="R673" s="2" t="inlineStr"/>
    </row>
    <row r="674" ht="15" customHeight="1">
      <c r="A674" t="inlineStr">
        <is>
          <t>A 46923-2024</t>
        </is>
      </c>
      <c r="B674" s="1" t="n">
        <v>45584.42887731481</v>
      </c>
      <c r="C674" s="1" t="n">
        <v>45985</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13262-2022</t>
        </is>
      </c>
      <c r="B675" s="1" t="n">
        <v>44644.70184027778</v>
      </c>
      <c r="C675" s="1" t="n">
        <v>45985</v>
      </c>
      <c r="D675" t="inlineStr">
        <is>
          <t>DALARNAS LÄN</t>
        </is>
      </c>
      <c r="E675" t="inlineStr">
        <is>
          <t>MORA</t>
        </is>
      </c>
      <c r="G675" t="n">
        <v>0.8</v>
      </c>
      <c r="H675" t="n">
        <v>0</v>
      </c>
      <c r="I675" t="n">
        <v>0</v>
      </c>
      <c r="J675" t="n">
        <v>0</v>
      </c>
      <c r="K675" t="n">
        <v>0</v>
      </c>
      <c r="L675" t="n">
        <v>0</v>
      </c>
      <c r="M675" t="n">
        <v>0</v>
      </c>
      <c r="N675" t="n">
        <v>0</v>
      </c>
      <c r="O675" t="n">
        <v>0</v>
      </c>
      <c r="P675" t="n">
        <v>0</v>
      </c>
      <c r="Q675" t="n">
        <v>0</v>
      </c>
      <c r="R675" s="2" t="inlineStr"/>
    </row>
    <row r="676" ht="15" customHeight="1">
      <c r="A676" t="inlineStr">
        <is>
          <t>A 47036-2023</t>
        </is>
      </c>
      <c r="B676" s="1" t="n">
        <v>45196</v>
      </c>
      <c r="C676" s="1" t="n">
        <v>45985</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1897-2023</t>
        </is>
      </c>
      <c r="B677" s="1" t="n">
        <v>44937</v>
      </c>
      <c r="C677" s="1" t="n">
        <v>45985</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20549-2025</t>
        </is>
      </c>
      <c r="B678" s="1" t="n">
        <v>45775.63459490741</v>
      </c>
      <c r="C678" s="1" t="n">
        <v>45985</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19193-2025</t>
        </is>
      </c>
      <c r="B679" s="1" t="n">
        <v>45769.42203703704</v>
      </c>
      <c r="C679" s="1" t="n">
        <v>45985</v>
      </c>
      <c r="D679" t="inlineStr">
        <is>
          <t>DALARNAS LÄN</t>
        </is>
      </c>
      <c r="E679" t="inlineStr">
        <is>
          <t>MORA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19814-2025</t>
        </is>
      </c>
      <c r="B680" s="1" t="n">
        <v>45771.45686342593</v>
      </c>
      <c r="C680" s="1" t="n">
        <v>45985</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8100-2024</t>
        </is>
      </c>
      <c r="B681" s="1" t="n">
        <v>45351.46583333334</v>
      </c>
      <c r="C681" s="1" t="n">
        <v>45985</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9855-2024</t>
        </is>
      </c>
      <c r="B682" s="1" t="n">
        <v>45363.40368055556</v>
      </c>
      <c r="C682" s="1" t="n">
        <v>45985</v>
      </c>
      <c r="D682" t="inlineStr">
        <is>
          <t>DALARNAS LÄN</t>
        </is>
      </c>
      <c r="E682" t="inlineStr">
        <is>
          <t>MORA</t>
        </is>
      </c>
      <c r="G682" t="n">
        <v>8.6</v>
      </c>
      <c r="H682" t="n">
        <v>0</v>
      </c>
      <c r="I682" t="n">
        <v>0</v>
      </c>
      <c r="J682" t="n">
        <v>0</v>
      </c>
      <c r="K682" t="n">
        <v>0</v>
      </c>
      <c r="L682" t="n">
        <v>0</v>
      </c>
      <c r="M682" t="n">
        <v>0</v>
      </c>
      <c r="N682" t="n">
        <v>0</v>
      </c>
      <c r="O682" t="n">
        <v>0</v>
      </c>
      <c r="P682" t="n">
        <v>0</v>
      </c>
      <c r="Q682" t="n">
        <v>0</v>
      </c>
      <c r="R682" s="2" t="inlineStr"/>
    </row>
    <row r="683" ht="15" customHeight="1">
      <c r="A683" t="inlineStr">
        <is>
          <t>A 22732-2024</t>
        </is>
      </c>
      <c r="B683" s="1" t="n">
        <v>45448.38677083333</v>
      </c>
      <c r="C683" s="1" t="n">
        <v>45985</v>
      </c>
      <c r="D683" t="inlineStr">
        <is>
          <t>DALARNAS LÄN</t>
        </is>
      </c>
      <c r="E683" t="inlineStr">
        <is>
          <t>MORA</t>
        </is>
      </c>
      <c r="G683" t="n">
        <v>3.6</v>
      </c>
      <c r="H683" t="n">
        <v>0</v>
      </c>
      <c r="I683" t="n">
        <v>0</v>
      </c>
      <c r="J683" t="n">
        <v>0</v>
      </c>
      <c r="K683" t="n">
        <v>0</v>
      </c>
      <c r="L683" t="n">
        <v>0</v>
      </c>
      <c r="M683" t="n">
        <v>0</v>
      </c>
      <c r="N683" t="n">
        <v>0</v>
      </c>
      <c r="O683" t="n">
        <v>0</v>
      </c>
      <c r="P683" t="n">
        <v>0</v>
      </c>
      <c r="Q683" t="n">
        <v>0</v>
      </c>
      <c r="R683" s="2" t="inlineStr"/>
    </row>
    <row r="684" ht="15" customHeight="1">
      <c r="A684" t="inlineStr">
        <is>
          <t>A 47784-2024</t>
        </is>
      </c>
      <c r="B684" s="1" t="n">
        <v>45588.59290509259</v>
      </c>
      <c r="C684" s="1" t="n">
        <v>45985</v>
      </c>
      <c r="D684" t="inlineStr">
        <is>
          <t>DALARNAS LÄN</t>
        </is>
      </c>
      <c r="E684" t="inlineStr">
        <is>
          <t>MORA</t>
        </is>
      </c>
      <c r="G684" t="n">
        <v>15.3</v>
      </c>
      <c r="H684" t="n">
        <v>0</v>
      </c>
      <c r="I684" t="n">
        <v>0</v>
      </c>
      <c r="J684" t="n">
        <v>0</v>
      </c>
      <c r="K684" t="n">
        <v>0</v>
      </c>
      <c r="L684" t="n">
        <v>0</v>
      </c>
      <c r="M684" t="n">
        <v>0</v>
      </c>
      <c r="N684" t="n">
        <v>0</v>
      </c>
      <c r="O684" t="n">
        <v>0</v>
      </c>
      <c r="P684" t="n">
        <v>0</v>
      </c>
      <c r="Q684" t="n">
        <v>0</v>
      </c>
      <c r="R684" s="2" t="inlineStr"/>
    </row>
    <row r="685" ht="15" customHeight="1">
      <c r="A685" t="inlineStr">
        <is>
          <t>A 64099-2023</t>
        </is>
      </c>
      <c r="B685" s="1" t="n">
        <v>45279.46009259259</v>
      </c>
      <c r="C685" s="1" t="n">
        <v>45985</v>
      </c>
      <c r="D685" t="inlineStr">
        <is>
          <t>DALARNAS LÄN</t>
        </is>
      </c>
      <c r="E685" t="inlineStr">
        <is>
          <t>MORA</t>
        </is>
      </c>
      <c r="G685" t="n">
        <v>0.6</v>
      </c>
      <c r="H685" t="n">
        <v>0</v>
      </c>
      <c r="I685" t="n">
        <v>0</v>
      </c>
      <c r="J685" t="n">
        <v>0</v>
      </c>
      <c r="K685" t="n">
        <v>0</v>
      </c>
      <c r="L685" t="n">
        <v>0</v>
      </c>
      <c r="M685" t="n">
        <v>0</v>
      </c>
      <c r="N685" t="n">
        <v>0</v>
      </c>
      <c r="O685" t="n">
        <v>0</v>
      </c>
      <c r="P685" t="n">
        <v>0</v>
      </c>
      <c r="Q685" t="n">
        <v>0</v>
      </c>
      <c r="R685" s="2" t="inlineStr"/>
    </row>
    <row r="686" ht="15" customHeight="1">
      <c r="A686" t="inlineStr">
        <is>
          <t>A 21244-2024</t>
        </is>
      </c>
      <c r="B686" s="1" t="n">
        <v>45440.59936342593</v>
      </c>
      <c r="C686" s="1" t="n">
        <v>45985</v>
      </c>
      <c r="D686" t="inlineStr">
        <is>
          <t>DALARNAS LÄN</t>
        </is>
      </c>
      <c r="E686" t="inlineStr">
        <is>
          <t>MORA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37471-2024</t>
        </is>
      </c>
      <c r="B687" s="1" t="n">
        <v>45540.85054398148</v>
      </c>
      <c r="C687" s="1" t="n">
        <v>45985</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33531-2024</t>
        </is>
      </c>
      <c r="B688" s="1" t="n">
        <v>45519.67503472222</v>
      </c>
      <c r="C688" s="1" t="n">
        <v>45985</v>
      </c>
      <c r="D688" t="inlineStr">
        <is>
          <t>DALARNAS LÄN</t>
        </is>
      </c>
      <c r="E688" t="inlineStr">
        <is>
          <t>MORA</t>
        </is>
      </c>
      <c r="G688" t="n">
        <v>14.8</v>
      </c>
      <c r="H688" t="n">
        <v>0</v>
      </c>
      <c r="I688" t="n">
        <v>0</v>
      </c>
      <c r="J688" t="n">
        <v>0</v>
      </c>
      <c r="K688" t="n">
        <v>0</v>
      </c>
      <c r="L688" t="n">
        <v>0</v>
      </c>
      <c r="M688" t="n">
        <v>0</v>
      </c>
      <c r="N688" t="n">
        <v>0</v>
      </c>
      <c r="O688" t="n">
        <v>0</v>
      </c>
      <c r="P688" t="n">
        <v>0</v>
      </c>
      <c r="Q688" t="n">
        <v>0</v>
      </c>
      <c r="R688" s="2" t="inlineStr"/>
    </row>
    <row r="689" ht="15" customHeight="1">
      <c r="A689" t="inlineStr">
        <is>
          <t>A 22785-2023</t>
        </is>
      </c>
      <c r="B689" s="1" t="n">
        <v>45072.34796296297</v>
      </c>
      <c r="C689" s="1" t="n">
        <v>45985</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53754-2024</t>
        </is>
      </c>
      <c r="B690" s="1" t="n">
        <v>45615.49371527778</v>
      </c>
      <c r="C690" s="1" t="n">
        <v>45985</v>
      </c>
      <c r="D690" t="inlineStr">
        <is>
          <t>DALARNAS LÄN</t>
        </is>
      </c>
      <c r="E690" t="inlineStr">
        <is>
          <t>MORA</t>
        </is>
      </c>
      <c r="G690" t="n">
        <v>4.8</v>
      </c>
      <c r="H690" t="n">
        <v>0</v>
      </c>
      <c r="I690" t="n">
        <v>0</v>
      </c>
      <c r="J690" t="n">
        <v>0</v>
      </c>
      <c r="K690" t="n">
        <v>0</v>
      </c>
      <c r="L690" t="n">
        <v>0</v>
      </c>
      <c r="M690" t="n">
        <v>0</v>
      </c>
      <c r="N690" t="n">
        <v>0</v>
      </c>
      <c r="O690" t="n">
        <v>0</v>
      </c>
      <c r="P690" t="n">
        <v>0</v>
      </c>
      <c r="Q690" t="n">
        <v>0</v>
      </c>
      <c r="R690" s="2" t="inlineStr"/>
    </row>
    <row r="691" ht="15" customHeight="1">
      <c r="A691" t="inlineStr">
        <is>
          <t>A 20989-2024</t>
        </is>
      </c>
      <c r="B691" s="1" t="n">
        <v>45439</v>
      </c>
      <c r="C691" s="1" t="n">
        <v>45985</v>
      </c>
      <c r="D691" t="inlineStr">
        <is>
          <t>DALARNAS LÄN</t>
        </is>
      </c>
      <c r="E691" t="inlineStr">
        <is>
          <t>MORA</t>
        </is>
      </c>
      <c r="F691" t="inlineStr">
        <is>
          <t>Bergvik skog öst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20930-2024</t>
        </is>
      </c>
      <c r="B692" s="1" t="n">
        <v>45439.51907407407</v>
      </c>
      <c r="C692" s="1" t="n">
        <v>45985</v>
      </c>
      <c r="D692" t="inlineStr">
        <is>
          <t>DALARNAS LÄN</t>
        </is>
      </c>
      <c r="E692" t="inlineStr">
        <is>
          <t>MORA</t>
        </is>
      </c>
      <c r="F692" t="inlineStr">
        <is>
          <t>Bergvik skog väst AB</t>
        </is>
      </c>
      <c r="G692" t="n">
        <v>5.3</v>
      </c>
      <c r="H692" t="n">
        <v>0</v>
      </c>
      <c r="I692" t="n">
        <v>0</v>
      </c>
      <c r="J692" t="n">
        <v>0</v>
      </c>
      <c r="K692" t="n">
        <v>0</v>
      </c>
      <c r="L692" t="n">
        <v>0</v>
      </c>
      <c r="M692" t="n">
        <v>0</v>
      </c>
      <c r="N692" t="n">
        <v>0</v>
      </c>
      <c r="O692" t="n">
        <v>0</v>
      </c>
      <c r="P692" t="n">
        <v>0</v>
      </c>
      <c r="Q692" t="n">
        <v>0</v>
      </c>
      <c r="R692" s="2" t="inlineStr"/>
    </row>
    <row r="693" ht="15" customHeight="1">
      <c r="A693" t="inlineStr">
        <is>
          <t>A 7972-2024</t>
        </is>
      </c>
      <c r="B693" s="1" t="n">
        <v>45350</v>
      </c>
      <c r="C693" s="1" t="n">
        <v>45985</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43432-2024</t>
        </is>
      </c>
      <c r="B694" s="1" t="n">
        <v>45568.64337962963</v>
      </c>
      <c r="C694" s="1" t="n">
        <v>45985</v>
      </c>
      <c r="D694" t="inlineStr">
        <is>
          <t>DALARNAS LÄN</t>
        </is>
      </c>
      <c r="E694" t="inlineStr">
        <is>
          <t>MORA</t>
        </is>
      </c>
      <c r="G694" t="n">
        <v>0.4</v>
      </c>
      <c r="H694" t="n">
        <v>0</v>
      </c>
      <c r="I694" t="n">
        <v>0</v>
      </c>
      <c r="J694" t="n">
        <v>0</v>
      </c>
      <c r="K694" t="n">
        <v>0</v>
      </c>
      <c r="L694" t="n">
        <v>0</v>
      </c>
      <c r="M694" t="n">
        <v>0</v>
      </c>
      <c r="N694" t="n">
        <v>0</v>
      </c>
      <c r="O694" t="n">
        <v>0</v>
      </c>
      <c r="P694" t="n">
        <v>0</v>
      </c>
      <c r="Q694" t="n">
        <v>0</v>
      </c>
      <c r="R694" s="2" t="inlineStr"/>
    </row>
    <row r="695" ht="15" customHeight="1">
      <c r="A695" t="inlineStr">
        <is>
          <t>A 60428-2023</t>
        </is>
      </c>
      <c r="B695" s="1" t="n">
        <v>45259.50996527778</v>
      </c>
      <c r="C695" s="1" t="n">
        <v>45985</v>
      </c>
      <c r="D695" t="inlineStr">
        <is>
          <t>DALARNAS LÄN</t>
        </is>
      </c>
      <c r="E695" t="inlineStr">
        <is>
          <t>MORA</t>
        </is>
      </c>
      <c r="G695" t="n">
        <v>4.9</v>
      </c>
      <c r="H695" t="n">
        <v>0</v>
      </c>
      <c r="I695" t="n">
        <v>0</v>
      </c>
      <c r="J695" t="n">
        <v>0</v>
      </c>
      <c r="K695" t="n">
        <v>0</v>
      </c>
      <c r="L695" t="n">
        <v>0</v>
      </c>
      <c r="M695" t="n">
        <v>0</v>
      </c>
      <c r="N695" t="n">
        <v>0</v>
      </c>
      <c r="O695" t="n">
        <v>0</v>
      </c>
      <c r="P695" t="n">
        <v>0</v>
      </c>
      <c r="Q695" t="n">
        <v>0</v>
      </c>
      <c r="R695" s="2" t="inlineStr"/>
    </row>
    <row r="696" ht="15" customHeight="1">
      <c r="A696" t="inlineStr">
        <is>
          <t>A 437-2024</t>
        </is>
      </c>
      <c r="B696" s="1" t="n">
        <v>45296</v>
      </c>
      <c r="C696" s="1" t="n">
        <v>45985</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60715-2023</t>
        </is>
      </c>
      <c r="B697" s="1" t="n">
        <v>45260.52684027778</v>
      </c>
      <c r="C697" s="1" t="n">
        <v>45985</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27125-2024</t>
        </is>
      </c>
      <c r="B698" s="1" t="n">
        <v>45471</v>
      </c>
      <c r="C698" s="1" t="n">
        <v>45985</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30822-2024</t>
        </is>
      </c>
      <c r="B699" s="1" t="n">
        <v>45497</v>
      </c>
      <c r="C699" s="1" t="n">
        <v>45985</v>
      </c>
      <c r="D699" t="inlineStr">
        <is>
          <t>DALARNAS LÄN</t>
        </is>
      </c>
      <c r="E699" t="inlineStr">
        <is>
          <t>MORA</t>
        </is>
      </c>
      <c r="G699" t="n">
        <v>1.8</v>
      </c>
      <c r="H699" t="n">
        <v>0</v>
      </c>
      <c r="I699" t="n">
        <v>0</v>
      </c>
      <c r="J699" t="n">
        <v>0</v>
      </c>
      <c r="K699" t="n">
        <v>0</v>
      </c>
      <c r="L699" t="n">
        <v>0</v>
      </c>
      <c r="M699" t="n">
        <v>0</v>
      </c>
      <c r="N699" t="n">
        <v>0</v>
      </c>
      <c r="O699" t="n">
        <v>0</v>
      </c>
      <c r="P699" t="n">
        <v>0</v>
      </c>
      <c r="Q699" t="n">
        <v>0</v>
      </c>
      <c r="R699" s="2" t="inlineStr"/>
    </row>
    <row r="700" ht="15" customHeight="1">
      <c r="A700" t="inlineStr">
        <is>
          <t>A 58177-2024</t>
        </is>
      </c>
      <c r="B700" s="1" t="n">
        <v>45632.46821759259</v>
      </c>
      <c r="C700" s="1" t="n">
        <v>45985</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17172-2025</t>
        </is>
      </c>
      <c r="B701" s="1" t="n">
        <v>45756.37201388889</v>
      </c>
      <c r="C701" s="1" t="n">
        <v>45985</v>
      </c>
      <c r="D701" t="inlineStr">
        <is>
          <t>DALARNAS LÄN</t>
        </is>
      </c>
      <c r="E701" t="inlineStr">
        <is>
          <t>MORA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15993-2025</t>
        </is>
      </c>
      <c r="B702" s="1" t="n">
        <v>45749.58428240741</v>
      </c>
      <c r="C702" s="1" t="n">
        <v>45985</v>
      </c>
      <c r="D702" t="inlineStr">
        <is>
          <t>DALARNAS LÄN</t>
        </is>
      </c>
      <c r="E702" t="inlineStr">
        <is>
          <t>MORA</t>
        </is>
      </c>
      <c r="G702" t="n">
        <v>1.1</v>
      </c>
      <c r="H702" t="n">
        <v>0</v>
      </c>
      <c r="I702" t="n">
        <v>0</v>
      </c>
      <c r="J702" t="n">
        <v>0</v>
      </c>
      <c r="K702" t="n">
        <v>0</v>
      </c>
      <c r="L702" t="n">
        <v>0</v>
      </c>
      <c r="M702" t="n">
        <v>0</v>
      </c>
      <c r="N702" t="n">
        <v>0</v>
      </c>
      <c r="O702" t="n">
        <v>0</v>
      </c>
      <c r="P702" t="n">
        <v>0</v>
      </c>
      <c r="Q702" t="n">
        <v>0</v>
      </c>
      <c r="R702" s="2" t="inlineStr"/>
    </row>
    <row r="703" ht="15" customHeight="1">
      <c r="A703" t="inlineStr">
        <is>
          <t>A 14832-2025</t>
        </is>
      </c>
      <c r="B703" s="1" t="n">
        <v>45743</v>
      </c>
      <c r="C703" s="1" t="n">
        <v>45985</v>
      </c>
      <c r="D703" t="inlineStr">
        <is>
          <t>DALARNAS LÄN</t>
        </is>
      </c>
      <c r="E703" t="inlineStr">
        <is>
          <t>MORA</t>
        </is>
      </c>
      <c r="G703" t="n">
        <v>9.1</v>
      </c>
      <c r="H703" t="n">
        <v>0</v>
      </c>
      <c r="I703" t="n">
        <v>0</v>
      </c>
      <c r="J703" t="n">
        <v>0</v>
      </c>
      <c r="K703" t="n">
        <v>0</v>
      </c>
      <c r="L703" t="n">
        <v>0</v>
      </c>
      <c r="M703" t="n">
        <v>0</v>
      </c>
      <c r="N703" t="n">
        <v>0</v>
      </c>
      <c r="O703" t="n">
        <v>0</v>
      </c>
      <c r="P703" t="n">
        <v>0</v>
      </c>
      <c r="Q703" t="n">
        <v>0</v>
      </c>
      <c r="R703" s="2" t="inlineStr"/>
    </row>
    <row r="704" ht="15" customHeight="1">
      <c r="A704" t="inlineStr">
        <is>
          <t>A 15443-2025</t>
        </is>
      </c>
      <c r="B704" s="1" t="n">
        <v>45747.48371527778</v>
      </c>
      <c r="C704" s="1" t="n">
        <v>45985</v>
      </c>
      <c r="D704" t="inlineStr">
        <is>
          <t>DALARNAS LÄN</t>
        </is>
      </c>
      <c r="E704" t="inlineStr">
        <is>
          <t>MORA</t>
        </is>
      </c>
      <c r="G704" t="n">
        <v>1.8</v>
      </c>
      <c r="H704" t="n">
        <v>0</v>
      </c>
      <c r="I704" t="n">
        <v>0</v>
      </c>
      <c r="J704" t="n">
        <v>0</v>
      </c>
      <c r="K704" t="n">
        <v>0</v>
      </c>
      <c r="L704" t="n">
        <v>0</v>
      </c>
      <c r="M704" t="n">
        <v>0</v>
      </c>
      <c r="N704" t="n">
        <v>0</v>
      </c>
      <c r="O704" t="n">
        <v>0</v>
      </c>
      <c r="P704" t="n">
        <v>0</v>
      </c>
      <c r="Q704" t="n">
        <v>0</v>
      </c>
      <c r="R704" s="2" t="inlineStr"/>
    </row>
    <row r="705" ht="15" customHeight="1">
      <c r="A705" t="inlineStr">
        <is>
          <t>A 45574-2023</t>
        </is>
      </c>
      <c r="B705" s="1" t="n">
        <v>45194</v>
      </c>
      <c r="C705" s="1" t="n">
        <v>45985</v>
      </c>
      <c r="D705" t="inlineStr">
        <is>
          <t>DALARNAS LÄN</t>
        </is>
      </c>
      <c r="E705" t="inlineStr">
        <is>
          <t>MORA</t>
        </is>
      </c>
      <c r="G705" t="n">
        <v>6.3</v>
      </c>
      <c r="H705" t="n">
        <v>0</v>
      </c>
      <c r="I705" t="n">
        <v>0</v>
      </c>
      <c r="J705" t="n">
        <v>0</v>
      </c>
      <c r="K705" t="n">
        <v>0</v>
      </c>
      <c r="L705" t="n">
        <v>0</v>
      </c>
      <c r="M705" t="n">
        <v>0</v>
      </c>
      <c r="N705" t="n">
        <v>0</v>
      </c>
      <c r="O705" t="n">
        <v>0</v>
      </c>
      <c r="P705" t="n">
        <v>0</v>
      </c>
      <c r="Q705" t="n">
        <v>0</v>
      </c>
      <c r="R705" s="2" t="inlineStr"/>
    </row>
    <row r="706" ht="15" customHeight="1">
      <c r="A706" t="inlineStr">
        <is>
          <t>A 5922-2025</t>
        </is>
      </c>
      <c r="B706" s="1" t="n">
        <v>45695.42762731481</v>
      </c>
      <c r="C706" s="1" t="n">
        <v>45985</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19910-2024</t>
        </is>
      </c>
      <c r="B707" s="1" t="n">
        <v>45433.5741087963</v>
      </c>
      <c r="C707" s="1" t="n">
        <v>45985</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20126-2025</t>
        </is>
      </c>
      <c r="B708" s="1" t="n">
        <v>45772.49640046297</v>
      </c>
      <c r="C708" s="1" t="n">
        <v>45985</v>
      </c>
      <c r="D708" t="inlineStr">
        <is>
          <t>DALARNAS LÄN</t>
        </is>
      </c>
      <c r="E708" t="inlineStr">
        <is>
          <t>MORA</t>
        </is>
      </c>
      <c r="G708" t="n">
        <v>12.1</v>
      </c>
      <c r="H708" t="n">
        <v>0</v>
      </c>
      <c r="I708" t="n">
        <v>0</v>
      </c>
      <c r="J708" t="n">
        <v>0</v>
      </c>
      <c r="K708" t="n">
        <v>0</v>
      </c>
      <c r="L708" t="n">
        <v>0</v>
      </c>
      <c r="M708" t="n">
        <v>0</v>
      </c>
      <c r="N708" t="n">
        <v>0</v>
      </c>
      <c r="O708" t="n">
        <v>0</v>
      </c>
      <c r="P708" t="n">
        <v>0</v>
      </c>
      <c r="Q708" t="n">
        <v>0</v>
      </c>
      <c r="R708" s="2" t="inlineStr"/>
    </row>
    <row r="709" ht="15" customHeight="1">
      <c r="A709" t="inlineStr">
        <is>
          <t>A 15643-2025</t>
        </is>
      </c>
      <c r="B709" s="1" t="n">
        <v>45748.39222222222</v>
      </c>
      <c r="C709" s="1" t="n">
        <v>45985</v>
      </c>
      <c r="D709" t="inlineStr">
        <is>
          <t>DALARNAS LÄN</t>
        </is>
      </c>
      <c r="E709" t="inlineStr">
        <is>
          <t>MORA</t>
        </is>
      </c>
      <c r="G709" t="n">
        <v>7.6</v>
      </c>
      <c r="H709" t="n">
        <v>0</v>
      </c>
      <c r="I709" t="n">
        <v>0</v>
      </c>
      <c r="J709" t="n">
        <v>0</v>
      </c>
      <c r="K709" t="n">
        <v>0</v>
      </c>
      <c r="L709" t="n">
        <v>0</v>
      </c>
      <c r="M709" t="n">
        <v>0</v>
      </c>
      <c r="N709" t="n">
        <v>0</v>
      </c>
      <c r="O709" t="n">
        <v>0</v>
      </c>
      <c r="P709" t="n">
        <v>0</v>
      </c>
      <c r="Q709" t="n">
        <v>0</v>
      </c>
      <c r="R709" s="2" t="inlineStr"/>
    </row>
    <row r="710" ht="15" customHeight="1">
      <c r="A710" t="inlineStr">
        <is>
          <t>A 36058-2024</t>
        </is>
      </c>
      <c r="B710" s="1" t="n">
        <v>45533</v>
      </c>
      <c r="C710" s="1" t="n">
        <v>45985</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21890-2025</t>
        </is>
      </c>
      <c r="B711" s="1" t="n">
        <v>45784.44481481481</v>
      </c>
      <c r="C711" s="1" t="n">
        <v>45985</v>
      </c>
      <c r="D711" t="inlineStr">
        <is>
          <t>DALARNAS LÄN</t>
        </is>
      </c>
      <c r="E711" t="inlineStr">
        <is>
          <t>MORA</t>
        </is>
      </c>
      <c r="G711" t="n">
        <v>3.8</v>
      </c>
      <c r="H711" t="n">
        <v>0</v>
      </c>
      <c r="I711" t="n">
        <v>0</v>
      </c>
      <c r="J711" t="n">
        <v>0</v>
      </c>
      <c r="K711" t="n">
        <v>0</v>
      </c>
      <c r="L711" t="n">
        <v>0</v>
      </c>
      <c r="M711" t="n">
        <v>0</v>
      </c>
      <c r="N711" t="n">
        <v>0</v>
      </c>
      <c r="O711" t="n">
        <v>0</v>
      </c>
      <c r="P711" t="n">
        <v>0</v>
      </c>
      <c r="Q711" t="n">
        <v>0</v>
      </c>
      <c r="R711" s="2" t="inlineStr"/>
    </row>
    <row r="712" ht="15" customHeight="1">
      <c r="A712" t="inlineStr">
        <is>
          <t>A 21895-2025</t>
        </is>
      </c>
      <c r="B712" s="1" t="n">
        <v>45784.45273148148</v>
      </c>
      <c r="C712" s="1" t="n">
        <v>45985</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c r="A713" t="inlineStr">
        <is>
          <t>A 21894-2025</t>
        </is>
      </c>
      <c r="B713" s="1" t="n">
        <v>45784.45060185185</v>
      </c>
      <c r="C713" s="1" t="n">
        <v>45985</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2025-11-24T10:22:34Z</dcterms:created>
  <dcterms:modified xmlns:dcterms="http://purl.org/dc/terms/" xmlns:xsi="http://www.w3.org/2001/XMLSchema-instance" xsi:type="dcterms:W3CDTF">2025-11-24T10:22:35Z</dcterms:modified>
</cp:coreProperties>
</file>