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46144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46144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18527-2025</t>
        </is>
      </c>
      <c r="B4" s="1" t="n">
        <v>45763</v>
      </c>
      <c r="C4" s="1" t="n">
        <v>46144</v>
      </c>
      <c r="D4" t="inlineStr">
        <is>
          <t>DALARNAS LÄN</t>
        </is>
      </c>
      <c r="E4" t="inlineStr">
        <is>
          <t>MORA</t>
        </is>
      </c>
      <c r="G4" t="n">
        <v>10.6</v>
      </c>
      <c r="H4" t="n">
        <v>8</v>
      </c>
      <c r="I4" t="n">
        <v>10</v>
      </c>
      <c r="J4" t="n">
        <v>19</v>
      </c>
      <c r="K4" t="n">
        <v>1</v>
      </c>
      <c r="L4" t="n">
        <v>0</v>
      </c>
      <c r="M4" t="n">
        <v>0</v>
      </c>
      <c r="N4" t="n">
        <v>0</v>
      </c>
      <c r="O4" t="n">
        <v>20</v>
      </c>
      <c r="P4" t="n">
        <v>1</v>
      </c>
      <c r="Q4" t="n">
        <v>34</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31756-2023</t>
        </is>
      </c>
      <c r="B5" s="1" t="n">
        <v>45118</v>
      </c>
      <c r="C5" s="1" t="n">
        <v>46144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2729-2026</t>
        </is>
      </c>
      <c r="B6" s="1" t="n">
        <v>46037.84224537037</v>
      </c>
      <c r="C6" s="1" t="n">
        <v>46144</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46144</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46144</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46144</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46144</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46144</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46144</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46144</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46144</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46144</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46144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46144</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46144</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46144</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46144</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46144</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46144</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46144</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46144</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46144</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46144</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46144</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46144</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34714-2025</t>
        </is>
      </c>
      <c r="B29" s="1" t="n">
        <v>45848</v>
      </c>
      <c r="C29" s="1" t="n">
        <v>46144</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5064-2023</t>
        </is>
      </c>
      <c r="B30" s="1" t="n">
        <v>44958.60337962963</v>
      </c>
      <c r="C30" s="1" t="n">
        <v>46144</v>
      </c>
      <c r="D30" t="inlineStr">
        <is>
          <t>DALARNAS LÄN</t>
        </is>
      </c>
      <c r="E30" t="inlineStr">
        <is>
          <t>MORA</t>
        </is>
      </c>
      <c r="G30" t="n">
        <v>3.9</v>
      </c>
      <c r="H30" t="n">
        <v>2</v>
      </c>
      <c r="I30" t="n">
        <v>1</v>
      </c>
      <c r="J30" t="n">
        <v>9</v>
      </c>
      <c r="K30" t="n">
        <v>0</v>
      </c>
      <c r="L30" t="n">
        <v>0</v>
      </c>
      <c r="M30" t="n">
        <v>0</v>
      </c>
      <c r="N30" t="n">
        <v>0</v>
      </c>
      <c r="O30" t="n">
        <v>9</v>
      </c>
      <c r="P30" t="n">
        <v>0</v>
      </c>
      <c r="Q30" t="n">
        <v>10</v>
      </c>
      <c r="R30" s="2" t="inlineStr">
        <is>
          <t>Garnlav
Granticka
Rosenticka
Spillkråka
Tallticka
Tretåig hackspett
Ullticka
Vedskivlav
Vitgrynig nållav
Bronshjon</t>
        </is>
      </c>
      <c r="S30">
        <f>HYPERLINK("https://klasma.github.io/Logging_2062/artfynd/A 5064-2023 artfynd.xlsx", "A 5064-2023")</f>
        <v/>
      </c>
      <c r="T30">
        <f>HYPERLINK("https://klasma.github.io/Logging_2062/kartor/A 5064-2023 karta.png", "A 5064-2023")</f>
        <v/>
      </c>
      <c r="V30">
        <f>HYPERLINK("https://klasma.github.io/Logging_2062/klagomål/A 5064-2023 FSC-klagomål.docx", "A 5064-2023")</f>
        <v/>
      </c>
      <c r="W30">
        <f>HYPERLINK("https://klasma.github.io/Logging_2062/klagomålsmail/A 5064-2023 FSC-klagomål mail.docx", "A 5064-2023")</f>
        <v/>
      </c>
      <c r="X30">
        <f>HYPERLINK("https://klasma.github.io/Logging_2062/tillsyn/A 5064-2023 tillsynsbegäran.docx", "A 5064-2023")</f>
        <v/>
      </c>
      <c r="Y30">
        <f>HYPERLINK("https://klasma.github.io/Logging_2062/tillsynsmail/A 5064-2023 tillsynsbegäran mail.docx", "A 5064-2023")</f>
        <v/>
      </c>
      <c r="Z30">
        <f>HYPERLINK("https://klasma.github.io/Logging_2062/fåglar/A 5064-2023 prioriterade fågelarter.docx", "A 5064-2023")</f>
        <v/>
      </c>
    </row>
    <row r="31" ht="15" customHeight="1">
      <c r="A31" t="inlineStr">
        <is>
          <t>A 29934-2025</t>
        </is>
      </c>
      <c r="B31" s="1" t="n">
        <v>45826</v>
      </c>
      <c r="C31" s="1" t="n">
        <v>46144</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46144</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46144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46144</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46144</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46144</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41794-2025</t>
        </is>
      </c>
      <c r="B37" s="1" t="n">
        <v>45902</v>
      </c>
      <c r="C37" s="1" t="n">
        <v>46144</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46144</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46144</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46144</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46144</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46144</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46144</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46144</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61259-2023</t>
        </is>
      </c>
      <c r="B45" s="1" t="n">
        <v>45264</v>
      </c>
      <c r="C45" s="1" t="n">
        <v>46144</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58839-2025</t>
        </is>
      </c>
      <c r="B46" s="1" t="n">
        <v>45987.36070601852</v>
      </c>
      <c r="C46" s="1" t="n">
        <v>46144</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29380-2025</t>
        </is>
      </c>
      <c r="B47" s="1" t="n">
        <v>45824.59025462963</v>
      </c>
      <c r="C47" s="1" t="n">
        <v>46144</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46144</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34719-2025</t>
        </is>
      </c>
      <c r="B49" s="1" t="n">
        <v>45848</v>
      </c>
      <c r="C49" s="1" t="n">
        <v>46144</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58169-2025</t>
        </is>
      </c>
      <c r="B50" s="1" t="n">
        <v>45982.72690972222</v>
      </c>
      <c r="C50" s="1" t="n">
        <v>46144</v>
      </c>
      <c r="D50" t="inlineStr">
        <is>
          <t>DALARNAS LÄN</t>
        </is>
      </c>
      <c r="E50" t="inlineStr">
        <is>
          <t>MORA</t>
        </is>
      </c>
      <c r="F50" t="inlineStr">
        <is>
          <t>Bergvik skog väst AB</t>
        </is>
      </c>
      <c r="G50" t="n">
        <v>7.7</v>
      </c>
      <c r="H50" t="n">
        <v>2</v>
      </c>
      <c r="I50" t="n">
        <v>1</v>
      </c>
      <c r="J50" t="n">
        <v>5</v>
      </c>
      <c r="K50" t="n">
        <v>0</v>
      </c>
      <c r="L50" t="n">
        <v>0</v>
      </c>
      <c r="M50" t="n">
        <v>0</v>
      </c>
      <c r="N50" t="n">
        <v>0</v>
      </c>
      <c r="O50" t="n">
        <v>5</v>
      </c>
      <c r="P50" t="n">
        <v>0</v>
      </c>
      <c r="Q50" t="n">
        <v>6</v>
      </c>
      <c r="R50" s="2" t="inlineStr">
        <is>
          <t>Garnlav
Spillkråka
Tretåig hackspett
Vedflamlav
Vedskivlav
Mindre märgborre</t>
        </is>
      </c>
      <c r="S50">
        <f>HYPERLINK("https://klasma.github.io/Logging_2062/artfynd/A 58169-2025 artfynd.xlsx", "A 58169-2025")</f>
        <v/>
      </c>
      <c r="T50">
        <f>HYPERLINK("https://klasma.github.io/Logging_2062/kartor/A 58169-2025 karta.png", "A 58169-2025")</f>
        <v/>
      </c>
      <c r="V50">
        <f>HYPERLINK("https://klasma.github.io/Logging_2062/klagomål/A 58169-2025 FSC-klagomål.docx", "A 58169-2025")</f>
        <v/>
      </c>
      <c r="W50">
        <f>HYPERLINK("https://klasma.github.io/Logging_2062/klagomålsmail/A 58169-2025 FSC-klagomål mail.docx", "A 58169-2025")</f>
        <v/>
      </c>
      <c r="X50">
        <f>HYPERLINK("https://klasma.github.io/Logging_2062/tillsyn/A 58169-2025 tillsynsbegäran.docx", "A 58169-2025")</f>
        <v/>
      </c>
      <c r="Y50">
        <f>HYPERLINK("https://klasma.github.io/Logging_2062/tillsynsmail/A 58169-2025 tillsynsbegäran mail.docx", "A 58169-2025")</f>
        <v/>
      </c>
      <c r="Z50">
        <f>HYPERLINK("https://klasma.github.io/Logging_2062/fåglar/A 58169-2025 prioriterade fågelarter.docx", "A 58169-2025")</f>
        <v/>
      </c>
    </row>
    <row r="51" ht="15" customHeight="1">
      <c r="A51" t="inlineStr">
        <is>
          <t>A 62154-2025</t>
        </is>
      </c>
      <c r="B51" s="1" t="n">
        <v>46006.48664351852</v>
      </c>
      <c r="C51" s="1" t="n">
        <v>46144</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10693-2026</t>
        </is>
      </c>
      <c r="B52" s="1" t="n">
        <v>46078.43366898148</v>
      </c>
      <c r="C52" s="1" t="n">
        <v>46144</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34447-2024</t>
        </is>
      </c>
      <c r="B53" s="1" t="n">
        <v>45525</v>
      </c>
      <c r="C53" s="1" t="n">
        <v>46144</v>
      </c>
      <c r="D53" t="inlineStr">
        <is>
          <t>DALARNAS LÄN</t>
        </is>
      </c>
      <c r="E53" t="inlineStr">
        <is>
          <t>MORA</t>
        </is>
      </c>
      <c r="G53" t="n">
        <v>8.300000000000001</v>
      </c>
      <c r="H53" t="n">
        <v>0</v>
      </c>
      <c r="I53" t="n">
        <v>0</v>
      </c>
      <c r="J53" t="n">
        <v>6</v>
      </c>
      <c r="K53" t="n">
        <v>0</v>
      </c>
      <c r="L53" t="n">
        <v>0</v>
      </c>
      <c r="M53" t="n">
        <v>0</v>
      </c>
      <c r="N53" t="n">
        <v>0</v>
      </c>
      <c r="O53" t="n">
        <v>6</v>
      </c>
      <c r="P53" t="n">
        <v>0</v>
      </c>
      <c r="Q53" t="n">
        <v>6</v>
      </c>
      <c r="R53" s="2" t="inlineStr">
        <is>
          <t>Dvärgbägarlav
Garnlav
Kolflarnlav
Mörk kolflarnlav
Vedflamlav
Vedskivlav</t>
        </is>
      </c>
      <c r="S53">
        <f>HYPERLINK("https://klasma.github.io/Logging_2062/artfynd/A 34447-2024 artfynd.xlsx", "A 34447-2024")</f>
        <v/>
      </c>
      <c r="T53">
        <f>HYPERLINK("https://klasma.github.io/Logging_2062/kartor/A 34447-2024 karta.png", "A 34447-2024")</f>
        <v/>
      </c>
      <c r="V53">
        <f>HYPERLINK("https://klasma.github.io/Logging_2062/klagomål/A 34447-2024 FSC-klagomål.docx", "A 34447-2024")</f>
        <v/>
      </c>
      <c r="W53">
        <f>HYPERLINK("https://klasma.github.io/Logging_2062/klagomålsmail/A 34447-2024 FSC-klagomål mail.docx", "A 34447-2024")</f>
        <v/>
      </c>
      <c r="X53">
        <f>HYPERLINK("https://klasma.github.io/Logging_2062/tillsyn/A 34447-2024 tillsynsbegäran.docx", "A 34447-2024")</f>
        <v/>
      </c>
      <c r="Y53">
        <f>HYPERLINK("https://klasma.github.io/Logging_2062/tillsynsmail/A 34447-2024 tillsynsbegäran mail.docx", "A 34447-2024")</f>
        <v/>
      </c>
    </row>
    <row r="54" ht="15" customHeight="1">
      <c r="A54" t="inlineStr">
        <is>
          <t>A 8760-2025</t>
        </is>
      </c>
      <c r="B54" s="1" t="n">
        <v>45712.57467592593</v>
      </c>
      <c r="C54" s="1" t="n">
        <v>46144</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46144</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46144</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46144</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46144</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46144</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46144</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14293-2024</t>
        </is>
      </c>
      <c r="B61" s="1" t="n">
        <v>45393.63902777778</v>
      </c>
      <c r="C61" s="1" t="n">
        <v>46144</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46144</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14829-2025</t>
        </is>
      </c>
      <c r="B63" s="1" t="n">
        <v>45743.36951388889</v>
      </c>
      <c r="C63" s="1" t="n">
        <v>46144</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39478-2025</t>
        </is>
      </c>
      <c r="B64" s="1" t="n">
        <v>45890.3469212963</v>
      </c>
      <c r="C64" s="1" t="n">
        <v>46144</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46144</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34715-2025</t>
        </is>
      </c>
      <c r="B66" s="1" t="n">
        <v>45848</v>
      </c>
      <c r="C66" s="1" t="n">
        <v>46144</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61770-2025</t>
        </is>
      </c>
      <c r="B67" s="1" t="n">
        <v>46002.64605324074</v>
      </c>
      <c r="C67" s="1" t="n">
        <v>46144</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11973-2026</t>
        </is>
      </c>
      <c r="B68" s="1" t="n">
        <v>46085.62635416666</v>
      </c>
      <c r="C68" s="1" t="n">
        <v>46144</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32222-2025</t>
        </is>
      </c>
      <c r="B69" s="1" t="n">
        <v>45835.59140046296</v>
      </c>
      <c r="C69" s="1" t="n">
        <v>46144</v>
      </c>
      <c r="D69" t="inlineStr">
        <is>
          <t>DALARNAS LÄN</t>
        </is>
      </c>
      <c r="E69" t="inlineStr">
        <is>
          <t>MORA</t>
        </is>
      </c>
      <c r="G69" t="n">
        <v>11.5</v>
      </c>
      <c r="H69" t="n">
        <v>1</v>
      </c>
      <c r="I69" t="n">
        <v>0</v>
      </c>
      <c r="J69" t="n">
        <v>4</v>
      </c>
      <c r="K69" t="n">
        <v>0</v>
      </c>
      <c r="L69" t="n">
        <v>0</v>
      </c>
      <c r="M69" t="n">
        <v>0</v>
      </c>
      <c r="N69" t="n">
        <v>0</v>
      </c>
      <c r="O69" t="n">
        <v>4</v>
      </c>
      <c r="P69" t="n">
        <v>0</v>
      </c>
      <c r="Q69" t="n">
        <v>4</v>
      </c>
      <c r="R69" s="2" t="inlineStr">
        <is>
          <t>Garnlav
Reliktbock
Tallticka
Tretåig hackspett</t>
        </is>
      </c>
      <c r="S69">
        <f>HYPERLINK("https://klasma.github.io/Logging_2062/artfynd/A 32222-2025 artfynd.xlsx", "A 32222-2025")</f>
        <v/>
      </c>
      <c r="T69">
        <f>HYPERLINK("https://klasma.github.io/Logging_2062/kartor/A 32222-2025 karta.png", "A 32222-2025")</f>
        <v/>
      </c>
      <c r="V69">
        <f>HYPERLINK("https://klasma.github.io/Logging_2062/klagomål/A 32222-2025 FSC-klagomål.docx", "A 32222-2025")</f>
        <v/>
      </c>
      <c r="W69">
        <f>HYPERLINK("https://klasma.github.io/Logging_2062/klagomålsmail/A 32222-2025 FSC-klagomål mail.docx", "A 32222-2025")</f>
        <v/>
      </c>
      <c r="X69">
        <f>HYPERLINK("https://klasma.github.io/Logging_2062/tillsyn/A 32222-2025 tillsynsbegäran.docx", "A 32222-2025")</f>
        <v/>
      </c>
      <c r="Y69">
        <f>HYPERLINK("https://klasma.github.io/Logging_2062/tillsynsmail/A 32222-2025 tillsynsbegäran mail.docx", "A 32222-2025")</f>
        <v/>
      </c>
      <c r="Z69">
        <f>HYPERLINK("https://klasma.github.io/Logging_2062/fåglar/A 32222-2025 prioriterade fågelarter.docx", "A 32222-2025")</f>
        <v/>
      </c>
    </row>
    <row r="70" ht="15" customHeight="1">
      <c r="A70" t="inlineStr">
        <is>
          <t>A 39481-2025</t>
        </is>
      </c>
      <c r="B70" s="1" t="n">
        <v>45890.35545138889</v>
      </c>
      <c r="C70" s="1" t="n">
        <v>46144</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49695-2025</t>
        </is>
      </c>
      <c r="B71" s="1" t="n">
        <v>45939.67418981482</v>
      </c>
      <c r="C71" s="1" t="n">
        <v>46144</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62620-2025</t>
        </is>
      </c>
      <c r="B72" s="1" t="n">
        <v>46008.34148148148</v>
      </c>
      <c r="C72" s="1" t="n">
        <v>46144</v>
      </c>
      <c r="D72" t="inlineStr">
        <is>
          <t>DALARNAS LÄN</t>
        </is>
      </c>
      <c r="E72" t="inlineStr">
        <is>
          <t>MORA</t>
        </is>
      </c>
      <c r="G72" t="n">
        <v>3.3</v>
      </c>
      <c r="H72" t="n">
        <v>1</v>
      </c>
      <c r="I72" t="n">
        <v>1</v>
      </c>
      <c r="J72" t="n">
        <v>2</v>
      </c>
      <c r="K72" t="n">
        <v>0</v>
      </c>
      <c r="L72" t="n">
        <v>0</v>
      </c>
      <c r="M72" t="n">
        <v>0</v>
      </c>
      <c r="N72" t="n">
        <v>0</v>
      </c>
      <c r="O72" t="n">
        <v>2</v>
      </c>
      <c r="P72" t="n">
        <v>0</v>
      </c>
      <c r="Q72" t="n">
        <v>3</v>
      </c>
      <c r="R72" s="2" t="inlineStr">
        <is>
          <t>Garnlav
Tretåig hackspett
Mindre märgborre</t>
        </is>
      </c>
      <c r="S72">
        <f>HYPERLINK("https://klasma.github.io/Logging_2062/artfynd/A 62620-2025 artfynd.xlsx", "A 62620-2025")</f>
        <v/>
      </c>
      <c r="T72">
        <f>HYPERLINK("https://klasma.github.io/Logging_2062/kartor/A 62620-2025 karta.png", "A 62620-2025")</f>
        <v/>
      </c>
      <c r="V72">
        <f>HYPERLINK("https://klasma.github.io/Logging_2062/klagomål/A 62620-2025 FSC-klagomål.docx", "A 62620-2025")</f>
        <v/>
      </c>
      <c r="W72">
        <f>HYPERLINK("https://klasma.github.io/Logging_2062/klagomålsmail/A 62620-2025 FSC-klagomål mail.docx", "A 62620-2025")</f>
        <v/>
      </c>
      <c r="X72">
        <f>HYPERLINK("https://klasma.github.io/Logging_2062/tillsyn/A 62620-2025 tillsynsbegäran.docx", "A 62620-2025")</f>
        <v/>
      </c>
      <c r="Y72">
        <f>HYPERLINK("https://klasma.github.io/Logging_2062/tillsynsmail/A 62620-2025 tillsynsbegäran mail.docx", "A 62620-2025")</f>
        <v/>
      </c>
      <c r="Z72">
        <f>HYPERLINK("https://klasma.github.io/Logging_2062/fåglar/A 62620-2025 prioriterade fågelarter.docx", "A 62620-2025")</f>
        <v/>
      </c>
    </row>
    <row r="73" ht="15" customHeight="1">
      <c r="A73" t="inlineStr">
        <is>
          <t>A 8878-2026</t>
        </is>
      </c>
      <c r="B73" s="1" t="n">
        <v>46067.50817129629</v>
      </c>
      <c r="C73" s="1" t="n">
        <v>46144</v>
      </c>
      <c r="D73" t="inlineStr">
        <is>
          <t>DALARNAS LÄN</t>
        </is>
      </c>
      <c r="E73" t="inlineStr">
        <is>
          <t>MORA</t>
        </is>
      </c>
      <c r="G73" t="n">
        <v>2.3</v>
      </c>
      <c r="H73" t="n">
        <v>3</v>
      </c>
      <c r="I73" t="n">
        <v>0</v>
      </c>
      <c r="J73" t="n">
        <v>1</v>
      </c>
      <c r="K73" t="n">
        <v>0</v>
      </c>
      <c r="L73" t="n">
        <v>0</v>
      </c>
      <c r="M73" t="n">
        <v>0</v>
      </c>
      <c r="N73" t="n">
        <v>0</v>
      </c>
      <c r="O73" t="n">
        <v>1</v>
      </c>
      <c r="P73" t="n">
        <v>0</v>
      </c>
      <c r="Q73" t="n">
        <v>3</v>
      </c>
      <c r="R73" s="2" t="inlineStr">
        <is>
          <t>Järpe
Tjäder
Revlummer</t>
        </is>
      </c>
      <c r="S73">
        <f>HYPERLINK("https://klasma.github.io/Logging_2062/artfynd/A 8878-2026 artfynd.xlsx", "A 8878-2026")</f>
        <v/>
      </c>
      <c r="T73">
        <f>HYPERLINK("https://klasma.github.io/Logging_2062/kartor/A 8878-2026 karta.png", "A 8878-2026")</f>
        <v/>
      </c>
      <c r="V73">
        <f>HYPERLINK("https://klasma.github.io/Logging_2062/klagomål/A 8878-2026 FSC-klagomål.docx", "A 8878-2026")</f>
        <v/>
      </c>
      <c r="W73">
        <f>HYPERLINK("https://klasma.github.io/Logging_2062/klagomålsmail/A 8878-2026 FSC-klagomål mail.docx", "A 8878-2026")</f>
        <v/>
      </c>
      <c r="X73">
        <f>HYPERLINK("https://klasma.github.io/Logging_2062/tillsyn/A 8878-2026 tillsynsbegäran.docx", "A 8878-2026")</f>
        <v/>
      </c>
      <c r="Y73">
        <f>HYPERLINK("https://klasma.github.io/Logging_2062/tillsynsmail/A 8878-2026 tillsynsbegäran mail.docx", "A 8878-2026")</f>
        <v/>
      </c>
      <c r="Z73">
        <f>HYPERLINK("https://klasma.github.io/Logging_2062/fåglar/A 8878-2026 prioriterade fågelarter.docx", "A 8878-2026")</f>
        <v/>
      </c>
    </row>
    <row r="74" ht="15" customHeight="1">
      <c r="A74" t="inlineStr">
        <is>
          <t>A 15203-2026</t>
        </is>
      </c>
      <c r="B74" s="1" t="n">
        <v>46105</v>
      </c>
      <c r="C74" s="1" t="n">
        <v>46144</v>
      </c>
      <c r="D74" t="inlineStr">
        <is>
          <t>DALARNAS LÄN</t>
        </is>
      </c>
      <c r="E74" t="inlineStr">
        <is>
          <t>MORA</t>
        </is>
      </c>
      <c r="G74" t="n">
        <v>2.5</v>
      </c>
      <c r="H74" t="n">
        <v>1</v>
      </c>
      <c r="I74" t="n">
        <v>1</v>
      </c>
      <c r="J74" t="n">
        <v>2</v>
      </c>
      <c r="K74" t="n">
        <v>0</v>
      </c>
      <c r="L74" t="n">
        <v>0</v>
      </c>
      <c r="M74" t="n">
        <v>0</v>
      </c>
      <c r="N74" t="n">
        <v>0</v>
      </c>
      <c r="O74" t="n">
        <v>2</v>
      </c>
      <c r="P74" t="n">
        <v>0</v>
      </c>
      <c r="Q74" t="n">
        <v>3</v>
      </c>
      <c r="R74" s="2" t="inlineStr">
        <is>
          <t>Garnlav
Spillkråka
Mindre märgborre</t>
        </is>
      </c>
      <c r="S74">
        <f>HYPERLINK("https://klasma.github.io/Logging_2062/artfynd/A 15203-2026 artfynd.xlsx", "A 15203-2026")</f>
        <v/>
      </c>
      <c r="T74">
        <f>HYPERLINK("https://klasma.github.io/Logging_2062/kartor/A 15203-2026 karta.png", "A 15203-2026")</f>
        <v/>
      </c>
      <c r="V74">
        <f>HYPERLINK("https://klasma.github.io/Logging_2062/klagomål/A 15203-2026 FSC-klagomål.docx", "A 15203-2026")</f>
        <v/>
      </c>
      <c r="W74">
        <f>HYPERLINK("https://klasma.github.io/Logging_2062/klagomålsmail/A 15203-2026 FSC-klagomål mail.docx", "A 15203-2026")</f>
        <v/>
      </c>
      <c r="X74">
        <f>HYPERLINK("https://klasma.github.io/Logging_2062/tillsyn/A 15203-2026 tillsynsbegäran.docx", "A 15203-2026")</f>
        <v/>
      </c>
      <c r="Y74">
        <f>HYPERLINK("https://klasma.github.io/Logging_2062/tillsynsmail/A 15203-2026 tillsynsbegäran mail.docx", "A 15203-2026")</f>
        <v/>
      </c>
      <c r="Z74">
        <f>HYPERLINK("https://klasma.github.io/Logging_2062/fåglar/A 15203-2026 prioriterade fågelarter.docx", "A 15203-2026")</f>
        <v/>
      </c>
    </row>
    <row r="75" ht="15" customHeight="1">
      <c r="A75" t="inlineStr">
        <is>
          <t>A 23163-2025</t>
        </is>
      </c>
      <c r="B75" s="1" t="n">
        <v>45791.41832175926</v>
      </c>
      <c r="C75" s="1" t="n">
        <v>46144</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29392-2025</t>
        </is>
      </c>
      <c r="B76" s="1" t="n">
        <v>45824.60537037037</v>
      </c>
      <c r="C76" s="1" t="n">
        <v>46144</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37552-2023</t>
        </is>
      </c>
      <c r="B77" s="1" t="n">
        <v>45159.32799768518</v>
      </c>
      <c r="C77" s="1" t="n">
        <v>46144</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42028-2023</t>
        </is>
      </c>
      <c r="B78" s="1" t="n">
        <v>45177.49715277777</v>
      </c>
      <c r="C78" s="1" t="n">
        <v>46144</v>
      </c>
      <c r="D78" t="inlineStr">
        <is>
          <t>DALARNAS LÄN</t>
        </is>
      </c>
      <c r="E78" t="inlineStr">
        <is>
          <t>MORA</t>
        </is>
      </c>
      <c r="F78" t="inlineStr">
        <is>
          <t>Allmännings- och besparingsskogar</t>
        </is>
      </c>
      <c r="G78" t="n">
        <v>6.5</v>
      </c>
      <c r="H78" t="n">
        <v>0</v>
      </c>
      <c r="I78" t="n">
        <v>0</v>
      </c>
      <c r="J78" t="n">
        <v>2</v>
      </c>
      <c r="K78" t="n">
        <v>0</v>
      </c>
      <c r="L78" t="n">
        <v>0</v>
      </c>
      <c r="M78" t="n">
        <v>0</v>
      </c>
      <c r="N78" t="n">
        <v>0</v>
      </c>
      <c r="O78" t="n">
        <v>2</v>
      </c>
      <c r="P78" t="n">
        <v>0</v>
      </c>
      <c r="Q78" t="n">
        <v>2</v>
      </c>
      <c r="R78" s="2" t="inlineStr">
        <is>
          <t>Dvärgbägarlav
Vedskivlav</t>
        </is>
      </c>
      <c r="S78">
        <f>HYPERLINK("https://klasma.github.io/Logging_2062/artfynd/A 42028-2023 artfynd.xlsx", "A 42028-2023")</f>
        <v/>
      </c>
      <c r="T78">
        <f>HYPERLINK("https://klasma.github.io/Logging_2062/kartor/A 42028-2023 karta.png", "A 42028-2023")</f>
        <v/>
      </c>
      <c r="V78">
        <f>HYPERLINK("https://klasma.github.io/Logging_2062/klagomål/A 42028-2023 FSC-klagomål.docx", "A 42028-2023")</f>
        <v/>
      </c>
      <c r="W78">
        <f>HYPERLINK("https://klasma.github.io/Logging_2062/klagomålsmail/A 42028-2023 FSC-klagomål mail.docx", "A 42028-2023")</f>
        <v/>
      </c>
      <c r="X78">
        <f>HYPERLINK("https://klasma.github.io/Logging_2062/tillsyn/A 42028-2023 tillsynsbegäran.docx", "A 42028-2023")</f>
        <v/>
      </c>
      <c r="Y78">
        <f>HYPERLINK("https://klasma.github.io/Logging_2062/tillsynsmail/A 42028-2023 tillsynsbegäran mail.docx", "A 42028-2023")</f>
        <v/>
      </c>
    </row>
    <row r="79" ht="15" customHeight="1">
      <c r="A79" t="inlineStr">
        <is>
          <t>A 14372-2025</t>
        </is>
      </c>
      <c r="B79" s="1" t="n">
        <v>45741.4050462963</v>
      </c>
      <c r="C79" s="1" t="n">
        <v>46144</v>
      </c>
      <c r="D79" t="inlineStr">
        <is>
          <t>DALARNAS LÄN</t>
        </is>
      </c>
      <c r="E79" t="inlineStr">
        <is>
          <t>MORA</t>
        </is>
      </c>
      <c r="G79" t="n">
        <v>5.1</v>
      </c>
      <c r="H79" t="n">
        <v>0</v>
      </c>
      <c r="I79" t="n">
        <v>0</v>
      </c>
      <c r="J79" t="n">
        <v>2</v>
      </c>
      <c r="K79" t="n">
        <v>0</v>
      </c>
      <c r="L79" t="n">
        <v>0</v>
      </c>
      <c r="M79" t="n">
        <v>0</v>
      </c>
      <c r="N79" t="n">
        <v>0</v>
      </c>
      <c r="O79" t="n">
        <v>2</v>
      </c>
      <c r="P79" t="n">
        <v>0</v>
      </c>
      <c r="Q79" t="n">
        <v>2</v>
      </c>
      <c r="R79" s="2" t="inlineStr">
        <is>
          <t>Garnlav
Mörk kolflarnlav</t>
        </is>
      </c>
      <c r="S79">
        <f>HYPERLINK("https://klasma.github.io/Logging_2062/artfynd/A 14372-2025 artfynd.xlsx", "A 14372-2025")</f>
        <v/>
      </c>
      <c r="T79">
        <f>HYPERLINK("https://klasma.github.io/Logging_2062/kartor/A 14372-2025 karta.png", "A 14372-2025")</f>
        <v/>
      </c>
      <c r="V79">
        <f>HYPERLINK("https://klasma.github.io/Logging_2062/klagomål/A 14372-2025 FSC-klagomål.docx", "A 14372-2025")</f>
        <v/>
      </c>
      <c r="W79">
        <f>HYPERLINK("https://klasma.github.io/Logging_2062/klagomålsmail/A 14372-2025 FSC-klagomål mail.docx", "A 14372-2025")</f>
        <v/>
      </c>
      <c r="X79">
        <f>HYPERLINK("https://klasma.github.io/Logging_2062/tillsyn/A 14372-2025 tillsynsbegäran.docx", "A 14372-2025")</f>
        <v/>
      </c>
      <c r="Y79">
        <f>HYPERLINK("https://klasma.github.io/Logging_2062/tillsynsmail/A 14372-2025 tillsynsbegäran mail.docx", "A 14372-2025")</f>
        <v/>
      </c>
    </row>
    <row r="80" ht="15" customHeight="1">
      <c r="A80" t="inlineStr">
        <is>
          <t>A 35068-2025</t>
        </is>
      </c>
      <c r="B80" s="1" t="n">
        <v>45852.45686342593</v>
      </c>
      <c r="C80" s="1" t="n">
        <v>46144</v>
      </c>
      <c r="D80" t="inlineStr">
        <is>
          <t>DALARNAS LÄN</t>
        </is>
      </c>
      <c r="E80" t="inlineStr">
        <is>
          <t>MORA</t>
        </is>
      </c>
      <c r="G80" t="n">
        <v>0.7</v>
      </c>
      <c r="H80" t="n">
        <v>0</v>
      </c>
      <c r="I80" t="n">
        <v>1</v>
      </c>
      <c r="J80" t="n">
        <v>1</v>
      </c>
      <c r="K80" t="n">
        <v>0</v>
      </c>
      <c r="L80" t="n">
        <v>0</v>
      </c>
      <c r="M80" t="n">
        <v>0</v>
      </c>
      <c r="N80" t="n">
        <v>0</v>
      </c>
      <c r="O80" t="n">
        <v>1</v>
      </c>
      <c r="P80" t="n">
        <v>0</v>
      </c>
      <c r="Q80" t="n">
        <v>2</v>
      </c>
      <c r="R80" s="2" t="inlineStr">
        <is>
          <t>Garnlav
Mindre märgborre</t>
        </is>
      </c>
      <c r="S80">
        <f>HYPERLINK("https://klasma.github.io/Logging_2062/artfynd/A 35068-2025 artfynd.xlsx", "A 35068-2025")</f>
        <v/>
      </c>
      <c r="T80">
        <f>HYPERLINK("https://klasma.github.io/Logging_2062/kartor/A 35068-2025 karta.png", "A 35068-2025")</f>
        <v/>
      </c>
      <c r="V80">
        <f>HYPERLINK("https://klasma.github.io/Logging_2062/klagomål/A 35068-2025 FSC-klagomål.docx", "A 35068-2025")</f>
        <v/>
      </c>
      <c r="W80">
        <f>HYPERLINK("https://klasma.github.io/Logging_2062/klagomålsmail/A 35068-2025 FSC-klagomål mail.docx", "A 35068-2025")</f>
        <v/>
      </c>
      <c r="X80">
        <f>HYPERLINK("https://klasma.github.io/Logging_2062/tillsyn/A 35068-2025 tillsynsbegäran.docx", "A 35068-2025")</f>
        <v/>
      </c>
      <c r="Y80">
        <f>HYPERLINK("https://klasma.github.io/Logging_2062/tillsynsmail/A 35068-2025 tillsynsbegäran mail.docx", "A 35068-2025")</f>
        <v/>
      </c>
    </row>
    <row r="81" ht="15" customHeight="1">
      <c r="A81" t="inlineStr">
        <is>
          <t>A 30328-2021</t>
        </is>
      </c>
      <c r="B81" s="1" t="n">
        <v>44364</v>
      </c>
      <c r="C81" s="1" t="n">
        <v>46144</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16094-2024</t>
        </is>
      </c>
      <c r="B82" s="1" t="n">
        <v>45406.41648148148</v>
      </c>
      <c r="C82" s="1" t="n">
        <v>46144</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57669-2022</t>
        </is>
      </c>
      <c r="B83" s="1" t="n">
        <v>44897</v>
      </c>
      <c r="C83" s="1" t="n">
        <v>46144</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20538-2025</t>
        </is>
      </c>
      <c r="B84" s="1" t="n">
        <v>45775.62283564815</v>
      </c>
      <c r="C84" s="1" t="n">
        <v>46144</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20538-2025 artfynd.xlsx", "A 20538-2025")</f>
        <v/>
      </c>
      <c r="T84">
        <f>HYPERLINK("https://klasma.github.io/Logging_2062/kartor/A 20538-2025 karta.png", "A 20538-2025")</f>
        <v/>
      </c>
      <c r="V84">
        <f>HYPERLINK("https://klasma.github.io/Logging_2062/klagomål/A 20538-2025 FSC-klagomål.docx", "A 20538-2025")</f>
        <v/>
      </c>
      <c r="W84">
        <f>HYPERLINK("https://klasma.github.io/Logging_2062/klagomålsmail/A 20538-2025 FSC-klagomål mail.docx", "A 20538-2025")</f>
        <v/>
      </c>
      <c r="X84">
        <f>HYPERLINK("https://klasma.github.io/Logging_2062/tillsyn/A 20538-2025 tillsynsbegäran.docx", "A 20538-2025")</f>
        <v/>
      </c>
      <c r="Y84">
        <f>HYPERLINK("https://klasma.github.io/Logging_2062/tillsynsmail/A 20538-2025 tillsynsbegäran mail.docx", "A 20538-2025")</f>
        <v/>
      </c>
    </row>
    <row r="85" ht="15" customHeight="1">
      <c r="A85" t="inlineStr">
        <is>
          <t>A 13717-2023</t>
        </is>
      </c>
      <c r="B85" s="1" t="n">
        <v>45007</v>
      </c>
      <c r="C85" s="1" t="n">
        <v>46144</v>
      </c>
      <c r="D85" t="inlineStr">
        <is>
          <t>DALARNAS LÄN</t>
        </is>
      </c>
      <c r="E85" t="inlineStr">
        <is>
          <t>MORA</t>
        </is>
      </c>
      <c r="G85" t="n">
        <v>5.6</v>
      </c>
      <c r="H85" t="n">
        <v>0</v>
      </c>
      <c r="I85" t="n">
        <v>0</v>
      </c>
      <c r="J85" t="n">
        <v>1</v>
      </c>
      <c r="K85" t="n">
        <v>0</v>
      </c>
      <c r="L85" t="n">
        <v>0</v>
      </c>
      <c r="M85" t="n">
        <v>0</v>
      </c>
      <c r="N85" t="n">
        <v>0</v>
      </c>
      <c r="O85" t="n">
        <v>1</v>
      </c>
      <c r="P85" t="n">
        <v>0</v>
      </c>
      <c r="Q85" t="n">
        <v>1</v>
      </c>
      <c r="R85" s="2" t="inlineStr">
        <is>
          <t>Slåtterfibbla</t>
        </is>
      </c>
      <c r="S85">
        <f>HYPERLINK("https://klasma.github.io/Logging_2062/artfynd/A 13717-2023 artfynd.xlsx", "A 13717-2023")</f>
        <v/>
      </c>
      <c r="T85">
        <f>HYPERLINK("https://klasma.github.io/Logging_2062/kartor/A 13717-2023 karta.png", "A 13717-2023")</f>
        <v/>
      </c>
      <c r="U85">
        <f>HYPERLINK("https://klasma.github.io/Logging_2062/knärot/A 13717-2023 karta knärot.png", "A 13717-2023")</f>
        <v/>
      </c>
      <c r="V85">
        <f>HYPERLINK("https://klasma.github.io/Logging_2062/klagomål/A 13717-2023 FSC-klagomål.docx", "A 13717-2023")</f>
        <v/>
      </c>
      <c r="W85">
        <f>HYPERLINK("https://klasma.github.io/Logging_2062/klagomålsmail/A 13717-2023 FSC-klagomål mail.docx", "A 13717-2023")</f>
        <v/>
      </c>
      <c r="X85">
        <f>HYPERLINK("https://klasma.github.io/Logging_2062/tillsyn/A 13717-2023 tillsynsbegäran.docx", "A 13717-2023")</f>
        <v/>
      </c>
      <c r="Y85">
        <f>HYPERLINK("https://klasma.github.io/Logging_2062/tillsynsmail/A 13717-2023 tillsynsbegäran mail.docx", "A 13717-2023")</f>
        <v/>
      </c>
    </row>
    <row r="86" ht="15" customHeight="1">
      <c r="A86" t="inlineStr">
        <is>
          <t>A 68415-2021</t>
        </is>
      </c>
      <c r="B86" s="1" t="n">
        <v>44529</v>
      </c>
      <c r="C86" s="1" t="n">
        <v>46144</v>
      </c>
      <c r="D86" t="inlineStr">
        <is>
          <t>DALARNAS LÄN</t>
        </is>
      </c>
      <c r="E86" t="inlineStr">
        <is>
          <t>MORA</t>
        </is>
      </c>
      <c r="G86" t="n">
        <v>1.2</v>
      </c>
      <c r="H86" t="n">
        <v>1</v>
      </c>
      <c r="I86" t="n">
        <v>0</v>
      </c>
      <c r="J86" t="n">
        <v>0</v>
      </c>
      <c r="K86" t="n">
        <v>0</v>
      </c>
      <c r="L86" t="n">
        <v>0</v>
      </c>
      <c r="M86" t="n">
        <v>0</v>
      </c>
      <c r="N86" t="n">
        <v>0</v>
      </c>
      <c r="O86" t="n">
        <v>0</v>
      </c>
      <c r="P86" t="n">
        <v>0</v>
      </c>
      <c r="Q86" t="n">
        <v>1</v>
      </c>
      <c r="R86" s="2" t="inlineStr">
        <is>
          <t>Sparvuggla</t>
        </is>
      </c>
      <c r="S86">
        <f>HYPERLINK("https://klasma.github.io/Logging_2062/artfynd/A 68415-2021 artfynd.xlsx", "A 68415-2021")</f>
        <v/>
      </c>
      <c r="T86">
        <f>HYPERLINK("https://klasma.github.io/Logging_2062/kartor/A 68415-2021 karta.png", "A 68415-2021")</f>
        <v/>
      </c>
      <c r="V86">
        <f>HYPERLINK("https://klasma.github.io/Logging_2062/klagomål/A 68415-2021 FSC-klagomål.docx", "A 68415-2021")</f>
        <v/>
      </c>
      <c r="W86">
        <f>HYPERLINK("https://klasma.github.io/Logging_2062/klagomålsmail/A 68415-2021 FSC-klagomål mail.docx", "A 68415-2021")</f>
        <v/>
      </c>
      <c r="X86">
        <f>HYPERLINK("https://klasma.github.io/Logging_2062/tillsyn/A 68415-2021 tillsynsbegäran.docx", "A 68415-2021")</f>
        <v/>
      </c>
      <c r="Y86">
        <f>HYPERLINK("https://klasma.github.io/Logging_2062/tillsynsmail/A 68415-2021 tillsynsbegäran mail.docx", "A 68415-2021")</f>
        <v/>
      </c>
      <c r="Z86">
        <f>HYPERLINK("https://klasma.github.io/Logging_2062/fåglar/A 68415-2021 prioriterade fågelarter.docx", "A 68415-2021")</f>
        <v/>
      </c>
    </row>
    <row r="87" ht="15" customHeight="1">
      <c r="A87" t="inlineStr">
        <is>
          <t>A 62096-2025</t>
        </is>
      </c>
      <c r="B87" s="1" t="n">
        <v>46006.38961805555</v>
      </c>
      <c r="C87" s="1" t="n">
        <v>46144</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831-2025</t>
        </is>
      </c>
      <c r="B88" s="1" t="n">
        <v>45665.58001157407</v>
      </c>
      <c r="C88" s="1" t="n">
        <v>46144</v>
      </c>
      <c r="D88" t="inlineStr">
        <is>
          <t>DALARNAS LÄN</t>
        </is>
      </c>
      <c r="E88" t="inlineStr">
        <is>
          <t>MORA</t>
        </is>
      </c>
      <c r="G88" t="n">
        <v>2.5</v>
      </c>
      <c r="H88" t="n">
        <v>0</v>
      </c>
      <c r="I88" t="n">
        <v>1</v>
      </c>
      <c r="J88" t="n">
        <v>0</v>
      </c>
      <c r="K88" t="n">
        <v>0</v>
      </c>
      <c r="L88" t="n">
        <v>0</v>
      </c>
      <c r="M88" t="n">
        <v>0</v>
      </c>
      <c r="N88" t="n">
        <v>0</v>
      </c>
      <c r="O88" t="n">
        <v>0</v>
      </c>
      <c r="P88" t="n">
        <v>0</v>
      </c>
      <c r="Q88" t="n">
        <v>1</v>
      </c>
      <c r="R88" s="2" t="inlineStr">
        <is>
          <t>Stekelbock</t>
        </is>
      </c>
      <c r="S88">
        <f>HYPERLINK("https://klasma.github.io/Logging_2062/artfynd/A 831-2025 artfynd.xlsx", "A 831-2025")</f>
        <v/>
      </c>
      <c r="T88">
        <f>HYPERLINK("https://klasma.github.io/Logging_2062/kartor/A 831-2025 karta.png", "A 831-2025")</f>
        <v/>
      </c>
      <c r="V88">
        <f>HYPERLINK("https://klasma.github.io/Logging_2062/klagomål/A 831-2025 FSC-klagomål.docx", "A 831-2025")</f>
        <v/>
      </c>
      <c r="W88">
        <f>HYPERLINK("https://klasma.github.io/Logging_2062/klagomålsmail/A 831-2025 FSC-klagomål mail.docx", "A 831-2025")</f>
        <v/>
      </c>
      <c r="X88">
        <f>HYPERLINK("https://klasma.github.io/Logging_2062/tillsyn/A 831-2025 tillsynsbegäran.docx", "A 831-2025")</f>
        <v/>
      </c>
      <c r="Y88">
        <f>HYPERLINK("https://klasma.github.io/Logging_2062/tillsynsmail/A 831-2025 tillsynsbegäran mail.docx", "A 831-2025")</f>
        <v/>
      </c>
    </row>
    <row r="89" ht="15" customHeight="1">
      <c r="A89" t="inlineStr">
        <is>
          <t>A 45344-2024</t>
        </is>
      </c>
      <c r="B89" s="1" t="n">
        <v>45576</v>
      </c>
      <c r="C89" s="1" t="n">
        <v>46144</v>
      </c>
      <c r="D89" t="inlineStr">
        <is>
          <t>DALARNAS LÄN</t>
        </is>
      </c>
      <c r="E89" t="inlineStr">
        <is>
          <t>MORA</t>
        </is>
      </c>
      <c r="G89" t="n">
        <v>0.9</v>
      </c>
      <c r="H89" t="n">
        <v>0</v>
      </c>
      <c r="I89" t="n">
        <v>0</v>
      </c>
      <c r="J89" t="n">
        <v>1</v>
      </c>
      <c r="K89" t="n">
        <v>0</v>
      </c>
      <c r="L89" t="n">
        <v>0</v>
      </c>
      <c r="M89" t="n">
        <v>0</v>
      </c>
      <c r="N89" t="n">
        <v>0</v>
      </c>
      <c r="O89" t="n">
        <v>1</v>
      </c>
      <c r="P89" t="n">
        <v>0</v>
      </c>
      <c r="Q89" t="n">
        <v>1</v>
      </c>
      <c r="R89" s="2" t="inlineStr">
        <is>
          <t>Garnlav</t>
        </is>
      </c>
      <c r="S89">
        <f>HYPERLINK("https://klasma.github.io/Logging_2062/artfynd/A 45344-2024 artfynd.xlsx", "A 45344-2024")</f>
        <v/>
      </c>
      <c r="T89">
        <f>HYPERLINK("https://klasma.github.io/Logging_2062/kartor/A 45344-2024 karta.png", "A 45344-2024")</f>
        <v/>
      </c>
      <c r="V89">
        <f>HYPERLINK("https://klasma.github.io/Logging_2062/klagomål/A 45344-2024 FSC-klagomål.docx", "A 45344-2024")</f>
        <v/>
      </c>
      <c r="W89">
        <f>HYPERLINK("https://klasma.github.io/Logging_2062/klagomålsmail/A 45344-2024 FSC-klagomål mail.docx", "A 45344-2024")</f>
        <v/>
      </c>
      <c r="X89">
        <f>HYPERLINK("https://klasma.github.io/Logging_2062/tillsyn/A 45344-2024 tillsynsbegäran.docx", "A 45344-2024")</f>
        <v/>
      </c>
      <c r="Y89">
        <f>HYPERLINK("https://klasma.github.io/Logging_2062/tillsynsmail/A 45344-2024 tillsynsbegäran mail.docx", "A 45344-2024")</f>
        <v/>
      </c>
    </row>
    <row r="90" ht="15" customHeight="1">
      <c r="A90" t="inlineStr">
        <is>
          <t>A 18984-2026</t>
        </is>
      </c>
      <c r="B90" s="1" t="n">
        <v>46129.63193287037</v>
      </c>
      <c r="C90" s="1" t="n">
        <v>46144</v>
      </c>
      <c r="D90" t="inlineStr">
        <is>
          <t>DALARNAS LÄN</t>
        </is>
      </c>
      <c r="E90" t="inlineStr">
        <is>
          <t>MORA</t>
        </is>
      </c>
      <c r="F90" t="inlineStr">
        <is>
          <t>Bergvik skog öst AB</t>
        </is>
      </c>
      <c r="G90" t="n">
        <v>9.5</v>
      </c>
      <c r="H90" t="n">
        <v>1</v>
      </c>
      <c r="I90" t="n">
        <v>0</v>
      </c>
      <c r="J90" t="n">
        <v>0</v>
      </c>
      <c r="K90" t="n">
        <v>0</v>
      </c>
      <c r="L90" t="n">
        <v>0</v>
      </c>
      <c r="M90" t="n">
        <v>0</v>
      </c>
      <c r="N90" t="n">
        <v>0</v>
      </c>
      <c r="O90" t="n">
        <v>0</v>
      </c>
      <c r="P90" t="n">
        <v>0</v>
      </c>
      <c r="Q90" t="n">
        <v>1</v>
      </c>
      <c r="R90" s="2" t="inlineStr">
        <is>
          <t>Tjäder</t>
        </is>
      </c>
      <c r="S90">
        <f>HYPERLINK("https://klasma.github.io/Logging_2062/artfynd/A 18984-2026 artfynd.xlsx", "A 18984-2026")</f>
        <v/>
      </c>
      <c r="T90">
        <f>HYPERLINK("https://klasma.github.io/Logging_2062/kartor/A 18984-2026 karta.png", "A 18984-2026")</f>
        <v/>
      </c>
      <c r="V90">
        <f>HYPERLINK("https://klasma.github.io/Logging_2062/klagomål/A 18984-2026 FSC-klagomål.docx", "A 18984-2026")</f>
        <v/>
      </c>
      <c r="W90">
        <f>HYPERLINK("https://klasma.github.io/Logging_2062/klagomålsmail/A 18984-2026 FSC-klagomål mail.docx", "A 18984-2026")</f>
        <v/>
      </c>
      <c r="X90">
        <f>HYPERLINK("https://klasma.github.io/Logging_2062/tillsyn/A 18984-2026 tillsynsbegäran.docx", "A 18984-2026")</f>
        <v/>
      </c>
      <c r="Y90">
        <f>HYPERLINK("https://klasma.github.io/Logging_2062/tillsynsmail/A 18984-2026 tillsynsbegäran mail.docx", "A 18984-2026")</f>
        <v/>
      </c>
      <c r="Z90">
        <f>HYPERLINK("https://klasma.github.io/Logging_2062/fåglar/A 18984-2026 prioriterade fågelarter.docx", "A 18984-2026")</f>
        <v/>
      </c>
    </row>
    <row r="91" ht="15" customHeight="1">
      <c r="A91" t="inlineStr">
        <is>
          <t>A 23736-2023</t>
        </is>
      </c>
      <c r="B91" s="1" t="n">
        <v>45077</v>
      </c>
      <c r="C91" s="1" t="n">
        <v>46144</v>
      </c>
      <c r="D91" t="inlineStr">
        <is>
          <t>DALARNAS LÄN</t>
        </is>
      </c>
      <c r="E91" t="inlineStr">
        <is>
          <t>MORA</t>
        </is>
      </c>
      <c r="G91" t="n">
        <v>7.2</v>
      </c>
      <c r="H91" t="n">
        <v>0</v>
      </c>
      <c r="I91" t="n">
        <v>0</v>
      </c>
      <c r="J91" t="n">
        <v>1</v>
      </c>
      <c r="K91" t="n">
        <v>0</v>
      </c>
      <c r="L91" t="n">
        <v>0</v>
      </c>
      <c r="M91" t="n">
        <v>0</v>
      </c>
      <c r="N91" t="n">
        <v>0</v>
      </c>
      <c r="O91" t="n">
        <v>1</v>
      </c>
      <c r="P91" t="n">
        <v>0</v>
      </c>
      <c r="Q91" t="n">
        <v>1</v>
      </c>
      <c r="R91" s="2" t="inlineStr">
        <is>
          <t>Reliktbock</t>
        </is>
      </c>
      <c r="S91">
        <f>HYPERLINK("https://klasma.github.io/Logging_2062/artfynd/A 23736-2023 artfynd.xlsx", "A 23736-2023")</f>
        <v/>
      </c>
      <c r="T91">
        <f>HYPERLINK("https://klasma.github.io/Logging_2062/kartor/A 23736-2023 karta.png", "A 23736-2023")</f>
        <v/>
      </c>
      <c r="V91">
        <f>HYPERLINK("https://klasma.github.io/Logging_2062/klagomål/A 23736-2023 FSC-klagomål.docx", "A 23736-2023")</f>
        <v/>
      </c>
      <c r="W91">
        <f>HYPERLINK("https://klasma.github.io/Logging_2062/klagomålsmail/A 23736-2023 FSC-klagomål mail.docx", "A 23736-2023")</f>
        <v/>
      </c>
      <c r="X91">
        <f>HYPERLINK("https://klasma.github.io/Logging_2062/tillsyn/A 23736-2023 tillsynsbegäran.docx", "A 23736-2023")</f>
        <v/>
      </c>
      <c r="Y91">
        <f>HYPERLINK("https://klasma.github.io/Logging_2062/tillsynsmail/A 23736-2023 tillsynsbegäran mail.docx", "A 23736-2023")</f>
        <v/>
      </c>
    </row>
    <row r="92" ht="15" customHeight="1">
      <c r="A92" t="inlineStr">
        <is>
          <t>A 36058-2024</t>
        </is>
      </c>
      <c r="B92" s="1" t="n">
        <v>45533</v>
      </c>
      <c r="C92" s="1" t="n">
        <v>46144</v>
      </c>
      <c r="D92" t="inlineStr">
        <is>
          <t>DALARNAS LÄN</t>
        </is>
      </c>
      <c r="E92" t="inlineStr">
        <is>
          <t>MORA</t>
        </is>
      </c>
      <c r="G92" t="n">
        <v>1</v>
      </c>
      <c r="H92" t="n">
        <v>0</v>
      </c>
      <c r="I92" t="n">
        <v>0</v>
      </c>
      <c r="J92" t="n">
        <v>1</v>
      </c>
      <c r="K92" t="n">
        <v>0</v>
      </c>
      <c r="L92" t="n">
        <v>0</v>
      </c>
      <c r="M92" t="n">
        <v>0</v>
      </c>
      <c r="N92" t="n">
        <v>0</v>
      </c>
      <c r="O92" t="n">
        <v>1</v>
      </c>
      <c r="P92" t="n">
        <v>0</v>
      </c>
      <c r="Q92" t="n">
        <v>1</v>
      </c>
      <c r="R92" s="2" t="inlineStr">
        <is>
          <t>Garnlav</t>
        </is>
      </c>
      <c r="S92">
        <f>HYPERLINK("https://klasma.github.io/Logging_2062/artfynd/A 36058-2024 artfynd.xlsx", "A 36058-2024")</f>
        <v/>
      </c>
      <c r="T92">
        <f>HYPERLINK("https://klasma.github.io/Logging_2062/kartor/A 36058-2024 karta.png", "A 36058-2024")</f>
        <v/>
      </c>
      <c r="V92">
        <f>HYPERLINK("https://klasma.github.io/Logging_2062/klagomål/A 36058-2024 FSC-klagomål.docx", "A 36058-2024")</f>
        <v/>
      </c>
      <c r="W92">
        <f>HYPERLINK("https://klasma.github.io/Logging_2062/klagomålsmail/A 36058-2024 FSC-klagomål mail.docx", "A 36058-2024")</f>
        <v/>
      </c>
      <c r="X92">
        <f>HYPERLINK("https://klasma.github.io/Logging_2062/tillsyn/A 36058-2024 tillsynsbegäran.docx", "A 36058-2024")</f>
        <v/>
      </c>
      <c r="Y92">
        <f>HYPERLINK("https://klasma.github.io/Logging_2062/tillsynsmail/A 36058-2024 tillsynsbegäran mail.docx", "A 36058-2024")</f>
        <v/>
      </c>
    </row>
    <row r="93" ht="15" customHeight="1">
      <c r="A93" t="inlineStr">
        <is>
          <t>A 5304-2023</t>
        </is>
      </c>
      <c r="B93" s="1" t="n">
        <v>44959.55116898148</v>
      </c>
      <c r="C93" s="1" t="n">
        <v>46144</v>
      </c>
      <c r="D93" t="inlineStr">
        <is>
          <t>DALARNAS LÄN</t>
        </is>
      </c>
      <c r="E93" t="inlineStr">
        <is>
          <t>MORA</t>
        </is>
      </c>
      <c r="F93" t="inlineStr">
        <is>
          <t>Bergvik skog väst AB</t>
        </is>
      </c>
      <c r="G93" t="n">
        <v>7.3</v>
      </c>
      <c r="H93" t="n">
        <v>0</v>
      </c>
      <c r="I93" t="n">
        <v>0</v>
      </c>
      <c r="J93" t="n">
        <v>1</v>
      </c>
      <c r="K93" t="n">
        <v>0</v>
      </c>
      <c r="L93" t="n">
        <v>0</v>
      </c>
      <c r="M93" t="n">
        <v>0</v>
      </c>
      <c r="N93" t="n">
        <v>0</v>
      </c>
      <c r="O93" t="n">
        <v>1</v>
      </c>
      <c r="P93" t="n">
        <v>0</v>
      </c>
      <c r="Q93" t="n">
        <v>1</v>
      </c>
      <c r="R93" s="2" t="inlineStr">
        <is>
          <t>Backruta</t>
        </is>
      </c>
      <c r="S93">
        <f>HYPERLINK("https://klasma.github.io/Logging_2062/artfynd/A 5304-2023 artfynd.xlsx", "A 5304-2023")</f>
        <v/>
      </c>
      <c r="T93">
        <f>HYPERLINK("https://klasma.github.io/Logging_2062/kartor/A 5304-2023 karta.png", "A 5304-2023")</f>
        <v/>
      </c>
      <c r="V93">
        <f>HYPERLINK("https://klasma.github.io/Logging_2062/klagomål/A 5304-2023 FSC-klagomål.docx", "A 5304-2023")</f>
        <v/>
      </c>
      <c r="W93">
        <f>HYPERLINK("https://klasma.github.io/Logging_2062/klagomålsmail/A 5304-2023 FSC-klagomål mail.docx", "A 5304-2023")</f>
        <v/>
      </c>
      <c r="X93">
        <f>HYPERLINK("https://klasma.github.io/Logging_2062/tillsyn/A 5304-2023 tillsynsbegäran.docx", "A 5304-2023")</f>
        <v/>
      </c>
      <c r="Y93">
        <f>HYPERLINK("https://klasma.github.io/Logging_2062/tillsynsmail/A 5304-2023 tillsynsbegäran mail.docx", "A 5304-2023")</f>
        <v/>
      </c>
    </row>
    <row r="94" ht="15" customHeight="1">
      <c r="A94" t="inlineStr">
        <is>
          <t>A 27113-2024</t>
        </is>
      </c>
      <c r="B94" s="1" t="n">
        <v>45471</v>
      </c>
      <c r="C94" s="1" t="n">
        <v>46144</v>
      </c>
      <c r="D94" t="inlineStr">
        <is>
          <t>DALARNAS LÄN</t>
        </is>
      </c>
      <c r="E94" t="inlineStr">
        <is>
          <t>MORA</t>
        </is>
      </c>
      <c r="G94" t="n">
        <v>10.3</v>
      </c>
      <c r="H94" t="n">
        <v>0</v>
      </c>
      <c r="I94" t="n">
        <v>1</v>
      </c>
      <c r="J94" t="n">
        <v>0</v>
      </c>
      <c r="K94" t="n">
        <v>0</v>
      </c>
      <c r="L94" t="n">
        <v>0</v>
      </c>
      <c r="M94" t="n">
        <v>0</v>
      </c>
      <c r="N94" t="n">
        <v>0</v>
      </c>
      <c r="O94" t="n">
        <v>0</v>
      </c>
      <c r="P94" t="n">
        <v>0</v>
      </c>
      <c r="Q94" t="n">
        <v>1</v>
      </c>
      <c r="R94" s="2" t="inlineStr">
        <is>
          <t>Stor aspticka</t>
        </is>
      </c>
      <c r="S94">
        <f>HYPERLINK("https://klasma.github.io/Logging_2062/artfynd/A 27113-2024 artfynd.xlsx", "A 27113-2024")</f>
        <v/>
      </c>
      <c r="T94">
        <f>HYPERLINK("https://klasma.github.io/Logging_2062/kartor/A 27113-2024 karta.png", "A 27113-2024")</f>
        <v/>
      </c>
      <c r="V94">
        <f>HYPERLINK("https://klasma.github.io/Logging_2062/klagomål/A 27113-2024 FSC-klagomål.docx", "A 27113-2024")</f>
        <v/>
      </c>
      <c r="W94">
        <f>HYPERLINK("https://klasma.github.io/Logging_2062/klagomålsmail/A 27113-2024 FSC-klagomål mail.docx", "A 27113-2024")</f>
        <v/>
      </c>
      <c r="X94">
        <f>HYPERLINK("https://klasma.github.io/Logging_2062/tillsyn/A 27113-2024 tillsynsbegäran.docx", "A 27113-2024")</f>
        <v/>
      </c>
      <c r="Y94">
        <f>HYPERLINK("https://klasma.github.io/Logging_2062/tillsynsmail/A 27113-2024 tillsynsbegäran mail.docx", "A 27113-2024")</f>
        <v/>
      </c>
    </row>
    <row r="95" ht="15" customHeight="1">
      <c r="A95" t="inlineStr">
        <is>
          <t>A 38769-2021</t>
        </is>
      </c>
      <c r="B95" s="1" t="n">
        <v>44410</v>
      </c>
      <c r="C95" s="1" t="n">
        <v>46144</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46144</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46144</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46144</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46144</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72648-2021</t>
        </is>
      </c>
      <c r="B100" s="1" t="n">
        <v>44546.5862037037</v>
      </c>
      <c r="C100" s="1" t="n">
        <v>46144</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46144</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46144</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46144</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42668-2022</t>
        </is>
      </c>
      <c r="B104" s="1" t="n">
        <v>44832.31839120371</v>
      </c>
      <c r="C104" s="1" t="n">
        <v>46144</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29697-2021</t>
        </is>
      </c>
      <c r="B105" s="1" t="n">
        <v>44362.38358796296</v>
      </c>
      <c r="C105" s="1" t="n">
        <v>46144</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43944-2022</t>
        </is>
      </c>
      <c r="B106" s="1" t="n">
        <v>44838</v>
      </c>
      <c r="C106" s="1" t="n">
        <v>46144</v>
      </c>
      <c r="D106" t="inlineStr">
        <is>
          <t>DALARNAS LÄN</t>
        </is>
      </c>
      <c r="E106" t="inlineStr">
        <is>
          <t>MORA</t>
        </is>
      </c>
      <c r="F106" t="inlineStr">
        <is>
          <t>Bergvik skog öst AB</t>
        </is>
      </c>
      <c r="G106" t="n">
        <v>1.1</v>
      </c>
      <c r="H106" t="n">
        <v>0</v>
      </c>
      <c r="I106" t="n">
        <v>0</v>
      </c>
      <c r="J106" t="n">
        <v>0</v>
      </c>
      <c r="K106" t="n">
        <v>0</v>
      </c>
      <c r="L106" t="n">
        <v>0</v>
      </c>
      <c r="M106" t="n">
        <v>0</v>
      </c>
      <c r="N106" t="n">
        <v>0</v>
      </c>
      <c r="O106" t="n">
        <v>0</v>
      </c>
      <c r="P106" t="n">
        <v>0</v>
      </c>
      <c r="Q106" t="n">
        <v>0</v>
      </c>
      <c r="R106" s="2" t="inlineStr"/>
    </row>
    <row r="107" ht="15" customHeight="1">
      <c r="A107" t="inlineStr">
        <is>
          <t>A 50620-2021</t>
        </is>
      </c>
      <c r="B107" s="1" t="n">
        <v>44459.68884259259</v>
      </c>
      <c r="C107" s="1" t="n">
        <v>46144</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46144</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46144</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46144</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46144</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41022-2021</t>
        </is>
      </c>
      <c r="B112" s="1" t="n">
        <v>44421</v>
      </c>
      <c r="C112" s="1" t="n">
        <v>46144</v>
      </c>
      <c r="D112" t="inlineStr">
        <is>
          <t>DALARNAS LÄN</t>
        </is>
      </c>
      <c r="E112" t="inlineStr">
        <is>
          <t>MORA</t>
        </is>
      </c>
      <c r="G112" t="n">
        <v>11.9</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46144</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46144</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46144</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46144</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46144</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46144</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46144</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46144</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46144</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46144</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46144</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46144</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46144</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46144</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46144</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33269-2022</t>
        </is>
      </c>
      <c r="B128" s="1" t="n">
        <v>44788.32601851852</v>
      </c>
      <c r="C128" s="1" t="n">
        <v>46144</v>
      </c>
      <c r="D128" t="inlineStr">
        <is>
          <t>DALARNAS LÄN</t>
        </is>
      </c>
      <c r="E128" t="inlineStr">
        <is>
          <t>MORA</t>
        </is>
      </c>
      <c r="G128" t="n">
        <v>3.1</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46144</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46144</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46144</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46144</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46144</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46144</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46144</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46144</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46144</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46144</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46144</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46144</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46144</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46144</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46144</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46144</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46144</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46144</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46144</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46144</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46144</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46144</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46144</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46144</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46144</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46144</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46144</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46144</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46144</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56770-2024</t>
        </is>
      </c>
      <c r="B158" s="1" t="n">
        <v>45628.41587962963</v>
      </c>
      <c r="C158" s="1" t="n">
        <v>46144</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43498-2023</t>
        </is>
      </c>
      <c r="B159" s="1" t="n">
        <v>45184</v>
      </c>
      <c r="C159" s="1" t="n">
        <v>46144</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46144</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46144</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46144</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46144</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46144</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17516-2024</t>
        </is>
      </c>
      <c r="B165" s="1" t="n">
        <v>45415.58502314815</v>
      </c>
      <c r="C165" s="1" t="n">
        <v>46144</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24772-2024</t>
        </is>
      </c>
      <c r="B166" s="1" t="n">
        <v>45460.70204861111</v>
      </c>
      <c r="C166" s="1" t="n">
        <v>46144</v>
      </c>
      <c r="D166" t="inlineStr">
        <is>
          <t>DALARNAS LÄN</t>
        </is>
      </c>
      <c r="E166" t="inlineStr">
        <is>
          <t>MORA</t>
        </is>
      </c>
      <c r="G166" t="n">
        <v>0.9</v>
      </c>
      <c r="H166" t="n">
        <v>0</v>
      </c>
      <c r="I166" t="n">
        <v>0</v>
      </c>
      <c r="J166" t="n">
        <v>0</v>
      </c>
      <c r="K166" t="n">
        <v>0</v>
      </c>
      <c r="L166" t="n">
        <v>0</v>
      </c>
      <c r="M166" t="n">
        <v>0</v>
      </c>
      <c r="N166" t="n">
        <v>0</v>
      </c>
      <c r="O166" t="n">
        <v>0</v>
      </c>
      <c r="P166" t="n">
        <v>0</v>
      </c>
      <c r="Q166" t="n">
        <v>0</v>
      </c>
      <c r="R166" s="2" t="inlineStr"/>
    </row>
    <row r="167" ht="15" customHeight="1">
      <c r="A167" t="inlineStr">
        <is>
          <t>A 34923-2022</t>
        </is>
      </c>
      <c r="B167" s="1" t="n">
        <v>44796</v>
      </c>
      <c r="C167" s="1" t="n">
        <v>46144</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18202-2024</t>
        </is>
      </c>
      <c r="B168" s="1" t="n">
        <v>45420.68172453704</v>
      </c>
      <c r="C168" s="1" t="n">
        <v>46144</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59174-2023</t>
        </is>
      </c>
      <c r="B169" s="1" t="n">
        <v>45253.43202546296</v>
      </c>
      <c r="C169" s="1" t="n">
        <v>46144</v>
      </c>
      <c r="D169" t="inlineStr">
        <is>
          <t>DALARNAS LÄN</t>
        </is>
      </c>
      <c r="E169" t="inlineStr">
        <is>
          <t>MORA</t>
        </is>
      </c>
      <c r="G169" t="n">
        <v>2.5</v>
      </c>
      <c r="H169" t="n">
        <v>0</v>
      </c>
      <c r="I169" t="n">
        <v>0</v>
      </c>
      <c r="J169" t="n">
        <v>0</v>
      </c>
      <c r="K169" t="n">
        <v>0</v>
      </c>
      <c r="L169" t="n">
        <v>0</v>
      </c>
      <c r="M169" t="n">
        <v>0</v>
      </c>
      <c r="N169" t="n">
        <v>0</v>
      </c>
      <c r="O169" t="n">
        <v>0</v>
      </c>
      <c r="P169" t="n">
        <v>0</v>
      </c>
      <c r="Q169" t="n">
        <v>0</v>
      </c>
      <c r="R169" s="2" t="inlineStr"/>
    </row>
    <row r="170" ht="15" customHeight="1">
      <c r="A170" t="inlineStr">
        <is>
          <t>A 23057-2024</t>
        </is>
      </c>
      <c r="B170" s="1" t="n">
        <v>45450</v>
      </c>
      <c r="C170" s="1" t="n">
        <v>46144</v>
      </c>
      <c r="D170" t="inlineStr">
        <is>
          <t>DALARNAS LÄN</t>
        </is>
      </c>
      <c r="E170" t="inlineStr">
        <is>
          <t>MORA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36184-2021</t>
        </is>
      </c>
      <c r="B171" s="1" t="n">
        <v>44389</v>
      </c>
      <c r="C171" s="1" t="n">
        <v>46144</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49159-2023</t>
        </is>
      </c>
      <c r="B172" s="1" t="n">
        <v>45210</v>
      </c>
      <c r="C172" s="1" t="n">
        <v>46144</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18992-2024</t>
        </is>
      </c>
      <c r="B173" s="1" t="n">
        <v>45427.61516203704</v>
      </c>
      <c r="C173" s="1" t="n">
        <v>46144</v>
      </c>
      <c r="D173" t="inlineStr">
        <is>
          <t>DALARNAS LÄN</t>
        </is>
      </c>
      <c r="E173" t="inlineStr">
        <is>
          <t>MORA</t>
        </is>
      </c>
      <c r="G173" t="n">
        <v>9.9</v>
      </c>
      <c r="H173" t="n">
        <v>0</v>
      </c>
      <c r="I173" t="n">
        <v>0</v>
      </c>
      <c r="J173" t="n">
        <v>0</v>
      </c>
      <c r="K173" t="n">
        <v>0</v>
      </c>
      <c r="L173" t="n">
        <v>0</v>
      </c>
      <c r="M173" t="n">
        <v>0</v>
      </c>
      <c r="N173" t="n">
        <v>0</v>
      </c>
      <c r="O173" t="n">
        <v>0</v>
      </c>
      <c r="P173" t="n">
        <v>0</v>
      </c>
      <c r="Q173" t="n">
        <v>0</v>
      </c>
      <c r="R173" s="2" t="inlineStr"/>
    </row>
    <row r="174" ht="15" customHeight="1">
      <c r="A174" t="inlineStr">
        <is>
          <t>A 60673-2023</t>
        </is>
      </c>
      <c r="B174" s="1" t="n">
        <v>45260.46438657407</v>
      </c>
      <c r="C174" s="1" t="n">
        <v>46144</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18444-2024</t>
        </is>
      </c>
      <c r="B175" s="1" t="n">
        <v>45425.45568287037</v>
      </c>
      <c r="C175" s="1" t="n">
        <v>46144</v>
      </c>
      <c r="D175" t="inlineStr">
        <is>
          <t>DALARNAS LÄN</t>
        </is>
      </c>
      <c r="E175" t="inlineStr">
        <is>
          <t>MORA</t>
        </is>
      </c>
      <c r="G175" t="n">
        <v>5</v>
      </c>
      <c r="H175" t="n">
        <v>0</v>
      </c>
      <c r="I175" t="n">
        <v>0</v>
      </c>
      <c r="J175" t="n">
        <v>0</v>
      </c>
      <c r="K175" t="n">
        <v>0</v>
      </c>
      <c r="L175" t="n">
        <v>0</v>
      </c>
      <c r="M175" t="n">
        <v>0</v>
      </c>
      <c r="N175" t="n">
        <v>0</v>
      </c>
      <c r="O175" t="n">
        <v>0</v>
      </c>
      <c r="P175" t="n">
        <v>0</v>
      </c>
      <c r="Q175" t="n">
        <v>0</v>
      </c>
      <c r="R175" s="2" t="inlineStr"/>
    </row>
    <row r="176" ht="15" customHeight="1">
      <c r="A176" t="inlineStr">
        <is>
          <t>A 60847-2021</t>
        </is>
      </c>
      <c r="B176" s="1" t="n">
        <v>44497</v>
      </c>
      <c r="C176" s="1" t="n">
        <v>46144</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32721-2024</t>
        </is>
      </c>
      <c r="B177" s="1" t="n">
        <v>45516.40261574074</v>
      </c>
      <c r="C177" s="1" t="n">
        <v>46144</v>
      </c>
      <c r="D177" t="inlineStr">
        <is>
          <t>DALARNAS LÄN</t>
        </is>
      </c>
      <c r="E177" t="inlineStr">
        <is>
          <t>MORA</t>
        </is>
      </c>
      <c r="G177" t="n">
        <v>4.2</v>
      </c>
      <c r="H177" t="n">
        <v>0</v>
      </c>
      <c r="I177" t="n">
        <v>0</v>
      </c>
      <c r="J177" t="n">
        <v>0</v>
      </c>
      <c r="K177" t="n">
        <v>0</v>
      </c>
      <c r="L177" t="n">
        <v>0</v>
      </c>
      <c r="M177" t="n">
        <v>0</v>
      </c>
      <c r="N177" t="n">
        <v>0</v>
      </c>
      <c r="O177" t="n">
        <v>0</v>
      </c>
      <c r="P177" t="n">
        <v>0</v>
      </c>
      <c r="Q177" t="n">
        <v>0</v>
      </c>
      <c r="R177" s="2" t="inlineStr"/>
    </row>
    <row r="178" ht="15" customHeight="1">
      <c r="A178" t="inlineStr">
        <is>
          <t>A 30194-2024</t>
        </is>
      </c>
      <c r="B178" s="1" t="n">
        <v>45490.33387731481</v>
      </c>
      <c r="C178" s="1" t="n">
        <v>46144</v>
      </c>
      <c r="D178" t="inlineStr">
        <is>
          <t>DALARNAS LÄN</t>
        </is>
      </c>
      <c r="E178" t="inlineStr">
        <is>
          <t>MORA</t>
        </is>
      </c>
      <c r="G178" t="n">
        <v>3.1</v>
      </c>
      <c r="H178" t="n">
        <v>0</v>
      </c>
      <c r="I178" t="n">
        <v>0</v>
      </c>
      <c r="J178" t="n">
        <v>0</v>
      </c>
      <c r="K178" t="n">
        <v>0</v>
      </c>
      <c r="L178" t="n">
        <v>0</v>
      </c>
      <c r="M178" t="n">
        <v>0</v>
      </c>
      <c r="N178" t="n">
        <v>0</v>
      </c>
      <c r="O178" t="n">
        <v>0</v>
      </c>
      <c r="P178" t="n">
        <v>0</v>
      </c>
      <c r="Q178" t="n">
        <v>0</v>
      </c>
      <c r="R178" s="2" t="inlineStr"/>
    </row>
    <row r="179" ht="15" customHeight="1">
      <c r="A179" t="inlineStr">
        <is>
          <t>A 36038-2024</t>
        </is>
      </c>
      <c r="B179" s="1" t="n">
        <v>45533</v>
      </c>
      <c r="C179" s="1" t="n">
        <v>46144</v>
      </c>
      <c r="D179" t="inlineStr">
        <is>
          <t>DALARNAS LÄN</t>
        </is>
      </c>
      <c r="E179" t="inlineStr">
        <is>
          <t>MORA</t>
        </is>
      </c>
      <c r="G179" t="n">
        <v>5.1</v>
      </c>
      <c r="H179" t="n">
        <v>0</v>
      </c>
      <c r="I179" t="n">
        <v>0</v>
      </c>
      <c r="J179" t="n">
        <v>0</v>
      </c>
      <c r="K179" t="n">
        <v>0</v>
      </c>
      <c r="L179" t="n">
        <v>0</v>
      </c>
      <c r="M179" t="n">
        <v>0</v>
      </c>
      <c r="N179" t="n">
        <v>0</v>
      </c>
      <c r="O179" t="n">
        <v>0</v>
      </c>
      <c r="P179" t="n">
        <v>0</v>
      </c>
      <c r="Q179" t="n">
        <v>0</v>
      </c>
      <c r="R179" s="2" t="inlineStr"/>
    </row>
    <row r="180" ht="15" customHeight="1">
      <c r="A180" t="inlineStr">
        <is>
          <t>A 32410-2024</t>
        </is>
      </c>
      <c r="B180" s="1" t="n">
        <v>45512.70077546296</v>
      </c>
      <c r="C180" s="1" t="n">
        <v>46144</v>
      </c>
      <c r="D180" t="inlineStr">
        <is>
          <t>DALARNAS LÄN</t>
        </is>
      </c>
      <c r="E180" t="inlineStr">
        <is>
          <t>MORA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52525-2022</t>
        </is>
      </c>
      <c r="B181" s="1" t="n">
        <v>44874</v>
      </c>
      <c r="C181" s="1" t="n">
        <v>46144</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47143-2022</t>
        </is>
      </c>
      <c r="B182" s="1" t="n">
        <v>44852</v>
      </c>
      <c r="C182" s="1" t="n">
        <v>46144</v>
      </c>
      <c r="D182" t="inlineStr">
        <is>
          <t>DALARNAS LÄN</t>
        </is>
      </c>
      <c r="E182" t="inlineStr">
        <is>
          <t>MORA</t>
        </is>
      </c>
      <c r="G182" t="n">
        <v>3.9</v>
      </c>
      <c r="H182" t="n">
        <v>0</v>
      </c>
      <c r="I182" t="n">
        <v>0</v>
      </c>
      <c r="J182" t="n">
        <v>0</v>
      </c>
      <c r="K182" t="n">
        <v>0</v>
      </c>
      <c r="L182" t="n">
        <v>0</v>
      </c>
      <c r="M182" t="n">
        <v>0</v>
      </c>
      <c r="N182" t="n">
        <v>0</v>
      </c>
      <c r="O182" t="n">
        <v>0</v>
      </c>
      <c r="P182" t="n">
        <v>0</v>
      </c>
      <c r="Q182" t="n">
        <v>0</v>
      </c>
      <c r="R182" s="2" t="inlineStr"/>
    </row>
    <row r="183" ht="15" customHeight="1">
      <c r="A183" t="inlineStr">
        <is>
          <t>A 41169-2023</t>
        </is>
      </c>
      <c r="B183" s="1" t="n">
        <v>45174.34662037037</v>
      </c>
      <c r="C183" s="1" t="n">
        <v>46144</v>
      </c>
      <c r="D183" t="inlineStr">
        <is>
          <t>DALARNAS LÄN</t>
        </is>
      </c>
      <c r="E183" t="inlineStr">
        <is>
          <t>MORA</t>
        </is>
      </c>
      <c r="G183" t="n">
        <v>3</v>
      </c>
      <c r="H183" t="n">
        <v>0</v>
      </c>
      <c r="I183" t="n">
        <v>0</v>
      </c>
      <c r="J183" t="n">
        <v>0</v>
      </c>
      <c r="K183" t="n">
        <v>0</v>
      </c>
      <c r="L183" t="n">
        <v>0</v>
      </c>
      <c r="M183" t="n">
        <v>0</v>
      </c>
      <c r="N183" t="n">
        <v>0</v>
      </c>
      <c r="O183" t="n">
        <v>0</v>
      </c>
      <c r="P183" t="n">
        <v>0</v>
      </c>
      <c r="Q183" t="n">
        <v>0</v>
      </c>
      <c r="R183" s="2" t="inlineStr"/>
    </row>
    <row r="184" ht="15" customHeight="1">
      <c r="A184" t="inlineStr">
        <is>
          <t>A 34282-2024</t>
        </is>
      </c>
      <c r="B184" s="1" t="n">
        <v>45524.62600694445</v>
      </c>
      <c r="C184" s="1" t="n">
        <v>46144</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69483-2021</t>
        </is>
      </c>
      <c r="B185" s="1" t="n">
        <v>44531</v>
      </c>
      <c r="C185" s="1" t="n">
        <v>46144</v>
      </c>
      <c r="D185" t="inlineStr">
        <is>
          <t>DALARNAS LÄN</t>
        </is>
      </c>
      <c r="E185" t="inlineStr">
        <is>
          <t>MORA</t>
        </is>
      </c>
      <c r="G185" t="n">
        <v>1.5</v>
      </c>
      <c r="H185" t="n">
        <v>0</v>
      </c>
      <c r="I185" t="n">
        <v>0</v>
      </c>
      <c r="J185" t="n">
        <v>0</v>
      </c>
      <c r="K185" t="n">
        <v>0</v>
      </c>
      <c r="L185" t="n">
        <v>0</v>
      </c>
      <c r="M185" t="n">
        <v>0</v>
      </c>
      <c r="N185" t="n">
        <v>0</v>
      </c>
      <c r="O185" t="n">
        <v>0</v>
      </c>
      <c r="P185" t="n">
        <v>0</v>
      </c>
      <c r="Q185" t="n">
        <v>0</v>
      </c>
      <c r="R185" s="2" t="inlineStr"/>
    </row>
    <row r="186" ht="15" customHeight="1">
      <c r="A186" t="inlineStr">
        <is>
          <t>A 39882-2024</t>
        </is>
      </c>
      <c r="B186" s="1" t="n">
        <v>45553</v>
      </c>
      <c r="C186" s="1" t="n">
        <v>46144</v>
      </c>
      <c r="D186" t="inlineStr">
        <is>
          <t>DALARNAS LÄN</t>
        </is>
      </c>
      <c r="E186" t="inlineStr">
        <is>
          <t>MORA</t>
        </is>
      </c>
      <c r="G186" t="n">
        <v>14.6</v>
      </c>
      <c r="H186" t="n">
        <v>0</v>
      </c>
      <c r="I186" t="n">
        <v>0</v>
      </c>
      <c r="J186" t="n">
        <v>0</v>
      </c>
      <c r="K186" t="n">
        <v>0</v>
      </c>
      <c r="L186" t="n">
        <v>0</v>
      </c>
      <c r="M186" t="n">
        <v>0</v>
      </c>
      <c r="N186" t="n">
        <v>0</v>
      </c>
      <c r="O186" t="n">
        <v>0</v>
      </c>
      <c r="P186" t="n">
        <v>0</v>
      </c>
      <c r="Q186" t="n">
        <v>0</v>
      </c>
      <c r="R186" s="2" t="inlineStr"/>
    </row>
    <row r="187" ht="15" customHeight="1">
      <c r="A187" t="inlineStr">
        <is>
          <t>A 56460-2022</t>
        </is>
      </c>
      <c r="B187" s="1" t="n">
        <v>44893</v>
      </c>
      <c r="C187" s="1" t="n">
        <v>46144</v>
      </c>
      <c r="D187" t="inlineStr">
        <is>
          <t>DALARNAS LÄN</t>
        </is>
      </c>
      <c r="E187" t="inlineStr">
        <is>
          <t>MORA</t>
        </is>
      </c>
      <c r="G187" t="n">
        <v>2.2</v>
      </c>
      <c r="H187" t="n">
        <v>0</v>
      </c>
      <c r="I187" t="n">
        <v>0</v>
      </c>
      <c r="J187" t="n">
        <v>0</v>
      </c>
      <c r="K187" t="n">
        <v>0</v>
      </c>
      <c r="L187" t="n">
        <v>0</v>
      </c>
      <c r="M187" t="n">
        <v>0</v>
      </c>
      <c r="N187" t="n">
        <v>0</v>
      </c>
      <c r="O187" t="n">
        <v>0</v>
      </c>
      <c r="P187" t="n">
        <v>0</v>
      </c>
      <c r="Q187" t="n">
        <v>0</v>
      </c>
      <c r="R187" s="2" t="inlineStr"/>
    </row>
    <row r="188" ht="15" customHeight="1">
      <c r="A188" t="inlineStr">
        <is>
          <t>A 57110-2021</t>
        </is>
      </c>
      <c r="B188" s="1" t="n">
        <v>44482</v>
      </c>
      <c r="C188" s="1" t="n">
        <v>46144</v>
      </c>
      <c r="D188" t="inlineStr">
        <is>
          <t>DALARNAS LÄN</t>
        </is>
      </c>
      <c r="E188" t="inlineStr">
        <is>
          <t>MORA</t>
        </is>
      </c>
      <c r="G188" t="n">
        <v>5.4</v>
      </c>
      <c r="H188" t="n">
        <v>0</v>
      </c>
      <c r="I188" t="n">
        <v>0</v>
      </c>
      <c r="J188" t="n">
        <v>0</v>
      </c>
      <c r="K188" t="n">
        <v>0</v>
      </c>
      <c r="L188" t="n">
        <v>0</v>
      </c>
      <c r="M188" t="n">
        <v>0</v>
      </c>
      <c r="N188" t="n">
        <v>0</v>
      </c>
      <c r="O188" t="n">
        <v>0</v>
      </c>
      <c r="P188" t="n">
        <v>0</v>
      </c>
      <c r="Q188" t="n">
        <v>0</v>
      </c>
      <c r="R188" s="2" t="inlineStr"/>
    </row>
    <row r="189" ht="15" customHeight="1">
      <c r="A189" t="inlineStr">
        <is>
          <t>A 39897-2022</t>
        </is>
      </c>
      <c r="B189" s="1" t="n">
        <v>44819.66083333334</v>
      </c>
      <c r="C189" s="1" t="n">
        <v>46144</v>
      </c>
      <c r="D189" t="inlineStr">
        <is>
          <t>DALARNAS LÄN</t>
        </is>
      </c>
      <c r="E189" t="inlineStr">
        <is>
          <t>MORA</t>
        </is>
      </c>
      <c r="G189" t="n">
        <v>15.8</v>
      </c>
      <c r="H189" t="n">
        <v>0</v>
      </c>
      <c r="I189" t="n">
        <v>0</v>
      </c>
      <c r="J189" t="n">
        <v>0</v>
      </c>
      <c r="K189" t="n">
        <v>0</v>
      </c>
      <c r="L189" t="n">
        <v>0</v>
      </c>
      <c r="M189" t="n">
        <v>0</v>
      </c>
      <c r="N189" t="n">
        <v>0</v>
      </c>
      <c r="O189" t="n">
        <v>0</v>
      </c>
      <c r="P189" t="n">
        <v>0</v>
      </c>
      <c r="Q189" t="n">
        <v>0</v>
      </c>
      <c r="R189" s="2" t="inlineStr"/>
    </row>
    <row r="190" ht="15" customHeight="1">
      <c r="A190" t="inlineStr">
        <is>
          <t>A 23302-2024</t>
        </is>
      </c>
      <c r="B190" s="1" t="n">
        <v>45453.44091435185</v>
      </c>
      <c r="C190" s="1" t="n">
        <v>46144</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30985-2024</t>
        </is>
      </c>
      <c r="B191" s="1" t="n">
        <v>45499.51721064815</v>
      </c>
      <c r="C191" s="1" t="n">
        <v>46144</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57859-2022</t>
        </is>
      </c>
      <c r="B192" s="1" t="n">
        <v>44898</v>
      </c>
      <c r="C192" s="1" t="n">
        <v>46144</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3430-2023</t>
        </is>
      </c>
      <c r="B193" s="1" t="n">
        <v>44949.57856481482</v>
      </c>
      <c r="C193" s="1" t="n">
        <v>46144</v>
      </c>
      <c r="D193" t="inlineStr">
        <is>
          <t>DALARNAS LÄN</t>
        </is>
      </c>
      <c r="E193" t="inlineStr">
        <is>
          <t>MORA</t>
        </is>
      </c>
      <c r="G193" t="n">
        <v>2.6</v>
      </c>
      <c r="H193" t="n">
        <v>0</v>
      </c>
      <c r="I193" t="n">
        <v>0</v>
      </c>
      <c r="J193" t="n">
        <v>0</v>
      </c>
      <c r="K193" t="n">
        <v>0</v>
      </c>
      <c r="L193" t="n">
        <v>0</v>
      </c>
      <c r="M193" t="n">
        <v>0</v>
      </c>
      <c r="N193" t="n">
        <v>0</v>
      </c>
      <c r="O193" t="n">
        <v>0</v>
      </c>
      <c r="P193" t="n">
        <v>0</v>
      </c>
      <c r="Q193" t="n">
        <v>0</v>
      </c>
      <c r="R193" s="2" t="inlineStr"/>
    </row>
    <row r="194" ht="15" customHeight="1">
      <c r="A194" t="inlineStr">
        <is>
          <t>A 60647-2022</t>
        </is>
      </c>
      <c r="B194" s="1" t="n">
        <v>44911</v>
      </c>
      <c r="C194" s="1" t="n">
        <v>46144</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24590-2024</t>
        </is>
      </c>
      <c r="B195" s="1" t="n">
        <v>45460</v>
      </c>
      <c r="C195" s="1" t="n">
        <v>46144</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42934-2024</t>
        </is>
      </c>
      <c r="B196" s="1" t="n">
        <v>45567.33655092592</v>
      </c>
      <c r="C196" s="1" t="n">
        <v>46144</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61654-2024</t>
        </is>
      </c>
      <c r="B197" s="1" t="n">
        <v>45646.74988425926</v>
      </c>
      <c r="C197" s="1" t="n">
        <v>46144</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2830-2023</t>
        </is>
      </c>
      <c r="B198" s="1" t="n">
        <v>44945.32997685186</v>
      </c>
      <c r="C198" s="1" t="n">
        <v>46144</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54628-2024</t>
        </is>
      </c>
      <c r="B199" s="1" t="n">
        <v>45617.83969907407</v>
      </c>
      <c r="C199" s="1" t="n">
        <v>46144</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1252-2025</t>
        </is>
      </c>
      <c r="B200" s="1" t="n">
        <v>45667.46648148148</v>
      </c>
      <c r="C200" s="1" t="n">
        <v>46144</v>
      </c>
      <c r="D200" t="inlineStr">
        <is>
          <t>DALARNAS LÄN</t>
        </is>
      </c>
      <c r="E200" t="inlineStr">
        <is>
          <t>MORA</t>
        </is>
      </c>
      <c r="G200" t="n">
        <v>1.6</v>
      </c>
      <c r="H200" t="n">
        <v>0</v>
      </c>
      <c r="I200" t="n">
        <v>0</v>
      </c>
      <c r="J200" t="n">
        <v>0</v>
      </c>
      <c r="K200" t="n">
        <v>0</v>
      </c>
      <c r="L200" t="n">
        <v>0</v>
      </c>
      <c r="M200" t="n">
        <v>0</v>
      </c>
      <c r="N200" t="n">
        <v>0</v>
      </c>
      <c r="O200" t="n">
        <v>0</v>
      </c>
      <c r="P200" t="n">
        <v>0</v>
      </c>
      <c r="Q200" t="n">
        <v>0</v>
      </c>
      <c r="R200" s="2" t="inlineStr"/>
    </row>
    <row r="201" ht="15" customHeight="1">
      <c r="A201" t="inlineStr">
        <is>
          <t>A 39348-2024</t>
        </is>
      </c>
      <c r="B201" s="1" t="n">
        <v>45551.45322916667</v>
      </c>
      <c r="C201" s="1" t="n">
        <v>46144</v>
      </c>
      <c r="D201" t="inlineStr">
        <is>
          <t>DALARNAS LÄN</t>
        </is>
      </c>
      <c r="E201" t="inlineStr">
        <is>
          <t>MORA</t>
        </is>
      </c>
      <c r="G201" t="n">
        <v>0.5</v>
      </c>
      <c r="H201" t="n">
        <v>0</v>
      </c>
      <c r="I201" t="n">
        <v>0</v>
      </c>
      <c r="J201" t="n">
        <v>0</v>
      </c>
      <c r="K201" t="n">
        <v>0</v>
      </c>
      <c r="L201" t="n">
        <v>0</v>
      </c>
      <c r="M201" t="n">
        <v>0</v>
      </c>
      <c r="N201" t="n">
        <v>0</v>
      </c>
      <c r="O201" t="n">
        <v>0</v>
      </c>
      <c r="P201" t="n">
        <v>0</v>
      </c>
      <c r="Q201" t="n">
        <v>0</v>
      </c>
      <c r="R201" s="2" t="inlineStr"/>
    </row>
    <row r="202" ht="15" customHeight="1">
      <c r="A202" t="inlineStr">
        <is>
          <t>A 56012-2023</t>
        </is>
      </c>
      <c r="B202" s="1" t="n">
        <v>45240</v>
      </c>
      <c r="C202" s="1" t="n">
        <v>46144</v>
      </c>
      <c r="D202" t="inlineStr">
        <is>
          <t>DALARNAS LÄN</t>
        </is>
      </c>
      <c r="E202" t="inlineStr">
        <is>
          <t>MORA</t>
        </is>
      </c>
      <c r="G202" t="n">
        <v>0.3</v>
      </c>
      <c r="H202" t="n">
        <v>0</v>
      </c>
      <c r="I202" t="n">
        <v>0</v>
      </c>
      <c r="J202" t="n">
        <v>0</v>
      </c>
      <c r="K202" t="n">
        <v>0</v>
      </c>
      <c r="L202" t="n">
        <v>0</v>
      </c>
      <c r="M202" t="n">
        <v>0</v>
      </c>
      <c r="N202" t="n">
        <v>0</v>
      </c>
      <c r="O202" t="n">
        <v>0</v>
      </c>
      <c r="P202" t="n">
        <v>0</v>
      </c>
      <c r="Q202" t="n">
        <v>0</v>
      </c>
      <c r="R202" s="2" t="inlineStr"/>
    </row>
    <row r="203" ht="15" customHeight="1">
      <c r="A203" t="inlineStr">
        <is>
          <t>A 40325-2024</t>
        </is>
      </c>
      <c r="B203" s="1" t="n">
        <v>45554.88538194444</v>
      </c>
      <c r="C203" s="1" t="n">
        <v>46144</v>
      </c>
      <c r="D203" t="inlineStr">
        <is>
          <t>DALARNAS LÄN</t>
        </is>
      </c>
      <c r="E203" t="inlineStr">
        <is>
          <t>MORA</t>
        </is>
      </c>
      <c r="G203" t="n">
        <v>2.8</v>
      </c>
      <c r="H203" t="n">
        <v>0</v>
      </c>
      <c r="I203" t="n">
        <v>0</v>
      </c>
      <c r="J203" t="n">
        <v>0</v>
      </c>
      <c r="K203" t="n">
        <v>0</v>
      </c>
      <c r="L203" t="n">
        <v>0</v>
      </c>
      <c r="M203" t="n">
        <v>0</v>
      </c>
      <c r="N203" t="n">
        <v>0</v>
      </c>
      <c r="O203" t="n">
        <v>0</v>
      </c>
      <c r="P203" t="n">
        <v>0</v>
      </c>
      <c r="Q203" t="n">
        <v>0</v>
      </c>
      <c r="R203" s="2" t="inlineStr"/>
    </row>
    <row r="204" ht="15" customHeight="1">
      <c r="A204" t="inlineStr">
        <is>
          <t>A 45674-2024</t>
        </is>
      </c>
      <c r="B204" s="1" t="n">
        <v>45573</v>
      </c>
      <c r="C204" s="1" t="n">
        <v>46144</v>
      </c>
      <c r="D204" t="inlineStr">
        <is>
          <t>DALARNAS LÄN</t>
        </is>
      </c>
      <c r="E204" t="inlineStr">
        <is>
          <t>MORA</t>
        </is>
      </c>
      <c r="G204" t="n">
        <v>3.2</v>
      </c>
      <c r="H204" t="n">
        <v>0</v>
      </c>
      <c r="I204" t="n">
        <v>0</v>
      </c>
      <c r="J204" t="n">
        <v>0</v>
      </c>
      <c r="K204" t="n">
        <v>0</v>
      </c>
      <c r="L204" t="n">
        <v>0</v>
      </c>
      <c r="M204" t="n">
        <v>0</v>
      </c>
      <c r="N204" t="n">
        <v>0</v>
      </c>
      <c r="O204" t="n">
        <v>0</v>
      </c>
      <c r="P204" t="n">
        <v>0</v>
      </c>
      <c r="Q204" t="n">
        <v>0</v>
      </c>
      <c r="R204" s="2" t="inlineStr"/>
    </row>
    <row r="205" ht="15" customHeight="1">
      <c r="A205" t="inlineStr">
        <is>
          <t>A 24335-2022</t>
        </is>
      </c>
      <c r="B205" s="1" t="n">
        <v>44725</v>
      </c>
      <c r="C205" s="1" t="n">
        <v>46144</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15440-2024</t>
        </is>
      </c>
      <c r="B206" s="1" t="n">
        <v>45401.4194212963</v>
      </c>
      <c r="C206" s="1" t="n">
        <v>46144</v>
      </c>
      <c r="D206" t="inlineStr">
        <is>
          <t>DALARNAS LÄN</t>
        </is>
      </c>
      <c r="E206" t="inlineStr">
        <is>
          <t>MORA</t>
        </is>
      </c>
      <c r="G206" t="n">
        <v>1.1</v>
      </c>
      <c r="H206" t="n">
        <v>0</v>
      </c>
      <c r="I206" t="n">
        <v>0</v>
      </c>
      <c r="J206" t="n">
        <v>0</v>
      </c>
      <c r="K206" t="n">
        <v>0</v>
      </c>
      <c r="L206" t="n">
        <v>0</v>
      </c>
      <c r="M206" t="n">
        <v>0</v>
      </c>
      <c r="N206" t="n">
        <v>0</v>
      </c>
      <c r="O206" t="n">
        <v>0</v>
      </c>
      <c r="P206" t="n">
        <v>0</v>
      </c>
      <c r="Q206" t="n">
        <v>0</v>
      </c>
      <c r="R206" s="2" t="inlineStr"/>
    </row>
    <row r="207" ht="15" customHeight="1">
      <c r="A207" t="inlineStr">
        <is>
          <t>A 11857-2023</t>
        </is>
      </c>
      <c r="B207" s="1" t="n">
        <v>44995</v>
      </c>
      <c r="C207" s="1" t="n">
        <v>46144</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45390-2024</t>
        </is>
      </c>
      <c r="B208" s="1" t="n">
        <v>45576.54820601852</v>
      </c>
      <c r="C208" s="1" t="n">
        <v>46144</v>
      </c>
      <c r="D208" t="inlineStr">
        <is>
          <t>DALARNAS LÄN</t>
        </is>
      </c>
      <c r="E208" t="inlineStr">
        <is>
          <t>MORA</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15818-2024</t>
        </is>
      </c>
      <c r="B209" s="1" t="n">
        <v>45404.67442129629</v>
      </c>
      <c r="C209" s="1" t="n">
        <v>46144</v>
      </c>
      <c r="D209" t="inlineStr">
        <is>
          <t>DALARNAS LÄN</t>
        </is>
      </c>
      <c r="E209" t="inlineStr">
        <is>
          <t>MORA</t>
        </is>
      </c>
      <c r="G209" t="n">
        <v>7</v>
      </c>
      <c r="H209" t="n">
        <v>0</v>
      </c>
      <c r="I209" t="n">
        <v>0</v>
      </c>
      <c r="J209" t="n">
        <v>0</v>
      </c>
      <c r="K209" t="n">
        <v>0</v>
      </c>
      <c r="L209" t="n">
        <v>0</v>
      </c>
      <c r="M209" t="n">
        <v>0</v>
      </c>
      <c r="N209" t="n">
        <v>0</v>
      </c>
      <c r="O209" t="n">
        <v>0</v>
      </c>
      <c r="P209" t="n">
        <v>0</v>
      </c>
      <c r="Q209" t="n">
        <v>0</v>
      </c>
      <c r="R209" s="2" t="inlineStr"/>
    </row>
    <row r="210" ht="15" customHeight="1">
      <c r="A210" t="inlineStr">
        <is>
          <t>A 34660-2021</t>
        </is>
      </c>
      <c r="B210" s="1" t="n">
        <v>44382.57981481482</v>
      </c>
      <c r="C210" s="1" t="n">
        <v>46144</v>
      </c>
      <c r="D210" t="inlineStr">
        <is>
          <t>DALARNAS LÄN</t>
        </is>
      </c>
      <c r="E210" t="inlineStr">
        <is>
          <t>MORA</t>
        </is>
      </c>
      <c r="G210" t="n">
        <v>7.5</v>
      </c>
      <c r="H210" t="n">
        <v>0</v>
      </c>
      <c r="I210" t="n">
        <v>0</v>
      </c>
      <c r="J210" t="n">
        <v>0</v>
      </c>
      <c r="K210" t="n">
        <v>0</v>
      </c>
      <c r="L210" t="n">
        <v>0</v>
      </c>
      <c r="M210" t="n">
        <v>0</v>
      </c>
      <c r="N210" t="n">
        <v>0</v>
      </c>
      <c r="O210" t="n">
        <v>0</v>
      </c>
      <c r="P210" t="n">
        <v>0</v>
      </c>
      <c r="Q210" t="n">
        <v>0</v>
      </c>
      <c r="R210" s="2" t="inlineStr"/>
    </row>
    <row r="211" ht="15" customHeight="1">
      <c r="A211" t="inlineStr">
        <is>
          <t>A 40286-2024</t>
        </is>
      </c>
      <c r="B211" s="1" t="n">
        <v>45554.6687037037</v>
      </c>
      <c r="C211" s="1" t="n">
        <v>46144</v>
      </c>
      <c r="D211" t="inlineStr">
        <is>
          <t>DALARNAS LÄN</t>
        </is>
      </c>
      <c r="E211" t="inlineStr">
        <is>
          <t>MORA</t>
        </is>
      </c>
      <c r="G211" t="n">
        <v>0.4</v>
      </c>
      <c r="H211" t="n">
        <v>0</v>
      </c>
      <c r="I211" t="n">
        <v>0</v>
      </c>
      <c r="J211" t="n">
        <v>0</v>
      </c>
      <c r="K211" t="n">
        <v>0</v>
      </c>
      <c r="L211" t="n">
        <v>0</v>
      </c>
      <c r="M211" t="n">
        <v>0</v>
      </c>
      <c r="N211" t="n">
        <v>0</v>
      </c>
      <c r="O211" t="n">
        <v>0</v>
      </c>
      <c r="P211" t="n">
        <v>0</v>
      </c>
      <c r="Q211" t="n">
        <v>0</v>
      </c>
      <c r="R211" s="2" t="inlineStr"/>
    </row>
    <row r="212" ht="15" customHeight="1">
      <c r="A212" t="inlineStr">
        <is>
          <t>A 5216-2025</t>
        </is>
      </c>
      <c r="B212" s="1" t="n">
        <v>45691.69671296296</v>
      </c>
      <c r="C212" s="1" t="n">
        <v>46144</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19756-2022</t>
        </is>
      </c>
      <c r="B213" s="1" t="n">
        <v>44694.62913194444</v>
      </c>
      <c r="C213" s="1" t="n">
        <v>46144</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53344-2023</t>
        </is>
      </c>
      <c r="B214" s="1" t="n">
        <v>45229</v>
      </c>
      <c r="C214" s="1" t="n">
        <v>46144</v>
      </c>
      <c r="D214" t="inlineStr">
        <is>
          <t>DALARNAS LÄN</t>
        </is>
      </c>
      <c r="E214" t="inlineStr">
        <is>
          <t>MORA</t>
        </is>
      </c>
      <c r="G214" t="n">
        <v>2.4</v>
      </c>
      <c r="H214" t="n">
        <v>0</v>
      </c>
      <c r="I214" t="n">
        <v>0</v>
      </c>
      <c r="J214" t="n">
        <v>0</v>
      </c>
      <c r="K214" t="n">
        <v>0</v>
      </c>
      <c r="L214" t="n">
        <v>0</v>
      </c>
      <c r="M214" t="n">
        <v>0</v>
      </c>
      <c r="N214" t="n">
        <v>0</v>
      </c>
      <c r="O214" t="n">
        <v>0</v>
      </c>
      <c r="P214" t="n">
        <v>0</v>
      </c>
      <c r="Q214" t="n">
        <v>0</v>
      </c>
      <c r="R214" s="2" t="inlineStr"/>
    </row>
    <row r="215" ht="15" customHeight="1">
      <c r="A215" t="inlineStr">
        <is>
          <t>A 48824-2023</t>
        </is>
      </c>
      <c r="B215" s="1" t="n">
        <v>45203</v>
      </c>
      <c r="C215" s="1" t="n">
        <v>46144</v>
      </c>
      <c r="D215" t="inlineStr">
        <is>
          <t>DALARNAS LÄN</t>
        </is>
      </c>
      <c r="E215" t="inlineStr">
        <is>
          <t>MORA</t>
        </is>
      </c>
      <c r="G215" t="n">
        <v>3.3</v>
      </c>
      <c r="H215" t="n">
        <v>0</v>
      </c>
      <c r="I215" t="n">
        <v>0</v>
      </c>
      <c r="J215" t="n">
        <v>0</v>
      </c>
      <c r="K215" t="n">
        <v>0</v>
      </c>
      <c r="L215" t="n">
        <v>0</v>
      </c>
      <c r="M215" t="n">
        <v>0</v>
      </c>
      <c r="N215" t="n">
        <v>0</v>
      </c>
      <c r="O215" t="n">
        <v>0</v>
      </c>
      <c r="P215" t="n">
        <v>0</v>
      </c>
      <c r="Q215" t="n">
        <v>0</v>
      </c>
      <c r="R215" s="2" t="inlineStr"/>
    </row>
    <row r="216" ht="15" customHeight="1">
      <c r="A216" t="inlineStr">
        <is>
          <t>A 59448-2022</t>
        </is>
      </c>
      <c r="B216" s="1" t="n">
        <v>44907</v>
      </c>
      <c r="C216" s="1" t="n">
        <v>46144</v>
      </c>
      <c r="D216" t="inlineStr">
        <is>
          <t>DALARNAS LÄN</t>
        </is>
      </c>
      <c r="E216" t="inlineStr">
        <is>
          <t>MORA</t>
        </is>
      </c>
      <c r="G216" t="n">
        <v>35.7</v>
      </c>
      <c r="H216" t="n">
        <v>0</v>
      </c>
      <c r="I216" t="n">
        <v>0</v>
      </c>
      <c r="J216" t="n">
        <v>0</v>
      </c>
      <c r="K216" t="n">
        <v>0</v>
      </c>
      <c r="L216" t="n">
        <v>0</v>
      </c>
      <c r="M216" t="n">
        <v>0</v>
      </c>
      <c r="N216" t="n">
        <v>0</v>
      </c>
      <c r="O216" t="n">
        <v>0</v>
      </c>
      <c r="P216" t="n">
        <v>0</v>
      </c>
      <c r="Q216" t="n">
        <v>0</v>
      </c>
      <c r="R216" s="2" t="inlineStr"/>
    </row>
    <row r="217" ht="15" customHeight="1">
      <c r="A217" t="inlineStr">
        <is>
          <t>A 45355-2024</t>
        </is>
      </c>
      <c r="B217" s="1" t="n">
        <v>45576</v>
      </c>
      <c r="C217" s="1" t="n">
        <v>46144</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20504-2023</t>
        </is>
      </c>
      <c r="B218" s="1" t="n">
        <v>45057</v>
      </c>
      <c r="C218" s="1" t="n">
        <v>46144</v>
      </c>
      <c r="D218" t="inlineStr">
        <is>
          <t>DALARNAS LÄN</t>
        </is>
      </c>
      <c r="E218" t="inlineStr">
        <is>
          <t>MORA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44595-2024</t>
        </is>
      </c>
      <c r="B219" s="1" t="n">
        <v>45574.51053240741</v>
      </c>
      <c r="C219" s="1" t="n">
        <v>46144</v>
      </c>
      <c r="D219" t="inlineStr">
        <is>
          <t>DALARNAS LÄN</t>
        </is>
      </c>
      <c r="E219" t="inlineStr">
        <is>
          <t>MORA</t>
        </is>
      </c>
      <c r="G219" t="n">
        <v>0.8</v>
      </c>
      <c r="H219" t="n">
        <v>0</v>
      </c>
      <c r="I219" t="n">
        <v>0</v>
      </c>
      <c r="J219" t="n">
        <v>0</v>
      </c>
      <c r="K219" t="n">
        <v>0</v>
      </c>
      <c r="L219" t="n">
        <v>0</v>
      </c>
      <c r="M219" t="n">
        <v>0</v>
      </c>
      <c r="N219" t="n">
        <v>0</v>
      </c>
      <c r="O219" t="n">
        <v>0</v>
      </c>
      <c r="P219" t="n">
        <v>0</v>
      </c>
      <c r="Q219" t="n">
        <v>0</v>
      </c>
      <c r="R219" s="2" t="inlineStr"/>
    </row>
    <row r="220" ht="15" customHeight="1">
      <c r="A220" t="inlineStr">
        <is>
          <t>A 43566-2023</t>
        </is>
      </c>
      <c r="B220" s="1" t="n">
        <v>45184.58199074074</v>
      </c>
      <c r="C220" s="1" t="n">
        <v>46144</v>
      </c>
      <c r="D220" t="inlineStr">
        <is>
          <t>DALARNAS LÄN</t>
        </is>
      </c>
      <c r="E220" t="inlineStr">
        <is>
          <t>MORA</t>
        </is>
      </c>
      <c r="F220" t="inlineStr">
        <is>
          <t>Bergvik skog väst AB</t>
        </is>
      </c>
      <c r="G220" t="n">
        <v>4.3</v>
      </c>
      <c r="H220" t="n">
        <v>0</v>
      </c>
      <c r="I220" t="n">
        <v>0</v>
      </c>
      <c r="J220" t="n">
        <v>0</v>
      </c>
      <c r="K220" t="n">
        <v>0</v>
      </c>
      <c r="L220" t="n">
        <v>0</v>
      </c>
      <c r="M220" t="n">
        <v>0</v>
      </c>
      <c r="N220" t="n">
        <v>0</v>
      </c>
      <c r="O220" t="n">
        <v>0</v>
      </c>
      <c r="P220" t="n">
        <v>0</v>
      </c>
      <c r="Q220" t="n">
        <v>0</v>
      </c>
      <c r="R220" s="2" t="inlineStr"/>
    </row>
    <row r="221" ht="15" customHeight="1">
      <c r="A221" t="inlineStr">
        <is>
          <t>A 57797-2022</t>
        </is>
      </c>
      <c r="B221" s="1" t="n">
        <v>44897</v>
      </c>
      <c r="C221" s="1" t="n">
        <v>46144</v>
      </c>
      <c r="D221" t="inlineStr">
        <is>
          <t>DALARNAS LÄN</t>
        </is>
      </c>
      <c r="E221" t="inlineStr">
        <is>
          <t>MORA</t>
        </is>
      </c>
      <c r="G221" t="n">
        <v>3.1</v>
      </c>
      <c r="H221" t="n">
        <v>0</v>
      </c>
      <c r="I221" t="n">
        <v>0</v>
      </c>
      <c r="J221" t="n">
        <v>0</v>
      </c>
      <c r="K221" t="n">
        <v>0</v>
      </c>
      <c r="L221" t="n">
        <v>0</v>
      </c>
      <c r="M221" t="n">
        <v>0</v>
      </c>
      <c r="N221" t="n">
        <v>0</v>
      </c>
      <c r="O221" t="n">
        <v>0</v>
      </c>
      <c r="P221" t="n">
        <v>0</v>
      </c>
      <c r="Q221" t="n">
        <v>0</v>
      </c>
      <c r="R221" s="2" t="inlineStr"/>
    </row>
    <row r="222" ht="15" customHeight="1">
      <c r="A222" t="inlineStr">
        <is>
          <t>A 2308-2023</t>
        </is>
      </c>
      <c r="B222" s="1" t="n">
        <v>44942.57987268519</v>
      </c>
      <c r="C222" s="1" t="n">
        <v>46144</v>
      </c>
      <c r="D222" t="inlineStr">
        <is>
          <t>DALARNAS LÄN</t>
        </is>
      </c>
      <c r="E222" t="inlineStr">
        <is>
          <t>MORA</t>
        </is>
      </c>
      <c r="G222" t="n">
        <v>2.2</v>
      </c>
      <c r="H222" t="n">
        <v>0</v>
      </c>
      <c r="I222" t="n">
        <v>0</v>
      </c>
      <c r="J222" t="n">
        <v>0</v>
      </c>
      <c r="K222" t="n">
        <v>0</v>
      </c>
      <c r="L222" t="n">
        <v>0</v>
      </c>
      <c r="M222" t="n">
        <v>0</v>
      </c>
      <c r="N222" t="n">
        <v>0</v>
      </c>
      <c r="O222" t="n">
        <v>0</v>
      </c>
      <c r="P222" t="n">
        <v>0</v>
      </c>
      <c r="Q222" t="n">
        <v>0</v>
      </c>
      <c r="R222" s="2" t="inlineStr"/>
    </row>
    <row r="223" ht="15" customHeight="1">
      <c r="A223" t="inlineStr">
        <is>
          <t>A 48170-2024</t>
        </is>
      </c>
      <c r="B223" s="1" t="n">
        <v>45589.76975694444</v>
      </c>
      <c r="C223" s="1" t="n">
        <v>46144</v>
      </c>
      <c r="D223" t="inlineStr">
        <is>
          <t>DALARNAS LÄN</t>
        </is>
      </c>
      <c r="E223" t="inlineStr">
        <is>
          <t>MORA</t>
        </is>
      </c>
      <c r="G223" t="n">
        <v>2.4</v>
      </c>
      <c r="H223" t="n">
        <v>0</v>
      </c>
      <c r="I223" t="n">
        <v>0</v>
      </c>
      <c r="J223" t="n">
        <v>0</v>
      </c>
      <c r="K223" t="n">
        <v>0</v>
      </c>
      <c r="L223" t="n">
        <v>0</v>
      </c>
      <c r="M223" t="n">
        <v>0</v>
      </c>
      <c r="N223" t="n">
        <v>0</v>
      </c>
      <c r="O223" t="n">
        <v>0</v>
      </c>
      <c r="P223" t="n">
        <v>0</v>
      </c>
      <c r="Q223" t="n">
        <v>0</v>
      </c>
      <c r="R223" s="2" t="inlineStr"/>
    </row>
    <row r="224" ht="15" customHeight="1">
      <c r="A224" t="inlineStr">
        <is>
          <t>A 53743-2024</t>
        </is>
      </c>
      <c r="B224" s="1" t="n">
        <v>45615.47137731482</v>
      </c>
      <c r="C224" s="1" t="n">
        <v>46144</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20594-2025</t>
        </is>
      </c>
      <c r="B225" s="1" t="n">
        <v>45775.74009259259</v>
      </c>
      <c r="C225" s="1" t="n">
        <v>46144</v>
      </c>
      <c r="D225" t="inlineStr">
        <is>
          <t>DALARNAS LÄN</t>
        </is>
      </c>
      <c r="E225" t="inlineStr">
        <is>
          <t>MORA</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64088-2023</t>
        </is>
      </c>
      <c r="B226" s="1" t="n">
        <v>45279.43570601852</v>
      </c>
      <c r="C226" s="1" t="n">
        <v>46144</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37268-2025</t>
        </is>
      </c>
      <c r="B227" s="1" t="n">
        <v>45876.46681712963</v>
      </c>
      <c r="C227" s="1" t="n">
        <v>46144</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60718-2023</t>
        </is>
      </c>
      <c r="B228" s="1" t="n">
        <v>45260.5284375</v>
      </c>
      <c r="C228" s="1" t="n">
        <v>46144</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37070-2025</t>
        </is>
      </c>
      <c r="B229" s="1" t="n">
        <v>45875.39822916667</v>
      </c>
      <c r="C229" s="1" t="n">
        <v>46144</v>
      </c>
      <c r="D229" t="inlineStr">
        <is>
          <t>DALARNAS LÄN</t>
        </is>
      </c>
      <c r="E229" t="inlineStr">
        <is>
          <t>MORA</t>
        </is>
      </c>
      <c r="G229" t="n">
        <v>2.7</v>
      </c>
      <c r="H229" t="n">
        <v>0</v>
      </c>
      <c r="I229" t="n">
        <v>0</v>
      </c>
      <c r="J229" t="n">
        <v>0</v>
      </c>
      <c r="K229" t="n">
        <v>0</v>
      </c>
      <c r="L229" t="n">
        <v>0</v>
      </c>
      <c r="M229" t="n">
        <v>0</v>
      </c>
      <c r="N229" t="n">
        <v>0</v>
      </c>
      <c r="O229" t="n">
        <v>0</v>
      </c>
      <c r="P229" t="n">
        <v>0</v>
      </c>
      <c r="Q229" t="n">
        <v>0</v>
      </c>
      <c r="R229" s="2" t="inlineStr"/>
    </row>
    <row r="230" ht="15" customHeight="1">
      <c r="A230" t="inlineStr">
        <is>
          <t>A 14641-2023</t>
        </is>
      </c>
      <c r="B230" s="1" t="n">
        <v>45013</v>
      </c>
      <c r="C230" s="1" t="n">
        <v>46144</v>
      </c>
      <c r="D230" t="inlineStr">
        <is>
          <t>DALARNAS LÄN</t>
        </is>
      </c>
      <c r="E230" t="inlineStr">
        <is>
          <t>MORA</t>
        </is>
      </c>
      <c r="G230" t="n">
        <v>1.5</v>
      </c>
      <c r="H230" t="n">
        <v>0</v>
      </c>
      <c r="I230" t="n">
        <v>0</v>
      </c>
      <c r="J230" t="n">
        <v>0</v>
      </c>
      <c r="K230" t="n">
        <v>0</v>
      </c>
      <c r="L230" t="n">
        <v>0</v>
      </c>
      <c r="M230" t="n">
        <v>0</v>
      </c>
      <c r="N230" t="n">
        <v>0</v>
      </c>
      <c r="O230" t="n">
        <v>0</v>
      </c>
      <c r="P230" t="n">
        <v>0</v>
      </c>
      <c r="Q230" t="n">
        <v>0</v>
      </c>
      <c r="R230" s="2" t="inlineStr"/>
    </row>
    <row r="231" ht="15" customHeight="1">
      <c r="A231" t="inlineStr">
        <is>
          <t>A 16967-2025</t>
        </is>
      </c>
      <c r="B231" s="1" t="n">
        <v>45755.46106481482</v>
      </c>
      <c r="C231" s="1" t="n">
        <v>46144</v>
      </c>
      <c r="D231" t="inlineStr">
        <is>
          <t>DALARNAS LÄN</t>
        </is>
      </c>
      <c r="E231" t="inlineStr">
        <is>
          <t>MORA</t>
        </is>
      </c>
      <c r="F231" t="inlineStr">
        <is>
          <t>Bergvik skog öst AB</t>
        </is>
      </c>
      <c r="G231" t="n">
        <v>2.9</v>
      </c>
      <c r="H231" t="n">
        <v>0</v>
      </c>
      <c r="I231" t="n">
        <v>0</v>
      </c>
      <c r="J231" t="n">
        <v>0</v>
      </c>
      <c r="K231" t="n">
        <v>0</v>
      </c>
      <c r="L231" t="n">
        <v>0</v>
      </c>
      <c r="M231" t="n">
        <v>0</v>
      </c>
      <c r="N231" t="n">
        <v>0</v>
      </c>
      <c r="O231" t="n">
        <v>0</v>
      </c>
      <c r="P231" t="n">
        <v>0</v>
      </c>
      <c r="Q231" t="n">
        <v>0</v>
      </c>
      <c r="R231" s="2" t="inlineStr"/>
    </row>
    <row r="232" ht="15" customHeight="1">
      <c r="A232" t="inlineStr">
        <is>
          <t>A 42611-2022</t>
        </is>
      </c>
      <c r="B232" s="1" t="n">
        <v>44831.81482638889</v>
      </c>
      <c r="C232" s="1" t="n">
        <v>46144</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15416-2023</t>
        </is>
      </c>
      <c r="B233" s="1" t="n">
        <v>45019.71342592593</v>
      </c>
      <c r="C233" s="1" t="n">
        <v>46144</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38073-2025</t>
        </is>
      </c>
      <c r="B234" s="1" t="n">
        <v>45882</v>
      </c>
      <c r="C234" s="1" t="n">
        <v>46144</v>
      </c>
      <c r="D234" t="inlineStr">
        <is>
          <t>DALARNAS LÄN</t>
        </is>
      </c>
      <c r="E234" t="inlineStr">
        <is>
          <t>MORA</t>
        </is>
      </c>
      <c r="G234" t="n">
        <v>2.5</v>
      </c>
      <c r="H234" t="n">
        <v>0</v>
      </c>
      <c r="I234" t="n">
        <v>0</v>
      </c>
      <c r="J234" t="n">
        <v>0</v>
      </c>
      <c r="K234" t="n">
        <v>0</v>
      </c>
      <c r="L234" t="n">
        <v>0</v>
      </c>
      <c r="M234" t="n">
        <v>0</v>
      </c>
      <c r="N234" t="n">
        <v>0</v>
      </c>
      <c r="O234" t="n">
        <v>0</v>
      </c>
      <c r="P234" t="n">
        <v>0</v>
      </c>
      <c r="Q234" t="n">
        <v>0</v>
      </c>
      <c r="R234" s="2" t="inlineStr"/>
    </row>
    <row r="235" ht="15" customHeight="1">
      <c r="A235" t="inlineStr">
        <is>
          <t>A 52288-2024</t>
        </is>
      </c>
      <c r="B235" s="1" t="n">
        <v>45608.69395833334</v>
      </c>
      <c r="C235" s="1" t="n">
        <v>46144</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38086-2025</t>
        </is>
      </c>
      <c r="B236" s="1" t="n">
        <v>45882.47625</v>
      </c>
      <c r="C236" s="1" t="n">
        <v>46144</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25935-2023</t>
        </is>
      </c>
      <c r="B237" s="1" t="n">
        <v>45090.68675925926</v>
      </c>
      <c r="C237" s="1" t="n">
        <v>46144</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37879-2025</t>
        </is>
      </c>
      <c r="B238" s="1" t="n">
        <v>45881.48791666667</v>
      </c>
      <c r="C238" s="1" t="n">
        <v>46144</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53527-2024</t>
        </is>
      </c>
      <c r="B239" s="1" t="n">
        <v>45614.61569444444</v>
      </c>
      <c r="C239" s="1" t="n">
        <v>46144</v>
      </c>
      <c r="D239" t="inlineStr">
        <is>
          <t>DALARNAS LÄN</t>
        </is>
      </c>
      <c r="E239" t="inlineStr">
        <is>
          <t>MORA</t>
        </is>
      </c>
      <c r="G239" t="n">
        <v>3.3</v>
      </c>
      <c r="H239" t="n">
        <v>0</v>
      </c>
      <c r="I239" t="n">
        <v>0</v>
      </c>
      <c r="J239" t="n">
        <v>0</v>
      </c>
      <c r="K239" t="n">
        <v>0</v>
      </c>
      <c r="L239" t="n">
        <v>0</v>
      </c>
      <c r="M239" t="n">
        <v>0</v>
      </c>
      <c r="N239" t="n">
        <v>0</v>
      </c>
      <c r="O239" t="n">
        <v>0</v>
      </c>
      <c r="P239" t="n">
        <v>0</v>
      </c>
      <c r="Q239" t="n">
        <v>0</v>
      </c>
      <c r="R239" s="2" t="inlineStr"/>
    </row>
    <row r="240" ht="15" customHeight="1">
      <c r="A240" t="inlineStr">
        <is>
          <t>A 61278-2024</t>
        </is>
      </c>
      <c r="B240" s="1" t="n">
        <v>45645.76561342592</v>
      </c>
      <c r="C240" s="1" t="n">
        <v>46144</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24768-2024</t>
        </is>
      </c>
      <c r="B241" s="1" t="n">
        <v>45460.69545138889</v>
      </c>
      <c r="C241" s="1" t="n">
        <v>46144</v>
      </c>
      <c r="D241" t="inlineStr">
        <is>
          <t>DALARNAS LÄN</t>
        </is>
      </c>
      <c r="E241" t="inlineStr">
        <is>
          <t>MORA</t>
        </is>
      </c>
      <c r="G241" t="n">
        <v>2.4</v>
      </c>
      <c r="H241" t="n">
        <v>0</v>
      </c>
      <c r="I241" t="n">
        <v>0</v>
      </c>
      <c r="J241" t="n">
        <v>0</v>
      </c>
      <c r="K241" t="n">
        <v>0</v>
      </c>
      <c r="L241" t="n">
        <v>0</v>
      </c>
      <c r="M241" t="n">
        <v>0</v>
      </c>
      <c r="N241" t="n">
        <v>0</v>
      </c>
      <c r="O241" t="n">
        <v>0</v>
      </c>
      <c r="P241" t="n">
        <v>0</v>
      </c>
      <c r="Q241" t="n">
        <v>0</v>
      </c>
      <c r="R241" s="2" t="inlineStr"/>
    </row>
    <row r="242" ht="15" customHeight="1">
      <c r="A242" t="inlineStr">
        <is>
          <t>A 50911-2024</t>
        </is>
      </c>
      <c r="B242" s="1" t="n">
        <v>45602.7022337963</v>
      </c>
      <c r="C242" s="1" t="n">
        <v>46144</v>
      </c>
      <c r="D242" t="inlineStr">
        <is>
          <t>DALARNAS LÄN</t>
        </is>
      </c>
      <c r="E242" t="inlineStr">
        <is>
          <t>MORA</t>
        </is>
      </c>
      <c r="G242" t="n">
        <v>1.7</v>
      </c>
      <c r="H242" t="n">
        <v>0</v>
      </c>
      <c r="I242" t="n">
        <v>0</v>
      </c>
      <c r="J242" t="n">
        <v>0</v>
      </c>
      <c r="K242" t="n">
        <v>0</v>
      </c>
      <c r="L242" t="n">
        <v>0</v>
      </c>
      <c r="M242" t="n">
        <v>0</v>
      </c>
      <c r="N242" t="n">
        <v>0</v>
      </c>
      <c r="O242" t="n">
        <v>0</v>
      </c>
      <c r="P242" t="n">
        <v>0</v>
      </c>
      <c r="Q242" t="n">
        <v>0</v>
      </c>
      <c r="R242" s="2" t="inlineStr"/>
    </row>
    <row r="243" ht="15" customHeight="1">
      <c r="A243" t="inlineStr">
        <is>
          <t>A 35040-2023</t>
        </is>
      </c>
      <c r="B243" s="1" t="n">
        <v>45145.36853009259</v>
      </c>
      <c r="C243" s="1" t="n">
        <v>46144</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58036-2024</t>
        </is>
      </c>
      <c r="B244" s="1" t="n">
        <v>45631.71893518518</v>
      </c>
      <c r="C244" s="1" t="n">
        <v>46144</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28964-2024</t>
        </is>
      </c>
      <c r="B245" s="1" t="n">
        <v>45481.42923611111</v>
      </c>
      <c r="C245" s="1" t="n">
        <v>46144</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27420-2024</t>
        </is>
      </c>
      <c r="B246" s="1" t="n">
        <v>45474.37850694444</v>
      </c>
      <c r="C246" s="1" t="n">
        <v>46144</v>
      </c>
      <c r="D246" t="inlineStr">
        <is>
          <t>DALARNAS LÄN</t>
        </is>
      </c>
      <c r="E246" t="inlineStr">
        <is>
          <t>MORA</t>
        </is>
      </c>
      <c r="G246" t="n">
        <v>7.3</v>
      </c>
      <c r="H246" t="n">
        <v>0</v>
      </c>
      <c r="I246" t="n">
        <v>0</v>
      </c>
      <c r="J246" t="n">
        <v>0</v>
      </c>
      <c r="K246" t="n">
        <v>0</v>
      </c>
      <c r="L246" t="n">
        <v>0</v>
      </c>
      <c r="M246" t="n">
        <v>0</v>
      </c>
      <c r="N246" t="n">
        <v>0</v>
      </c>
      <c r="O246" t="n">
        <v>0</v>
      </c>
      <c r="P246" t="n">
        <v>0</v>
      </c>
      <c r="Q246" t="n">
        <v>0</v>
      </c>
      <c r="R246" s="2" t="inlineStr"/>
    </row>
    <row r="247" ht="15" customHeight="1">
      <c r="A247" t="inlineStr">
        <is>
          <t>A 39456-2025</t>
        </is>
      </c>
      <c r="B247" s="1" t="n">
        <v>45889.76200231481</v>
      </c>
      <c r="C247" s="1" t="n">
        <v>46144</v>
      </c>
      <c r="D247" t="inlineStr">
        <is>
          <t>DALARNAS LÄN</t>
        </is>
      </c>
      <c r="E247" t="inlineStr">
        <is>
          <t>MORA</t>
        </is>
      </c>
      <c r="F247" t="inlineStr">
        <is>
          <t>Bergvik skog öst AB</t>
        </is>
      </c>
      <c r="G247" t="n">
        <v>16.7</v>
      </c>
      <c r="H247" t="n">
        <v>0</v>
      </c>
      <c r="I247" t="n">
        <v>0</v>
      </c>
      <c r="J247" t="n">
        <v>0</v>
      </c>
      <c r="K247" t="n">
        <v>0</v>
      </c>
      <c r="L247" t="n">
        <v>0</v>
      </c>
      <c r="M247" t="n">
        <v>0</v>
      </c>
      <c r="N247" t="n">
        <v>0</v>
      </c>
      <c r="O247" t="n">
        <v>0</v>
      </c>
      <c r="P247" t="n">
        <v>0</v>
      </c>
      <c r="Q247" t="n">
        <v>0</v>
      </c>
      <c r="R247" s="2" t="inlineStr"/>
    </row>
    <row r="248" ht="15" customHeight="1">
      <c r="A248" t="inlineStr">
        <is>
          <t>A 40147-2025</t>
        </is>
      </c>
      <c r="B248" s="1" t="n">
        <v>45894.57918981482</v>
      </c>
      <c r="C248" s="1" t="n">
        <v>46144</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39824-2025</t>
        </is>
      </c>
      <c r="B249" s="1" t="n">
        <v>45891</v>
      </c>
      <c r="C249" s="1" t="n">
        <v>46144</v>
      </c>
      <c r="D249" t="inlineStr">
        <is>
          <t>DALARNAS LÄN</t>
        </is>
      </c>
      <c r="E249" t="inlineStr">
        <is>
          <t>MORA</t>
        </is>
      </c>
      <c r="G249" t="n">
        <v>2</v>
      </c>
      <c r="H249" t="n">
        <v>0</v>
      </c>
      <c r="I249" t="n">
        <v>0</v>
      </c>
      <c r="J249" t="n">
        <v>0</v>
      </c>
      <c r="K249" t="n">
        <v>0</v>
      </c>
      <c r="L249" t="n">
        <v>0</v>
      </c>
      <c r="M249" t="n">
        <v>0</v>
      </c>
      <c r="N249" t="n">
        <v>0</v>
      </c>
      <c r="O249" t="n">
        <v>0</v>
      </c>
      <c r="P249" t="n">
        <v>0</v>
      </c>
      <c r="Q249" t="n">
        <v>0</v>
      </c>
      <c r="R249" s="2" t="inlineStr"/>
    </row>
    <row r="250" ht="15" customHeight="1">
      <c r="A250" t="inlineStr">
        <is>
          <t>A 12920-2022</t>
        </is>
      </c>
      <c r="B250" s="1" t="n">
        <v>44642.65418981481</v>
      </c>
      <c r="C250" s="1" t="n">
        <v>46144</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61188-2024</t>
        </is>
      </c>
      <c r="B251" s="1" t="n">
        <v>45645.62282407407</v>
      </c>
      <c r="C251" s="1" t="n">
        <v>46144</v>
      </c>
      <c r="D251" t="inlineStr">
        <is>
          <t>DALARNAS LÄN</t>
        </is>
      </c>
      <c r="E251" t="inlineStr">
        <is>
          <t>MORA</t>
        </is>
      </c>
      <c r="G251" t="n">
        <v>1.6</v>
      </c>
      <c r="H251" t="n">
        <v>0</v>
      </c>
      <c r="I251" t="n">
        <v>0</v>
      </c>
      <c r="J251" t="n">
        <v>0</v>
      </c>
      <c r="K251" t="n">
        <v>0</v>
      </c>
      <c r="L251" t="n">
        <v>0</v>
      </c>
      <c r="M251" t="n">
        <v>0</v>
      </c>
      <c r="N251" t="n">
        <v>0</v>
      </c>
      <c r="O251" t="n">
        <v>0</v>
      </c>
      <c r="P251" t="n">
        <v>0</v>
      </c>
      <c r="Q251" t="n">
        <v>0</v>
      </c>
      <c r="R251" s="2" t="inlineStr"/>
    </row>
    <row r="252" ht="15" customHeight="1">
      <c r="A252" t="inlineStr">
        <is>
          <t>A 58089-2024</t>
        </is>
      </c>
      <c r="B252" s="1" t="n">
        <v>45632.34984953704</v>
      </c>
      <c r="C252" s="1" t="n">
        <v>46144</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25737-2025</t>
        </is>
      </c>
      <c r="B253" s="1" t="n">
        <v>45800</v>
      </c>
      <c r="C253" s="1" t="n">
        <v>46144</v>
      </c>
      <c r="D253" t="inlineStr">
        <is>
          <t>DALARNAS LÄN</t>
        </is>
      </c>
      <c r="E253" t="inlineStr">
        <is>
          <t>MORA</t>
        </is>
      </c>
      <c r="G253" t="n">
        <v>9.6</v>
      </c>
      <c r="H253" t="n">
        <v>0</v>
      </c>
      <c r="I253" t="n">
        <v>0</v>
      </c>
      <c r="J253" t="n">
        <v>0</v>
      </c>
      <c r="K253" t="n">
        <v>0</v>
      </c>
      <c r="L253" t="n">
        <v>0</v>
      </c>
      <c r="M253" t="n">
        <v>0</v>
      </c>
      <c r="N253" t="n">
        <v>0</v>
      </c>
      <c r="O253" t="n">
        <v>0</v>
      </c>
      <c r="P253" t="n">
        <v>0</v>
      </c>
      <c r="Q253" t="n">
        <v>0</v>
      </c>
      <c r="R253" s="2" t="inlineStr"/>
    </row>
    <row r="254" ht="15" customHeight="1">
      <c r="A254" t="inlineStr">
        <is>
          <t>A 39787-2025</t>
        </is>
      </c>
      <c r="B254" s="1" t="n">
        <v>45891</v>
      </c>
      <c r="C254" s="1" t="n">
        <v>46144</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61350-2024</t>
        </is>
      </c>
      <c r="B255" s="1" t="n">
        <v>45646.37872685185</v>
      </c>
      <c r="C255" s="1" t="n">
        <v>46144</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40140-2025</t>
        </is>
      </c>
      <c r="B256" s="1" t="n">
        <v>45894.57016203704</v>
      </c>
      <c r="C256" s="1" t="n">
        <v>46144</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40142-2025</t>
        </is>
      </c>
      <c r="B257" s="1" t="n">
        <v>45894.57202546296</v>
      </c>
      <c r="C257" s="1" t="n">
        <v>46144</v>
      </c>
      <c r="D257" t="inlineStr">
        <is>
          <t>DALARNAS LÄN</t>
        </is>
      </c>
      <c r="E257" t="inlineStr">
        <is>
          <t>MORA</t>
        </is>
      </c>
      <c r="G257" t="n">
        <v>0.4</v>
      </c>
      <c r="H257" t="n">
        <v>0</v>
      </c>
      <c r="I257" t="n">
        <v>0</v>
      </c>
      <c r="J257" t="n">
        <v>0</v>
      </c>
      <c r="K257" t="n">
        <v>0</v>
      </c>
      <c r="L257" t="n">
        <v>0</v>
      </c>
      <c r="M257" t="n">
        <v>0</v>
      </c>
      <c r="N257" t="n">
        <v>0</v>
      </c>
      <c r="O257" t="n">
        <v>0</v>
      </c>
      <c r="P257" t="n">
        <v>0</v>
      </c>
      <c r="Q257" t="n">
        <v>0</v>
      </c>
      <c r="R257" s="2" t="inlineStr"/>
    </row>
    <row r="258" ht="15" customHeight="1">
      <c r="A258" t="inlineStr">
        <is>
          <t>A 40471-2025</t>
        </is>
      </c>
      <c r="B258" s="1" t="n">
        <v>45895.67356481482</v>
      </c>
      <c r="C258" s="1" t="n">
        <v>46144</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40661-2025</t>
        </is>
      </c>
      <c r="B259" s="1" t="n">
        <v>45896.64715277778</v>
      </c>
      <c r="C259" s="1" t="n">
        <v>46144</v>
      </c>
      <c r="D259" t="inlineStr">
        <is>
          <t>DALARNAS LÄN</t>
        </is>
      </c>
      <c r="E259" t="inlineStr">
        <is>
          <t>MORA</t>
        </is>
      </c>
      <c r="G259" t="n">
        <v>2.8</v>
      </c>
      <c r="H259" t="n">
        <v>0</v>
      </c>
      <c r="I259" t="n">
        <v>0</v>
      </c>
      <c r="J259" t="n">
        <v>0</v>
      </c>
      <c r="K259" t="n">
        <v>0</v>
      </c>
      <c r="L259" t="n">
        <v>0</v>
      </c>
      <c r="M259" t="n">
        <v>0</v>
      </c>
      <c r="N259" t="n">
        <v>0</v>
      </c>
      <c r="O259" t="n">
        <v>0</v>
      </c>
      <c r="P259" t="n">
        <v>0</v>
      </c>
      <c r="Q259" t="n">
        <v>0</v>
      </c>
      <c r="R259" s="2" t="inlineStr"/>
    </row>
    <row r="260" ht="15" customHeight="1">
      <c r="A260" t="inlineStr">
        <is>
          <t>A 40660-2025</t>
        </is>
      </c>
      <c r="B260" s="1" t="n">
        <v>45896.64631944444</v>
      </c>
      <c r="C260" s="1" t="n">
        <v>46144</v>
      </c>
      <c r="D260" t="inlineStr">
        <is>
          <t>DALARNAS LÄN</t>
        </is>
      </c>
      <c r="E260" t="inlineStr">
        <is>
          <t>MORA</t>
        </is>
      </c>
      <c r="F260" t="inlineStr">
        <is>
          <t>Bergvik skog väst AB</t>
        </is>
      </c>
      <c r="G260" t="n">
        <v>5.4</v>
      </c>
      <c r="H260" t="n">
        <v>0</v>
      </c>
      <c r="I260" t="n">
        <v>0</v>
      </c>
      <c r="J260" t="n">
        <v>0</v>
      </c>
      <c r="K260" t="n">
        <v>0</v>
      </c>
      <c r="L260" t="n">
        <v>0</v>
      </c>
      <c r="M260" t="n">
        <v>0</v>
      </c>
      <c r="N260" t="n">
        <v>0</v>
      </c>
      <c r="O260" t="n">
        <v>0</v>
      </c>
      <c r="P260" t="n">
        <v>0</v>
      </c>
      <c r="Q260" t="n">
        <v>0</v>
      </c>
      <c r="R260" s="2" t="inlineStr"/>
    </row>
    <row r="261" ht="15" customHeight="1">
      <c r="A261" t="inlineStr">
        <is>
          <t>A 25345-2025</t>
        </is>
      </c>
      <c r="B261" s="1" t="n">
        <v>45799</v>
      </c>
      <c r="C261" s="1" t="n">
        <v>46144</v>
      </c>
      <c r="D261" t="inlineStr">
        <is>
          <t>DALARNAS LÄN</t>
        </is>
      </c>
      <c r="E261" t="inlineStr">
        <is>
          <t>MORA</t>
        </is>
      </c>
      <c r="G261" t="n">
        <v>3.1</v>
      </c>
      <c r="H261" t="n">
        <v>0</v>
      </c>
      <c r="I261" t="n">
        <v>0</v>
      </c>
      <c r="J261" t="n">
        <v>0</v>
      </c>
      <c r="K261" t="n">
        <v>0</v>
      </c>
      <c r="L261" t="n">
        <v>0</v>
      </c>
      <c r="M261" t="n">
        <v>0</v>
      </c>
      <c r="N261" t="n">
        <v>0</v>
      </c>
      <c r="O261" t="n">
        <v>0</v>
      </c>
      <c r="P261" t="n">
        <v>0</v>
      </c>
      <c r="Q261" t="n">
        <v>0</v>
      </c>
      <c r="R261" s="2" t="inlineStr"/>
    </row>
    <row r="262" ht="15" customHeight="1">
      <c r="A262" t="inlineStr">
        <is>
          <t>A 40805-2025</t>
        </is>
      </c>
      <c r="B262" s="1" t="n">
        <v>45897.46659722222</v>
      </c>
      <c r="C262" s="1" t="n">
        <v>46144</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41175-2025</t>
        </is>
      </c>
      <c r="B263" s="1" t="n">
        <v>45898.55165509259</v>
      </c>
      <c r="C263" s="1" t="n">
        <v>46144</v>
      </c>
      <c r="D263" t="inlineStr">
        <is>
          <t>DALARNAS LÄN</t>
        </is>
      </c>
      <c r="E263" t="inlineStr">
        <is>
          <t>MORA</t>
        </is>
      </c>
      <c r="G263" t="n">
        <v>4.5</v>
      </c>
      <c r="H263" t="n">
        <v>0</v>
      </c>
      <c r="I263" t="n">
        <v>0</v>
      </c>
      <c r="J263" t="n">
        <v>0</v>
      </c>
      <c r="K263" t="n">
        <v>0</v>
      </c>
      <c r="L263" t="n">
        <v>0</v>
      </c>
      <c r="M263" t="n">
        <v>0</v>
      </c>
      <c r="N263" t="n">
        <v>0</v>
      </c>
      <c r="O263" t="n">
        <v>0</v>
      </c>
      <c r="P263" t="n">
        <v>0</v>
      </c>
      <c r="Q263" t="n">
        <v>0</v>
      </c>
      <c r="R263" s="2" t="inlineStr"/>
    </row>
    <row r="264" ht="15" customHeight="1">
      <c r="A264" t="inlineStr">
        <is>
          <t>A 43533-2023</t>
        </is>
      </c>
      <c r="B264" s="1" t="n">
        <v>45184.53412037037</v>
      </c>
      <c r="C264" s="1" t="n">
        <v>46144</v>
      </c>
      <c r="D264" t="inlineStr">
        <is>
          <t>DALARNAS LÄN</t>
        </is>
      </c>
      <c r="E264" t="inlineStr">
        <is>
          <t>MORA</t>
        </is>
      </c>
      <c r="F264" t="inlineStr">
        <is>
          <t>Bergvik skog väst AB</t>
        </is>
      </c>
      <c r="G264" t="n">
        <v>10.3</v>
      </c>
      <c r="H264" t="n">
        <v>0</v>
      </c>
      <c r="I264" t="n">
        <v>0</v>
      </c>
      <c r="J264" t="n">
        <v>0</v>
      </c>
      <c r="K264" t="n">
        <v>0</v>
      </c>
      <c r="L264" t="n">
        <v>0</v>
      </c>
      <c r="M264" t="n">
        <v>0</v>
      </c>
      <c r="N264" t="n">
        <v>0</v>
      </c>
      <c r="O264" t="n">
        <v>0</v>
      </c>
      <c r="P264" t="n">
        <v>0</v>
      </c>
      <c r="Q264" t="n">
        <v>0</v>
      </c>
      <c r="R264" s="2" t="inlineStr"/>
    </row>
    <row r="265" ht="15" customHeight="1">
      <c r="A265" t="inlineStr">
        <is>
          <t>A 30998-2022</t>
        </is>
      </c>
      <c r="B265" s="1" t="n">
        <v>44768</v>
      </c>
      <c r="C265" s="1" t="n">
        <v>46144</v>
      </c>
      <c r="D265" t="inlineStr">
        <is>
          <t>DALARNAS LÄN</t>
        </is>
      </c>
      <c r="E265" t="inlineStr">
        <is>
          <t>MORA</t>
        </is>
      </c>
      <c r="G265" t="n">
        <v>1.7</v>
      </c>
      <c r="H265" t="n">
        <v>0</v>
      </c>
      <c r="I265" t="n">
        <v>0</v>
      </c>
      <c r="J265" t="n">
        <v>0</v>
      </c>
      <c r="K265" t="n">
        <v>0</v>
      </c>
      <c r="L265" t="n">
        <v>0</v>
      </c>
      <c r="M265" t="n">
        <v>0</v>
      </c>
      <c r="N265" t="n">
        <v>0</v>
      </c>
      <c r="O265" t="n">
        <v>0</v>
      </c>
      <c r="P265" t="n">
        <v>0</v>
      </c>
      <c r="Q265" t="n">
        <v>0</v>
      </c>
      <c r="R265" s="2" t="inlineStr"/>
    </row>
    <row r="266" ht="15" customHeight="1">
      <c r="A266" t="inlineStr">
        <is>
          <t>A 24620-2025</t>
        </is>
      </c>
      <c r="B266" s="1" t="n">
        <v>45798.59290509259</v>
      </c>
      <c r="C266" s="1" t="n">
        <v>46144</v>
      </c>
      <c r="D266" t="inlineStr">
        <is>
          <t>DALARNAS LÄN</t>
        </is>
      </c>
      <c r="E266" t="inlineStr">
        <is>
          <t>MORA</t>
        </is>
      </c>
      <c r="F266" t="inlineStr">
        <is>
          <t>Bergvik skog väst AB</t>
        </is>
      </c>
      <c r="G266" t="n">
        <v>4.9</v>
      </c>
      <c r="H266" t="n">
        <v>0</v>
      </c>
      <c r="I266" t="n">
        <v>0</v>
      </c>
      <c r="J266" t="n">
        <v>0</v>
      </c>
      <c r="K266" t="n">
        <v>0</v>
      </c>
      <c r="L266" t="n">
        <v>0</v>
      </c>
      <c r="M266" t="n">
        <v>0</v>
      </c>
      <c r="N266" t="n">
        <v>0</v>
      </c>
      <c r="O266" t="n">
        <v>0</v>
      </c>
      <c r="P266" t="n">
        <v>0</v>
      </c>
      <c r="Q266" t="n">
        <v>0</v>
      </c>
      <c r="R266" s="2" t="inlineStr"/>
    </row>
    <row r="267" ht="15" customHeight="1">
      <c r="A267" t="inlineStr">
        <is>
          <t>A 24653-2025</t>
        </is>
      </c>
      <c r="B267" s="1" t="n">
        <v>45798.63875</v>
      </c>
      <c r="C267" s="1" t="n">
        <v>46144</v>
      </c>
      <c r="D267" t="inlineStr">
        <is>
          <t>DALARNAS LÄN</t>
        </is>
      </c>
      <c r="E267" t="inlineStr">
        <is>
          <t>MORA</t>
        </is>
      </c>
      <c r="F267" t="inlineStr">
        <is>
          <t>Bergvik skog väst AB</t>
        </is>
      </c>
      <c r="G267" t="n">
        <v>4.9</v>
      </c>
      <c r="H267" t="n">
        <v>0</v>
      </c>
      <c r="I267" t="n">
        <v>0</v>
      </c>
      <c r="J267" t="n">
        <v>0</v>
      </c>
      <c r="K267" t="n">
        <v>0</v>
      </c>
      <c r="L267" t="n">
        <v>0</v>
      </c>
      <c r="M267" t="n">
        <v>0</v>
      </c>
      <c r="N267" t="n">
        <v>0</v>
      </c>
      <c r="O267" t="n">
        <v>0</v>
      </c>
      <c r="P267" t="n">
        <v>0</v>
      </c>
      <c r="Q267" t="n">
        <v>0</v>
      </c>
      <c r="R267" s="2" t="inlineStr"/>
    </row>
    <row r="268" ht="15" customHeight="1">
      <c r="A268" t="inlineStr">
        <is>
          <t>A 8343-2025</t>
        </is>
      </c>
      <c r="B268" s="1" t="n">
        <v>45708.67253472222</v>
      </c>
      <c r="C268" s="1" t="n">
        <v>46144</v>
      </c>
      <c r="D268" t="inlineStr">
        <is>
          <t>DALARNAS LÄN</t>
        </is>
      </c>
      <c r="E268" t="inlineStr">
        <is>
          <t>MORA</t>
        </is>
      </c>
      <c r="G268" t="n">
        <v>3.4</v>
      </c>
      <c r="H268" t="n">
        <v>0</v>
      </c>
      <c r="I268" t="n">
        <v>0</v>
      </c>
      <c r="J268" t="n">
        <v>0</v>
      </c>
      <c r="K268" t="n">
        <v>0</v>
      </c>
      <c r="L268" t="n">
        <v>0</v>
      </c>
      <c r="M268" t="n">
        <v>0</v>
      </c>
      <c r="N268" t="n">
        <v>0</v>
      </c>
      <c r="O268" t="n">
        <v>0</v>
      </c>
      <c r="P268" t="n">
        <v>0</v>
      </c>
      <c r="Q268" t="n">
        <v>0</v>
      </c>
      <c r="R268" s="2" t="inlineStr"/>
    </row>
    <row r="269" ht="15" customHeight="1">
      <c r="A269" t="inlineStr">
        <is>
          <t>A 2879-2022</t>
        </is>
      </c>
      <c r="B269" s="1" t="n">
        <v>44581</v>
      </c>
      <c r="C269" s="1" t="n">
        <v>46144</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41200-2025</t>
        </is>
      </c>
      <c r="B270" s="1" t="n">
        <v>45898.5738425926</v>
      </c>
      <c r="C270" s="1" t="n">
        <v>46144</v>
      </c>
      <c r="D270" t="inlineStr">
        <is>
          <t>DALARNAS LÄN</t>
        </is>
      </c>
      <c r="E270" t="inlineStr">
        <is>
          <t>MORA</t>
        </is>
      </c>
      <c r="G270" t="n">
        <v>8.9</v>
      </c>
      <c r="H270" t="n">
        <v>0</v>
      </c>
      <c r="I270" t="n">
        <v>0</v>
      </c>
      <c r="J270" t="n">
        <v>0</v>
      </c>
      <c r="K270" t="n">
        <v>0</v>
      </c>
      <c r="L270" t="n">
        <v>0</v>
      </c>
      <c r="M270" t="n">
        <v>0</v>
      </c>
      <c r="N270" t="n">
        <v>0</v>
      </c>
      <c r="O270" t="n">
        <v>0</v>
      </c>
      <c r="P270" t="n">
        <v>0</v>
      </c>
      <c r="Q270" t="n">
        <v>0</v>
      </c>
      <c r="R270" s="2" t="inlineStr"/>
    </row>
    <row r="271" ht="15" customHeight="1">
      <c r="A271" t="inlineStr">
        <is>
          <t>A 41783-2025</t>
        </is>
      </c>
      <c r="B271" s="1" t="n">
        <v>45902.58721064815</v>
      </c>
      <c r="C271" s="1" t="n">
        <v>46144</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41614-2025</t>
        </is>
      </c>
      <c r="B272" s="1" t="n">
        <v>45901.68267361111</v>
      </c>
      <c r="C272" s="1" t="n">
        <v>46144</v>
      </c>
      <c r="D272" t="inlineStr">
        <is>
          <t>DALARNAS LÄN</t>
        </is>
      </c>
      <c r="E272" t="inlineStr">
        <is>
          <t>MORA</t>
        </is>
      </c>
      <c r="F272" t="inlineStr">
        <is>
          <t>Bergvik skog väst AB</t>
        </is>
      </c>
      <c r="G272" t="n">
        <v>13.8</v>
      </c>
      <c r="H272" t="n">
        <v>0</v>
      </c>
      <c r="I272" t="n">
        <v>0</v>
      </c>
      <c r="J272" t="n">
        <v>0</v>
      </c>
      <c r="K272" t="n">
        <v>0</v>
      </c>
      <c r="L272" t="n">
        <v>0</v>
      </c>
      <c r="M272" t="n">
        <v>0</v>
      </c>
      <c r="N272" t="n">
        <v>0</v>
      </c>
      <c r="O272" t="n">
        <v>0</v>
      </c>
      <c r="P272" t="n">
        <v>0</v>
      </c>
      <c r="Q272" t="n">
        <v>0</v>
      </c>
      <c r="R272" s="2" t="inlineStr"/>
    </row>
    <row r="273" ht="15" customHeight="1">
      <c r="A273" t="inlineStr">
        <is>
          <t>A 17164-2025</t>
        </is>
      </c>
      <c r="B273" s="1" t="n">
        <v>45756.36403935185</v>
      </c>
      <c r="C273" s="1" t="n">
        <v>46144</v>
      </c>
      <c r="D273" t="inlineStr">
        <is>
          <t>DALARNAS LÄN</t>
        </is>
      </c>
      <c r="E273" t="inlineStr">
        <is>
          <t>MORA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5309-2023</t>
        </is>
      </c>
      <c r="B274" s="1" t="n">
        <v>44956</v>
      </c>
      <c r="C274" s="1" t="n">
        <v>46144</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37774-2022</t>
        </is>
      </c>
      <c r="B275" s="1" t="n">
        <v>44810.64164351852</v>
      </c>
      <c r="C275" s="1" t="n">
        <v>46144</v>
      </c>
      <c r="D275" t="inlineStr">
        <is>
          <t>DALARNAS LÄN</t>
        </is>
      </c>
      <c r="E275" t="inlineStr">
        <is>
          <t>MORA</t>
        </is>
      </c>
      <c r="F275" t="inlineStr">
        <is>
          <t>Bergvik skog väst AB</t>
        </is>
      </c>
      <c r="G275" t="n">
        <v>8.5</v>
      </c>
      <c r="H275" t="n">
        <v>0</v>
      </c>
      <c r="I275" t="n">
        <v>0</v>
      </c>
      <c r="J275" t="n">
        <v>0</v>
      </c>
      <c r="K275" t="n">
        <v>0</v>
      </c>
      <c r="L275" t="n">
        <v>0</v>
      </c>
      <c r="M275" t="n">
        <v>0</v>
      </c>
      <c r="N275" t="n">
        <v>0</v>
      </c>
      <c r="O275" t="n">
        <v>0</v>
      </c>
      <c r="P275" t="n">
        <v>0</v>
      </c>
      <c r="Q275" t="n">
        <v>0</v>
      </c>
      <c r="R275" s="2" t="inlineStr"/>
    </row>
    <row r="276" ht="15" customHeight="1">
      <c r="A276" t="inlineStr">
        <is>
          <t>A 42319-2025</t>
        </is>
      </c>
      <c r="B276" s="1" t="n">
        <v>45903</v>
      </c>
      <c r="C276" s="1" t="n">
        <v>46144</v>
      </c>
      <c r="D276" t="inlineStr">
        <is>
          <t>DALARNAS LÄN</t>
        </is>
      </c>
      <c r="E276" t="inlineStr">
        <is>
          <t>MORA</t>
        </is>
      </c>
      <c r="G276" t="n">
        <v>2.3</v>
      </c>
      <c r="H276" t="n">
        <v>0</v>
      </c>
      <c r="I276" t="n">
        <v>0</v>
      </c>
      <c r="J276" t="n">
        <v>0</v>
      </c>
      <c r="K276" t="n">
        <v>0</v>
      </c>
      <c r="L276" t="n">
        <v>0</v>
      </c>
      <c r="M276" t="n">
        <v>0</v>
      </c>
      <c r="N276" t="n">
        <v>0</v>
      </c>
      <c r="O276" t="n">
        <v>0</v>
      </c>
      <c r="P276" t="n">
        <v>0</v>
      </c>
      <c r="Q276" t="n">
        <v>0</v>
      </c>
      <c r="R276" s="2" t="inlineStr"/>
    </row>
    <row r="277" ht="15" customHeight="1">
      <c r="A277" t="inlineStr">
        <is>
          <t>A 41855-2025</t>
        </is>
      </c>
      <c r="B277" s="1" t="n">
        <v>45902.93693287037</v>
      </c>
      <c r="C277" s="1" t="n">
        <v>46144</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42112-2025</t>
        </is>
      </c>
      <c r="B278" s="1" t="n">
        <v>45904.32134259259</v>
      </c>
      <c r="C278" s="1" t="n">
        <v>46144</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46144</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56532-2024</t>
        </is>
      </c>
      <c r="B280" s="1" t="n">
        <v>45625.55440972222</v>
      </c>
      <c r="C280" s="1" t="n">
        <v>46144</v>
      </c>
      <c r="D280" t="inlineStr">
        <is>
          <t>DALARNAS LÄN</t>
        </is>
      </c>
      <c r="E280" t="inlineStr">
        <is>
          <t>MORA</t>
        </is>
      </c>
      <c r="G280" t="n">
        <v>6.9</v>
      </c>
      <c r="H280" t="n">
        <v>0</v>
      </c>
      <c r="I280" t="n">
        <v>0</v>
      </c>
      <c r="J280" t="n">
        <v>0</v>
      </c>
      <c r="K280" t="n">
        <v>0</v>
      </c>
      <c r="L280" t="n">
        <v>0</v>
      </c>
      <c r="M280" t="n">
        <v>0</v>
      </c>
      <c r="N280" t="n">
        <v>0</v>
      </c>
      <c r="O280" t="n">
        <v>0</v>
      </c>
      <c r="P280" t="n">
        <v>0</v>
      </c>
      <c r="Q280" t="n">
        <v>0</v>
      </c>
      <c r="R280" s="2" t="inlineStr"/>
    </row>
    <row r="281" ht="15" customHeight="1">
      <c r="A281" t="inlineStr">
        <is>
          <t>A 24465-2021</t>
        </is>
      </c>
      <c r="B281" s="1" t="n">
        <v>44337</v>
      </c>
      <c r="C281" s="1" t="n">
        <v>46144</v>
      </c>
      <c r="D281" t="inlineStr">
        <is>
          <t>DALARNAS LÄN</t>
        </is>
      </c>
      <c r="E281" t="inlineStr">
        <is>
          <t>MORA</t>
        </is>
      </c>
      <c r="G281" t="n">
        <v>2.6</v>
      </c>
      <c r="H281" t="n">
        <v>0</v>
      </c>
      <c r="I281" t="n">
        <v>0</v>
      </c>
      <c r="J281" t="n">
        <v>0</v>
      </c>
      <c r="K281" t="n">
        <v>0</v>
      </c>
      <c r="L281" t="n">
        <v>0</v>
      </c>
      <c r="M281" t="n">
        <v>0</v>
      </c>
      <c r="N281" t="n">
        <v>0</v>
      </c>
      <c r="O281" t="n">
        <v>0</v>
      </c>
      <c r="P281" t="n">
        <v>0</v>
      </c>
      <c r="Q281" t="n">
        <v>0</v>
      </c>
      <c r="R281" s="2" t="inlineStr"/>
    </row>
    <row r="282" ht="15" customHeight="1">
      <c r="A282" t="inlineStr">
        <is>
          <t>A 5298-2023</t>
        </is>
      </c>
      <c r="B282" s="1" t="n">
        <v>44959.54355324074</v>
      </c>
      <c r="C282" s="1" t="n">
        <v>46144</v>
      </c>
      <c r="D282" t="inlineStr">
        <is>
          <t>DALARNAS LÄN</t>
        </is>
      </c>
      <c r="E282" t="inlineStr">
        <is>
          <t>MORA</t>
        </is>
      </c>
      <c r="F282" t="inlineStr">
        <is>
          <t>Bergvik skog väst AB</t>
        </is>
      </c>
      <c r="G282" t="n">
        <v>6.2</v>
      </c>
      <c r="H282" t="n">
        <v>0</v>
      </c>
      <c r="I282" t="n">
        <v>0</v>
      </c>
      <c r="J282" t="n">
        <v>0</v>
      </c>
      <c r="K282" t="n">
        <v>0</v>
      </c>
      <c r="L282" t="n">
        <v>0</v>
      </c>
      <c r="M282" t="n">
        <v>0</v>
      </c>
      <c r="N282" t="n">
        <v>0</v>
      </c>
      <c r="O282" t="n">
        <v>0</v>
      </c>
      <c r="P282" t="n">
        <v>0</v>
      </c>
      <c r="Q282" t="n">
        <v>0</v>
      </c>
      <c r="R282" s="2" t="inlineStr"/>
    </row>
    <row r="283" ht="15" customHeight="1">
      <c r="A283" t="inlineStr">
        <is>
          <t>A 42830-2025</t>
        </is>
      </c>
      <c r="B283" s="1" t="n">
        <v>45908.57753472222</v>
      </c>
      <c r="C283" s="1" t="n">
        <v>46144</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42947-2025</t>
        </is>
      </c>
      <c r="B284" s="1" t="n">
        <v>45909.34799768519</v>
      </c>
      <c r="C284" s="1" t="n">
        <v>46144</v>
      </c>
      <c r="D284" t="inlineStr">
        <is>
          <t>DALARNAS LÄN</t>
        </is>
      </c>
      <c r="E284" t="inlineStr">
        <is>
          <t>MORA</t>
        </is>
      </c>
      <c r="F284" t="inlineStr">
        <is>
          <t>Allmännings- och besparingsskogar</t>
        </is>
      </c>
      <c r="G284" t="n">
        <v>6.2</v>
      </c>
      <c r="H284" t="n">
        <v>0</v>
      </c>
      <c r="I284" t="n">
        <v>0</v>
      </c>
      <c r="J284" t="n">
        <v>0</v>
      </c>
      <c r="K284" t="n">
        <v>0</v>
      </c>
      <c r="L284" t="n">
        <v>0</v>
      </c>
      <c r="M284" t="n">
        <v>0</v>
      </c>
      <c r="N284" t="n">
        <v>0</v>
      </c>
      <c r="O284" t="n">
        <v>0</v>
      </c>
      <c r="P284" t="n">
        <v>0</v>
      </c>
      <c r="Q284" t="n">
        <v>0</v>
      </c>
      <c r="R284" s="2" t="inlineStr"/>
    </row>
    <row r="285" ht="15" customHeight="1">
      <c r="A285" t="inlineStr">
        <is>
          <t>A 42954-2025</t>
        </is>
      </c>
      <c r="B285" s="1" t="n">
        <v>45909.3578125</v>
      </c>
      <c r="C285" s="1" t="n">
        <v>46144</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42960-2025</t>
        </is>
      </c>
      <c r="B286" s="1" t="n">
        <v>45909.36631944445</v>
      </c>
      <c r="C286" s="1" t="n">
        <v>46144</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59002-2024</t>
        </is>
      </c>
      <c r="B287" s="1" t="n">
        <v>45636</v>
      </c>
      <c r="C287" s="1" t="n">
        <v>46144</v>
      </c>
      <c r="D287" t="inlineStr">
        <is>
          <t>DALARNAS LÄN</t>
        </is>
      </c>
      <c r="E287" t="inlineStr">
        <is>
          <t>MORA</t>
        </is>
      </c>
      <c r="F287" t="inlineStr">
        <is>
          <t>Bergvik skog väst AB</t>
        </is>
      </c>
      <c r="G287" t="n">
        <v>24.8</v>
      </c>
      <c r="H287" t="n">
        <v>0</v>
      </c>
      <c r="I287" t="n">
        <v>0</v>
      </c>
      <c r="J287" t="n">
        <v>0</v>
      </c>
      <c r="K287" t="n">
        <v>0</v>
      </c>
      <c r="L287" t="n">
        <v>0</v>
      </c>
      <c r="M287" t="n">
        <v>0</v>
      </c>
      <c r="N287" t="n">
        <v>0</v>
      </c>
      <c r="O287" t="n">
        <v>0</v>
      </c>
      <c r="P287" t="n">
        <v>0</v>
      </c>
      <c r="Q287" t="n">
        <v>0</v>
      </c>
      <c r="R287" s="2" t="inlineStr"/>
    </row>
    <row r="288" ht="15" customHeight="1">
      <c r="A288" t="inlineStr">
        <is>
          <t>A 43153-2025</t>
        </is>
      </c>
      <c r="B288" s="1" t="n">
        <v>45910.34449074074</v>
      </c>
      <c r="C288" s="1" t="n">
        <v>46144</v>
      </c>
      <c r="D288" t="inlineStr">
        <is>
          <t>DALARNAS LÄN</t>
        </is>
      </c>
      <c r="E288" t="inlineStr">
        <is>
          <t>MORA</t>
        </is>
      </c>
      <c r="G288" t="n">
        <v>3.9</v>
      </c>
      <c r="H288" t="n">
        <v>0</v>
      </c>
      <c r="I288" t="n">
        <v>0</v>
      </c>
      <c r="J288" t="n">
        <v>0</v>
      </c>
      <c r="K288" t="n">
        <v>0</v>
      </c>
      <c r="L288" t="n">
        <v>0</v>
      </c>
      <c r="M288" t="n">
        <v>0</v>
      </c>
      <c r="N288" t="n">
        <v>0</v>
      </c>
      <c r="O288" t="n">
        <v>0</v>
      </c>
      <c r="P288" t="n">
        <v>0</v>
      </c>
      <c r="Q288" t="n">
        <v>0</v>
      </c>
      <c r="R288" s="2" t="inlineStr"/>
    </row>
    <row r="289" ht="15" customHeight="1">
      <c r="A289" t="inlineStr">
        <is>
          <t>A 43157-2025</t>
        </is>
      </c>
      <c r="B289" s="1" t="n">
        <v>45910.34953703704</v>
      </c>
      <c r="C289" s="1" t="n">
        <v>46144</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44106-2023</t>
        </is>
      </c>
      <c r="B290" s="1" t="n">
        <v>45188</v>
      </c>
      <c r="C290" s="1" t="n">
        <v>46144</v>
      </c>
      <c r="D290" t="inlineStr">
        <is>
          <t>DALARNAS LÄN</t>
        </is>
      </c>
      <c r="E290" t="inlineStr">
        <is>
          <t>MORA</t>
        </is>
      </c>
      <c r="G290" t="n">
        <v>10.1</v>
      </c>
      <c r="H290" t="n">
        <v>0</v>
      </c>
      <c r="I290" t="n">
        <v>0</v>
      </c>
      <c r="J290" t="n">
        <v>0</v>
      </c>
      <c r="K290" t="n">
        <v>0</v>
      </c>
      <c r="L290" t="n">
        <v>0</v>
      </c>
      <c r="M290" t="n">
        <v>0</v>
      </c>
      <c r="N290" t="n">
        <v>0</v>
      </c>
      <c r="O290" t="n">
        <v>0</v>
      </c>
      <c r="P290" t="n">
        <v>0</v>
      </c>
      <c r="Q290" t="n">
        <v>0</v>
      </c>
      <c r="R290" s="2" t="inlineStr"/>
    </row>
    <row r="291" ht="15" customHeight="1">
      <c r="A291" t="inlineStr">
        <is>
          <t>A 43474-2025</t>
        </is>
      </c>
      <c r="B291" s="1" t="n">
        <v>45911.48967592593</v>
      </c>
      <c r="C291" s="1" t="n">
        <v>46144</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46144</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4994-2025</t>
        </is>
      </c>
      <c r="B293" s="1" t="n">
        <v>45691.35427083333</v>
      </c>
      <c r="C293" s="1" t="n">
        <v>46144</v>
      </c>
      <c r="D293" t="inlineStr">
        <is>
          <t>DALARNAS LÄN</t>
        </is>
      </c>
      <c r="E293" t="inlineStr">
        <is>
          <t>MORA</t>
        </is>
      </c>
      <c r="G293" t="n">
        <v>4.6</v>
      </c>
      <c r="H293" t="n">
        <v>0</v>
      </c>
      <c r="I293" t="n">
        <v>0</v>
      </c>
      <c r="J293" t="n">
        <v>0</v>
      </c>
      <c r="K293" t="n">
        <v>0</v>
      </c>
      <c r="L293" t="n">
        <v>0</v>
      </c>
      <c r="M293" t="n">
        <v>0</v>
      </c>
      <c r="N293" t="n">
        <v>0</v>
      </c>
      <c r="O293" t="n">
        <v>0</v>
      </c>
      <c r="P293" t="n">
        <v>0</v>
      </c>
      <c r="Q293" t="n">
        <v>0</v>
      </c>
      <c r="R293" s="2" t="inlineStr"/>
    </row>
    <row r="294" ht="15" customHeight="1">
      <c r="A294" t="inlineStr">
        <is>
          <t>A 35287-2024</t>
        </is>
      </c>
      <c r="B294" s="1" t="n">
        <v>45530</v>
      </c>
      <c r="C294" s="1" t="n">
        <v>46144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43811-2025</t>
        </is>
      </c>
      <c r="B295" s="1" t="n">
        <v>45912.58710648148</v>
      </c>
      <c r="C295" s="1" t="n">
        <v>46144</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18702-2025</t>
        </is>
      </c>
      <c r="B296" s="1" t="n">
        <v>45763.63166666667</v>
      </c>
      <c r="C296" s="1" t="n">
        <v>46144</v>
      </c>
      <c r="D296" t="inlineStr">
        <is>
          <t>DALARNAS LÄN</t>
        </is>
      </c>
      <c r="E296" t="inlineStr">
        <is>
          <t>MORA</t>
        </is>
      </c>
      <c r="G296" t="n">
        <v>3.6</v>
      </c>
      <c r="H296" t="n">
        <v>0</v>
      </c>
      <c r="I296" t="n">
        <v>0</v>
      </c>
      <c r="J296" t="n">
        <v>0</v>
      </c>
      <c r="K296" t="n">
        <v>0</v>
      </c>
      <c r="L296" t="n">
        <v>0</v>
      </c>
      <c r="M296" t="n">
        <v>0</v>
      </c>
      <c r="N296" t="n">
        <v>0</v>
      </c>
      <c r="O296" t="n">
        <v>0</v>
      </c>
      <c r="P296" t="n">
        <v>0</v>
      </c>
      <c r="Q296" t="n">
        <v>0</v>
      </c>
      <c r="R296" s="2" t="inlineStr"/>
    </row>
    <row r="297" ht="15" customHeight="1">
      <c r="A297" t="inlineStr">
        <is>
          <t>A 12478-2025</t>
        </is>
      </c>
      <c r="B297" s="1" t="n">
        <v>45730.57429398148</v>
      </c>
      <c r="C297" s="1" t="n">
        <v>46144</v>
      </c>
      <c r="D297" t="inlineStr">
        <is>
          <t>DALARNAS LÄN</t>
        </is>
      </c>
      <c r="E297" t="inlineStr">
        <is>
          <t>MORA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44384-2025</t>
        </is>
      </c>
      <c r="B298" s="1" t="n">
        <v>45916.48513888889</v>
      </c>
      <c r="C298" s="1" t="n">
        <v>46144</v>
      </c>
      <c r="D298" t="inlineStr">
        <is>
          <t>DALARNAS LÄN</t>
        </is>
      </c>
      <c r="E298" t="inlineStr">
        <is>
          <t>MORA</t>
        </is>
      </c>
      <c r="F298" t="inlineStr">
        <is>
          <t>Kyrkan</t>
        </is>
      </c>
      <c r="G298" t="n">
        <v>5.1</v>
      </c>
      <c r="H298" t="n">
        <v>0</v>
      </c>
      <c r="I298" t="n">
        <v>0</v>
      </c>
      <c r="J298" t="n">
        <v>0</v>
      </c>
      <c r="K298" t="n">
        <v>0</v>
      </c>
      <c r="L298" t="n">
        <v>0</v>
      </c>
      <c r="M298" t="n">
        <v>0</v>
      </c>
      <c r="N298" t="n">
        <v>0</v>
      </c>
      <c r="O298" t="n">
        <v>0</v>
      </c>
      <c r="P298" t="n">
        <v>0</v>
      </c>
      <c r="Q298" t="n">
        <v>0</v>
      </c>
      <c r="R298" s="2" t="inlineStr"/>
    </row>
    <row r="299" ht="15" customHeight="1">
      <c r="A299" t="inlineStr">
        <is>
          <t>A 30030-2021</t>
        </is>
      </c>
      <c r="B299" s="1" t="n">
        <v>44363</v>
      </c>
      <c r="C299" s="1" t="n">
        <v>46144</v>
      </c>
      <c r="D299" t="inlineStr">
        <is>
          <t>DALARNAS LÄN</t>
        </is>
      </c>
      <c r="E299" t="inlineStr">
        <is>
          <t>MORA</t>
        </is>
      </c>
      <c r="G299" t="n">
        <v>7.1</v>
      </c>
      <c r="H299" t="n">
        <v>0</v>
      </c>
      <c r="I299" t="n">
        <v>0</v>
      </c>
      <c r="J299" t="n">
        <v>0</v>
      </c>
      <c r="K299" t="n">
        <v>0</v>
      </c>
      <c r="L299" t="n">
        <v>0</v>
      </c>
      <c r="M299" t="n">
        <v>0</v>
      </c>
      <c r="N299" t="n">
        <v>0</v>
      </c>
      <c r="O299" t="n">
        <v>0</v>
      </c>
      <c r="P299" t="n">
        <v>0</v>
      </c>
      <c r="Q299" t="n">
        <v>0</v>
      </c>
      <c r="R299" s="2" t="inlineStr"/>
    </row>
    <row r="300" ht="15" customHeight="1">
      <c r="A300" t="inlineStr">
        <is>
          <t>A 31085-2024</t>
        </is>
      </c>
      <c r="B300" s="1" t="n">
        <v>45502.48047453703</v>
      </c>
      <c r="C300" s="1" t="n">
        <v>46144</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44621-2025</t>
        </is>
      </c>
      <c r="B301" s="1" t="n">
        <v>45917.466875</v>
      </c>
      <c r="C301" s="1" t="n">
        <v>46144</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44071-2024</t>
        </is>
      </c>
      <c r="B302" s="1" t="n">
        <v>45572.60915509259</v>
      </c>
      <c r="C302" s="1" t="n">
        <v>46144</v>
      </c>
      <c r="D302" t="inlineStr">
        <is>
          <t>DALARNAS LÄN</t>
        </is>
      </c>
      <c r="E302" t="inlineStr">
        <is>
          <t>MORA</t>
        </is>
      </c>
      <c r="G302" t="n">
        <v>4.5</v>
      </c>
      <c r="H302" t="n">
        <v>0</v>
      </c>
      <c r="I302" t="n">
        <v>0</v>
      </c>
      <c r="J302" t="n">
        <v>0</v>
      </c>
      <c r="K302" t="n">
        <v>0</v>
      </c>
      <c r="L302" t="n">
        <v>0</v>
      </c>
      <c r="M302" t="n">
        <v>0</v>
      </c>
      <c r="N302" t="n">
        <v>0</v>
      </c>
      <c r="O302" t="n">
        <v>0</v>
      </c>
      <c r="P302" t="n">
        <v>0</v>
      </c>
      <c r="Q302" t="n">
        <v>0</v>
      </c>
      <c r="R302" s="2" t="inlineStr"/>
    </row>
    <row r="303" ht="15" customHeight="1">
      <c r="A303" t="inlineStr">
        <is>
          <t>A 12490-2025</t>
        </is>
      </c>
      <c r="B303" s="1" t="n">
        <v>45730.59239583334</v>
      </c>
      <c r="C303" s="1" t="n">
        <v>46144</v>
      </c>
      <c r="D303" t="inlineStr">
        <is>
          <t>DALARNAS LÄN</t>
        </is>
      </c>
      <c r="E303" t="inlineStr">
        <is>
          <t>MORA</t>
        </is>
      </c>
      <c r="F303" t="inlineStr">
        <is>
          <t>Bergvik skog öst AB</t>
        </is>
      </c>
      <c r="G303" t="n">
        <v>1.6</v>
      </c>
      <c r="H303" t="n">
        <v>0</v>
      </c>
      <c r="I303" t="n">
        <v>0</v>
      </c>
      <c r="J303" t="n">
        <v>0</v>
      </c>
      <c r="K303" t="n">
        <v>0</v>
      </c>
      <c r="L303" t="n">
        <v>0</v>
      </c>
      <c r="M303" t="n">
        <v>0</v>
      </c>
      <c r="N303" t="n">
        <v>0</v>
      </c>
      <c r="O303" t="n">
        <v>0</v>
      </c>
      <c r="P303" t="n">
        <v>0</v>
      </c>
      <c r="Q303" t="n">
        <v>0</v>
      </c>
      <c r="R303" s="2" t="inlineStr"/>
    </row>
    <row r="304" ht="15" customHeight="1">
      <c r="A304" t="inlineStr">
        <is>
          <t>A 45191-2025</t>
        </is>
      </c>
      <c r="B304" s="1" t="n">
        <v>45919.54811342592</v>
      </c>
      <c r="C304" s="1" t="n">
        <v>46144</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45181-2025</t>
        </is>
      </c>
      <c r="B305" s="1" t="n">
        <v>45919.53329861111</v>
      </c>
      <c r="C305" s="1" t="n">
        <v>46144</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46090-2025</t>
        </is>
      </c>
      <c r="B306" s="1" t="n">
        <v>45924.5253125</v>
      </c>
      <c r="C306" s="1" t="n">
        <v>46144</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21410-2023</t>
        </is>
      </c>
      <c r="B307" s="1" t="n">
        <v>45063</v>
      </c>
      <c r="C307" s="1" t="n">
        <v>46144</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46801-2022</t>
        </is>
      </c>
      <c r="B308" s="1" t="n">
        <v>44851</v>
      </c>
      <c r="C308" s="1" t="n">
        <v>46144</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46091-2025</t>
        </is>
      </c>
      <c r="B309" s="1" t="n">
        <v>45924.52871527777</v>
      </c>
      <c r="C309" s="1" t="n">
        <v>46144</v>
      </c>
      <c r="D309" t="inlineStr">
        <is>
          <t>DALARNAS LÄN</t>
        </is>
      </c>
      <c r="E309" t="inlineStr">
        <is>
          <t>MORA</t>
        </is>
      </c>
      <c r="G309" t="n">
        <v>1.2</v>
      </c>
      <c r="H309" t="n">
        <v>0</v>
      </c>
      <c r="I309" t="n">
        <v>0</v>
      </c>
      <c r="J309" t="n">
        <v>0</v>
      </c>
      <c r="K309" t="n">
        <v>0</v>
      </c>
      <c r="L309" t="n">
        <v>0</v>
      </c>
      <c r="M309" t="n">
        <v>0</v>
      </c>
      <c r="N309" t="n">
        <v>0</v>
      </c>
      <c r="O309" t="n">
        <v>0</v>
      </c>
      <c r="P309" t="n">
        <v>0</v>
      </c>
      <c r="Q309" t="n">
        <v>0</v>
      </c>
      <c r="R309" s="2" t="inlineStr"/>
    </row>
    <row r="310" ht="15" customHeight="1">
      <c r="A310" t="inlineStr">
        <is>
          <t>A 70141-2021</t>
        </is>
      </c>
      <c r="B310" s="1" t="n">
        <v>44533</v>
      </c>
      <c r="C310" s="1" t="n">
        <v>46144</v>
      </c>
      <c r="D310" t="inlineStr">
        <is>
          <t>DALARNAS LÄN</t>
        </is>
      </c>
      <c r="E310" t="inlineStr">
        <is>
          <t>MORA</t>
        </is>
      </c>
      <c r="G310" t="n">
        <v>4.1</v>
      </c>
      <c r="H310" t="n">
        <v>0</v>
      </c>
      <c r="I310" t="n">
        <v>0</v>
      </c>
      <c r="J310" t="n">
        <v>0</v>
      </c>
      <c r="K310" t="n">
        <v>0</v>
      </c>
      <c r="L310" t="n">
        <v>0</v>
      </c>
      <c r="M310" t="n">
        <v>0</v>
      </c>
      <c r="N310" t="n">
        <v>0</v>
      </c>
      <c r="O310" t="n">
        <v>0</v>
      </c>
      <c r="P310" t="n">
        <v>0</v>
      </c>
      <c r="Q310" t="n">
        <v>0</v>
      </c>
      <c r="R310" s="2" t="inlineStr"/>
    </row>
    <row r="311" ht="15" customHeight="1">
      <c r="A311" t="inlineStr">
        <is>
          <t>A 56767-2023</t>
        </is>
      </c>
      <c r="B311" s="1" t="n">
        <v>45244</v>
      </c>
      <c r="C311" s="1" t="n">
        <v>46144</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40949-2023</t>
        </is>
      </c>
      <c r="B312" s="1" t="n">
        <v>45173</v>
      </c>
      <c r="C312" s="1" t="n">
        <v>46144</v>
      </c>
      <c r="D312" t="inlineStr">
        <is>
          <t>DALARNAS LÄN</t>
        </is>
      </c>
      <c r="E312" t="inlineStr">
        <is>
          <t>MORA</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66232-2021</t>
        </is>
      </c>
      <c r="B313" s="1" t="n">
        <v>44518.39234953704</v>
      </c>
      <c r="C313" s="1" t="n">
        <v>46144</v>
      </c>
      <c r="D313" t="inlineStr">
        <is>
          <t>DALARNAS LÄN</t>
        </is>
      </c>
      <c r="E313" t="inlineStr">
        <is>
          <t>MORA</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46525-2025</t>
        </is>
      </c>
      <c r="B314" s="1" t="n">
        <v>45926.3312962963</v>
      </c>
      <c r="C314" s="1" t="n">
        <v>46144</v>
      </c>
      <c r="D314" t="inlineStr">
        <is>
          <t>DALARNAS LÄN</t>
        </is>
      </c>
      <c r="E314" t="inlineStr">
        <is>
          <t>MORA</t>
        </is>
      </c>
      <c r="G314" t="n">
        <v>6.3</v>
      </c>
      <c r="H314" t="n">
        <v>0</v>
      </c>
      <c r="I314" t="n">
        <v>0</v>
      </c>
      <c r="J314" t="n">
        <v>0</v>
      </c>
      <c r="K314" t="n">
        <v>0</v>
      </c>
      <c r="L314" t="n">
        <v>0</v>
      </c>
      <c r="M314" t="n">
        <v>0</v>
      </c>
      <c r="N314" t="n">
        <v>0</v>
      </c>
      <c r="O314" t="n">
        <v>0</v>
      </c>
      <c r="P314" t="n">
        <v>0</v>
      </c>
      <c r="Q314" t="n">
        <v>0</v>
      </c>
      <c r="R314" s="2" t="inlineStr"/>
    </row>
    <row r="315" ht="15" customHeight="1">
      <c r="A315" t="inlineStr">
        <is>
          <t>A 46283-2025</t>
        </is>
      </c>
      <c r="B315" s="1" t="n">
        <v>45925</v>
      </c>
      <c r="C315" s="1" t="n">
        <v>46144</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46537-2025</t>
        </is>
      </c>
      <c r="B316" s="1" t="n">
        <v>45926.34195601852</v>
      </c>
      <c r="C316" s="1" t="n">
        <v>46144</v>
      </c>
      <c r="D316" t="inlineStr">
        <is>
          <t>DALARNAS LÄN</t>
        </is>
      </c>
      <c r="E316" t="inlineStr">
        <is>
          <t>MORA</t>
        </is>
      </c>
      <c r="G316" t="n">
        <v>10.6</v>
      </c>
      <c r="H316" t="n">
        <v>0</v>
      </c>
      <c r="I316" t="n">
        <v>0</v>
      </c>
      <c r="J316" t="n">
        <v>0</v>
      </c>
      <c r="K316" t="n">
        <v>0</v>
      </c>
      <c r="L316" t="n">
        <v>0</v>
      </c>
      <c r="M316" t="n">
        <v>0</v>
      </c>
      <c r="N316" t="n">
        <v>0</v>
      </c>
      <c r="O316" t="n">
        <v>0</v>
      </c>
      <c r="P316" t="n">
        <v>0</v>
      </c>
      <c r="Q316" t="n">
        <v>0</v>
      </c>
      <c r="R316" s="2" t="inlineStr"/>
    </row>
    <row r="317" ht="15" customHeight="1">
      <c r="A317" t="inlineStr">
        <is>
          <t>A 47055-2025</t>
        </is>
      </c>
      <c r="B317" s="1" t="n">
        <v>45929.61931712963</v>
      </c>
      <c r="C317" s="1" t="n">
        <v>46144</v>
      </c>
      <c r="D317" t="inlineStr">
        <is>
          <t>DALARNAS LÄN</t>
        </is>
      </c>
      <c r="E317" t="inlineStr">
        <is>
          <t>MORA</t>
        </is>
      </c>
      <c r="G317" t="n">
        <v>28.1</v>
      </c>
      <c r="H317" t="n">
        <v>0</v>
      </c>
      <c r="I317" t="n">
        <v>0</v>
      </c>
      <c r="J317" t="n">
        <v>0</v>
      </c>
      <c r="K317" t="n">
        <v>0</v>
      </c>
      <c r="L317" t="n">
        <v>0</v>
      </c>
      <c r="M317" t="n">
        <v>0</v>
      </c>
      <c r="N317" t="n">
        <v>0</v>
      </c>
      <c r="O317" t="n">
        <v>0</v>
      </c>
      <c r="P317" t="n">
        <v>0</v>
      </c>
      <c r="Q317" t="n">
        <v>0</v>
      </c>
      <c r="R317" s="2" t="inlineStr"/>
    </row>
    <row r="318" ht="15" customHeight="1">
      <c r="A318" t="inlineStr">
        <is>
          <t>A 44307-2021</t>
        </is>
      </c>
      <c r="B318" s="1" t="n">
        <v>44435</v>
      </c>
      <c r="C318" s="1" t="n">
        <v>46144</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34272-2024</t>
        </is>
      </c>
      <c r="B319" s="1" t="n">
        <v>45524.61752314815</v>
      </c>
      <c r="C319" s="1" t="n">
        <v>46144</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47414-2025</t>
        </is>
      </c>
      <c r="B320" s="1" t="n">
        <v>45930.61896990741</v>
      </c>
      <c r="C320" s="1" t="n">
        <v>46144</v>
      </c>
      <c r="D320" t="inlineStr">
        <is>
          <t>DALARNAS LÄN</t>
        </is>
      </c>
      <c r="E320" t="inlineStr">
        <is>
          <t>MORA</t>
        </is>
      </c>
      <c r="G320" t="n">
        <v>6.1</v>
      </c>
      <c r="H320" t="n">
        <v>0</v>
      </c>
      <c r="I320" t="n">
        <v>0</v>
      </c>
      <c r="J320" t="n">
        <v>0</v>
      </c>
      <c r="K320" t="n">
        <v>0</v>
      </c>
      <c r="L320" t="n">
        <v>0</v>
      </c>
      <c r="M320" t="n">
        <v>0</v>
      </c>
      <c r="N320" t="n">
        <v>0</v>
      </c>
      <c r="O320" t="n">
        <v>0</v>
      </c>
      <c r="P320" t="n">
        <v>0</v>
      </c>
      <c r="Q320" t="n">
        <v>0</v>
      </c>
      <c r="R320" s="2" t="inlineStr"/>
    </row>
    <row r="321" ht="15" customHeight="1">
      <c r="A321" t="inlineStr">
        <is>
          <t>A 28131-2024</t>
        </is>
      </c>
      <c r="B321" s="1" t="n">
        <v>45476.68435185185</v>
      </c>
      <c r="C321" s="1" t="n">
        <v>46144</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28132-2024</t>
        </is>
      </c>
      <c r="B322" s="1" t="n">
        <v>45476.68616898148</v>
      </c>
      <c r="C322" s="1" t="n">
        <v>46144</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47072-2025</t>
        </is>
      </c>
      <c r="B323" s="1" t="n">
        <v>45929.6365162037</v>
      </c>
      <c r="C323" s="1" t="n">
        <v>46144</v>
      </c>
      <c r="D323" t="inlineStr">
        <is>
          <t>DALARNAS LÄN</t>
        </is>
      </c>
      <c r="E323" t="inlineStr">
        <is>
          <t>MORA</t>
        </is>
      </c>
      <c r="G323" t="n">
        <v>3.4</v>
      </c>
      <c r="H323" t="n">
        <v>0</v>
      </c>
      <c r="I323" t="n">
        <v>0</v>
      </c>
      <c r="J323" t="n">
        <v>0</v>
      </c>
      <c r="K323" t="n">
        <v>0</v>
      </c>
      <c r="L323" t="n">
        <v>0</v>
      </c>
      <c r="M323" t="n">
        <v>0</v>
      </c>
      <c r="N323" t="n">
        <v>0</v>
      </c>
      <c r="O323" t="n">
        <v>0</v>
      </c>
      <c r="P323" t="n">
        <v>0</v>
      </c>
      <c r="Q323" t="n">
        <v>0</v>
      </c>
      <c r="R323" s="2" t="inlineStr"/>
    </row>
    <row r="324" ht="15" customHeight="1">
      <c r="A324" t="inlineStr">
        <is>
          <t>A 47140-2025</t>
        </is>
      </c>
      <c r="B324" s="1" t="n">
        <v>45929</v>
      </c>
      <c r="C324" s="1" t="n">
        <v>46144</v>
      </c>
      <c r="D324" t="inlineStr">
        <is>
          <t>DALARNAS LÄN</t>
        </is>
      </c>
      <c r="E324" t="inlineStr">
        <is>
          <t>MORA</t>
        </is>
      </c>
      <c r="G324" t="n">
        <v>6.7</v>
      </c>
      <c r="H324" t="n">
        <v>0</v>
      </c>
      <c r="I324" t="n">
        <v>0</v>
      </c>
      <c r="J324" t="n">
        <v>0</v>
      </c>
      <c r="K324" t="n">
        <v>0</v>
      </c>
      <c r="L324" t="n">
        <v>0</v>
      </c>
      <c r="M324" t="n">
        <v>0</v>
      </c>
      <c r="N324" t="n">
        <v>0</v>
      </c>
      <c r="O324" t="n">
        <v>0</v>
      </c>
      <c r="P324" t="n">
        <v>0</v>
      </c>
      <c r="Q324" t="n">
        <v>0</v>
      </c>
      <c r="R324" s="2" t="inlineStr"/>
    </row>
    <row r="325" ht="15" customHeight="1">
      <c r="A325" t="inlineStr">
        <is>
          <t>A 57608-2021</t>
        </is>
      </c>
      <c r="B325" s="1" t="n">
        <v>44484</v>
      </c>
      <c r="C325" s="1" t="n">
        <v>46144</v>
      </c>
      <c r="D325" t="inlineStr">
        <is>
          <t>DALARNAS LÄN</t>
        </is>
      </c>
      <c r="E325" t="inlineStr">
        <is>
          <t>MORA</t>
        </is>
      </c>
      <c r="G325" t="n">
        <v>6.3</v>
      </c>
      <c r="H325" t="n">
        <v>0</v>
      </c>
      <c r="I325" t="n">
        <v>0</v>
      </c>
      <c r="J325" t="n">
        <v>0</v>
      </c>
      <c r="K325" t="n">
        <v>0</v>
      </c>
      <c r="L325" t="n">
        <v>0</v>
      </c>
      <c r="M325" t="n">
        <v>0</v>
      </c>
      <c r="N325" t="n">
        <v>0</v>
      </c>
      <c r="O325" t="n">
        <v>0</v>
      </c>
      <c r="P325" t="n">
        <v>0</v>
      </c>
      <c r="Q325" t="n">
        <v>0</v>
      </c>
      <c r="R325" s="2" t="inlineStr"/>
    </row>
    <row r="326" ht="15" customHeight="1">
      <c r="A326" t="inlineStr">
        <is>
          <t>A 23586-2023</t>
        </is>
      </c>
      <c r="B326" s="1" t="n">
        <v>45077</v>
      </c>
      <c r="C326" s="1" t="n">
        <v>46144</v>
      </c>
      <c r="D326" t="inlineStr">
        <is>
          <t>DALARNAS LÄN</t>
        </is>
      </c>
      <c r="E326" t="inlineStr">
        <is>
          <t>MORA</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47769-2025</t>
        </is>
      </c>
      <c r="B327" s="1" t="n">
        <v>45931.70715277778</v>
      </c>
      <c r="C327" s="1" t="n">
        <v>46144</v>
      </c>
      <c r="D327" t="inlineStr">
        <is>
          <t>DALARNAS LÄN</t>
        </is>
      </c>
      <c r="E327" t="inlineStr">
        <is>
          <t>MORA</t>
        </is>
      </c>
      <c r="G327" t="n">
        <v>6.7</v>
      </c>
      <c r="H327" t="n">
        <v>0</v>
      </c>
      <c r="I327" t="n">
        <v>0</v>
      </c>
      <c r="J327" t="n">
        <v>0</v>
      </c>
      <c r="K327" t="n">
        <v>0</v>
      </c>
      <c r="L327" t="n">
        <v>0</v>
      </c>
      <c r="M327" t="n">
        <v>0</v>
      </c>
      <c r="N327" t="n">
        <v>0</v>
      </c>
      <c r="O327" t="n">
        <v>0</v>
      </c>
      <c r="P327" t="n">
        <v>0</v>
      </c>
      <c r="Q327" t="n">
        <v>0</v>
      </c>
      <c r="R327" s="2" t="inlineStr"/>
    </row>
    <row r="328" ht="15" customHeight="1">
      <c r="A328" t="inlineStr">
        <is>
          <t>A 5644-2024</t>
        </is>
      </c>
      <c r="B328" s="1" t="n">
        <v>45334</v>
      </c>
      <c r="C328" s="1" t="n">
        <v>46144</v>
      </c>
      <c r="D328" t="inlineStr">
        <is>
          <t>DALARNAS LÄN</t>
        </is>
      </c>
      <c r="E328" t="inlineStr">
        <is>
          <t>MORA</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47765-2025</t>
        </is>
      </c>
      <c r="B329" s="1" t="n">
        <v>45931.69100694444</v>
      </c>
      <c r="C329" s="1" t="n">
        <v>46144</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47860-2025</t>
        </is>
      </c>
      <c r="B330" s="1" t="n">
        <v>45932.42298611111</v>
      </c>
      <c r="C330" s="1" t="n">
        <v>46144</v>
      </c>
      <c r="D330" t="inlineStr">
        <is>
          <t>DALARNAS LÄN</t>
        </is>
      </c>
      <c r="E330" t="inlineStr">
        <is>
          <t>MORA</t>
        </is>
      </c>
      <c r="G330" t="n">
        <v>2.1</v>
      </c>
      <c r="H330" t="n">
        <v>0</v>
      </c>
      <c r="I330" t="n">
        <v>0</v>
      </c>
      <c r="J330" t="n">
        <v>0</v>
      </c>
      <c r="K330" t="n">
        <v>0</v>
      </c>
      <c r="L330" t="n">
        <v>0</v>
      </c>
      <c r="M330" t="n">
        <v>0</v>
      </c>
      <c r="N330" t="n">
        <v>0</v>
      </c>
      <c r="O330" t="n">
        <v>0</v>
      </c>
      <c r="P330" t="n">
        <v>0</v>
      </c>
      <c r="Q330" t="n">
        <v>0</v>
      </c>
      <c r="R330" s="2" t="inlineStr"/>
    </row>
    <row r="331" ht="15" customHeight="1">
      <c r="A331" t="inlineStr">
        <is>
          <t>A 48376-2025</t>
        </is>
      </c>
      <c r="B331" s="1" t="n">
        <v>45933.71648148148</v>
      </c>
      <c r="C331" s="1" t="n">
        <v>46144</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48377-2025</t>
        </is>
      </c>
      <c r="B332" s="1" t="n">
        <v>45933.71896990741</v>
      </c>
      <c r="C332" s="1" t="n">
        <v>46144</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47716-2025</t>
        </is>
      </c>
      <c r="B333" s="1" t="n">
        <v>45931</v>
      </c>
      <c r="C333" s="1" t="n">
        <v>46144</v>
      </c>
      <c r="D333" t="inlineStr">
        <is>
          <t>DALARNAS LÄN</t>
        </is>
      </c>
      <c r="E333" t="inlineStr">
        <is>
          <t>MORA</t>
        </is>
      </c>
      <c r="G333" t="n">
        <v>8.9</v>
      </c>
      <c r="H333" t="n">
        <v>0</v>
      </c>
      <c r="I333" t="n">
        <v>0</v>
      </c>
      <c r="J333" t="n">
        <v>0</v>
      </c>
      <c r="K333" t="n">
        <v>0</v>
      </c>
      <c r="L333" t="n">
        <v>0</v>
      </c>
      <c r="M333" t="n">
        <v>0</v>
      </c>
      <c r="N333" t="n">
        <v>0</v>
      </c>
      <c r="O333" t="n">
        <v>0</v>
      </c>
      <c r="P333" t="n">
        <v>0</v>
      </c>
      <c r="Q333" t="n">
        <v>0</v>
      </c>
      <c r="R333" s="2" t="inlineStr"/>
    </row>
    <row r="334" ht="15" customHeight="1">
      <c r="A334" t="inlineStr">
        <is>
          <t>A 54257-2023</t>
        </is>
      </c>
      <c r="B334" s="1" t="n">
        <v>45232.64195601852</v>
      </c>
      <c r="C334" s="1" t="n">
        <v>46144</v>
      </c>
      <c r="D334" t="inlineStr">
        <is>
          <t>DALARNAS LÄN</t>
        </is>
      </c>
      <c r="E334" t="inlineStr">
        <is>
          <t>MORA</t>
        </is>
      </c>
      <c r="G334" t="n">
        <v>4</v>
      </c>
      <c r="H334" t="n">
        <v>0</v>
      </c>
      <c r="I334" t="n">
        <v>0</v>
      </c>
      <c r="J334" t="n">
        <v>0</v>
      </c>
      <c r="K334" t="n">
        <v>0</v>
      </c>
      <c r="L334" t="n">
        <v>0</v>
      </c>
      <c r="M334" t="n">
        <v>0</v>
      </c>
      <c r="N334" t="n">
        <v>0</v>
      </c>
      <c r="O334" t="n">
        <v>0</v>
      </c>
      <c r="P334" t="n">
        <v>0</v>
      </c>
      <c r="Q334" t="n">
        <v>0</v>
      </c>
      <c r="R334" s="2" t="inlineStr"/>
    </row>
    <row r="335" ht="15" customHeight="1">
      <c r="A335" t="inlineStr">
        <is>
          <t>A 37385-2022</t>
        </is>
      </c>
      <c r="B335" s="1" t="n">
        <v>44806</v>
      </c>
      <c r="C335" s="1" t="n">
        <v>46144</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61217-2023</t>
        </is>
      </c>
      <c r="B336" s="1" t="n">
        <v>45264.43802083333</v>
      </c>
      <c r="C336" s="1" t="n">
        <v>46144</v>
      </c>
      <c r="D336" t="inlineStr">
        <is>
          <t>DALARNAS LÄN</t>
        </is>
      </c>
      <c r="E336" t="inlineStr">
        <is>
          <t>MORA</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61218-2023</t>
        </is>
      </c>
      <c r="B337" s="1" t="n">
        <v>45264</v>
      </c>
      <c r="C337" s="1" t="n">
        <v>46144</v>
      </c>
      <c r="D337" t="inlineStr">
        <is>
          <t>DALARNAS LÄN</t>
        </is>
      </c>
      <c r="E337" t="inlineStr">
        <is>
          <t>MORA</t>
        </is>
      </c>
      <c r="F337" t="inlineStr">
        <is>
          <t>Allmännings- och besparingsskogar</t>
        </is>
      </c>
      <c r="G337" t="n">
        <v>2.6</v>
      </c>
      <c r="H337" t="n">
        <v>0</v>
      </c>
      <c r="I337" t="n">
        <v>0</v>
      </c>
      <c r="J337" t="n">
        <v>0</v>
      </c>
      <c r="K337" t="n">
        <v>0</v>
      </c>
      <c r="L337" t="n">
        <v>0</v>
      </c>
      <c r="M337" t="n">
        <v>0</v>
      </c>
      <c r="N337" t="n">
        <v>0</v>
      </c>
      <c r="O337" t="n">
        <v>0</v>
      </c>
      <c r="P337" t="n">
        <v>0</v>
      </c>
      <c r="Q337" t="n">
        <v>0</v>
      </c>
      <c r="R337" s="2" t="inlineStr"/>
    </row>
    <row r="338" ht="15" customHeight="1">
      <c r="A338" t="inlineStr">
        <is>
          <t>A 48927-2025</t>
        </is>
      </c>
      <c r="B338" s="1" t="n">
        <v>45931</v>
      </c>
      <c r="C338" s="1" t="n">
        <v>46144</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43641-2022</t>
        </is>
      </c>
      <c r="B339" s="1" t="n">
        <v>44837</v>
      </c>
      <c r="C339" s="1" t="n">
        <v>46144</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25749-2023</t>
        </is>
      </c>
      <c r="B340" s="1" t="n">
        <v>45090</v>
      </c>
      <c r="C340" s="1" t="n">
        <v>46144</v>
      </c>
      <c r="D340" t="inlineStr">
        <is>
          <t>DALARNAS LÄN</t>
        </is>
      </c>
      <c r="E340" t="inlineStr">
        <is>
          <t>MORA</t>
        </is>
      </c>
      <c r="G340" t="n">
        <v>2.4</v>
      </c>
      <c r="H340" t="n">
        <v>0</v>
      </c>
      <c r="I340" t="n">
        <v>0</v>
      </c>
      <c r="J340" t="n">
        <v>0</v>
      </c>
      <c r="K340" t="n">
        <v>0</v>
      </c>
      <c r="L340" t="n">
        <v>0</v>
      </c>
      <c r="M340" t="n">
        <v>0</v>
      </c>
      <c r="N340" t="n">
        <v>0</v>
      </c>
      <c r="O340" t="n">
        <v>0</v>
      </c>
      <c r="P340" t="n">
        <v>0</v>
      </c>
      <c r="Q340" t="n">
        <v>0</v>
      </c>
      <c r="R340" s="2" t="inlineStr"/>
    </row>
    <row r="341" ht="15" customHeight="1">
      <c r="A341" t="inlineStr">
        <is>
          <t>A 35363-2024</t>
        </is>
      </c>
      <c r="B341" s="1" t="n">
        <v>45531.34050925926</v>
      </c>
      <c r="C341" s="1" t="n">
        <v>46144</v>
      </c>
      <c r="D341" t="inlineStr">
        <is>
          <t>DALARNAS LÄN</t>
        </is>
      </c>
      <c r="E341" t="inlineStr">
        <is>
          <t>MORA</t>
        </is>
      </c>
      <c r="G341" t="n">
        <v>2.5</v>
      </c>
      <c r="H341" t="n">
        <v>0</v>
      </c>
      <c r="I341" t="n">
        <v>0</v>
      </c>
      <c r="J341" t="n">
        <v>0</v>
      </c>
      <c r="K341" t="n">
        <v>0</v>
      </c>
      <c r="L341" t="n">
        <v>0</v>
      </c>
      <c r="M341" t="n">
        <v>0</v>
      </c>
      <c r="N341" t="n">
        <v>0</v>
      </c>
      <c r="O341" t="n">
        <v>0</v>
      </c>
      <c r="P341" t="n">
        <v>0</v>
      </c>
      <c r="Q341" t="n">
        <v>0</v>
      </c>
      <c r="R341" s="2" t="inlineStr"/>
    </row>
    <row r="342" ht="15" customHeight="1">
      <c r="A342" t="inlineStr">
        <is>
          <t>A 58972-2023</t>
        </is>
      </c>
      <c r="B342" s="1" t="n">
        <v>45252</v>
      </c>
      <c r="C342" s="1" t="n">
        <v>46144</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58171-2024</t>
        </is>
      </c>
      <c r="B343" s="1" t="n">
        <v>45632.46545138889</v>
      </c>
      <c r="C343" s="1" t="n">
        <v>46144</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49404-2025</t>
        </is>
      </c>
      <c r="B344" s="1" t="n">
        <v>45938.67662037037</v>
      </c>
      <c r="C344" s="1" t="n">
        <v>46144</v>
      </c>
      <c r="D344" t="inlineStr">
        <is>
          <t>DALARNAS LÄN</t>
        </is>
      </c>
      <c r="E344" t="inlineStr">
        <is>
          <t>MORA</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33513-2024</t>
        </is>
      </c>
      <c r="B345" s="1" t="n">
        <v>45519.644375</v>
      </c>
      <c r="C345" s="1" t="n">
        <v>46144</v>
      </c>
      <c r="D345" t="inlineStr">
        <is>
          <t>DALARNAS LÄN</t>
        </is>
      </c>
      <c r="E345" t="inlineStr">
        <is>
          <t>MORA</t>
        </is>
      </c>
      <c r="G345" t="n">
        <v>5.9</v>
      </c>
      <c r="H345" t="n">
        <v>0</v>
      </c>
      <c r="I345" t="n">
        <v>0</v>
      </c>
      <c r="J345" t="n">
        <v>0</v>
      </c>
      <c r="K345" t="n">
        <v>0</v>
      </c>
      <c r="L345" t="n">
        <v>0</v>
      </c>
      <c r="M345" t="n">
        <v>0</v>
      </c>
      <c r="N345" t="n">
        <v>0</v>
      </c>
      <c r="O345" t="n">
        <v>0</v>
      </c>
      <c r="P345" t="n">
        <v>0</v>
      </c>
      <c r="Q345" t="n">
        <v>0</v>
      </c>
      <c r="R345" s="2" t="inlineStr"/>
    </row>
    <row r="346" ht="15" customHeight="1">
      <c r="A346" t="inlineStr">
        <is>
          <t>A 48929-2025</t>
        </is>
      </c>
      <c r="B346" s="1" t="n">
        <v>45937.51315972222</v>
      </c>
      <c r="C346" s="1" t="n">
        <v>46144</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39856-2024</t>
        </is>
      </c>
      <c r="B347" s="1" t="n">
        <v>45553.44084490741</v>
      </c>
      <c r="C347" s="1" t="n">
        <v>46144</v>
      </c>
      <c r="D347" t="inlineStr">
        <is>
          <t>DALARNAS LÄN</t>
        </is>
      </c>
      <c r="E347" t="inlineStr">
        <is>
          <t>MORA</t>
        </is>
      </c>
      <c r="G347" t="n">
        <v>4.8</v>
      </c>
      <c r="H347" t="n">
        <v>0</v>
      </c>
      <c r="I347" t="n">
        <v>0</v>
      </c>
      <c r="J347" t="n">
        <v>0</v>
      </c>
      <c r="K347" t="n">
        <v>0</v>
      </c>
      <c r="L347" t="n">
        <v>0</v>
      </c>
      <c r="M347" t="n">
        <v>0</v>
      </c>
      <c r="N347" t="n">
        <v>0</v>
      </c>
      <c r="O347" t="n">
        <v>0</v>
      </c>
      <c r="P347" t="n">
        <v>0</v>
      </c>
      <c r="Q347" t="n">
        <v>0</v>
      </c>
      <c r="R347" s="2" t="inlineStr"/>
    </row>
    <row r="348" ht="15" customHeight="1">
      <c r="A348" t="inlineStr">
        <is>
          <t>A 49401-2025</t>
        </is>
      </c>
      <c r="B348" s="1" t="n">
        <v>45938.66932870371</v>
      </c>
      <c r="C348" s="1" t="n">
        <v>46144</v>
      </c>
      <c r="D348" t="inlineStr">
        <is>
          <t>DALARNAS LÄN</t>
        </is>
      </c>
      <c r="E348" t="inlineStr">
        <is>
          <t>MORA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59182-2023</t>
        </is>
      </c>
      <c r="B349" s="1" t="n">
        <v>45253</v>
      </c>
      <c r="C349" s="1" t="n">
        <v>46144</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501-2024</t>
        </is>
      </c>
      <c r="B350" s="1" t="n">
        <v>45299</v>
      </c>
      <c r="C350" s="1" t="n">
        <v>46144</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48926-2025</t>
        </is>
      </c>
      <c r="B351" s="1" t="n">
        <v>45937.50666666667</v>
      </c>
      <c r="C351" s="1" t="n">
        <v>46144</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64327-2023</t>
        </is>
      </c>
      <c r="B352" s="1" t="n">
        <v>45280</v>
      </c>
      <c r="C352" s="1" t="n">
        <v>46144</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49574-2025</t>
        </is>
      </c>
      <c r="B353" s="1" t="n">
        <v>45939.49045138889</v>
      </c>
      <c r="C353" s="1" t="n">
        <v>46144</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49828-2025</t>
        </is>
      </c>
      <c r="B354" s="1" t="n">
        <v>45940.44993055556</v>
      </c>
      <c r="C354" s="1" t="n">
        <v>46144</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17494-2025</t>
        </is>
      </c>
      <c r="B355" s="1" t="n">
        <v>45757.52033564815</v>
      </c>
      <c r="C355" s="1" t="n">
        <v>46144</v>
      </c>
      <c r="D355" t="inlineStr">
        <is>
          <t>DALARNAS LÄN</t>
        </is>
      </c>
      <c r="E355" t="inlineStr">
        <is>
          <t>MORA</t>
        </is>
      </c>
      <c r="G355" t="n">
        <v>5.3</v>
      </c>
      <c r="H355" t="n">
        <v>0</v>
      </c>
      <c r="I355" t="n">
        <v>0</v>
      </c>
      <c r="J355" t="n">
        <v>0</v>
      </c>
      <c r="K355" t="n">
        <v>0</v>
      </c>
      <c r="L355" t="n">
        <v>0</v>
      </c>
      <c r="M355" t="n">
        <v>0</v>
      </c>
      <c r="N355" t="n">
        <v>0</v>
      </c>
      <c r="O355" t="n">
        <v>0</v>
      </c>
      <c r="P355" t="n">
        <v>0</v>
      </c>
      <c r="Q355" t="n">
        <v>0</v>
      </c>
      <c r="R355" s="2" t="inlineStr"/>
    </row>
    <row r="356" ht="15" customHeight="1">
      <c r="A356" t="inlineStr">
        <is>
          <t>A 58958-2022</t>
        </is>
      </c>
      <c r="B356" s="1" t="n">
        <v>44903.6605324074</v>
      </c>
      <c r="C356" s="1" t="n">
        <v>46144</v>
      </c>
      <c r="D356" t="inlineStr">
        <is>
          <t>DALARNAS LÄN</t>
        </is>
      </c>
      <c r="E356" t="inlineStr">
        <is>
          <t>MORA</t>
        </is>
      </c>
      <c r="G356" t="n">
        <v>1.1</v>
      </c>
      <c r="H356" t="n">
        <v>0</v>
      </c>
      <c r="I356" t="n">
        <v>0</v>
      </c>
      <c r="J356" t="n">
        <v>0</v>
      </c>
      <c r="K356" t="n">
        <v>0</v>
      </c>
      <c r="L356" t="n">
        <v>0</v>
      </c>
      <c r="M356" t="n">
        <v>0</v>
      </c>
      <c r="N356" t="n">
        <v>0</v>
      </c>
      <c r="O356" t="n">
        <v>0</v>
      </c>
      <c r="P356" t="n">
        <v>0</v>
      </c>
      <c r="Q356" t="n">
        <v>0</v>
      </c>
      <c r="R356" s="2" t="inlineStr"/>
    </row>
    <row r="357" ht="15" customHeight="1">
      <c r="A357" t="inlineStr">
        <is>
          <t>A 12987-2024</t>
        </is>
      </c>
      <c r="B357" s="1" t="n">
        <v>45385.55375</v>
      </c>
      <c r="C357" s="1" t="n">
        <v>46144</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29188-2023</t>
        </is>
      </c>
      <c r="B358" s="1" t="n">
        <v>45105.54270833333</v>
      </c>
      <c r="C358" s="1" t="n">
        <v>46144</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47686-2025</t>
        </is>
      </c>
      <c r="B359" s="1" t="n">
        <v>45931</v>
      </c>
      <c r="C359" s="1" t="n">
        <v>46144</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442-2024</t>
        </is>
      </c>
      <c r="B360" s="1" t="n">
        <v>45296.60353009259</v>
      </c>
      <c r="C360" s="1" t="n">
        <v>46144</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15172-2025</t>
        </is>
      </c>
      <c r="B361" s="1" t="n">
        <v>45744.50722222222</v>
      </c>
      <c r="C361" s="1" t="n">
        <v>46144</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17278-2025</t>
        </is>
      </c>
      <c r="B362" s="1" t="n">
        <v>45756.56131944444</v>
      </c>
      <c r="C362" s="1" t="n">
        <v>46144</v>
      </c>
      <c r="D362" t="inlineStr">
        <is>
          <t>DALARNAS LÄN</t>
        </is>
      </c>
      <c r="E362" t="inlineStr">
        <is>
          <t>MORA</t>
        </is>
      </c>
      <c r="G362" t="n">
        <v>3</v>
      </c>
      <c r="H362" t="n">
        <v>0</v>
      </c>
      <c r="I362" t="n">
        <v>0</v>
      </c>
      <c r="J362" t="n">
        <v>0</v>
      </c>
      <c r="K362" t="n">
        <v>0</v>
      </c>
      <c r="L362" t="n">
        <v>0</v>
      </c>
      <c r="M362" t="n">
        <v>0</v>
      </c>
      <c r="N362" t="n">
        <v>0</v>
      </c>
      <c r="O362" t="n">
        <v>0</v>
      </c>
      <c r="P362" t="n">
        <v>0</v>
      </c>
      <c r="Q362" t="n">
        <v>0</v>
      </c>
      <c r="R362" s="2" t="inlineStr"/>
    </row>
    <row r="363" ht="15" customHeight="1">
      <c r="A363" t="inlineStr">
        <is>
          <t>A 33627-2024</t>
        </is>
      </c>
      <c r="B363" s="1" t="n">
        <v>45520</v>
      </c>
      <c r="C363" s="1" t="n">
        <v>46144</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60674-2023</t>
        </is>
      </c>
      <c r="B364" s="1" t="n">
        <v>45260.46609953704</v>
      </c>
      <c r="C364" s="1" t="n">
        <v>46144</v>
      </c>
      <c r="D364" t="inlineStr">
        <is>
          <t>DALARNAS LÄN</t>
        </is>
      </c>
      <c r="E364" t="inlineStr">
        <is>
          <t>MORA</t>
        </is>
      </c>
      <c r="G364" t="n">
        <v>2.9</v>
      </c>
      <c r="H364" t="n">
        <v>0</v>
      </c>
      <c r="I364" t="n">
        <v>0</v>
      </c>
      <c r="J364" t="n">
        <v>0</v>
      </c>
      <c r="K364" t="n">
        <v>0</v>
      </c>
      <c r="L364" t="n">
        <v>0</v>
      </c>
      <c r="M364" t="n">
        <v>0</v>
      </c>
      <c r="N364" t="n">
        <v>0</v>
      </c>
      <c r="O364" t="n">
        <v>0</v>
      </c>
      <c r="P364" t="n">
        <v>0</v>
      </c>
      <c r="Q364" t="n">
        <v>0</v>
      </c>
      <c r="R364" s="2" t="inlineStr"/>
    </row>
    <row r="365" ht="15" customHeight="1">
      <c r="A365" t="inlineStr">
        <is>
          <t>A 61293-2022</t>
        </is>
      </c>
      <c r="B365" s="1" t="n">
        <v>44915.62751157407</v>
      </c>
      <c r="C365" s="1" t="n">
        <v>46144</v>
      </c>
      <c r="D365" t="inlineStr">
        <is>
          <t>DALARNAS LÄN</t>
        </is>
      </c>
      <c r="E365" t="inlineStr">
        <is>
          <t>MORA</t>
        </is>
      </c>
      <c r="G365" t="n">
        <v>0.3</v>
      </c>
      <c r="H365" t="n">
        <v>0</v>
      </c>
      <c r="I365" t="n">
        <v>0</v>
      </c>
      <c r="J365" t="n">
        <v>0</v>
      </c>
      <c r="K365" t="n">
        <v>0</v>
      </c>
      <c r="L365" t="n">
        <v>0</v>
      </c>
      <c r="M365" t="n">
        <v>0</v>
      </c>
      <c r="N365" t="n">
        <v>0</v>
      </c>
      <c r="O365" t="n">
        <v>0</v>
      </c>
      <c r="P365" t="n">
        <v>0</v>
      </c>
      <c r="Q365" t="n">
        <v>0</v>
      </c>
      <c r="R365" s="2" t="inlineStr"/>
    </row>
    <row r="366" ht="15" customHeight="1">
      <c r="A366" t="inlineStr">
        <is>
          <t>A 60360-2023</t>
        </is>
      </c>
      <c r="B366" s="1" t="n">
        <v>45259</v>
      </c>
      <c r="C366" s="1" t="n">
        <v>46144</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18139-2025</t>
        </is>
      </c>
      <c r="B367" s="1" t="n">
        <v>45761.60459490741</v>
      </c>
      <c r="C367" s="1" t="n">
        <v>46144</v>
      </c>
      <c r="D367" t="inlineStr">
        <is>
          <t>DALARNAS LÄN</t>
        </is>
      </c>
      <c r="E367" t="inlineStr">
        <is>
          <t>MORA</t>
        </is>
      </c>
      <c r="F367" t="inlineStr">
        <is>
          <t>Bergvik skog öst AB</t>
        </is>
      </c>
      <c r="G367" t="n">
        <v>3</v>
      </c>
      <c r="H367" t="n">
        <v>0</v>
      </c>
      <c r="I367" t="n">
        <v>0</v>
      </c>
      <c r="J367" t="n">
        <v>0</v>
      </c>
      <c r="K367" t="n">
        <v>0</v>
      </c>
      <c r="L367" t="n">
        <v>0</v>
      </c>
      <c r="M367" t="n">
        <v>0</v>
      </c>
      <c r="N367" t="n">
        <v>0</v>
      </c>
      <c r="O367" t="n">
        <v>0</v>
      </c>
      <c r="P367" t="n">
        <v>0</v>
      </c>
      <c r="Q367" t="n">
        <v>0</v>
      </c>
      <c r="R367" s="2" t="inlineStr"/>
    </row>
    <row r="368" ht="15" customHeight="1">
      <c r="A368" t="inlineStr">
        <is>
          <t>A 25499-2024</t>
        </is>
      </c>
      <c r="B368" s="1" t="n">
        <v>45463</v>
      </c>
      <c r="C368" s="1" t="n">
        <v>46144</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61405-2023</t>
        </is>
      </c>
      <c r="B369" s="1" t="n">
        <v>45264.65987268519</v>
      </c>
      <c r="C369" s="1" t="n">
        <v>46144</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57475-2022</t>
        </is>
      </c>
      <c r="B370" s="1" t="n">
        <v>44896</v>
      </c>
      <c r="C370" s="1" t="n">
        <v>46144</v>
      </c>
      <c r="D370" t="inlineStr">
        <is>
          <t>DALARNAS LÄN</t>
        </is>
      </c>
      <c r="E370" t="inlineStr">
        <is>
          <t>MORA</t>
        </is>
      </c>
      <c r="G370" t="n">
        <v>5.7</v>
      </c>
      <c r="H370" t="n">
        <v>0</v>
      </c>
      <c r="I370" t="n">
        <v>0</v>
      </c>
      <c r="J370" t="n">
        <v>0</v>
      </c>
      <c r="K370" t="n">
        <v>0</v>
      </c>
      <c r="L370" t="n">
        <v>0</v>
      </c>
      <c r="M370" t="n">
        <v>0</v>
      </c>
      <c r="N370" t="n">
        <v>0</v>
      </c>
      <c r="O370" t="n">
        <v>0</v>
      </c>
      <c r="P370" t="n">
        <v>0</v>
      </c>
      <c r="Q370" t="n">
        <v>0</v>
      </c>
      <c r="R370" s="2" t="inlineStr"/>
    </row>
    <row r="371" ht="15" customHeight="1">
      <c r="A371" t="inlineStr">
        <is>
          <t>A 52110-2025</t>
        </is>
      </c>
      <c r="B371" s="1" t="n">
        <v>45952.69306712963</v>
      </c>
      <c r="C371" s="1" t="n">
        <v>46144</v>
      </c>
      <c r="D371" t="inlineStr">
        <is>
          <t>DALARNAS LÄN</t>
        </is>
      </c>
      <c r="E371" t="inlineStr">
        <is>
          <t>MORA</t>
        </is>
      </c>
      <c r="G371" t="n">
        <v>2.2</v>
      </c>
      <c r="H371" t="n">
        <v>0</v>
      </c>
      <c r="I371" t="n">
        <v>0</v>
      </c>
      <c r="J371" t="n">
        <v>0</v>
      </c>
      <c r="K371" t="n">
        <v>0</v>
      </c>
      <c r="L371" t="n">
        <v>0</v>
      </c>
      <c r="M371" t="n">
        <v>0</v>
      </c>
      <c r="N371" t="n">
        <v>0</v>
      </c>
      <c r="O371" t="n">
        <v>0</v>
      </c>
      <c r="P371" t="n">
        <v>0</v>
      </c>
      <c r="Q371" t="n">
        <v>0</v>
      </c>
      <c r="R371" s="2" t="inlineStr"/>
    </row>
    <row r="372" ht="15" customHeight="1">
      <c r="A372" t="inlineStr">
        <is>
          <t>A 51771-2025</t>
        </is>
      </c>
      <c r="B372" s="1" t="n">
        <v>45951.64653935185</v>
      </c>
      <c r="C372" s="1" t="n">
        <v>46144</v>
      </c>
      <c r="D372" t="inlineStr">
        <is>
          <t>DALARNAS LÄN</t>
        </is>
      </c>
      <c r="E372" t="inlineStr">
        <is>
          <t>MORA</t>
        </is>
      </c>
      <c r="G372" t="n">
        <v>0.7</v>
      </c>
      <c r="H372" t="n">
        <v>0</v>
      </c>
      <c r="I372" t="n">
        <v>0</v>
      </c>
      <c r="J372" t="n">
        <v>0</v>
      </c>
      <c r="K372" t="n">
        <v>0</v>
      </c>
      <c r="L372" t="n">
        <v>0</v>
      </c>
      <c r="M372" t="n">
        <v>0</v>
      </c>
      <c r="N372" t="n">
        <v>0</v>
      </c>
      <c r="O372" t="n">
        <v>0</v>
      </c>
      <c r="P372" t="n">
        <v>0</v>
      </c>
      <c r="Q372" t="n">
        <v>0</v>
      </c>
      <c r="R372" s="2" t="inlineStr"/>
    </row>
    <row r="373" ht="15" customHeight="1">
      <c r="A373" t="inlineStr">
        <is>
          <t>A 46414-2024</t>
        </is>
      </c>
      <c r="B373" s="1" t="n">
        <v>45582.45226851852</v>
      </c>
      <c r="C373" s="1" t="n">
        <v>46144</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46417-2024</t>
        </is>
      </c>
      <c r="B374" s="1" t="n">
        <v>45582.45449074074</v>
      </c>
      <c r="C374" s="1" t="n">
        <v>46144</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17280-2025</t>
        </is>
      </c>
      <c r="B375" s="1" t="n">
        <v>45756</v>
      </c>
      <c r="C375" s="1" t="n">
        <v>46144</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61270-2024</t>
        </is>
      </c>
      <c r="B376" s="1" t="n">
        <v>45645.74694444444</v>
      </c>
      <c r="C376" s="1" t="n">
        <v>46144</v>
      </c>
      <c r="D376" t="inlineStr">
        <is>
          <t>DALARNAS LÄN</t>
        </is>
      </c>
      <c r="E376" t="inlineStr">
        <is>
          <t>MORA</t>
        </is>
      </c>
      <c r="G376" t="n">
        <v>5.1</v>
      </c>
      <c r="H376" t="n">
        <v>0</v>
      </c>
      <c r="I376" t="n">
        <v>0</v>
      </c>
      <c r="J376" t="n">
        <v>0</v>
      </c>
      <c r="K376" t="n">
        <v>0</v>
      </c>
      <c r="L376" t="n">
        <v>0</v>
      </c>
      <c r="M376" t="n">
        <v>0</v>
      </c>
      <c r="N376" t="n">
        <v>0</v>
      </c>
      <c r="O376" t="n">
        <v>0</v>
      </c>
      <c r="P376" t="n">
        <v>0</v>
      </c>
      <c r="Q376" t="n">
        <v>0</v>
      </c>
      <c r="R376" s="2" t="inlineStr"/>
    </row>
    <row r="377" ht="15" customHeight="1">
      <c r="A377" t="inlineStr">
        <is>
          <t>A 7116-2024</t>
        </is>
      </c>
      <c r="B377" s="1" t="n">
        <v>45343.95445601852</v>
      </c>
      <c r="C377" s="1" t="n">
        <v>46144</v>
      </c>
      <c r="D377" t="inlineStr">
        <is>
          <t>DALARNAS LÄN</t>
        </is>
      </c>
      <c r="E377" t="inlineStr">
        <is>
          <t>MORA</t>
        </is>
      </c>
      <c r="G377" t="n">
        <v>0.3</v>
      </c>
      <c r="H377" t="n">
        <v>0</v>
      </c>
      <c r="I377" t="n">
        <v>0</v>
      </c>
      <c r="J377" t="n">
        <v>0</v>
      </c>
      <c r="K377" t="n">
        <v>0</v>
      </c>
      <c r="L377" t="n">
        <v>0</v>
      </c>
      <c r="M377" t="n">
        <v>0</v>
      </c>
      <c r="N377" t="n">
        <v>0</v>
      </c>
      <c r="O377" t="n">
        <v>0</v>
      </c>
      <c r="P377" t="n">
        <v>0</v>
      </c>
      <c r="Q377" t="n">
        <v>0</v>
      </c>
      <c r="R377" s="2" t="inlineStr"/>
    </row>
    <row r="378" ht="15" customHeight="1">
      <c r="A378" t="inlineStr">
        <is>
          <t>A 59995-2023</t>
        </is>
      </c>
      <c r="B378" s="1" t="n">
        <v>45254</v>
      </c>
      <c r="C378" s="1" t="n">
        <v>46144</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13479-2024</t>
        </is>
      </c>
      <c r="B379" s="1" t="n">
        <v>45387.5900925926</v>
      </c>
      <c r="C379" s="1" t="n">
        <v>46144</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41812-2024</t>
        </is>
      </c>
      <c r="B380" s="1" t="n">
        <v>45561.3771412037</v>
      </c>
      <c r="C380" s="1" t="n">
        <v>46144</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42085-2024</t>
        </is>
      </c>
      <c r="B381" s="1" t="n">
        <v>45562.33179398148</v>
      </c>
      <c r="C381" s="1" t="n">
        <v>46144</v>
      </c>
      <c r="D381" t="inlineStr">
        <is>
          <t>DALARNAS LÄN</t>
        </is>
      </c>
      <c r="E381" t="inlineStr">
        <is>
          <t>MORA</t>
        </is>
      </c>
      <c r="G381" t="n">
        <v>4.9</v>
      </c>
      <c r="H381" t="n">
        <v>0</v>
      </c>
      <c r="I381" t="n">
        <v>0</v>
      </c>
      <c r="J381" t="n">
        <v>0</v>
      </c>
      <c r="K381" t="n">
        <v>0</v>
      </c>
      <c r="L381" t="n">
        <v>0</v>
      </c>
      <c r="M381" t="n">
        <v>0</v>
      </c>
      <c r="N381" t="n">
        <v>0</v>
      </c>
      <c r="O381" t="n">
        <v>0</v>
      </c>
      <c r="P381" t="n">
        <v>0</v>
      </c>
      <c r="Q381" t="n">
        <v>0</v>
      </c>
      <c r="R381" s="2" t="inlineStr"/>
    </row>
    <row r="382" ht="15" customHeight="1">
      <c r="A382" t="inlineStr">
        <is>
          <t>A 52804-2025</t>
        </is>
      </c>
      <c r="B382" s="1" t="n">
        <v>45957.44552083333</v>
      </c>
      <c r="C382" s="1" t="n">
        <v>46144</v>
      </c>
      <c r="D382" t="inlineStr">
        <is>
          <t>DALARNAS LÄN</t>
        </is>
      </c>
      <c r="E382" t="inlineStr">
        <is>
          <t>MORA</t>
        </is>
      </c>
      <c r="G382" t="n">
        <v>2.9</v>
      </c>
      <c r="H382" t="n">
        <v>0</v>
      </c>
      <c r="I382" t="n">
        <v>0</v>
      </c>
      <c r="J382" t="n">
        <v>0</v>
      </c>
      <c r="K382" t="n">
        <v>0</v>
      </c>
      <c r="L382" t="n">
        <v>0</v>
      </c>
      <c r="M382" t="n">
        <v>0</v>
      </c>
      <c r="N382" t="n">
        <v>0</v>
      </c>
      <c r="O382" t="n">
        <v>0</v>
      </c>
      <c r="P382" t="n">
        <v>0</v>
      </c>
      <c r="Q382" t="n">
        <v>0</v>
      </c>
      <c r="R382" s="2" t="inlineStr"/>
    </row>
    <row r="383" ht="15" customHeight="1">
      <c r="A383" t="inlineStr">
        <is>
          <t>A 60465-2023</t>
        </is>
      </c>
      <c r="B383" s="1" t="n">
        <v>45259.57872685185</v>
      </c>
      <c r="C383" s="1" t="n">
        <v>46144</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33676-2023</t>
        </is>
      </c>
      <c r="B384" s="1" t="n">
        <v>45132.6291550926</v>
      </c>
      <c r="C384" s="1" t="n">
        <v>46144</v>
      </c>
      <c r="D384" t="inlineStr">
        <is>
          <t>DALARNAS LÄN</t>
        </is>
      </c>
      <c r="E384" t="inlineStr">
        <is>
          <t>MORA</t>
        </is>
      </c>
      <c r="F384" t="inlineStr">
        <is>
          <t>Bergvik skog öst AB</t>
        </is>
      </c>
      <c r="G384" t="n">
        <v>2.7</v>
      </c>
      <c r="H384" t="n">
        <v>0</v>
      </c>
      <c r="I384" t="n">
        <v>0</v>
      </c>
      <c r="J384" t="n">
        <v>0</v>
      </c>
      <c r="K384" t="n">
        <v>0</v>
      </c>
      <c r="L384" t="n">
        <v>0</v>
      </c>
      <c r="M384" t="n">
        <v>0</v>
      </c>
      <c r="N384" t="n">
        <v>0</v>
      </c>
      <c r="O384" t="n">
        <v>0</v>
      </c>
      <c r="P384" t="n">
        <v>0</v>
      </c>
      <c r="Q384" t="n">
        <v>0</v>
      </c>
      <c r="R384" s="2" t="inlineStr"/>
    </row>
    <row r="385" ht="15" customHeight="1">
      <c r="A385" t="inlineStr">
        <is>
          <t>A 53150-2025</t>
        </is>
      </c>
      <c r="B385" s="1" t="n">
        <v>45958.48280092593</v>
      </c>
      <c r="C385" s="1" t="n">
        <v>46144</v>
      </c>
      <c r="D385" t="inlineStr">
        <is>
          <t>DALARNAS LÄN</t>
        </is>
      </c>
      <c r="E385" t="inlineStr">
        <is>
          <t>MORA</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29193-2023</t>
        </is>
      </c>
      <c r="B386" s="1" t="n">
        <v>45105.54791666667</v>
      </c>
      <c r="C386" s="1" t="n">
        <v>46144</v>
      </c>
      <c r="D386" t="inlineStr">
        <is>
          <t>DALARNAS LÄN</t>
        </is>
      </c>
      <c r="E386" t="inlineStr">
        <is>
          <t>MORA</t>
        </is>
      </c>
      <c r="G386" t="n">
        <v>0.4</v>
      </c>
      <c r="H386" t="n">
        <v>0</v>
      </c>
      <c r="I386" t="n">
        <v>0</v>
      </c>
      <c r="J386" t="n">
        <v>0</v>
      </c>
      <c r="K386" t="n">
        <v>0</v>
      </c>
      <c r="L386" t="n">
        <v>0</v>
      </c>
      <c r="M386" t="n">
        <v>0</v>
      </c>
      <c r="N386" t="n">
        <v>0</v>
      </c>
      <c r="O386" t="n">
        <v>0</v>
      </c>
      <c r="P386" t="n">
        <v>0</v>
      </c>
      <c r="Q386" t="n">
        <v>0</v>
      </c>
      <c r="R386" s="2" t="inlineStr"/>
    </row>
    <row r="387" ht="15" customHeight="1">
      <c r="A387" t="inlineStr">
        <is>
          <t>A 53151-2025</t>
        </is>
      </c>
      <c r="B387" s="1" t="n">
        <v>45958.48611111111</v>
      </c>
      <c r="C387" s="1" t="n">
        <v>46144</v>
      </c>
      <c r="D387" t="inlineStr">
        <is>
          <t>DALARNAS LÄN</t>
        </is>
      </c>
      <c r="E387" t="inlineStr">
        <is>
          <t>MORA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53418-2025</t>
        </is>
      </c>
      <c r="B388" s="1" t="n">
        <v>45959</v>
      </c>
      <c r="C388" s="1" t="n">
        <v>46144</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53591-2025</t>
        </is>
      </c>
      <c r="B389" s="1" t="n">
        <v>45960.43893518519</v>
      </c>
      <c r="C389" s="1" t="n">
        <v>46144</v>
      </c>
      <c r="D389" t="inlineStr">
        <is>
          <t>DALARNAS LÄN</t>
        </is>
      </c>
      <c r="E389" t="inlineStr">
        <is>
          <t>MORA</t>
        </is>
      </c>
      <c r="G389" t="n">
        <v>3.8</v>
      </c>
      <c r="H389" t="n">
        <v>0</v>
      </c>
      <c r="I389" t="n">
        <v>0</v>
      </c>
      <c r="J389" t="n">
        <v>0</v>
      </c>
      <c r="K389" t="n">
        <v>0</v>
      </c>
      <c r="L389" t="n">
        <v>0</v>
      </c>
      <c r="M389" t="n">
        <v>0</v>
      </c>
      <c r="N389" t="n">
        <v>0</v>
      </c>
      <c r="O389" t="n">
        <v>0</v>
      </c>
      <c r="P389" t="n">
        <v>0</v>
      </c>
      <c r="Q389" t="n">
        <v>0</v>
      </c>
      <c r="R389" s="2" t="inlineStr"/>
    </row>
    <row r="390" ht="15" customHeight="1">
      <c r="A390" t="inlineStr">
        <is>
          <t>A 35325-2024</t>
        </is>
      </c>
      <c r="B390" s="1" t="n">
        <v>45530.71158564815</v>
      </c>
      <c r="C390" s="1" t="n">
        <v>46144</v>
      </c>
      <c r="D390" t="inlineStr">
        <is>
          <t>DALARNAS LÄN</t>
        </is>
      </c>
      <c r="E390" t="inlineStr">
        <is>
          <t>MORA</t>
        </is>
      </c>
      <c r="G390" t="n">
        <v>5</v>
      </c>
      <c r="H390" t="n">
        <v>0</v>
      </c>
      <c r="I390" t="n">
        <v>0</v>
      </c>
      <c r="J390" t="n">
        <v>0</v>
      </c>
      <c r="K390" t="n">
        <v>0</v>
      </c>
      <c r="L390" t="n">
        <v>0</v>
      </c>
      <c r="M390" t="n">
        <v>0</v>
      </c>
      <c r="N390" t="n">
        <v>0</v>
      </c>
      <c r="O390" t="n">
        <v>0</v>
      </c>
      <c r="P390" t="n">
        <v>0</v>
      </c>
      <c r="Q390" t="n">
        <v>0</v>
      </c>
      <c r="R390" s="2" t="inlineStr"/>
    </row>
    <row r="391" ht="15" customHeight="1">
      <c r="A391" t="inlineStr">
        <is>
          <t>A 53632-2025</t>
        </is>
      </c>
      <c r="B391" s="1" t="n">
        <v>45960.49972222222</v>
      </c>
      <c r="C391" s="1" t="n">
        <v>46144</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6371-2022</t>
        </is>
      </c>
      <c r="B392" s="1" t="n">
        <v>44600</v>
      </c>
      <c r="C392" s="1" t="n">
        <v>46144</v>
      </c>
      <c r="D392" t="inlineStr">
        <is>
          <t>DALARNAS LÄN</t>
        </is>
      </c>
      <c r="E392" t="inlineStr">
        <is>
          <t>MORA</t>
        </is>
      </c>
      <c r="G392" t="n">
        <v>4.6</v>
      </c>
      <c r="H392" t="n">
        <v>0</v>
      </c>
      <c r="I392" t="n">
        <v>0</v>
      </c>
      <c r="J392" t="n">
        <v>0</v>
      </c>
      <c r="K392" t="n">
        <v>0</v>
      </c>
      <c r="L392" t="n">
        <v>0</v>
      </c>
      <c r="M392" t="n">
        <v>0</v>
      </c>
      <c r="N392" t="n">
        <v>0</v>
      </c>
      <c r="O392" t="n">
        <v>0</v>
      </c>
      <c r="P392" t="n">
        <v>0</v>
      </c>
      <c r="Q392" t="n">
        <v>0</v>
      </c>
      <c r="R392" s="2" t="inlineStr"/>
    </row>
    <row r="393" ht="15" customHeight="1">
      <c r="A393" t="inlineStr">
        <is>
          <t>A 53565-2025</t>
        </is>
      </c>
      <c r="B393" s="1" t="n">
        <v>45960.40711805555</v>
      </c>
      <c r="C393" s="1" t="n">
        <v>46144</v>
      </c>
      <c r="D393" t="inlineStr">
        <is>
          <t>DALARNAS LÄN</t>
        </is>
      </c>
      <c r="E393" t="inlineStr">
        <is>
          <t>MORA</t>
        </is>
      </c>
      <c r="G393" t="n">
        <v>5.1</v>
      </c>
      <c r="H393" t="n">
        <v>0</v>
      </c>
      <c r="I393" t="n">
        <v>0</v>
      </c>
      <c r="J393" t="n">
        <v>0</v>
      </c>
      <c r="K393" t="n">
        <v>0</v>
      </c>
      <c r="L393" t="n">
        <v>0</v>
      </c>
      <c r="M393" t="n">
        <v>0</v>
      </c>
      <c r="N393" t="n">
        <v>0</v>
      </c>
      <c r="O393" t="n">
        <v>0</v>
      </c>
      <c r="P393" t="n">
        <v>0</v>
      </c>
      <c r="Q393" t="n">
        <v>0</v>
      </c>
      <c r="R393" s="2" t="inlineStr"/>
    </row>
    <row r="394" ht="15" customHeight="1">
      <c r="A394" t="inlineStr">
        <is>
          <t>A 53556-2025</t>
        </is>
      </c>
      <c r="B394" s="1" t="n">
        <v>45960.3921875</v>
      </c>
      <c r="C394" s="1" t="n">
        <v>46144</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64093-2023</t>
        </is>
      </c>
      <c r="B395" s="1" t="n">
        <v>45279</v>
      </c>
      <c r="C395" s="1" t="n">
        <v>46144</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53560-2025</t>
        </is>
      </c>
      <c r="B396" s="1" t="n">
        <v>45960.39960648148</v>
      </c>
      <c r="C396" s="1" t="n">
        <v>46144</v>
      </c>
      <c r="D396" t="inlineStr">
        <is>
          <t>DALARNAS LÄN</t>
        </is>
      </c>
      <c r="E396" t="inlineStr">
        <is>
          <t>MORA</t>
        </is>
      </c>
      <c r="G396" t="n">
        <v>5.2</v>
      </c>
      <c r="H396" t="n">
        <v>0</v>
      </c>
      <c r="I396" t="n">
        <v>0</v>
      </c>
      <c r="J396" t="n">
        <v>0</v>
      </c>
      <c r="K396" t="n">
        <v>0</v>
      </c>
      <c r="L396" t="n">
        <v>0</v>
      </c>
      <c r="M396" t="n">
        <v>0</v>
      </c>
      <c r="N396" t="n">
        <v>0</v>
      </c>
      <c r="O396" t="n">
        <v>0</v>
      </c>
      <c r="P396" t="n">
        <v>0</v>
      </c>
      <c r="Q396" t="n">
        <v>0</v>
      </c>
      <c r="R396" s="2" t="inlineStr"/>
    </row>
    <row r="397" ht="15" customHeight="1">
      <c r="A397" t="inlineStr">
        <is>
          <t>A 53562-2025</t>
        </is>
      </c>
      <c r="B397" s="1" t="n">
        <v>45960.40662037037</v>
      </c>
      <c r="C397" s="1" t="n">
        <v>46144</v>
      </c>
      <c r="D397" t="inlineStr">
        <is>
          <t>DALARNAS LÄN</t>
        </is>
      </c>
      <c r="E397" t="inlineStr">
        <is>
          <t>MORA</t>
        </is>
      </c>
      <c r="G397" t="n">
        <v>5.1</v>
      </c>
      <c r="H397" t="n">
        <v>0</v>
      </c>
      <c r="I397" t="n">
        <v>0</v>
      </c>
      <c r="J397" t="n">
        <v>0</v>
      </c>
      <c r="K397" t="n">
        <v>0</v>
      </c>
      <c r="L397" t="n">
        <v>0</v>
      </c>
      <c r="M397" t="n">
        <v>0</v>
      </c>
      <c r="N397" t="n">
        <v>0</v>
      </c>
      <c r="O397" t="n">
        <v>0</v>
      </c>
      <c r="P397" t="n">
        <v>0</v>
      </c>
      <c r="Q397" t="n">
        <v>0</v>
      </c>
      <c r="R397" s="2" t="inlineStr"/>
    </row>
    <row r="398" ht="15" customHeight="1">
      <c r="A398" t="inlineStr">
        <is>
          <t>A 28832-2023</t>
        </is>
      </c>
      <c r="B398" s="1" t="n">
        <v>45104.40493055555</v>
      </c>
      <c r="C398" s="1" t="n">
        <v>46144</v>
      </c>
      <c r="D398" t="inlineStr">
        <is>
          <t>DALARNAS LÄN</t>
        </is>
      </c>
      <c r="E398" t="inlineStr">
        <is>
          <t>MORA</t>
        </is>
      </c>
      <c r="F398" t="inlineStr">
        <is>
          <t>Bergvik skog öst AB</t>
        </is>
      </c>
      <c r="G398" t="n">
        <v>2</v>
      </c>
      <c r="H398" t="n">
        <v>0</v>
      </c>
      <c r="I398" t="n">
        <v>0</v>
      </c>
      <c r="J398" t="n">
        <v>0</v>
      </c>
      <c r="K398" t="n">
        <v>0</v>
      </c>
      <c r="L398" t="n">
        <v>0</v>
      </c>
      <c r="M398" t="n">
        <v>0</v>
      </c>
      <c r="N398" t="n">
        <v>0</v>
      </c>
      <c r="O398" t="n">
        <v>0</v>
      </c>
      <c r="P398" t="n">
        <v>0</v>
      </c>
      <c r="Q398" t="n">
        <v>0</v>
      </c>
      <c r="R398" s="2" t="inlineStr"/>
    </row>
    <row r="399" ht="15" customHeight="1">
      <c r="A399" t="inlineStr">
        <is>
          <t>A 37710-2023</t>
        </is>
      </c>
      <c r="B399" s="1" t="n">
        <v>45159.59186342593</v>
      </c>
      <c r="C399" s="1" t="n">
        <v>46144</v>
      </c>
      <c r="D399" t="inlineStr">
        <is>
          <t>DALARNAS LÄN</t>
        </is>
      </c>
      <c r="E399" t="inlineStr">
        <is>
          <t>MORA</t>
        </is>
      </c>
      <c r="G399" t="n">
        <v>1.9</v>
      </c>
      <c r="H399" t="n">
        <v>0</v>
      </c>
      <c r="I399" t="n">
        <v>0</v>
      </c>
      <c r="J399" t="n">
        <v>0</v>
      </c>
      <c r="K399" t="n">
        <v>0</v>
      </c>
      <c r="L399" t="n">
        <v>0</v>
      </c>
      <c r="M399" t="n">
        <v>0</v>
      </c>
      <c r="N399" t="n">
        <v>0</v>
      </c>
      <c r="O399" t="n">
        <v>0</v>
      </c>
      <c r="P399" t="n">
        <v>0</v>
      </c>
      <c r="Q399" t="n">
        <v>0</v>
      </c>
      <c r="R399" s="2" t="inlineStr"/>
    </row>
    <row r="400" ht="15" customHeight="1">
      <c r="A400" t="inlineStr">
        <is>
          <t>A 27188-2023</t>
        </is>
      </c>
      <c r="B400" s="1" t="n">
        <v>45096</v>
      </c>
      <c r="C400" s="1" t="n">
        <v>46144</v>
      </c>
      <c r="D400" t="inlineStr">
        <is>
          <t>DALARNAS LÄN</t>
        </is>
      </c>
      <c r="E400" t="inlineStr">
        <is>
          <t>MORA</t>
        </is>
      </c>
      <c r="G400" t="n">
        <v>4.8</v>
      </c>
      <c r="H400" t="n">
        <v>0</v>
      </c>
      <c r="I400" t="n">
        <v>0</v>
      </c>
      <c r="J400" t="n">
        <v>0</v>
      </c>
      <c r="K400" t="n">
        <v>0</v>
      </c>
      <c r="L400" t="n">
        <v>0</v>
      </c>
      <c r="M400" t="n">
        <v>0</v>
      </c>
      <c r="N400" t="n">
        <v>0</v>
      </c>
      <c r="O400" t="n">
        <v>0</v>
      </c>
      <c r="P400" t="n">
        <v>0</v>
      </c>
      <c r="Q400" t="n">
        <v>0</v>
      </c>
      <c r="R400" s="2" t="inlineStr"/>
    </row>
    <row r="401" ht="15" customHeight="1">
      <c r="A401" t="inlineStr">
        <is>
          <t>A 31395-2024</t>
        </is>
      </c>
      <c r="B401" s="1" t="n">
        <v>45505.47716435185</v>
      </c>
      <c r="C401" s="1" t="n">
        <v>46144</v>
      </c>
      <c r="D401" t="inlineStr">
        <is>
          <t>DALARNAS LÄN</t>
        </is>
      </c>
      <c r="E401" t="inlineStr">
        <is>
          <t>MORA</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54099-2025</t>
        </is>
      </c>
      <c r="B402" s="1" t="n">
        <v>45964.41665509259</v>
      </c>
      <c r="C402" s="1" t="n">
        <v>46144</v>
      </c>
      <c r="D402" t="inlineStr">
        <is>
          <t>DALARNAS LÄN</t>
        </is>
      </c>
      <c r="E402" t="inlineStr">
        <is>
          <t>MORA</t>
        </is>
      </c>
      <c r="G402" t="n">
        <v>5.3</v>
      </c>
      <c r="H402" t="n">
        <v>0</v>
      </c>
      <c r="I402" t="n">
        <v>0</v>
      </c>
      <c r="J402" t="n">
        <v>0</v>
      </c>
      <c r="K402" t="n">
        <v>0</v>
      </c>
      <c r="L402" t="n">
        <v>0</v>
      </c>
      <c r="M402" t="n">
        <v>0</v>
      </c>
      <c r="N402" t="n">
        <v>0</v>
      </c>
      <c r="O402" t="n">
        <v>0</v>
      </c>
      <c r="P402" t="n">
        <v>0</v>
      </c>
      <c r="Q402" t="n">
        <v>0</v>
      </c>
      <c r="R402" s="2" t="inlineStr"/>
    </row>
    <row r="403" ht="15" customHeight="1">
      <c r="A403" t="inlineStr">
        <is>
          <t>A 53982-2025</t>
        </is>
      </c>
      <c r="B403" s="1" t="n">
        <v>45961.57019675926</v>
      </c>
      <c r="C403" s="1" t="n">
        <v>46144</v>
      </c>
      <c r="D403" t="inlineStr">
        <is>
          <t>DALARNAS LÄN</t>
        </is>
      </c>
      <c r="E403" t="inlineStr">
        <is>
          <t>MORA</t>
        </is>
      </c>
      <c r="G403" t="n">
        <v>0.8</v>
      </c>
      <c r="H403" t="n">
        <v>0</v>
      </c>
      <c r="I403" t="n">
        <v>0</v>
      </c>
      <c r="J403" t="n">
        <v>0</v>
      </c>
      <c r="K403" t="n">
        <v>0</v>
      </c>
      <c r="L403" t="n">
        <v>0</v>
      </c>
      <c r="M403" t="n">
        <v>0</v>
      </c>
      <c r="N403" t="n">
        <v>0</v>
      </c>
      <c r="O403" t="n">
        <v>0</v>
      </c>
      <c r="P403" t="n">
        <v>0</v>
      </c>
      <c r="Q403" t="n">
        <v>0</v>
      </c>
      <c r="R403" s="2" t="inlineStr"/>
    </row>
    <row r="404" ht="15" customHeight="1">
      <c r="A404" t="inlineStr">
        <is>
          <t>A 54504-2025</t>
        </is>
      </c>
      <c r="B404" s="1" t="n">
        <v>45965.61686342592</v>
      </c>
      <c r="C404" s="1" t="n">
        <v>46144</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38055-2024</t>
        </is>
      </c>
      <c r="B405" s="1" t="n">
        <v>45544</v>
      </c>
      <c r="C405" s="1" t="n">
        <v>46144</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35327-2024</t>
        </is>
      </c>
      <c r="B406" s="1" t="n">
        <v>45530.71334490741</v>
      </c>
      <c r="C406" s="1" t="n">
        <v>46144</v>
      </c>
      <c r="D406" t="inlineStr">
        <is>
          <t>DALARNAS LÄN</t>
        </is>
      </c>
      <c r="E406" t="inlineStr">
        <is>
          <t>MORA</t>
        </is>
      </c>
      <c r="G406" t="n">
        <v>5</v>
      </c>
      <c r="H406" t="n">
        <v>0</v>
      </c>
      <c r="I406" t="n">
        <v>0</v>
      </c>
      <c r="J406" t="n">
        <v>0</v>
      </c>
      <c r="K406" t="n">
        <v>0</v>
      </c>
      <c r="L406" t="n">
        <v>0</v>
      </c>
      <c r="M406" t="n">
        <v>0</v>
      </c>
      <c r="N406" t="n">
        <v>0</v>
      </c>
      <c r="O406" t="n">
        <v>0</v>
      </c>
      <c r="P406" t="n">
        <v>0</v>
      </c>
      <c r="Q406" t="n">
        <v>0</v>
      </c>
      <c r="R406" s="2" t="inlineStr"/>
    </row>
    <row r="407" ht="15" customHeight="1">
      <c r="A407" t="inlineStr">
        <is>
          <t>A 54367-2025</t>
        </is>
      </c>
      <c r="B407" s="1" t="n">
        <v>45965.4031712963</v>
      </c>
      <c r="C407" s="1" t="n">
        <v>46144</v>
      </c>
      <c r="D407" t="inlineStr">
        <is>
          <t>DALARNAS LÄN</t>
        </is>
      </c>
      <c r="E407" t="inlineStr">
        <is>
          <t>MORA</t>
        </is>
      </c>
      <c r="G407" t="n">
        <v>7</v>
      </c>
      <c r="H407" t="n">
        <v>0</v>
      </c>
      <c r="I407" t="n">
        <v>0</v>
      </c>
      <c r="J407" t="n">
        <v>0</v>
      </c>
      <c r="K407" t="n">
        <v>0</v>
      </c>
      <c r="L407" t="n">
        <v>0</v>
      </c>
      <c r="M407" t="n">
        <v>0</v>
      </c>
      <c r="N407" t="n">
        <v>0</v>
      </c>
      <c r="O407" t="n">
        <v>0</v>
      </c>
      <c r="P407" t="n">
        <v>0</v>
      </c>
      <c r="Q407" t="n">
        <v>0</v>
      </c>
      <c r="R407" s="2" t="inlineStr"/>
    </row>
    <row r="408" ht="15" customHeight="1">
      <c r="A408" t="inlineStr">
        <is>
          <t>A 5486-2023</t>
        </is>
      </c>
      <c r="B408" s="1" t="n">
        <v>44957</v>
      </c>
      <c r="C408" s="1" t="n">
        <v>46144</v>
      </c>
      <c r="D408" t="inlineStr">
        <is>
          <t>DALARNAS LÄN</t>
        </is>
      </c>
      <c r="E408" t="inlineStr">
        <is>
          <t>MORA</t>
        </is>
      </c>
      <c r="G408" t="n">
        <v>3.2</v>
      </c>
      <c r="H408" t="n">
        <v>0</v>
      </c>
      <c r="I408" t="n">
        <v>0</v>
      </c>
      <c r="J408" t="n">
        <v>0</v>
      </c>
      <c r="K408" t="n">
        <v>0</v>
      </c>
      <c r="L408" t="n">
        <v>0</v>
      </c>
      <c r="M408" t="n">
        <v>0</v>
      </c>
      <c r="N408" t="n">
        <v>0</v>
      </c>
      <c r="O408" t="n">
        <v>0</v>
      </c>
      <c r="P408" t="n">
        <v>0</v>
      </c>
      <c r="Q408" t="n">
        <v>0</v>
      </c>
      <c r="R408" s="2" t="inlineStr"/>
    </row>
    <row r="409" ht="15" customHeight="1">
      <c r="A409" t="inlineStr">
        <is>
          <t>A 54508-2025</t>
        </is>
      </c>
      <c r="B409" s="1" t="n">
        <v>45965.61844907407</v>
      </c>
      <c r="C409" s="1" t="n">
        <v>46144</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46129-2024</t>
        </is>
      </c>
      <c r="B410" s="1" t="n">
        <v>45581.43337962963</v>
      </c>
      <c r="C410" s="1" t="n">
        <v>46144</v>
      </c>
      <c r="D410" t="inlineStr">
        <is>
          <t>DALARNAS LÄN</t>
        </is>
      </c>
      <c r="E410" t="inlineStr">
        <is>
          <t>MORA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28934-2023</t>
        </is>
      </c>
      <c r="B411" s="1" t="n">
        <v>45104</v>
      </c>
      <c r="C411" s="1" t="n">
        <v>46144</v>
      </c>
      <c r="D411" t="inlineStr">
        <is>
          <t>DALARNAS LÄN</t>
        </is>
      </c>
      <c r="E411" t="inlineStr">
        <is>
          <t>MORA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31929-2024</t>
        </is>
      </c>
      <c r="B412" s="1" t="n">
        <v>45510.40587962963</v>
      </c>
      <c r="C412" s="1" t="n">
        <v>46144</v>
      </c>
      <c r="D412" t="inlineStr">
        <is>
          <t>DALARNAS LÄN</t>
        </is>
      </c>
      <c r="E412" t="inlineStr">
        <is>
          <t>MORA</t>
        </is>
      </c>
      <c r="G412" t="n">
        <v>10.8</v>
      </c>
      <c r="H412" t="n">
        <v>0</v>
      </c>
      <c r="I412" t="n">
        <v>0</v>
      </c>
      <c r="J412" t="n">
        <v>0</v>
      </c>
      <c r="K412" t="n">
        <v>0</v>
      </c>
      <c r="L412" t="n">
        <v>0</v>
      </c>
      <c r="M412" t="n">
        <v>0</v>
      </c>
      <c r="N412" t="n">
        <v>0</v>
      </c>
      <c r="O412" t="n">
        <v>0</v>
      </c>
      <c r="P412" t="n">
        <v>0</v>
      </c>
      <c r="Q412" t="n">
        <v>0</v>
      </c>
      <c r="R412" s="2" t="inlineStr"/>
    </row>
    <row r="413" ht="15" customHeight="1">
      <c r="A413" t="inlineStr">
        <is>
          <t>A 54518-2025</t>
        </is>
      </c>
      <c r="B413" s="1" t="n">
        <v>45965.62608796296</v>
      </c>
      <c r="C413" s="1" t="n">
        <v>46144</v>
      </c>
      <c r="D413" t="inlineStr">
        <is>
          <t>DALARNAS LÄN</t>
        </is>
      </c>
      <c r="E413" t="inlineStr">
        <is>
          <t>MORA</t>
        </is>
      </c>
      <c r="G413" t="n">
        <v>7.1</v>
      </c>
      <c r="H413" t="n">
        <v>0</v>
      </c>
      <c r="I413" t="n">
        <v>0</v>
      </c>
      <c r="J413" t="n">
        <v>0</v>
      </c>
      <c r="K413" t="n">
        <v>0</v>
      </c>
      <c r="L413" t="n">
        <v>0</v>
      </c>
      <c r="M413" t="n">
        <v>0</v>
      </c>
      <c r="N413" t="n">
        <v>0</v>
      </c>
      <c r="O413" t="n">
        <v>0</v>
      </c>
      <c r="P413" t="n">
        <v>0</v>
      </c>
      <c r="Q413" t="n">
        <v>0</v>
      </c>
      <c r="R413" s="2" t="inlineStr"/>
    </row>
    <row r="414" ht="15" customHeight="1">
      <c r="A414" t="inlineStr">
        <is>
          <t>A 55262-2025</t>
        </is>
      </c>
      <c r="B414" s="1" t="n">
        <v>45968.64847222222</v>
      </c>
      <c r="C414" s="1" t="n">
        <v>46144</v>
      </c>
      <c r="D414" t="inlineStr">
        <is>
          <t>DALARNAS LÄN</t>
        </is>
      </c>
      <c r="E414" t="inlineStr">
        <is>
          <t>MORA</t>
        </is>
      </c>
      <c r="G414" t="n">
        <v>1.2</v>
      </c>
      <c r="H414" t="n">
        <v>0</v>
      </c>
      <c r="I414" t="n">
        <v>0</v>
      </c>
      <c r="J414" t="n">
        <v>0</v>
      </c>
      <c r="K414" t="n">
        <v>0</v>
      </c>
      <c r="L414" t="n">
        <v>0</v>
      </c>
      <c r="M414" t="n">
        <v>0</v>
      </c>
      <c r="N414" t="n">
        <v>0</v>
      </c>
      <c r="O414" t="n">
        <v>0</v>
      </c>
      <c r="P414" t="n">
        <v>0</v>
      </c>
      <c r="Q414" t="n">
        <v>0</v>
      </c>
      <c r="R414" s="2" t="inlineStr"/>
    </row>
    <row r="415" ht="15" customHeight="1">
      <c r="A415" t="inlineStr">
        <is>
          <t>A 54919-2025</t>
        </is>
      </c>
      <c r="B415" s="1" t="n">
        <v>45967.38884259259</v>
      </c>
      <c r="C415" s="1" t="n">
        <v>46144</v>
      </c>
      <c r="D415" t="inlineStr">
        <is>
          <t>DALARNAS LÄN</t>
        </is>
      </c>
      <c r="E415" t="inlineStr">
        <is>
          <t>MORA</t>
        </is>
      </c>
      <c r="F415" t="inlineStr">
        <is>
          <t>Bergvik skog väst AB</t>
        </is>
      </c>
      <c r="G415" t="n">
        <v>5.6</v>
      </c>
      <c r="H415" t="n">
        <v>0</v>
      </c>
      <c r="I415" t="n">
        <v>0</v>
      </c>
      <c r="J415" t="n">
        <v>0</v>
      </c>
      <c r="K415" t="n">
        <v>0</v>
      </c>
      <c r="L415" t="n">
        <v>0</v>
      </c>
      <c r="M415" t="n">
        <v>0</v>
      </c>
      <c r="N415" t="n">
        <v>0</v>
      </c>
      <c r="O415" t="n">
        <v>0</v>
      </c>
      <c r="P415" t="n">
        <v>0</v>
      </c>
      <c r="Q415" t="n">
        <v>0</v>
      </c>
      <c r="R415" s="2" t="inlineStr"/>
    </row>
    <row r="416" ht="15" customHeight="1">
      <c r="A416" t="inlineStr">
        <is>
          <t>A 55124-2025</t>
        </is>
      </c>
      <c r="B416" s="1" t="n">
        <v>45968.40621527778</v>
      </c>
      <c r="C416" s="1" t="n">
        <v>46144</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55123-2025</t>
        </is>
      </c>
      <c r="B417" s="1" t="n">
        <v>45968.40056712963</v>
      </c>
      <c r="C417" s="1" t="n">
        <v>46144</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54868-2025</t>
        </is>
      </c>
      <c r="B418" s="1" t="n">
        <v>45966.85649305556</v>
      </c>
      <c r="C418" s="1" t="n">
        <v>46144</v>
      </c>
      <c r="D418" t="inlineStr">
        <is>
          <t>DALARNAS LÄN</t>
        </is>
      </c>
      <c r="E418" t="inlineStr">
        <is>
          <t>MORA</t>
        </is>
      </c>
      <c r="F418" t="inlineStr">
        <is>
          <t>Bergvik skog väst AB</t>
        </is>
      </c>
      <c r="G418" t="n">
        <v>5.6</v>
      </c>
      <c r="H418" t="n">
        <v>0</v>
      </c>
      <c r="I418" t="n">
        <v>0</v>
      </c>
      <c r="J418" t="n">
        <v>0</v>
      </c>
      <c r="K418" t="n">
        <v>0</v>
      </c>
      <c r="L418" t="n">
        <v>0</v>
      </c>
      <c r="M418" t="n">
        <v>0</v>
      </c>
      <c r="N418" t="n">
        <v>0</v>
      </c>
      <c r="O418" t="n">
        <v>0</v>
      </c>
      <c r="P418" t="n">
        <v>0</v>
      </c>
      <c r="Q418" t="n">
        <v>0</v>
      </c>
      <c r="R418" s="2" t="inlineStr"/>
    </row>
    <row r="419" ht="15" customHeight="1">
      <c r="A419" t="inlineStr">
        <is>
          <t>A 54909-2025</t>
        </is>
      </c>
      <c r="B419" s="1" t="n">
        <v>45967.374375</v>
      </c>
      <c r="C419" s="1" t="n">
        <v>46144</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54905-2025</t>
        </is>
      </c>
      <c r="B420" s="1" t="n">
        <v>45967.3700462963</v>
      </c>
      <c r="C420" s="1" t="n">
        <v>46144</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54910-2025</t>
        </is>
      </c>
      <c r="B421" s="1" t="n">
        <v>45967.37679398148</v>
      </c>
      <c r="C421" s="1" t="n">
        <v>46144</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54862-2025</t>
        </is>
      </c>
      <c r="B422" s="1" t="n">
        <v>45966.76542824074</v>
      </c>
      <c r="C422" s="1" t="n">
        <v>46144</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36600-2023</t>
        </is>
      </c>
      <c r="B423" s="1" t="n">
        <v>45153</v>
      </c>
      <c r="C423" s="1" t="n">
        <v>46144</v>
      </c>
      <c r="D423" t="inlineStr">
        <is>
          <t>DALARNAS LÄN</t>
        </is>
      </c>
      <c r="E423" t="inlineStr">
        <is>
          <t>MORA</t>
        </is>
      </c>
      <c r="G423" t="n">
        <v>7.3</v>
      </c>
      <c r="H423" t="n">
        <v>0</v>
      </c>
      <c r="I423" t="n">
        <v>0</v>
      </c>
      <c r="J423" t="n">
        <v>0</v>
      </c>
      <c r="K423" t="n">
        <v>0</v>
      </c>
      <c r="L423" t="n">
        <v>0</v>
      </c>
      <c r="M423" t="n">
        <v>0</v>
      </c>
      <c r="N423" t="n">
        <v>0</v>
      </c>
      <c r="O423" t="n">
        <v>0</v>
      </c>
      <c r="P423" t="n">
        <v>0</v>
      </c>
      <c r="Q423" t="n">
        <v>0</v>
      </c>
      <c r="R423" s="2" t="inlineStr"/>
    </row>
    <row r="424" ht="15" customHeight="1">
      <c r="A424" t="inlineStr">
        <is>
          <t>A 42943-2024</t>
        </is>
      </c>
      <c r="B424" s="1" t="n">
        <v>45567.35359953704</v>
      </c>
      <c r="C424" s="1" t="n">
        <v>46144</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4489-2022</t>
        </is>
      </c>
      <c r="B425" s="1" t="n">
        <v>44589</v>
      </c>
      <c r="C425" s="1" t="n">
        <v>46144</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5418-2025</t>
        </is>
      </c>
      <c r="B426" s="1" t="n">
        <v>45692.68561342593</v>
      </c>
      <c r="C426" s="1" t="n">
        <v>46144</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19842-2025</t>
        </is>
      </c>
      <c r="B427" s="1" t="n">
        <v>45771.47938657407</v>
      </c>
      <c r="C427" s="1" t="n">
        <v>46144</v>
      </c>
      <c r="D427" t="inlineStr">
        <is>
          <t>DALARNAS LÄN</t>
        </is>
      </c>
      <c r="E427" t="inlineStr">
        <is>
          <t>MORA</t>
        </is>
      </c>
      <c r="G427" t="n">
        <v>1.9</v>
      </c>
      <c r="H427" t="n">
        <v>0</v>
      </c>
      <c r="I427" t="n">
        <v>0</v>
      </c>
      <c r="J427" t="n">
        <v>0</v>
      </c>
      <c r="K427" t="n">
        <v>0</v>
      </c>
      <c r="L427" t="n">
        <v>0</v>
      </c>
      <c r="M427" t="n">
        <v>0</v>
      </c>
      <c r="N427" t="n">
        <v>0</v>
      </c>
      <c r="O427" t="n">
        <v>0</v>
      </c>
      <c r="P427" t="n">
        <v>0</v>
      </c>
      <c r="Q427" t="n">
        <v>0</v>
      </c>
      <c r="R427" s="2" t="inlineStr"/>
    </row>
    <row r="428" ht="15" customHeight="1">
      <c r="A428" t="inlineStr">
        <is>
          <t>A 18134-2025</t>
        </is>
      </c>
      <c r="B428" s="1" t="n">
        <v>45761.60189814815</v>
      </c>
      <c r="C428" s="1" t="n">
        <v>46144</v>
      </c>
      <c r="D428" t="inlineStr">
        <is>
          <t>DALARNAS LÄN</t>
        </is>
      </c>
      <c r="E428" t="inlineStr">
        <is>
          <t>MORA</t>
        </is>
      </c>
      <c r="F428" t="inlineStr">
        <is>
          <t>Bergvik skog öst AB</t>
        </is>
      </c>
      <c r="G428" t="n">
        <v>0.9</v>
      </c>
      <c r="H428" t="n">
        <v>0</v>
      </c>
      <c r="I428" t="n">
        <v>0</v>
      </c>
      <c r="J428" t="n">
        <v>0</v>
      </c>
      <c r="K428" t="n">
        <v>0</v>
      </c>
      <c r="L428" t="n">
        <v>0</v>
      </c>
      <c r="M428" t="n">
        <v>0</v>
      </c>
      <c r="N428" t="n">
        <v>0</v>
      </c>
      <c r="O428" t="n">
        <v>0</v>
      </c>
      <c r="P428" t="n">
        <v>0</v>
      </c>
      <c r="Q428" t="n">
        <v>0</v>
      </c>
      <c r="R428" s="2" t="inlineStr"/>
    </row>
    <row r="429" ht="15" customHeight="1">
      <c r="A429" t="inlineStr">
        <is>
          <t>A 55284-2025</t>
        </is>
      </c>
      <c r="B429" s="1" t="n">
        <v>45968.8227662037</v>
      </c>
      <c r="C429" s="1" t="n">
        <v>46144</v>
      </c>
      <c r="D429" t="inlineStr">
        <is>
          <t>DALARNAS LÄN</t>
        </is>
      </c>
      <c r="E429" t="inlineStr">
        <is>
          <t>MORA</t>
        </is>
      </c>
      <c r="G429" t="n">
        <v>2</v>
      </c>
      <c r="H429" t="n">
        <v>0</v>
      </c>
      <c r="I429" t="n">
        <v>0</v>
      </c>
      <c r="J429" t="n">
        <v>0</v>
      </c>
      <c r="K429" t="n">
        <v>0</v>
      </c>
      <c r="L429" t="n">
        <v>0</v>
      </c>
      <c r="M429" t="n">
        <v>0</v>
      </c>
      <c r="N429" t="n">
        <v>0</v>
      </c>
      <c r="O429" t="n">
        <v>0</v>
      </c>
      <c r="P429" t="n">
        <v>0</v>
      </c>
      <c r="Q429" t="n">
        <v>0</v>
      </c>
      <c r="R429" s="2" t="inlineStr"/>
    </row>
    <row r="430" ht="15" customHeight="1">
      <c r="A430" t="inlineStr">
        <is>
          <t>A 61249-2023</t>
        </is>
      </c>
      <c r="B430" s="1" t="n">
        <v>45264</v>
      </c>
      <c r="C430" s="1" t="n">
        <v>46144</v>
      </c>
      <c r="D430" t="inlineStr">
        <is>
          <t>DALARNAS LÄN</t>
        </is>
      </c>
      <c r="E430" t="inlineStr">
        <is>
          <t>MORA</t>
        </is>
      </c>
      <c r="F430" t="inlineStr">
        <is>
          <t>Allmännings- och besparingsskogar</t>
        </is>
      </c>
      <c r="G430" t="n">
        <v>1.7</v>
      </c>
      <c r="H430" t="n">
        <v>0</v>
      </c>
      <c r="I430" t="n">
        <v>0</v>
      </c>
      <c r="J430" t="n">
        <v>0</v>
      </c>
      <c r="K430" t="n">
        <v>0</v>
      </c>
      <c r="L430" t="n">
        <v>0</v>
      </c>
      <c r="M430" t="n">
        <v>0</v>
      </c>
      <c r="N430" t="n">
        <v>0</v>
      </c>
      <c r="O430" t="n">
        <v>0</v>
      </c>
      <c r="P430" t="n">
        <v>0</v>
      </c>
      <c r="Q430" t="n">
        <v>0</v>
      </c>
      <c r="R430" s="2" t="inlineStr"/>
    </row>
    <row r="431" ht="15" customHeight="1">
      <c r="A431" t="inlineStr">
        <is>
          <t>A 16733-2024</t>
        </is>
      </c>
      <c r="B431" s="1" t="n">
        <v>45410.78502314815</v>
      </c>
      <c r="C431" s="1" t="n">
        <v>46144</v>
      </c>
      <c r="D431" t="inlineStr">
        <is>
          <t>DALARNAS LÄN</t>
        </is>
      </c>
      <c r="E431" t="inlineStr">
        <is>
          <t>MORA</t>
        </is>
      </c>
      <c r="G431" t="n">
        <v>6.3</v>
      </c>
      <c r="H431" t="n">
        <v>0</v>
      </c>
      <c r="I431" t="n">
        <v>0</v>
      </c>
      <c r="J431" t="n">
        <v>0</v>
      </c>
      <c r="K431" t="n">
        <v>0</v>
      </c>
      <c r="L431" t="n">
        <v>0</v>
      </c>
      <c r="M431" t="n">
        <v>0</v>
      </c>
      <c r="N431" t="n">
        <v>0</v>
      </c>
      <c r="O431" t="n">
        <v>0</v>
      </c>
      <c r="P431" t="n">
        <v>0</v>
      </c>
      <c r="Q431" t="n">
        <v>0</v>
      </c>
      <c r="R431" s="2" t="inlineStr"/>
    </row>
    <row r="432" ht="15" customHeight="1">
      <c r="A432" t="inlineStr">
        <is>
          <t>A 53159-2024</t>
        </is>
      </c>
      <c r="B432" s="1" t="n">
        <v>45611.63849537037</v>
      </c>
      <c r="C432" s="1" t="n">
        <v>46144</v>
      </c>
      <c r="D432" t="inlineStr">
        <is>
          <t>DALARNAS LÄN</t>
        </is>
      </c>
      <c r="E432" t="inlineStr">
        <is>
          <t>MORA</t>
        </is>
      </c>
      <c r="G432" t="n">
        <v>3.3</v>
      </c>
      <c r="H432" t="n">
        <v>0</v>
      </c>
      <c r="I432" t="n">
        <v>0</v>
      </c>
      <c r="J432" t="n">
        <v>0</v>
      </c>
      <c r="K432" t="n">
        <v>0</v>
      </c>
      <c r="L432" t="n">
        <v>0</v>
      </c>
      <c r="M432" t="n">
        <v>0</v>
      </c>
      <c r="N432" t="n">
        <v>0</v>
      </c>
      <c r="O432" t="n">
        <v>0</v>
      </c>
      <c r="P432" t="n">
        <v>0</v>
      </c>
      <c r="Q432" t="n">
        <v>0</v>
      </c>
      <c r="R432" s="2" t="inlineStr"/>
    </row>
    <row r="433" ht="15" customHeight="1">
      <c r="A433" t="inlineStr">
        <is>
          <t>A 60187-2024</t>
        </is>
      </c>
      <c r="B433" s="1" t="n">
        <v>45642.64803240741</v>
      </c>
      <c r="C433" s="1" t="n">
        <v>46144</v>
      </c>
      <c r="D433" t="inlineStr">
        <is>
          <t>DALARNAS LÄN</t>
        </is>
      </c>
      <c r="E433" t="inlineStr">
        <is>
          <t>MORA</t>
        </is>
      </c>
      <c r="F433" t="inlineStr">
        <is>
          <t>Allmännings- och besparingsskogar</t>
        </is>
      </c>
      <c r="G433" t="n">
        <v>24.6</v>
      </c>
      <c r="H433" t="n">
        <v>0</v>
      </c>
      <c r="I433" t="n">
        <v>0</v>
      </c>
      <c r="J433" t="n">
        <v>0</v>
      </c>
      <c r="K433" t="n">
        <v>0</v>
      </c>
      <c r="L433" t="n">
        <v>0</v>
      </c>
      <c r="M433" t="n">
        <v>0</v>
      </c>
      <c r="N433" t="n">
        <v>0</v>
      </c>
      <c r="O433" t="n">
        <v>0</v>
      </c>
      <c r="P433" t="n">
        <v>0</v>
      </c>
      <c r="Q433" t="n">
        <v>0</v>
      </c>
      <c r="R433" s="2" t="inlineStr"/>
    </row>
    <row r="434" ht="15" customHeight="1">
      <c r="A434" t="inlineStr">
        <is>
          <t>A 15435-2024</t>
        </is>
      </c>
      <c r="B434" s="1" t="n">
        <v>45401.40806712963</v>
      </c>
      <c r="C434" s="1" t="n">
        <v>46144</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51965-2024</t>
        </is>
      </c>
      <c r="B435" s="1" t="n">
        <v>45607.65123842593</v>
      </c>
      <c r="C435" s="1" t="n">
        <v>46144</v>
      </c>
      <c r="D435" t="inlineStr">
        <is>
          <t>DALARNAS LÄN</t>
        </is>
      </c>
      <c r="E435" t="inlineStr">
        <is>
          <t>MORA</t>
        </is>
      </c>
      <c r="G435" t="n">
        <v>1.3</v>
      </c>
      <c r="H435" t="n">
        <v>0</v>
      </c>
      <c r="I435" t="n">
        <v>0</v>
      </c>
      <c r="J435" t="n">
        <v>0</v>
      </c>
      <c r="K435" t="n">
        <v>0</v>
      </c>
      <c r="L435" t="n">
        <v>0</v>
      </c>
      <c r="M435" t="n">
        <v>0</v>
      </c>
      <c r="N435" t="n">
        <v>0</v>
      </c>
      <c r="O435" t="n">
        <v>0</v>
      </c>
      <c r="P435" t="n">
        <v>0</v>
      </c>
      <c r="Q435" t="n">
        <v>0</v>
      </c>
      <c r="R435" s="2" t="inlineStr"/>
    </row>
    <row r="436" ht="15" customHeight="1">
      <c r="A436" t="inlineStr">
        <is>
          <t>A 56702-2025</t>
        </is>
      </c>
      <c r="B436" s="1" t="n">
        <v>45977.45586805556</v>
      </c>
      <c r="C436" s="1" t="n">
        <v>46144</v>
      </c>
      <c r="D436" t="inlineStr">
        <is>
          <t>DALARNAS LÄN</t>
        </is>
      </c>
      <c r="E436" t="inlineStr">
        <is>
          <t>MORA</t>
        </is>
      </c>
      <c r="G436" t="n">
        <v>2.2</v>
      </c>
      <c r="H436" t="n">
        <v>0</v>
      </c>
      <c r="I436" t="n">
        <v>0</v>
      </c>
      <c r="J436" t="n">
        <v>0</v>
      </c>
      <c r="K436" t="n">
        <v>0</v>
      </c>
      <c r="L436" t="n">
        <v>0</v>
      </c>
      <c r="M436" t="n">
        <v>0</v>
      </c>
      <c r="N436" t="n">
        <v>0</v>
      </c>
      <c r="O436" t="n">
        <v>0</v>
      </c>
      <c r="P436" t="n">
        <v>0</v>
      </c>
      <c r="Q436" t="n">
        <v>0</v>
      </c>
      <c r="R436" s="2" t="inlineStr"/>
    </row>
    <row r="437" ht="15" customHeight="1">
      <c r="A437" t="inlineStr">
        <is>
          <t>A 57101-2025</t>
        </is>
      </c>
      <c r="B437" s="1" t="n">
        <v>45979.44006944444</v>
      </c>
      <c r="C437" s="1" t="n">
        <v>46144</v>
      </c>
      <c r="D437" t="inlineStr">
        <is>
          <t>DALARNAS LÄN</t>
        </is>
      </c>
      <c r="E437" t="inlineStr">
        <is>
          <t>MORA</t>
        </is>
      </c>
      <c r="G437" t="n">
        <v>7.5</v>
      </c>
      <c r="H437" t="n">
        <v>0</v>
      </c>
      <c r="I437" t="n">
        <v>0</v>
      </c>
      <c r="J437" t="n">
        <v>0</v>
      </c>
      <c r="K437" t="n">
        <v>0</v>
      </c>
      <c r="L437" t="n">
        <v>0</v>
      </c>
      <c r="M437" t="n">
        <v>0</v>
      </c>
      <c r="N437" t="n">
        <v>0</v>
      </c>
      <c r="O437" t="n">
        <v>0</v>
      </c>
      <c r="P437" t="n">
        <v>0</v>
      </c>
      <c r="Q437" t="n">
        <v>0</v>
      </c>
      <c r="R437" s="2" t="inlineStr"/>
    </row>
    <row r="438" ht="15" customHeight="1">
      <c r="A438" t="inlineStr">
        <is>
          <t>A 57453-2025</t>
        </is>
      </c>
      <c r="B438" s="1" t="n">
        <v>45980.5122337963</v>
      </c>
      <c r="C438" s="1" t="n">
        <v>46144</v>
      </c>
      <c r="D438" t="inlineStr">
        <is>
          <t>DALARNAS LÄN</t>
        </is>
      </c>
      <c r="E438" t="inlineStr">
        <is>
          <t>MORA</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57097-2025</t>
        </is>
      </c>
      <c r="B439" s="1" t="n">
        <v>45979.43388888889</v>
      </c>
      <c r="C439" s="1" t="n">
        <v>46144</v>
      </c>
      <c r="D439" t="inlineStr">
        <is>
          <t>DALARNAS LÄN</t>
        </is>
      </c>
      <c r="E439" t="inlineStr">
        <is>
          <t>MORA</t>
        </is>
      </c>
      <c r="G439" t="n">
        <v>7.5</v>
      </c>
      <c r="H439" t="n">
        <v>0</v>
      </c>
      <c r="I439" t="n">
        <v>0</v>
      </c>
      <c r="J439" t="n">
        <v>0</v>
      </c>
      <c r="K439" t="n">
        <v>0</v>
      </c>
      <c r="L439" t="n">
        <v>0</v>
      </c>
      <c r="M439" t="n">
        <v>0</v>
      </c>
      <c r="N439" t="n">
        <v>0</v>
      </c>
      <c r="O439" t="n">
        <v>0</v>
      </c>
      <c r="P439" t="n">
        <v>0</v>
      </c>
      <c r="Q439" t="n">
        <v>0</v>
      </c>
      <c r="R439" s="2" t="inlineStr"/>
    </row>
    <row r="440" ht="15" customHeight="1">
      <c r="A440" t="inlineStr">
        <is>
          <t>A 42391-2023</t>
        </is>
      </c>
      <c r="B440" s="1" t="n">
        <v>45180</v>
      </c>
      <c r="C440" s="1" t="n">
        <v>46144</v>
      </c>
      <c r="D440" t="inlineStr">
        <is>
          <t>DALARNAS LÄN</t>
        </is>
      </c>
      <c r="E440" t="inlineStr">
        <is>
          <t>MORA</t>
        </is>
      </c>
      <c r="F440" t="inlineStr">
        <is>
          <t>Kommuner</t>
        </is>
      </c>
      <c r="G440" t="n">
        <v>0.3</v>
      </c>
      <c r="H440" t="n">
        <v>0</v>
      </c>
      <c r="I440" t="n">
        <v>0</v>
      </c>
      <c r="J440" t="n">
        <v>0</v>
      </c>
      <c r="K440" t="n">
        <v>0</v>
      </c>
      <c r="L440" t="n">
        <v>0</v>
      </c>
      <c r="M440" t="n">
        <v>0</v>
      </c>
      <c r="N440" t="n">
        <v>0</v>
      </c>
      <c r="O440" t="n">
        <v>0</v>
      </c>
      <c r="P440" t="n">
        <v>0</v>
      </c>
      <c r="Q440" t="n">
        <v>0</v>
      </c>
      <c r="R440" s="2" t="inlineStr"/>
    </row>
    <row r="441" ht="15" customHeight="1">
      <c r="A441" t="inlineStr">
        <is>
          <t>A 57976-2025</t>
        </is>
      </c>
      <c r="B441" s="1" t="n">
        <v>45982.39435185185</v>
      </c>
      <c r="C441" s="1" t="n">
        <v>46144</v>
      </c>
      <c r="D441" t="inlineStr">
        <is>
          <t>DALARNAS LÄN</t>
        </is>
      </c>
      <c r="E441" t="inlineStr">
        <is>
          <t>MORA</t>
        </is>
      </c>
      <c r="G441" t="n">
        <v>7.4</v>
      </c>
      <c r="H441" t="n">
        <v>0</v>
      </c>
      <c r="I441" t="n">
        <v>0</v>
      </c>
      <c r="J441" t="n">
        <v>0</v>
      </c>
      <c r="K441" t="n">
        <v>0</v>
      </c>
      <c r="L441" t="n">
        <v>0</v>
      </c>
      <c r="M441" t="n">
        <v>0</v>
      </c>
      <c r="N441" t="n">
        <v>0</v>
      </c>
      <c r="O441" t="n">
        <v>0</v>
      </c>
      <c r="P441" t="n">
        <v>0</v>
      </c>
      <c r="Q441" t="n">
        <v>0</v>
      </c>
      <c r="R441" s="2" t="inlineStr"/>
    </row>
    <row r="442" ht="15" customHeight="1">
      <c r="A442" t="inlineStr">
        <is>
          <t>A 57647-2025</t>
        </is>
      </c>
      <c r="B442" s="1" t="n">
        <v>45981.37621527778</v>
      </c>
      <c r="C442" s="1" t="n">
        <v>46144</v>
      </c>
      <c r="D442" t="inlineStr">
        <is>
          <t>DALARNAS LÄN</t>
        </is>
      </c>
      <c r="E442" t="inlineStr">
        <is>
          <t>MORA</t>
        </is>
      </c>
      <c r="G442" t="n">
        <v>3.9</v>
      </c>
      <c r="H442" t="n">
        <v>0</v>
      </c>
      <c r="I442" t="n">
        <v>0</v>
      </c>
      <c r="J442" t="n">
        <v>0</v>
      </c>
      <c r="K442" t="n">
        <v>0</v>
      </c>
      <c r="L442" t="n">
        <v>0</v>
      </c>
      <c r="M442" t="n">
        <v>0</v>
      </c>
      <c r="N442" t="n">
        <v>0</v>
      </c>
      <c r="O442" t="n">
        <v>0</v>
      </c>
      <c r="P442" t="n">
        <v>0</v>
      </c>
      <c r="Q442" t="n">
        <v>0</v>
      </c>
      <c r="R442" s="2" t="inlineStr"/>
    </row>
    <row r="443" ht="15" customHeight="1">
      <c r="A443" t="inlineStr">
        <is>
          <t>A 57843-2025</t>
        </is>
      </c>
      <c r="B443" s="1" t="n">
        <v>45981.62792824074</v>
      </c>
      <c r="C443" s="1" t="n">
        <v>46144</v>
      </c>
      <c r="D443" t="inlineStr">
        <is>
          <t>DALARNAS LÄN</t>
        </is>
      </c>
      <c r="E443" t="inlineStr">
        <is>
          <t>MORA</t>
        </is>
      </c>
      <c r="G443" t="n">
        <v>4.5</v>
      </c>
      <c r="H443" t="n">
        <v>0</v>
      </c>
      <c r="I443" t="n">
        <v>0</v>
      </c>
      <c r="J443" t="n">
        <v>0</v>
      </c>
      <c r="K443" t="n">
        <v>0</v>
      </c>
      <c r="L443" t="n">
        <v>0</v>
      </c>
      <c r="M443" t="n">
        <v>0</v>
      </c>
      <c r="N443" t="n">
        <v>0</v>
      </c>
      <c r="O443" t="n">
        <v>0</v>
      </c>
      <c r="P443" t="n">
        <v>0</v>
      </c>
      <c r="Q443" t="n">
        <v>0</v>
      </c>
      <c r="R443" s="2" t="inlineStr"/>
    </row>
    <row r="444" ht="15" customHeight="1">
      <c r="A444" t="inlineStr">
        <is>
          <t>A 2865-2022</t>
        </is>
      </c>
      <c r="B444" s="1" t="n">
        <v>44581</v>
      </c>
      <c r="C444" s="1" t="n">
        <v>46144</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57659-2025</t>
        </is>
      </c>
      <c r="B445" s="1" t="n">
        <v>45981.41228009259</v>
      </c>
      <c r="C445" s="1" t="n">
        <v>46144</v>
      </c>
      <c r="D445" t="inlineStr">
        <is>
          <t>DALARNAS LÄN</t>
        </is>
      </c>
      <c r="E445" t="inlineStr">
        <is>
          <t>MORA</t>
        </is>
      </c>
      <c r="G445" t="n">
        <v>1.8</v>
      </c>
      <c r="H445" t="n">
        <v>0</v>
      </c>
      <c r="I445" t="n">
        <v>0</v>
      </c>
      <c r="J445" t="n">
        <v>0</v>
      </c>
      <c r="K445" t="n">
        <v>0</v>
      </c>
      <c r="L445" t="n">
        <v>0</v>
      </c>
      <c r="M445" t="n">
        <v>0</v>
      </c>
      <c r="N445" t="n">
        <v>0</v>
      </c>
      <c r="O445" t="n">
        <v>0</v>
      </c>
      <c r="P445" t="n">
        <v>0</v>
      </c>
      <c r="Q445" t="n">
        <v>0</v>
      </c>
      <c r="R445" s="2" t="inlineStr"/>
    </row>
    <row r="446" ht="15" customHeight="1">
      <c r="A446" t="inlineStr">
        <is>
          <t>A 58001-2025</t>
        </is>
      </c>
      <c r="B446" s="1" t="n">
        <v>45982.43615740741</v>
      </c>
      <c r="C446" s="1" t="n">
        <v>46144</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57855-2025</t>
        </is>
      </c>
      <c r="B447" s="1" t="n">
        <v>45981.63909722222</v>
      </c>
      <c r="C447" s="1" t="n">
        <v>46144</v>
      </c>
      <c r="D447" t="inlineStr">
        <is>
          <t>DALARNAS LÄN</t>
        </is>
      </c>
      <c r="E447" t="inlineStr">
        <is>
          <t>MORA</t>
        </is>
      </c>
      <c r="G447" t="n">
        <v>9.9</v>
      </c>
      <c r="H447" t="n">
        <v>0</v>
      </c>
      <c r="I447" t="n">
        <v>0</v>
      </c>
      <c r="J447" t="n">
        <v>0</v>
      </c>
      <c r="K447" t="n">
        <v>0</v>
      </c>
      <c r="L447" t="n">
        <v>0</v>
      </c>
      <c r="M447" t="n">
        <v>0</v>
      </c>
      <c r="N447" t="n">
        <v>0</v>
      </c>
      <c r="O447" t="n">
        <v>0</v>
      </c>
      <c r="P447" t="n">
        <v>0</v>
      </c>
      <c r="Q447" t="n">
        <v>0</v>
      </c>
      <c r="R447" s="2" t="inlineStr"/>
    </row>
    <row r="448" ht="15" customHeight="1">
      <c r="A448" t="inlineStr">
        <is>
          <t>A 58473-2025</t>
        </is>
      </c>
      <c r="B448" s="1" t="n">
        <v>45985.63859953704</v>
      </c>
      <c r="C448" s="1" t="n">
        <v>46144</v>
      </c>
      <c r="D448" t="inlineStr">
        <is>
          <t>DALARNAS LÄN</t>
        </is>
      </c>
      <c r="E448" t="inlineStr">
        <is>
          <t>MORA</t>
        </is>
      </c>
      <c r="G448" t="n">
        <v>2.3</v>
      </c>
      <c r="H448" t="n">
        <v>0</v>
      </c>
      <c r="I448" t="n">
        <v>0</v>
      </c>
      <c r="J448" t="n">
        <v>0</v>
      </c>
      <c r="K448" t="n">
        <v>0</v>
      </c>
      <c r="L448" t="n">
        <v>0</v>
      </c>
      <c r="M448" t="n">
        <v>0</v>
      </c>
      <c r="N448" t="n">
        <v>0</v>
      </c>
      <c r="O448" t="n">
        <v>0</v>
      </c>
      <c r="P448" t="n">
        <v>0</v>
      </c>
      <c r="Q448" t="n">
        <v>0</v>
      </c>
      <c r="R448" s="2" t="inlineStr"/>
    </row>
    <row r="449" ht="15" customHeight="1">
      <c r="A449" t="inlineStr">
        <is>
          <t>A 45349-2024</t>
        </is>
      </c>
      <c r="B449" s="1" t="n">
        <v>45576</v>
      </c>
      <c r="C449" s="1" t="n">
        <v>46144</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57408-2024</t>
        </is>
      </c>
      <c r="B450" s="1" t="n">
        <v>45629</v>
      </c>
      <c r="C450" s="1" t="n">
        <v>46144</v>
      </c>
      <c r="D450" t="inlineStr">
        <is>
          <t>DALARNAS LÄN</t>
        </is>
      </c>
      <c r="E450" t="inlineStr">
        <is>
          <t>MORA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46412-2024</t>
        </is>
      </c>
      <c r="B451" s="1" t="n">
        <v>45582.44894675926</v>
      </c>
      <c r="C451" s="1" t="n">
        <v>46144</v>
      </c>
      <c r="D451" t="inlineStr">
        <is>
          <t>DALARNAS LÄN</t>
        </is>
      </c>
      <c r="E451" t="inlineStr">
        <is>
          <t>MORA</t>
        </is>
      </c>
      <c r="G451" t="n">
        <v>4.1</v>
      </c>
      <c r="H451" t="n">
        <v>0</v>
      </c>
      <c r="I451" t="n">
        <v>0</v>
      </c>
      <c r="J451" t="n">
        <v>0</v>
      </c>
      <c r="K451" t="n">
        <v>0</v>
      </c>
      <c r="L451" t="n">
        <v>0</v>
      </c>
      <c r="M451" t="n">
        <v>0</v>
      </c>
      <c r="N451" t="n">
        <v>0</v>
      </c>
      <c r="O451" t="n">
        <v>0</v>
      </c>
      <c r="P451" t="n">
        <v>0</v>
      </c>
      <c r="Q451" t="n">
        <v>0</v>
      </c>
      <c r="R451" s="2" t="inlineStr"/>
    </row>
    <row r="452" ht="15" customHeight="1">
      <c r="A452" t="inlineStr">
        <is>
          <t>A 50685-2023</t>
        </is>
      </c>
      <c r="B452" s="1" t="n">
        <v>45210</v>
      </c>
      <c r="C452" s="1" t="n">
        <v>46144</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43964-2024</t>
        </is>
      </c>
      <c r="B453" s="1" t="n">
        <v>45572.48407407408</v>
      </c>
      <c r="C453" s="1" t="n">
        <v>46144</v>
      </c>
      <c r="D453" t="inlineStr">
        <is>
          <t>DALARNAS LÄN</t>
        </is>
      </c>
      <c r="E453" t="inlineStr">
        <is>
          <t>MORA</t>
        </is>
      </c>
      <c r="G453" t="n">
        <v>0.9</v>
      </c>
      <c r="H453" t="n">
        <v>0</v>
      </c>
      <c r="I453" t="n">
        <v>0</v>
      </c>
      <c r="J453" t="n">
        <v>0</v>
      </c>
      <c r="K453" t="n">
        <v>0</v>
      </c>
      <c r="L453" t="n">
        <v>0</v>
      </c>
      <c r="M453" t="n">
        <v>0</v>
      </c>
      <c r="N453" t="n">
        <v>0</v>
      </c>
      <c r="O453" t="n">
        <v>0</v>
      </c>
      <c r="P453" t="n">
        <v>0</v>
      </c>
      <c r="Q453" t="n">
        <v>0</v>
      </c>
      <c r="R453" s="2" t="inlineStr"/>
    </row>
    <row r="454" ht="15" customHeight="1">
      <c r="A454" t="inlineStr">
        <is>
          <t>A 59094-2025</t>
        </is>
      </c>
      <c r="B454" s="1" t="n">
        <v>45988.45105324074</v>
      </c>
      <c r="C454" s="1" t="n">
        <v>46144</v>
      </c>
      <c r="D454" t="inlineStr">
        <is>
          <t>DALARNAS LÄN</t>
        </is>
      </c>
      <c r="E454" t="inlineStr">
        <is>
          <t>MORA</t>
        </is>
      </c>
      <c r="G454" t="n">
        <v>10</v>
      </c>
      <c r="H454" t="n">
        <v>0</v>
      </c>
      <c r="I454" t="n">
        <v>0</v>
      </c>
      <c r="J454" t="n">
        <v>0</v>
      </c>
      <c r="K454" t="n">
        <v>0</v>
      </c>
      <c r="L454" t="n">
        <v>0</v>
      </c>
      <c r="M454" t="n">
        <v>0</v>
      </c>
      <c r="N454" t="n">
        <v>0</v>
      </c>
      <c r="O454" t="n">
        <v>0</v>
      </c>
      <c r="P454" t="n">
        <v>0</v>
      </c>
      <c r="Q454" t="n">
        <v>0</v>
      </c>
      <c r="R454" s="2" t="inlineStr"/>
    </row>
    <row r="455" ht="15" customHeight="1">
      <c r="A455" t="inlineStr">
        <is>
          <t>A 39511-2024</t>
        </is>
      </c>
      <c r="B455" s="1" t="n">
        <v>45551.68347222222</v>
      </c>
      <c r="C455" s="1" t="n">
        <v>46144</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37695-2024</t>
        </is>
      </c>
      <c r="B456" s="1" t="n">
        <v>45541.61094907407</v>
      </c>
      <c r="C456" s="1" t="n">
        <v>46144</v>
      </c>
      <c r="D456" t="inlineStr">
        <is>
          <t>DALARNAS LÄN</t>
        </is>
      </c>
      <c r="E456" t="inlineStr">
        <is>
          <t>MORA</t>
        </is>
      </c>
      <c r="G456" t="n">
        <v>19.7</v>
      </c>
      <c r="H456" t="n">
        <v>0</v>
      </c>
      <c r="I456" t="n">
        <v>0</v>
      </c>
      <c r="J456" t="n">
        <v>0</v>
      </c>
      <c r="K456" t="n">
        <v>0</v>
      </c>
      <c r="L456" t="n">
        <v>0</v>
      </c>
      <c r="M456" t="n">
        <v>0</v>
      </c>
      <c r="N456" t="n">
        <v>0</v>
      </c>
      <c r="O456" t="n">
        <v>0</v>
      </c>
      <c r="P456" t="n">
        <v>0</v>
      </c>
      <c r="Q456" t="n">
        <v>0</v>
      </c>
      <c r="R456" s="2" t="inlineStr"/>
    </row>
    <row r="457" ht="15" customHeight="1">
      <c r="A457" t="inlineStr">
        <is>
          <t>A 56834-2024</t>
        </is>
      </c>
      <c r="B457" s="1" t="n">
        <v>45628.49931712963</v>
      </c>
      <c r="C457" s="1" t="n">
        <v>46144</v>
      </c>
      <c r="D457" t="inlineStr">
        <is>
          <t>DALARNAS LÄN</t>
        </is>
      </c>
      <c r="E457" t="inlineStr">
        <is>
          <t>MORA</t>
        </is>
      </c>
      <c r="G457" t="n">
        <v>0.4</v>
      </c>
      <c r="H457" t="n">
        <v>0</v>
      </c>
      <c r="I457" t="n">
        <v>0</v>
      </c>
      <c r="J457" t="n">
        <v>0</v>
      </c>
      <c r="K457" t="n">
        <v>0</v>
      </c>
      <c r="L457" t="n">
        <v>0</v>
      </c>
      <c r="M457" t="n">
        <v>0</v>
      </c>
      <c r="N457" t="n">
        <v>0</v>
      </c>
      <c r="O457" t="n">
        <v>0</v>
      </c>
      <c r="P457" t="n">
        <v>0</v>
      </c>
      <c r="Q457" t="n">
        <v>0</v>
      </c>
      <c r="R457" s="2" t="inlineStr"/>
    </row>
    <row r="458" ht="15" customHeight="1">
      <c r="A458" t="inlineStr">
        <is>
          <t>A 59805-2025</t>
        </is>
      </c>
      <c r="B458" s="1" t="n">
        <v>45992.62635416666</v>
      </c>
      <c r="C458" s="1" t="n">
        <v>46144</v>
      </c>
      <c r="D458" t="inlineStr">
        <is>
          <t>DALARNAS LÄN</t>
        </is>
      </c>
      <c r="E458" t="inlineStr">
        <is>
          <t>MORA</t>
        </is>
      </c>
      <c r="G458" t="n">
        <v>4.2</v>
      </c>
      <c r="H458" t="n">
        <v>0</v>
      </c>
      <c r="I458" t="n">
        <v>0</v>
      </c>
      <c r="J458" t="n">
        <v>0</v>
      </c>
      <c r="K458" t="n">
        <v>0</v>
      </c>
      <c r="L458" t="n">
        <v>0</v>
      </c>
      <c r="M458" t="n">
        <v>0</v>
      </c>
      <c r="N458" t="n">
        <v>0</v>
      </c>
      <c r="O458" t="n">
        <v>0</v>
      </c>
      <c r="P458" t="n">
        <v>0</v>
      </c>
      <c r="Q458" t="n">
        <v>0</v>
      </c>
      <c r="R458" s="2" t="inlineStr"/>
    </row>
    <row r="459" ht="15" customHeight="1">
      <c r="A459" t="inlineStr">
        <is>
          <t>A 59768-2025</t>
        </is>
      </c>
      <c r="B459" s="1" t="n">
        <v>45992</v>
      </c>
      <c r="C459" s="1" t="n">
        <v>46144</v>
      </c>
      <c r="D459" t="inlineStr">
        <is>
          <t>DALARNAS LÄN</t>
        </is>
      </c>
      <c r="E459" t="inlineStr">
        <is>
          <t>MORA</t>
        </is>
      </c>
      <c r="G459" t="n">
        <v>4</v>
      </c>
      <c r="H459" t="n">
        <v>0</v>
      </c>
      <c r="I459" t="n">
        <v>0</v>
      </c>
      <c r="J459" t="n">
        <v>0</v>
      </c>
      <c r="K459" t="n">
        <v>0</v>
      </c>
      <c r="L459" t="n">
        <v>0</v>
      </c>
      <c r="M459" t="n">
        <v>0</v>
      </c>
      <c r="N459" t="n">
        <v>0</v>
      </c>
      <c r="O459" t="n">
        <v>0</v>
      </c>
      <c r="P459" t="n">
        <v>0</v>
      </c>
      <c r="Q459" t="n">
        <v>0</v>
      </c>
      <c r="R459" s="2" t="inlineStr"/>
    </row>
    <row r="460" ht="15" customHeight="1">
      <c r="A460" t="inlineStr">
        <is>
          <t>A 55135-2025</t>
        </is>
      </c>
      <c r="B460" s="1" t="n">
        <v>45968.42591435185</v>
      </c>
      <c r="C460" s="1" t="n">
        <v>46144</v>
      </c>
      <c r="D460" t="inlineStr">
        <is>
          <t>DALARNAS LÄN</t>
        </is>
      </c>
      <c r="E460" t="inlineStr">
        <is>
          <t>MORA</t>
        </is>
      </c>
      <c r="G460" t="n">
        <v>5.1</v>
      </c>
      <c r="H460" t="n">
        <v>0</v>
      </c>
      <c r="I460" t="n">
        <v>0</v>
      </c>
      <c r="J460" t="n">
        <v>0</v>
      </c>
      <c r="K460" t="n">
        <v>0</v>
      </c>
      <c r="L460" t="n">
        <v>0</v>
      </c>
      <c r="M460" t="n">
        <v>0</v>
      </c>
      <c r="N460" t="n">
        <v>0</v>
      </c>
      <c r="O460" t="n">
        <v>0</v>
      </c>
      <c r="P460" t="n">
        <v>0</v>
      </c>
      <c r="Q460" t="n">
        <v>0</v>
      </c>
      <c r="R460" s="2" t="inlineStr"/>
    </row>
    <row r="461" ht="15" customHeight="1">
      <c r="A461" t="inlineStr">
        <is>
          <t>A 59669-2025</t>
        </is>
      </c>
      <c r="B461" s="1" t="n">
        <v>45992.45640046296</v>
      </c>
      <c r="C461" s="1" t="n">
        <v>46144</v>
      </c>
      <c r="D461" t="inlineStr">
        <is>
          <t>DALARNAS LÄN</t>
        </is>
      </c>
      <c r="E461" t="inlineStr">
        <is>
          <t>MORA</t>
        </is>
      </c>
      <c r="G461" t="n">
        <v>0.6</v>
      </c>
      <c r="H461" t="n">
        <v>0</v>
      </c>
      <c r="I461" t="n">
        <v>0</v>
      </c>
      <c r="J461" t="n">
        <v>0</v>
      </c>
      <c r="K461" t="n">
        <v>0</v>
      </c>
      <c r="L461" t="n">
        <v>0</v>
      </c>
      <c r="M461" t="n">
        <v>0</v>
      </c>
      <c r="N461" t="n">
        <v>0</v>
      </c>
      <c r="O461" t="n">
        <v>0</v>
      </c>
      <c r="P461" t="n">
        <v>0</v>
      </c>
      <c r="Q461" t="n">
        <v>0</v>
      </c>
      <c r="R461" s="2" t="inlineStr"/>
    </row>
    <row r="462" ht="15" customHeight="1">
      <c r="A462" t="inlineStr">
        <is>
          <t>A 8068-2024</t>
        </is>
      </c>
      <c r="B462" s="1" t="n">
        <v>45351.41524305556</v>
      </c>
      <c r="C462" s="1" t="n">
        <v>46144</v>
      </c>
      <c r="D462" t="inlineStr">
        <is>
          <t>DALARNAS LÄN</t>
        </is>
      </c>
      <c r="E462" t="inlineStr">
        <is>
          <t>MORA</t>
        </is>
      </c>
      <c r="G462" t="n">
        <v>6.4</v>
      </c>
      <c r="H462" t="n">
        <v>0</v>
      </c>
      <c r="I462" t="n">
        <v>0</v>
      </c>
      <c r="J462" t="n">
        <v>0</v>
      </c>
      <c r="K462" t="n">
        <v>0</v>
      </c>
      <c r="L462" t="n">
        <v>0</v>
      </c>
      <c r="M462" t="n">
        <v>0</v>
      </c>
      <c r="N462" t="n">
        <v>0</v>
      </c>
      <c r="O462" t="n">
        <v>0</v>
      </c>
      <c r="P462" t="n">
        <v>0</v>
      </c>
      <c r="Q462" t="n">
        <v>0</v>
      </c>
      <c r="R462" s="2" t="inlineStr"/>
    </row>
    <row r="463" ht="15" customHeight="1">
      <c r="A463" t="inlineStr">
        <is>
          <t>A 54548-2025</t>
        </is>
      </c>
      <c r="B463" s="1" t="n">
        <v>45965.6534837963</v>
      </c>
      <c r="C463" s="1" t="n">
        <v>46144</v>
      </c>
      <c r="D463" t="inlineStr">
        <is>
          <t>DALARNAS LÄN</t>
        </is>
      </c>
      <c r="E463" t="inlineStr">
        <is>
          <t>MORA</t>
        </is>
      </c>
      <c r="G463" t="n">
        <v>2.3</v>
      </c>
      <c r="H463" t="n">
        <v>0</v>
      </c>
      <c r="I463" t="n">
        <v>0</v>
      </c>
      <c r="J463" t="n">
        <v>0</v>
      </c>
      <c r="K463" t="n">
        <v>0</v>
      </c>
      <c r="L463" t="n">
        <v>0</v>
      </c>
      <c r="M463" t="n">
        <v>0</v>
      </c>
      <c r="N463" t="n">
        <v>0</v>
      </c>
      <c r="O463" t="n">
        <v>0</v>
      </c>
      <c r="P463" t="n">
        <v>0</v>
      </c>
      <c r="Q463" t="n">
        <v>0</v>
      </c>
      <c r="R463" s="2" t="inlineStr"/>
    </row>
    <row r="464" ht="15" customHeight="1">
      <c r="A464" t="inlineStr">
        <is>
          <t>A 43863-2023</t>
        </is>
      </c>
      <c r="B464" s="1" t="n">
        <v>45187.62532407408</v>
      </c>
      <c r="C464" s="1" t="n">
        <v>46144</v>
      </c>
      <c r="D464" t="inlineStr">
        <is>
          <t>DALARNAS LÄN</t>
        </is>
      </c>
      <c r="E464" t="inlineStr">
        <is>
          <t>MORA</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35521-2023</t>
        </is>
      </c>
      <c r="B465" s="1" t="n">
        <v>45147.33251157407</v>
      </c>
      <c r="C465" s="1" t="n">
        <v>46144</v>
      </c>
      <c r="D465" t="inlineStr">
        <is>
          <t>DALARNAS LÄN</t>
        </is>
      </c>
      <c r="E465" t="inlineStr">
        <is>
          <t>MORA</t>
        </is>
      </c>
      <c r="G465" t="n">
        <v>3.7</v>
      </c>
      <c r="H465" t="n">
        <v>0</v>
      </c>
      <c r="I465" t="n">
        <v>0</v>
      </c>
      <c r="J465" t="n">
        <v>0</v>
      </c>
      <c r="K465" t="n">
        <v>0</v>
      </c>
      <c r="L465" t="n">
        <v>0</v>
      </c>
      <c r="M465" t="n">
        <v>0</v>
      </c>
      <c r="N465" t="n">
        <v>0</v>
      </c>
      <c r="O465" t="n">
        <v>0</v>
      </c>
      <c r="P465" t="n">
        <v>0</v>
      </c>
      <c r="Q465" t="n">
        <v>0</v>
      </c>
      <c r="R465" s="2" t="inlineStr"/>
    </row>
    <row r="466" ht="15" customHeight="1">
      <c r="A466" t="inlineStr">
        <is>
          <t>A 31112-2024</t>
        </is>
      </c>
      <c r="B466" s="1" t="n">
        <v>45502.55185185185</v>
      </c>
      <c r="C466" s="1" t="n">
        <v>46144</v>
      </c>
      <c r="D466" t="inlineStr">
        <is>
          <t>DALARNAS LÄN</t>
        </is>
      </c>
      <c r="E466" t="inlineStr">
        <is>
          <t>MORA</t>
        </is>
      </c>
      <c r="G466" t="n">
        <v>0.6</v>
      </c>
      <c r="H466" t="n">
        <v>0</v>
      </c>
      <c r="I466" t="n">
        <v>0</v>
      </c>
      <c r="J466" t="n">
        <v>0</v>
      </c>
      <c r="K466" t="n">
        <v>0</v>
      </c>
      <c r="L466" t="n">
        <v>0</v>
      </c>
      <c r="M466" t="n">
        <v>0</v>
      </c>
      <c r="N466" t="n">
        <v>0</v>
      </c>
      <c r="O466" t="n">
        <v>0</v>
      </c>
      <c r="P466" t="n">
        <v>0</v>
      </c>
      <c r="Q466" t="n">
        <v>0</v>
      </c>
      <c r="R466" s="2" t="inlineStr"/>
    </row>
    <row r="467" ht="15" customHeight="1">
      <c r="A467" t="inlineStr">
        <is>
          <t>A 44205-2023</t>
        </is>
      </c>
      <c r="B467" s="1" t="n">
        <v>45188</v>
      </c>
      <c r="C467" s="1" t="n">
        <v>46144</v>
      </c>
      <c r="D467" t="inlineStr">
        <is>
          <t>DALARNAS LÄN</t>
        </is>
      </c>
      <c r="E467" t="inlineStr">
        <is>
          <t>MORA</t>
        </is>
      </c>
      <c r="G467" t="n">
        <v>0.7</v>
      </c>
      <c r="H467" t="n">
        <v>0</v>
      </c>
      <c r="I467" t="n">
        <v>0</v>
      </c>
      <c r="J467" t="n">
        <v>0</v>
      </c>
      <c r="K467" t="n">
        <v>0</v>
      </c>
      <c r="L467" t="n">
        <v>0</v>
      </c>
      <c r="M467" t="n">
        <v>0</v>
      </c>
      <c r="N467" t="n">
        <v>0</v>
      </c>
      <c r="O467" t="n">
        <v>0</v>
      </c>
      <c r="P467" t="n">
        <v>0</v>
      </c>
      <c r="Q467" t="n">
        <v>0</v>
      </c>
      <c r="R467" s="2" t="inlineStr"/>
    </row>
    <row r="468" ht="15" customHeight="1">
      <c r="A468" t="inlineStr">
        <is>
          <t>A 60957-2025</t>
        </is>
      </c>
      <c r="B468" s="1" t="n">
        <v>45999.65799768519</v>
      </c>
      <c r="C468" s="1" t="n">
        <v>46144</v>
      </c>
      <c r="D468" t="inlineStr">
        <is>
          <t>DALARNAS LÄN</t>
        </is>
      </c>
      <c r="E468" t="inlineStr">
        <is>
          <t>MORA</t>
        </is>
      </c>
      <c r="G468" t="n">
        <v>1.6</v>
      </c>
      <c r="H468" t="n">
        <v>0</v>
      </c>
      <c r="I468" t="n">
        <v>0</v>
      </c>
      <c r="J468" t="n">
        <v>0</v>
      </c>
      <c r="K468" t="n">
        <v>0</v>
      </c>
      <c r="L468" t="n">
        <v>0</v>
      </c>
      <c r="M468" t="n">
        <v>0</v>
      </c>
      <c r="N468" t="n">
        <v>0</v>
      </c>
      <c r="O468" t="n">
        <v>0</v>
      </c>
      <c r="P468" t="n">
        <v>0</v>
      </c>
      <c r="Q468" t="n">
        <v>0</v>
      </c>
      <c r="R468" s="2" t="inlineStr"/>
    </row>
    <row r="469" ht="15" customHeight="1">
      <c r="A469" t="inlineStr">
        <is>
          <t>A 51168-2024</t>
        </is>
      </c>
      <c r="B469" s="1" t="n">
        <v>45603.58619212963</v>
      </c>
      <c r="C469" s="1" t="n">
        <v>46144</v>
      </c>
      <c r="D469" t="inlineStr">
        <is>
          <t>DALARNAS LÄN</t>
        </is>
      </c>
      <c r="E469" t="inlineStr">
        <is>
          <t>MORA</t>
        </is>
      </c>
      <c r="G469" t="n">
        <v>3</v>
      </c>
      <c r="H469" t="n">
        <v>0</v>
      </c>
      <c r="I469" t="n">
        <v>0</v>
      </c>
      <c r="J469" t="n">
        <v>0</v>
      </c>
      <c r="K469" t="n">
        <v>0</v>
      </c>
      <c r="L469" t="n">
        <v>0</v>
      </c>
      <c r="M469" t="n">
        <v>0</v>
      </c>
      <c r="N469" t="n">
        <v>0</v>
      </c>
      <c r="O469" t="n">
        <v>0</v>
      </c>
      <c r="P469" t="n">
        <v>0</v>
      </c>
      <c r="Q469" t="n">
        <v>0</v>
      </c>
      <c r="R469" s="2" t="inlineStr"/>
    </row>
    <row r="470" ht="15" customHeight="1">
      <c r="A470" t="inlineStr">
        <is>
          <t>A 18214-2024</t>
        </is>
      </c>
      <c r="B470" s="1" t="n">
        <v>45420</v>
      </c>
      <c r="C470" s="1" t="n">
        <v>46144</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55691-2023</t>
        </is>
      </c>
      <c r="B471" s="1" t="n">
        <v>45239.36509259259</v>
      </c>
      <c r="C471" s="1" t="n">
        <v>46144</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63958-2023</t>
        </is>
      </c>
      <c r="B472" s="1" t="n">
        <v>45278</v>
      </c>
      <c r="C472" s="1" t="n">
        <v>46144</v>
      </c>
      <c r="D472" t="inlineStr">
        <is>
          <t>DALARNAS LÄN</t>
        </is>
      </c>
      <c r="E472" t="inlineStr">
        <is>
          <t>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48522-2024</t>
        </is>
      </c>
      <c r="B473" s="1" t="n">
        <v>45593.32924768519</v>
      </c>
      <c r="C473" s="1" t="n">
        <v>46144</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25494-2024</t>
        </is>
      </c>
      <c r="B474" s="1" t="n">
        <v>45463</v>
      </c>
      <c r="C474" s="1" t="n">
        <v>46144</v>
      </c>
      <c r="D474" t="inlineStr">
        <is>
          <t>DALARNAS LÄN</t>
        </is>
      </c>
      <c r="E474" t="inlineStr">
        <is>
          <t>MORA</t>
        </is>
      </c>
      <c r="G474" t="n">
        <v>4.9</v>
      </c>
      <c r="H474" t="n">
        <v>0</v>
      </c>
      <c r="I474" t="n">
        <v>0</v>
      </c>
      <c r="J474" t="n">
        <v>0</v>
      </c>
      <c r="K474" t="n">
        <v>0</v>
      </c>
      <c r="L474" t="n">
        <v>0</v>
      </c>
      <c r="M474" t="n">
        <v>0</v>
      </c>
      <c r="N474" t="n">
        <v>0</v>
      </c>
      <c r="O474" t="n">
        <v>0</v>
      </c>
      <c r="P474" t="n">
        <v>0</v>
      </c>
      <c r="Q474" t="n">
        <v>0</v>
      </c>
      <c r="R474" s="2" t="inlineStr"/>
    </row>
    <row r="475" ht="15" customHeight="1">
      <c r="A475" t="inlineStr">
        <is>
          <t>A 16522-2024</t>
        </is>
      </c>
      <c r="B475" s="1" t="n">
        <v>45408.41166666667</v>
      </c>
      <c r="C475" s="1" t="n">
        <v>46144</v>
      </c>
      <c r="D475" t="inlineStr">
        <is>
          <t>DALARNAS LÄN</t>
        </is>
      </c>
      <c r="E475" t="inlineStr">
        <is>
          <t>MORA</t>
        </is>
      </c>
      <c r="G475" t="n">
        <v>11.2</v>
      </c>
      <c r="H475" t="n">
        <v>0</v>
      </c>
      <c r="I475" t="n">
        <v>0</v>
      </c>
      <c r="J475" t="n">
        <v>0</v>
      </c>
      <c r="K475" t="n">
        <v>0</v>
      </c>
      <c r="L475" t="n">
        <v>0</v>
      </c>
      <c r="M475" t="n">
        <v>0</v>
      </c>
      <c r="N475" t="n">
        <v>0</v>
      </c>
      <c r="O475" t="n">
        <v>0</v>
      </c>
      <c r="P475" t="n">
        <v>0</v>
      </c>
      <c r="Q475" t="n">
        <v>0</v>
      </c>
      <c r="R475" s="2" t="inlineStr"/>
    </row>
    <row r="476" ht="15" customHeight="1">
      <c r="A476" t="inlineStr">
        <is>
          <t>A 55120-2024</t>
        </is>
      </c>
      <c r="B476" s="1" t="n">
        <v>45621.45765046297</v>
      </c>
      <c r="C476" s="1" t="n">
        <v>46144</v>
      </c>
      <c r="D476" t="inlineStr">
        <is>
          <t>DALARNAS LÄN</t>
        </is>
      </c>
      <c r="E476" t="inlineStr">
        <is>
          <t>MORA</t>
        </is>
      </c>
      <c r="G476" t="n">
        <v>1.9</v>
      </c>
      <c r="H476" t="n">
        <v>0</v>
      </c>
      <c r="I476" t="n">
        <v>0</v>
      </c>
      <c r="J476" t="n">
        <v>0</v>
      </c>
      <c r="K476" t="n">
        <v>0</v>
      </c>
      <c r="L476" t="n">
        <v>0</v>
      </c>
      <c r="M476" t="n">
        <v>0</v>
      </c>
      <c r="N476" t="n">
        <v>0</v>
      </c>
      <c r="O476" t="n">
        <v>0</v>
      </c>
      <c r="P476" t="n">
        <v>0</v>
      </c>
      <c r="Q476" t="n">
        <v>0</v>
      </c>
      <c r="R476" s="2" t="inlineStr"/>
    </row>
    <row r="477" ht="15" customHeight="1">
      <c r="A477" t="inlineStr">
        <is>
          <t>A 48342-2023</t>
        </is>
      </c>
      <c r="B477" s="1" t="n">
        <v>45205</v>
      </c>
      <c r="C477" s="1" t="n">
        <v>46144</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61455-2025</t>
        </is>
      </c>
      <c r="B478" s="1" t="n">
        <v>46001.58590277778</v>
      </c>
      <c r="C478" s="1" t="n">
        <v>46144</v>
      </c>
      <c r="D478" t="inlineStr">
        <is>
          <t>DALARNAS LÄN</t>
        </is>
      </c>
      <c r="E478" t="inlineStr">
        <is>
          <t>MORA</t>
        </is>
      </c>
      <c r="G478" t="n">
        <v>3.4</v>
      </c>
      <c r="H478" t="n">
        <v>0</v>
      </c>
      <c r="I478" t="n">
        <v>0</v>
      </c>
      <c r="J478" t="n">
        <v>0</v>
      </c>
      <c r="K478" t="n">
        <v>0</v>
      </c>
      <c r="L478" t="n">
        <v>0</v>
      </c>
      <c r="M478" t="n">
        <v>0</v>
      </c>
      <c r="N478" t="n">
        <v>0</v>
      </c>
      <c r="O478" t="n">
        <v>0</v>
      </c>
      <c r="P478" t="n">
        <v>0</v>
      </c>
      <c r="Q478" t="n">
        <v>0</v>
      </c>
      <c r="R478" s="2" t="inlineStr"/>
    </row>
    <row r="479" ht="15" customHeight="1">
      <c r="A479" t="inlineStr">
        <is>
          <t>A 43873-2024</t>
        </is>
      </c>
      <c r="B479" s="1" t="n">
        <v>45572.38429398148</v>
      </c>
      <c r="C479" s="1" t="n">
        <v>46144</v>
      </c>
      <c r="D479" t="inlineStr">
        <is>
          <t>DALARNAS LÄN</t>
        </is>
      </c>
      <c r="E479" t="inlineStr">
        <is>
          <t>MORA</t>
        </is>
      </c>
      <c r="G479" t="n">
        <v>4.1</v>
      </c>
      <c r="H479" t="n">
        <v>0</v>
      </c>
      <c r="I479" t="n">
        <v>0</v>
      </c>
      <c r="J479" t="n">
        <v>0</v>
      </c>
      <c r="K479" t="n">
        <v>0</v>
      </c>
      <c r="L479" t="n">
        <v>0</v>
      </c>
      <c r="M479" t="n">
        <v>0</v>
      </c>
      <c r="N479" t="n">
        <v>0</v>
      </c>
      <c r="O479" t="n">
        <v>0</v>
      </c>
      <c r="P479" t="n">
        <v>0</v>
      </c>
      <c r="Q479" t="n">
        <v>0</v>
      </c>
      <c r="R479" s="2" t="inlineStr"/>
    </row>
    <row r="480" ht="15" customHeight="1">
      <c r="A480" t="inlineStr">
        <is>
          <t>A 61412-2025</t>
        </is>
      </c>
      <c r="B480" s="1" t="n">
        <v>46001.5266087963</v>
      </c>
      <c r="C480" s="1" t="n">
        <v>46144</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61620-2025</t>
        </is>
      </c>
      <c r="B481" s="1" t="n">
        <v>46002.39347222223</v>
      </c>
      <c r="C481" s="1" t="n">
        <v>46144</v>
      </c>
      <c r="D481" t="inlineStr">
        <is>
          <t>DALARNAS LÄN</t>
        </is>
      </c>
      <c r="E481" t="inlineStr">
        <is>
          <t>MORA</t>
        </is>
      </c>
      <c r="G481" t="n">
        <v>3</v>
      </c>
      <c r="H481" t="n">
        <v>0</v>
      </c>
      <c r="I481" t="n">
        <v>0</v>
      </c>
      <c r="J481" t="n">
        <v>0</v>
      </c>
      <c r="K481" t="n">
        <v>0</v>
      </c>
      <c r="L481" t="n">
        <v>0</v>
      </c>
      <c r="M481" t="n">
        <v>0</v>
      </c>
      <c r="N481" t="n">
        <v>0</v>
      </c>
      <c r="O481" t="n">
        <v>0</v>
      </c>
      <c r="P481" t="n">
        <v>0</v>
      </c>
      <c r="Q481" t="n">
        <v>0</v>
      </c>
      <c r="R481" s="2" t="inlineStr"/>
    </row>
    <row r="482" ht="15" customHeight="1">
      <c r="A482" t="inlineStr">
        <is>
          <t>A 61606-2025</t>
        </is>
      </c>
      <c r="B482" s="1" t="n">
        <v>46002.37662037037</v>
      </c>
      <c r="C482" s="1" t="n">
        <v>46144</v>
      </c>
      <c r="D482" t="inlineStr">
        <is>
          <t>DALARNAS LÄN</t>
        </is>
      </c>
      <c r="E482" t="inlineStr">
        <is>
          <t>MORA</t>
        </is>
      </c>
      <c r="G482" t="n">
        <v>6.1</v>
      </c>
      <c r="H482" t="n">
        <v>0</v>
      </c>
      <c r="I482" t="n">
        <v>0</v>
      </c>
      <c r="J482" t="n">
        <v>0</v>
      </c>
      <c r="K482" t="n">
        <v>0</v>
      </c>
      <c r="L482" t="n">
        <v>0</v>
      </c>
      <c r="M482" t="n">
        <v>0</v>
      </c>
      <c r="N482" t="n">
        <v>0</v>
      </c>
      <c r="O482" t="n">
        <v>0</v>
      </c>
      <c r="P482" t="n">
        <v>0</v>
      </c>
      <c r="Q482" t="n">
        <v>0</v>
      </c>
      <c r="R482" s="2" t="inlineStr"/>
    </row>
    <row r="483" ht="15" customHeight="1">
      <c r="A483" t="inlineStr">
        <is>
          <t>A 61624-2025</t>
        </is>
      </c>
      <c r="B483" s="1" t="n">
        <v>46002.39755787037</v>
      </c>
      <c r="C483" s="1" t="n">
        <v>46144</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46152-2023</t>
        </is>
      </c>
      <c r="B484" s="1" t="n">
        <v>45196.58278935185</v>
      </c>
      <c r="C484" s="1" t="n">
        <v>46144</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62055-2025</t>
        </is>
      </c>
      <c r="B485" s="1" t="n">
        <v>46006.3365625</v>
      </c>
      <c r="C485" s="1" t="n">
        <v>46144</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61995-2025</t>
        </is>
      </c>
      <c r="B486" s="1" t="n">
        <v>46003.63954861111</v>
      </c>
      <c r="C486" s="1" t="n">
        <v>46144</v>
      </c>
      <c r="D486" t="inlineStr">
        <is>
          <t>DALARNAS LÄN</t>
        </is>
      </c>
      <c r="E486" t="inlineStr">
        <is>
          <t>MORA</t>
        </is>
      </c>
      <c r="G486" t="n">
        <v>1.3</v>
      </c>
      <c r="H486" t="n">
        <v>0</v>
      </c>
      <c r="I486" t="n">
        <v>0</v>
      </c>
      <c r="J486" t="n">
        <v>0</v>
      </c>
      <c r="K486" t="n">
        <v>0</v>
      </c>
      <c r="L486" t="n">
        <v>0</v>
      </c>
      <c r="M486" t="n">
        <v>0</v>
      </c>
      <c r="N486" t="n">
        <v>0</v>
      </c>
      <c r="O486" t="n">
        <v>0</v>
      </c>
      <c r="P486" t="n">
        <v>0</v>
      </c>
      <c r="Q486" t="n">
        <v>0</v>
      </c>
      <c r="R486" s="2" t="inlineStr"/>
    </row>
    <row r="487" ht="15" customHeight="1">
      <c r="A487" t="inlineStr">
        <is>
          <t>A 62054-2025</t>
        </is>
      </c>
      <c r="B487" s="1" t="n">
        <v>46006.33462962963</v>
      </c>
      <c r="C487" s="1" t="n">
        <v>46144</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42035-2022</t>
        </is>
      </c>
      <c r="B488" s="1" t="n">
        <v>44830</v>
      </c>
      <c r="C488" s="1" t="n">
        <v>46144</v>
      </c>
      <c r="D488" t="inlineStr">
        <is>
          <t>DALARNAS LÄN</t>
        </is>
      </c>
      <c r="E488" t="inlineStr">
        <is>
          <t>MORA</t>
        </is>
      </c>
      <c r="G488" t="n">
        <v>2.7</v>
      </c>
      <c r="H488" t="n">
        <v>0</v>
      </c>
      <c r="I488" t="n">
        <v>0</v>
      </c>
      <c r="J488" t="n">
        <v>0</v>
      </c>
      <c r="K488" t="n">
        <v>0</v>
      </c>
      <c r="L488" t="n">
        <v>0</v>
      </c>
      <c r="M488" t="n">
        <v>0</v>
      </c>
      <c r="N488" t="n">
        <v>0</v>
      </c>
      <c r="O488" t="n">
        <v>0</v>
      </c>
      <c r="P488" t="n">
        <v>0</v>
      </c>
      <c r="Q488" t="n">
        <v>0</v>
      </c>
      <c r="R488" s="2" t="inlineStr"/>
    </row>
    <row r="489" ht="15" customHeight="1">
      <c r="A489" t="inlineStr">
        <is>
          <t>A 62619-2025</t>
        </is>
      </c>
      <c r="B489" s="1" t="n">
        <v>46008.33967592593</v>
      </c>
      <c r="C489" s="1" t="n">
        <v>46144</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62626-2025</t>
        </is>
      </c>
      <c r="B490" s="1" t="n">
        <v>46008.34541666666</v>
      </c>
      <c r="C490" s="1" t="n">
        <v>46144</v>
      </c>
      <c r="D490" t="inlineStr">
        <is>
          <t>DALARNAS LÄN</t>
        </is>
      </c>
      <c r="E490" t="inlineStr">
        <is>
          <t>MORA</t>
        </is>
      </c>
      <c r="G490" t="n">
        <v>6.7</v>
      </c>
      <c r="H490" t="n">
        <v>0</v>
      </c>
      <c r="I490" t="n">
        <v>0</v>
      </c>
      <c r="J490" t="n">
        <v>0</v>
      </c>
      <c r="K490" t="n">
        <v>0</v>
      </c>
      <c r="L490" t="n">
        <v>0</v>
      </c>
      <c r="M490" t="n">
        <v>0</v>
      </c>
      <c r="N490" t="n">
        <v>0</v>
      </c>
      <c r="O490" t="n">
        <v>0</v>
      </c>
      <c r="P490" t="n">
        <v>0</v>
      </c>
      <c r="Q490" t="n">
        <v>0</v>
      </c>
      <c r="R490" s="2" t="inlineStr"/>
    </row>
    <row r="491" ht="15" customHeight="1">
      <c r="A491" t="inlineStr">
        <is>
          <t>A 5980-2025</t>
        </is>
      </c>
      <c r="B491" s="1" t="n">
        <v>45695.54651620371</v>
      </c>
      <c r="C491" s="1" t="n">
        <v>46144</v>
      </c>
      <c r="D491" t="inlineStr">
        <is>
          <t>DALARNAS LÄN</t>
        </is>
      </c>
      <c r="E491" t="inlineStr">
        <is>
          <t>MORA</t>
        </is>
      </c>
      <c r="G491" t="n">
        <v>2.7</v>
      </c>
      <c r="H491" t="n">
        <v>0</v>
      </c>
      <c r="I491" t="n">
        <v>0</v>
      </c>
      <c r="J491" t="n">
        <v>0</v>
      </c>
      <c r="K491" t="n">
        <v>0</v>
      </c>
      <c r="L491" t="n">
        <v>0</v>
      </c>
      <c r="M491" t="n">
        <v>0</v>
      </c>
      <c r="N491" t="n">
        <v>0</v>
      </c>
      <c r="O491" t="n">
        <v>0</v>
      </c>
      <c r="P491" t="n">
        <v>0</v>
      </c>
      <c r="Q491" t="n">
        <v>0</v>
      </c>
      <c r="R491" s="2" t="inlineStr"/>
    </row>
    <row r="492" ht="15" customHeight="1">
      <c r="A492" t="inlineStr">
        <is>
          <t>A 62548-2025</t>
        </is>
      </c>
      <c r="B492" s="1" t="n">
        <v>46007.66275462963</v>
      </c>
      <c r="C492" s="1" t="n">
        <v>46144</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62628-2025</t>
        </is>
      </c>
      <c r="B493" s="1" t="n">
        <v>46008.35011574074</v>
      </c>
      <c r="C493" s="1" t="n">
        <v>46144</v>
      </c>
      <c r="D493" t="inlineStr">
        <is>
          <t>DALARNAS LÄN</t>
        </is>
      </c>
      <c r="E493" t="inlineStr">
        <is>
          <t>MORA</t>
        </is>
      </c>
      <c r="G493" t="n">
        <v>5.7</v>
      </c>
      <c r="H493" t="n">
        <v>0</v>
      </c>
      <c r="I493" t="n">
        <v>0</v>
      </c>
      <c r="J493" t="n">
        <v>0</v>
      </c>
      <c r="K493" t="n">
        <v>0</v>
      </c>
      <c r="L493" t="n">
        <v>0</v>
      </c>
      <c r="M493" t="n">
        <v>0</v>
      </c>
      <c r="N493" t="n">
        <v>0</v>
      </c>
      <c r="O493" t="n">
        <v>0</v>
      </c>
      <c r="P493" t="n">
        <v>0</v>
      </c>
      <c r="Q493" t="n">
        <v>0</v>
      </c>
      <c r="R493" s="2" t="inlineStr"/>
    </row>
    <row r="494" ht="15" customHeight="1">
      <c r="A494" t="inlineStr">
        <is>
          <t>A 62853-2025</t>
        </is>
      </c>
      <c r="B494" s="1" t="n">
        <v>46008.72493055555</v>
      </c>
      <c r="C494" s="1" t="n">
        <v>46144</v>
      </c>
      <c r="D494" t="inlineStr">
        <is>
          <t>DALARNAS LÄN</t>
        </is>
      </c>
      <c r="E494" t="inlineStr">
        <is>
          <t>MORA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9599-2022</t>
        </is>
      </c>
      <c r="B495" s="1" t="n">
        <v>44617.48909722222</v>
      </c>
      <c r="C495" s="1" t="n">
        <v>46144</v>
      </c>
      <c r="D495" t="inlineStr">
        <is>
          <t>DALARNAS LÄN</t>
        </is>
      </c>
      <c r="E495" t="inlineStr">
        <is>
          <t>MORA</t>
        </is>
      </c>
      <c r="G495" t="n">
        <v>2.1</v>
      </c>
      <c r="H495" t="n">
        <v>0</v>
      </c>
      <c r="I495" t="n">
        <v>0</v>
      </c>
      <c r="J495" t="n">
        <v>0</v>
      </c>
      <c r="K495" t="n">
        <v>0</v>
      </c>
      <c r="L495" t="n">
        <v>0</v>
      </c>
      <c r="M495" t="n">
        <v>0</v>
      </c>
      <c r="N495" t="n">
        <v>0</v>
      </c>
      <c r="O495" t="n">
        <v>0</v>
      </c>
      <c r="P495" t="n">
        <v>0</v>
      </c>
      <c r="Q495" t="n">
        <v>0</v>
      </c>
      <c r="R495" s="2" t="inlineStr"/>
    </row>
    <row r="496" ht="15" customHeight="1">
      <c r="A496" t="inlineStr">
        <is>
          <t>A 51883-2024</t>
        </is>
      </c>
      <c r="B496" s="1" t="n">
        <v>45607</v>
      </c>
      <c r="C496" s="1" t="n">
        <v>46144</v>
      </c>
      <c r="D496" t="inlineStr">
        <is>
          <t>DALARNAS LÄN</t>
        </is>
      </c>
      <c r="E496" t="inlineStr">
        <is>
          <t>MORA</t>
        </is>
      </c>
      <c r="G496" t="n">
        <v>0.2</v>
      </c>
      <c r="H496" t="n">
        <v>0</v>
      </c>
      <c r="I496" t="n">
        <v>0</v>
      </c>
      <c r="J496" t="n">
        <v>0</v>
      </c>
      <c r="K496" t="n">
        <v>0</v>
      </c>
      <c r="L496" t="n">
        <v>0</v>
      </c>
      <c r="M496" t="n">
        <v>0</v>
      </c>
      <c r="N496" t="n">
        <v>0</v>
      </c>
      <c r="O496" t="n">
        <v>0</v>
      </c>
      <c r="P496" t="n">
        <v>0</v>
      </c>
      <c r="Q496" t="n">
        <v>0</v>
      </c>
      <c r="R496" s="2" t="inlineStr"/>
    </row>
    <row r="497" ht="15" customHeight="1">
      <c r="A497" t="inlineStr">
        <is>
          <t>A 51888-2024</t>
        </is>
      </c>
      <c r="B497" s="1" t="n">
        <v>45607.57142361111</v>
      </c>
      <c r="C497" s="1" t="n">
        <v>46144</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62965-2025</t>
        </is>
      </c>
      <c r="B498" s="1" t="n">
        <v>46009.46129629629</v>
      </c>
      <c r="C498" s="1" t="n">
        <v>46144</v>
      </c>
      <c r="D498" t="inlineStr">
        <is>
          <t>DALARNAS LÄN</t>
        </is>
      </c>
      <c r="E498" t="inlineStr">
        <is>
          <t>MORA</t>
        </is>
      </c>
      <c r="G498" t="n">
        <v>9.1</v>
      </c>
      <c r="H498" t="n">
        <v>0</v>
      </c>
      <c r="I498" t="n">
        <v>0</v>
      </c>
      <c r="J498" t="n">
        <v>0</v>
      </c>
      <c r="K498" t="n">
        <v>0</v>
      </c>
      <c r="L498" t="n">
        <v>0</v>
      </c>
      <c r="M498" t="n">
        <v>0</v>
      </c>
      <c r="N498" t="n">
        <v>0</v>
      </c>
      <c r="O498" t="n">
        <v>0</v>
      </c>
      <c r="P498" t="n">
        <v>0</v>
      </c>
      <c r="Q498" t="n">
        <v>0</v>
      </c>
      <c r="R498" s="2" t="inlineStr"/>
    </row>
    <row r="499" ht="15" customHeight="1">
      <c r="A499" t="inlineStr">
        <is>
          <t>A 26545-2025</t>
        </is>
      </c>
      <c r="B499" s="1" t="n">
        <v>45807</v>
      </c>
      <c r="C499" s="1" t="n">
        <v>46144</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26546-2025</t>
        </is>
      </c>
      <c r="B500" s="1" t="n">
        <v>45807</v>
      </c>
      <c r="C500" s="1" t="n">
        <v>46144</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26573-2025</t>
        </is>
      </c>
      <c r="B501" s="1" t="n">
        <v>45807</v>
      </c>
      <c r="C501" s="1" t="n">
        <v>46144</v>
      </c>
      <c r="D501" t="inlineStr">
        <is>
          <t>DALARNAS LÄN</t>
        </is>
      </c>
      <c r="E501" t="inlineStr">
        <is>
          <t>MORA</t>
        </is>
      </c>
      <c r="G501" t="n">
        <v>4.3</v>
      </c>
      <c r="H501" t="n">
        <v>0</v>
      </c>
      <c r="I501" t="n">
        <v>0</v>
      </c>
      <c r="J501" t="n">
        <v>0</v>
      </c>
      <c r="K501" t="n">
        <v>0</v>
      </c>
      <c r="L501" t="n">
        <v>0</v>
      </c>
      <c r="M501" t="n">
        <v>0</v>
      </c>
      <c r="N501" t="n">
        <v>0</v>
      </c>
      <c r="O501" t="n">
        <v>0</v>
      </c>
      <c r="P501" t="n">
        <v>0</v>
      </c>
      <c r="Q501" t="n">
        <v>0</v>
      </c>
      <c r="R501" s="2" t="inlineStr"/>
    </row>
    <row r="502" ht="15" customHeight="1">
      <c r="A502" t="inlineStr">
        <is>
          <t>A 26577-2025</t>
        </is>
      </c>
      <c r="B502" s="1" t="n">
        <v>45807</v>
      </c>
      <c r="C502" s="1" t="n">
        <v>46144</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38627-2023</t>
        </is>
      </c>
      <c r="B503" s="1" t="n">
        <v>45162.68787037037</v>
      </c>
      <c r="C503" s="1" t="n">
        <v>46144</v>
      </c>
      <c r="D503" t="inlineStr">
        <is>
          <t>DALARNAS LÄN</t>
        </is>
      </c>
      <c r="E503" t="inlineStr">
        <is>
          <t>MORA</t>
        </is>
      </c>
      <c r="G503" t="n">
        <v>6.5</v>
      </c>
      <c r="H503" t="n">
        <v>0</v>
      </c>
      <c r="I503" t="n">
        <v>0</v>
      </c>
      <c r="J503" t="n">
        <v>0</v>
      </c>
      <c r="K503" t="n">
        <v>0</v>
      </c>
      <c r="L503" t="n">
        <v>0</v>
      </c>
      <c r="M503" t="n">
        <v>0</v>
      </c>
      <c r="N503" t="n">
        <v>0</v>
      </c>
      <c r="O503" t="n">
        <v>0</v>
      </c>
      <c r="P503" t="n">
        <v>0</v>
      </c>
      <c r="Q503" t="n">
        <v>0</v>
      </c>
      <c r="R503" s="2" t="inlineStr"/>
    </row>
    <row r="504" ht="15" customHeight="1">
      <c r="A504" t="inlineStr">
        <is>
          <t>A 16637-2025</t>
        </is>
      </c>
      <c r="B504" s="1" t="n">
        <v>45754.36738425926</v>
      </c>
      <c r="C504" s="1" t="n">
        <v>46144</v>
      </c>
      <c r="D504" t="inlineStr">
        <is>
          <t>DALARNAS LÄN</t>
        </is>
      </c>
      <c r="E504" t="inlineStr">
        <is>
          <t>MORA</t>
        </is>
      </c>
      <c r="G504" t="n">
        <v>1.1</v>
      </c>
      <c r="H504" t="n">
        <v>0</v>
      </c>
      <c r="I504" t="n">
        <v>0</v>
      </c>
      <c r="J504" t="n">
        <v>0</v>
      </c>
      <c r="K504" t="n">
        <v>0</v>
      </c>
      <c r="L504" t="n">
        <v>0</v>
      </c>
      <c r="M504" t="n">
        <v>0</v>
      </c>
      <c r="N504" t="n">
        <v>0</v>
      </c>
      <c r="O504" t="n">
        <v>0</v>
      </c>
      <c r="P504" t="n">
        <v>0</v>
      </c>
      <c r="Q504" t="n">
        <v>0</v>
      </c>
      <c r="R504" s="2" t="inlineStr"/>
    </row>
    <row r="505" ht="15" customHeight="1">
      <c r="A505" t="inlineStr">
        <is>
          <t>A 48570-2022</t>
        </is>
      </c>
      <c r="B505" s="1" t="n">
        <v>44859</v>
      </c>
      <c r="C505" s="1" t="n">
        <v>46144</v>
      </c>
      <c r="D505" t="inlineStr">
        <is>
          <t>DALARNAS LÄN</t>
        </is>
      </c>
      <c r="E505" t="inlineStr">
        <is>
          <t>MORA</t>
        </is>
      </c>
      <c r="G505" t="n">
        <v>6.2</v>
      </c>
      <c r="H505" t="n">
        <v>0</v>
      </c>
      <c r="I505" t="n">
        <v>0</v>
      </c>
      <c r="J505" t="n">
        <v>0</v>
      </c>
      <c r="K505" t="n">
        <v>0</v>
      </c>
      <c r="L505" t="n">
        <v>0</v>
      </c>
      <c r="M505" t="n">
        <v>0</v>
      </c>
      <c r="N505" t="n">
        <v>0</v>
      </c>
      <c r="O505" t="n">
        <v>0</v>
      </c>
      <c r="P505" t="n">
        <v>0</v>
      </c>
      <c r="Q505" t="n">
        <v>0</v>
      </c>
      <c r="R505" s="2" t="inlineStr"/>
    </row>
    <row r="506" ht="15" customHeight="1">
      <c r="A506" t="inlineStr">
        <is>
          <t>A 49991-2023</t>
        </is>
      </c>
      <c r="B506" s="1" t="n">
        <v>45215.43879629629</v>
      </c>
      <c r="C506" s="1" t="n">
        <v>46144</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62959-2025</t>
        </is>
      </c>
      <c r="B507" s="1" t="n">
        <v>46009.45792824074</v>
      </c>
      <c r="C507" s="1" t="n">
        <v>46144</v>
      </c>
      <c r="D507" t="inlineStr">
        <is>
          <t>DALARNAS LÄN</t>
        </is>
      </c>
      <c r="E507" t="inlineStr">
        <is>
          <t>MORA</t>
        </is>
      </c>
      <c r="G507" t="n">
        <v>2.6</v>
      </c>
      <c r="H507" t="n">
        <v>0</v>
      </c>
      <c r="I507" t="n">
        <v>0</v>
      </c>
      <c r="J507" t="n">
        <v>0</v>
      </c>
      <c r="K507" t="n">
        <v>0</v>
      </c>
      <c r="L507" t="n">
        <v>0</v>
      </c>
      <c r="M507" t="n">
        <v>0</v>
      </c>
      <c r="N507" t="n">
        <v>0</v>
      </c>
      <c r="O507" t="n">
        <v>0</v>
      </c>
      <c r="P507" t="n">
        <v>0</v>
      </c>
      <c r="Q507" t="n">
        <v>0</v>
      </c>
      <c r="R507" s="2" t="inlineStr"/>
    </row>
    <row r="508" ht="15" customHeight="1">
      <c r="A508" t="inlineStr">
        <is>
          <t>A 63030-2025</t>
        </is>
      </c>
      <c r="B508" s="1" t="n">
        <v>46009.60133101852</v>
      </c>
      <c r="C508" s="1" t="n">
        <v>46144</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63692-2025</t>
        </is>
      </c>
      <c r="B509" s="1" t="n">
        <v>46014.54496527778</v>
      </c>
      <c r="C509" s="1" t="n">
        <v>46144</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63457-2025</t>
        </is>
      </c>
      <c r="B510" s="1" t="n">
        <v>46013.42269675926</v>
      </c>
      <c r="C510" s="1" t="n">
        <v>46144</v>
      </c>
      <c r="D510" t="inlineStr">
        <is>
          <t>DALARNAS LÄN</t>
        </is>
      </c>
      <c r="E510" t="inlineStr">
        <is>
          <t>MORA</t>
        </is>
      </c>
      <c r="F510" t="inlineStr">
        <is>
          <t>Allmännings- och besparingsskogar</t>
        </is>
      </c>
      <c r="G510" t="n">
        <v>34.4</v>
      </c>
      <c r="H510" t="n">
        <v>0</v>
      </c>
      <c r="I510" t="n">
        <v>0</v>
      </c>
      <c r="J510" t="n">
        <v>0</v>
      </c>
      <c r="K510" t="n">
        <v>0</v>
      </c>
      <c r="L510" t="n">
        <v>0</v>
      </c>
      <c r="M510" t="n">
        <v>0</v>
      </c>
      <c r="N510" t="n">
        <v>0</v>
      </c>
      <c r="O510" t="n">
        <v>0</v>
      </c>
      <c r="P510" t="n">
        <v>0</v>
      </c>
      <c r="Q510" t="n">
        <v>0</v>
      </c>
      <c r="R510" s="2" t="inlineStr"/>
    </row>
    <row r="511" ht="15" customHeight="1">
      <c r="A511" t="inlineStr">
        <is>
          <t>A 63689-2025</t>
        </is>
      </c>
      <c r="B511" s="1" t="n">
        <v>46014.539375</v>
      </c>
      <c r="C511" s="1" t="n">
        <v>46144</v>
      </c>
      <c r="D511" t="inlineStr">
        <is>
          <t>DALARNAS LÄN</t>
        </is>
      </c>
      <c r="E511" t="inlineStr">
        <is>
          <t>MORA</t>
        </is>
      </c>
      <c r="G511" t="n">
        <v>2.2</v>
      </c>
      <c r="H511" t="n">
        <v>0</v>
      </c>
      <c r="I511" t="n">
        <v>0</v>
      </c>
      <c r="J511" t="n">
        <v>0</v>
      </c>
      <c r="K511" t="n">
        <v>0</v>
      </c>
      <c r="L511" t="n">
        <v>0</v>
      </c>
      <c r="M511" t="n">
        <v>0</v>
      </c>
      <c r="N511" t="n">
        <v>0</v>
      </c>
      <c r="O511" t="n">
        <v>0</v>
      </c>
      <c r="P511" t="n">
        <v>0</v>
      </c>
      <c r="Q511" t="n">
        <v>0</v>
      </c>
      <c r="R511" s="2" t="inlineStr"/>
    </row>
    <row r="512" ht="15" customHeight="1">
      <c r="A512" t="inlineStr">
        <is>
          <t>A 63434-2025</t>
        </is>
      </c>
      <c r="B512" s="1" t="n">
        <v>46013.36556712963</v>
      </c>
      <c r="C512" s="1" t="n">
        <v>46144</v>
      </c>
      <c r="D512" t="inlineStr">
        <is>
          <t>DALARNAS LÄN</t>
        </is>
      </c>
      <c r="E512" t="inlineStr">
        <is>
          <t>MORA</t>
        </is>
      </c>
      <c r="F512" t="inlineStr">
        <is>
          <t>Allmännings- och besparingsskogar</t>
        </is>
      </c>
      <c r="G512" t="n">
        <v>3.6</v>
      </c>
      <c r="H512" t="n">
        <v>0</v>
      </c>
      <c r="I512" t="n">
        <v>0</v>
      </c>
      <c r="J512" t="n">
        <v>0</v>
      </c>
      <c r="K512" t="n">
        <v>0</v>
      </c>
      <c r="L512" t="n">
        <v>0</v>
      </c>
      <c r="M512" t="n">
        <v>0</v>
      </c>
      <c r="N512" t="n">
        <v>0</v>
      </c>
      <c r="O512" t="n">
        <v>0</v>
      </c>
      <c r="P512" t="n">
        <v>0</v>
      </c>
      <c r="Q512" t="n">
        <v>0</v>
      </c>
      <c r="R512" s="2" t="inlineStr"/>
    </row>
    <row r="513" ht="15" customHeight="1">
      <c r="A513" t="inlineStr">
        <is>
          <t>A 52599-2025</t>
        </is>
      </c>
      <c r="B513" s="1" t="n">
        <v>45954.65564814815</v>
      </c>
      <c r="C513" s="1" t="n">
        <v>46144</v>
      </c>
      <c r="D513" t="inlineStr">
        <is>
          <t>DALARNAS LÄN</t>
        </is>
      </c>
      <c r="E513" t="inlineStr">
        <is>
          <t>MORA</t>
        </is>
      </c>
      <c r="G513" t="n">
        <v>10.8</v>
      </c>
      <c r="H513" t="n">
        <v>0</v>
      </c>
      <c r="I513" t="n">
        <v>0</v>
      </c>
      <c r="J513" t="n">
        <v>0</v>
      </c>
      <c r="K513" t="n">
        <v>0</v>
      </c>
      <c r="L513" t="n">
        <v>0</v>
      </c>
      <c r="M513" t="n">
        <v>0</v>
      </c>
      <c r="N513" t="n">
        <v>0</v>
      </c>
      <c r="O513" t="n">
        <v>0</v>
      </c>
      <c r="P513" t="n">
        <v>0</v>
      </c>
      <c r="Q513" t="n">
        <v>0</v>
      </c>
      <c r="R513" s="2" t="inlineStr"/>
    </row>
    <row r="514" ht="15" customHeight="1">
      <c r="A514" t="inlineStr">
        <is>
          <t>A 20401-2022</t>
        </is>
      </c>
      <c r="B514" s="1" t="n">
        <v>44699</v>
      </c>
      <c r="C514" s="1" t="n">
        <v>46144</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18120-2025</t>
        </is>
      </c>
      <c r="B515" s="1" t="n">
        <v>45761</v>
      </c>
      <c r="C515" s="1" t="n">
        <v>46144</v>
      </c>
      <c r="D515" t="inlineStr">
        <is>
          <t>DALARNAS LÄN</t>
        </is>
      </c>
      <c r="E515" t="inlineStr">
        <is>
          <t>MORA</t>
        </is>
      </c>
      <c r="F515" t="inlineStr">
        <is>
          <t>Bergvik skog väst AB</t>
        </is>
      </c>
      <c r="G515" t="n">
        <v>6.4</v>
      </c>
      <c r="H515" t="n">
        <v>0</v>
      </c>
      <c r="I515" t="n">
        <v>0</v>
      </c>
      <c r="J515" t="n">
        <v>0</v>
      </c>
      <c r="K515" t="n">
        <v>0</v>
      </c>
      <c r="L515" t="n">
        <v>0</v>
      </c>
      <c r="M515" t="n">
        <v>0</v>
      </c>
      <c r="N515" t="n">
        <v>0</v>
      </c>
      <c r="O515" t="n">
        <v>0</v>
      </c>
      <c r="P515" t="n">
        <v>0</v>
      </c>
      <c r="Q515" t="n">
        <v>0</v>
      </c>
      <c r="R515" s="2" t="inlineStr"/>
    </row>
    <row r="516" ht="15" customHeight="1">
      <c r="A516" t="inlineStr">
        <is>
          <t>A 18127-2025</t>
        </is>
      </c>
      <c r="B516" s="1" t="n">
        <v>45761.59523148148</v>
      </c>
      <c r="C516" s="1" t="n">
        <v>46144</v>
      </c>
      <c r="D516" t="inlineStr">
        <is>
          <t>DALARNAS LÄN</t>
        </is>
      </c>
      <c r="E516" t="inlineStr">
        <is>
          <t>MORA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63431-2025</t>
        </is>
      </c>
      <c r="B517" s="1" t="n">
        <v>46013.36268518519</v>
      </c>
      <c r="C517" s="1" t="n">
        <v>46144</v>
      </c>
      <c r="D517" t="inlineStr">
        <is>
          <t>DALARNAS LÄN</t>
        </is>
      </c>
      <c r="E517" t="inlineStr">
        <is>
          <t>MORA</t>
        </is>
      </c>
      <c r="F517" t="inlineStr">
        <is>
          <t>Allmännings- och besparingsskogar</t>
        </is>
      </c>
      <c r="G517" t="n">
        <v>5.7</v>
      </c>
      <c r="H517" t="n">
        <v>0</v>
      </c>
      <c r="I517" t="n">
        <v>0</v>
      </c>
      <c r="J517" t="n">
        <v>0</v>
      </c>
      <c r="K517" t="n">
        <v>0</v>
      </c>
      <c r="L517" t="n">
        <v>0</v>
      </c>
      <c r="M517" t="n">
        <v>0</v>
      </c>
      <c r="N517" t="n">
        <v>0</v>
      </c>
      <c r="O517" t="n">
        <v>0</v>
      </c>
      <c r="P517" t="n">
        <v>0</v>
      </c>
      <c r="Q517" t="n">
        <v>0</v>
      </c>
      <c r="R517" s="2" t="inlineStr"/>
    </row>
    <row r="518" ht="15" customHeight="1">
      <c r="A518" t="inlineStr">
        <is>
          <t>A 25887-2023</t>
        </is>
      </c>
      <c r="B518" s="1" t="n">
        <v>45090.62493055555</v>
      </c>
      <c r="C518" s="1" t="n">
        <v>46144</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63596-2025</t>
        </is>
      </c>
      <c r="B519" s="1" t="n">
        <v>46013.96362268519</v>
      </c>
      <c r="C519" s="1" t="n">
        <v>46144</v>
      </c>
      <c r="D519" t="inlineStr">
        <is>
          <t>DALARNAS LÄN</t>
        </is>
      </c>
      <c r="E519" t="inlineStr">
        <is>
          <t>MORA</t>
        </is>
      </c>
      <c r="G519" t="n">
        <v>0.6</v>
      </c>
      <c r="H519" t="n">
        <v>0</v>
      </c>
      <c r="I519" t="n">
        <v>0</v>
      </c>
      <c r="J519" t="n">
        <v>0</v>
      </c>
      <c r="K519" t="n">
        <v>0</v>
      </c>
      <c r="L519" t="n">
        <v>0</v>
      </c>
      <c r="M519" t="n">
        <v>0</v>
      </c>
      <c r="N519" t="n">
        <v>0</v>
      </c>
      <c r="O519" t="n">
        <v>0</v>
      </c>
      <c r="P519" t="n">
        <v>0</v>
      </c>
      <c r="Q519" t="n">
        <v>0</v>
      </c>
      <c r="R519" s="2" t="inlineStr"/>
    </row>
    <row r="520" ht="15" customHeight="1">
      <c r="A520" t="inlineStr">
        <is>
          <t>A 20544-2025</t>
        </is>
      </c>
      <c r="B520" s="1" t="n">
        <v>45775.63119212963</v>
      </c>
      <c r="C520" s="1" t="n">
        <v>46144</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36740-2023</t>
        </is>
      </c>
      <c r="B521" s="1" t="n">
        <v>45153</v>
      </c>
      <c r="C521" s="1" t="n">
        <v>46144</v>
      </c>
      <c r="D521" t="inlineStr">
        <is>
          <t>DALARNAS LÄN</t>
        </is>
      </c>
      <c r="E521" t="inlineStr">
        <is>
          <t>MORA</t>
        </is>
      </c>
      <c r="G521" t="n">
        <v>0.2</v>
      </c>
      <c r="H521" t="n">
        <v>0</v>
      </c>
      <c r="I521" t="n">
        <v>0</v>
      </c>
      <c r="J521" t="n">
        <v>0</v>
      </c>
      <c r="K521" t="n">
        <v>0</v>
      </c>
      <c r="L521" t="n">
        <v>0</v>
      </c>
      <c r="M521" t="n">
        <v>0</v>
      </c>
      <c r="N521" t="n">
        <v>0</v>
      </c>
      <c r="O521" t="n">
        <v>0</v>
      </c>
      <c r="P521" t="n">
        <v>0</v>
      </c>
      <c r="Q521" t="n">
        <v>0</v>
      </c>
      <c r="R521" s="2" t="inlineStr"/>
    </row>
    <row r="522" ht="15" customHeight="1">
      <c r="A522" t="inlineStr">
        <is>
          <t>A 63964-2025</t>
        </is>
      </c>
      <c r="B522" s="1" t="n">
        <v>46020</v>
      </c>
      <c r="C522" s="1" t="n">
        <v>46144</v>
      </c>
      <c r="D522" t="inlineStr">
        <is>
          <t>DALARNAS LÄN</t>
        </is>
      </c>
      <c r="E522" t="inlineStr">
        <is>
          <t>MORA</t>
        </is>
      </c>
      <c r="G522" t="n">
        <v>6.1</v>
      </c>
      <c r="H522" t="n">
        <v>0</v>
      </c>
      <c r="I522" t="n">
        <v>0</v>
      </c>
      <c r="J522" t="n">
        <v>0</v>
      </c>
      <c r="K522" t="n">
        <v>0</v>
      </c>
      <c r="L522" t="n">
        <v>0</v>
      </c>
      <c r="M522" t="n">
        <v>0</v>
      </c>
      <c r="N522" t="n">
        <v>0</v>
      </c>
      <c r="O522" t="n">
        <v>0</v>
      </c>
      <c r="P522" t="n">
        <v>0</v>
      </c>
      <c r="Q522" t="n">
        <v>0</v>
      </c>
      <c r="R522" s="2" t="inlineStr"/>
    </row>
    <row r="523" ht="15" customHeight="1">
      <c r="A523" t="inlineStr">
        <is>
          <t>A 17393-2025</t>
        </is>
      </c>
      <c r="B523" s="1" t="n">
        <v>45757.34350694445</v>
      </c>
      <c r="C523" s="1" t="n">
        <v>46144</v>
      </c>
      <c r="D523" t="inlineStr">
        <is>
          <t>DALARNAS LÄN</t>
        </is>
      </c>
      <c r="E523" t="inlineStr">
        <is>
          <t>MORA</t>
        </is>
      </c>
      <c r="G523" t="n">
        <v>10.1</v>
      </c>
      <c r="H523" t="n">
        <v>0</v>
      </c>
      <c r="I523" t="n">
        <v>0</v>
      </c>
      <c r="J523" t="n">
        <v>0</v>
      </c>
      <c r="K523" t="n">
        <v>0</v>
      </c>
      <c r="L523" t="n">
        <v>0</v>
      </c>
      <c r="M523" t="n">
        <v>0</v>
      </c>
      <c r="N523" t="n">
        <v>0</v>
      </c>
      <c r="O523" t="n">
        <v>0</v>
      </c>
      <c r="P523" t="n">
        <v>0</v>
      </c>
      <c r="Q523" t="n">
        <v>0</v>
      </c>
      <c r="R523" s="2" t="inlineStr"/>
    </row>
    <row r="524" ht="15" customHeight="1">
      <c r="A524" t="inlineStr">
        <is>
          <t>A 141-2026</t>
        </is>
      </c>
      <c r="B524" s="1" t="n">
        <v>46024.62364583334</v>
      </c>
      <c r="C524" s="1" t="n">
        <v>46144</v>
      </c>
      <c r="D524" t="inlineStr">
        <is>
          <t>DALARNAS LÄN</t>
        </is>
      </c>
      <c r="E524" t="inlineStr">
        <is>
          <t>MORA</t>
        </is>
      </c>
      <c r="G524" t="n">
        <v>4.4</v>
      </c>
      <c r="H524" t="n">
        <v>0</v>
      </c>
      <c r="I524" t="n">
        <v>0</v>
      </c>
      <c r="J524" t="n">
        <v>0</v>
      </c>
      <c r="K524" t="n">
        <v>0</v>
      </c>
      <c r="L524" t="n">
        <v>0</v>
      </c>
      <c r="M524" t="n">
        <v>0</v>
      </c>
      <c r="N524" t="n">
        <v>0</v>
      </c>
      <c r="O524" t="n">
        <v>0</v>
      </c>
      <c r="P524" t="n">
        <v>0</v>
      </c>
      <c r="Q524" t="n">
        <v>0</v>
      </c>
      <c r="R524" s="2" t="inlineStr"/>
    </row>
    <row r="525" ht="15" customHeight="1">
      <c r="A525" t="inlineStr">
        <is>
          <t>A 14936-2025</t>
        </is>
      </c>
      <c r="B525" s="1" t="n">
        <v>45743.55756944444</v>
      </c>
      <c r="C525" s="1" t="n">
        <v>46144</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56767-2024</t>
        </is>
      </c>
      <c r="B526" s="1" t="n">
        <v>45628.41274305555</v>
      </c>
      <c r="C526" s="1" t="n">
        <v>46144</v>
      </c>
      <c r="D526" t="inlineStr">
        <is>
          <t>DALARNAS LÄN</t>
        </is>
      </c>
      <c r="E526" t="inlineStr">
        <is>
          <t>MORA</t>
        </is>
      </c>
      <c r="G526" t="n">
        <v>5</v>
      </c>
      <c r="H526" t="n">
        <v>0</v>
      </c>
      <c r="I526" t="n">
        <v>0</v>
      </c>
      <c r="J526" t="n">
        <v>0</v>
      </c>
      <c r="K526" t="n">
        <v>0</v>
      </c>
      <c r="L526" t="n">
        <v>0</v>
      </c>
      <c r="M526" t="n">
        <v>0</v>
      </c>
      <c r="N526" t="n">
        <v>0</v>
      </c>
      <c r="O526" t="n">
        <v>0</v>
      </c>
      <c r="P526" t="n">
        <v>0</v>
      </c>
      <c r="Q526" t="n">
        <v>0</v>
      </c>
      <c r="R526" s="2" t="inlineStr"/>
    </row>
    <row r="527" ht="15" customHeight="1">
      <c r="A527" t="inlineStr">
        <is>
          <t>A 239-2026</t>
        </is>
      </c>
      <c r="B527" s="1" t="n">
        <v>46027</v>
      </c>
      <c r="C527" s="1" t="n">
        <v>46144</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60962-2025</t>
        </is>
      </c>
      <c r="B528" s="1" t="n">
        <v>45999.66488425926</v>
      </c>
      <c r="C528" s="1" t="n">
        <v>46144</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35381-2024</t>
        </is>
      </c>
      <c r="B529" s="1" t="n">
        <v>45531.38372685185</v>
      </c>
      <c r="C529" s="1" t="n">
        <v>46144</v>
      </c>
      <c r="D529" t="inlineStr">
        <is>
          <t>DALARNAS LÄN</t>
        </is>
      </c>
      <c r="E529" t="inlineStr">
        <is>
          <t>MORA</t>
        </is>
      </c>
      <c r="G529" t="n">
        <v>3.7</v>
      </c>
      <c r="H529" t="n">
        <v>0</v>
      </c>
      <c r="I529" t="n">
        <v>0</v>
      </c>
      <c r="J529" t="n">
        <v>0</v>
      </c>
      <c r="K529" t="n">
        <v>0</v>
      </c>
      <c r="L529" t="n">
        <v>0</v>
      </c>
      <c r="M529" t="n">
        <v>0</v>
      </c>
      <c r="N529" t="n">
        <v>0</v>
      </c>
      <c r="O529" t="n">
        <v>0</v>
      </c>
      <c r="P529" t="n">
        <v>0</v>
      </c>
      <c r="Q529" t="n">
        <v>0</v>
      </c>
      <c r="R529" s="2" t="inlineStr"/>
    </row>
    <row r="530" ht="15" customHeight="1">
      <c r="A530" t="inlineStr">
        <is>
          <t>A 15817-2024</t>
        </is>
      </c>
      <c r="B530" s="1" t="n">
        <v>45404.67387731482</v>
      </c>
      <c r="C530" s="1" t="n">
        <v>46144</v>
      </c>
      <c r="D530" t="inlineStr">
        <is>
          <t>DALARNAS LÄN</t>
        </is>
      </c>
      <c r="E530" t="inlineStr">
        <is>
          <t>MORA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1068-2026</t>
        </is>
      </c>
      <c r="B531" s="1" t="n">
        <v>46030</v>
      </c>
      <c r="C531" s="1" t="n">
        <v>46144</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46755-2023</t>
        </is>
      </c>
      <c r="B532" s="1" t="n">
        <v>45198.61314814815</v>
      </c>
      <c r="C532" s="1" t="n">
        <v>46144</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665-2026</t>
        </is>
      </c>
      <c r="B533" s="1" t="n">
        <v>46029</v>
      </c>
      <c r="C533" s="1" t="n">
        <v>46144</v>
      </c>
      <c r="D533" t="inlineStr">
        <is>
          <t>DALARNAS LÄN</t>
        </is>
      </c>
      <c r="E533" t="inlineStr">
        <is>
          <t>MORA</t>
        </is>
      </c>
      <c r="F533" t="inlineStr">
        <is>
          <t>Kommuner</t>
        </is>
      </c>
      <c r="G533" t="n">
        <v>20.9</v>
      </c>
      <c r="H533" t="n">
        <v>0</v>
      </c>
      <c r="I533" t="n">
        <v>0</v>
      </c>
      <c r="J533" t="n">
        <v>0</v>
      </c>
      <c r="K533" t="n">
        <v>0</v>
      </c>
      <c r="L533" t="n">
        <v>0</v>
      </c>
      <c r="M533" t="n">
        <v>0</v>
      </c>
      <c r="N533" t="n">
        <v>0</v>
      </c>
      <c r="O533" t="n">
        <v>0</v>
      </c>
      <c r="P533" t="n">
        <v>0</v>
      </c>
      <c r="Q533" t="n">
        <v>0</v>
      </c>
      <c r="R533" s="2" t="inlineStr"/>
    </row>
    <row r="534" ht="15" customHeight="1">
      <c r="A534" t="inlineStr">
        <is>
          <t>A 14378-2025</t>
        </is>
      </c>
      <c r="B534" s="1" t="n">
        <v>45741</v>
      </c>
      <c r="C534" s="1" t="n">
        <v>46144</v>
      </c>
      <c r="D534" t="inlineStr">
        <is>
          <t>DALARNAS LÄN</t>
        </is>
      </c>
      <c r="E534" t="inlineStr">
        <is>
          <t>MORA</t>
        </is>
      </c>
      <c r="G534" t="n">
        <v>5.2</v>
      </c>
      <c r="H534" t="n">
        <v>0</v>
      </c>
      <c r="I534" t="n">
        <v>0</v>
      </c>
      <c r="J534" t="n">
        <v>0</v>
      </c>
      <c r="K534" t="n">
        <v>0</v>
      </c>
      <c r="L534" t="n">
        <v>0</v>
      </c>
      <c r="M534" t="n">
        <v>0</v>
      </c>
      <c r="N534" t="n">
        <v>0</v>
      </c>
      <c r="O534" t="n">
        <v>0</v>
      </c>
      <c r="P534" t="n">
        <v>0</v>
      </c>
      <c r="Q534" t="n">
        <v>0</v>
      </c>
      <c r="R534" s="2" t="inlineStr"/>
    </row>
    <row r="535" ht="15" customHeight="1">
      <c r="A535" t="inlineStr">
        <is>
          <t>A 902-2026</t>
        </is>
      </c>
      <c r="B535" s="1" t="n">
        <v>46030.46954861111</v>
      </c>
      <c r="C535" s="1" t="n">
        <v>46144</v>
      </c>
      <c r="D535" t="inlineStr">
        <is>
          <t>DALARNAS LÄN</t>
        </is>
      </c>
      <c r="E535" t="inlineStr">
        <is>
          <t>MORA</t>
        </is>
      </c>
      <c r="G535" t="n">
        <v>4.2</v>
      </c>
      <c r="H535" t="n">
        <v>0</v>
      </c>
      <c r="I535" t="n">
        <v>0</v>
      </c>
      <c r="J535" t="n">
        <v>0</v>
      </c>
      <c r="K535" t="n">
        <v>0</v>
      </c>
      <c r="L535" t="n">
        <v>0</v>
      </c>
      <c r="M535" t="n">
        <v>0</v>
      </c>
      <c r="N535" t="n">
        <v>0</v>
      </c>
      <c r="O535" t="n">
        <v>0</v>
      </c>
      <c r="P535" t="n">
        <v>0</v>
      </c>
      <c r="Q535" t="n">
        <v>0</v>
      </c>
      <c r="R535" s="2" t="inlineStr"/>
    </row>
    <row r="536" ht="15" customHeight="1">
      <c r="A536" t="inlineStr">
        <is>
          <t>A 1102-2026</t>
        </is>
      </c>
      <c r="B536" s="1" t="n">
        <v>46030.66743055556</v>
      </c>
      <c r="C536" s="1" t="n">
        <v>46144</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44177-2023</t>
        </is>
      </c>
      <c r="B537" s="1" t="n">
        <v>45188.51439814815</v>
      </c>
      <c r="C537" s="1" t="n">
        <v>46144</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44201-2023</t>
        </is>
      </c>
      <c r="B538" s="1" t="n">
        <v>45188</v>
      </c>
      <c r="C538" s="1" t="n">
        <v>46144</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55222-2023</t>
        </is>
      </c>
      <c r="B539" s="1" t="n">
        <v>45237.60775462963</v>
      </c>
      <c r="C539" s="1" t="n">
        <v>46144</v>
      </c>
      <c r="D539" t="inlineStr">
        <is>
          <t>DALARNAS LÄN</t>
        </is>
      </c>
      <c r="E539" t="inlineStr">
        <is>
          <t>MORA</t>
        </is>
      </c>
      <c r="F539" t="inlineStr">
        <is>
          <t>Allmännings- och besparingsskogar</t>
        </is>
      </c>
      <c r="G539" t="n">
        <v>19.8</v>
      </c>
      <c r="H539" t="n">
        <v>0</v>
      </c>
      <c r="I539" t="n">
        <v>0</v>
      </c>
      <c r="J539" t="n">
        <v>0</v>
      </c>
      <c r="K539" t="n">
        <v>0</v>
      </c>
      <c r="L539" t="n">
        <v>0</v>
      </c>
      <c r="M539" t="n">
        <v>0</v>
      </c>
      <c r="N539" t="n">
        <v>0</v>
      </c>
      <c r="O539" t="n">
        <v>0</v>
      </c>
      <c r="P539" t="n">
        <v>0</v>
      </c>
      <c r="Q539" t="n">
        <v>0</v>
      </c>
      <c r="R539" s="2" t="inlineStr"/>
    </row>
    <row r="540" ht="15" customHeight="1">
      <c r="A540" t="inlineStr">
        <is>
          <t>A 31177-2021</t>
        </is>
      </c>
      <c r="B540" s="1" t="n">
        <v>44368</v>
      </c>
      <c r="C540" s="1" t="n">
        <v>46144</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51570-2023</t>
        </is>
      </c>
      <c r="B541" s="1" t="n">
        <v>45222</v>
      </c>
      <c r="C541" s="1" t="n">
        <v>46144</v>
      </c>
      <c r="D541" t="inlineStr">
        <is>
          <t>DALARNAS LÄN</t>
        </is>
      </c>
      <c r="E541" t="inlineStr">
        <is>
          <t>MORA</t>
        </is>
      </c>
      <c r="G541" t="n">
        <v>10.1</v>
      </c>
      <c r="H541" t="n">
        <v>0</v>
      </c>
      <c r="I541" t="n">
        <v>0</v>
      </c>
      <c r="J541" t="n">
        <v>0</v>
      </c>
      <c r="K541" t="n">
        <v>0</v>
      </c>
      <c r="L541" t="n">
        <v>0</v>
      </c>
      <c r="M541" t="n">
        <v>0</v>
      </c>
      <c r="N541" t="n">
        <v>0</v>
      </c>
      <c r="O541" t="n">
        <v>0</v>
      </c>
      <c r="P541" t="n">
        <v>0</v>
      </c>
      <c r="Q541" t="n">
        <v>0</v>
      </c>
      <c r="R541" s="2" t="inlineStr"/>
    </row>
    <row r="542" ht="15" customHeight="1">
      <c r="A542" t="inlineStr">
        <is>
          <t>A 32261-2022</t>
        </is>
      </c>
      <c r="B542" s="1" t="n">
        <v>44781.5350925926</v>
      </c>
      <c r="C542" s="1" t="n">
        <v>46144</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2110-2026</t>
        </is>
      </c>
      <c r="B543" s="1" t="n">
        <v>46036</v>
      </c>
      <c r="C543" s="1" t="n">
        <v>46144</v>
      </c>
      <c r="D543" t="inlineStr">
        <is>
          <t>DALARNAS LÄN</t>
        </is>
      </c>
      <c r="E543" t="inlineStr">
        <is>
          <t>MORA</t>
        </is>
      </c>
      <c r="G543" t="n">
        <v>7.2</v>
      </c>
      <c r="H543" t="n">
        <v>0</v>
      </c>
      <c r="I543" t="n">
        <v>0</v>
      </c>
      <c r="J543" t="n">
        <v>0</v>
      </c>
      <c r="K543" t="n">
        <v>0</v>
      </c>
      <c r="L543" t="n">
        <v>0</v>
      </c>
      <c r="M543" t="n">
        <v>0</v>
      </c>
      <c r="N543" t="n">
        <v>0</v>
      </c>
      <c r="O543" t="n">
        <v>0</v>
      </c>
      <c r="P543" t="n">
        <v>0</v>
      </c>
      <c r="Q543" t="n">
        <v>0</v>
      </c>
      <c r="R543" s="2" t="inlineStr"/>
    </row>
    <row r="544" ht="15" customHeight="1">
      <c r="A544" t="inlineStr">
        <is>
          <t>A 48825-2023</t>
        </is>
      </c>
      <c r="B544" s="1" t="n">
        <v>45203</v>
      </c>
      <c r="C544" s="1" t="n">
        <v>46144</v>
      </c>
      <c r="D544" t="inlineStr">
        <is>
          <t>DALARNAS LÄN</t>
        </is>
      </c>
      <c r="E544" t="inlineStr">
        <is>
          <t>MORA</t>
        </is>
      </c>
      <c r="G544" t="n">
        <v>7.9</v>
      </c>
      <c r="H544" t="n">
        <v>0</v>
      </c>
      <c r="I544" t="n">
        <v>0</v>
      </c>
      <c r="J544" t="n">
        <v>0</v>
      </c>
      <c r="K544" t="n">
        <v>0</v>
      </c>
      <c r="L544" t="n">
        <v>0</v>
      </c>
      <c r="M544" t="n">
        <v>0</v>
      </c>
      <c r="N544" t="n">
        <v>0</v>
      </c>
      <c r="O544" t="n">
        <v>0</v>
      </c>
      <c r="P544" t="n">
        <v>0</v>
      </c>
      <c r="Q544" t="n">
        <v>0</v>
      </c>
      <c r="R544" s="2" t="inlineStr"/>
    </row>
    <row r="545" ht="15" customHeight="1">
      <c r="A545" t="inlineStr">
        <is>
          <t>A 18806-2025</t>
        </is>
      </c>
      <c r="B545" s="1" t="n">
        <v>45764.35269675926</v>
      </c>
      <c r="C545" s="1" t="n">
        <v>46144</v>
      </c>
      <c r="D545" t="inlineStr">
        <is>
          <t>DALARNAS LÄN</t>
        </is>
      </c>
      <c r="E545" t="inlineStr">
        <is>
          <t>MORA</t>
        </is>
      </c>
      <c r="G545" t="n">
        <v>1.7</v>
      </c>
      <c r="H545" t="n">
        <v>0</v>
      </c>
      <c r="I545" t="n">
        <v>0</v>
      </c>
      <c r="J545" t="n">
        <v>0</v>
      </c>
      <c r="K545" t="n">
        <v>0</v>
      </c>
      <c r="L545" t="n">
        <v>0</v>
      </c>
      <c r="M545" t="n">
        <v>0</v>
      </c>
      <c r="N545" t="n">
        <v>0</v>
      </c>
      <c r="O545" t="n">
        <v>0</v>
      </c>
      <c r="P545" t="n">
        <v>0</v>
      </c>
      <c r="Q545" t="n">
        <v>0</v>
      </c>
      <c r="R545" s="2" t="inlineStr"/>
    </row>
    <row r="546" ht="15" customHeight="1">
      <c r="A546" t="inlineStr">
        <is>
          <t>A 1881-2026</t>
        </is>
      </c>
      <c r="B546" s="1" t="n">
        <v>46035.4731712963</v>
      </c>
      <c r="C546" s="1" t="n">
        <v>46144</v>
      </c>
      <c r="D546" t="inlineStr">
        <is>
          <t>DALARNAS LÄN</t>
        </is>
      </c>
      <c r="E546" t="inlineStr">
        <is>
          <t>MORA</t>
        </is>
      </c>
      <c r="G546" t="n">
        <v>5.2</v>
      </c>
      <c r="H546" t="n">
        <v>0</v>
      </c>
      <c r="I546" t="n">
        <v>0</v>
      </c>
      <c r="J546" t="n">
        <v>0</v>
      </c>
      <c r="K546" t="n">
        <v>0</v>
      </c>
      <c r="L546" t="n">
        <v>0</v>
      </c>
      <c r="M546" t="n">
        <v>0</v>
      </c>
      <c r="N546" t="n">
        <v>0</v>
      </c>
      <c r="O546" t="n">
        <v>0</v>
      </c>
      <c r="P546" t="n">
        <v>0</v>
      </c>
      <c r="Q546" t="n">
        <v>0</v>
      </c>
      <c r="R546" s="2" t="inlineStr"/>
    </row>
    <row r="547" ht="15" customHeight="1">
      <c r="A547" t="inlineStr">
        <is>
          <t>A 17163-2025</t>
        </is>
      </c>
      <c r="B547" s="1" t="n">
        <v>45756.35998842592</v>
      </c>
      <c r="C547" s="1" t="n">
        <v>46144</v>
      </c>
      <c r="D547" t="inlineStr">
        <is>
          <t>DALARNAS LÄN</t>
        </is>
      </c>
      <c r="E547" t="inlineStr">
        <is>
          <t>MORA</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10777-2025</t>
        </is>
      </c>
      <c r="B548" s="1" t="n">
        <v>45722.47743055555</v>
      </c>
      <c r="C548" s="1" t="n">
        <v>46144</v>
      </c>
      <c r="D548" t="inlineStr">
        <is>
          <t>DALARNAS LÄN</t>
        </is>
      </c>
      <c r="E548" t="inlineStr">
        <is>
          <t>MORA</t>
        </is>
      </c>
      <c r="G548" t="n">
        <v>9.9</v>
      </c>
      <c r="H548" t="n">
        <v>0</v>
      </c>
      <c r="I548" t="n">
        <v>0</v>
      </c>
      <c r="J548" t="n">
        <v>0</v>
      </c>
      <c r="K548" t="n">
        <v>0</v>
      </c>
      <c r="L548" t="n">
        <v>0</v>
      </c>
      <c r="M548" t="n">
        <v>0</v>
      </c>
      <c r="N548" t="n">
        <v>0</v>
      </c>
      <c r="O548" t="n">
        <v>0</v>
      </c>
      <c r="P548" t="n">
        <v>0</v>
      </c>
      <c r="Q548" t="n">
        <v>0</v>
      </c>
      <c r="R548" s="2" t="inlineStr"/>
    </row>
    <row r="549" ht="15" customHeight="1">
      <c r="A549" t="inlineStr">
        <is>
          <t>A 2995-2026</t>
        </is>
      </c>
      <c r="B549" s="1" t="n">
        <v>46038</v>
      </c>
      <c r="C549" s="1" t="n">
        <v>46144</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54253-2023</t>
        </is>
      </c>
      <c r="B550" s="1" t="n">
        <v>45232.63217592592</v>
      </c>
      <c r="C550" s="1" t="n">
        <v>46144</v>
      </c>
      <c r="D550" t="inlineStr">
        <is>
          <t>DALARNAS LÄN</t>
        </is>
      </c>
      <c r="E550" t="inlineStr">
        <is>
          <t>MORA</t>
        </is>
      </c>
      <c r="G550" t="n">
        <v>4.5</v>
      </c>
      <c r="H550" t="n">
        <v>0</v>
      </c>
      <c r="I550" t="n">
        <v>0</v>
      </c>
      <c r="J550" t="n">
        <v>0</v>
      </c>
      <c r="K550" t="n">
        <v>0</v>
      </c>
      <c r="L550" t="n">
        <v>0</v>
      </c>
      <c r="M550" t="n">
        <v>0</v>
      </c>
      <c r="N550" t="n">
        <v>0</v>
      </c>
      <c r="O550" t="n">
        <v>0</v>
      </c>
      <c r="P550" t="n">
        <v>0</v>
      </c>
      <c r="Q550" t="n">
        <v>0</v>
      </c>
      <c r="R550" s="2" t="inlineStr"/>
    </row>
    <row r="551" ht="15" customHeight="1">
      <c r="A551" t="inlineStr">
        <is>
          <t>A 673-2026</t>
        </is>
      </c>
      <c r="B551" s="1" t="n">
        <v>46029</v>
      </c>
      <c r="C551" s="1" t="n">
        <v>46144</v>
      </c>
      <c r="D551" t="inlineStr">
        <is>
          <t>DALARNAS LÄN</t>
        </is>
      </c>
      <c r="E551" t="inlineStr">
        <is>
          <t>MORA</t>
        </is>
      </c>
      <c r="F551" t="inlineStr">
        <is>
          <t>Kommuner</t>
        </is>
      </c>
      <c r="G551" t="n">
        <v>25.8</v>
      </c>
      <c r="H551" t="n">
        <v>0</v>
      </c>
      <c r="I551" t="n">
        <v>0</v>
      </c>
      <c r="J551" t="n">
        <v>0</v>
      </c>
      <c r="K551" t="n">
        <v>0</v>
      </c>
      <c r="L551" t="n">
        <v>0</v>
      </c>
      <c r="M551" t="n">
        <v>0</v>
      </c>
      <c r="N551" t="n">
        <v>0</v>
      </c>
      <c r="O551" t="n">
        <v>0</v>
      </c>
      <c r="P551" t="n">
        <v>0</v>
      </c>
      <c r="Q551" t="n">
        <v>0</v>
      </c>
      <c r="R551" s="2" t="inlineStr"/>
    </row>
    <row r="552" ht="15" customHeight="1">
      <c r="A552" t="inlineStr">
        <is>
          <t>A 2521-2026</t>
        </is>
      </c>
      <c r="B552" s="1" t="n">
        <v>46037.42600694444</v>
      </c>
      <c r="C552" s="1" t="n">
        <v>46144</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2786-2026</t>
        </is>
      </c>
      <c r="B553" s="1" t="n">
        <v>46038.39023148148</v>
      </c>
      <c r="C553" s="1" t="n">
        <v>46144</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2637-2026</t>
        </is>
      </c>
      <c r="B554" s="1" t="n">
        <v>46037.61490740741</v>
      </c>
      <c r="C554" s="1" t="n">
        <v>46144</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44817-2023</t>
        </is>
      </c>
      <c r="B555" s="1" t="n">
        <v>45190.51887731482</v>
      </c>
      <c r="C555" s="1" t="n">
        <v>46144</v>
      </c>
      <c r="D555" t="inlineStr">
        <is>
          <t>DALARNAS LÄN</t>
        </is>
      </c>
      <c r="E555" t="inlineStr">
        <is>
          <t>MORA</t>
        </is>
      </c>
      <c r="G555" t="n">
        <v>1.6</v>
      </c>
      <c r="H555" t="n">
        <v>0</v>
      </c>
      <c r="I555" t="n">
        <v>0</v>
      </c>
      <c r="J555" t="n">
        <v>0</v>
      </c>
      <c r="K555" t="n">
        <v>0</v>
      </c>
      <c r="L555" t="n">
        <v>0</v>
      </c>
      <c r="M555" t="n">
        <v>0</v>
      </c>
      <c r="N555" t="n">
        <v>0</v>
      </c>
      <c r="O555" t="n">
        <v>0</v>
      </c>
      <c r="P555" t="n">
        <v>0</v>
      </c>
      <c r="Q555" t="n">
        <v>0</v>
      </c>
      <c r="R555" s="2" t="inlineStr"/>
    </row>
    <row r="556" ht="15" customHeight="1">
      <c r="A556" t="inlineStr">
        <is>
          <t>A 17865-2025</t>
        </is>
      </c>
      <c r="B556" s="1" t="n">
        <v>45758.62951388889</v>
      </c>
      <c r="C556" s="1" t="n">
        <v>46144</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3260-2026</t>
        </is>
      </c>
      <c r="B557" s="1" t="n">
        <v>46041</v>
      </c>
      <c r="C557" s="1" t="n">
        <v>46144</v>
      </c>
      <c r="D557" t="inlineStr">
        <is>
          <t>DALARNAS LÄN</t>
        </is>
      </c>
      <c r="E557" t="inlineStr">
        <is>
          <t>MORA</t>
        </is>
      </c>
      <c r="G557" t="n">
        <v>27.1</v>
      </c>
      <c r="H557" t="n">
        <v>0</v>
      </c>
      <c r="I557" t="n">
        <v>0</v>
      </c>
      <c r="J557" t="n">
        <v>0</v>
      </c>
      <c r="K557" t="n">
        <v>0</v>
      </c>
      <c r="L557" t="n">
        <v>0</v>
      </c>
      <c r="M557" t="n">
        <v>0</v>
      </c>
      <c r="N557" t="n">
        <v>0</v>
      </c>
      <c r="O557" t="n">
        <v>0</v>
      </c>
      <c r="P557" t="n">
        <v>0</v>
      </c>
      <c r="Q557" t="n">
        <v>0</v>
      </c>
      <c r="R557" s="2" t="inlineStr"/>
    </row>
    <row r="558" ht="15" customHeight="1">
      <c r="A558" t="inlineStr">
        <is>
          <t>A 17167-2025</t>
        </is>
      </c>
      <c r="B558" s="1" t="n">
        <v>45756.36844907407</v>
      </c>
      <c r="C558" s="1" t="n">
        <v>46144</v>
      </c>
      <c r="D558" t="inlineStr">
        <is>
          <t>DALARNAS LÄN</t>
        </is>
      </c>
      <c r="E558" t="inlineStr">
        <is>
          <t>MORA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17176-2025</t>
        </is>
      </c>
      <c r="B559" s="1" t="n">
        <v>45756.37520833333</v>
      </c>
      <c r="C559" s="1" t="n">
        <v>46144</v>
      </c>
      <c r="D559" t="inlineStr">
        <is>
          <t>DALARNAS LÄN</t>
        </is>
      </c>
      <c r="E559" t="inlineStr">
        <is>
          <t>MORA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3145-2026</t>
        </is>
      </c>
      <c r="B560" s="1" t="n">
        <v>46041.41971064815</v>
      </c>
      <c r="C560" s="1" t="n">
        <v>46144</v>
      </c>
      <c r="D560" t="inlineStr">
        <is>
          <t>DALARNAS LÄN</t>
        </is>
      </c>
      <c r="E560" t="inlineStr">
        <is>
          <t>MORA</t>
        </is>
      </c>
      <c r="G560" t="n">
        <v>4.3</v>
      </c>
      <c r="H560" t="n">
        <v>0</v>
      </c>
      <c r="I560" t="n">
        <v>0</v>
      </c>
      <c r="J560" t="n">
        <v>0</v>
      </c>
      <c r="K560" t="n">
        <v>0</v>
      </c>
      <c r="L560" t="n">
        <v>0</v>
      </c>
      <c r="M560" t="n">
        <v>0</v>
      </c>
      <c r="N560" t="n">
        <v>0</v>
      </c>
      <c r="O560" t="n">
        <v>0</v>
      </c>
      <c r="P560" t="n">
        <v>0</v>
      </c>
      <c r="Q560" t="n">
        <v>0</v>
      </c>
      <c r="R560" s="2" t="inlineStr"/>
    </row>
    <row r="561" ht="15" customHeight="1">
      <c r="A561" t="inlineStr">
        <is>
          <t>A 3247-2026</t>
        </is>
      </c>
      <c r="B561" s="1" t="n">
        <v>46041</v>
      </c>
      <c r="C561" s="1" t="n">
        <v>46144</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57999-2023</t>
        </is>
      </c>
      <c r="B562" s="1" t="n">
        <v>45247</v>
      </c>
      <c r="C562" s="1" t="n">
        <v>46144</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3149-2026</t>
        </is>
      </c>
      <c r="B563" s="1" t="n">
        <v>46041.42416666666</v>
      </c>
      <c r="C563" s="1" t="n">
        <v>46144</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3440-2026</t>
        </is>
      </c>
      <c r="B564" s="1" t="n">
        <v>46042.475625</v>
      </c>
      <c r="C564" s="1" t="n">
        <v>46144</v>
      </c>
      <c r="D564" t="inlineStr">
        <is>
          <t>DALARNAS LÄN</t>
        </is>
      </c>
      <c r="E564" t="inlineStr">
        <is>
          <t>MORA</t>
        </is>
      </c>
      <c r="G564" t="n">
        <v>6.7</v>
      </c>
      <c r="H564" t="n">
        <v>0</v>
      </c>
      <c r="I564" t="n">
        <v>0</v>
      </c>
      <c r="J564" t="n">
        <v>0</v>
      </c>
      <c r="K564" t="n">
        <v>0</v>
      </c>
      <c r="L564" t="n">
        <v>0</v>
      </c>
      <c r="M564" t="n">
        <v>0</v>
      </c>
      <c r="N564" t="n">
        <v>0</v>
      </c>
      <c r="O564" t="n">
        <v>0</v>
      </c>
      <c r="P564" t="n">
        <v>0</v>
      </c>
      <c r="Q564" t="n">
        <v>0</v>
      </c>
      <c r="R564" s="2" t="inlineStr"/>
    </row>
    <row r="565" ht="15" customHeight="1">
      <c r="A565" t="inlineStr">
        <is>
          <t>A 57319-2023</t>
        </is>
      </c>
      <c r="B565" s="1" t="n">
        <v>45245.64877314815</v>
      </c>
      <c r="C565" s="1" t="n">
        <v>46144</v>
      </c>
      <c r="D565" t="inlineStr">
        <is>
          <t>DALARNAS LÄN</t>
        </is>
      </c>
      <c r="E565" t="inlineStr">
        <is>
          <t>MORA</t>
        </is>
      </c>
      <c r="G565" t="n">
        <v>2</v>
      </c>
      <c r="H565" t="n">
        <v>0</v>
      </c>
      <c r="I565" t="n">
        <v>0</v>
      </c>
      <c r="J565" t="n">
        <v>0</v>
      </c>
      <c r="K565" t="n">
        <v>0</v>
      </c>
      <c r="L565" t="n">
        <v>0</v>
      </c>
      <c r="M565" t="n">
        <v>0</v>
      </c>
      <c r="N565" t="n">
        <v>0</v>
      </c>
      <c r="O565" t="n">
        <v>0</v>
      </c>
      <c r="P565" t="n">
        <v>0</v>
      </c>
      <c r="Q565" t="n">
        <v>0</v>
      </c>
      <c r="R565" s="2" t="inlineStr"/>
    </row>
    <row r="566" ht="15" customHeight="1">
      <c r="A566" t="inlineStr">
        <is>
          <t>A 4155-2026</t>
        </is>
      </c>
      <c r="B566" s="1" t="n">
        <v>46044.6533449074</v>
      </c>
      <c r="C566" s="1" t="n">
        <v>46144</v>
      </c>
      <c r="D566" t="inlineStr">
        <is>
          <t>DALARNAS LÄN</t>
        </is>
      </c>
      <c r="E566" t="inlineStr">
        <is>
          <t>MORA</t>
        </is>
      </c>
      <c r="G566" t="n">
        <v>0.8</v>
      </c>
      <c r="H566" t="n">
        <v>0</v>
      </c>
      <c r="I566" t="n">
        <v>0</v>
      </c>
      <c r="J566" t="n">
        <v>0</v>
      </c>
      <c r="K566" t="n">
        <v>0</v>
      </c>
      <c r="L566" t="n">
        <v>0</v>
      </c>
      <c r="M566" t="n">
        <v>0</v>
      </c>
      <c r="N566" t="n">
        <v>0</v>
      </c>
      <c r="O566" t="n">
        <v>0</v>
      </c>
      <c r="P566" t="n">
        <v>0</v>
      </c>
      <c r="Q566" t="n">
        <v>0</v>
      </c>
      <c r="R566" s="2" t="inlineStr"/>
    </row>
    <row r="567" ht="15" customHeight="1">
      <c r="A567" t="inlineStr">
        <is>
          <t>A 62853-2023</t>
        </is>
      </c>
      <c r="B567" s="1" t="n">
        <v>45272</v>
      </c>
      <c r="C567" s="1" t="n">
        <v>46144</v>
      </c>
      <c r="D567" t="inlineStr">
        <is>
          <t>DALARNAS LÄN</t>
        </is>
      </c>
      <c r="E567" t="inlineStr">
        <is>
          <t>MORA</t>
        </is>
      </c>
      <c r="G567" t="n">
        <v>13.6</v>
      </c>
      <c r="H567" t="n">
        <v>0</v>
      </c>
      <c r="I567" t="n">
        <v>0</v>
      </c>
      <c r="J567" t="n">
        <v>0</v>
      </c>
      <c r="K567" t="n">
        <v>0</v>
      </c>
      <c r="L567" t="n">
        <v>0</v>
      </c>
      <c r="M567" t="n">
        <v>0</v>
      </c>
      <c r="N567" t="n">
        <v>0</v>
      </c>
      <c r="O567" t="n">
        <v>0</v>
      </c>
      <c r="P567" t="n">
        <v>0</v>
      </c>
      <c r="Q567" t="n">
        <v>0</v>
      </c>
      <c r="R567" s="2" t="inlineStr"/>
    </row>
    <row r="568" ht="15" customHeight="1">
      <c r="A568" t="inlineStr">
        <is>
          <t>A 4213-2026</t>
        </is>
      </c>
      <c r="B568" s="1" t="n">
        <v>46044.741875</v>
      </c>
      <c r="C568" s="1" t="n">
        <v>46144</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3854-2026</t>
        </is>
      </c>
      <c r="B569" s="1" t="n">
        <v>46043</v>
      </c>
      <c r="C569" s="1" t="n">
        <v>46144</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3876-2026</t>
        </is>
      </c>
      <c r="B570" s="1" t="n">
        <v>46043.64811342592</v>
      </c>
      <c r="C570" s="1" t="n">
        <v>46144</v>
      </c>
      <c r="D570" t="inlineStr">
        <is>
          <t>DALARNAS LÄN</t>
        </is>
      </c>
      <c r="E570" t="inlineStr">
        <is>
          <t>MORA</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43826-2022</t>
        </is>
      </c>
      <c r="B571" s="1" t="n">
        <v>44838</v>
      </c>
      <c r="C571" s="1" t="n">
        <v>46144</v>
      </c>
      <c r="D571" t="inlineStr">
        <is>
          <t>DALARNAS LÄN</t>
        </is>
      </c>
      <c r="E571" t="inlineStr">
        <is>
          <t>MORA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29754-2022</t>
        </is>
      </c>
      <c r="B572" s="1" t="n">
        <v>44755.59188657408</v>
      </c>
      <c r="C572" s="1" t="n">
        <v>46144</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3669-2026</t>
        </is>
      </c>
      <c r="B573" s="1" t="n">
        <v>46043.41603009259</v>
      </c>
      <c r="C573" s="1" t="n">
        <v>46144</v>
      </c>
      <c r="D573" t="inlineStr">
        <is>
          <t>DALARNAS LÄN</t>
        </is>
      </c>
      <c r="E573" t="inlineStr">
        <is>
          <t>MORA</t>
        </is>
      </c>
      <c r="G573" t="n">
        <v>4.6</v>
      </c>
      <c r="H573" t="n">
        <v>0</v>
      </c>
      <c r="I573" t="n">
        <v>0</v>
      </c>
      <c r="J573" t="n">
        <v>0</v>
      </c>
      <c r="K573" t="n">
        <v>0</v>
      </c>
      <c r="L573" t="n">
        <v>0</v>
      </c>
      <c r="M573" t="n">
        <v>0</v>
      </c>
      <c r="N573" t="n">
        <v>0</v>
      </c>
      <c r="O573" t="n">
        <v>0</v>
      </c>
      <c r="P573" t="n">
        <v>0</v>
      </c>
      <c r="Q573" t="n">
        <v>0</v>
      </c>
      <c r="R573" s="2" t="inlineStr"/>
    </row>
    <row r="574" ht="15" customHeight="1">
      <c r="A574" t="inlineStr">
        <is>
          <t>A 36579-2022</t>
        </is>
      </c>
      <c r="B574" s="1" t="n">
        <v>44804.61636574074</v>
      </c>
      <c r="C574" s="1" t="n">
        <v>46144</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3742-2026</t>
        </is>
      </c>
      <c r="B575" s="1" t="n">
        <v>46043</v>
      </c>
      <c r="C575" s="1" t="n">
        <v>46144</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3531-2024</t>
        </is>
      </c>
      <c r="B576" s="1" t="n">
        <v>45320</v>
      </c>
      <c r="C576" s="1" t="n">
        <v>46144</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c r="U576">
        <f>HYPERLINK("https://klasma.github.io/Logging_2062/knärot/A 3531-2024 karta knärot.png", "A 3531-2024")</f>
        <v/>
      </c>
      <c r="V576">
        <f>HYPERLINK("https://klasma.github.io/Logging_2062/klagomål/A 3531-2024 FSC-klagomål.docx", "A 3531-2024")</f>
        <v/>
      </c>
      <c r="W576">
        <f>HYPERLINK("https://klasma.github.io/Logging_2062/klagomålsmail/A 3531-2024 FSC-klagomål mail.docx", "A 3531-2024")</f>
        <v/>
      </c>
      <c r="X576">
        <f>HYPERLINK("https://klasma.github.io/Logging_2062/tillsyn/A 3531-2024 tillsynsbegäran.docx", "A 3531-2024")</f>
        <v/>
      </c>
      <c r="Y576">
        <f>HYPERLINK("https://klasma.github.io/Logging_2062/tillsynsmail/A 3531-2024 tillsynsbegäran mail.docx", "A 3531-2024")</f>
        <v/>
      </c>
    </row>
    <row r="577" ht="15" customHeight="1">
      <c r="A577" t="inlineStr">
        <is>
          <t>A 4744-2026</t>
        </is>
      </c>
      <c r="B577" s="1" t="n">
        <v>46048</v>
      </c>
      <c r="C577" s="1" t="n">
        <v>46144</v>
      </c>
      <c r="D577" t="inlineStr">
        <is>
          <t>DALARNAS LÄN</t>
        </is>
      </c>
      <c r="E577" t="inlineStr">
        <is>
          <t>MORA</t>
        </is>
      </c>
      <c r="G577" t="n">
        <v>15.8</v>
      </c>
      <c r="H577" t="n">
        <v>0</v>
      </c>
      <c r="I577" t="n">
        <v>0</v>
      </c>
      <c r="J577" t="n">
        <v>0</v>
      </c>
      <c r="K577" t="n">
        <v>0</v>
      </c>
      <c r="L577" t="n">
        <v>0</v>
      </c>
      <c r="M577" t="n">
        <v>0</v>
      </c>
      <c r="N577" t="n">
        <v>0</v>
      </c>
      <c r="O577" t="n">
        <v>0</v>
      </c>
      <c r="P577" t="n">
        <v>0</v>
      </c>
      <c r="Q577" t="n">
        <v>0</v>
      </c>
      <c r="R577" s="2" t="inlineStr"/>
    </row>
    <row r="578" ht="15" customHeight="1">
      <c r="A578" t="inlineStr">
        <is>
          <t>A 4752-2026</t>
        </is>
      </c>
      <c r="B578" s="1" t="n">
        <v>46048</v>
      </c>
      <c r="C578" s="1" t="n">
        <v>46144</v>
      </c>
      <c r="D578" t="inlineStr">
        <is>
          <t>DALARNAS LÄN</t>
        </is>
      </c>
      <c r="E578" t="inlineStr">
        <is>
          <t>MORA</t>
        </is>
      </c>
      <c r="G578" t="n">
        <v>1.7</v>
      </c>
      <c r="H578" t="n">
        <v>0</v>
      </c>
      <c r="I578" t="n">
        <v>0</v>
      </c>
      <c r="J578" t="n">
        <v>0</v>
      </c>
      <c r="K578" t="n">
        <v>0</v>
      </c>
      <c r="L578" t="n">
        <v>0</v>
      </c>
      <c r="M578" t="n">
        <v>0</v>
      </c>
      <c r="N578" t="n">
        <v>0</v>
      </c>
      <c r="O578" t="n">
        <v>0</v>
      </c>
      <c r="P578" t="n">
        <v>0</v>
      </c>
      <c r="Q578" t="n">
        <v>0</v>
      </c>
      <c r="R578" s="2" t="inlineStr"/>
    </row>
    <row r="579" ht="15" customHeight="1">
      <c r="A579" t="inlineStr">
        <is>
          <t>A 4906-2026</t>
        </is>
      </c>
      <c r="B579" s="1" t="n">
        <v>46048.70013888889</v>
      </c>
      <c r="C579" s="1" t="n">
        <v>46144</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39009-2023</t>
        </is>
      </c>
      <c r="B580" s="1" t="n">
        <v>45162</v>
      </c>
      <c r="C580" s="1" t="n">
        <v>46144</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5116-2026</t>
        </is>
      </c>
      <c r="B581" s="1" t="n">
        <v>46049.57591435185</v>
      </c>
      <c r="C581" s="1" t="n">
        <v>46144</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44769-2021</t>
        </is>
      </c>
      <c r="B582" s="1" t="n">
        <v>44438</v>
      </c>
      <c r="C582" s="1" t="n">
        <v>46144</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5473-2026</t>
        </is>
      </c>
      <c r="B583" s="1" t="n">
        <v>46050</v>
      </c>
      <c r="C583" s="1" t="n">
        <v>46144</v>
      </c>
      <c r="D583" t="inlineStr">
        <is>
          <t>DALARNAS LÄN</t>
        </is>
      </c>
      <c r="E583" t="inlineStr">
        <is>
          <t>MORA</t>
        </is>
      </c>
      <c r="G583" t="n">
        <v>10.2</v>
      </c>
      <c r="H583" t="n">
        <v>0</v>
      </c>
      <c r="I583" t="n">
        <v>0</v>
      </c>
      <c r="J583" t="n">
        <v>0</v>
      </c>
      <c r="K583" t="n">
        <v>0</v>
      </c>
      <c r="L583" t="n">
        <v>0</v>
      </c>
      <c r="M583" t="n">
        <v>0</v>
      </c>
      <c r="N583" t="n">
        <v>0</v>
      </c>
      <c r="O583" t="n">
        <v>0</v>
      </c>
      <c r="P583" t="n">
        <v>0</v>
      </c>
      <c r="Q583" t="n">
        <v>0</v>
      </c>
      <c r="R583" s="2" t="inlineStr"/>
    </row>
    <row r="584" ht="15" customHeight="1">
      <c r="A584" t="inlineStr">
        <is>
          <t>A 28487-2024</t>
        </is>
      </c>
      <c r="B584" s="1" t="n">
        <v>45477.75744212963</v>
      </c>
      <c r="C584" s="1" t="n">
        <v>46144</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48728-2022</t>
        </is>
      </c>
      <c r="B585" s="1" t="n">
        <v>44859.52145833334</v>
      </c>
      <c r="C585" s="1" t="n">
        <v>46144</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5709-2026</t>
        </is>
      </c>
      <c r="B586" s="1" t="n">
        <v>46051</v>
      </c>
      <c r="C586" s="1" t="n">
        <v>46144</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5836-2026</t>
        </is>
      </c>
      <c r="B587" s="1" t="n">
        <v>46052.33809027778</v>
      </c>
      <c r="C587" s="1" t="n">
        <v>46144</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13515-2026</t>
        </is>
      </c>
      <c r="B588" s="1" t="n">
        <v>46094.61391203704</v>
      </c>
      <c r="C588" s="1" t="n">
        <v>46144</v>
      </c>
      <c r="D588" t="inlineStr">
        <is>
          <t>DALARNAS LÄN</t>
        </is>
      </c>
      <c r="E588" t="inlineStr">
        <is>
          <t>MORA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61222-2023</t>
        </is>
      </c>
      <c r="B589" s="1" t="n">
        <v>45264</v>
      </c>
      <c r="C589" s="1" t="n">
        <v>46144</v>
      </c>
      <c r="D589" t="inlineStr">
        <is>
          <t>DALARNAS LÄN</t>
        </is>
      </c>
      <c r="E589" t="inlineStr">
        <is>
          <t>MORA</t>
        </is>
      </c>
      <c r="F589" t="inlineStr">
        <is>
          <t>Allmännings- och besparingsskogar</t>
        </is>
      </c>
      <c r="G589" t="n">
        <v>1.1</v>
      </c>
      <c r="H589" t="n">
        <v>0</v>
      </c>
      <c r="I589" t="n">
        <v>0</v>
      </c>
      <c r="J589" t="n">
        <v>0</v>
      </c>
      <c r="K589" t="n">
        <v>0</v>
      </c>
      <c r="L589" t="n">
        <v>0</v>
      </c>
      <c r="M589" t="n">
        <v>0</v>
      </c>
      <c r="N589" t="n">
        <v>0</v>
      </c>
      <c r="O589" t="n">
        <v>0</v>
      </c>
      <c r="P589" t="n">
        <v>0</v>
      </c>
      <c r="Q589" t="n">
        <v>0</v>
      </c>
      <c r="R589" s="2" t="inlineStr"/>
    </row>
    <row r="590" ht="15" customHeight="1">
      <c r="A590" t="inlineStr">
        <is>
          <t>A 13476-2026</t>
        </is>
      </c>
      <c r="B590" s="1" t="n">
        <v>46094.57229166666</v>
      </c>
      <c r="C590" s="1" t="n">
        <v>46144</v>
      </c>
      <c r="D590" t="inlineStr">
        <is>
          <t>DALARNAS LÄN</t>
        </is>
      </c>
      <c r="E590" t="inlineStr">
        <is>
          <t>MORA</t>
        </is>
      </c>
      <c r="F590" t="inlineStr">
        <is>
          <t>Bergvik skog öst AB</t>
        </is>
      </c>
      <c r="G590" t="n">
        <v>11.5</v>
      </c>
      <c r="H590" t="n">
        <v>0</v>
      </c>
      <c r="I590" t="n">
        <v>0</v>
      </c>
      <c r="J590" t="n">
        <v>0</v>
      </c>
      <c r="K590" t="n">
        <v>0</v>
      </c>
      <c r="L590" t="n">
        <v>0</v>
      </c>
      <c r="M590" t="n">
        <v>0</v>
      </c>
      <c r="N590" t="n">
        <v>0</v>
      </c>
      <c r="O590" t="n">
        <v>0</v>
      </c>
      <c r="P590" t="n">
        <v>0</v>
      </c>
      <c r="Q590" t="n">
        <v>0</v>
      </c>
      <c r="R590" s="2" t="inlineStr"/>
    </row>
    <row r="591" ht="15" customHeight="1">
      <c r="A591" t="inlineStr">
        <is>
          <t>A 5959-2026</t>
        </is>
      </c>
      <c r="B591" s="1" t="n">
        <v>46052.50533564815</v>
      </c>
      <c r="C591" s="1" t="n">
        <v>46144</v>
      </c>
      <c r="D591" t="inlineStr">
        <is>
          <t>DALARNAS LÄN</t>
        </is>
      </c>
      <c r="E591" t="inlineStr">
        <is>
          <t>MORA</t>
        </is>
      </c>
      <c r="G591" t="n">
        <v>9.5</v>
      </c>
      <c r="H591" t="n">
        <v>0</v>
      </c>
      <c r="I591" t="n">
        <v>0</v>
      </c>
      <c r="J591" t="n">
        <v>0</v>
      </c>
      <c r="K591" t="n">
        <v>0</v>
      </c>
      <c r="L591" t="n">
        <v>0</v>
      </c>
      <c r="M591" t="n">
        <v>0</v>
      </c>
      <c r="N591" t="n">
        <v>0</v>
      </c>
      <c r="O591" t="n">
        <v>0</v>
      </c>
      <c r="P591" t="n">
        <v>0</v>
      </c>
      <c r="Q591" t="n">
        <v>0</v>
      </c>
      <c r="R591" s="2" t="inlineStr"/>
    </row>
    <row r="592" ht="15" customHeight="1">
      <c r="A592" t="inlineStr">
        <is>
          <t>A 5803-2026</t>
        </is>
      </c>
      <c r="B592" s="1" t="n">
        <v>46051</v>
      </c>
      <c r="C592" s="1" t="n">
        <v>46144</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316-2026</t>
        </is>
      </c>
      <c r="B593" s="1" t="n">
        <v>46027</v>
      </c>
      <c r="C593" s="1" t="n">
        <v>46144</v>
      </c>
      <c r="D593" t="inlineStr">
        <is>
          <t>DALARNAS LÄN</t>
        </is>
      </c>
      <c r="E593" t="inlineStr">
        <is>
          <t>MORA</t>
        </is>
      </c>
      <c r="G593" t="n">
        <v>2.8</v>
      </c>
      <c r="H593" t="n">
        <v>0</v>
      </c>
      <c r="I593" t="n">
        <v>0</v>
      </c>
      <c r="J593" t="n">
        <v>0</v>
      </c>
      <c r="K593" t="n">
        <v>0</v>
      </c>
      <c r="L593" t="n">
        <v>0</v>
      </c>
      <c r="M593" t="n">
        <v>0</v>
      </c>
      <c r="N593" t="n">
        <v>0</v>
      </c>
      <c r="O593" t="n">
        <v>0</v>
      </c>
      <c r="P593" t="n">
        <v>0</v>
      </c>
      <c r="Q593" t="n">
        <v>0</v>
      </c>
      <c r="R593" s="2" t="inlineStr"/>
    </row>
    <row r="594" ht="15" customHeight="1">
      <c r="A594" t="inlineStr">
        <is>
          <t>A 6182-2026</t>
        </is>
      </c>
      <c r="B594" s="1" t="n">
        <v>46055.36231481482</v>
      </c>
      <c r="C594" s="1" t="n">
        <v>46144</v>
      </c>
      <c r="D594" t="inlineStr">
        <is>
          <t>DALARNAS LÄN</t>
        </is>
      </c>
      <c r="E594" t="inlineStr">
        <is>
          <t>MORA</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6719-2026</t>
        </is>
      </c>
      <c r="B595" s="1" t="n">
        <v>46056.66945601852</v>
      </c>
      <c r="C595" s="1" t="n">
        <v>46144</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6619-2026</t>
        </is>
      </c>
      <c r="B596" s="1" t="n">
        <v>46056.49622685185</v>
      </c>
      <c r="C596" s="1" t="n">
        <v>46144</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6595-2026</t>
        </is>
      </c>
      <c r="B597" s="1" t="n">
        <v>46056</v>
      </c>
      <c r="C597" s="1" t="n">
        <v>46144</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6674-2026</t>
        </is>
      </c>
      <c r="B598" s="1" t="n">
        <v>46056.60297453704</v>
      </c>
      <c r="C598" s="1" t="n">
        <v>46144</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6690-2026</t>
        </is>
      </c>
      <c r="B599" s="1" t="n">
        <v>46056.6352662037</v>
      </c>
      <c r="C599" s="1" t="n">
        <v>46144</v>
      </c>
      <c r="D599" t="inlineStr">
        <is>
          <t>DALARNAS LÄN</t>
        </is>
      </c>
      <c r="E599" t="inlineStr">
        <is>
          <t>MORA</t>
        </is>
      </c>
      <c r="G599" t="n">
        <v>1.9</v>
      </c>
      <c r="H599" t="n">
        <v>0</v>
      </c>
      <c r="I599" t="n">
        <v>0</v>
      </c>
      <c r="J599" t="n">
        <v>0</v>
      </c>
      <c r="K599" t="n">
        <v>0</v>
      </c>
      <c r="L599" t="n">
        <v>0</v>
      </c>
      <c r="M599" t="n">
        <v>0</v>
      </c>
      <c r="N599" t="n">
        <v>0</v>
      </c>
      <c r="O599" t="n">
        <v>0</v>
      </c>
      <c r="P599" t="n">
        <v>0</v>
      </c>
      <c r="Q599" t="n">
        <v>0</v>
      </c>
      <c r="R599" s="2" t="inlineStr"/>
    </row>
    <row r="600" ht="15" customHeight="1">
      <c r="A600" t="inlineStr">
        <is>
          <t>A 1174-2026</t>
        </is>
      </c>
      <c r="B600" s="1" t="n">
        <v>46031</v>
      </c>
      <c r="C600" s="1" t="n">
        <v>46144</v>
      </c>
      <c r="D600" t="inlineStr">
        <is>
          <t>DALARNAS LÄN</t>
        </is>
      </c>
      <c r="E600" t="inlineStr">
        <is>
          <t>MORA</t>
        </is>
      </c>
      <c r="G600" t="n">
        <v>2.8</v>
      </c>
      <c r="H600" t="n">
        <v>0</v>
      </c>
      <c r="I600" t="n">
        <v>0</v>
      </c>
      <c r="J600" t="n">
        <v>0</v>
      </c>
      <c r="K600" t="n">
        <v>0</v>
      </c>
      <c r="L600" t="n">
        <v>0</v>
      </c>
      <c r="M600" t="n">
        <v>0</v>
      </c>
      <c r="N600" t="n">
        <v>0</v>
      </c>
      <c r="O600" t="n">
        <v>0</v>
      </c>
      <c r="P600" t="n">
        <v>0</v>
      </c>
      <c r="Q600" t="n">
        <v>0</v>
      </c>
      <c r="R600" s="2" t="inlineStr"/>
    </row>
    <row r="601" ht="15" customHeight="1">
      <c r="A601" t="inlineStr">
        <is>
          <t>A 60526-2023</t>
        </is>
      </c>
      <c r="B601" s="1" t="n">
        <v>45259</v>
      </c>
      <c r="C601" s="1" t="n">
        <v>46144</v>
      </c>
      <c r="D601" t="inlineStr">
        <is>
          <t>DALARNAS LÄN</t>
        </is>
      </c>
      <c r="E601" t="inlineStr">
        <is>
          <t>MORA</t>
        </is>
      </c>
      <c r="G601" t="n">
        <v>6.7</v>
      </c>
      <c r="H601" t="n">
        <v>0</v>
      </c>
      <c r="I601" t="n">
        <v>0</v>
      </c>
      <c r="J601" t="n">
        <v>0</v>
      </c>
      <c r="K601" t="n">
        <v>0</v>
      </c>
      <c r="L601" t="n">
        <v>0</v>
      </c>
      <c r="M601" t="n">
        <v>0</v>
      </c>
      <c r="N601" t="n">
        <v>0</v>
      </c>
      <c r="O601" t="n">
        <v>0</v>
      </c>
      <c r="P601" t="n">
        <v>0</v>
      </c>
      <c r="Q601" t="n">
        <v>0</v>
      </c>
      <c r="R601" s="2" t="inlineStr"/>
    </row>
    <row r="602" ht="15" customHeight="1">
      <c r="A602" t="inlineStr">
        <is>
          <t>A 6967-2026</t>
        </is>
      </c>
      <c r="B602" s="1" t="n">
        <v>46057.58777777778</v>
      </c>
      <c r="C602" s="1" t="n">
        <v>46144</v>
      </c>
      <c r="D602" t="inlineStr">
        <is>
          <t>DALARNAS LÄN</t>
        </is>
      </c>
      <c r="E602" t="inlineStr">
        <is>
          <t>MORA</t>
        </is>
      </c>
      <c r="G602" t="n">
        <v>5</v>
      </c>
      <c r="H602" t="n">
        <v>0</v>
      </c>
      <c r="I602" t="n">
        <v>0</v>
      </c>
      <c r="J602" t="n">
        <v>0</v>
      </c>
      <c r="K602" t="n">
        <v>0</v>
      </c>
      <c r="L602" t="n">
        <v>0</v>
      </c>
      <c r="M602" t="n">
        <v>0</v>
      </c>
      <c r="N602" t="n">
        <v>0</v>
      </c>
      <c r="O602" t="n">
        <v>0</v>
      </c>
      <c r="P602" t="n">
        <v>0</v>
      </c>
      <c r="Q602" t="n">
        <v>0</v>
      </c>
      <c r="R602" s="2" t="inlineStr"/>
    </row>
    <row r="603" ht="15" customHeight="1">
      <c r="A603" t="inlineStr">
        <is>
          <t>A 6892-2026</t>
        </is>
      </c>
      <c r="B603" s="1" t="n">
        <v>46057.47490740741</v>
      </c>
      <c r="C603" s="1" t="n">
        <v>46144</v>
      </c>
      <c r="D603" t="inlineStr">
        <is>
          <t>DALARNAS LÄN</t>
        </is>
      </c>
      <c r="E603" t="inlineStr">
        <is>
          <t>MORA</t>
        </is>
      </c>
      <c r="G603" t="n">
        <v>9</v>
      </c>
      <c r="H603" t="n">
        <v>0</v>
      </c>
      <c r="I603" t="n">
        <v>0</v>
      </c>
      <c r="J603" t="n">
        <v>0</v>
      </c>
      <c r="K603" t="n">
        <v>0</v>
      </c>
      <c r="L603" t="n">
        <v>0</v>
      </c>
      <c r="M603" t="n">
        <v>0</v>
      </c>
      <c r="N603" t="n">
        <v>0</v>
      </c>
      <c r="O603" t="n">
        <v>0</v>
      </c>
      <c r="P603" t="n">
        <v>0</v>
      </c>
      <c r="Q603" t="n">
        <v>0</v>
      </c>
      <c r="R603" s="2" t="inlineStr"/>
    </row>
    <row r="604" ht="15" customHeight="1">
      <c r="A604" t="inlineStr">
        <is>
          <t>A 6947-2026</t>
        </is>
      </c>
      <c r="B604" s="1" t="n">
        <v>46057.56855324074</v>
      </c>
      <c r="C604" s="1" t="n">
        <v>46144</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6971-2026</t>
        </is>
      </c>
      <c r="B605" s="1" t="n">
        <v>46057</v>
      </c>
      <c r="C605" s="1" t="n">
        <v>46144</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52908-2023</t>
        </is>
      </c>
      <c r="B606" s="1" t="n">
        <v>45226.49950231481</v>
      </c>
      <c r="C606" s="1" t="n">
        <v>46144</v>
      </c>
      <c r="D606" t="inlineStr">
        <is>
          <t>DALARNAS LÄN</t>
        </is>
      </c>
      <c r="E606" t="inlineStr">
        <is>
          <t>MORA</t>
        </is>
      </c>
      <c r="G606" t="n">
        <v>3.3</v>
      </c>
      <c r="H606" t="n">
        <v>0</v>
      </c>
      <c r="I606" t="n">
        <v>0</v>
      </c>
      <c r="J606" t="n">
        <v>0</v>
      </c>
      <c r="K606" t="n">
        <v>0</v>
      </c>
      <c r="L606" t="n">
        <v>0</v>
      </c>
      <c r="M606" t="n">
        <v>0</v>
      </c>
      <c r="N606" t="n">
        <v>0</v>
      </c>
      <c r="O606" t="n">
        <v>0</v>
      </c>
      <c r="P606" t="n">
        <v>0</v>
      </c>
      <c r="Q606" t="n">
        <v>0</v>
      </c>
      <c r="R606" s="2" t="inlineStr"/>
    </row>
    <row r="607" ht="15" customHeight="1">
      <c r="A607" t="inlineStr">
        <is>
          <t>A 6923-2026</t>
        </is>
      </c>
      <c r="B607" s="1" t="n">
        <v>46057.53868055555</v>
      </c>
      <c r="C607" s="1" t="n">
        <v>46144</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6802-2026</t>
        </is>
      </c>
      <c r="B608" s="1" t="n">
        <v>46057.35288194445</v>
      </c>
      <c r="C608" s="1" t="n">
        <v>46144</v>
      </c>
      <c r="D608" t="inlineStr">
        <is>
          <t>DALARNAS LÄN</t>
        </is>
      </c>
      <c r="E608" t="inlineStr">
        <is>
          <t>MORA</t>
        </is>
      </c>
      <c r="G608" t="n">
        <v>5.8</v>
      </c>
      <c r="H608" t="n">
        <v>0</v>
      </c>
      <c r="I608" t="n">
        <v>0</v>
      </c>
      <c r="J608" t="n">
        <v>0</v>
      </c>
      <c r="K608" t="n">
        <v>0</v>
      </c>
      <c r="L608" t="n">
        <v>0</v>
      </c>
      <c r="M608" t="n">
        <v>0</v>
      </c>
      <c r="N608" t="n">
        <v>0</v>
      </c>
      <c r="O608" t="n">
        <v>0</v>
      </c>
      <c r="P608" t="n">
        <v>0</v>
      </c>
      <c r="Q608" t="n">
        <v>0</v>
      </c>
      <c r="R608" s="2" t="inlineStr"/>
    </row>
    <row r="609" ht="15" customHeight="1">
      <c r="A609" t="inlineStr">
        <is>
          <t>A 43569-2025</t>
        </is>
      </c>
      <c r="B609" s="1" t="n">
        <v>45911.63363425926</v>
      </c>
      <c r="C609" s="1" t="n">
        <v>46144</v>
      </c>
      <c r="D609" t="inlineStr">
        <is>
          <t>DALARNAS LÄN</t>
        </is>
      </c>
      <c r="E609" t="inlineStr">
        <is>
          <t>MORA</t>
        </is>
      </c>
      <c r="G609" t="n">
        <v>4.7</v>
      </c>
      <c r="H609" t="n">
        <v>0</v>
      </c>
      <c r="I609" t="n">
        <v>0</v>
      </c>
      <c r="J609" t="n">
        <v>0</v>
      </c>
      <c r="K609" t="n">
        <v>0</v>
      </c>
      <c r="L609" t="n">
        <v>0</v>
      </c>
      <c r="M609" t="n">
        <v>0</v>
      </c>
      <c r="N609" t="n">
        <v>0</v>
      </c>
      <c r="O609" t="n">
        <v>0</v>
      </c>
      <c r="P609" t="n">
        <v>0</v>
      </c>
      <c r="Q609" t="n">
        <v>0</v>
      </c>
      <c r="R609" s="2" t="inlineStr"/>
    </row>
    <row r="610" ht="15" customHeight="1">
      <c r="A610" t="inlineStr">
        <is>
          <t>A 7446-2026</t>
        </is>
      </c>
      <c r="B610" s="1" t="n">
        <v>46059</v>
      </c>
      <c r="C610" s="1" t="n">
        <v>46144</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7418-2026</t>
        </is>
      </c>
      <c r="B611" s="1" t="n">
        <v>46059.42018518518</v>
      </c>
      <c r="C611" s="1" t="n">
        <v>46144</v>
      </c>
      <c r="D611" t="inlineStr">
        <is>
          <t>DALARNAS LÄN</t>
        </is>
      </c>
      <c r="E611" t="inlineStr">
        <is>
          <t>MORA</t>
        </is>
      </c>
      <c r="G611" t="n">
        <v>4</v>
      </c>
      <c r="H611" t="n">
        <v>0</v>
      </c>
      <c r="I611" t="n">
        <v>0</v>
      </c>
      <c r="J611" t="n">
        <v>0</v>
      </c>
      <c r="K611" t="n">
        <v>0</v>
      </c>
      <c r="L611" t="n">
        <v>0</v>
      </c>
      <c r="M611" t="n">
        <v>0</v>
      </c>
      <c r="N611" t="n">
        <v>0</v>
      </c>
      <c r="O611" t="n">
        <v>0</v>
      </c>
      <c r="P611" t="n">
        <v>0</v>
      </c>
      <c r="Q611" t="n">
        <v>0</v>
      </c>
      <c r="R611" s="2" t="inlineStr"/>
    </row>
    <row r="612" ht="15" customHeight="1">
      <c r="A612" t="inlineStr">
        <is>
          <t>A 51253-2023</t>
        </is>
      </c>
      <c r="B612" s="1" t="n">
        <v>45219</v>
      </c>
      <c r="C612" s="1" t="n">
        <v>46144</v>
      </c>
      <c r="D612" t="inlineStr">
        <is>
          <t>DALARNAS LÄN</t>
        </is>
      </c>
      <c r="E612" t="inlineStr">
        <is>
          <t>MORA</t>
        </is>
      </c>
      <c r="G612" t="n">
        <v>5</v>
      </c>
      <c r="H612" t="n">
        <v>0</v>
      </c>
      <c r="I612" t="n">
        <v>0</v>
      </c>
      <c r="J612" t="n">
        <v>0</v>
      </c>
      <c r="K612" t="n">
        <v>0</v>
      </c>
      <c r="L612" t="n">
        <v>0</v>
      </c>
      <c r="M612" t="n">
        <v>0</v>
      </c>
      <c r="N612" t="n">
        <v>0</v>
      </c>
      <c r="O612" t="n">
        <v>0</v>
      </c>
      <c r="P612" t="n">
        <v>0</v>
      </c>
      <c r="Q612" t="n">
        <v>0</v>
      </c>
      <c r="R612" s="2" t="inlineStr"/>
    </row>
    <row r="613" ht="15" customHeight="1">
      <c r="A613" t="inlineStr">
        <is>
          <t>A 58116-2022</t>
        </is>
      </c>
      <c r="B613" s="1" t="n">
        <v>44900.65716435185</v>
      </c>
      <c r="C613" s="1" t="n">
        <v>46144</v>
      </c>
      <c r="D613" t="inlineStr">
        <is>
          <t>DALARNAS LÄN</t>
        </is>
      </c>
      <c r="E613" t="inlineStr">
        <is>
          <t>MORA</t>
        </is>
      </c>
      <c r="G613" t="n">
        <v>2.9</v>
      </c>
      <c r="H613" t="n">
        <v>0</v>
      </c>
      <c r="I613" t="n">
        <v>0</v>
      </c>
      <c r="J613" t="n">
        <v>0</v>
      </c>
      <c r="K613" t="n">
        <v>0</v>
      </c>
      <c r="L613" t="n">
        <v>0</v>
      </c>
      <c r="M613" t="n">
        <v>0</v>
      </c>
      <c r="N613" t="n">
        <v>0</v>
      </c>
      <c r="O613" t="n">
        <v>0</v>
      </c>
      <c r="P613" t="n">
        <v>0</v>
      </c>
      <c r="Q613" t="n">
        <v>0</v>
      </c>
      <c r="R613" s="2" t="inlineStr"/>
    </row>
    <row r="614" ht="15" customHeight="1">
      <c r="A614" t="inlineStr">
        <is>
          <t>A 14745-2026</t>
        </is>
      </c>
      <c r="B614" s="1" t="n">
        <v>46101.60760416667</v>
      </c>
      <c r="C614" s="1" t="n">
        <v>46144</v>
      </c>
      <c r="D614" t="inlineStr">
        <is>
          <t>DALARNAS LÄN</t>
        </is>
      </c>
      <c r="E614" t="inlineStr">
        <is>
          <t>MORA</t>
        </is>
      </c>
      <c r="F614" t="inlineStr">
        <is>
          <t>Bergvik skog öst AB</t>
        </is>
      </c>
      <c r="G614" t="n">
        <v>10.9</v>
      </c>
      <c r="H614" t="n">
        <v>0</v>
      </c>
      <c r="I614" t="n">
        <v>0</v>
      </c>
      <c r="J614" t="n">
        <v>0</v>
      </c>
      <c r="K614" t="n">
        <v>0</v>
      </c>
      <c r="L614" t="n">
        <v>0</v>
      </c>
      <c r="M614" t="n">
        <v>0</v>
      </c>
      <c r="N614" t="n">
        <v>0</v>
      </c>
      <c r="O614" t="n">
        <v>0</v>
      </c>
      <c r="P614" t="n">
        <v>0</v>
      </c>
      <c r="Q614" t="n">
        <v>0</v>
      </c>
      <c r="R614" s="2" t="inlineStr"/>
    </row>
    <row r="615" ht="15" customHeight="1">
      <c r="A615" t="inlineStr">
        <is>
          <t>A 7849-2026</t>
        </is>
      </c>
      <c r="B615" s="1" t="n">
        <v>46062</v>
      </c>
      <c r="C615" s="1" t="n">
        <v>46144</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33666-2024</t>
        </is>
      </c>
      <c r="B616" s="1" t="n">
        <v>45520.48304398148</v>
      </c>
      <c r="C616" s="1" t="n">
        <v>46144</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15311-2026</t>
        </is>
      </c>
      <c r="B617" s="1" t="n">
        <v>46105.6447800926</v>
      </c>
      <c r="C617" s="1" t="n">
        <v>46144</v>
      </c>
      <c r="D617" t="inlineStr">
        <is>
          <t>DALARNAS LÄN</t>
        </is>
      </c>
      <c r="E617" t="inlineStr">
        <is>
          <t>MORA</t>
        </is>
      </c>
      <c r="F617" t="inlineStr">
        <is>
          <t>Bergvik skog öst AB</t>
        </is>
      </c>
      <c r="G617" t="n">
        <v>10.4</v>
      </c>
      <c r="H617" t="n">
        <v>0</v>
      </c>
      <c r="I617" t="n">
        <v>0</v>
      </c>
      <c r="J617" t="n">
        <v>0</v>
      </c>
      <c r="K617" t="n">
        <v>0</v>
      </c>
      <c r="L617" t="n">
        <v>0</v>
      </c>
      <c r="M617" t="n">
        <v>0</v>
      </c>
      <c r="N617" t="n">
        <v>0</v>
      </c>
      <c r="O617" t="n">
        <v>0</v>
      </c>
      <c r="P617" t="n">
        <v>0</v>
      </c>
      <c r="Q617" t="n">
        <v>0</v>
      </c>
      <c r="R617" s="2" t="inlineStr"/>
    </row>
    <row r="618" ht="15" customHeight="1">
      <c r="A618" t="inlineStr">
        <is>
          <t>A 15397-2026</t>
        </is>
      </c>
      <c r="B618" s="1" t="n">
        <v>46106.35565972222</v>
      </c>
      <c r="C618" s="1" t="n">
        <v>46144</v>
      </c>
      <c r="D618" t="inlineStr">
        <is>
          <t>DALARNAS LÄN</t>
        </is>
      </c>
      <c r="E618" t="inlineStr">
        <is>
          <t>MORA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15294-2026</t>
        </is>
      </c>
      <c r="B619" s="1" t="n">
        <v>46105.6279050926</v>
      </c>
      <c r="C619" s="1" t="n">
        <v>46144</v>
      </c>
      <c r="D619" t="inlineStr">
        <is>
          <t>DALARNAS LÄN</t>
        </is>
      </c>
      <c r="E619" t="inlineStr">
        <is>
          <t>MORA</t>
        </is>
      </c>
      <c r="F619" t="inlineStr">
        <is>
          <t>Bergvik skog öst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42941-2024</t>
        </is>
      </c>
      <c r="B620" s="1" t="n">
        <v>45567.3515162037</v>
      </c>
      <c r="C620" s="1" t="n">
        <v>46144</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8007-2026</t>
        </is>
      </c>
      <c r="B621" s="1" t="n">
        <v>46063.52565972223</v>
      </c>
      <c r="C621" s="1" t="n">
        <v>46144</v>
      </c>
      <c r="D621" t="inlineStr">
        <is>
          <t>DALARNAS LÄN</t>
        </is>
      </c>
      <c r="E621" t="inlineStr">
        <is>
          <t>MORA</t>
        </is>
      </c>
      <c r="F621" t="inlineStr">
        <is>
          <t>Bergvik skog väst AB</t>
        </is>
      </c>
      <c r="G621" t="n">
        <v>2.5</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46144</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53341-2023</t>
        </is>
      </c>
      <c r="B623" s="1" t="n">
        <v>45229</v>
      </c>
      <c r="C623" s="1" t="n">
        <v>46144</v>
      </c>
      <c r="D623" t="inlineStr">
        <is>
          <t>DALARNAS LÄN</t>
        </is>
      </c>
      <c r="E623" t="inlineStr">
        <is>
          <t>MORA</t>
        </is>
      </c>
      <c r="G623" t="n">
        <v>2.1</v>
      </c>
      <c r="H623" t="n">
        <v>0</v>
      </c>
      <c r="I623" t="n">
        <v>0</v>
      </c>
      <c r="J623" t="n">
        <v>0</v>
      </c>
      <c r="K623" t="n">
        <v>0</v>
      </c>
      <c r="L623" t="n">
        <v>0</v>
      </c>
      <c r="M623" t="n">
        <v>0</v>
      </c>
      <c r="N623" t="n">
        <v>0</v>
      </c>
      <c r="O623" t="n">
        <v>0</v>
      </c>
      <c r="P623" t="n">
        <v>0</v>
      </c>
      <c r="Q623" t="n">
        <v>0</v>
      </c>
      <c r="R623" s="2" t="inlineStr"/>
    </row>
    <row r="624" ht="15" customHeight="1">
      <c r="A624" t="inlineStr">
        <is>
          <t>A 8075-2026</t>
        </is>
      </c>
      <c r="B624" s="1" t="n">
        <v>46063</v>
      </c>
      <c r="C624" s="1" t="n">
        <v>46144</v>
      </c>
      <c r="D624" t="inlineStr">
        <is>
          <t>DALARNAS LÄN</t>
        </is>
      </c>
      <c r="E624" t="inlineStr">
        <is>
          <t>MORA</t>
        </is>
      </c>
      <c r="G624" t="n">
        <v>1.3</v>
      </c>
      <c r="H624" t="n">
        <v>0</v>
      </c>
      <c r="I624" t="n">
        <v>0</v>
      </c>
      <c r="J624" t="n">
        <v>0</v>
      </c>
      <c r="K624" t="n">
        <v>0</v>
      </c>
      <c r="L624" t="n">
        <v>0</v>
      </c>
      <c r="M624" t="n">
        <v>0</v>
      </c>
      <c r="N624" t="n">
        <v>0</v>
      </c>
      <c r="O624" t="n">
        <v>0</v>
      </c>
      <c r="P624" t="n">
        <v>0</v>
      </c>
      <c r="Q624" t="n">
        <v>0</v>
      </c>
      <c r="R624" s="2" t="inlineStr"/>
    </row>
    <row r="625" ht="15" customHeight="1">
      <c r="A625" t="inlineStr">
        <is>
          <t>A 15372-2026</t>
        </is>
      </c>
      <c r="B625" s="1" t="n">
        <v>46105.92204861111</v>
      </c>
      <c r="C625" s="1" t="n">
        <v>46144</v>
      </c>
      <c r="D625" t="inlineStr">
        <is>
          <t>DALARNAS LÄN</t>
        </is>
      </c>
      <c r="E625" t="inlineStr">
        <is>
          <t>MORA</t>
        </is>
      </c>
      <c r="F625" t="inlineStr">
        <is>
          <t>Bergvik skog öst AB</t>
        </is>
      </c>
      <c r="G625" t="n">
        <v>5.7</v>
      </c>
      <c r="H625" t="n">
        <v>0</v>
      </c>
      <c r="I625" t="n">
        <v>0</v>
      </c>
      <c r="J625" t="n">
        <v>0</v>
      </c>
      <c r="K625" t="n">
        <v>0</v>
      </c>
      <c r="L625" t="n">
        <v>0</v>
      </c>
      <c r="M625" t="n">
        <v>0</v>
      </c>
      <c r="N625" t="n">
        <v>0</v>
      </c>
      <c r="O625" t="n">
        <v>0</v>
      </c>
      <c r="P625" t="n">
        <v>0</v>
      </c>
      <c r="Q625" t="n">
        <v>0</v>
      </c>
      <c r="R625" s="2" t="inlineStr"/>
    </row>
    <row r="626" ht="15" customHeight="1">
      <c r="A626" t="inlineStr">
        <is>
          <t>A 5001-2025</t>
        </is>
      </c>
      <c r="B626" s="1" t="n">
        <v>45691.36403935185</v>
      </c>
      <c r="C626" s="1" t="n">
        <v>46144</v>
      </c>
      <c r="D626" t="inlineStr">
        <is>
          <t>DALARNAS LÄN</t>
        </is>
      </c>
      <c r="E626" t="inlineStr">
        <is>
          <t>MORA</t>
        </is>
      </c>
      <c r="G626" t="n">
        <v>1.3</v>
      </c>
      <c r="H626" t="n">
        <v>0</v>
      </c>
      <c r="I626" t="n">
        <v>0</v>
      </c>
      <c r="J626" t="n">
        <v>0</v>
      </c>
      <c r="K626" t="n">
        <v>0</v>
      </c>
      <c r="L626" t="n">
        <v>0</v>
      </c>
      <c r="M626" t="n">
        <v>0</v>
      </c>
      <c r="N626" t="n">
        <v>0</v>
      </c>
      <c r="O626" t="n">
        <v>0</v>
      </c>
      <c r="P626" t="n">
        <v>0</v>
      </c>
      <c r="Q626" t="n">
        <v>0</v>
      </c>
      <c r="R626" s="2" t="inlineStr"/>
    </row>
    <row r="627" ht="15" customHeight="1">
      <c r="A627" t="inlineStr">
        <is>
          <t>A 8361-2026</t>
        </is>
      </c>
      <c r="B627" s="1" t="n">
        <v>46064.6643287037</v>
      </c>
      <c r="C627" s="1" t="n">
        <v>46144</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54903-2024</t>
        </is>
      </c>
      <c r="B628" s="1" t="n">
        <v>45618</v>
      </c>
      <c r="C628" s="1" t="n">
        <v>46144</v>
      </c>
      <c r="D628" t="inlineStr">
        <is>
          <t>DALARNAS LÄN</t>
        </is>
      </c>
      <c r="E628" t="inlineStr">
        <is>
          <t>MORA</t>
        </is>
      </c>
      <c r="G628" t="n">
        <v>28.2</v>
      </c>
      <c r="H628" t="n">
        <v>0</v>
      </c>
      <c r="I628" t="n">
        <v>0</v>
      </c>
      <c r="J628" t="n">
        <v>0</v>
      </c>
      <c r="K628" t="n">
        <v>0</v>
      </c>
      <c r="L628" t="n">
        <v>0</v>
      </c>
      <c r="M628" t="n">
        <v>0</v>
      </c>
      <c r="N628" t="n">
        <v>0</v>
      </c>
      <c r="O628" t="n">
        <v>0</v>
      </c>
      <c r="P628" t="n">
        <v>0</v>
      </c>
      <c r="Q628" t="n">
        <v>0</v>
      </c>
      <c r="R628" s="2" t="inlineStr"/>
    </row>
    <row r="629" ht="15" customHeight="1">
      <c r="A629" t="inlineStr">
        <is>
          <t>A 8470-2026</t>
        </is>
      </c>
      <c r="B629" s="1" t="n">
        <v>46065.4490162037</v>
      </c>
      <c r="C629" s="1" t="n">
        <v>46144</v>
      </c>
      <c r="D629" t="inlineStr">
        <is>
          <t>DALARNAS LÄN</t>
        </is>
      </c>
      <c r="E629" t="inlineStr">
        <is>
          <t>MORA</t>
        </is>
      </c>
      <c r="G629" t="n">
        <v>3.1</v>
      </c>
      <c r="H629" t="n">
        <v>0</v>
      </c>
      <c r="I629" t="n">
        <v>0</v>
      </c>
      <c r="J629" t="n">
        <v>0</v>
      </c>
      <c r="K629" t="n">
        <v>0</v>
      </c>
      <c r="L629" t="n">
        <v>0</v>
      </c>
      <c r="M629" t="n">
        <v>0</v>
      </c>
      <c r="N629" t="n">
        <v>0</v>
      </c>
      <c r="O629" t="n">
        <v>0</v>
      </c>
      <c r="P629" t="n">
        <v>0</v>
      </c>
      <c r="Q629" t="n">
        <v>0</v>
      </c>
      <c r="R629" s="2" t="inlineStr"/>
    </row>
    <row r="630" ht="15" customHeight="1">
      <c r="A630" t="inlineStr">
        <is>
          <t>A 16114-2026</t>
        </is>
      </c>
      <c r="B630" s="1" t="n">
        <v>46108.61211805556</v>
      </c>
      <c r="C630" s="1" t="n">
        <v>46144</v>
      </c>
      <c r="D630" t="inlineStr">
        <is>
          <t>DALARNAS LÄN</t>
        </is>
      </c>
      <c r="E630" t="inlineStr">
        <is>
          <t>MORA</t>
        </is>
      </c>
      <c r="G630" t="n">
        <v>1.1</v>
      </c>
      <c r="H630" t="n">
        <v>0</v>
      </c>
      <c r="I630" t="n">
        <v>0</v>
      </c>
      <c r="J630" t="n">
        <v>0</v>
      </c>
      <c r="K630" t="n">
        <v>0</v>
      </c>
      <c r="L630" t="n">
        <v>0</v>
      </c>
      <c r="M630" t="n">
        <v>0</v>
      </c>
      <c r="N630" t="n">
        <v>0</v>
      </c>
      <c r="O630" t="n">
        <v>0</v>
      </c>
      <c r="P630" t="n">
        <v>0</v>
      </c>
      <c r="Q630" t="n">
        <v>0</v>
      </c>
      <c r="R630" s="2" t="inlineStr"/>
    </row>
    <row r="631" ht="15" customHeight="1">
      <c r="A631" t="inlineStr">
        <is>
          <t>A 8474-2026</t>
        </is>
      </c>
      <c r="B631" s="1" t="n">
        <v>46065</v>
      </c>
      <c r="C631" s="1" t="n">
        <v>46144</v>
      </c>
      <c r="D631" t="inlineStr">
        <is>
          <t>DALARNAS LÄN</t>
        </is>
      </c>
      <c r="E631" t="inlineStr">
        <is>
          <t>MORA</t>
        </is>
      </c>
      <c r="G631" t="n">
        <v>4.7</v>
      </c>
      <c r="H631" t="n">
        <v>0</v>
      </c>
      <c r="I631" t="n">
        <v>0</v>
      </c>
      <c r="J631" t="n">
        <v>0</v>
      </c>
      <c r="K631" t="n">
        <v>0</v>
      </c>
      <c r="L631" t="n">
        <v>0</v>
      </c>
      <c r="M631" t="n">
        <v>0</v>
      </c>
      <c r="N631" t="n">
        <v>0</v>
      </c>
      <c r="O631" t="n">
        <v>0</v>
      </c>
      <c r="P631" t="n">
        <v>0</v>
      </c>
      <c r="Q631" t="n">
        <v>0</v>
      </c>
      <c r="R631" s="2" t="inlineStr"/>
    </row>
    <row r="632" ht="15" customHeight="1">
      <c r="A632" t="inlineStr">
        <is>
          <t>A 8549-2026</t>
        </is>
      </c>
      <c r="B632" s="1" t="n">
        <v>46065.61790509259</v>
      </c>
      <c r="C632" s="1" t="n">
        <v>46144</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8762-2026</t>
        </is>
      </c>
      <c r="B633" s="1" t="n">
        <v>46066.55876157407</v>
      </c>
      <c r="C633" s="1" t="n">
        <v>46144</v>
      </c>
      <c r="D633" t="inlineStr">
        <is>
          <t>DALARNAS LÄN</t>
        </is>
      </c>
      <c r="E633" t="inlineStr">
        <is>
          <t>MORA</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14040-2023</t>
        </is>
      </c>
      <c r="B634" s="1" t="n">
        <v>45008.64575231481</v>
      </c>
      <c r="C634" s="1" t="n">
        <v>46144</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55331-2022</t>
        </is>
      </c>
      <c r="B635" s="1" t="n">
        <v>44887.43714120371</v>
      </c>
      <c r="C635" s="1" t="n">
        <v>46144</v>
      </c>
      <c r="D635" t="inlineStr">
        <is>
          <t>DALARNAS LÄN</t>
        </is>
      </c>
      <c r="E635" t="inlineStr">
        <is>
          <t>MORA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46144</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11919-2024</t>
        </is>
      </c>
      <c r="B637" s="1" t="n">
        <v>45376.61019675926</v>
      </c>
      <c r="C637" s="1" t="n">
        <v>46144</v>
      </c>
      <c r="D637" t="inlineStr">
        <is>
          <t>DALARNAS LÄN</t>
        </is>
      </c>
      <c r="E637" t="inlineStr">
        <is>
          <t>MORA</t>
        </is>
      </c>
      <c r="G637" t="n">
        <v>3.5</v>
      </c>
      <c r="H637" t="n">
        <v>0</v>
      </c>
      <c r="I637" t="n">
        <v>0</v>
      </c>
      <c r="J637" t="n">
        <v>0</v>
      </c>
      <c r="K637" t="n">
        <v>0</v>
      </c>
      <c r="L637" t="n">
        <v>0</v>
      </c>
      <c r="M637" t="n">
        <v>0</v>
      </c>
      <c r="N637" t="n">
        <v>0</v>
      </c>
      <c r="O637" t="n">
        <v>0</v>
      </c>
      <c r="P637" t="n">
        <v>0</v>
      </c>
      <c r="Q637" t="n">
        <v>0</v>
      </c>
      <c r="R637" s="2" t="inlineStr"/>
    </row>
    <row r="638" ht="15" customHeight="1">
      <c r="A638" t="inlineStr">
        <is>
          <t>A 16218-2026</t>
        </is>
      </c>
      <c r="B638" s="1" t="n">
        <v>46111.43640046296</v>
      </c>
      <c r="C638" s="1" t="n">
        <v>46144</v>
      </c>
      <c r="D638" t="inlineStr">
        <is>
          <t>DALARNAS LÄN</t>
        </is>
      </c>
      <c r="E638" t="inlineStr">
        <is>
          <t>MORA</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15860-2026</t>
        </is>
      </c>
      <c r="B639" s="1" t="n">
        <v>46107</v>
      </c>
      <c r="C639" s="1" t="n">
        <v>46144</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45315-2024</t>
        </is>
      </c>
      <c r="B640" s="1" t="n">
        <v>45576.43782407408</v>
      </c>
      <c r="C640" s="1" t="n">
        <v>46144</v>
      </c>
      <c r="D640" t="inlineStr">
        <is>
          <t>DALARNAS LÄN</t>
        </is>
      </c>
      <c r="E640" t="inlineStr">
        <is>
          <t>MORA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16386-2026</t>
        </is>
      </c>
      <c r="B641" s="1" t="n">
        <v>46111</v>
      </c>
      <c r="C641" s="1" t="n">
        <v>46144</v>
      </c>
      <c r="D641" t="inlineStr">
        <is>
          <t>DALARNAS LÄN</t>
        </is>
      </c>
      <c r="E641" t="inlineStr">
        <is>
          <t>MORA</t>
        </is>
      </c>
      <c r="G641" t="n">
        <v>1.4</v>
      </c>
      <c r="H641" t="n">
        <v>0</v>
      </c>
      <c r="I641" t="n">
        <v>0</v>
      </c>
      <c r="J641" t="n">
        <v>0</v>
      </c>
      <c r="K641" t="n">
        <v>0</v>
      </c>
      <c r="L641" t="n">
        <v>0</v>
      </c>
      <c r="M641" t="n">
        <v>0</v>
      </c>
      <c r="N641" t="n">
        <v>0</v>
      </c>
      <c r="O641" t="n">
        <v>0</v>
      </c>
      <c r="P641" t="n">
        <v>0</v>
      </c>
      <c r="Q641" t="n">
        <v>0</v>
      </c>
      <c r="R641" s="2" t="inlineStr"/>
    </row>
    <row r="642" ht="15" customHeight="1">
      <c r="A642" t="inlineStr">
        <is>
          <t>A 9350-2026</t>
        </is>
      </c>
      <c r="B642" s="1" t="n">
        <v>46070</v>
      </c>
      <c r="C642" s="1" t="n">
        <v>46144</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17529-2023</t>
        </is>
      </c>
      <c r="B643" s="1" t="n">
        <v>45036.46804398148</v>
      </c>
      <c r="C643" s="1" t="n">
        <v>46144</v>
      </c>
      <c r="D643" t="inlineStr">
        <is>
          <t>DALARNAS LÄN</t>
        </is>
      </c>
      <c r="E643" t="inlineStr">
        <is>
          <t>MORA</t>
        </is>
      </c>
      <c r="G643" t="n">
        <v>6</v>
      </c>
      <c r="H643" t="n">
        <v>0</v>
      </c>
      <c r="I643" t="n">
        <v>0</v>
      </c>
      <c r="J643" t="n">
        <v>0</v>
      </c>
      <c r="K643" t="n">
        <v>0</v>
      </c>
      <c r="L643" t="n">
        <v>0</v>
      </c>
      <c r="M643" t="n">
        <v>0</v>
      </c>
      <c r="N643" t="n">
        <v>0</v>
      </c>
      <c r="O643" t="n">
        <v>0</v>
      </c>
      <c r="P643" t="n">
        <v>0</v>
      </c>
      <c r="Q643" t="n">
        <v>0</v>
      </c>
      <c r="R643" s="2" t="inlineStr"/>
    </row>
    <row r="644" ht="15" customHeight="1">
      <c r="A644" t="inlineStr">
        <is>
          <t>A 8983-2026</t>
        </is>
      </c>
      <c r="B644" s="1" t="n">
        <v>46069</v>
      </c>
      <c r="C644" s="1" t="n">
        <v>46144</v>
      </c>
      <c r="D644" t="inlineStr">
        <is>
          <t>DALARNAS LÄN</t>
        </is>
      </c>
      <c r="E644" t="inlineStr">
        <is>
          <t>MORA</t>
        </is>
      </c>
      <c r="G644" t="n">
        <v>4.8</v>
      </c>
      <c r="H644" t="n">
        <v>0</v>
      </c>
      <c r="I644" t="n">
        <v>0</v>
      </c>
      <c r="J644" t="n">
        <v>0</v>
      </c>
      <c r="K644" t="n">
        <v>0</v>
      </c>
      <c r="L644" t="n">
        <v>0</v>
      </c>
      <c r="M644" t="n">
        <v>0</v>
      </c>
      <c r="N644" t="n">
        <v>0</v>
      </c>
      <c r="O644" t="n">
        <v>0</v>
      </c>
      <c r="P644" t="n">
        <v>0</v>
      </c>
      <c r="Q644" t="n">
        <v>0</v>
      </c>
      <c r="R644" s="2" t="inlineStr"/>
    </row>
    <row r="645" ht="15" customHeight="1">
      <c r="A645" t="inlineStr">
        <is>
          <t>A 16547-2026</t>
        </is>
      </c>
      <c r="B645" s="1" t="n">
        <v>46112.5105787037</v>
      </c>
      <c r="C645" s="1" t="n">
        <v>46144</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4209-2023</t>
        </is>
      </c>
      <c r="B646" s="1" t="n">
        <v>44953</v>
      </c>
      <c r="C646" s="1" t="n">
        <v>46144</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9421-2026</t>
        </is>
      </c>
      <c r="B647" s="1" t="n">
        <v>46071</v>
      </c>
      <c r="C647" s="1" t="n">
        <v>46144</v>
      </c>
      <c r="D647" t="inlineStr">
        <is>
          <t>DALARNAS LÄN</t>
        </is>
      </c>
      <c r="E647" t="inlineStr">
        <is>
          <t>MORA</t>
        </is>
      </c>
      <c r="G647" t="n">
        <v>8.1</v>
      </c>
      <c r="H647" t="n">
        <v>0</v>
      </c>
      <c r="I647" t="n">
        <v>0</v>
      </c>
      <c r="J647" t="n">
        <v>0</v>
      </c>
      <c r="K647" t="n">
        <v>0</v>
      </c>
      <c r="L647" t="n">
        <v>0</v>
      </c>
      <c r="M647" t="n">
        <v>0</v>
      </c>
      <c r="N647" t="n">
        <v>0</v>
      </c>
      <c r="O647" t="n">
        <v>0</v>
      </c>
      <c r="P647" t="n">
        <v>0</v>
      </c>
      <c r="Q647" t="n">
        <v>0</v>
      </c>
      <c r="R647" s="2" t="inlineStr"/>
    </row>
    <row r="648" ht="15" customHeight="1">
      <c r="A648" t="inlineStr">
        <is>
          <t>A 9788-2026</t>
        </is>
      </c>
      <c r="B648" s="1" t="n">
        <v>46072</v>
      </c>
      <c r="C648" s="1" t="n">
        <v>46144</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39344-2024</t>
        </is>
      </c>
      <c r="B649" s="1" t="n">
        <v>45551.44503472222</v>
      </c>
      <c r="C649" s="1" t="n">
        <v>46144</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9536-2026</t>
        </is>
      </c>
      <c r="B650" s="1" t="n">
        <v>46071</v>
      </c>
      <c r="C650" s="1" t="n">
        <v>46144</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26314-2021</t>
        </is>
      </c>
      <c r="B651" s="1" t="n">
        <v>44347</v>
      </c>
      <c r="C651" s="1" t="n">
        <v>46144</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17394-2026</t>
        </is>
      </c>
      <c r="B652" s="1" t="n">
        <v>46119.84560185186</v>
      </c>
      <c r="C652" s="1" t="n">
        <v>46144</v>
      </c>
      <c r="D652" t="inlineStr">
        <is>
          <t>DALARNAS LÄN</t>
        </is>
      </c>
      <c r="E652" t="inlineStr">
        <is>
          <t>MORA</t>
        </is>
      </c>
      <c r="F652" t="inlineStr">
        <is>
          <t>Bergvik skog öst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15343-2026</t>
        </is>
      </c>
      <c r="B653" s="1" t="n">
        <v>46105</v>
      </c>
      <c r="C653" s="1" t="n">
        <v>46144</v>
      </c>
      <c r="D653" t="inlineStr">
        <is>
          <t>DALARNAS LÄN</t>
        </is>
      </c>
      <c r="E653" t="inlineStr">
        <is>
          <t>MORA</t>
        </is>
      </c>
      <c r="G653" t="n">
        <v>1.7</v>
      </c>
      <c r="H653" t="n">
        <v>0</v>
      </c>
      <c r="I653" t="n">
        <v>0</v>
      </c>
      <c r="J653" t="n">
        <v>0</v>
      </c>
      <c r="K653" t="n">
        <v>0</v>
      </c>
      <c r="L653" t="n">
        <v>0</v>
      </c>
      <c r="M653" t="n">
        <v>0</v>
      </c>
      <c r="N653" t="n">
        <v>0</v>
      </c>
      <c r="O653" t="n">
        <v>0</v>
      </c>
      <c r="P653" t="n">
        <v>0</v>
      </c>
      <c r="Q653" t="n">
        <v>0</v>
      </c>
      <c r="R653" s="2" t="inlineStr"/>
    </row>
    <row r="654" ht="15" customHeight="1">
      <c r="A654" t="inlineStr">
        <is>
          <t>A 17237-2026</t>
        </is>
      </c>
      <c r="B654" s="1" t="n">
        <v>46119.40912037037</v>
      </c>
      <c r="C654" s="1" t="n">
        <v>46144</v>
      </c>
      <c r="D654" t="inlineStr">
        <is>
          <t>DALARNAS LÄN</t>
        </is>
      </c>
      <c r="E654" t="inlineStr">
        <is>
          <t>MORA</t>
        </is>
      </c>
      <c r="F654" t="inlineStr">
        <is>
          <t>Bergvik skog öst AB</t>
        </is>
      </c>
      <c r="G654" t="n">
        <v>10</v>
      </c>
      <c r="H654" t="n">
        <v>0</v>
      </c>
      <c r="I654" t="n">
        <v>0</v>
      </c>
      <c r="J654" t="n">
        <v>0</v>
      </c>
      <c r="K654" t="n">
        <v>0</v>
      </c>
      <c r="L654" t="n">
        <v>0</v>
      </c>
      <c r="M654" t="n">
        <v>0</v>
      </c>
      <c r="N654" t="n">
        <v>0</v>
      </c>
      <c r="O654" t="n">
        <v>0</v>
      </c>
      <c r="P654" t="n">
        <v>0</v>
      </c>
      <c r="Q654" t="n">
        <v>0</v>
      </c>
      <c r="R654" s="2" t="inlineStr"/>
    </row>
    <row r="655" ht="15" customHeight="1">
      <c r="A655" t="inlineStr">
        <is>
          <t>A 10181-2026</t>
        </is>
      </c>
      <c r="B655" s="1" t="n">
        <v>46076</v>
      </c>
      <c r="C655" s="1" t="n">
        <v>46144</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15012-2026</t>
        </is>
      </c>
      <c r="B656" s="1" t="n">
        <v>46104</v>
      </c>
      <c r="C656" s="1" t="n">
        <v>46144</v>
      </c>
      <c r="D656" t="inlineStr">
        <is>
          <t>DALARNAS LÄN</t>
        </is>
      </c>
      <c r="E656" t="inlineStr">
        <is>
          <t>MORA</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17392-2026</t>
        </is>
      </c>
      <c r="B657" s="1" t="n">
        <v>46119.83803240741</v>
      </c>
      <c r="C657" s="1" t="n">
        <v>46144</v>
      </c>
      <c r="D657" t="inlineStr">
        <is>
          <t>DALARNAS LÄN</t>
        </is>
      </c>
      <c r="E657" t="inlineStr">
        <is>
          <t>MORA</t>
        </is>
      </c>
      <c r="F657" t="inlineStr">
        <is>
          <t>Bergvik skog öst AB</t>
        </is>
      </c>
      <c r="G657" t="n">
        <v>4</v>
      </c>
      <c r="H657" t="n">
        <v>0</v>
      </c>
      <c r="I657" t="n">
        <v>0</v>
      </c>
      <c r="J657" t="n">
        <v>0</v>
      </c>
      <c r="K657" t="n">
        <v>0</v>
      </c>
      <c r="L657" t="n">
        <v>0</v>
      </c>
      <c r="M657" t="n">
        <v>0</v>
      </c>
      <c r="N657" t="n">
        <v>0</v>
      </c>
      <c r="O657" t="n">
        <v>0</v>
      </c>
      <c r="P657" t="n">
        <v>0</v>
      </c>
      <c r="Q657" t="n">
        <v>0</v>
      </c>
      <c r="R657" s="2" t="inlineStr"/>
    </row>
    <row r="658" ht="15" customHeight="1">
      <c r="A658" t="inlineStr">
        <is>
          <t>A 17393-2026</t>
        </is>
      </c>
      <c r="B658" s="1" t="n">
        <v>46119.84144675926</v>
      </c>
      <c r="C658" s="1" t="n">
        <v>46144</v>
      </c>
      <c r="D658" t="inlineStr">
        <is>
          <t>DALARNAS LÄN</t>
        </is>
      </c>
      <c r="E658" t="inlineStr">
        <is>
          <t>MORA</t>
        </is>
      </c>
      <c r="F658" t="inlineStr">
        <is>
          <t>Bergvik skog öst AB</t>
        </is>
      </c>
      <c r="G658" t="n">
        <v>2.8</v>
      </c>
      <c r="H658" t="n">
        <v>0</v>
      </c>
      <c r="I658" t="n">
        <v>0</v>
      </c>
      <c r="J658" t="n">
        <v>0</v>
      </c>
      <c r="K658" t="n">
        <v>0</v>
      </c>
      <c r="L658" t="n">
        <v>0</v>
      </c>
      <c r="M658" t="n">
        <v>0</v>
      </c>
      <c r="N658" t="n">
        <v>0</v>
      </c>
      <c r="O658" t="n">
        <v>0</v>
      </c>
      <c r="P658" t="n">
        <v>0</v>
      </c>
      <c r="Q658" t="n">
        <v>0</v>
      </c>
      <c r="R658" s="2" t="inlineStr"/>
    </row>
    <row r="659" ht="15" customHeight="1">
      <c r="A659" t="inlineStr">
        <is>
          <t>A 17287-2026</t>
        </is>
      </c>
      <c r="B659" s="1" t="n">
        <v>46119</v>
      </c>
      <c r="C659" s="1" t="n">
        <v>46144</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60051-2022</t>
        </is>
      </c>
      <c r="B660" s="1" t="n">
        <v>44909.52385416667</v>
      </c>
      <c r="C660" s="1" t="n">
        <v>46144</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48390-2024</t>
        </is>
      </c>
      <c r="B661" s="1" t="n">
        <v>45590.60216435185</v>
      </c>
      <c r="C661" s="1" t="n">
        <v>46144</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55671-2024</t>
        </is>
      </c>
      <c r="B662" s="1" t="n">
        <v>45622.65269675926</v>
      </c>
      <c r="C662" s="1" t="n">
        <v>46144</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5763-2026</t>
        </is>
      </c>
      <c r="B663" s="1" t="n">
        <v>46051</v>
      </c>
      <c r="C663" s="1" t="n">
        <v>46144</v>
      </c>
      <c r="D663" t="inlineStr">
        <is>
          <t>DALARNAS LÄN</t>
        </is>
      </c>
      <c r="E663" t="inlineStr">
        <is>
          <t>MORA</t>
        </is>
      </c>
      <c r="G663" t="n">
        <v>0.3</v>
      </c>
      <c r="H663" t="n">
        <v>0</v>
      </c>
      <c r="I663" t="n">
        <v>0</v>
      </c>
      <c r="J663" t="n">
        <v>0</v>
      </c>
      <c r="K663" t="n">
        <v>0</v>
      </c>
      <c r="L663" t="n">
        <v>0</v>
      </c>
      <c r="M663" t="n">
        <v>0</v>
      </c>
      <c r="N663" t="n">
        <v>0</v>
      </c>
      <c r="O663" t="n">
        <v>0</v>
      </c>
      <c r="P663" t="n">
        <v>0</v>
      </c>
      <c r="Q663" t="n">
        <v>0</v>
      </c>
      <c r="R663" s="2" t="inlineStr"/>
    </row>
    <row r="664" ht="15" customHeight="1">
      <c r="A664" t="inlineStr">
        <is>
          <t>A 4208-2023</t>
        </is>
      </c>
      <c r="B664" s="1" t="n">
        <v>44953</v>
      </c>
      <c r="C664" s="1" t="n">
        <v>46144</v>
      </c>
      <c r="D664" t="inlineStr">
        <is>
          <t>DALARNAS LÄN</t>
        </is>
      </c>
      <c r="E664" t="inlineStr">
        <is>
          <t>MORA</t>
        </is>
      </c>
      <c r="G664" t="n">
        <v>2.4</v>
      </c>
      <c r="H664" t="n">
        <v>0</v>
      </c>
      <c r="I664" t="n">
        <v>0</v>
      </c>
      <c r="J664" t="n">
        <v>0</v>
      </c>
      <c r="K664" t="n">
        <v>0</v>
      </c>
      <c r="L664" t="n">
        <v>0</v>
      </c>
      <c r="M664" t="n">
        <v>0</v>
      </c>
      <c r="N664" t="n">
        <v>0</v>
      </c>
      <c r="O664" t="n">
        <v>0</v>
      </c>
      <c r="P664" t="n">
        <v>0</v>
      </c>
      <c r="Q664" t="n">
        <v>0</v>
      </c>
      <c r="R664" s="2" t="inlineStr"/>
    </row>
    <row r="665" ht="15" customHeight="1">
      <c r="A665" t="inlineStr">
        <is>
          <t>A 4210-2023</t>
        </is>
      </c>
      <c r="B665" s="1" t="n">
        <v>44953.44965277778</v>
      </c>
      <c r="C665" s="1" t="n">
        <v>46144</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5491-2023</t>
        </is>
      </c>
      <c r="B666" s="1" t="n">
        <v>44957</v>
      </c>
      <c r="C666" s="1" t="n">
        <v>46144</v>
      </c>
      <c r="D666" t="inlineStr">
        <is>
          <t>DALARNAS LÄN</t>
        </is>
      </c>
      <c r="E666" t="inlineStr">
        <is>
          <t>MORA</t>
        </is>
      </c>
      <c r="G666" t="n">
        <v>3.5</v>
      </c>
      <c r="H666" t="n">
        <v>0</v>
      </c>
      <c r="I666" t="n">
        <v>0</v>
      </c>
      <c r="J666" t="n">
        <v>0</v>
      </c>
      <c r="K666" t="n">
        <v>0</v>
      </c>
      <c r="L666" t="n">
        <v>0</v>
      </c>
      <c r="M666" t="n">
        <v>0</v>
      </c>
      <c r="N666" t="n">
        <v>0</v>
      </c>
      <c r="O666" t="n">
        <v>0</v>
      </c>
      <c r="P666" t="n">
        <v>0</v>
      </c>
      <c r="Q666" t="n">
        <v>0</v>
      </c>
      <c r="R666" s="2" t="inlineStr"/>
    </row>
    <row r="667" ht="15" customHeight="1">
      <c r="A667" t="inlineStr">
        <is>
          <t>A 5493-2023</t>
        </is>
      </c>
      <c r="B667" s="1" t="n">
        <v>44957</v>
      </c>
      <c r="C667" s="1" t="n">
        <v>46144</v>
      </c>
      <c r="D667" t="inlineStr">
        <is>
          <t>DALARNAS LÄN</t>
        </is>
      </c>
      <c r="E667" t="inlineStr">
        <is>
          <t>MORA</t>
        </is>
      </c>
      <c r="F667" t="inlineStr">
        <is>
          <t>Allmännings- och besparingsskogar</t>
        </is>
      </c>
      <c r="G667" t="n">
        <v>14.9</v>
      </c>
      <c r="H667" t="n">
        <v>0</v>
      </c>
      <c r="I667" t="n">
        <v>0</v>
      </c>
      <c r="J667" t="n">
        <v>0</v>
      </c>
      <c r="K667" t="n">
        <v>0</v>
      </c>
      <c r="L667" t="n">
        <v>0</v>
      </c>
      <c r="M667" t="n">
        <v>0</v>
      </c>
      <c r="N667" t="n">
        <v>0</v>
      </c>
      <c r="O667" t="n">
        <v>0</v>
      </c>
      <c r="P667" t="n">
        <v>0</v>
      </c>
      <c r="Q667" t="n">
        <v>0</v>
      </c>
      <c r="R667" s="2" t="inlineStr"/>
    </row>
    <row r="668" ht="15" customHeight="1">
      <c r="A668" t="inlineStr">
        <is>
          <t>A 9554-2025</t>
        </is>
      </c>
      <c r="B668" s="1" t="n">
        <v>45715.59936342593</v>
      </c>
      <c r="C668" s="1" t="n">
        <v>46144</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11463-2024</t>
        </is>
      </c>
      <c r="B669" s="1" t="n">
        <v>45372.58969907407</v>
      </c>
      <c r="C669" s="1" t="n">
        <v>46144</v>
      </c>
      <c r="D669" t="inlineStr">
        <is>
          <t>DALARNAS LÄN</t>
        </is>
      </c>
      <c r="E669" t="inlineStr">
        <is>
          <t>MORA</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17762-2026</t>
        </is>
      </c>
      <c r="B670" s="1" t="n">
        <v>46122.35721064815</v>
      </c>
      <c r="C670" s="1" t="n">
        <v>46144</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17756-2026</t>
        </is>
      </c>
      <c r="B671" s="1" t="n">
        <v>46122.34643518519</v>
      </c>
      <c r="C671" s="1" t="n">
        <v>46144</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27975-2023</t>
        </is>
      </c>
      <c r="B672" s="1" t="n">
        <v>45098</v>
      </c>
      <c r="C672" s="1" t="n">
        <v>46144</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5769-2025</t>
        </is>
      </c>
      <c r="B673" s="1" t="n">
        <v>45694.59288194445</v>
      </c>
      <c r="C673" s="1" t="n">
        <v>46144</v>
      </c>
      <c r="D673" t="inlineStr">
        <is>
          <t>DALARNAS LÄN</t>
        </is>
      </c>
      <c r="E673" t="inlineStr">
        <is>
          <t>MORA</t>
        </is>
      </c>
      <c r="G673" t="n">
        <v>15.7</v>
      </c>
      <c r="H673" t="n">
        <v>0</v>
      </c>
      <c r="I673" t="n">
        <v>0</v>
      </c>
      <c r="J673" t="n">
        <v>0</v>
      </c>
      <c r="K673" t="n">
        <v>0</v>
      </c>
      <c r="L673" t="n">
        <v>0</v>
      </c>
      <c r="M673" t="n">
        <v>0</v>
      </c>
      <c r="N673" t="n">
        <v>0</v>
      </c>
      <c r="O673" t="n">
        <v>0</v>
      </c>
      <c r="P673" t="n">
        <v>0</v>
      </c>
      <c r="Q673" t="n">
        <v>0</v>
      </c>
      <c r="R673" s="2" t="inlineStr"/>
    </row>
    <row r="674" ht="15" customHeight="1">
      <c r="A674" t="inlineStr">
        <is>
          <t>A 59101-2024</t>
        </is>
      </c>
      <c r="B674" s="1" t="n">
        <v>45637.34074074074</v>
      </c>
      <c r="C674" s="1" t="n">
        <v>46144</v>
      </c>
      <c r="D674" t="inlineStr">
        <is>
          <t>DALARNAS LÄN</t>
        </is>
      </c>
      <c r="E674" t="inlineStr">
        <is>
          <t>MORA</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11176-2026</t>
        </is>
      </c>
      <c r="B675" s="1" t="n">
        <v>46080</v>
      </c>
      <c r="C675" s="1" t="n">
        <v>46144</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11452-2026</t>
        </is>
      </c>
      <c r="B676" s="1" t="n">
        <v>46083</v>
      </c>
      <c r="C676" s="1" t="n">
        <v>46144</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43874-2024</t>
        </is>
      </c>
      <c r="B677" s="1" t="n">
        <v>45572.38476851852</v>
      </c>
      <c r="C677" s="1" t="n">
        <v>46144</v>
      </c>
      <c r="D677" t="inlineStr">
        <is>
          <t>DALARNAS LÄN</t>
        </is>
      </c>
      <c r="E677" t="inlineStr">
        <is>
          <t>MORA</t>
        </is>
      </c>
      <c r="G677" t="n">
        <v>3.6</v>
      </c>
      <c r="H677" t="n">
        <v>0</v>
      </c>
      <c r="I677" t="n">
        <v>0</v>
      </c>
      <c r="J677" t="n">
        <v>0</v>
      </c>
      <c r="K677" t="n">
        <v>0</v>
      </c>
      <c r="L677" t="n">
        <v>0</v>
      </c>
      <c r="M677" t="n">
        <v>0</v>
      </c>
      <c r="N677" t="n">
        <v>0</v>
      </c>
      <c r="O677" t="n">
        <v>0</v>
      </c>
      <c r="P677" t="n">
        <v>0</v>
      </c>
      <c r="Q677" t="n">
        <v>0</v>
      </c>
      <c r="R677" s="2" t="inlineStr"/>
    </row>
    <row r="678" ht="15" customHeight="1">
      <c r="A678" t="inlineStr">
        <is>
          <t>A 57903-2022</t>
        </is>
      </c>
      <c r="B678" s="1" t="n">
        <v>44900.3521412037</v>
      </c>
      <c r="C678" s="1" t="n">
        <v>46144</v>
      </c>
      <c r="D678" t="inlineStr">
        <is>
          <t>DALARNAS LÄN</t>
        </is>
      </c>
      <c r="E678" t="inlineStr">
        <is>
          <t>MORA</t>
        </is>
      </c>
      <c r="G678" t="n">
        <v>4.3</v>
      </c>
      <c r="H678" t="n">
        <v>0</v>
      </c>
      <c r="I678" t="n">
        <v>0</v>
      </c>
      <c r="J678" t="n">
        <v>0</v>
      </c>
      <c r="K678" t="n">
        <v>0</v>
      </c>
      <c r="L678" t="n">
        <v>0</v>
      </c>
      <c r="M678" t="n">
        <v>0</v>
      </c>
      <c r="N678" t="n">
        <v>0</v>
      </c>
      <c r="O678" t="n">
        <v>0</v>
      </c>
      <c r="P678" t="n">
        <v>0</v>
      </c>
      <c r="Q678" t="n">
        <v>0</v>
      </c>
      <c r="R678" s="2" t="inlineStr"/>
    </row>
    <row r="679" ht="15" customHeight="1">
      <c r="A679" t="inlineStr">
        <is>
          <t>A 24169-2022</t>
        </is>
      </c>
      <c r="B679" s="1" t="n">
        <v>44725.50280092593</v>
      </c>
      <c r="C679" s="1" t="n">
        <v>46144</v>
      </c>
      <c r="D679" t="inlineStr">
        <is>
          <t>DALARNAS LÄN</t>
        </is>
      </c>
      <c r="E679" t="inlineStr">
        <is>
          <t>MORA</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65186-2021</t>
        </is>
      </c>
      <c r="B680" s="1" t="n">
        <v>44515</v>
      </c>
      <c r="C680" s="1" t="n">
        <v>46144</v>
      </c>
      <c r="D680" t="inlineStr">
        <is>
          <t>DALARNAS LÄN</t>
        </is>
      </c>
      <c r="E680" t="inlineStr">
        <is>
          <t>MORA</t>
        </is>
      </c>
      <c r="G680" t="n">
        <v>1.4</v>
      </c>
      <c r="H680" t="n">
        <v>0</v>
      </c>
      <c r="I680" t="n">
        <v>0</v>
      </c>
      <c r="J680" t="n">
        <v>0</v>
      </c>
      <c r="K680" t="n">
        <v>0</v>
      </c>
      <c r="L680" t="n">
        <v>0</v>
      </c>
      <c r="M680" t="n">
        <v>0</v>
      </c>
      <c r="N680" t="n">
        <v>0</v>
      </c>
      <c r="O680" t="n">
        <v>0</v>
      </c>
      <c r="P680" t="n">
        <v>0</v>
      </c>
      <c r="Q680" t="n">
        <v>0</v>
      </c>
      <c r="R680" s="2" t="inlineStr"/>
    </row>
    <row r="681" ht="15" customHeight="1">
      <c r="A681" t="inlineStr">
        <is>
          <t>A 11716-2026</t>
        </is>
      </c>
      <c r="B681" s="1" t="n">
        <v>46084.62465277778</v>
      </c>
      <c r="C681" s="1" t="n">
        <v>46144</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46144</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18514-2026</t>
        </is>
      </c>
      <c r="B683" s="1" t="n">
        <v>46127.50141203704</v>
      </c>
      <c r="C683" s="1" t="n">
        <v>46144</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11442-2022</t>
        </is>
      </c>
      <c r="B684" s="1" t="n">
        <v>44630.62788194444</v>
      </c>
      <c r="C684" s="1" t="n">
        <v>46144</v>
      </c>
      <c r="D684" t="inlineStr">
        <is>
          <t>DALARNAS LÄN</t>
        </is>
      </c>
      <c r="E684" t="inlineStr">
        <is>
          <t>MORA</t>
        </is>
      </c>
      <c r="G684" t="n">
        <v>0.5</v>
      </c>
      <c r="H684" t="n">
        <v>0</v>
      </c>
      <c r="I684" t="n">
        <v>0</v>
      </c>
      <c r="J684" t="n">
        <v>0</v>
      </c>
      <c r="K684" t="n">
        <v>0</v>
      </c>
      <c r="L684" t="n">
        <v>0</v>
      </c>
      <c r="M684" t="n">
        <v>0</v>
      </c>
      <c r="N684" t="n">
        <v>0</v>
      </c>
      <c r="O684" t="n">
        <v>0</v>
      </c>
      <c r="P684" t="n">
        <v>0</v>
      </c>
      <c r="Q684" t="n">
        <v>0</v>
      </c>
      <c r="R684" s="2" t="inlineStr"/>
    </row>
    <row r="685" ht="15" customHeight="1">
      <c r="A685" t="inlineStr">
        <is>
          <t>A 6183-2024</t>
        </is>
      </c>
      <c r="B685" s="1" t="n">
        <v>45337.54135416666</v>
      </c>
      <c r="C685" s="1" t="n">
        <v>46144</v>
      </c>
      <c r="D685" t="inlineStr">
        <is>
          <t>DALARNAS LÄN</t>
        </is>
      </c>
      <c r="E685" t="inlineStr">
        <is>
          <t>MORA</t>
        </is>
      </c>
      <c r="G685" t="n">
        <v>7.9</v>
      </c>
      <c r="H685" t="n">
        <v>0</v>
      </c>
      <c r="I685" t="n">
        <v>0</v>
      </c>
      <c r="J685" t="n">
        <v>0</v>
      </c>
      <c r="K685" t="n">
        <v>0</v>
      </c>
      <c r="L685" t="n">
        <v>0</v>
      </c>
      <c r="M685" t="n">
        <v>0</v>
      </c>
      <c r="N685" t="n">
        <v>0</v>
      </c>
      <c r="O685" t="n">
        <v>0</v>
      </c>
      <c r="P685" t="n">
        <v>0</v>
      </c>
      <c r="Q685" t="n">
        <v>0</v>
      </c>
      <c r="R685" s="2" t="inlineStr"/>
    </row>
    <row r="686" ht="15" customHeight="1">
      <c r="A686" t="inlineStr">
        <is>
          <t>A 11705-2026</t>
        </is>
      </c>
      <c r="B686" s="1" t="n">
        <v>46084.61635416667</v>
      </c>
      <c r="C686" s="1" t="n">
        <v>46144</v>
      </c>
      <c r="D686" t="inlineStr">
        <is>
          <t>DALARNAS LÄN</t>
        </is>
      </c>
      <c r="E686" t="inlineStr">
        <is>
          <t>MORA</t>
        </is>
      </c>
      <c r="G686" t="n">
        <v>4.2</v>
      </c>
      <c r="H686" t="n">
        <v>0</v>
      </c>
      <c r="I686" t="n">
        <v>0</v>
      </c>
      <c r="J686" t="n">
        <v>0</v>
      </c>
      <c r="K686" t="n">
        <v>0</v>
      </c>
      <c r="L686" t="n">
        <v>0</v>
      </c>
      <c r="M686" t="n">
        <v>0</v>
      </c>
      <c r="N686" t="n">
        <v>0</v>
      </c>
      <c r="O686" t="n">
        <v>0</v>
      </c>
      <c r="P686" t="n">
        <v>0</v>
      </c>
      <c r="Q686" t="n">
        <v>0</v>
      </c>
      <c r="R686" s="2" t="inlineStr"/>
    </row>
    <row r="687" ht="15" customHeight="1">
      <c r="A687" t="inlineStr">
        <is>
          <t>A 45562-2023</t>
        </is>
      </c>
      <c r="B687" s="1" t="n">
        <v>45194.59378472222</v>
      </c>
      <c r="C687" s="1" t="n">
        <v>46144</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35551-2023</t>
        </is>
      </c>
      <c r="B688" s="1" t="n">
        <v>45147.3934837963</v>
      </c>
      <c r="C688" s="1" t="n">
        <v>46144</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11875-2026</t>
        </is>
      </c>
      <c r="B689" s="1" t="n">
        <v>46085</v>
      </c>
      <c r="C689" s="1" t="n">
        <v>46144</v>
      </c>
      <c r="D689" t="inlineStr">
        <is>
          <t>DALARNAS LÄN</t>
        </is>
      </c>
      <c r="E689" t="inlineStr">
        <is>
          <t>MORA</t>
        </is>
      </c>
      <c r="G689" t="n">
        <v>3.7</v>
      </c>
      <c r="H689" t="n">
        <v>0</v>
      </c>
      <c r="I689" t="n">
        <v>0</v>
      </c>
      <c r="J689" t="n">
        <v>0</v>
      </c>
      <c r="K689" t="n">
        <v>0</v>
      </c>
      <c r="L689" t="n">
        <v>0</v>
      </c>
      <c r="M689" t="n">
        <v>0</v>
      </c>
      <c r="N689" t="n">
        <v>0</v>
      </c>
      <c r="O689" t="n">
        <v>0</v>
      </c>
      <c r="P689" t="n">
        <v>0</v>
      </c>
      <c r="Q689" t="n">
        <v>0</v>
      </c>
      <c r="R689" s="2" t="inlineStr"/>
    </row>
    <row r="690" ht="15" customHeight="1">
      <c r="A690" t="inlineStr">
        <is>
          <t>A 18626-2026</t>
        </is>
      </c>
      <c r="B690" s="1" t="n">
        <v>46127.78611111111</v>
      </c>
      <c r="C690" s="1" t="n">
        <v>46144</v>
      </c>
      <c r="D690" t="inlineStr">
        <is>
          <t>DALARNAS LÄN</t>
        </is>
      </c>
      <c r="E690" t="inlineStr">
        <is>
          <t>MORA</t>
        </is>
      </c>
      <c r="G690" t="n">
        <v>3.1</v>
      </c>
      <c r="H690" t="n">
        <v>0</v>
      </c>
      <c r="I690" t="n">
        <v>0</v>
      </c>
      <c r="J690" t="n">
        <v>0</v>
      </c>
      <c r="K690" t="n">
        <v>0</v>
      </c>
      <c r="L690" t="n">
        <v>0</v>
      </c>
      <c r="M690" t="n">
        <v>0</v>
      </c>
      <c r="N690" t="n">
        <v>0</v>
      </c>
      <c r="O690" t="n">
        <v>0</v>
      </c>
      <c r="P690" t="n">
        <v>0</v>
      </c>
      <c r="Q690" t="n">
        <v>0</v>
      </c>
      <c r="R690" s="2" t="inlineStr"/>
    </row>
    <row r="691" ht="15" customHeight="1">
      <c r="A691" t="inlineStr">
        <is>
          <t>A 11819-2026</t>
        </is>
      </c>
      <c r="B691" s="1" t="n">
        <v>46085.38835648148</v>
      </c>
      <c r="C691" s="1" t="n">
        <v>46144</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23300-2024</t>
        </is>
      </c>
      <c r="B692" s="1" t="n">
        <v>45453.43695601852</v>
      </c>
      <c r="C692" s="1" t="n">
        <v>46144</v>
      </c>
      <c r="D692" t="inlineStr">
        <is>
          <t>DALARNAS LÄN</t>
        </is>
      </c>
      <c r="E692" t="inlineStr">
        <is>
          <t>MORA</t>
        </is>
      </c>
      <c r="G692" t="n">
        <v>0.5</v>
      </c>
      <c r="H692" t="n">
        <v>0</v>
      </c>
      <c r="I692" t="n">
        <v>0</v>
      </c>
      <c r="J692" t="n">
        <v>0</v>
      </c>
      <c r="K692" t="n">
        <v>0</v>
      </c>
      <c r="L692" t="n">
        <v>0</v>
      </c>
      <c r="M692" t="n">
        <v>0</v>
      </c>
      <c r="N692" t="n">
        <v>0</v>
      </c>
      <c r="O692" t="n">
        <v>0</v>
      </c>
      <c r="P692" t="n">
        <v>0</v>
      </c>
      <c r="Q692" t="n">
        <v>0</v>
      </c>
      <c r="R692" s="2" t="inlineStr"/>
    </row>
    <row r="693" ht="15" customHeight="1">
      <c r="A693" t="inlineStr">
        <is>
          <t>A 17805-2026</t>
        </is>
      </c>
      <c r="B693" s="1" t="n">
        <v>46121</v>
      </c>
      <c r="C693" s="1" t="n">
        <v>46144</v>
      </c>
      <c r="D693" t="inlineStr">
        <is>
          <t>DALARNAS LÄN</t>
        </is>
      </c>
      <c r="E693" t="inlineStr">
        <is>
          <t>MORA</t>
        </is>
      </c>
      <c r="G693" t="n">
        <v>1.3</v>
      </c>
      <c r="H693" t="n">
        <v>0</v>
      </c>
      <c r="I693" t="n">
        <v>0</v>
      </c>
      <c r="J693" t="n">
        <v>0</v>
      </c>
      <c r="K693" t="n">
        <v>0</v>
      </c>
      <c r="L693" t="n">
        <v>0</v>
      </c>
      <c r="M693" t="n">
        <v>0</v>
      </c>
      <c r="N693" t="n">
        <v>0</v>
      </c>
      <c r="O693" t="n">
        <v>0</v>
      </c>
      <c r="P693" t="n">
        <v>0</v>
      </c>
      <c r="Q693" t="n">
        <v>0</v>
      </c>
      <c r="R693" s="2" t="inlineStr"/>
    </row>
    <row r="694" ht="15" customHeight="1">
      <c r="A694" t="inlineStr">
        <is>
          <t>A 18674-2026</t>
        </is>
      </c>
      <c r="B694" s="1" t="n">
        <v>46128.36966435185</v>
      </c>
      <c r="C694" s="1" t="n">
        <v>46144</v>
      </c>
      <c r="D694" t="inlineStr">
        <is>
          <t>DALARNAS LÄN</t>
        </is>
      </c>
      <c r="E694" t="inlineStr">
        <is>
          <t>MORA</t>
        </is>
      </c>
      <c r="G694" t="n">
        <v>0.6</v>
      </c>
      <c r="H694" t="n">
        <v>0</v>
      </c>
      <c r="I694" t="n">
        <v>0</v>
      </c>
      <c r="J694" t="n">
        <v>0</v>
      </c>
      <c r="K694" t="n">
        <v>0</v>
      </c>
      <c r="L694" t="n">
        <v>0</v>
      </c>
      <c r="M694" t="n">
        <v>0</v>
      </c>
      <c r="N694" t="n">
        <v>0</v>
      </c>
      <c r="O694" t="n">
        <v>0</v>
      </c>
      <c r="P694" t="n">
        <v>0</v>
      </c>
      <c r="Q694" t="n">
        <v>0</v>
      </c>
      <c r="R694" s="2" t="inlineStr"/>
    </row>
    <row r="695" ht="15" customHeight="1">
      <c r="A695" t="inlineStr">
        <is>
          <t>A 56268-2024</t>
        </is>
      </c>
      <c r="B695" s="1" t="n">
        <v>45624.65785879629</v>
      </c>
      <c r="C695" s="1" t="n">
        <v>46144</v>
      </c>
      <c r="D695" t="inlineStr">
        <is>
          <t>DALARNAS LÄN</t>
        </is>
      </c>
      <c r="E695" t="inlineStr">
        <is>
          <t>MORA</t>
        </is>
      </c>
      <c r="G695" t="n">
        <v>2.7</v>
      </c>
      <c r="H695" t="n">
        <v>0</v>
      </c>
      <c r="I695" t="n">
        <v>0</v>
      </c>
      <c r="J695" t="n">
        <v>0</v>
      </c>
      <c r="K695" t="n">
        <v>0</v>
      </c>
      <c r="L695" t="n">
        <v>0</v>
      </c>
      <c r="M695" t="n">
        <v>0</v>
      </c>
      <c r="N695" t="n">
        <v>0</v>
      </c>
      <c r="O695" t="n">
        <v>0</v>
      </c>
      <c r="P695" t="n">
        <v>0</v>
      </c>
      <c r="Q695" t="n">
        <v>0</v>
      </c>
      <c r="R695" s="2" t="inlineStr"/>
    </row>
    <row r="696" ht="15" customHeight="1">
      <c r="A696" t="inlineStr">
        <is>
          <t>A 571-2024</t>
        </is>
      </c>
      <c r="B696" s="1" t="n">
        <v>45299</v>
      </c>
      <c r="C696" s="1" t="n">
        <v>46144</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19462-2026</t>
        </is>
      </c>
      <c r="B697" s="1" t="n">
        <v>46133.68479166667</v>
      </c>
      <c r="C697" s="1" t="n">
        <v>46144</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50056-2022</t>
        </is>
      </c>
      <c r="B698" s="1" t="n">
        <v>44865</v>
      </c>
      <c r="C698" s="1" t="n">
        <v>46144</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18871-2026</t>
        </is>
      </c>
      <c r="B699" s="1" t="n">
        <v>46129</v>
      </c>
      <c r="C699" s="1" t="n">
        <v>46144</v>
      </c>
      <c r="D699" t="inlineStr">
        <is>
          <t>DALARNAS LÄN</t>
        </is>
      </c>
      <c r="E699" t="inlineStr">
        <is>
          <t>MORA</t>
        </is>
      </c>
      <c r="G699" t="n">
        <v>0.5</v>
      </c>
      <c r="H699" t="n">
        <v>0</v>
      </c>
      <c r="I699" t="n">
        <v>0</v>
      </c>
      <c r="J699" t="n">
        <v>0</v>
      </c>
      <c r="K699" t="n">
        <v>0</v>
      </c>
      <c r="L699" t="n">
        <v>0</v>
      </c>
      <c r="M699" t="n">
        <v>0</v>
      </c>
      <c r="N699" t="n">
        <v>0</v>
      </c>
      <c r="O699" t="n">
        <v>0</v>
      </c>
      <c r="P699" t="n">
        <v>0</v>
      </c>
      <c r="Q699" t="n">
        <v>0</v>
      </c>
      <c r="R699" s="2" t="inlineStr"/>
    </row>
    <row r="700" ht="15" customHeight="1">
      <c r="A700" t="inlineStr">
        <is>
          <t>A 12664-2026</t>
        </is>
      </c>
      <c r="B700" s="1" t="n">
        <v>46091</v>
      </c>
      <c r="C700" s="1" t="n">
        <v>46144</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15499-2024</t>
        </is>
      </c>
      <c r="B701" s="1" t="n">
        <v>45401.53798611111</v>
      </c>
      <c r="C701" s="1" t="n">
        <v>46144</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43879-2022</t>
        </is>
      </c>
      <c r="B702" s="1" t="n">
        <v>44838.46721064814</v>
      </c>
      <c r="C702" s="1" t="n">
        <v>46144</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12527-2026</t>
        </is>
      </c>
      <c r="B703" s="1" t="n">
        <v>46090</v>
      </c>
      <c r="C703" s="1" t="n">
        <v>46144</v>
      </c>
      <c r="D703" t="inlineStr">
        <is>
          <t>DALARNAS LÄN</t>
        </is>
      </c>
      <c r="E703" t="inlineStr">
        <is>
          <t>MORA</t>
        </is>
      </c>
      <c r="G703" t="n">
        <v>17.5</v>
      </c>
      <c r="H703" t="n">
        <v>0</v>
      </c>
      <c r="I703" t="n">
        <v>0</v>
      </c>
      <c r="J703" t="n">
        <v>0</v>
      </c>
      <c r="K703" t="n">
        <v>0</v>
      </c>
      <c r="L703" t="n">
        <v>0</v>
      </c>
      <c r="M703" t="n">
        <v>0</v>
      </c>
      <c r="N703" t="n">
        <v>0</v>
      </c>
      <c r="O703" t="n">
        <v>0</v>
      </c>
      <c r="P703" t="n">
        <v>0</v>
      </c>
      <c r="Q703" t="n">
        <v>0</v>
      </c>
      <c r="R703" s="2" t="inlineStr"/>
    </row>
    <row r="704" ht="15" customHeight="1">
      <c r="A704" t="inlineStr">
        <is>
          <t>A 12610-2026</t>
        </is>
      </c>
      <c r="B704" s="1" t="n">
        <v>46091.38306712963</v>
      </c>
      <c r="C704" s="1" t="n">
        <v>46144</v>
      </c>
      <c r="D704" t="inlineStr">
        <is>
          <t>DALARNAS LÄN</t>
        </is>
      </c>
      <c r="E704" t="inlineStr">
        <is>
          <t>MORA</t>
        </is>
      </c>
      <c r="G704" t="n">
        <v>8.1</v>
      </c>
      <c r="H704" t="n">
        <v>0</v>
      </c>
      <c r="I704" t="n">
        <v>0</v>
      </c>
      <c r="J704" t="n">
        <v>0</v>
      </c>
      <c r="K704" t="n">
        <v>0</v>
      </c>
      <c r="L704" t="n">
        <v>0</v>
      </c>
      <c r="M704" t="n">
        <v>0</v>
      </c>
      <c r="N704" t="n">
        <v>0</v>
      </c>
      <c r="O704" t="n">
        <v>0</v>
      </c>
      <c r="P704" t="n">
        <v>0</v>
      </c>
      <c r="Q704" t="n">
        <v>0</v>
      </c>
      <c r="R704" s="2" t="inlineStr"/>
    </row>
    <row r="705" ht="15" customHeight="1">
      <c r="A705" t="inlineStr">
        <is>
          <t>A 39888-2024</t>
        </is>
      </c>
      <c r="B705" s="1" t="n">
        <v>45553.47538194444</v>
      </c>
      <c r="C705" s="1" t="n">
        <v>46144</v>
      </c>
      <c r="D705" t="inlineStr">
        <is>
          <t>DALARNAS LÄN</t>
        </is>
      </c>
      <c r="E705" t="inlineStr">
        <is>
          <t>MORA</t>
        </is>
      </c>
      <c r="G705" t="n">
        <v>5.4</v>
      </c>
      <c r="H705" t="n">
        <v>0</v>
      </c>
      <c r="I705" t="n">
        <v>0</v>
      </c>
      <c r="J705" t="n">
        <v>0</v>
      </c>
      <c r="K705" t="n">
        <v>0</v>
      </c>
      <c r="L705" t="n">
        <v>0</v>
      </c>
      <c r="M705" t="n">
        <v>0</v>
      </c>
      <c r="N705" t="n">
        <v>0</v>
      </c>
      <c r="O705" t="n">
        <v>0</v>
      </c>
      <c r="P705" t="n">
        <v>0</v>
      </c>
      <c r="Q705" t="n">
        <v>0</v>
      </c>
      <c r="R705" s="2" t="inlineStr"/>
    </row>
    <row r="706" ht="15" customHeight="1">
      <c r="A706" t="inlineStr">
        <is>
          <t>A 12828-2023</t>
        </is>
      </c>
      <c r="B706" s="1" t="n">
        <v>45001</v>
      </c>
      <c r="C706" s="1" t="n">
        <v>46144</v>
      </c>
      <c r="D706" t="inlineStr">
        <is>
          <t>DALARNAS LÄN</t>
        </is>
      </c>
      <c r="E706" t="inlineStr">
        <is>
          <t>MORA</t>
        </is>
      </c>
      <c r="F706" t="inlineStr">
        <is>
          <t>Bergvik skog väst AB</t>
        </is>
      </c>
      <c r="G706" t="n">
        <v>5.4</v>
      </c>
      <c r="H706" t="n">
        <v>0</v>
      </c>
      <c r="I706" t="n">
        <v>0</v>
      </c>
      <c r="J706" t="n">
        <v>0</v>
      </c>
      <c r="K706" t="n">
        <v>0</v>
      </c>
      <c r="L706" t="n">
        <v>0</v>
      </c>
      <c r="M706" t="n">
        <v>0</v>
      </c>
      <c r="N706" t="n">
        <v>0</v>
      </c>
      <c r="O706" t="n">
        <v>0</v>
      </c>
      <c r="P706" t="n">
        <v>0</v>
      </c>
      <c r="Q706" t="n">
        <v>0</v>
      </c>
      <c r="R706" s="2" t="inlineStr"/>
    </row>
    <row r="707" ht="15" customHeight="1">
      <c r="A707" t="inlineStr">
        <is>
          <t>A 60099-2024</t>
        </is>
      </c>
      <c r="B707" s="1" t="n">
        <v>45642.55645833333</v>
      </c>
      <c r="C707" s="1" t="n">
        <v>46144</v>
      </c>
      <c r="D707" t="inlineStr">
        <is>
          <t>DALARNAS LÄN</t>
        </is>
      </c>
      <c r="E707" t="inlineStr">
        <is>
          <t>MORA</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53750-2024</t>
        </is>
      </c>
      <c r="B708" s="1" t="n">
        <v>45615.48465277778</v>
      </c>
      <c r="C708" s="1" t="n">
        <v>46144</v>
      </c>
      <c r="D708" t="inlineStr">
        <is>
          <t>DALARNAS LÄN</t>
        </is>
      </c>
      <c r="E708" t="inlineStr">
        <is>
          <t>MORA</t>
        </is>
      </c>
      <c r="G708" t="n">
        <v>2.3</v>
      </c>
      <c r="H708" t="n">
        <v>0</v>
      </c>
      <c r="I708" t="n">
        <v>0</v>
      </c>
      <c r="J708" t="n">
        <v>0</v>
      </c>
      <c r="K708" t="n">
        <v>0</v>
      </c>
      <c r="L708" t="n">
        <v>0</v>
      </c>
      <c r="M708" t="n">
        <v>0</v>
      </c>
      <c r="N708" t="n">
        <v>0</v>
      </c>
      <c r="O708" t="n">
        <v>0</v>
      </c>
      <c r="P708" t="n">
        <v>0</v>
      </c>
      <c r="Q708" t="n">
        <v>0</v>
      </c>
      <c r="R708" s="2" t="inlineStr"/>
    </row>
    <row r="709" ht="15" customHeight="1">
      <c r="A709" t="inlineStr">
        <is>
          <t>A 37971-2024</t>
        </is>
      </c>
      <c r="B709" s="1" t="n">
        <v>45544</v>
      </c>
      <c r="C709" s="1" t="n">
        <v>46144</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9733-2026</t>
        </is>
      </c>
      <c r="B710" s="1" t="n">
        <v>46072</v>
      </c>
      <c r="C710" s="1" t="n">
        <v>46144</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18412-2026</t>
        </is>
      </c>
      <c r="B711" s="1" t="n">
        <v>46126</v>
      </c>
      <c r="C711" s="1" t="n">
        <v>46144</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19542-2026</t>
        </is>
      </c>
      <c r="B712" s="1" t="n">
        <v>46134.38009259259</v>
      </c>
      <c r="C712" s="1" t="n">
        <v>46144</v>
      </c>
      <c r="D712" t="inlineStr">
        <is>
          <t>DALARNAS LÄN</t>
        </is>
      </c>
      <c r="E712" t="inlineStr">
        <is>
          <t>MORA</t>
        </is>
      </c>
      <c r="G712" t="n">
        <v>6</v>
      </c>
      <c r="H712" t="n">
        <v>0</v>
      </c>
      <c r="I712" t="n">
        <v>0</v>
      </c>
      <c r="J712" t="n">
        <v>0</v>
      </c>
      <c r="K712" t="n">
        <v>0</v>
      </c>
      <c r="L712" t="n">
        <v>0</v>
      </c>
      <c r="M712" t="n">
        <v>0</v>
      </c>
      <c r="N712" t="n">
        <v>0</v>
      </c>
      <c r="O712" t="n">
        <v>0</v>
      </c>
      <c r="P712" t="n">
        <v>0</v>
      </c>
      <c r="Q712" t="n">
        <v>0</v>
      </c>
      <c r="R712" s="2" t="inlineStr"/>
    </row>
    <row r="713" ht="15" customHeight="1">
      <c r="A713" t="inlineStr">
        <is>
          <t>A 19549-2026</t>
        </is>
      </c>
      <c r="B713" s="1" t="n">
        <v>46134.39090277778</v>
      </c>
      <c r="C713" s="1" t="n">
        <v>46144</v>
      </c>
      <c r="D713" t="inlineStr">
        <is>
          <t>DALARNAS LÄN</t>
        </is>
      </c>
      <c r="E713" t="inlineStr">
        <is>
          <t>MORA</t>
        </is>
      </c>
      <c r="G713" t="n">
        <v>14.9</v>
      </c>
      <c r="H713" t="n">
        <v>0</v>
      </c>
      <c r="I713" t="n">
        <v>0</v>
      </c>
      <c r="J713" t="n">
        <v>0</v>
      </c>
      <c r="K713" t="n">
        <v>0</v>
      </c>
      <c r="L713" t="n">
        <v>0</v>
      </c>
      <c r="M713" t="n">
        <v>0</v>
      </c>
      <c r="N713" t="n">
        <v>0</v>
      </c>
      <c r="O713" t="n">
        <v>0</v>
      </c>
      <c r="P713" t="n">
        <v>0</v>
      </c>
      <c r="Q713" t="n">
        <v>0</v>
      </c>
      <c r="R713" s="2" t="inlineStr"/>
    </row>
    <row r="714" ht="15" customHeight="1">
      <c r="A714" t="inlineStr">
        <is>
          <t>A 9740-2026</t>
        </is>
      </c>
      <c r="B714" s="1" t="n">
        <v>46072</v>
      </c>
      <c r="C714" s="1" t="n">
        <v>46144</v>
      </c>
      <c r="D714" t="inlineStr">
        <is>
          <t>DALARNAS LÄN</t>
        </is>
      </c>
      <c r="E714" t="inlineStr">
        <is>
          <t>MORA</t>
        </is>
      </c>
      <c r="G714" t="n">
        <v>2</v>
      </c>
      <c r="H714" t="n">
        <v>0</v>
      </c>
      <c r="I714" t="n">
        <v>0</v>
      </c>
      <c r="J714" t="n">
        <v>0</v>
      </c>
      <c r="K714" t="n">
        <v>0</v>
      </c>
      <c r="L714" t="n">
        <v>0</v>
      </c>
      <c r="M714" t="n">
        <v>0</v>
      </c>
      <c r="N714" t="n">
        <v>0</v>
      </c>
      <c r="O714" t="n">
        <v>0</v>
      </c>
      <c r="P714" t="n">
        <v>0</v>
      </c>
      <c r="Q714" t="n">
        <v>0</v>
      </c>
      <c r="R714" s="2" t="inlineStr"/>
    </row>
    <row r="715" ht="15" customHeight="1">
      <c r="A715" t="inlineStr">
        <is>
          <t>A 18122-2025</t>
        </is>
      </c>
      <c r="B715" s="1" t="n">
        <v>45761.59221064814</v>
      </c>
      <c r="C715" s="1" t="n">
        <v>46144</v>
      </c>
      <c r="D715" t="inlineStr">
        <is>
          <t>DALARNAS LÄN</t>
        </is>
      </c>
      <c r="E715" t="inlineStr">
        <is>
          <t>MORA</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46923-2024</t>
        </is>
      </c>
      <c r="B716" s="1" t="n">
        <v>45584.42887731481</v>
      </c>
      <c r="C716" s="1" t="n">
        <v>46144</v>
      </c>
      <c r="D716" t="inlineStr">
        <is>
          <t>DALARNAS LÄN</t>
        </is>
      </c>
      <c r="E716" t="inlineStr">
        <is>
          <t>MORA</t>
        </is>
      </c>
      <c r="G716" t="n">
        <v>3.4</v>
      </c>
      <c r="H716" t="n">
        <v>0</v>
      </c>
      <c r="I716" t="n">
        <v>0</v>
      </c>
      <c r="J716" t="n">
        <v>0</v>
      </c>
      <c r="K716" t="n">
        <v>0</v>
      </c>
      <c r="L716" t="n">
        <v>0</v>
      </c>
      <c r="M716" t="n">
        <v>0</v>
      </c>
      <c r="N716" t="n">
        <v>0</v>
      </c>
      <c r="O716" t="n">
        <v>0</v>
      </c>
      <c r="P716" t="n">
        <v>0</v>
      </c>
      <c r="Q716" t="n">
        <v>0</v>
      </c>
      <c r="R716" s="2" t="inlineStr"/>
    </row>
    <row r="717" ht="15" customHeight="1">
      <c r="A717" t="inlineStr">
        <is>
          <t>A 13262-2022</t>
        </is>
      </c>
      <c r="B717" s="1" t="n">
        <v>44644.70184027778</v>
      </c>
      <c r="C717" s="1" t="n">
        <v>46144</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15552-2026</t>
        </is>
      </c>
      <c r="B718" s="1" t="n">
        <v>46106.53862268518</v>
      </c>
      <c r="C718" s="1" t="n">
        <v>46144</v>
      </c>
      <c r="D718" t="inlineStr">
        <is>
          <t>DALARNAS LÄN</t>
        </is>
      </c>
      <c r="E718" t="inlineStr">
        <is>
          <t>MORA</t>
        </is>
      </c>
      <c r="G718" t="n">
        <v>2.1</v>
      </c>
      <c r="H718" t="n">
        <v>0</v>
      </c>
      <c r="I718" t="n">
        <v>0</v>
      </c>
      <c r="J718" t="n">
        <v>0</v>
      </c>
      <c r="K718" t="n">
        <v>0</v>
      </c>
      <c r="L718" t="n">
        <v>0</v>
      </c>
      <c r="M718" t="n">
        <v>0</v>
      </c>
      <c r="N718" t="n">
        <v>0</v>
      </c>
      <c r="O718" t="n">
        <v>0</v>
      </c>
      <c r="P718" t="n">
        <v>0</v>
      </c>
      <c r="Q718" t="n">
        <v>0</v>
      </c>
      <c r="R718" s="2" t="inlineStr"/>
    </row>
    <row r="719" ht="15" customHeight="1">
      <c r="A719" t="inlineStr">
        <is>
          <t>A 19520-2026</t>
        </is>
      </c>
      <c r="B719" s="1" t="n">
        <v>46134.34634259259</v>
      </c>
      <c r="C719" s="1" t="n">
        <v>46144</v>
      </c>
      <c r="D719" t="inlineStr">
        <is>
          <t>DALARNAS LÄN</t>
        </is>
      </c>
      <c r="E719" t="inlineStr">
        <is>
          <t>MORA</t>
        </is>
      </c>
      <c r="G719" t="n">
        <v>3.1</v>
      </c>
      <c r="H719" t="n">
        <v>0</v>
      </c>
      <c r="I719" t="n">
        <v>0</v>
      </c>
      <c r="J719" t="n">
        <v>0</v>
      </c>
      <c r="K719" t="n">
        <v>0</v>
      </c>
      <c r="L719" t="n">
        <v>0</v>
      </c>
      <c r="M719" t="n">
        <v>0</v>
      </c>
      <c r="N719" t="n">
        <v>0</v>
      </c>
      <c r="O719" t="n">
        <v>0</v>
      </c>
      <c r="P719" t="n">
        <v>0</v>
      </c>
      <c r="Q719" t="n">
        <v>0</v>
      </c>
      <c r="R719" s="2" t="inlineStr"/>
    </row>
    <row r="720" ht="15" customHeight="1">
      <c r="A720" t="inlineStr">
        <is>
          <t>A 19559-2026</t>
        </is>
      </c>
      <c r="B720" s="1" t="n">
        <v>46134.42347222222</v>
      </c>
      <c r="C720" s="1" t="n">
        <v>46144</v>
      </c>
      <c r="D720" t="inlineStr">
        <is>
          <t>DALARNAS LÄN</t>
        </is>
      </c>
      <c r="E720" t="inlineStr">
        <is>
          <t>MORA</t>
        </is>
      </c>
      <c r="G720" t="n">
        <v>13.6</v>
      </c>
      <c r="H720" t="n">
        <v>0</v>
      </c>
      <c r="I720" t="n">
        <v>0</v>
      </c>
      <c r="J720" t="n">
        <v>0</v>
      </c>
      <c r="K720" t="n">
        <v>0</v>
      </c>
      <c r="L720" t="n">
        <v>0</v>
      </c>
      <c r="M720" t="n">
        <v>0</v>
      </c>
      <c r="N720" t="n">
        <v>0</v>
      </c>
      <c r="O720" t="n">
        <v>0</v>
      </c>
      <c r="P720" t="n">
        <v>0</v>
      </c>
      <c r="Q720" t="n">
        <v>0</v>
      </c>
      <c r="R720" s="2" t="inlineStr"/>
    </row>
    <row r="721" ht="15" customHeight="1">
      <c r="A721" t="inlineStr">
        <is>
          <t>A 47036-2023</t>
        </is>
      </c>
      <c r="B721" s="1" t="n">
        <v>45196</v>
      </c>
      <c r="C721" s="1" t="n">
        <v>46144</v>
      </c>
      <c r="D721" t="inlineStr">
        <is>
          <t>DALARNAS LÄN</t>
        </is>
      </c>
      <c r="E721" t="inlineStr">
        <is>
          <t>MORA</t>
        </is>
      </c>
      <c r="G721" t="n">
        <v>2.7</v>
      </c>
      <c r="H721" t="n">
        <v>0</v>
      </c>
      <c r="I721" t="n">
        <v>0</v>
      </c>
      <c r="J721" t="n">
        <v>0</v>
      </c>
      <c r="K721" t="n">
        <v>0</v>
      </c>
      <c r="L721" t="n">
        <v>0</v>
      </c>
      <c r="M721" t="n">
        <v>0</v>
      </c>
      <c r="N721" t="n">
        <v>0</v>
      </c>
      <c r="O721" t="n">
        <v>0</v>
      </c>
      <c r="P721" t="n">
        <v>0</v>
      </c>
      <c r="Q721" t="n">
        <v>0</v>
      </c>
      <c r="R721" s="2" t="inlineStr"/>
    </row>
    <row r="722" ht="15" customHeight="1">
      <c r="A722" t="inlineStr">
        <is>
          <t>A 1897-2023</t>
        </is>
      </c>
      <c r="B722" s="1" t="n">
        <v>44937</v>
      </c>
      <c r="C722" s="1" t="n">
        <v>46144</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20549-2025</t>
        </is>
      </c>
      <c r="B723" s="1" t="n">
        <v>45775.63459490741</v>
      </c>
      <c r="C723" s="1" t="n">
        <v>46144</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13483-2026</t>
        </is>
      </c>
      <c r="B724" s="1" t="n">
        <v>46094</v>
      </c>
      <c r="C724" s="1" t="n">
        <v>46144</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19193-2025</t>
        </is>
      </c>
      <c r="B725" s="1" t="n">
        <v>45769.42203703704</v>
      </c>
      <c r="C725" s="1" t="n">
        <v>46144</v>
      </c>
      <c r="D725" t="inlineStr">
        <is>
          <t>DALARNAS LÄN</t>
        </is>
      </c>
      <c r="E725" t="inlineStr">
        <is>
          <t>MORA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20089-2026</t>
        </is>
      </c>
      <c r="B726" s="1" t="n">
        <v>46135</v>
      </c>
      <c r="C726" s="1" t="n">
        <v>46144</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19814-2025</t>
        </is>
      </c>
      <c r="B727" s="1" t="n">
        <v>45771.45686342593</v>
      </c>
      <c r="C727" s="1" t="n">
        <v>46144</v>
      </c>
      <c r="D727" t="inlineStr">
        <is>
          <t>DALARNAS LÄN</t>
        </is>
      </c>
      <c r="E727" t="inlineStr">
        <is>
          <t>MORA</t>
        </is>
      </c>
      <c r="G727" t="n">
        <v>2.1</v>
      </c>
      <c r="H727" t="n">
        <v>0</v>
      </c>
      <c r="I727" t="n">
        <v>0</v>
      </c>
      <c r="J727" t="n">
        <v>0</v>
      </c>
      <c r="K727" t="n">
        <v>0</v>
      </c>
      <c r="L727" t="n">
        <v>0</v>
      </c>
      <c r="M727" t="n">
        <v>0</v>
      </c>
      <c r="N727" t="n">
        <v>0</v>
      </c>
      <c r="O727" t="n">
        <v>0</v>
      </c>
      <c r="P727" t="n">
        <v>0</v>
      </c>
      <c r="Q727" t="n">
        <v>0</v>
      </c>
      <c r="R727" s="2" t="inlineStr"/>
    </row>
    <row r="728" ht="15" customHeight="1">
      <c r="A728" t="inlineStr">
        <is>
          <t>A 13543-2026</t>
        </is>
      </c>
      <c r="B728" s="1" t="n">
        <v>46094.6853125</v>
      </c>
      <c r="C728" s="1" t="n">
        <v>46144</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20270-2026</t>
        </is>
      </c>
      <c r="B729" s="1" t="n">
        <v>46139.51707175926</v>
      </c>
      <c r="C729" s="1" t="n">
        <v>46144</v>
      </c>
      <c r="D729" t="inlineStr">
        <is>
          <t>DALARNAS LÄN</t>
        </is>
      </c>
      <c r="E729" t="inlineStr">
        <is>
          <t>MORA</t>
        </is>
      </c>
      <c r="G729" t="n">
        <v>3.3</v>
      </c>
      <c r="H729" t="n">
        <v>0</v>
      </c>
      <c r="I729" t="n">
        <v>0</v>
      </c>
      <c r="J729" t="n">
        <v>0</v>
      </c>
      <c r="K729" t="n">
        <v>0</v>
      </c>
      <c r="L729" t="n">
        <v>0</v>
      </c>
      <c r="M729" t="n">
        <v>0</v>
      </c>
      <c r="N729" t="n">
        <v>0</v>
      </c>
      <c r="O729" t="n">
        <v>0</v>
      </c>
      <c r="P729" t="n">
        <v>0</v>
      </c>
      <c r="Q729" t="n">
        <v>0</v>
      </c>
      <c r="R729" s="2" t="inlineStr"/>
    </row>
    <row r="730" ht="15" customHeight="1">
      <c r="A730" t="inlineStr">
        <is>
          <t>A 8100-2024</t>
        </is>
      </c>
      <c r="B730" s="1" t="n">
        <v>45351.46583333334</v>
      </c>
      <c r="C730" s="1" t="n">
        <v>46144</v>
      </c>
      <c r="D730" t="inlineStr">
        <is>
          <t>DALARNAS LÄN</t>
        </is>
      </c>
      <c r="E730" t="inlineStr">
        <is>
          <t>MORA</t>
        </is>
      </c>
      <c r="G730" t="n">
        <v>3.2</v>
      </c>
      <c r="H730" t="n">
        <v>0</v>
      </c>
      <c r="I730" t="n">
        <v>0</v>
      </c>
      <c r="J730" t="n">
        <v>0</v>
      </c>
      <c r="K730" t="n">
        <v>0</v>
      </c>
      <c r="L730" t="n">
        <v>0</v>
      </c>
      <c r="M730" t="n">
        <v>0</v>
      </c>
      <c r="N730" t="n">
        <v>0</v>
      </c>
      <c r="O730" t="n">
        <v>0</v>
      </c>
      <c r="P730" t="n">
        <v>0</v>
      </c>
      <c r="Q730" t="n">
        <v>0</v>
      </c>
      <c r="R730" s="2" t="inlineStr"/>
    </row>
    <row r="731" ht="15" customHeight="1">
      <c r="A731" t="inlineStr">
        <is>
          <t>A 5936-2026</t>
        </is>
      </c>
      <c r="B731" s="1" t="n">
        <v>46052</v>
      </c>
      <c r="C731" s="1" t="n">
        <v>46144</v>
      </c>
      <c r="D731" t="inlineStr">
        <is>
          <t>DALARNAS LÄN</t>
        </is>
      </c>
      <c r="E731" t="inlineStr">
        <is>
          <t>MORA</t>
        </is>
      </c>
      <c r="G731" t="n">
        <v>11.1</v>
      </c>
      <c r="H731" t="n">
        <v>0</v>
      </c>
      <c r="I731" t="n">
        <v>0</v>
      </c>
      <c r="J731" t="n">
        <v>0</v>
      </c>
      <c r="K731" t="n">
        <v>0</v>
      </c>
      <c r="L731" t="n">
        <v>0</v>
      </c>
      <c r="M731" t="n">
        <v>0</v>
      </c>
      <c r="N731" t="n">
        <v>0</v>
      </c>
      <c r="O731" t="n">
        <v>0</v>
      </c>
      <c r="P731" t="n">
        <v>0</v>
      </c>
      <c r="Q731" t="n">
        <v>0</v>
      </c>
      <c r="R731" s="2" t="inlineStr"/>
    </row>
    <row r="732" ht="15" customHeight="1">
      <c r="A732" t="inlineStr">
        <is>
          <t>A 9855-2024</t>
        </is>
      </c>
      <c r="B732" s="1" t="n">
        <v>45363.40368055556</v>
      </c>
      <c r="C732" s="1" t="n">
        <v>46144</v>
      </c>
      <c r="D732" t="inlineStr">
        <is>
          <t>DALARNAS LÄN</t>
        </is>
      </c>
      <c r="E732" t="inlineStr">
        <is>
          <t>MORA</t>
        </is>
      </c>
      <c r="G732" t="n">
        <v>8.6</v>
      </c>
      <c r="H732" t="n">
        <v>0</v>
      </c>
      <c r="I732" t="n">
        <v>0</v>
      </c>
      <c r="J732" t="n">
        <v>0</v>
      </c>
      <c r="K732" t="n">
        <v>0</v>
      </c>
      <c r="L732" t="n">
        <v>0</v>
      </c>
      <c r="M732" t="n">
        <v>0</v>
      </c>
      <c r="N732" t="n">
        <v>0</v>
      </c>
      <c r="O732" t="n">
        <v>0</v>
      </c>
      <c r="P732" t="n">
        <v>0</v>
      </c>
      <c r="Q732" t="n">
        <v>0</v>
      </c>
      <c r="R732" s="2" t="inlineStr"/>
    </row>
    <row r="733" ht="15" customHeight="1">
      <c r="A733" t="inlineStr">
        <is>
          <t>A 20649-2026</t>
        </is>
      </c>
      <c r="B733" s="1" t="n">
        <v>46141.38851851852</v>
      </c>
      <c r="C733" s="1" t="n">
        <v>46144</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22732-2024</t>
        </is>
      </c>
      <c r="B734" s="1" t="n">
        <v>45448.38677083333</v>
      </c>
      <c r="C734" s="1" t="n">
        <v>46144</v>
      </c>
      <c r="D734" t="inlineStr">
        <is>
          <t>DALARNAS LÄN</t>
        </is>
      </c>
      <c r="E734" t="inlineStr">
        <is>
          <t>MORA</t>
        </is>
      </c>
      <c r="G734" t="n">
        <v>3.6</v>
      </c>
      <c r="H734" t="n">
        <v>0</v>
      </c>
      <c r="I734" t="n">
        <v>0</v>
      </c>
      <c r="J734" t="n">
        <v>0</v>
      </c>
      <c r="K734" t="n">
        <v>0</v>
      </c>
      <c r="L734" t="n">
        <v>0</v>
      </c>
      <c r="M734" t="n">
        <v>0</v>
      </c>
      <c r="N734" t="n">
        <v>0</v>
      </c>
      <c r="O734" t="n">
        <v>0</v>
      </c>
      <c r="P734" t="n">
        <v>0</v>
      </c>
      <c r="Q734" t="n">
        <v>0</v>
      </c>
      <c r="R734" s="2" t="inlineStr"/>
    </row>
    <row r="735" ht="15" customHeight="1">
      <c r="A735" t="inlineStr">
        <is>
          <t>A 13853-2026</t>
        </is>
      </c>
      <c r="B735" s="1" t="n">
        <v>46098.39268518519</v>
      </c>
      <c r="C735" s="1" t="n">
        <v>46144</v>
      </c>
      <c r="D735" t="inlineStr">
        <is>
          <t>DALARNAS LÄN</t>
        </is>
      </c>
      <c r="E735" t="inlineStr">
        <is>
          <t>MORA</t>
        </is>
      </c>
      <c r="G735" t="n">
        <v>1.4</v>
      </c>
      <c r="H735" t="n">
        <v>0</v>
      </c>
      <c r="I735" t="n">
        <v>0</v>
      </c>
      <c r="J735" t="n">
        <v>0</v>
      </c>
      <c r="K735" t="n">
        <v>0</v>
      </c>
      <c r="L735" t="n">
        <v>0</v>
      </c>
      <c r="M735" t="n">
        <v>0</v>
      </c>
      <c r="N735" t="n">
        <v>0</v>
      </c>
      <c r="O735" t="n">
        <v>0</v>
      </c>
      <c r="P735" t="n">
        <v>0</v>
      </c>
      <c r="Q735" t="n">
        <v>0</v>
      </c>
      <c r="R735" s="2" t="inlineStr"/>
    </row>
    <row r="736" ht="15" customHeight="1">
      <c r="A736" t="inlineStr">
        <is>
          <t>A 20634-2026</t>
        </is>
      </c>
      <c r="B736" s="1" t="n">
        <v>46141.35510416667</v>
      </c>
      <c r="C736" s="1" t="n">
        <v>46144</v>
      </c>
      <c r="D736" t="inlineStr">
        <is>
          <t>DALARNAS LÄN</t>
        </is>
      </c>
      <c r="E736" t="inlineStr">
        <is>
          <t>MORA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47784-2024</t>
        </is>
      </c>
      <c r="B737" s="1" t="n">
        <v>45588.59290509259</v>
      </c>
      <c r="C737" s="1" t="n">
        <v>46144</v>
      </c>
      <c r="D737" t="inlineStr">
        <is>
          <t>DALARNAS LÄN</t>
        </is>
      </c>
      <c r="E737" t="inlineStr">
        <is>
          <t>MORA</t>
        </is>
      </c>
      <c r="G737" t="n">
        <v>15.3</v>
      </c>
      <c r="H737" t="n">
        <v>0</v>
      </c>
      <c r="I737" t="n">
        <v>0</v>
      </c>
      <c r="J737" t="n">
        <v>0</v>
      </c>
      <c r="K737" t="n">
        <v>0</v>
      </c>
      <c r="L737" t="n">
        <v>0</v>
      </c>
      <c r="M737" t="n">
        <v>0</v>
      </c>
      <c r="N737" t="n">
        <v>0</v>
      </c>
      <c r="O737" t="n">
        <v>0</v>
      </c>
      <c r="P737" t="n">
        <v>0</v>
      </c>
      <c r="Q737" t="n">
        <v>0</v>
      </c>
      <c r="R737" s="2" t="inlineStr"/>
    </row>
    <row r="738" ht="15" customHeight="1">
      <c r="A738" t="inlineStr">
        <is>
          <t>A 20400-2026</t>
        </is>
      </c>
      <c r="B738" s="1" t="n">
        <v>46139.90746527778</v>
      </c>
      <c r="C738" s="1" t="n">
        <v>46144</v>
      </c>
      <c r="D738" t="inlineStr">
        <is>
          <t>DALARNAS LÄN</t>
        </is>
      </c>
      <c r="E738" t="inlineStr">
        <is>
          <t>MORA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20677-2026</t>
        </is>
      </c>
      <c r="B739" s="1" t="n">
        <v>46141.44694444445</v>
      </c>
      <c r="C739" s="1" t="n">
        <v>46144</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20545-2026</t>
        </is>
      </c>
      <c r="B740" s="1" t="n">
        <v>46140.58229166667</v>
      </c>
      <c r="C740" s="1" t="n">
        <v>46144</v>
      </c>
      <c r="D740" t="inlineStr">
        <is>
          <t>DALARNAS LÄN</t>
        </is>
      </c>
      <c r="E740" t="inlineStr">
        <is>
          <t>MORA</t>
        </is>
      </c>
      <c r="F740" t="inlineStr">
        <is>
          <t>Bergvik skog öst AB</t>
        </is>
      </c>
      <c r="G740" t="n">
        <v>3.9</v>
      </c>
      <c r="H740" t="n">
        <v>0</v>
      </c>
      <c r="I740" t="n">
        <v>0</v>
      </c>
      <c r="J740" t="n">
        <v>0</v>
      </c>
      <c r="K740" t="n">
        <v>0</v>
      </c>
      <c r="L740" t="n">
        <v>0</v>
      </c>
      <c r="M740" t="n">
        <v>0</v>
      </c>
      <c r="N740" t="n">
        <v>0</v>
      </c>
      <c r="O740" t="n">
        <v>0</v>
      </c>
      <c r="P740" t="n">
        <v>0</v>
      </c>
      <c r="Q740" t="n">
        <v>0</v>
      </c>
      <c r="R740" s="2" t="inlineStr"/>
    </row>
    <row r="741" ht="15" customHeight="1">
      <c r="A741" t="inlineStr">
        <is>
          <t>A 13902-2026</t>
        </is>
      </c>
      <c r="B741" s="1" t="n">
        <v>46098.46834490741</v>
      </c>
      <c r="C741" s="1" t="n">
        <v>46144</v>
      </c>
      <c r="D741" t="inlineStr">
        <is>
          <t>DALARNAS LÄN</t>
        </is>
      </c>
      <c r="E741" t="inlineStr">
        <is>
          <t>MORA</t>
        </is>
      </c>
      <c r="G741" t="n">
        <v>5.3</v>
      </c>
      <c r="H741" t="n">
        <v>0</v>
      </c>
      <c r="I741" t="n">
        <v>0</v>
      </c>
      <c r="J741" t="n">
        <v>0</v>
      </c>
      <c r="K741" t="n">
        <v>0</v>
      </c>
      <c r="L741" t="n">
        <v>0</v>
      </c>
      <c r="M741" t="n">
        <v>0</v>
      </c>
      <c r="N741" t="n">
        <v>0</v>
      </c>
      <c r="O741" t="n">
        <v>0</v>
      </c>
      <c r="P741" t="n">
        <v>0</v>
      </c>
      <c r="Q741" t="n">
        <v>0</v>
      </c>
      <c r="R741" s="2" t="inlineStr"/>
    </row>
    <row r="742" ht="15" customHeight="1">
      <c r="A742" t="inlineStr">
        <is>
          <t>A 20655-2026</t>
        </is>
      </c>
      <c r="B742" s="1" t="n">
        <v>46141.41471064815</v>
      </c>
      <c r="C742" s="1" t="n">
        <v>46144</v>
      </c>
      <c r="D742" t="inlineStr">
        <is>
          <t>DALARNAS LÄN</t>
        </is>
      </c>
      <c r="E742" t="inlineStr">
        <is>
          <t>MORA</t>
        </is>
      </c>
      <c r="G742" t="n">
        <v>0.7</v>
      </c>
      <c r="H742" t="n">
        <v>0</v>
      </c>
      <c r="I742" t="n">
        <v>0</v>
      </c>
      <c r="J742" t="n">
        <v>0</v>
      </c>
      <c r="K742" t="n">
        <v>0</v>
      </c>
      <c r="L742" t="n">
        <v>0</v>
      </c>
      <c r="M742" t="n">
        <v>0</v>
      </c>
      <c r="N742" t="n">
        <v>0</v>
      </c>
      <c r="O742" t="n">
        <v>0</v>
      </c>
      <c r="P742" t="n">
        <v>0</v>
      </c>
      <c r="Q742" t="n">
        <v>0</v>
      </c>
      <c r="R742" s="2" t="inlineStr"/>
    </row>
    <row r="743" ht="15" customHeight="1">
      <c r="A743" t="inlineStr">
        <is>
          <t>A 20656-2026</t>
        </is>
      </c>
      <c r="B743" s="1" t="n">
        <v>46141.41859953704</v>
      </c>
      <c r="C743" s="1" t="n">
        <v>46144</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64099-2023</t>
        </is>
      </c>
      <c r="B744" s="1" t="n">
        <v>45279.46009259259</v>
      </c>
      <c r="C744" s="1" t="n">
        <v>46144</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21244-2024</t>
        </is>
      </c>
      <c r="B745" s="1" t="n">
        <v>45440.59936342593</v>
      </c>
      <c r="C745" s="1" t="n">
        <v>46144</v>
      </c>
      <c r="D745" t="inlineStr">
        <is>
          <t>DALARNAS LÄN</t>
        </is>
      </c>
      <c r="E745" t="inlineStr">
        <is>
          <t>MORA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20491-2026</t>
        </is>
      </c>
      <c r="B746" s="1" t="n">
        <v>46140.49804398148</v>
      </c>
      <c r="C746" s="1" t="n">
        <v>46144</v>
      </c>
      <c r="D746" t="inlineStr">
        <is>
          <t>DALARNAS LÄN</t>
        </is>
      </c>
      <c r="E746" t="inlineStr">
        <is>
          <t>MORA</t>
        </is>
      </c>
      <c r="G746" t="n">
        <v>1.4</v>
      </c>
      <c r="H746" t="n">
        <v>0</v>
      </c>
      <c r="I746" t="n">
        <v>0</v>
      </c>
      <c r="J746" t="n">
        <v>0</v>
      </c>
      <c r="K746" t="n">
        <v>0</v>
      </c>
      <c r="L746" t="n">
        <v>0</v>
      </c>
      <c r="M746" t="n">
        <v>0</v>
      </c>
      <c r="N746" t="n">
        <v>0</v>
      </c>
      <c r="O746" t="n">
        <v>0</v>
      </c>
      <c r="P746" t="n">
        <v>0</v>
      </c>
      <c r="Q746" t="n">
        <v>0</v>
      </c>
      <c r="R746" s="2" t="inlineStr"/>
    </row>
    <row r="747" ht="15" customHeight="1">
      <c r="A747" t="inlineStr">
        <is>
          <t>A 20652-2026</t>
        </is>
      </c>
      <c r="B747" s="1" t="n">
        <v>46141</v>
      </c>
      <c r="C747" s="1" t="n">
        <v>46144</v>
      </c>
      <c r="D747" t="inlineStr">
        <is>
          <t>DALARNAS LÄN</t>
        </is>
      </c>
      <c r="E747" t="inlineStr">
        <is>
          <t>MORA</t>
        </is>
      </c>
      <c r="G747" t="n">
        <v>3</v>
      </c>
      <c r="H747" t="n">
        <v>0</v>
      </c>
      <c r="I747" t="n">
        <v>0</v>
      </c>
      <c r="J747" t="n">
        <v>0</v>
      </c>
      <c r="K747" t="n">
        <v>0</v>
      </c>
      <c r="L747" t="n">
        <v>0</v>
      </c>
      <c r="M747" t="n">
        <v>0</v>
      </c>
      <c r="N747" t="n">
        <v>0</v>
      </c>
      <c r="O747" t="n">
        <v>0</v>
      </c>
      <c r="P747" t="n">
        <v>0</v>
      </c>
      <c r="Q747" t="n">
        <v>0</v>
      </c>
      <c r="R747" s="2" t="inlineStr"/>
    </row>
    <row r="748" ht="15" customHeight="1">
      <c r="A748" t="inlineStr">
        <is>
          <t>A 20837-2026</t>
        </is>
      </c>
      <c r="B748" s="1" t="n">
        <v>46142.31061342593</v>
      </c>
      <c r="C748" s="1" t="n">
        <v>46144</v>
      </c>
      <c r="D748" t="inlineStr">
        <is>
          <t>DALARNAS LÄN</t>
        </is>
      </c>
      <c r="E748" t="inlineStr">
        <is>
          <t>MORA</t>
        </is>
      </c>
      <c r="G748" t="n">
        <v>12.4</v>
      </c>
      <c r="H748" t="n">
        <v>0</v>
      </c>
      <c r="I748" t="n">
        <v>0</v>
      </c>
      <c r="J748" t="n">
        <v>0</v>
      </c>
      <c r="K748" t="n">
        <v>0</v>
      </c>
      <c r="L748" t="n">
        <v>0</v>
      </c>
      <c r="M748" t="n">
        <v>0</v>
      </c>
      <c r="N748" t="n">
        <v>0</v>
      </c>
      <c r="O748" t="n">
        <v>0</v>
      </c>
      <c r="P748" t="n">
        <v>0</v>
      </c>
      <c r="Q748" t="n">
        <v>0</v>
      </c>
      <c r="R748" s="2" t="inlineStr"/>
    </row>
    <row r="749" ht="15" customHeight="1">
      <c r="A749" t="inlineStr">
        <is>
          <t>A 37471-2024</t>
        </is>
      </c>
      <c r="B749" s="1" t="n">
        <v>45540.85054398148</v>
      </c>
      <c r="C749" s="1" t="n">
        <v>46144</v>
      </c>
      <c r="D749" t="inlineStr">
        <is>
          <t>DALARNAS LÄN</t>
        </is>
      </c>
      <c r="E749" t="inlineStr">
        <is>
          <t>MORA</t>
        </is>
      </c>
      <c r="G749" t="n">
        <v>3.5</v>
      </c>
      <c r="H749" t="n">
        <v>0</v>
      </c>
      <c r="I749" t="n">
        <v>0</v>
      </c>
      <c r="J749" t="n">
        <v>0</v>
      </c>
      <c r="K749" t="n">
        <v>0</v>
      </c>
      <c r="L749" t="n">
        <v>0</v>
      </c>
      <c r="M749" t="n">
        <v>0</v>
      </c>
      <c r="N749" t="n">
        <v>0</v>
      </c>
      <c r="O749" t="n">
        <v>0</v>
      </c>
      <c r="P749" t="n">
        <v>0</v>
      </c>
      <c r="Q749" t="n">
        <v>0</v>
      </c>
      <c r="R749" s="2" t="inlineStr"/>
    </row>
    <row r="750" ht="15" customHeight="1">
      <c r="A750" t="inlineStr">
        <is>
          <t>A 20978-2026</t>
        </is>
      </c>
      <c r="B750" s="1" t="n">
        <v>46142.57876157408</v>
      </c>
      <c r="C750" s="1" t="n">
        <v>46144</v>
      </c>
      <c r="D750" t="inlineStr">
        <is>
          <t>DALARNAS LÄN</t>
        </is>
      </c>
      <c r="E750" t="inlineStr">
        <is>
          <t>MORA</t>
        </is>
      </c>
      <c r="F750" t="inlineStr">
        <is>
          <t>Bergvik skog öst AB</t>
        </is>
      </c>
      <c r="G750" t="n">
        <v>5.2</v>
      </c>
      <c r="H750" t="n">
        <v>0</v>
      </c>
      <c r="I750" t="n">
        <v>0</v>
      </c>
      <c r="J750" t="n">
        <v>0</v>
      </c>
      <c r="K750" t="n">
        <v>0</v>
      </c>
      <c r="L750" t="n">
        <v>0</v>
      </c>
      <c r="M750" t="n">
        <v>0</v>
      </c>
      <c r="N750" t="n">
        <v>0</v>
      </c>
      <c r="O750" t="n">
        <v>0</v>
      </c>
      <c r="P750" t="n">
        <v>0</v>
      </c>
      <c r="Q750" t="n">
        <v>0</v>
      </c>
      <c r="R750" s="2" t="inlineStr"/>
    </row>
    <row r="751" ht="15" customHeight="1">
      <c r="A751" t="inlineStr">
        <is>
          <t>A 33531-2024</t>
        </is>
      </c>
      <c r="B751" s="1" t="n">
        <v>45519.67503472222</v>
      </c>
      <c r="C751" s="1" t="n">
        <v>46144</v>
      </c>
      <c r="D751" t="inlineStr">
        <is>
          <t>DALARNAS LÄN</t>
        </is>
      </c>
      <c r="E751" t="inlineStr">
        <is>
          <t>MORA</t>
        </is>
      </c>
      <c r="G751" t="n">
        <v>14.8</v>
      </c>
      <c r="H751" t="n">
        <v>0</v>
      </c>
      <c r="I751" t="n">
        <v>0</v>
      </c>
      <c r="J751" t="n">
        <v>0</v>
      </c>
      <c r="K751" t="n">
        <v>0</v>
      </c>
      <c r="L751" t="n">
        <v>0</v>
      </c>
      <c r="M751" t="n">
        <v>0</v>
      </c>
      <c r="N751" t="n">
        <v>0</v>
      </c>
      <c r="O751" t="n">
        <v>0</v>
      </c>
      <c r="P751" t="n">
        <v>0</v>
      </c>
      <c r="Q751" t="n">
        <v>0</v>
      </c>
      <c r="R751" s="2" t="inlineStr"/>
    </row>
    <row r="752" ht="15" customHeight="1">
      <c r="A752" t="inlineStr">
        <is>
          <t>A 22785-2023</t>
        </is>
      </c>
      <c r="B752" s="1" t="n">
        <v>45072.34796296297</v>
      </c>
      <c r="C752" s="1" t="n">
        <v>46144</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20972-2026</t>
        </is>
      </c>
      <c r="B753" s="1" t="n">
        <v>46142.56429398148</v>
      </c>
      <c r="C753" s="1" t="n">
        <v>46144</v>
      </c>
      <c r="D753" t="inlineStr">
        <is>
          <t>DALARNAS LÄN</t>
        </is>
      </c>
      <c r="E753" t="inlineStr">
        <is>
          <t>MORA</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20650-2026</t>
        </is>
      </c>
      <c r="B754" s="1" t="n">
        <v>46141</v>
      </c>
      <c r="C754" s="1" t="n">
        <v>46144</v>
      </c>
      <c r="D754" t="inlineStr">
        <is>
          <t>DALARNAS LÄN</t>
        </is>
      </c>
      <c r="E754" t="inlineStr">
        <is>
          <t>MORA</t>
        </is>
      </c>
      <c r="G754" t="n">
        <v>9.9</v>
      </c>
      <c r="H754" t="n">
        <v>0</v>
      </c>
      <c r="I754" t="n">
        <v>0</v>
      </c>
      <c r="J754" t="n">
        <v>0</v>
      </c>
      <c r="K754" t="n">
        <v>0</v>
      </c>
      <c r="L754" t="n">
        <v>0</v>
      </c>
      <c r="M754" t="n">
        <v>0</v>
      </c>
      <c r="N754" t="n">
        <v>0</v>
      </c>
      <c r="O754" t="n">
        <v>0</v>
      </c>
      <c r="P754" t="n">
        <v>0</v>
      </c>
      <c r="Q754" t="n">
        <v>0</v>
      </c>
      <c r="R754" s="2" t="inlineStr"/>
    </row>
    <row r="755" ht="15" customHeight="1">
      <c r="A755" t="inlineStr">
        <is>
          <t>A 20952-2026</t>
        </is>
      </c>
      <c r="B755" s="1" t="n">
        <v>46142.52773148148</v>
      </c>
      <c r="C755" s="1" t="n">
        <v>46144</v>
      </c>
      <c r="D755" t="inlineStr">
        <is>
          <t>DALARNAS LÄN</t>
        </is>
      </c>
      <c r="E755" t="inlineStr">
        <is>
          <t>MORA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53754-2024</t>
        </is>
      </c>
      <c r="B756" s="1" t="n">
        <v>45615.49371527778</v>
      </c>
      <c r="C756" s="1" t="n">
        <v>46144</v>
      </c>
      <c r="D756" t="inlineStr">
        <is>
          <t>DALARNAS LÄN</t>
        </is>
      </c>
      <c r="E756" t="inlineStr">
        <is>
          <t>MORA</t>
        </is>
      </c>
      <c r="G756" t="n">
        <v>4.8</v>
      </c>
      <c r="H756" t="n">
        <v>0</v>
      </c>
      <c r="I756" t="n">
        <v>0</v>
      </c>
      <c r="J756" t="n">
        <v>0</v>
      </c>
      <c r="K756" t="n">
        <v>0</v>
      </c>
      <c r="L756" t="n">
        <v>0</v>
      </c>
      <c r="M756" t="n">
        <v>0</v>
      </c>
      <c r="N756" t="n">
        <v>0</v>
      </c>
      <c r="O756" t="n">
        <v>0</v>
      </c>
      <c r="P756" t="n">
        <v>0</v>
      </c>
      <c r="Q756" t="n">
        <v>0</v>
      </c>
      <c r="R756" s="2" t="inlineStr"/>
    </row>
    <row r="757" ht="15" customHeight="1">
      <c r="A757" t="inlineStr">
        <is>
          <t>A 20989-2024</t>
        </is>
      </c>
      <c r="B757" s="1" t="n">
        <v>45439</v>
      </c>
      <c r="C757" s="1" t="n">
        <v>46144</v>
      </c>
      <c r="D757" t="inlineStr">
        <is>
          <t>DALARNAS LÄN</t>
        </is>
      </c>
      <c r="E757" t="inlineStr">
        <is>
          <t>MORA</t>
        </is>
      </c>
      <c r="F757" t="inlineStr">
        <is>
          <t>Bergvik skog öst AB</t>
        </is>
      </c>
      <c r="G757" t="n">
        <v>14.7</v>
      </c>
      <c r="H757" t="n">
        <v>0</v>
      </c>
      <c r="I757" t="n">
        <v>0</v>
      </c>
      <c r="J757" t="n">
        <v>0</v>
      </c>
      <c r="K757" t="n">
        <v>0</v>
      </c>
      <c r="L757" t="n">
        <v>0</v>
      </c>
      <c r="M757" t="n">
        <v>0</v>
      </c>
      <c r="N757" t="n">
        <v>0</v>
      </c>
      <c r="O757" t="n">
        <v>0</v>
      </c>
      <c r="P757" t="n">
        <v>0</v>
      </c>
      <c r="Q757" t="n">
        <v>0</v>
      </c>
      <c r="R757" s="2" t="inlineStr"/>
    </row>
    <row r="758" ht="15" customHeight="1">
      <c r="A758" t="inlineStr">
        <is>
          <t>A 20930-2024</t>
        </is>
      </c>
      <c r="B758" s="1" t="n">
        <v>45439.51907407407</v>
      </c>
      <c r="C758" s="1" t="n">
        <v>46144</v>
      </c>
      <c r="D758" t="inlineStr">
        <is>
          <t>DALARNAS LÄN</t>
        </is>
      </c>
      <c r="E758" t="inlineStr">
        <is>
          <t>MORA</t>
        </is>
      </c>
      <c r="F758" t="inlineStr">
        <is>
          <t>Bergvik skog väst AB</t>
        </is>
      </c>
      <c r="G758" t="n">
        <v>5.3</v>
      </c>
      <c r="H758" t="n">
        <v>0</v>
      </c>
      <c r="I758" t="n">
        <v>0</v>
      </c>
      <c r="J758" t="n">
        <v>0</v>
      </c>
      <c r="K758" t="n">
        <v>0</v>
      </c>
      <c r="L758" t="n">
        <v>0</v>
      </c>
      <c r="M758" t="n">
        <v>0</v>
      </c>
      <c r="N758" t="n">
        <v>0</v>
      </c>
      <c r="O758" t="n">
        <v>0</v>
      </c>
      <c r="P758" t="n">
        <v>0</v>
      </c>
      <c r="Q758" t="n">
        <v>0</v>
      </c>
      <c r="R758" s="2" t="inlineStr"/>
    </row>
    <row r="759" ht="15" customHeight="1">
      <c r="A759" t="inlineStr">
        <is>
          <t>A 14397-2026</t>
        </is>
      </c>
      <c r="B759" s="1" t="n">
        <v>46100</v>
      </c>
      <c r="C759" s="1" t="n">
        <v>46144</v>
      </c>
      <c r="D759" t="inlineStr">
        <is>
          <t>DALARNAS LÄN</t>
        </is>
      </c>
      <c r="E759" t="inlineStr">
        <is>
          <t>MORA</t>
        </is>
      </c>
      <c r="F759" t="inlineStr">
        <is>
          <t>Bergvik skog väst AB</t>
        </is>
      </c>
      <c r="G759" t="n">
        <v>1.2</v>
      </c>
      <c r="H759" t="n">
        <v>0</v>
      </c>
      <c r="I759" t="n">
        <v>0</v>
      </c>
      <c r="J759" t="n">
        <v>0</v>
      </c>
      <c r="K759" t="n">
        <v>0</v>
      </c>
      <c r="L759" t="n">
        <v>0</v>
      </c>
      <c r="M759" t="n">
        <v>0</v>
      </c>
      <c r="N759" t="n">
        <v>0</v>
      </c>
      <c r="O759" t="n">
        <v>0</v>
      </c>
      <c r="P759" t="n">
        <v>0</v>
      </c>
      <c r="Q759" t="n">
        <v>0</v>
      </c>
      <c r="R759" s="2" t="inlineStr"/>
    </row>
    <row r="760" ht="15" customHeight="1">
      <c r="A760" t="inlineStr">
        <is>
          <t>A 7972-2024</t>
        </is>
      </c>
      <c r="B760" s="1" t="n">
        <v>45350</v>
      </c>
      <c r="C760" s="1" t="n">
        <v>46144</v>
      </c>
      <c r="D760" t="inlineStr">
        <is>
          <t>DALARNAS LÄN</t>
        </is>
      </c>
      <c r="E760" t="inlineStr">
        <is>
          <t>MORA</t>
        </is>
      </c>
      <c r="G760" t="n">
        <v>2.4</v>
      </c>
      <c r="H760" t="n">
        <v>0</v>
      </c>
      <c r="I760" t="n">
        <v>0</v>
      </c>
      <c r="J760" t="n">
        <v>0</v>
      </c>
      <c r="K760" t="n">
        <v>0</v>
      </c>
      <c r="L760" t="n">
        <v>0</v>
      </c>
      <c r="M760" t="n">
        <v>0</v>
      </c>
      <c r="N760" t="n">
        <v>0</v>
      </c>
      <c r="O760" t="n">
        <v>0</v>
      </c>
      <c r="P760" t="n">
        <v>0</v>
      </c>
      <c r="Q760" t="n">
        <v>0</v>
      </c>
      <c r="R760" s="2" t="inlineStr"/>
    </row>
    <row r="761" ht="15" customHeight="1">
      <c r="A761" t="inlineStr">
        <is>
          <t>A 43432-2024</t>
        </is>
      </c>
      <c r="B761" s="1" t="n">
        <v>45568.64337962963</v>
      </c>
      <c r="C761" s="1" t="n">
        <v>46144</v>
      </c>
      <c r="D761" t="inlineStr">
        <is>
          <t>DALARNAS LÄN</t>
        </is>
      </c>
      <c r="E761" t="inlineStr">
        <is>
          <t>MORA</t>
        </is>
      </c>
      <c r="G761" t="n">
        <v>0.4</v>
      </c>
      <c r="H761" t="n">
        <v>0</v>
      </c>
      <c r="I761" t="n">
        <v>0</v>
      </c>
      <c r="J761" t="n">
        <v>0</v>
      </c>
      <c r="K761" t="n">
        <v>0</v>
      </c>
      <c r="L761" t="n">
        <v>0</v>
      </c>
      <c r="M761" t="n">
        <v>0</v>
      </c>
      <c r="N761" t="n">
        <v>0</v>
      </c>
      <c r="O761" t="n">
        <v>0</v>
      </c>
      <c r="P761" t="n">
        <v>0</v>
      </c>
      <c r="Q761" t="n">
        <v>0</v>
      </c>
      <c r="R761" s="2" t="inlineStr"/>
    </row>
    <row r="762" ht="15" customHeight="1">
      <c r="A762" t="inlineStr">
        <is>
          <t>A 60428-2023</t>
        </is>
      </c>
      <c r="B762" s="1" t="n">
        <v>45259.50996527778</v>
      </c>
      <c r="C762" s="1" t="n">
        <v>46144</v>
      </c>
      <c r="D762" t="inlineStr">
        <is>
          <t>DALARNAS LÄN</t>
        </is>
      </c>
      <c r="E762" t="inlineStr">
        <is>
          <t>MORA</t>
        </is>
      </c>
      <c r="G762" t="n">
        <v>4.9</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46144</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60715-2023</t>
        </is>
      </c>
      <c r="B764" s="1" t="n">
        <v>45260.52684027778</v>
      </c>
      <c r="C764" s="1" t="n">
        <v>46144</v>
      </c>
      <c r="D764" t="inlineStr">
        <is>
          <t>DALARNAS LÄN</t>
        </is>
      </c>
      <c r="E764" t="inlineStr">
        <is>
          <t>MORA</t>
        </is>
      </c>
      <c r="G764" t="n">
        <v>1.7</v>
      </c>
      <c r="H764" t="n">
        <v>0</v>
      </c>
      <c r="I764" t="n">
        <v>0</v>
      </c>
      <c r="J764" t="n">
        <v>0</v>
      </c>
      <c r="K764" t="n">
        <v>0</v>
      </c>
      <c r="L764" t="n">
        <v>0</v>
      </c>
      <c r="M764" t="n">
        <v>0</v>
      </c>
      <c r="N764" t="n">
        <v>0</v>
      </c>
      <c r="O764" t="n">
        <v>0</v>
      </c>
      <c r="P764" t="n">
        <v>0</v>
      </c>
      <c r="Q764" t="n">
        <v>0</v>
      </c>
      <c r="R764" s="2" t="inlineStr"/>
    </row>
    <row r="765" ht="15" customHeight="1">
      <c r="A765" t="inlineStr">
        <is>
          <t>A 27125-2024</t>
        </is>
      </c>
      <c r="B765" s="1" t="n">
        <v>45471</v>
      </c>
      <c r="C765" s="1" t="n">
        <v>46144</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30822-2024</t>
        </is>
      </c>
      <c r="B766" s="1" t="n">
        <v>45497</v>
      </c>
      <c r="C766" s="1" t="n">
        <v>46144</v>
      </c>
      <c r="D766" t="inlineStr">
        <is>
          <t>DALARNAS LÄN</t>
        </is>
      </c>
      <c r="E766" t="inlineStr">
        <is>
          <t>MORA</t>
        </is>
      </c>
      <c r="G766" t="n">
        <v>1.8</v>
      </c>
      <c r="H766" t="n">
        <v>0</v>
      </c>
      <c r="I766" t="n">
        <v>0</v>
      </c>
      <c r="J766" t="n">
        <v>0</v>
      </c>
      <c r="K766" t="n">
        <v>0</v>
      </c>
      <c r="L766" t="n">
        <v>0</v>
      </c>
      <c r="M766" t="n">
        <v>0</v>
      </c>
      <c r="N766" t="n">
        <v>0</v>
      </c>
      <c r="O766" t="n">
        <v>0</v>
      </c>
      <c r="P766" t="n">
        <v>0</v>
      </c>
      <c r="Q766" t="n">
        <v>0</v>
      </c>
      <c r="R766" s="2" t="inlineStr"/>
    </row>
    <row r="767" ht="15" customHeight="1">
      <c r="A767" t="inlineStr">
        <is>
          <t>A 58177-2024</t>
        </is>
      </c>
      <c r="B767" s="1" t="n">
        <v>45632.46821759259</v>
      </c>
      <c r="C767" s="1" t="n">
        <v>46144</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17172-2025</t>
        </is>
      </c>
      <c r="B768" s="1" t="n">
        <v>45756.37201388889</v>
      </c>
      <c r="C768" s="1" t="n">
        <v>46144</v>
      </c>
      <c r="D768" t="inlineStr">
        <is>
          <t>DALARNAS LÄN</t>
        </is>
      </c>
      <c r="E768" t="inlineStr">
        <is>
          <t>MORA</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15993-2025</t>
        </is>
      </c>
      <c r="B769" s="1" t="n">
        <v>45749.58428240741</v>
      </c>
      <c r="C769" s="1" t="n">
        <v>46144</v>
      </c>
      <c r="D769" t="inlineStr">
        <is>
          <t>DALARNAS LÄN</t>
        </is>
      </c>
      <c r="E769" t="inlineStr">
        <is>
          <t>MORA</t>
        </is>
      </c>
      <c r="G769" t="n">
        <v>1.1</v>
      </c>
      <c r="H769" t="n">
        <v>0</v>
      </c>
      <c r="I769" t="n">
        <v>0</v>
      </c>
      <c r="J769" t="n">
        <v>0</v>
      </c>
      <c r="K769" t="n">
        <v>0</v>
      </c>
      <c r="L769" t="n">
        <v>0</v>
      </c>
      <c r="M769" t="n">
        <v>0</v>
      </c>
      <c r="N769" t="n">
        <v>0</v>
      </c>
      <c r="O769" t="n">
        <v>0</v>
      </c>
      <c r="P769" t="n">
        <v>0</v>
      </c>
      <c r="Q769" t="n">
        <v>0</v>
      </c>
      <c r="R769" s="2" t="inlineStr"/>
    </row>
    <row r="770" ht="15" customHeight="1">
      <c r="A770" t="inlineStr">
        <is>
          <t>A 14832-2025</t>
        </is>
      </c>
      <c r="B770" s="1" t="n">
        <v>45743</v>
      </c>
      <c r="C770" s="1" t="n">
        <v>46144</v>
      </c>
      <c r="D770" t="inlineStr">
        <is>
          <t>DALARNAS LÄN</t>
        </is>
      </c>
      <c r="E770" t="inlineStr">
        <is>
          <t>MORA</t>
        </is>
      </c>
      <c r="G770" t="n">
        <v>9.1</v>
      </c>
      <c r="H770" t="n">
        <v>0</v>
      </c>
      <c r="I770" t="n">
        <v>0</v>
      </c>
      <c r="J770" t="n">
        <v>0</v>
      </c>
      <c r="K770" t="n">
        <v>0</v>
      </c>
      <c r="L770" t="n">
        <v>0</v>
      </c>
      <c r="M770" t="n">
        <v>0</v>
      </c>
      <c r="N770" t="n">
        <v>0</v>
      </c>
      <c r="O770" t="n">
        <v>0</v>
      </c>
      <c r="P770" t="n">
        <v>0</v>
      </c>
      <c r="Q770" t="n">
        <v>0</v>
      </c>
      <c r="R770" s="2" t="inlineStr"/>
    </row>
    <row r="771" ht="15" customHeight="1">
      <c r="A771" t="inlineStr">
        <is>
          <t>A 15443-2025</t>
        </is>
      </c>
      <c r="B771" s="1" t="n">
        <v>45747.48371527778</v>
      </c>
      <c r="C771" s="1" t="n">
        <v>46144</v>
      </c>
      <c r="D771" t="inlineStr">
        <is>
          <t>DALARNAS LÄN</t>
        </is>
      </c>
      <c r="E771" t="inlineStr">
        <is>
          <t>MORA</t>
        </is>
      </c>
      <c r="G771" t="n">
        <v>1.8</v>
      </c>
      <c r="H771" t="n">
        <v>0</v>
      </c>
      <c r="I771" t="n">
        <v>0</v>
      </c>
      <c r="J771" t="n">
        <v>0</v>
      </c>
      <c r="K771" t="n">
        <v>0</v>
      </c>
      <c r="L771" t="n">
        <v>0</v>
      </c>
      <c r="M771" t="n">
        <v>0</v>
      </c>
      <c r="N771" t="n">
        <v>0</v>
      </c>
      <c r="O771" t="n">
        <v>0</v>
      </c>
      <c r="P771" t="n">
        <v>0</v>
      </c>
      <c r="Q771" t="n">
        <v>0</v>
      </c>
      <c r="R771" s="2" t="inlineStr"/>
    </row>
    <row r="772" ht="15" customHeight="1">
      <c r="A772" t="inlineStr">
        <is>
          <t>A 45574-2023</t>
        </is>
      </c>
      <c r="B772" s="1" t="n">
        <v>45194</v>
      </c>
      <c r="C772" s="1" t="n">
        <v>46144</v>
      </c>
      <c r="D772" t="inlineStr">
        <is>
          <t>DALARNAS LÄN</t>
        </is>
      </c>
      <c r="E772" t="inlineStr">
        <is>
          <t>MORA</t>
        </is>
      </c>
      <c r="G772" t="n">
        <v>6.3</v>
      </c>
      <c r="H772" t="n">
        <v>0</v>
      </c>
      <c r="I772" t="n">
        <v>0</v>
      </c>
      <c r="J772" t="n">
        <v>0</v>
      </c>
      <c r="K772" t="n">
        <v>0</v>
      </c>
      <c r="L772" t="n">
        <v>0</v>
      </c>
      <c r="M772" t="n">
        <v>0</v>
      </c>
      <c r="N772" t="n">
        <v>0</v>
      </c>
      <c r="O772" t="n">
        <v>0</v>
      </c>
      <c r="P772" t="n">
        <v>0</v>
      </c>
      <c r="Q772" t="n">
        <v>0</v>
      </c>
      <c r="R772" s="2" t="inlineStr"/>
    </row>
    <row r="773" ht="15" customHeight="1">
      <c r="A773" t="inlineStr">
        <is>
          <t>A 5922-2025</t>
        </is>
      </c>
      <c r="B773" s="1" t="n">
        <v>45695.42762731481</v>
      </c>
      <c r="C773" s="1" t="n">
        <v>46144</v>
      </c>
      <c r="D773" t="inlineStr">
        <is>
          <t>DALARNAS LÄN</t>
        </is>
      </c>
      <c r="E773" t="inlineStr">
        <is>
          <t>MORA</t>
        </is>
      </c>
      <c r="G773" t="n">
        <v>1.2</v>
      </c>
      <c r="H773" t="n">
        <v>0</v>
      </c>
      <c r="I773" t="n">
        <v>0</v>
      </c>
      <c r="J773" t="n">
        <v>0</v>
      </c>
      <c r="K773" t="n">
        <v>0</v>
      </c>
      <c r="L773" t="n">
        <v>0</v>
      </c>
      <c r="M773" t="n">
        <v>0</v>
      </c>
      <c r="N773" t="n">
        <v>0</v>
      </c>
      <c r="O773" t="n">
        <v>0</v>
      </c>
      <c r="P773" t="n">
        <v>0</v>
      </c>
      <c r="Q773" t="n">
        <v>0</v>
      </c>
      <c r="R773" s="2" t="inlineStr"/>
    </row>
    <row r="774" ht="15" customHeight="1">
      <c r="A774" t="inlineStr">
        <is>
          <t>A 19910-2024</t>
        </is>
      </c>
      <c r="B774" s="1" t="n">
        <v>45433.5741087963</v>
      </c>
      <c r="C774" s="1" t="n">
        <v>46144</v>
      </c>
      <c r="D774" t="inlineStr">
        <is>
          <t>DALARNAS LÄN</t>
        </is>
      </c>
      <c r="E774" t="inlineStr">
        <is>
          <t>MORA</t>
        </is>
      </c>
      <c r="G774" t="n">
        <v>0.9</v>
      </c>
      <c r="H774" t="n">
        <v>0</v>
      </c>
      <c r="I774" t="n">
        <v>0</v>
      </c>
      <c r="J774" t="n">
        <v>0</v>
      </c>
      <c r="K774" t="n">
        <v>0</v>
      </c>
      <c r="L774" t="n">
        <v>0</v>
      </c>
      <c r="M774" t="n">
        <v>0</v>
      </c>
      <c r="N774" t="n">
        <v>0</v>
      </c>
      <c r="O774" t="n">
        <v>0</v>
      </c>
      <c r="P774" t="n">
        <v>0</v>
      </c>
      <c r="Q774" t="n">
        <v>0</v>
      </c>
      <c r="R774" s="2" t="inlineStr"/>
    </row>
    <row r="775" ht="15" customHeight="1">
      <c r="A775" t="inlineStr">
        <is>
          <t>A 20126-2025</t>
        </is>
      </c>
      <c r="B775" s="1" t="n">
        <v>45772.49640046297</v>
      </c>
      <c r="C775" s="1" t="n">
        <v>46144</v>
      </c>
      <c r="D775" t="inlineStr">
        <is>
          <t>DALARNAS LÄN</t>
        </is>
      </c>
      <c r="E775" t="inlineStr">
        <is>
          <t>MORA</t>
        </is>
      </c>
      <c r="G775" t="n">
        <v>12.1</v>
      </c>
      <c r="H775" t="n">
        <v>0</v>
      </c>
      <c r="I775" t="n">
        <v>0</v>
      </c>
      <c r="J775" t="n">
        <v>0</v>
      </c>
      <c r="K775" t="n">
        <v>0</v>
      </c>
      <c r="L775" t="n">
        <v>0</v>
      </c>
      <c r="M775" t="n">
        <v>0</v>
      </c>
      <c r="N775" t="n">
        <v>0</v>
      </c>
      <c r="O775" t="n">
        <v>0</v>
      </c>
      <c r="P775" t="n">
        <v>0</v>
      </c>
      <c r="Q775" t="n">
        <v>0</v>
      </c>
      <c r="R775" s="2" t="inlineStr"/>
    </row>
    <row r="776" ht="15" customHeight="1">
      <c r="A776" t="inlineStr">
        <is>
          <t>A 15643-2025</t>
        </is>
      </c>
      <c r="B776" s="1" t="n">
        <v>45748.39222222222</v>
      </c>
      <c r="C776" s="1" t="n">
        <v>46144</v>
      </c>
      <c r="D776" t="inlineStr">
        <is>
          <t>DALARNAS LÄN</t>
        </is>
      </c>
      <c r="E776" t="inlineStr">
        <is>
          <t>MORA</t>
        </is>
      </c>
      <c r="G776" t="n">
        <v>7.6</v>
      </c>
      <c r="H776" t="n">
        <v>0</v>
      </c>
      <c r="I776" t="n">
        <v>0</v>
      </c>
      <c r="J776" t="n">
        <v>0</v>
      </c>
      <c r="K776" t="n">
        <v>0</v>
      </c>
      <c r="L776" t="n">
        <v>0</v>
      </c>
      <c r="M776" t="n">
        <v>0</v>
      </c>
      <c r="N776" t="n">
        <v>0</v>
      </c>
      <c r="O776" t="n">
        <v>0</v>
      </c>
      <c r="P776" t="n">
        <v>0</v>
      </c>
      <c r="Q776" t="n">
        <v>0</v>
      </c>
      <c r="R776" s="2" t="inlineStr"/>
    </row>
    <row r="777" ht="15" customHeight="1">
      <c r="A777" t="inlineStr">
        <is>
          <t>A 21890-2025</t>
        </is>
      </c>
      <c r="B777" s="1" t="n">
        <v>45784.44481481481</v>
      </c>
      <c r="C777" s="1" t="n">
        <v>46144</v>
      </c>
      <c r="D777" t="inlineStr">
        <is>
          <t>DALARNAS LÄN</t>
        </is>
      </c>
      <c r="E777" t="inlineStr">
        <is>
          <t>MORA</t>
        </is>
      </c>
      <c r="G777" t="n">
        <v>3.8</v>
      </c>
      <c r="H777" t="n">
        <v>0</v>
      </c>
      <c r="I777" t="n">
        <v>0</v>
      </c>
      <c r="J777" t="n">
        <v>0</v>
      </c>
      <c r="K777" t="n">
        <v>0</v>
      </c>
      <c r="L777" t="n">
        <v>0</v>
      </c>
      <c r="M777" t="n">
        <v>0</v>
      </c>
      <c r="N777" t="n">
        <v>0</v>
      </c>
      <c r="O777" t="n">
        <v>0</v>
      </c>
      <c r="P777" t="n">
        <v>0</v>
      </c>
      <c r="Q777" t="n">
        <v>0</v>
      </c>
      <c r="R777" s="2" t="inlineStr"/>
    </row>
    <row r="778" ht="15" customHeight="1">
      <c r="A778" t="inlineStr">
        <is>
          <t>A 21895-2025</t>
        </is>
      </c>
      <c r="B778" s="1" t="n">
        <v>45784.45273148148</v>
      </c>
      <c r="C778" s="1" t="n">
        <v>46144</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21894-2025</t>
        </is>
      </c>
      <c r="B779" s="1" t="n">
        <v>45784.45060185185</v>
      </c>
      <c r="C779" s="1" t="n">
        <v>46144</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16573-2024</t>
        </is>
      </c>
      <c r="B780" s="1" t="n">
        <v>45408.46980324074</v>
      </c>
      <c r="C780" s="1" t="n">
        <v>46144</v>
      </c>
      <c r="D780" t="inlineStr">
        <is>
          <t>DALARNAS LÄN</t>
        </is>
      </c>
      <c r="E780" t="inlineStr">
        <is>
          <t>MORA</t>
        </is>
      </c>
      <c r="G780" t="n">
        <v>4.5</v>
      </c>
      <c r="H780" t="n">
        <v>0</v>
      </c>
      <c r="I780" t="n">
        <v>0</v>
      </c>
      <c r="J780" t="n">
        <v>0</v>
      </c>
      <c r="K780" t="n">
        <v>0</v>
      </c>
      <c r="L780" t="n">
        <v>0</v>
      </c>
      <c r="M780" t="n">
        <v>0</v>
      </c>
      <c r="N780" t="n">
        <v>0</v>
      </c>
      <c r="O780" t="n">
        <v>0</v>
      </c>
      <c r="P780" t="n">
        <v>0</v>
      </c>
      <c r="Q780" t="n">
        <v>0</v>
      </c>
      <c r="R780" s="2" t="inlineStr"/>
    </row>
    <row r="781" ht="15" customHeight="1">
      <c r="A781" t="inlineStr">
        <is>
          <t>A 22409-2025</t>
        </is>
      </c>
      <c r="B781" s="1" t="n">
        <v>45786.54940972223</v>
      </c>
      <c r="C781" s="1" t="n">
        <v>46144</v>
      </c>
      <c r="D781" t="inlineStr">
        <is>
          <t>DALARNAS LÄN</t>
        </is>
      </c>
      <c r="E781" t="inlineStr">
        <is>
          <t>MORA</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11193-2025</t>
        </is>
      </c>
      <c r="B782" s="1" t="n">
        <v>45725</v>
      </c>
      <c r="C782" s="1" t="n">
        <v>46144</v>
      </c>
      <c r="D782" t="inlineStr">
        <is>
          <t>DALARNAS LÄN</t>
        </is>
      </c>
      <c r="E782" t="inlineStr">
        <is>
          <t>MORA</t>
        </is>
      </c>
      <c r="G782" t="n">
        <v>4.1</v>
      </c>
      <c r="H782" t="n">
        <v>0</v>
      </c>
      <c r="I782" t="n">
        <v>0</v>
      </c>
      <c r="J782" t="n">
        <v>0</v>
      </c>
      <c r="K782" t="n">
        <v>0</v>
      </c>
      <c r="L782" t="n">
        <v>0</v>
      </c>
      <c r="M782" t="n">
        <v>0</v>
      </c>
      <c r="N782" t="n">
        <v>0</v>
      </c>
      <c r="O782" t="n">
        <v>0</v>
      </c>
      <c r="P782" t="n">
        <v>0</v>
      </c>
      <c r="Q782" t="n">
        <v>0</v>
      </c>
      <c r="R782" s="2" t="inlineStr"/>
    </row>
    <row r="783" ht="15" customHeight="1">
      <c r="A783" t="inlineStr">
        <is>
          <t>A 22354-2025</t>
        </is>
      </c>
      <c r="B783" s="1" t="n">
        <v>45786.45721064815</v>
      </c>
      <c r="C783" s="1" t="n">
        <v>46144</v>
      </c>
      <c r="D783" t="inlineStr">
        <is>
          <t>DALARNAS LÄN</t>
        </is>
      </c>
      <c r="E783" t="inlineStr">
        <is>
          <t>MORA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56900-2024</t>
        </is>
      </c>
      <c r="B784" s="1" t="n">
        <v>45625</v>
      </c>
      <c r="C784" s="1" t="n">
        <v>46144</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56927-2024</t>
        </is>
      </c>
      <c r="B785" s="1" t="n">
        <v>45625</v>
      </c>
      <c r="C785" s="1" t="n">
        <v>46144</v>
      </c>
      <c r="D785" t="inlineStr">
        <is>
          <t>DALARNAS LÄN</t>
        </is>
      </c>
      <c r="E785" t="inlineStr">
        <is>
          <t>MORA</t>
        </is>
      </c>
      <c r="G785" t="n">
        <v>2.8</v>
      </c>
      <c r="H785" t="n">
        <v>0</v>
      </c>
      <c r="I785" t="n">
        <v>0</v>
      </c>
      <c r="J785" t="n">
        <v>0</v>
      </c>
      <c r="K785" t="n">
        <v>0</v>
      </c>
      <c r="L785" t="n">
        <v>0</v>
      </c>
      <c r="M785" t="n">
        <v>0</v>
      </c>
      <c r="N785" t="n">
        <v>0</v>
      </c>
      <c r="O785" t="n">
        <v>0</v>
      </c>
      <c r="P785" t="n">
        <v>0</v>
      </c>
      <c r="Q785" t="n">
        <v>0</v>
      </c>
      <c r="R785" s="2" t="inlineStr"/>
    </row>
    <row r="786" ht="15" customHeight="1">
      <c r="A786" t="inlineStr">
        <is>
          <t>A 54192-2023</t>
        </is>
      </c>
      <c r="B786" s="1" t="n">
        <v>45232.53052083333</v>
      </c>
      <c r="C786" s="1" t="n">
        <v>46144</v>
      </c>
      <c r="D786" t="inlineStr">
        <is>
          <t>DALARNAS LÄN</t>
        </is>
      </c>
      <c r="E786" t="inlineStr">
        <is>
          <t>MORA</t>
        </is>
      </c>
      <c r="G786" t="n">
        <v>3.4</v>
      </c>
      <c r="H786" t="n">
        <v>0</v>
      </c>
      <c r="I786" t="n">
        <v>0</v>
      </c>
      <c r="J786" t="n">
        <v>0</v>
      </c>
      <c r="K786" t="n">
        <v>0</v>
      </c>
      <c r="L786" t="n">
        <v>0</v>
      </c>
      <c r="M786" t="n">
        <v>0</v>
      </c>
      <c r="N786" t="n">
        <v>0</v>
      </c>
      <c r="O786" t="n">
        <v>0</v>
      </c>
      <c r="P786" t="n">
        <v>0</v>
      </c>
      <c r="Q786" t="n">
        <v>0</v>
      </c>
      <c r="R786" s="2" t="inlineStr"/>
    </row>
    <row r="787" ht="15" customHeight="1">
      <c r="A787" t="inlineStr">
        <is>
          <t>A 59404-2024</t>
        </is>
      </c>
      <c r="B787" s="1" t="n">
        <v>45638</v>
      </c>
      <c r="C787" s="1" t="n">
        <v>46144</v>
      </c>
      <c r="D787" t="inlineStr">
        <is>
          <t>DALARNAS LÄN</t>
        </is>
      </c>
      <c r="E787" t="inlineStr">
        <is>
          <t>MORA</t>
        </is>
      </c>
      <c r="G787" t="n">
        <v>2.6</v>
      </c>
      <c r="H787" t="n">
        <v>0</v>
      </c>
      <c r="I787" t="n">
        <v>0</v>
      </c>
      <c r="J787" t="n">
        <v>0</v>
      </c>
      <c r="K787" t="n">
        <v>0</v>
      </c>
      <c r="L787" t="n">
        <v>0</v>
      </c>
      <c r="M787" t="n">
        <v>0</v>
      </c>
      <c r="N787" t="n">
        <v>0</v>
      </c>
      <c r="O787" t="n">
        <v>0</v>
      </c>
      <c r="P787" t="n">
        <v>0</v>
      </c>
      <c r="Q787" t="n">
        <v>0</v>
      </c>
      <c r="R787" s="2" t="inlineStr"/>
    </row>
    <row r="788" ht="15" customHeight="1">
      <c r="A788" t="inlineStr">
        <is>
          <t>A 22185-2025</t>
        </is>
      </c>
      <c r="B788" s="1" t="n">
        <v>45785</v>
      </c>
      <c r="C788" s="1" t="n">
        <v>46144</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23368-2025</t>
        </is>
      </c>
      <c r="B789" s="1" t="n">
        <v>45791.70299768518</v>
      </c>
      <c r="C789" s="1" t="n">
        <v>46144</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row>
    <row r="790" ht="15" customHeight="1">
      <c r="A790" t="inlineStr">
        <is>
          <t>A 56935-2024</t>
        </is>
      </c>
      <c r="B790" s="1" t="n">
        <v>45625</v>
      </c>
      <c r="C790" s="1" t="n">
        <v>46144</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23354-2022</t>
        </is>
      </c>
      <c r="B791" s="1" t="n">
        <v>44720</v>
      </c>
      <c r="C791" s="1" t="n">
        <v>46144</v>
      </c>
      <c r="D791" t="inlineStr">
        <is>
          <t>DALARNAS LÄN</t>
        </is>
      </c>
      <c r="E791" t="inlineStr">
        <is>
          <t>MORA</t>
        </is>
      </c>
      <c r="G791" t="n">
        <v>5.2</v>
      </c>
      <c r="H791" t="n">
        <v>0</v>
      </c>
      <c r="I791" t="n">
        <v>0</v>
      </c>
      <c r="J791" t="n">
        <v>0</v>
      </c>
      <c r="K791" t="n">
        <v>0</v>
      </c>
      <c r="L791" t="n">
        <v>0</v>
      </c>
      <c r="M791" t="n">
        <v>0</v>
      </c>
      <c r="N791" t="n">
        <v>0</v>
      </c>
      <c r="O791" t="n">
        <v>0</v>
      </c>
      <c r="P791" t="n">
        <v>0</v>
      </c>
      <c r="Q791" t="n">
        <v>0</v>
      </c>
      <c r="R791" s="2" t="inlineStr"/>
    </row>
    <row r="792" ht="15" customHeight="1">
      <c r="A792" t="inlineStr">
        <is>
          <t>A 34928-2022</t>
        </is>
      </c>
      <c r="B792" s="1" t="n">
        <v>44796.60479166666</v>
      </c>
      <c r="C792" s="1" t="n">
        <v>46144</v>
      </c>
      <c r="D792" t="inlineStr">
        <is>
          <t>DALARNAS LÄN</t>
        </is>
      </c>
      <c r="E792" t="inlineStr">
        <is>
          <t>MORA</t>
        </is>
      </c>
      <c r="G792" t="n">
        <v>1.2</v>
      </c>
      <c r="H792" t="n">
        <v>0</v>
      </c>
      <c r="I792" t="n">
        <v>0</v>
      </c>
      <c r="J792" t="n">
        <v>0</v>
      </c>
      <c r="K792" t="n">
        <v>0</v>
      </c>
      <c r="L792" t="n">
        <v>0</v>
      </c>
      <c r="M792" t="n">
        <v>0</v>
      </c>
      <c r="N792" t="n">
        <v>0</v>
      </c>
      <c r="O792" t="n">
        <v>0</v>
      </c>
      <c r="P792" t="n">
        <v>0</v>
      </c>
      <c r="Q792" t="n">
        <v>0</v>
      </c>
      <c r="R792" s="2" t="inlineStr"/>
    </row>
    <row r="793" ht="15" customHeight="1">
      <c r="A793" t="inlineStr">
        <is>
          <t>A 9461-2025</t>
        </is>
      </c>
      <c r="B793" s="1" t="n">
        <v>45715.45341435185</v>
      </c>
      <c r="C793" s="1" t="n">
        <v>46144</v>
      </c>
      <c r="D793" t="inlineStr">
        <is>
          <t>DALARNAS LÄN</t>
        </is>
      </c>
      <c r="E793" t="inlineStr">
        <is>
          <t>MORA</t>
        </is>
      </c>
      <c r="G793" t="n">
        <v>1.8</v>
      </c>
      <c r="H793" t="n">
        <v>0</v>
      </c>
      <c r="I793" t="n">
        <v>0</v>
      </c>
      <c r="J793" t="n">
        <v>0</v>
      </c>
      <c r="K793" t="n">
        <v>0</v>
      </c>
      <c r="L793" t="n">
        <v>0</v>
      </c>
      <c r="M793" t="n">
        <v>0</v>
      </c>
      <c r="N793" t="n">
        <v>0</v>
      </c>
      <c r="O793" t="n">
        <v>0</v>
      </c>
      <c r="P793" t="n">
        <v>0</v>
      </c>
      <c r="Q793" t="n">
        <v>0</v>
      </c>
      <c r="R793" s="2" t="inlineStr"/>
    </row>
    <row r="794" ht="15" customHeight="1">
      <c r="A794" t="inlineStr">
        <is>
          <t>A 24127-2025</t>
        </is>
      </c>
      <c r="B794" s="1" t="n">
        <v>45796.63137731481</v>
      </c>
      <c r="C794" s="1" t="n">
        <v>46144</v>
      </c>
      <c r="D794" t="inlineStr">
        <is>
          <t>DALARNAS LÄN</t>
        </is>
      </c>
      <c r="E794" t="inlineStr">
        <is>
          <t>MORA</t>
        </is>
      </c>
      <c r="G794" t="n">
        <v>1.2</v>
      </c>
      <c r="H794" t="n">
        <v>0</v>
      </c>
      <c r="I794" t="n">
        <v>0</v>
      </c>
      <c r="J794" t="n">
        <v>0</v>
      </c>
      <c r="K794" t="n">
        <v>0</v>
      </c>
      <c r="L794" t="n">
        <v>0</v>
      </c>
      <c r="M794" t="n">
        <v>0</v>
      </c>
      <c r="N794" t="n">
        <v>0</v>
      </c>
      <c r="O794" t="n">
        <v>0</v>
      </c>
      <c r="P794" t="n">
        <v>0</v>
      </c>
      <c r="Q794" t="n">
        <v>0</v>
      </c>
      <c r="R794" s="2" t="inlineStr"/>
    </row>
    <row r="795" ht="15" customHeight="1">
      <c r="A795" t="inlineStr">
        <is>
          <t>A 62854-2023</t>
        </is>
      </c>
      <c r="B795" s="1" t="n">
        <v>45272</v>
      </c>
      <c r="C795" s="1" t="n">
        <v>46144</v>
      </c>
      <c r="D795" t="inlineStr">
        <is>
          <t>DALARNAS LÄN</t>
        </is>
      </c>
      <c r="E795" t="inlineStr">
        <is>
          <t>MORA</t>
        </is>
      </c>
      <c r="G795" t="n">
        <v>11.3</v>
      </c>
      <c r="H795" t="n">
        <v>0</v>
      </c>
      <c r="I795" t="n">
        <v>0</v>
      </c>
      <c r="J795" t="n">
        <v>0</v>
      </c>
      <c r="K795" t="n">
        <v>0</v>
      </c>
      <c r="L795" t="n">
        <v>0</v>
      </c>
      <c r="M795" t="n">
        <v>0</v>
      </c>
      <c r="N795" t="n">
        <v>0</v>
      </c>
      <c r="O795" t="n">
        <v>0</v>
      </c>
      <c r="P795" t="n">
        <v>0</v>
      </c>
      <c r="Q795" t="n">
        <v>0</v>
      </c>
      <c r="R795" s="2" t="inlineStr"/>
    </row>
    <row r="796" ht="15" customHeight="1">
      <c r="A796" t="inlineStr">
        <is>
          <t>A 19286-2023</t>
        </is>
      </c>
      <c r="B796" s="1" t="n">
        <v>45049</v>
      </c>
      <c r="C796" s="1" t="n">
        <v>46144</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23229-2025</t>
        </is>
      </c>
      <c r="B797" s="1" t="n">
        <v>45791</v>
      </c>
      <c r="C797" s="1" t="n">
        <v>46144</v>
      </c>
      <c r="D797" t="inlineStr">
        <is>
          <t>DALARNAS LÄN</t>
        </is>
      </c>
      <c r="E797" t="inlineStr">
        <is>
          <t>MORA</t>
        </is>
      </c>
      <c r="G797" t="n">
        <v>2.2</v>
      </c>
      <c r="H797" t="n">
        <v>0</v>
      </c>
      <c r="I797" t="n">
        <v>0</v>
      </c>
      <c r="J797" t="n">
        <v>0</v>
      </c>
      <c r="K797" t="n">
        <v>0</v>
      </c>
      <c r="L797" t="n">
        <v>0</v>
      </c>
      <c r="M797" t="n">
        <v>0</v>
      </c>
      <c r="N797" t="n">
        <v>0</v>
      </c>
      <c r="O797" t="n">
        <v>0</v>
      </c>
      <c r="P797" t="n">
        <v>0</v>
      </c>
      <c r="Q797" t="n">
        <v>0</v>
      </c>
      <c r="R797" s="2" t="inlineStr"/>
    </row>
    <row r="798" ht="15" customHeight="1">
      <c r="A798" t="inlineStr">
        <is>
          <t>A 24280-2025</t>
        </is>
      </c>
      <c r="B798" s="1" t="n">
        <v>45797.45581018519</v>
      </c>
      <c r="C798" s="1" t="n">
        <v>46144</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24630-2025</t>
        </is>
      </c>
      <c r="B799" s="1" t="n">
        <v>45798.6003587963</v>
      </c>
      <c r="C799" s="1" t="n">
        <v>46144</v>
      </c>
      <c r="D799" t="inlineStr">
        <is>
          <t>DALARNAS LÄN</t>
        </is>
      </c>
      <c r="E799" t="inlineStr">
        <is>
          <t>MORA</t>
        </is>
      </c>
      <c r="F799" t="inlineStr">
        <is>
          <t>Bergvik skog väst AB</t>
        </is>
      </c>
      <c r="G799" t="n">
        <v>10.4</v>
      </c>
      <c r="H799" t="n">
        <v>0</v>
      </c>
      <c r="I799" t="n">
        <v>0</v>
      </c>
      <c r="J799" t="n">
        <v>0</v>
      </c>
      <c r="K799" t="n">
        <v>0</v>
      </c>
      <c r="L799" t="n">
        <v>0</v>
      </c>
      <c r="M799" t="n">
        <v>0</v>
      </c>
      <c r="N799" t="n">
        <v>0</v>
      </c>
      <c r="O799" t="n">
        <v>0</v>
      </c>
      <c r="P799" t="n">
        <v>0</v>
      </c>
      <c r="Q799" t="n">
        <v>0</v>
      </c>
      <c r="R799" s="2" t="inlineStr"/>
    </row>
    <row r="800" ht="15" customHeight="1">
      <c r="A800" t="inlineStr">
        <is>
          <t>A 19183-2025</t>
        </is>
      </c>
      <c r="B800" s="1" t="n">
        <v>45769</v>
      </c>
      <c r="C800" s="1" t="n">
        <v>46144</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24642-2025</t>
        </is>
      </c>
      <c r="B801" s="1" t="n">
        <v>45798.62894675926</v>
      </c>
      <c r="C801" s="1" t="n">
        <v>46144</v>
      </c>
      <c r="D801" t="inlineStr">
        <is>
          <t>DALARNAS LÄN</t>
        </is>
      </c>
      <c r="E801" t="inlineStr">
        <is>
          <t>MORA</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24249-2025</t>
        </is>
      </c>
      <c r="B802" s="1" t="n">
        <v>45797.40260416667</v>
      </c>
      <c r="C802" s="1" t="n">
        <v>46144</v>
      </c>
      <c r="D802" t="inlineStr">
        <is>
          <t>DALARNAS LÄN</t>
        </is>
      </c>
      <c r="E802" t="inlineStr">
        <is>
          <t>MORA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24640-2025</t>
        </is>
      </c>
      <c r="B803" s="1" t="n">
        <v>45798.62243055556</v>
      </c>
      <c r="C803" s="1" t="n">
        <v>46144</v>
      </c>
      <c r="D803" t="inlineStr">
        <is>
          <t>DALARNAS LÄN</t>
        </is>
      </c>
      <c r="E803" t="inlineStr">
        <is>
          <t>MORA</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24230-2025</t>
        </is>
      </c>
      <c r="B804" s="1" t="n">
        <v>45797.37607638889</v>
      </c>
      <c r="C804" s="1" t="n">
        <v>46144</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54398-2021</t>
        </is>
      </c>
      <c r="B805" s="1" t="n">
        <v>44473.39252314815</v>
      </c>
      <c r="C805" s="1" t="n">
        <v>46144</v>
      </c>
      <c r="D805" t="inlineStr">
        <is>
          <t>DALARNAS LÄN</t>
        </is>
      </c>
      <c r="E805" t="inlineStr">
        <is>
          <t>MORA</t>
        </is>
      </c>
      <c r="G805" t="n">
        <v>0.9</v>
      </c>
      <c r="H805" t="n">
        <v>0</v>
      </c>
      <c r="I805" t="n">
        <v>0</v>
      </c>
      <c r="J805" t="n">
        <v>0</v>
      </c>
      <c r="K805" t="n">
        <v>0</v>
      </c>
      <c r="L805" t="n">
        <v>0</v>
      </c>
      <c r="M805" t="n">
        <v>0</v>
      </c>
      <c r="N805" t="n">
        <v>0</v>
      </c>
      <c r="O805" t="n">
        <v>0</v>
      </c>
      <c r="P805" t="n">
        <v>0</v>
      </c>
      <c r="Q805" t="n">
        <v>0</v>
      </c>
      <c r="R805" s="2" t="inlineStr"/>
    </row>
    <row r="806" ht="15" customHeight="1">
      <c r="A806" t="inlineStr">
        <is>
          <t>A 24960-2025</t>
        </is>
      </c>
      <c r="B806" s="1" t="n">
        <v>45799.57666666667</v>
      </c>
      <c r="C806" s="1" t="n">
        <v>46144</v>
      </c>
      <c r="D806" t="inlineStr">
        <is>
          <t>DALARNAS LÄN</t>
        </is>
      </c>
      <c r="E806" t="inlineStr">
        <is>
          <t>MORA</t>
        </is>
      </c>
      <c r="G806" t="n">
        <v>3.2</v>
      </c>
      <c r="H806" t="n">
        <v>0</v>
      </c>
      <c r="I806" t="n">
        <v>0</v>
      </c>
      <c r="J806" t="n">
        <v>0</v>
      </c>
      <c r="K806" t="n">
        <v>0</v>
      </c>
      <c r="L806" t="n">
        <v>0</v>
      </c>
      <c r="M806" t="n">
        <v>0</v>
      </c>
      <c r="N806" t="n">
        <v>0</v>
      </c>
      <c r="O806" t="n">
        <v>0</v>
      </c>
      <c r="P806" t="n">
        <v>0</v>
      </c>
      <c r="Q806" t="n">
        <v>0</v>
      </c>
      <c r="R806" s="2" t="inlineStr"/>
    </row>
    <row r="807" ht="15" customHeight="1">
      <c r="A807" t="inlineStr">
        <is>
          <t>A 24947-2025</t>
        </is>
      </c>
      <c r="B807" s="1" t="n">
        <v>45799.56524305556</v>
      </c>
      <c r="C807" s="1" t="n">
        <v>46144</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row r="808" ht="15" customHeight="1">
      <c r="A808" t="inlineStr">
        <is>
          <t>A 26647-2025</t>
        </is>
      </c>
      <c r="B808" s="1" t="n">
        <v>45810.38439814815</v>
      </c>
      <c r="C808" s="1" t="n">
        <v>46144</v>
      </c>
      <c r="D808" t="inlineStr">
        <is>
          <t>DALARNAS LÄN</t>
        </is>
      </c>
      <c r="E808" t="inlineStr">
        <is>
          <t>MORA</t>
        </is>
      </c>
      <c r="G808" t="n">
        <v>7.9</v>
      </c>
      <c r="H808" t="n">
        <v>0</v>
      </c>
      <c r="I808" t="n">
        <v>0</v>
      </c>
      <c r="J808" t="n">
        <v>0</v>
      </c>
      <c r="K808" t="n">
        <v>0</v>
      </c>
      <c r="L808" t="n">
        <v>0</v>
      </c>
      <c r="M808" t="n">
        <v>0</v>
      </c>
      <c r="N808" t="n">
        <v>0</v>
      </c>
      <c r="O808" t="n">
        <v>0</v>
      </c>
      <c r="P808" t="n">
        <v>0</v>
      </c>
      <c r="Q808" t="n">
        <v>0</v>
      </c>
      <c r="R808" s="2" t="inlineStr"/>
    </row>
    <row r="809" ht="15" customHeight="1">
      <c r="A809" t="inlineStr">
        <is>
          <t>A 56425-2024</t>
        </is>
      </c>
      <c r="B809" s="1" t="n">
        <v>45625.38677083333</v>
      </c>
      <c r="C809" s="1" t="n">
        <v>46144</v>
      </c>
      <c r="D809" t="inlineStr">
        <is>
          <t>DALARNAS LÄN</t>
        </is>
      </c>
      <c r="E809" t="inlineStr">
        <is>
          <t>MORA</t>
        </is>
      </c>
      <c r="G809" t="n">
        <v>2.1</v>
      </c>
      <c r="H809" t="n">
        <v>0</v>
      </c>
      <c r="I809" t="n">
        <v>0</v>
      </c>
      <c r="J809" t="n">
        <v>0</v>
      </c>
      <c r="K809" t="n">
        <v>0</v>
      </c>
      <c r="L809" t="n">
        <v>0</v>
      </c>
      <c r="M809" t="n">
        <v>0</v>
      </c>
      <c r="N809" t="n">
        <v>0</v>
      </c>
      <c r="O809" t="n">
        <v>0</v>
      </c>
      <c r="P809" t="n">
        <v>0</v>
      </c>
      <c r="Q809" t="n">
        <v>0</v>
      </c>
      <c r="R809" s="2" t="inlineStr"/>
    </row>
    <row r="810" ht="15" customHeight="1">
      <c r="A810" t="inlineStr">
        <is>
          <t>A 30819-2024</t>
        </is>
      </c>
      <c r="B810" s="1" t="n">
        <v>45497</v>
      </c>
      <c r="C810" s="1" t="n">
        <v>46144</v>
      </c>
      <c r="D810" t="inlineStr">
        <is>
          <t>DALARNAS LÄN</t>
        </is>
      </c>
      <c r="E810" t="inlineStr">
        <is>
          <t>MORA</t>
        </is>
      </c>
      <c r="G810" t="n">
        <v>2.2</v>
      </c>
      <c r="H810" t="n">
        <v>0</v>
      </c>
      <c r="I810" t="n">
        <v>0</v>
      </c>
      <c r="J810" t="n">
        <v>0</v>
      </c>
      <c r="K810" t="n">
        <v>0</v>
      </c>
      <c r="L810" t="n">
        <v>0</v>
      </c>
      <c r="M810" t="n">
        <v>0</v>
      </c>
      <c r="N810" t="n">
        <v>0</v>
      </c>
      <c r="O810" t="n">
        <v>0</v>
      </c>
      <c r="P810" t="n">
        <v>0</v>
      </c>
      <c r="Q810" t="n">
        <v>0</v>
      </c>
      <c r="R810" s="2" t="inlineStr"/>
    </row>
    <row r="811" ht="15" customHeight="1">
      <c r="A811" t="inlineStr">
        <is>
          <t>A 26532-2025</t>
        </is>
      </c>
      <c r="B811" s="1" t="n">
        <v>45807</v>
      </c>
      <c r="C811" s="1" t="n">
        <v>46144</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20885-2024</t>
        </is>
      </c>
      <c r="B812" s="1" t="n">
        <v>45439.45527777778</v>
      </c>
      <c r="C812" s="1" t="n">
        <v>46144</v>
      </c>
      <c r="D812" t="inlineStr">
        <is>
          <t>DALARNAS LÄN</t>
        </is>
      </c>
      <c r="E812" t="inlineStr">
        <is>
          <t>MORA</t>
        </is>
      </c>
      <c r="G812" t="n">
        <v>5</v>
      </c>
      <c r="H812" t="n">
        <v>0</v>
      </c>
      <c r="I812" t="n">
        <v>0</v>
      </c>
      <c r="J812" t="n">
        <v>0</v>
      </c>
      <c r="K812" t="n">
        <v>0</v>
      </c>
      <c r="L812" t="n">
        <v>0</v>
      </c>
      <c r="M812" t="n">
        <v>0</v>
      </c>
      <c r="N812" t="n">
        <v>0</v>
      </c>
      <c r="O812" t="n">
        <v>0</v>
      </c>
      <c r="P812" t="n">
        <v>0</v>
      </c>
      <c r="Q812" t="n">
        <v>0</v>
      </c>
      <c r="R812" s="2" t="inlineStr"/>
    </row>
    <row r="813" ht="15" customHeight="1">
      <c r="A813" t="inlineStr">
        <is>
          <t>A 26630-2025</t>
        </is>
      </c>
      <c r="B813" s="1" t="n">
        <v>45809</v>
      </c>
      <c r="C813" s="1" t="n">
        <v>46144</v>
      </c>
      <c r="D813" t="inlineStr">
        <is>
          <t>DALARNAS LÄN</t>
        </is>
      </c>
      <c r="E813" t="inlineStr">
        <is>
          <t>MORA</t>
        </is>
      </c>
      <c r="G813" t="n">
        <v>32.1</v>
      </c>
      <c r="H813" t="n">
        <v>0</v>
      </c>
      <c r="I813" t="n">
        <v>0</v>
      </c>
      <c r="J813" t="n">
        <v>0</v>
      </c>
      <c r="K813" t="n">
        <v>0</v>
      </c>
      <c r="L813" t="n">
        <v>0</v>
      </c>
      <c r="M813" t="n">
        <v>0</v>
      </c>
      <c r="N813" t="n">
        <v>0</v>
      </c>
      <c r="O813" t="n">
        <v>0</v>
      </c>
      <c r="P813" t="n">
        <v>0</v>
      </c>
      <c r="Q813" t="n">
        <v>0</v>
      </c>
      <c r="R813" s="2" t="inlineStr"/>
    </row>
    <row r="814" ht="15" customHeight="1">
      <c r="A814" t="inlineStr">
        <is>
          <t>A 26854-2025</t>
        </is>
      </c>
      <c r="B814" s="1" t="n">
        <v>45810.67462962963</v>
      </c>
      <c r="C814" s="1" t="n">
        <v>46144</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26731-2025</t>
        </is>
      </c>
      <c r="B815" s="1" t="n">
        <v>45810.50702546296</v>
      </c>
      <c r="C815" s="1" t="n">
        <v>46144</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26711-2025</t>
        </is>
      </c>
      <c r="B816" s="1" t="n">
        <v>45810.46144675926</v>
      </c>
      <c r="C816" s="1" t="n">
        <v>46144</v>
      </c>
      <c r="D816" t="inlineStr">
        <is>
          <t>DALARNAS LÄN</t>
        </is>
      </c>
      <c r="E816" t="inlineStr">
        <is>
          <t>MORA</t>
        </is>
      </c>
      <c r="G816" t="n">
        <v>0.5</v>
      </c>
      <c r="H816" t="n">
        <v>0</v>
      </c>
      <c r="I816" t="n">
        <v>0</v>
      </c>
      <c r="J816" t="n">
        <v>0</v>
      </c>
      <c r="K816" t="n">
        <v>0</v>
      </c>
      <c r="L816" t="n">
        <v>0</v>
      </c>
      <c r="M816" t="n">
        <v>0</v>
      </c>
      <c r="N816" t="n">
        <v>0</v>
      </c>
      <c r="O816" t="n">
        <v>0</v>
      </c>
      <c r="P816" t="n">
        <v>0</v>
      </c>
      <c r="Q816" t="n">
        <v>0</v>
      </c>
      <c r="R816" s="2" t="inlineStr"/>
    </row>
    <row r="817" ht="15" customHeight="1">
      <c r="A817" t="inlineStr">
        <is>
          <t>A 27177-2025</t>
        </is>
      </c>
      <c r="B817" s="1" t="n">
        <v>45812.3533912037</v>
      </c>
      <c r="C817" s="1" t="n">
        <v>46144</v>
      </c>
      <c r="D817" t="inlineStr">
        <is>
          <t>DALARNAS LÄN</t>
        </is>
      </c>
      <c r="E817" t="inlineStr">
        <is>
          <t>MORA</t>
        </is>
      </c>
      <c r="F817" t="inlineStr">
        <is>
          <t>Bergvik skog öst AB</t>
        </is>
      </c>
      <c r="G817" t="n">
        <v>2.5</v>
      </c>
      <c r="H817" t="n">
        <v>0</v>
      </c>
      <c r="I817" t="n">
        <v>0</v>
      </c>
      <c r="J817" t="n">
        <v>0</v>
      </c>
      <c r="K817" t="n">
        <v>0</v>
      </c>
      <c r="L817" t="n">
        <v>0</v>
      </c>
      <c r="M817" t="n">
        <v>0</v>
      </c>
      <c r="N817" t="n">
        <v>0</v>
      </c>
      <c r="O817" t="n">
        <v>0</v>
      </c>
      <c r="P817" t="n">
        <v>0</v>
      </c>
      <c r="Q817" t="n">
        <v>0</v>
      </c>
      <c r="R817" s="2" t="inlineStr"/>
    </row>
    <row r="818" ht="15" customHeight="1">
      <c r="A818" t="inlineStr">
        <is>
          <t>A 27194-2025</t>
        </is>
      </c>
      <c r="B818" s="1" t="n">
        <v>45812.37965277778</v>
      </c>
      <c r="C818" s="1" t="n">
        <v>46144</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14611-2025</t>
        </is>
      </c>
      <c r="B819" s="1" t="n">
        <v>45742.38511574074</v>
      </c>
      <c r="C819" s="1" t="n">
        <v>46144</v>
      </c>
      <c r="D819" t="inlineStr">
        <is>
          <t>DALARNAS LÄN</t>
        </is>
      </c>
      <c r="E819" t="inlineStr">
        <is>
          <t>MORA</t>
        </is>
      </c>
      <c r="F819" t="inlineStr">
        <is>
          <t>Bergvik skog väst AB</t>
        </is>
      </c>
      <c r="G819" t="n">
        <v>2.9</v>
      </c>
      <c r="H819" t="n">
        <v>0</v>
      </c>
      <c r="I819" t="n">
        <v>0</v>
      </c>
      <c r="J819" t="n">
        <v>0</v>
      </c>
      <c r="K819" t="n">
        <v>0</v>
      </c>
      <c r="L819" t="n">
        <v>0</v>
      </c>
      <c r="M819" t="n">
        <v>0</v>
      </c>
      <c r="N819" t="n">
        <v>0</v>
      </c>
      <c r="O819" t="n">
        <v>0</v>
      </c>
      <c r="P819" t="n">
        <v>0</v>
      </c>
      <c r="Q819" t="n">
        <v>0</v>
      </c>
      <c r="R819" s="2" t="inlineStr"/>
    </row>
    <row r="820" ht="15" customHeight="1">
      <c r="A820" t="inlineStr">
        <is>
          <t>A 27175-2025</t>
        </is>
      </c>
      <c r="B820" s="1" t="n">
        <v>45812.35072916667</v>
      </c>
      <c r="C820" s="1" t="n">
        <v>46144</v>
      </c>
      <c r="D820" t="inlineStr">
        <is>
          <t>DALARNAS LÄN</t>
        </is>
      </c>
      <c r="E820" t="inlineStr">
        <is>
          <t>MORA</t>
        </is>
      </c>
      <c r="F820" t="inlineStr">
        <is>
          <t>Bergvik skog öst AB</t>
        </is>
      </c>
      <c r="G820" t="n">
        <v>4</v>
      </c>
      <c r="H820" t="n">
        <v>0</v>
      </c>
      <c r="I820" t="n">
        <v>0</v>
      </c>
      <c r="J820" t="n">
        <v>0</v>
      </c>
      <c r="K820" t="n">
        <v>0</v>
      </c>
      <c r="L820" t="n">
        <v>0</v>
      </c>
      <c r="M820" t="n">
        <v>0</v>
      </c>
      <c r="N820" t="n">
        <v>0</v>
      </c>
      <c r="O820" t="n">
        <v>0</v>
      </c>
      <c r="P820" t="n">
        <v>0</v>
      </c>
      <c r="Q820" t="n">
        <v>0</v>
      </c>
      <c r="R820" s="2" t="inlineStr"/>
    </row>
    <row r="821" ht="15" customHeight="1">
      <c r="A821" t="inlineStr">
        <is>
          <t>A 7565-2025</t>
        </is>
      </c>
      <c r="B821" s="1" t="n">
        <v>45705.59269675926</v>
      </c>
      <c r="C821" s="1" t="n">
        <v>46144</v>
      </c>
      <c r="D821" t="inlineStr">
        <is>
          <t>DALARNAS LÄN</t>
        </is>
      </c>
      <c r="E821" t="inlineStr">
        <is>
          <t>MORA</t>
        </is>
      </c>
      <c r="G821" t="n">
        <v>3</v>
      </c>
      <c r="H821" t="n">
        <v>0</v>
      </c>
      <c r="I821" t="n">
        <v>0</v>
      </c>
      <c r="J821" t="n">
        <v>0</v>
      </c>
      <c r="K821" t="n">
        <v>0</v>
      </c>
      <c r="L821" t="n">
        <v>0</v>
      </c>
      <c r="M821" t="n">
        <v>0</v>
      </c>
      <c r="N821" t="n">
        <v>0</v>
      </c>
      <c r="O821" t="n">
        <v>0</v>
      </c>
      <c r="P821" t="n">
        <v>0</v>
      </c>
      <c r="Q821" t="n">
        <v>0</v>
      </c>
      <c r="R821" s="2" t="inlineStr"/>
    </row>
    <row r="822" ht="15" customHeight="1">
      <c r="A822" t="inlineStr">
        <is>
          <t>A 27184-2025</t>
        </is>
      </c>
      <c r="B822" s="1" t="n">
        <v>45812.36133101852</v>
      </c>
      <c r="C822" s="1" t="n">
        <v>46144</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17268-2025</t>
        </is>
      </c>
      <c r="B823" s="1" t="n">
        <v>45756</v>
      </c>
      <c r="C823" s="1" t="n">
        <v>46144</v>
      </c>
      <c r="D823" t="inlineStr">
        <is>
          <t>DALARNAS LÄN</t>
        </is>
      </c>
      <c r="E823" t="inlineStr">
        <is>
          <t>MORA</t>
        </is>
      </c>
      <c r="G823" t="n">
        <v>6.8</v>
      </c>
      <c r="H823" t="n">
        <v>0</v>
      </c>
      <c r="I823" t="n">
        <v>0</v>
      </c>
      <c r="J823" t="n">
        <v>0</v>
      </c>
      <c r="K823" t="n">
        <v>0</v>
      </c>
      <c r="L823" t="n">
        <v>0</v>
      </c>
      <c r="M823" t="n">
        <v>0</v>
      </c>
      <c r="N823" t="n">
        <v>0</v>
      </c>
      <c r="O823" t="n">
        <v>0</v>
      </c>
      <c r="P823" t="n">
        <v>0</v>
      </c>
      <c r="Q823" t="n">
        <v>0</v>
      </c>
      <c r="R823" s="2" t="inlineStr"/>
    </row>
    <row r="824" ht="15" customHeight="1">
      <c r="A824" t="inlineStr">
        <is>
          <t>A 27642-2025</t>
        </is>
      </c>
      <c r="B824" s="1" t="n">
        <v>45813.59405092592</v>
      </c>
      <c r="C824" s="1" t="n">
        <v>46144</v>
      </c>
      <c r="D824" t="inlineStr">
        <is>
          <t>DALARNAS LÄN</t>
        </is>
      </c>
      <c r="E824" t="inlineStr">
        <is>
          <t>MORA</t>
        </is>
      </c>
      <c r="G824" t="n">
        <v>2.5</v>
      </c>
      <c r="H824" t="n">
        <v>0</v>
      </c>
      <c r="I824" t="n">
        <v>0</v>
      </c>
      <c r="J824" t="n">
        <v>0</v>
      </c>
      <c r="K824" t="n">
        <v>0</v>
      </c>
      <c r="L824" t="n">
        <v>0</v>
      </c>
      <c r="M824" t="n">
        <v>0</v>
      </c>
      <c r="N824" t="n">
        <v>0</v>
      </c>
      <c r="O824" t="n">
        <v>0</v>
      </c>
      <c r="P824" t="n">
        <v>0</v>
      </c>
      <c r="Q824" t="n">
        <v>0</v>
      </c>
      <c r="R824" s="2" t="inlineStr"/>
    </row>
    <row r="825" ht="15" customHeight="1">
      <c r="A825" t="inlineStr">
        <is>
          <t>A 28033-2025</t>
        </is>
      </c>
      <c r="B825" s="1" t="n">
        <v>45817.6325462963</v>
      </c>
      <c r="C825" s="1" t="n">
        <v>46144</v>
      </c>
      <c r="D825" t="inlineStr">
        <is>
          <t>DALARNAS LÄN</t>
        </is>
      </c>
      <c r="E825" t="inlineStr">
        <is>
          <t>MORA</t>
        </is>
      </c>
      <c r="F825" t="inlineStr">
        <is>
          <t>Bergvik skog öst AB</t>
        </is>
      </c>
      <c r="G825" t="n">
        <v>12.8</v>
      </c>
      <c r="H825" t="n">
        <v>0</v>
      </c>
      <c r="I825" t="n">
        <v>0</v>
      </c>
      <c r="J825" t="n">
        <v>0</v>
      </c>
      <c r="K825" t="n">
        <v>0</v>
      </c>
      <c r="L825" t="n">
        <v>0</v>
      </c>
      <c r="M825" t="n">
        <v>0</v>
      </c>
      <c r="N825" t="n">
        <v>0</v>
      </c>
      <c r="O825" t="n">
        <v>0</v>
      </c>
      <c r="P825" t="n">
        <v>0</v>
      </c>
      <c r="Q825" t="n">
        <v>0</v>
      </c>
      <c r="R825" s="2" t="inlineStr"/>
    </row>
    <row r="826" ht="15" customHeight="1">
      <c r="A826" t="inlineStr">
        <is>
          <t>A 28751-2025</t>
        </is>
      </c>
      <c r="B826" s="1" t="n">
        <v>45820.40034722222</v>
      </c>
      <c r="C826" s="1" t="n">
        <v>46144</v>
      </c>
      <c r="D826" t="inlineStr">
        <is>
          <t>DALARNAS LÄN</t>
        </is>
      </c>
      <c r="E826" t="inlineStr">
        <is>
          <t>MORA</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28925-2025</t>
        </is>
      </c>
      <c r="B827" s="1" t="n">
        <v>45820.67107638889</v>
      </c>
      <c r="C827" s="1" t="n">
        <v>46144</v>
      </c>
      <c r="D827" t="inlineStr">
        <is>
          <t>DALARNAS LÄN</t>
        </is>
      </c>
      <c r="E827" t="inlineStr">
        <is>
          <t>MORA</t>
        </is>
      </c>
      <c r="G827" t="n">
        <v>3.7</v>
      </c>
      <c r="H827" t="n">
        <v>0</v>
      </c>
      <c r="I827" t="n">
        <v>0</v>
      </c>
      <c r="J827" t="n">
        <v>0</v>
      </c>
      <c r="K827" t="n">
        <v>0</v>
      </c>
      <c r="L827" t="n">
        <v>0</v>
      </c>
      <c r="M827" t="n">
        <v>0</v>
      </c>
      <c r="N827" t="n">
        <v>0</v>
      </c>
      <c r="O827" t="n">
        <v>0</v>
      </c>
      <c r="P827" t="n">
        <v>0</v>
      </c>
      <c r="Q827" t="n">
        <v>0</v>
      </c>
      <c r="R827" s="2" t="inlineStr"/>
    </row>
    <row r="828" ht="15" customHeight="1">
      <c r="A828" t="inlineStr">
        <is>
          <t>A 28927-2025</t>
        </is>
      </c>
      <c r="B828" s="1" t="n">
        <v>45820.67221064815</v>
      </c>
      <c r="C828" s="1" t="n">
        <v>46144</v>
      </c>
      <c r="D828" t="inlineStr">
        <is>
          <t>DALARNAS LÄN</t>
        </is>
      </c>
      <c r="E828" t="inlineStr">
        <is>
          <t>MORA</t>
        </is>
      </c>
      <c r="G828" t="n">
        <v>0.4</v>
      </c>
      <c r="H828" t="n">
        <v>0</v>
      </c>
      <c r="I828" t="n">
        <v>0</v>
      </c>
      <c r="J828" t="n">
        <v>0</v>
      </c>
      <c r="K828" t="n">
        <v>0</v>
      </c>
      <c r="L828" t="n">
        <v>0</v>
      </c>
      <c r="M828" t="n">
        <v>0</v>
      </c>
      <c r="N828" t="n">
        <v>0</v>
      </c>
      <c r="O828" t="n">
        <v>0</v>
      </c>
      <c r="P828" t="n">
        <v>0</v>
      </c>
      <c r="Q828" t="n">
        <v>0</v>
      </c>
      <c r="R828" s="2" t="inlineStr"/>
    </row>
    <row r="829" ht="15" customHeight="1">
      <c r="A829" t="inlineStr">
        <is>
          <t>A 28924-2025</t>
        </is>
      </c>
      <c r="B829" s="1" t="n">
        <v>45820.66846064815</v>
      </c>
      <c r="C829" s="1" t="n">
        <v>46144</v>
      </c>
      <c r="D829" t="inlineStr">
        <is>
          <t>DALARNAS LÄN</t>
        </is>
      </c>
      <c r="E829" t="inlineStr">
        <is>
          <t>MORA</t>
        </is>
      </c>
      <c r="G829" t="n">
        <v>0.6</v>
      </c>
      <c r="H829" t="n">
        <v>0</v>
      </c>
      <c r="I829" t="n">
        <v>0</v>
      </c>
      <c r="J829" t="n">
        <v>0</v>
      </c>
      <c r="K829" t="n">
        <v>0</v>
      </c>
      <c r="L829" t="n">
        <v>0</v>
      </c>
      <c r="M829" t="n">
        <v>0</v>
      </c>
      <c r="N829" t="n">
        <v>0</v>
      </c>
      <c r="O829" t="n">
        <v>0</v>
      </c>
      <c r="P829" t="n">
        <v>0</v>
      </c>
      <c r="Q829" t="n">
        <v>0</v>
      </c>
      <c r="R829" s="2" t="inlineStr"/>
    </row>
    <row r="830" ht="15" customHeight="1">
      <c r="A830" t="inlineStr">
        <is>
          <t>A 29425-2025</t>
        </is>
      </c>
      <c r="B830" s="1" t="n">
        <v>45824.64524305556</v>
      </c>
      <c r="C830" s="1" t="n">
        <v>46144</v>
      </c>
      <c r="D830" t="inlineStr">
        <is>
          <t>DALARNAS LÄN</t>
        </is>
      </c>
      <c r="E830" t="inlineStr">
        <is>
          <t>MORA</t>
        </is>
      </c>
      <c r="G830" t="n">
        <v>4.4</v>
      </c>
      <c r="H830" t="n">
        <v>0</v>
      </c>
      <c r="I830" t="n">
        <v>0</v>
      </c>
      <c r="J830" t="n">
        <v>0</v>
      </c>
      <c r="K830" t="n">
        <v>0</v>
      </c>
      <c r="L830" t="n">
        <v>0</v>
      </c>
      <c r="M830" t="n">
        <v>0</v>
      </c>
      <c r="N830" t="n">
        <v>0</v>
      </c>
      <c r="O830" t="n">
        <v>0</v>
      </c>
      <c r="P830" t="n">
        <v>0</v>
      </c>
      <c r="Q830" t="n">
        <v>0</v>
      </c>
      <c r="R830" s="2" t="inlineStr"/>
    </row>
    <row r="831" ht="15" customHeight="1">
      <c r="A831" t="inlineStr">
        <is>
          <t>A 28976-2025</t>
        </is>
      </c>
      <c r="B831" s="1" t="n">
        <v>45821.34855324074</v>
      </c>
      <c r="C831" s="1" t="n">
        <v>46144</v>
      </c>
      <c r="D831" t="inlineStr">
        <is>
          <t>DALARNAS LÄN</t>
        </is>
      </c>
      <c r="E831" t="inlineStr">
        <is>
          <t>MORA</t>
        </is>
      </c>
      <c r="F831" t="inlineStr">
        <is>
          <t>Bergvik skog öst AB</t>
        </is>
      </c>
      <c r="G831" t="n">
        <v>1.2</v>
      </c>
      <c r="H831" t="n">
        <v>0</v>
      </c>
      <c r="I831" t="n">
        <v>0</v>
      </c>
      <c r="J831" t="n">
        <v>0</v>
      </c>
      <c r="K831" t="n">
        <v>0</v>
      </c>
      <c r="L831" t="n">
        <v>0</v>
      </c>
      <c r="M831" t="n">
        <v>0</v>
      </c>
      <c r="N831" t="n">
        <v>0</v>
      </c>
      <c r="O831" t="n">
        <v>0</v>
      </c>
      <c r="P831" t="n">
        <v>0</v>
      </c>
      <c r="Q831" t="n">
        <v>0</v>
      </c>
      <c r="R831" s="2" t="inlineStr"/>
    </row>
    <row r="832" ht="15" customHeight="1">
      <c r="A832" t="inlineStr">
        <is>
          <t>A 29440-2025</t>
        </is>
      </c>
      <c r="B832" s="1" t="n">
        <v>45824.65862268519</v>
      </c>
      <c r="C832" s="1" t="n">
        <v>46144</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29068-2025</t>
        </is>
      </c>
      <c r="B833" s="1" t="n">
        <v>45821.50900462963</v>
      </c>
      <c r="C833" s="1" t="n">
        <v>46144</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29870-2025</t>
        </is>
      </c>
      <c r="B834" s="1" t="n">
        <v>45826.35716435185</v>
      </c>
      <c r="C834" s="1" t="n">
        <v>46144</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29873-2025</t>
        </is>
      </c>
      <c r="B835" s="1" t="n">
        <v>45826</v>
      </c>
      <c r="C835" s="1" t="n">
        <v>46144</v>
      </c>
      <c r="D835" t="inlineStr">
        <is>
          <t>DALARNAS LÄN</t>
        </is>
      </c>
      <c r="E835" t="inlineStr">
        <is>
          <t>MORA</t>
        </is>
      </c>
      <c r="G835" t="n">
        <v>0.6</v>
      </c>
      <c r="H835" t="n">
        <v>0</v>
      </c>
      <c r="I835" t="n">
        <v>0</v>
      </c>
      <c r="J835" t="n">
        <v>0</v>
      </c>
      <c r="K835" t="n">
        <v>0</v>
      </c>
      <c r="L835" t="n">
        <v>0</v>
      </c>
      <c r="M835" t="n">
        <v>0</v>
      </c>
      <c r="N835" t="n">
        <v>0</v>
      </c>
      <c r="O835" t="n">
        <v>0</v>
      </c>
      <c r="P835" t="n">
        <v>0</v>
      </c>
      <c r="Q835" t="n">
        <v>0</v>
      </c>
      <c r="R835" s="2" t="inlineStr"/>
    </row>
    <row r="836" ht="15" customHeight="1">
      <c r="A836" t="inlineStr">
        <is>
          <t>A 29528-2025</t>
        </is>
      </c>
      <c r="B836" s="1" t="n">
        <v>45825.34322916667</v>
      </c>
      <c r="C836" s="1" t="n">
        <v>46144</v>
      </c>
      <c r="D836" t="inlineStr">
        <is>
          <t>DALARNAS LÄN</t>
        </is>
      </c>
      <c r="E836" t="inlineStr">
        <is>
          <t>MORA</t>
        </is>
      </c>
      <c r="G836" t="n">
        <v>2.2</v>
      </c>
      <c r="H836" t="n">
        <v>0</v>
      </c>
      <c r="I836" t="n">
        <v>0</v>
      </c>
      <c r="J836" t="n">
        <v>0</v>
      </c>
      <c r="K836" t="n">
        <v>0</v>
      </c>
      <c r="L836" t="n">
        <v>0</v>
      </c>
      <c r="M836" t="n">
        <v>0</v>
      </c>
      <c r="N836" t="n">
        <v>0</v>
      </c>
      <c r="O836" t="n">
        <v>0</v>
      </c>
      <c r="P836" t="n">
        <v>0</v>
      </c>
      <c r="Q836" t="n">
        <v>0</v>
      </c>
      <c r="R836" s="2" t="inlineStr"/>
    </row>
    <row r="837" ht="15" customHeight="1">
      <c r="A837" t="inlineStr">
        <is>
          <t>A 30087-2025</t>
        </is>
      </c>
      <c r="B837" s="1" t="n">
        <v>45826.6575</v>
      </c>
      <c r="C837" s="1" t="n">
        <v>46144</v>
      </c>
      <c r="D837" t="inlineStr">
        <is>
          <t>DALARNAS LÄN</t>
        </is>
      </c>
      <c r="E837" t="inlineStr">
        <is>
          <t>MORA</t>
        </is>
      </c>
      <c r="G837" t="n">
        <v>1.6</v>
      </c>
      <c r="H837" t="n">
        <v>0</v>
      </c>
      <c r="I837" t="n">
        <v>0</v>
      </c>
      <c r="J837" t="n">
        <v>0</v>
      </c>
      <c r="K837" t="n">
        <v>0</v>
      </c>
      <c r="L837" t="n">
        <v>0</v>
      </c>
      <c r="M837" t="n">
        <v>0</v>
      </c>
      <c r="N837" t="n">
        <v>0</v>
      </c>
      <c r="O837" t="n">
        <v>0</v>
      </c>
      <c r="P837" t="n">
        <v>0</v>
      </c>
      <c r="Q837" t="n">
        <v>0</v>
      </c>
      <c r="R837" s="2" t="inlineStr"/>
    </row>
    <row r="838" ht="15" customHeight="1">
      <c r="A838" t="inlineStr">
        <is>
          <t>A 30166-2025</t>
        </is>
      </c>
      <c r="B838" s="1" t="n">
        <v>45827.33116898148</v>
      </c>
      <c r="C838" s="1" t="n">
        <v>46144</v>
      </c>
      <c r="D838" t="inlineStr">
        <is>
          <t>DALARNAS LÄN</t>
        </is>
      </c>
      <c r="E838" t="inlineStr">
        <is>
          <t>MORA</t>
        </is>
      </c>
      <c r="G838" t="n">
        <v>1.3</v>
      </c>
      <c r="H838" t="n">
        <v>0</v>
      </c>
      <c r="I838" t="n">
        <v>0</v>
      </c>
      <c r="J838" t="n">
        <v>0</v>
      </c>
      <c r="K838" t="n">
        <v>0</v>
      </c>
      <c r="L838" t="n">
        <v>0</v>
      </c>
      <c r="M838" t="n">
        <v>0</v>
      </c>
      <c r="N838" t="n">
        <v>0</v>
      </c>
      <c r="O838" t="n">
        <v>0</v>
      </c>
      <c r="P838" t="n">
        <v>0</v>
      </c>
      <c r="Q838" t="n">
        <v>0</v>
      </c>
      <c r="R838" s="2" t="inlineStr"/>
    </row>
    <row r="839" ht="15" customHeight="1">
      <c r="A839" t="inlineStr">
        <is>
          <t>A 30507-2025</t>
        </is>
      </c>
      <c r="B839" s="1" t="n">
        <v>45831.24760416667</v>
      </c>
      <c r="C839" s="1" t="n">
        <v>46144</v>
      </c>
      <c r="D839" t="inlineStr">
        <is>
          <t>DALARNAS LÄN</t>
        </is>
      </c>
      <c r="E839" t="inlineStr">
        <is>
          <t>MORA</t>
        </is>
      </c>
      <c r="G839" t="n">
        <v>1.6</v>
      </c>
      <c r="H839" t="n">
        <v>0</v>
      </c>
      <c r="I839" t="n">
        <v>0</v>
      </c>
      <c r="J839" t="n">
        <v>0</v>
      </c>
      <c r="K839" t="n">
        <v>0</v>
      </c>
      <c r="L839" t="n">
        <v>0</v>
      </c>
      <c r="M839" t="n">
        <v>0</v>
      </c>
      <c r="N839" t="n">
        <v>0</v>
      </c>
      <c r="O839" t="n">
        <v>0</v>
      </c>
      <c r="P839" t="n">
        <v>0</v>
      </c>
      <c r="Q839" t="n">
        <v>0</v>
      </c>
      <c r="R839" s="2" t="inlineStr"/>
    </row>
    <row r="840" ht="15" customHeight="1">
      <c r="A840" t="inlineStr">
        <is>
          <t>A 30858-2025</t>
        </is>
      </c>
      <c r="B840" s="1" t="n">
        <v>45831.92416666666</v>
      </c>
      <c r="C840" s="1" t="n">
        <v>46144</v>
      </c>
      <c r="D840" t="inlineStr">
        <is>
          <t>DALARNAS LÄN</t>
        </is>
      </c>
      <c r="E840" t="inlineStr">
        <is>
          <t>MORA</t>
        </is>
      </c>
      <c r="G840" t="n">
        <v>2.9</v>
      </c>
      <c r="H840" t="n">
        <v>0</v>
      </c>
      <c r="I840" t="n">
        <v>0</v>
      </c>
      <c r="J840" t="n">
        <v>0</v>
      </c>
      <c r="K840" t="n">
        <v>0</v>
      </c>
      <c r="L840" t="n">
        <v>0</v>
      </c>
      <c r="M840" t="n">
        <v>0</v>
      </c>
      <c r="N840" t="n">
        <v>0</v>
      </c>
      <c r="O840" t="n">
        <v>0</v>
      </c>
      <c r="P840" t="n">
        <v>0</v>
      </c>
      <c r="Q840" t="n">
        <v>0</v>
      </c>
      <c r="R840" s="2" t="inlineStr"/>
    </row>
    <row r="841" ht="15" customHeight="1">
      <c r="A841" t="inlineStr">
        <is>
          <t>A 30859-2025</t>
        </is>
      </c>
      <c r="B841" s="1" t="n">
        <v>45831.93105324074</v>
      </c>
      <c r="C841" s="1" t="n">
        <v>46144</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30989-2025</t>
        </is>
      </c>
      <c r="B842" s="1" t="n">
        <v>45832.48185185185</v>
      </c>
      <c r="C842" s="1" t="n">
        <v>46144</v>
      </c>
      <c r="D842" t="inlineStr">
        <is>
          <t>DALARNAS LÄN</t>
        </is>
      </c>
      <c r="E842" t="inlineStr">
        <is>
          <t>MORA</t>
        </is>
      </c>
      <c r="F842" t="inlineStr">
        <is>
          <t>Bergvik skog öst AB</t>
        </is>
      </c>
      <c r="G842" t="n">
        <v>4.1</v>
      </c>
      <c r="H842" t="n">
        <v>0</v>
      </c>
      <c r="I842" t="n">
        <v>0</v>
      </c>
      <c r="J842" t="n">
        <v>0</v>
      </c>
      <c r="K842" t="n">
        <v>0</v>
      </c>
      <c r="L842" t="n">
        <v>0</v>
      </c>
      <c r="M842" t="n">
        <v>0</v>
      </c>
      <c r="N842" t="n">
        <v>0</v>
      </c>
      <c r="O842" t="n">
        <v>0</v>
      </c>
      <c r="P842" t="n">
        <v>0</v>
      </c>
      <c r="Q842" t="n">
        <v>0</v>
      </c>
      <c r="R842" s="2" t="inlineStr"/>
    </row>
    <row r="843" ht="15" customHeight="1">
      <c r="A843" t="inlineStr">
        <is>
          <t>A 30509-2025</t>
        </is>
      </c>
      <c r="B843" s="1" t="n">
        <v>45831.25519675926</v>
      </c>
      <c r="C843" s="1" t="n">
        <v>46144</v>
      </c>
      <c r="D843" t="inlineStr">
        <is>
          <t>DALARNAS LÄN</t>
        </is>
      </c>
      <c r="E843" t="inlineStr">
        <is>
          <t>MORA</t>
        </is>
      </c>
      <c r="G843" t="n">
        <v>1.7</v>
      </c>
      <c r="H843" t="n">
        <v>0</v>
      </c>
      <c r="I843" t="n">
        <v>0</v>
      </c>
      <c r="J843" t="n">
        <v>0</v>
      </c>
      <c r="K843" t="n">
        <v>0</v>
      </c>
      <c r="L843" t="n">
        <v>0</v>
      </c>
      <c r="M843" t="n">
        <v>0</v>
      </c>
      <c r="N843" t="n">
        <v>0</v>
      </c>
      <c r="O843" t="n">
        <v>0</v>
      </c>
      <c r="P843" t="n">
        <v>0</v>
      </c>
      <c r="Q843" t="n">
        <v>0</v>
      </c>
      <c r="R843" s="2" t="inlineStr"/>
    </row>
    <row r="844" ht="15" customHeight="1">
      <c r="A844" t="inlineStr">
        <is>
          <t>A 31849-2025</t>
        </is>
      </c>
      <c r="B844" s="1" t="n">
        <v>45834.60525462963</v>
      </c>
      <c r="C844" s="1" t="n">
        <v>46144</v>
      </c>
      <c r="D844" t="inlineStr">
        <is>
          <t>DALARNAS LÄN</t>
        </is>
      </c>
      <c r="E844" t="inlineStr">
        <is>
          <t>MORA</t>
        </is>
      </c>
      <c r="G844" t="n">
        <v>3.9</v>
      </c>
      <c r="H844" t="n">
        <v>0</v>
      </c>
      <c r="I844" t="n">
        <v>0</v>
      </c>
      <c r="J844" t="n">
        <v>0</v>
      </c>
      <c r="K844" t="n">
        <v>0</v>
      </c>
      <c r="L844" t="n">
        <v>0</v>
      </c>
      <c r="M844" t="n">
        <v>0</v>
      </c>
      <c r="N844" t="n">
        <v>0</v>
      </c>
      <c r="O844" t="n">
        <v>0</v>
      </c>
      <c r="P844" t="n">
        <v>0</v>
      </c>
      <c r="Q844" t="n">
        <v>0</v>
      </c>
      <c r="R844" s="2" t="inlineStr"/>
    </row>
    <row r="845" ht="15" customHeight="1">
      <c r="A845" t="inlineStr">
        <is>
          <t>A 31846-2025</t>
        </is>
      </c>
      <c r="B845" s="1" t="n">
        <v>45834.60209490741</v>
      </c>
      <c r="C845" s="1" t="n">
        <v>46144</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31842-2025</t>
        </is>
      </c>
      <c r="B846" s="1" t="n">
        <v>45834.59822916667</v>
      </c>
      <c r="C846" s="1" t="n">
        <v>46144</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32852-2025</t>
        </is>
      </c>
      <c r="B847" s="1" t="n">
        <v>45839.57559027777</v>
      </c>
      <c r="C847" s="1" t="n">
        <v>46144</v>
      </c>
      <c r="D847" t="inlineStr">
        <is>
          <t>DALARNAS LÄN</t>
        </is>
      </c>
      <c r="E847" t="inlineStr">
        <is>
          <t>MORA</t>
        </is>
      </c>
      <c r="G847" t="n">
        <v>1.7</v>
      </c>
      <c r="H847" t="n">
        <v>0</v>
      </c>
      <c r="I847" t="n">
        <v>0</v>
      </c>
      <c r="J847" t="n">
        <v>0</v>
      </c>
      <c r="K847" t="n">
        <v>0</v>
      </c>
      <c r="L847" t="n">
        <v>0</v>
      </c>
      <c r="M847" t="n">
        <v>0</v>
      </c>
      <c r="N847" t="n">
        <v>0</v>
      </c>
      <c r="O847" t="n">
        <v>0</v>
      </c>
      <c r="P847" t="n">
        <v>0</v>
      </c>
      <c r="Q847" t="n">
        <v>0</v>
      </c>
      <c r="R847" s="2" t="inlineStr"/>
    </row>
    <row r="848" ht="15" customHeight="1">
      <c r="A848" t="inlineStr">
        <is>
          <t>A 33443-2025</t>
        </is>
      </c>
      <c r="B848" s="1" t="n">
        <v>45841</v>
      </c>
      <c r="C848" s="1" t="n">
        <v>46144</v>
      </c>
      <c r="D848" t="inlineStr">
        <is>
          <t>DALARNAS LÄN</t>
        </is>
      </c>
      <c r="E848" t="inlineStr">
        <is>
          <t>MORA</t>
        </is>
      </c>
      <c r="G848" t="n">
        <v>2.7</v>
      </c>
      <c r="H848" t="n">
        <v>0</v>
      </c>
      <c r="I848" t="n">
        <v>0</v>
      </c>
      <c r="J848" t="n">
        <v>0</v>
      </c>
      <c r="K848" t="n">
        <v>0</v>
      </c>
      <c r="L848" t="n">
        <v>0</v>
      </c>
      <c r="M848" t="n">
        <v>0</v>
      </c>
      <c r="N848" t="n">
        <v>0</v>
      </c>
      <c r="O848" t="n">
        <v>0</v>
      </c>
      <c r="P848" t="n">
        <v>0</v>
      </c>
      <c r="Q848" t="n">
        <v>0</v>
      </c>
      <c r="R848" s="2" t="inlineStr"/>
    </row>
    <row r="849" ht="15" customHeight="1">
      <c r="A849" t="inlineStr">
        <is>
          <t>A 34005-2025</t>
        </is>
      </c>
      <c r="B849" s="1" t="n">
        <v>45844.58890046296</v>
      </c>
      <c r="C849" s="1" t="n">
        <v>46144</v>
      </c>
      <c r="D849" t="inlineStr">
        <is>
          <t>DALARNAS LÄN</t>
        </is>
      </c>
      <c r="E849" t="inlineStr">
        <is>
          <t>MORA</t>
        </is>
      </c>
      <c r="G849" t="n">
        <v>7.2</v>
      </c>
      <c r="H849" t="n">
        <v>0</v>
      </c>
      <c r="I849" t="n">
        <v>0</v>
      </c>
      <c r="J849" t="n">
        <v>0</v>
      </c>
      <c r="K849" t="n">
        <v>0</v>
      </c>
      <c r="L849" t="n">
        <v>0</v>
      </c>
      <c r="M849" t="n">
        <v>0</v>
      </c>
      <c r="N849" t="n">
        <v>0</v>
      </c>
      <c r="O849" t="n">
        <v>0</v>
      </c>
      <c r="P849" t="n">
        <v>0</v>
      </c>
      <c r="Q849" t="n">
        <v>0</v>
      </c>
      <c r="R849" s="2" t="inlineStr"/>
    </row>
    <row r="850" ht="15" customHeight="1">
      <c r="A850" t="inlineStr">
        <is>
          <t>A 34382-2025</t>
        </is>
      </c>
      <c r="B850" s="1" t="n">
        <v>45846</v>
      </c>
      <c r="C850" s="1" t="n">
        <v>46144</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34182-2025</t>
        </is>
      </c>
      <c r="B851" s="1" t="n">
        <v>45845.60520833333</v>
      </c>
      <c r="C851" s="1" t="n">
        <v>46144</v>
      </c>
      <c r="D851" t="inlineStr">
        <is>
          <t>DALARNAS LÄN</t>
        </is>
      </c>
      <c r="E851" t="inlineStr">
        <is>
          <t>MORA</t>
        </is>
      </c>
      <c r="G851" t="n">
        <v>3.4</v>
      </c>
      <c r="H851" t="n">
        <v>0</v>
      </c>
      <c r="I851" t="n">
        <v>0</v>
      </c>
      <c r="J851" t="n">
        <v>0</v>
      </c>
      <c r="K851" t="n">
        <v>0</v>
      </c>
      <c r="L851" t="n">
        <v>0</v>
      </c>
      <c r="M851" t="n">
        <v>0</v>
      </c>
      <c r="N851" t="n">
        <v>0</v>
      </c>
      <c r="O851" t="n">
        <v>0</v>
      </c>
      <c r="P851" t="n">
        <v>0</v>
      </c>
      <c r="Q851" t="n">
        <v>0</v>
      </c>
      <c r="R851" s="2" t="inlineStr"/>
    </row>
    <row r="852" ht="15" customHeight="1">
      <c r="A852" t="inlineStr">
        <is>
          <t>A 34482-2025</t>
        </is>
      </c>
      <c r="B852" s="1" t="n">
        <v>45847.38469907407</v>
      </c>
      <c r="C852" s="1" t="n">
        <v>46144</v>
      </c>
      <c r="D852" t="inlineStr">
        <is>
          <t>DALARNAS LÄN</t>
        </is>
      </c>
      <c r="E852" t="inlineStr">
        <is>
          <t>MORA</t>
        </is>
      </c>
      <c r="G852" t="n">
        <v>1.5</v>
      </c>
      <c r="H852" t="n">
        <v>0</v>
      </c>
      <c r="I852" t="n">
        <v>0</v>
      </c>
      <c r="J852" t="n">
        <v>0</v>
      </c>
      <c r="K852" t="n">
        <v>0</v>
      </c>
      <c r="L852" t="n">
        <v>0</v>
      </c>
      <c r="M852" t="n">
        <v>0</v>
      </c>
      <c r="N852" t="n">
        <v>0</v>
      </c>
      <c r="O852" t="n">
        <v>0</v>
      </c>
      <c r="P852" t="n">
        <v>0</v>
      </c>
      <c r="Q852" t="n">
        <v>0</v>
      </c>
      <c r="R852" s="2" t="inlineStr"/>
    </row>
    <row r="853" ht="15" customHeight="1">
      <c r="A853" t="inlineStr">
        <is>
          <t>A 34933-2025</t>
        </is>
      </c>
      <c r="B853" s="1" t="n">
        <v>45849.57297453703</v>
      </c>
      <c r="C853" s="1" t="n">
        <v>46144</v>
      </c>
      <c r="D853" t="inlineStr">
        <is>
          <t>DALARNAS LÄN</t>
        </is>
      </c>
      <c r="E853" t="inlineStr">
        <is>
          <t>MORA</t>
        </is>
      </c>
      <c r="F853" t="inlineStr">
        <is>
          <t>Bergvik skog väst AB</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35121-2025</t>
        </is>
      </c>
      <c r="B854" s="1" t="n">
        <v>45852.60936342592</v>
      </c>
      <c r="C854" s="1" t="n">
        <v>46144</v>
      </c>
      <c r="D854" t="inlineStr">
        <is>
          <t>DALARNAS LÄN</t>
        </is>
      </c>
      <c r="E854" t="inlineStr">
        <is>
          <t>MORA</t>
        </is>
      </c>
      <c r="F854" t="inlineStr">
        <is>
          <t>Bergvik skog öst AB</t>
        </is>
      </c>
      <c r="G854" t="n">
        <v>15.9</v>
      </c>
      <c r="H854" t="n">
        <v>0</v>
      </c>
      <c r="I854" t="n">
        <v>0</v>
      </c>
      <c r="J854" t="n">
        <v>0</v>
      </c>
      <c r="K854" t="n">
        <v>0</v>
      </c>
      <c r="L854" t="n">
        <v>0</v>
      </c>
      <c r="M854" t="n">
        <v>0</v>
      </c>
      <c r="N854" t="n">
        <v>0</v>
      </c>
      <c r="O854" t="n">
        <v>0</v>
      </c>
      <c r="P854" t="n">
        <v>0</v>
      </c>
      <c r="Q854" t="n">
        <v>0</v>
      </c>
      <c r="R854" s="2" t="inlineStr"/>
    </row>
    <row r="855" ht="15" customHeight="1">
      <c r="A855" t="inlineStr">
        <is>
          <t>A 35407-2025</t>
        </is>
      </c>
      <c r="B855" s="1" t="n">
        <v>45855.35989583333</v>
      </c>
      <c r="C855" s="1" t="n">
        <v>46144</v>
      </c>
      <c r="D855" t="inlineStr">
        <is>
          <t>DALARNAS LÄN</t>
        </is>
      </c>
      <c r="E855" t="inlineStr">
        <is>
          <t>MORA</t>
        </is>
      </c>
      <c r="G855" t="n">
        <v>1.4</v>
      </c>
      <c r="H855" t="n">
        <v>0</v>
      </c>
      <c r="I855" t="n">
        <v>0</v>
      </c>
      <c r="J855" t="n">
        <v>0</v>
      </c>
      <c r="K855" t="n">
        <v>0</v>
      </c>
      <c r="L855" t="n">
        <v>0</v>
      </c>
      <c r="M855" t="n">
        <v>0</v>
      </c>
      <c r="N855" t="n">
        <v>0</v>
      </c>
      <c r="O855" t="n">
        <v>0</v>
      </c>
      <c r="P855" t="n">
        <v>0</v>
      </c>
      <c r="Q855" t="n">
        <v>0</v>
      </c>
      <c r="R855" s="2" t="inlineStr"/>
    </row>
    <row r="856" ht="15" customHeight="1">
      <c r="A856" t="inlineStr">
        <is>
          <t>A 35611-2025</t>
        </is>
      </c>
      <c r="B856" s="1" t="n">
        <v>45859.35384259259</v>
      </c>
      <c r="C856" s="1" t="n">
        <v>46144</v>
      </c>
      <c r="D856" t="inlineStr">
        <is>
          <t>DALARNAS LÄN</t>
        </is>
      </c>
      <c r="E856" t="inlineStr">
        <is>
          <t>MORA</t>
        </is>
      </c>
      <c r="G856" t="n">
        <v>2.5</v>
      </c>
      <c r="H856" t="n">
        <v>0</v>
      </c>
      <c r="I856" t="n">
        <v>0</v>
      </c>
      <c r="J856" t="n">
        <v>0</v>
      </c>
      <c r="K856" t="n">
        <v>0</v>
      </c>
      <c r="L856" t="n">
        <v>0</v>
      </c>
      <c r="M856" t="n">
        <v>0</v>
      </c>
      <c r="N856" t="n">
        <v>0</v>
      </c>
      <c r="O856" t="n">
        <v>0</v>
      </c>
      <c r="P856" t="n">
        <v>0</v>
      </c>
      <c r="Q856" t="n">
        <v>0</v>
      </c>
      <c r="R856" s="2" t="inlineStr"/>
    </row>
    <row r="857" ht="15" customHeight="1">
      <c r="A857" t="inlineStr">
        <is>
          <t>A 35622-2025</t>
        </is>
      </c>
      <c r="B857" s="1" t="n">
        <v>45859</v>
      </c>
      <c r="C857" s="1" t="n">
        <v>46144</v>
      </c>
      <c r="D857" t="inlineStr">
        <is>
          <t>DALARNAS LÄN</t>
        </is>
      </c>
      <c r="E857" t="inlineStr">
        <is>
          <t>MORA</t>
        </is>
      </c>
      <c r="F857" t="inlineStr">
        <is>
          <t>Bergvik skog öst AB</t>
        </is>
      </c>
      <c r="G857" t="n">
        <v>5.8</v>
      </c>
      <c r="H857" t="n">
        <v>0</v>
      </c>
      <c r="I857" t="n">
        <v>0</v>
      </c>
      <c r="J857" t="n">
        <v>0</v>
      </c>
      <c r="K857" t="n">
        <v>0</v>
      </c>
      <c r="L857" t="n">
        <v>0</v>
      </c>
      <c r="M857" t="n">
        <v>0</v>
      </c>
      <c r="N857" t="n">
        <v>0</v>
      </c>
      <c r="O857" t="n">
        <v>0</v>
      </c>
      <c r="P857" t="n">
        <v>0</v>
      </c>
      <c r="Q857" t="n">
        <v>0</v>
      </c>
      <c r="R857" s="2" t="inlineStr"/>
    </row>
    <row r="858" ht="15" customHeight="1">
      <c r="A858" t="inlineStr">
        <is>
          <t>A 35734-2025</t>
        </is>
      </c>
      <c r="B858" s="1" t="n">
        <v>45860.471875</v>
      </c>
      <c r="C858" s="1" t="n">
        <v>46144</v>
      </c>
      <c r="D858" t="inlineStr">
        <is>
          <t>DALARNAS LÄN</t>
        </is>
      </c>
      <c r="E858" t="inlineStr">
        <is>
          <t>MORA</t>
        </is>
      </c>
      <c r="G858" t="n">
        <v>1.3</v>
      </c>
      <c r="H858" t="n">
        <v>0</v>
      </c>
      <c r="I858" t="n">
        <v>0</v>
      </c>
      <c r="J858" t="n">
        <v>0</v>
      </c>
      <c r="K858" t="n">
        <v>0</v>
      </c>
      <c r="L858" t="n">
        <v>0</v>
      </c>
      <c r="M858" t="n">
        <v>0</v>
      </c>
      <c r="N858" t="n">
        <v>0</v>
      </c>
      <c r="O858" t="n">
        <v>0</v>
      </c>
      <c r="P858" t="n">
        <v>0</v>
      </c>
      <c r="Q858" t="n">
        <v>0</v>
      </c>
      <c r="R858" s="2" t="inlineStr"/>
    </row>
    <row r="859" ht="15" customHeight="1">
      <c r="A859" t="inlineStr">
        <is>
          <t>A 9277-2024</t>
        </is>
      </c>
      <c r="B859" s="1" t="n">
        <v>45358.63265046296</v>
      </c>
      <c r="C859" s="1" t="n">
        <v>46144</v>
      </c>
      <c r="D859" t="inlineStr">
        <is>
          <t>DALARNAS LÄN</t>
        </is>
      </c>
      <c r="E859" t="inlineStr">
        <is>
          <t>MORA</t>
        </is>
      </c>
      <c r="G859" t="n">
        <v>1.7</v>
      </c>
      <c r="H859" t="n">
        <v>0</v>
      </c>
      <c r="I859" t="n">
        <v>0</v>
      </c>
      <c r="J859" t="n">
        <v>0</v>
      </c>
      <c r="K859" t="n">
        <v>0</v>
      </c>
      <c r="L859" t="n">
        <v>0</v>
      </c>
      <c r="M859" t="n">
        <v>0</v>
      </c>
      <c r="N859" t="n">
        <v>0</v>
      </c>
      <c r="O859" t="n">
        <v>0</v>
      </c>
      <c r="P859" t="n">
        <v>0</v>
      </c>
      <c r="Q859" t="n">
        <v>0</v>
      </c>
      <c r="R859" s="2" t="inlineStr"/>
    </row>
    <row r="860" ht="15" customHeight="1">
      <c r="A860" t="inlineStr">
        <is>
          <t>A 35623-2025</t>
        </is>
      </c>
      <c r="B860" s="1" t="n">
        <v>45859</v>
      </c>
      <c r="C860" s="1" t="n">
        <v>46144</v>
      </c>
      <c r="D860" t="inlineStr">
        <is>
          <t>DALARNAS LÄN</t>
        </is>
      </c>
      <c r="E860" t="inlineStr">
        <is>
          <t>MORA</t>
        </is>
      </c>
      <c r="F860" t="inlineStr">
        <is>
          <t>Bergvik skog öst AB</t>
        </is>
      </c>
      <c r="G860" t="n">
        <v>1</v>
      </c>
      <c r="H860" t="n">
        <v>0</v>
      </c>
      <c r="I860" t="n">
        <v>0</v>
      </c>
      <c r="J860" t="n">
        <v>0</v>
      </c>
      <c r="K860" t="n">
        <v>0</v>
      </c>
      <c r="L860" t="n">
        <v>0</v>
      </c>
      <c r="M860" t="n">
        <v>0</v>
      </c>
      <c r="N860" t="n">
        <v>0</v>
      </c>
      <c r="O860" t="n">
        <v>0</v>
      </c>
      <c r="P860" t="n">
        <v>0</v>
      </c>
      <c r="Q860" t="n">
        <v>0</v>
      </c>
      <c r="R860" s="2" t="inlineStr"/>
    </row>
    <row r="861" ht="15" customHeight="1">
      <c r="A861" t="inlineStr">
        <is>
          <t>A 35624-2025</t>
        </is>
      </c>
      <c r="B861" s="1" t="n">
        <v>45859</v>
      </c>
      <c r="C861" s="1" t="n">
        <v>46144</v>
      </c>
      <c r="D861" t="inlineStr">
        <is>
          <t>DALARNAS LÄN</t>
        </is>
      </c>
      <c r="E861" t="inlineStr">
        <is>
          <t>MORA</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36041-2025</t>
        </is>
      </c>
      <c r="B862" s="1" t="n">
        <v>45866.34385416667</v>
      </c>
      <c r="C862" s="1" t="n">
        <v>46144</v>
      </c>
      <c r="D862" t="inlineStr">
        <is>
          <t>DALARNAS LÄN</t>
        </is>
      </c>
      <c r="E862" t="inlineStr">
        <is>
          <t>MORA</t>
        </is>
      </c>
      <c r="G862" t="n">
        <v>0.6</v>
      </c>
      <c r="H862" t="n">
        <v>0</v>
      </c>
      <c r="I862" t="n">
        <v>0</v>
      </c>
      <c r="J862" t="n">
        <v>0</v>
      </c>
      <c r="K862" t="n">
        <v>0</v>
      </c>
      <c r="L862" t="n">
        <v>0</v>
      </c>
      <c r="M862" t="n">
        <v>0</v>
      </c>
      <c r="N862" t="n">
        <v>0</v>
      </c>
      <c r="O862" t="n">
        <v>0</v>
      </c>
      <c r="P862" t="n">
        <v>0</v>
      </c>
      <c r="Q862" t="n">
        <v>0</v>
      </c>
      <c r="R862" s="2" t="inlineStr"/>
    </row>
    <row r="863" ht="15" customHeight="1">
      <c r="A863" t="inlineStr">
        <is>
          <t>A 16174-2025</t>
        </is>
      </c>
      <c r="B863" s="1" t="n">
        <v>45750</v>
      </c>
      <c r="C863" s="1" t="n">
        <v>46144</v>
      </c>
      <c r="D863" t="inlineStr">
        <is>
          <t>DALARNAS LÄN</t>
        </is>
      </c>
      <c r="E863" t="inlineStr">
        <is>
          <t>MORA</t>
        </is>
      </c>
      <c r="G863" t="n">
        <v>0.9</v>
      </c>
      <c r="H863" t="n">
        <v>0</v>
      </c>
      <c r="I863" t="n">
        <v>0</v>
      </c>
      <c r="J863" t="n">
        <v>0</v>
      </c>
      <c r="K863" t="n">
        <v>0</v>
      </c>
      <c r="L863" t="n">
        <v>0</v>
      </c>
      <c r="M863" t="n">
        <v>0</v>
      </c>
      <c r="N863" t="n">
        <v>0</v>
      </c>
      <c r="O863" t="n">
        <v>0</v>
      </c>
      <c r="P863" t="n">
        <v>0</v>
      </c>
      <c r="Q863" t="n">
        <v>0</v>
      </c>
      <c r="R863" s="2" t="inlineStr"/>
    </row>
    <row r="864" ht="15" customHeight="1">
      <c r="A864" t="inlineStr">
        <is>
          <t>A 36586-2025</t>
        </is>
      </c>
      <c r="B864" s="1" t="n">
        <v>45869</v>
      </c>
      <c r="C864" s="1" t="n">
        <v>46144</v>
      </c>
      <c r="D864" t="inlineStr">
        <is>
          <t>DALARNAS LÄN</t>
        </is>
      </c>
      <c r="E864" t="inlineStr">
        <is>
          <t>MORA</t>
        </is>
      </c>
      <c r="G864" t="n">
        <v>1.8</v>
      </c>
      <c r="H864" t="n">
        <v>0</v>
      </c>
      <c r="I864" t="n">
        <v>0</v>
      </c>
      <c r="J864" t="n">
        <v>0</v>
      </c>
      <c r="K864" t="n">
        <v>0</v>
      </c>
      <c r="L864" t="n">
        <v>0</v>
      </c>
      <c r="M864" t="n">
        <v>0</v>
      </c>
      <c r="N864" t="n">
        <v>0</v>
      </c>
      <c r="O864" t="n">
        <v>0</v>
      </c>
      <c r="P864" t="n">
        <v>0</v>
      </c>
      <c r="Q864" t="n">
        <v>0</v>
      </c>
      <c r="R864" s="2" t="inlineStr"/>
    </row>
    <row r="865" ht="15" customHeight="1">
      <c r="A865" t="inlineStr">
        <is>
          <t>A 36760-2025</t>
        </is>
      </c>
      <c r="B865" s="1" t="n">
        <v>45873.57319444444</v>
      </c>
      <c r="C865" s="1" t="n">
        <v>46144</v>
      </c>
      <c r="D865" t="inlineStr">
        <is>
          <t>DALARNAS LÄN</t>
        </is>
      </c>
      <c r="E865" t="inlineStr">
        <is>
          <t>MORA</t>
        </is>
      </c>
      <c r="G865" t="n">
        <v>4.6</v>
      </c>
      <c r="H865" t="n">
        <v>0</v>
      </c>
      <c r="I865" t="n">
        <v>0</v>
      </c>
      <c r="J865" t="n">
        <v>0</v>
      </c>
      <c r="K865" t="n">
        <v>0</v>
      </c>
      <c r="L865" t="n">
        <v>0</v>
      </c>
      <c r="M865" t="n">
        <v>0</v>
      </c>
      <c r="N865" t="n">
        <v>0</v>
      </c>
      <c r="O865" t="n">
        <v>0</v>
      </c>
      <c r="P865" t="n">
        <v>0</v>
      </c>
      <c r="Q865" t="n">
        <v>0</v>
      </c>
      <c r="R865" s="2" t="inlineStr"/>
    </row>
    <row r="866" ht="15" customHeight="1">
      <c r="A866" t="inlineStr">
        <is>
          <t>A 22854-2023</t>
        </is>
      </c>
      <c r="B866" s="1" t="n">
        <v>45072</v>
      </c>
      <c r="C866" s="1" t="n">
        <v>46144</v>
      </c>
      <c r="D866" t="inlineStr">
        <is>
          <t>DALARNAS LÄN</t>
        </is>
      </c>
      <c r="E866" t="inlineStr">
        <is>
          <t>MORA</t>
        </is>
      </c>
      <c r="G866" t="n">
        <v>3.3</v>
      </c>
      <c r="H866" t="n">
        <v>0</v>
      </c>
      <c r="I866" t="n">
        <v>0</v>
      </c>
      <c r="J866" t="n">
        <v>0</v>
      </c>
      <c r="K866" t="n">
        <v>0</v>
      </c>
      <c r="L866" t="n">
        <v>0</v>
      </c>
      <c r="M866" t="n">
        <v>0</v>
      </c>
      <c r="N866" t="n">
        <v>0</v>
      </c>
      <c r="O866" t="n">
        <v>0</v>
      </c>
      <c r="P866" t="n">
        <v>0</v>
      </c>
      <c r="Q866" t="n">
        <v>0</v>
      </c>
      <c r="R866" s="2" t="inlineStr"/>
    </row>
    <row r="867">
      <c r="A867" t="inlineStr">
        <is>
          <t>A 36846-2025</t>
        </is>
      </c>
      <c r="B867" s="1" t="n">
        <v>45874.38655092593</v>
      </c>
      <c r="C867" s="1" t="n">
        <v>46144</v>
      </c>
      <c r="D867" t="inlineStr">
        <is>
          <t>DALARNAS LÄN</t>
        </is>
      </c>
      <c r="E867" t="inlineStr">
        <is>
          <t>MORA</t>
        </is>
      </c>
      <c r="G867" t="n">
        <v>10.7</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2026-05-02T11:09:15Z</dcterms:created>
  <dcterms:modified xmlns:dcterms="http://purl.org/dc/terms/" xmlns:xsi="http://www.w3.org/2001/XMLSchema-instance" xsi:type="dcterms:W3CDTF">2026-05-02T11:09:16Z</dcterms:modified>
</cp:coreProperties>
</file>